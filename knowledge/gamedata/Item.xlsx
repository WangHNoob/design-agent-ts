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bookViews>
  <sheets>
    <sheet name="Sheet1" sheetId="1" r:id="rId1"/>
    <sheet name="物品ID定义" sheetId="2" r:id="rId2"/>
    <sheet name="获取途径" sheetId="3" r:id="rId3"/>
    <sheet name="普通道具定义" sheetId="4" r:id="rId4"/>
    <sheet name="Sheet2" sheetId="5" r:id="rId5"/>
    <sheet name="Sheet3" sheetId="6" r:id="rId6"/>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jm</author>
    <author>admin</author>
    <author>Administrator</author>
    <author>me</author>
    <author>PC</author>
    <author>wangyufei</author>
  </authors>
  <commentList>
    <comment ref="C2" authorId="0">
      <text>
        <r>
          <rPr>
            <sz val="10"/>
            <rFont val="宋体"/>
            <charset val="134"/>
          </rPr>
          <t>sfg:
1.道具
2.材料
3.药品
4.食物
5.宝石
6.礼包
7.碎片
8.精炼石
9.英雄石
10.复活物品
11突破材料
12.动物系技能书
13.自然系技能书
14.超人系技能书
15.剑道技能书
16.格斗技能
17.射击技能书
18.普通技能书
19.打孔石
20.家园加速
21.友好值道具
22.觉醒普通技能书
23.新年红包
24.美食</t>
        </r>
      </text>
    </comment>
    <comment ref="G2" authorId="1">
      <text>
        <r>
          <rPr>
            <sz val="10"/>
            <rFont val="宋体"/>
            <charset val="134"/>
          </rPr>
          <t xml:space="preserve">admin:
不能超过128字符串
</t>
        </r>
      </text>
    </comment>
    <comment ref="K2" authorId="2">
      <text>
        <r>
          <rPr>
            <sz val="10"/>
            <rFont val="宋体"/>
            <charset val="134"/>
          </rPr>
          <t>Administrator:
1 材料（如果物品不可以直接在背包里使用，就填这个，比如经验卷轴）
2 主动使用，增加资源
3 英雄碎片
4 可用来合成
5.解锁用，只能使用一次</t>
        </r>
      </text>
    </comment>
    <comment ref="N2" authorId="1">
      <text>
        <r>
          <rPr>
            <sz val="10"/>
            <rFont val="宋体"/>
            <charset val="134"/>
          </rPr>
          <t>admin:
新增新限时宝库道具功能类型为 1048</t>
        </r>
      </text>
    </comment>
    <comment ref="O2" authorId="1">
      <text>
        <r>
          <rPr>
            <sz val="10"/>
            <rFont val="宋体"/>
            <charset val="134"/>
          </rPr>
          <t>admin:
如果是新限时宝库功能道具，此处需要填写那种类型的宝库，对应宝库类型表</t>
        </r>
      </text>
    </comment>
    <comment ref="Q2" authorId="2">
      <text>
        <r>
          <rPr>
            <sz val="10"/>
            <rFont val="宋体"/>
            <charset val="134"/>
          </rPr>
          <t>GameModuleTarget</t>
        </r>
      </text>
    </comment>
    <comment ref="V2" authorId="3">
      <text>
        <r>
          <rPr>
            <sz val="10"/>
            <rFont val="宋体"/>
            <charset val="134"/>
          </rPr>
          <t>me:
1 表示可以绑定</t>
        </r>
      </text>
    </comment>
    <comment ref="Y2" authorId="4">
      <text>
        <r>
          <rPr>
            <sz val="10"/>
            <rFont val="宋体"/>
            <charset val="134"/>
          </rPr>
          <t>做功能 与程序对接  -福广（角标icon）
默认-0
贵重-1</t>
        </r>
      </text>
    </comment>
    <comment ref="Z2" authorId="3">
      <text>
        <r>
          <rPr>
            <sz val="10"/>
            <rFont val="宋体"/>
            <charset val="134"/>
          </rPr>
          <t xml:space="preserve">me:
1 交易市场界面（已删除）
2 玩家商店界面
</t>
        </r>
      </text>
    </comment>
    <comment ref="AC2" authorId="4">
      <text>
        <r>
          <rPr>
            <sz val="10"/>
            <rFont val="宋体"/>
            <charset val="134"/>
          </rPr>
          <t>PC:
1-100  礼包  预留
101-200  装备箱
201-300  宝石
301-400  烹饪
401-500  药剂
501-600  造船
601-700  角色碎片
701-800  可合成的道具
801-900  其他材料</t>
        </r>
      </text>
    </comment>
    <comment ref="AE2" authorId="2">
      <text>
        <r>
          <rPr>
            <sz val="10"/>
            <rFont val="宋体"/>
            <charset val="134"/>
          </rPr>
          <t>Administrator:
 1,    //直接使用     2,    //选择指定英雄目标使用    3,    //电话虫弹窗   4,    //显示数量选择，点确定使用
 5,    //显示所有的道具，从中选择  extendParams 栏填写参数 [ maxNum:type,id,num;type,id,num; ........ ]
 6,    //时装跳转    7，   //使用美食    8，   //使用食谱   9，   //限时宝库特殊钥匙
11,个性形象跳转</t>
        </r>
      </text>
    </comment>
    <comment ref="AF2" authorId="2">
      <text>
        <r>
          <rPr>
            <sz val="10"/>
            <rFont val="宋体"/>
            <charset val="134"/>
          </rPr>
          <t>Administrator:
0 不做处理
1 飘字
2 弹窗</t>
        </r>
      </text>
    </comment>
    <comment ref="AS2" authorId="5">
      <text>
        <r>
          <rPr>
            <sz val="10"/>
            <rFont val="宋体"/>
            <charset val="134"/>
          </rPr>
          <t>wangyufei:
经典服：1
怀旧服：2</t>
        </r>
      </text>
    </comment>
    <comment ref="A615" authorId="2">
      <text>
        <r>
          <rPr>
            <sz val="10"/>
            <rFont val="宋体"/>
            <charset val="134"/>
          </rPr>
          <t>Administrator:
运营</t>
        </r>
      </text>
    </comment>
    <comment ref="A631" authorId="2">
      <text>
        <r>
          <rPr>
            <sz val="10"/>
            <rFont val="宋体"/>
            <charset val="134"/>
          </rPr>
          <t>Administrator:
运营</t>
        </r>
      </text>
    </comment>
    <comment ref="A640" authorId="2">
      <text>
        <r>
          <rPr>
            <sz val="10"/>
            <rFont val="宋体"/>
            <charset val="134"/>
          </rPr>
          <t>幸运商店使用</t>
        </r>
      </text>
    </comment>
  </commentList>
</comments>
</file>

<file path=xl/comments2.xml><?xml version="1.0" encoding="utf-8"?>
<comments xmlns="http://schemas.openxmlformats.org/spreadsheetml/2006/main">
  <authors>
    <author>PC</author>
  </authors>
  <commentList>
    <comment ref="F12" authorId="0">
      <text>
        <r>
          <rPr>
            <sz val="10"/>
            <rFont val="宋体"/>
            <charset val="134"/>
          </rPr>
          <t>PC:
1.秘传副本
2.训练副本
3.突破副本
4.金块副本
5.经验副本</t>
        </r>
      </text>
    </comment>
  </commentList>
</comments>
</file>

<file path=xl/sharedStrings.xml><?xml version="1.0" encoding="utf-8"?>
<sst xmlns="http://schemas.openxmlformats.org/spreadsheetml/2006/main" count="18767" uniqueCount="9439">
  <si>
    <t>7</t>
  </si>
  <si>
    <t/>
  </si>
  <si>
    <t>物品id</t>
  </si>
  <si>
    <t>物品大类型</t>
  </si>
  <si>
    <t>物品子类型</t>
  </si>
  <si>
    <t>背包类型</t>
  </si>
  <si>
    <t>名字</t>
  </si>
  <si>
    <t>名字文本</t>
  </si>
  <si>
    <t>描述文本</t>
  </si>
  <si>
    <t>图标</t>
  </si>
  <si>
    <t>物品使用等级</t>
  </si>
  <si>
    <t>物品品质</t>
  </si>
  <si>
    <t>类别</t>
  </si>
  <si>
    <t>堆叠数量</t>
  </si>
  <si>
    <t>使用CD（秒）</t>
  </si>
  <si>
    <t>功能</t>
  </si>
  <si>
    <t>功能扩展字段</t>
  </si>
  <si>
    <t>获得途径（弃用）</t>
  </si>
  <si>
    <t>获取途径跳转</t>
  </si>
  <si>
    <t>获取途径描述（弃用）</t>
  </si>
  <si>
    <t>是否可以回收</t>
  </si>
  <si>
    <t>回收货币类型</t>
  </si>
  <si>
    <t>回收价格</t>
  </si>
  <si>
    <t>绑定类型</t>
  </si>
  <si>
    <t>是否可移仓库</t>
  </si>
  <si>
    <t>是否通过邮件拾取</t>
  </si>
  <si>
    <t>是否为贵重物品</t>
  </si>
  <si>
    <t>是否可以交易</t>
  </si>
  <si>
    <t>回购货币类型</t>
  </si>
  <si>
    <t>回购价格</t>
  </si>
  <si>
    <t>排序权重</t>
  </si>
  <si>
    <t>药品自动使用</t>
  </si>
  <si>
    <t>可使用物品的展示类型</t>
  </si>
  <si>
    <t>使用结果展示</t>
  </si>
  <si>
    <t>公共CD类型</t>
  </si>
  <si>
    <t>公共CD(秒)</t>
  </si>
  <si>
    <t>过期时间</t>
  </si>
  <si>
    <t>合成目标Id</t>
  </si>
  <si>
    <t>限制玩家单次获取最大值</t>
  </si>
  <si>
    <t>是否显示绑定按钮</t>
  </si>
  <si>
    <t>左上显示等级(宝石在宝石表里)，目前仅训练道具使用。</t>
  </si>
  <si>
    <t>获取途径规则修改</t>
  </si>
  <si>
    <t>物品属性类型显示索引()</t>
  </si>
  <si>
    <t>是否需要删除</t>
  </si>
  <si>
    <t>名字-AP2</t>
  </si>
  <si>
    <t>可否由BI配置过期时间</t>
  </si>
  <si>
    <t>防盖表经典怀旧判断</t>
  </si>
  <si>
    <t>itemId</t>
  </si>
  <si>
    <t>itemType</t>
  </si>
  <si>
    <t>itemSubType</t>
  </si>
  <si>
    <t>bagType</t>
  </si>
  <si>
    <t>nameIndex</t>
  </si>
  <si>
    <t>introIndex</t>
  </si>
  <si>
    <t>useLevel</t>
  </si>
  <si>
    <t>quality</t>
  </si>
  <si>
    <t>category</t>
  </si>
  <si>
    <t>foldCount</t>
  </si>
  <si>
    <t>cd</t>
  </si>
  <si>
    <t>function</t>
  </si>
  <si>
    <t>params</t>
  </si>
  <si>
    <t>resource</t>
  </si>
  <si>
    <t>resourceDes</t>
  </si>
  <si>
    <t>canSell</t>
  </si>
  <si>
    <t>currencyType</t>
  </si>
  <si>
    <t>sellPrice</t>
  </si>
  <si>
    <t>bindType</t>
  </si>
  <si>
    <t>cantoWarehourse</t>
  </si>
  <si>
    <t>pickupByMail</t>
  </si>
  <si>
    <t>isPrecious</t>
  </si>
  <si>
    <t>canDeal</t>
  </si>
  <si>
    <t>buyBackType</t>
  </si>
  <si>
    <t>buyBackPrice</t>
  </si>
  <si>
    <t>sort</t>
  </si>
  <si>
    <t>commonCdType</t>
  </si>
  <si>
    <t>commonCd</t>
  </si>
  <si>
    <t>expiredTime</t>
  </si>
  <si>
    <t>combineId</t>
  </si>
  <si>
    <t>limitNum</t>
  </si>
  <si>
    <t>needDelete</t>
  </si>
  <si>
    <t>canDeployExpireTime</t>
  </si>
  <si>
    <t>dictServerType</t>
  </si>
  <si>
    <t>int</t>
  </si>
  <si>
    <t>string(intern)</t>
  </si>
  <si>
    <t>string</t>
  </si>
  <si>
    <t>primary</t>
  </si>
  <si>
    <t>none</t>
  </si>
  <si>
    <t>index</t>
  </si>
  <si>
    <t>112001</t>
  </si>
  <si>
    <t>经验卷轴</t>
  </si>
  <si>
    <t>经验道具，用于增加角色经验。</t>
  </si>
  <si>
    <t>item_112001</t>
  </si>
  <si>
    <t>精炼石</t>
  </si>
  <si>
    <t>装备精炼道具，用于提高装备的精炼等级。</t>
  </si>
  <si>
    <t>item_112002</t>
  </si>
  <si>
    <t>招募券</t>
  </si>
  <si>
    <t>招募道具，用于在招募界面进行船员招募。</t>
  </si>
  <si>
    <t>item_112003</t>
  </si>
  <si>
    <t>秘传书</t>
  </si>
  <si>
    <t>可以增加角色的技能点，用于技能升级。</t>
  </si>
  <si>
    <t>item_112004</t>
  </si>
  <si>
    <t>蓝钻</t>
  </si>
  <si>
    <t>航海王中珍贵的货币，可用于购买活动次数、商城兑换等。</t>
  </si>
  <si>
    <t>item_122001</t>
  </si>
  <si>
    <t>经验</t>
  </si>
  <si>
    <t>玩家和角色升级所需的经验。</t>
  </si>
  <si>
    <t>item_122002</t>
  </si>
  <si>
    <t>金块</t>
  </si>
  <si>
    <t>航海王中常用的货币，用于日常消费。</t>
  </si>
  <si>
    <t>item_122003</t>
  </si>
  <si>
    <t>千里阳光号</t>
  </si>
  <si>
    <t>由宝树亚当制成的草帽一伙的海盗船！是穿越千里大海的梦想之船。</t>
  </si>
  <si>
    <t>ship_icon_10_1</t>
  </si>
  <si>
    <t>海军战舰</t>
  </si>
  <si>
    <t>为将目标全部粉碎的大型军舰。由海军总部中将担任指挥。</t>
  </si>
  <si>
    <t>ship_icon_8_1</t>
  </si>
  <si>
    <t>黄金梅丽号</t>
  </si>
  <si>
    <t>伴随草帽海盗团的成长，是草帽一伙形影不离、不可或缺的伙伴。</t>
  </si>
  <si>
    <t>ship_icon_3_1</t>
  </si>
  <si>
    <t>黑色战士号</t>
  </si>
  <si>
    <t>黑猫海盗团的船，标志就是船头的黑猫，是船长克洛的标志。</t>
  </si>
  <si>
    <t>ship_icon_4_1</t>
  </si>
  <si>
    <t>海军军舰</t>
  </si>
  <si>
    <t>标准的海军船。装备有和总部联络用的各种电话虫。</t>
  </si>
  <si>
    <t>ship_icon_7_1</t>
  </si>
  <si>
    <t>可爱小鸭号</t>
  </si>
  <si>
    <t>船头是一只可爱的天鹅，船帆有“2”的标志，是Mr.2的船。</t>
  </si>
  <si>
    <t>ship_icon_6_1</t>
  </si>
  <si>
    <t>性感福克斯号</t>
  </si>
  <si>
    <t>福克斯海盗团的船。船首和海盗旗、锁链等，都是醒目的狐狸标记。</t>
  </si>
  <si>
    <t>ship_icon_5_1</t>
  </si>
  <si>
    <t>黑胡子木筏</t>
  </si>
  <si>
    <t>黑胡子一伙的标志性木筏。在四周都设有大炮。</t>
  </si>
  <si>
    <t>ship_icon_9_1</t>
  </si>
  <si>
    <t>九蛇海盗船</t>
  </si>
  <si>
    <t>汉库珂所率领的九蛇海盗团的船。船头设有毒蛇，保护轮船不受敌人攻击。</t>
  </si>
  <si>
    <t>ship_icon_11_1</t>
  </si>
  <si>
    <t>雷德·佛斯号</t>
  </si>
  <si>
    <t>航行在新世界的后半段，以龙形船首为特征的杰克斯海盗团的船。</t>
  </si>
  <si>
    <t>ship_icon_12_1</t>
  </si>
  <si>
    <t>巴拉蒂</t>
  </si>
  <si>
    <t>漂浮在“东海”上的巨大海上餐厅。除了餐厅以外，还设有宽敞的厨房和储藏间。</t>
  </si>
  <si>
    <t>ship_icon_13_1</t>
  </si>
  <si>
    <t>革命军船</t>
  </si>
  <si>
    <t>风·格拉玛号</t>
  </si>
  <si>
    <t>在各地不断掀起叛乱的，龙率领武装组织的船。以漆黑船体和龙头船首为特征的母舰。</t>
  </si>
  <si>
    <t>ship_icon_19_1</t>
  </si>
  <si>
    <t>戈普的军舰</t>
  </si>
  <si>
    <t>海军总部戈普的军舰。船首是只衔着骨头的狗。</t>
  </si>
  <si>
    <t>ship_icon_15_1</t>
  </si>
  <si>
    <t>太阳海盗船</t>
  </si>
  <si>
    <t>船首是一只让人想到泰格的鲷鱼头。旗帜上的太阳刻印迎风飘扬。</t>
  </si>
  <si>
    <t>ship_icon_16_1</t>
  </si>
  <si>
    <t>潜水艇</t>
  </si>
  <si>
    <t>极地潜水号</t>
  </si>
  <si>
    <t>罗的潜水艇，拥有先进的医疗设备。</t>
  </si>
  <si>
    <t>ship_icon_17_1</t>
  </si>
  <si>
    <t>幽灵船</t>
  </si>
  <si>
    <t>据说是会出没在“魔鬼三角地带”的海域中，载着死者的神秘船只。</t>
  </si>
  <si>
    <t>ship_icon_18_1</t>
  </si>
  <si>
    <t>黑桃海盗船</t>
  </si>
  <si>
    <t>艾斯做船长时的海盗船！以黑桃为背景的骷髅图案为其海盗旗标志。</t>
  </si>
  <si>
    <t>ship_icon_20_1</t>
  </si>
  <si>
    <t>飞翔的荷兰人号</t>
  </si>
  <si>
    <t>从数百年前开始就徘徊于海底的传说中的幽灵船。不过实际上是飞翔海盗团的船只。</t>
  </si>
  <si>
    <t>ship_icon_21_1</t>
  </si>
  <si>
    <t>莫比迪克号</t>
  </si>
  <si>
    <t>以船长为首的全体船员无一例外都是猛者。同巨大的母船一起，创立了一个时代。</t>
  </si>
  <si>
    <t>ship_icon_22_1</t>
  </si>
  <si>
    <t>弗拉门戈号</t>
  </si>
  <si>
    <t>多弗拉门戈的战船，火烈鸟般的外形承载着唐吉坷德家族的野心。</t>
  </si>
  <si>
    <t>ship_icon_23_1</t>
  </si>
  <si>
    <t>方舟箴言</t>
  </si>
  <si>
    <t>艾尼路的黄金战船，也是唯一能翱翔于天际的战船。</t>
  </si>
  <si>
    <t>ship_icon_028_1</t>
  </si>
  <si>
    <t>女王妈妈吟唱者</t>
  </si>
  <si>
    <t>BIG·MOM海贼团的旗舰，承载着BIG·MOM的荣耀横行于新世界。</t>
  </si>
  <si>
    <t>ship_icon_31_1</t>
  </si>
  <si>
    <t>前进·路飞前辈号</t>
  </si>
  <si>
    <t>前进路飞前辈号是巴尔托洛梅奥海贼团的海贼船，船长巴尔托洛梅奥是草帽海贼团的头号粉丝</t>
  </si>
  <si>
    <t>ship_icon_32_1</t>
  </si>
  <si>
    <t>米霍克的船</t>
  </si>
  <si>
    <t>形如黑棺的船，鹰眼依靠这艘船横跨大海，独行天下。</t>
  </si>
  <si>
    <t>ship_icon_33_1</t>
  </si>
  <si>
    <t>维多利亚朋克号</t>
  </si>
  <si>
    <t>基德海贼团的战船，恐怖的造型和凶恶的作战风格让敌人闻风丧胆。</t>
  </si>
  <si>
    <t>ship_icon_024_1</t>
  </si>
  <si>
    <t>恶意狼号</t>
  </si>
  <si>
    <t>霍金斯海贼团的战船，船首的稻草人昭示着船长的特殊能力。</t>
  </si>
  <si>
    <t>ship_icon_023_1</t>
  </si>
  <si>
    <t>般城丸号</t>
  </si>
  <si>
    <t>破戒僧海盗团的旗舰，船长“怪僧”乌尔基是十一名超新星之一。</t>
  </si>
  <si>
    <t>ship_icon_026_1</t>
  </si>
  <si>
    <t>火焰坦克号</t>
  </si>
  <si>
    <t>火焰坦克海盗团旗舰，其火力之强大堪比一整支海军舰队</t>
  </si>
  <si>
    <t>ship_icon_027_1</t>
  </si>
  <si>
    <t>艾斯的皮艇</t>
  </si>
  <si>
    <t>艾斯的皮艇，是他驰骋大海，追逐梦想的忠实伙伴。</t>
  </si>
  <si>
    <t>ship_icon_35_1</t>
  </si>
  <si>
    <t>吉贝克之剑号</t>
  </si>
  <si>
    <t>黑胡子海贼团的主力战舰，承载着黑胡子颠覆大海的野心，追逐着最极致的宝藏。</t>
  </si>
  <si>
    <t>ship_icon_36_1</t>
  </si>
  <si>
    <t>战船任选</t>
  </si>
  <si>
    <t>战船任选礼盒</t>
  </si>
  <si>
    <t>从风·格拉玛号、雷德·佛斯号、九蛇海盗船、幽灵船、黑桃海盗船中任选一个战船。</t>
  </si>
  <si>
    <t>item_box_10</t>
  </si>
  <si>
    <t>1:1001,122015,1;1001,122013,1;1001,122012,1;1001,122019,1;1001,122020,1</t>
  </si>
  <si>
    <t>阵法任选</t>
  </si>
  <si>
    <t>阵法任选礼盒</t>
  </si>
  <si>
    <t>从激进之阵、曙光之阵、元素之阵、冲击之阵、专注之阵中任选一个阵法图纸。</t>
  </si>
  <si>
    <t>1:1001,233034,1;1001,233028,1;1001,233032,1;1001,233030,1;1001,233033,1</t>
  </si>
  <si>
    <t>初级经验卷轴</t>
  </si>
  <si>
    <t>记录角色冒险经历的初级经验卷轴，使用后可增加角色500点角色经验。</t>
  </si>
  <si>
    <t>item_2001</t>
  </si>
  <si>
    <t>copy|1;mallshop|1;npcshop|1</t>
  </si>
  <si>
    <t>强者挑战|12</t>
  </si>
  <si>
    <t>剧情回顾|从剧情回顾获得。;商城购买|商城购买获得。;NPC商店购买|NPC商店购买获得。</t>
  </si>
  <si>
    <t>主要产出途径：&lt;color=#ba3901&gt;经验副本&lt;/color&gt;  &lt;color=#ba3901&gt;剧情回顾&lt;/color&gt;</t>
  </si>
  <si>
    <t>中级经验卷轴</t>
  </si>
  <si>
    <t>记录角色冒险经历的中级经验卷轴，使用后可增加角色1500点角色经验。</t>
  </si>
  <si>
    <t>item_3001</t>
  </si>
  <si>
    <t>高级经验卷轴</t>
  </si>
  <si>
    <t>记录角色冒险经历的高级经验卷轴，使用后可增加角色3000点角色经验。</t>
  </si>
  <si>
    <t>item_4001</t>
  </si>
  <si>
    <t>主要产出途径：&lt;color=#ba3901&gt;经验副本&lt;/color&gt;</t>
  </si>
  <si>
    <t>超级经验卷轴</t>
  </si>
  <si>
    <t>记录角色冒险经历的超级经验卷轴，使用后增加角色10000点角色经验。</t>
  </si>
  <si>
    <t>item_5001</t>
  </si>
  <si>
    <t>奥义经验卷轴</t>
  </si>
  <si>
    <t>记录角色冒险经历的奥义经验卷轴，使用后增加角色30000点角色经验。</t>
  </si>
  <si>
    <t>item_261001</t>
  </si>
  <si>
    <t>item_1</t>
  </si>
  <si>
    <t>低级精炼石</t>
  </si>
  <si>
    <t>初级精炼石</t>
  </si>
  <si>
    <t>稀有的金属矿石，可以用于提高装备精炼等级。</t>
  </si>
  <si>
    <t>item_2002</t>
  </si>
  <si>
    <t>航海远征|9;剧情回顾|4</t>
  </si>
  <si>
    <t>主要产出途径：&lt;color=#ba3901&gt;剧情回顾&lt;/color&gt;   &lt;color=#ba3901&gt;声望商店&lt;/color&gt;</t>
  </si>
  <si>
    <t>中级精炼石</t>
  </si>
  <si>
    <t>item_3002</t>
  </si>
  <si>
    <t>高级精炼石</t>
  </si>
  <si>
    <t>item_4002</t>
  </si>
  <si>
    <t>超级精炼石</t>
  </si>
  <si>
    <t>item_5002</t>
  </si>
  <si>
    <t>重铸符文石</t>
  </si>
  <si>
    <t>由工匠们制造的刻有符号的石头，可以用于重新鉴定装备属性。</t>
  </si>
  <si>
    <t>item_6002</t>
  </si>
  <si>
    <t>商城购买|#42</t>
  </si>
  <si>
    <t>天梯商城|从天梯商城购买获得。;商城购买|彩钻商城购买获得。</t>
  </si>
  <si>
    <t>低级装备超载石</t>
  </si>
  <si>
    <t>低级的超载重铸充能道具，使用后可立即填充30%的超载重铸充能</t>
  </si>
  <si>
    <t>item_equipstone1</t>
  </si>
  <si>
    <t>中级装备超载石</t>
  </si>
  <si>
    <t>中级的超载重铸充能道具，使用后可立即填充50%的超载重铸充能</t>
  </si>
  <si>
    <t>item_equipstone2</t>
  </si>
  <si>
    <t>高级装备超载石</t>
  </si>
  <si>
    <t>高级的超载重铸充能道具，使用后可立即填充80%的超载重铸充能</t>
  </si>
  <si>
    <t>item_equipstone3</t>
  </si>
  <si>
    <t>精钢石</t>
  </si>
  <si>
    <t>由珍稀矿石淬炼而成的精钢石，可用于40级装备的宝石打孔。</t>
  </si>
  <si>
    <t>item_2004</t>
  </si>
  <si>
    <t>首领悬赏|20</t>
  </si>
  <si>
    <t>主要产出途径：&lt;color=#ba3901&gt;航海远征&lt;/color&gt;</t>
  </si>
  <si>
    <t>海蓝石</t>
  </si>
  <si>
    <t>由珍稀矿石淬炼而成的海蓝石，可用于50至60级装备的宝石打孔。</t>
  </si>
  <si>
    <t>item_3004</t>
  </si>
  <si>
    <t>钢岩石</t>
  </si>
  <si>
    <t>由珍稀矿石淬炼而成的钢岩石，可用于80级装备的宝石打孔。</t>
  </si>
  <si>
    <t>item_4004</t>
  </si>
  <si>
    <t>圣辉石</t>
  </si>
  <si>
    <t>由珍稀矿石淬炼而成的圣辉石，可用于100级装备的宝石打孔。</t>
  </si>
  <si>
    <t>item_5004</t>
  </si>
  <si>
    <t>精淬石</t>
  </si>
  <si>
    <t>稀有金属炼成的晶石，用于装备的精淬。</t>
  </si>
  <si>
    <t>item_8004</t>
  </si>
  <si>
    <t>古铜战魂</t>
  </si>
  <si>
    <t>承载着强大海上战士的信念，用于R品质和SR品质角色超越。</t>
  </si>
  <si>
    <t>item_0214011</t>
  </si>
  <si>
    <t>主要产出途径：&lt;color=#ba3901&gt;角色传记&lt;/color&gt;   &lt;color=#ba3901&gt;天梯商店&lt;/color&gt;</t>
  </si>
  <si>
    <t>黄金战魂</t>
  </si>
  <si>
    <t>承载着英勇海上战士的信念，用于SSR品质角色超越。</t>
  </si>
  <si>
    <t>item_0215011</t>
  </si>
  <si>
    <t>主要产出途径：&lt;color=#ba3901&gt;角色传记&lt;/color&gt; &lt;color=#ba3901&gt;天梯商店&lt;/color&gt;</t>
  </si>
  <si>
    <t>荣耀之证</t>
  </si>
  <si>
    <t>多用于嘉奖伟大的海上战士，代表着无上的荣誉，是用于角色晋升的必备道具。</t>
  </si>
  <si>
    <t>item_0216011</t>
  </si>
  <si>
    <t>荣耀之石</t>
  </si>
  <si>
    <t>多用于嘉奖优秀的海上战士，代表着无上的荣誉，是用于角色晋升的必备道具。</t>
  </si>
  <si>
    <t>item_214017</t>
  </si>
  <si>
    <t>一袋金币</t>
  </si>
  <si>
    <t>一小袋鼓鼓的金币，开启获得500金币。</t>
  </si>
  <si>
    <t>item_12</t>
  </si>
  <si>
    <t>4,0,500</t>
  </si>
  <si>
    <t>一小袋鼓鼓的金币，开启获得2500金币。</t>
  </si>
  <si>
    <t>4,0,2500</t>
  </si>
  <si>
    <t>一大袋鼓鼓的金币，开启获得50000金币。</t>
  </si>
  <si>
    <t>4,0,50000</t>
  </si>
  <si>
    <t>一大袋鼓鼓的金币，开启获得100000金币。</t>
  </si>
  <si>
    <t>4,0,100000</t>
  </si>
  <si>
    <t>一袋蓝钻</t>
  </si>
  <si>
    <t>一小袋鼓鼓的蓝钻，开启获得50蓝钻。</t>
  </si>
  <si>
    <t>item_16</t>
  </si>
  <si>
    <t>3,0,50</t>
  </si>
  <si>
    <t>一袋金块</t>
  </si>
  <si>
    <t>一小袋鼓鼓的金块，开启获得5000金块。</t>
  </si>
  <si>
    <t>item_23</t>
  </si>
  <si>
    <t>5,0,5000</t>
  </si>
  <si>
    <t>一大袋鼓鼓的蓝钻，开启获得500蓝钻。</t>
  </si>
  <si>
    <t>3,0,500</t>
  </si>
  <si>
    <t>一大袋鼓鼓的金块，开启获得100000金块。</t>
  </si>
  <si>
    <t>5,0,100000</t>
  </si>
  <si>
    <t>一大袋鼓鼓的蓝钻，开启获得200蓝钻。</t>
  </si>
  <si>
    <t>3,0,200</t>
  </si>
  <si>
    <t>item_box_08</t>
  </si>
  <si>
    <t>1902,0,50</t>
  </si>
  <si>
    <t>初级秘传书</t>
  </si>
  <si>
    <t>记载如何更好发掘自身潜力的初级书籍，使用后角色获得2技能点数。</t>
  </si>
  <si>
    <t>item_2007</t>
  </si>
  <si>
    <t>actiraid|1</t>
  </si>
  <si>
    <t>航海远征|9;活动副本|5</t>
  </si>
  <si>
    <t>活动副本|秘传副本获得。</t>
  </si>
  <si>
    <t>主要产出途径：&lt;color=#ba3901&gt;秘传副本&lt;/color&gt;</t>
  </si>
  <si>
    <t>中级秘传书</t>
  </si>
  <si>
    <t>记载如何更好发掘自身潜力的中级书籍，使用后角色获得4技能点数。</t>
  </si>
  <si>
    <t>item_3007</t>
  </si>
  <si>
    <t>主要产出途径：&lt;color=#ba3901&gt;秘传副本&lt;/color&gt;  &lt;color=#ba3901&gt;声望商店&lt;/color&gt;</t>
  </si>
  <si>
    <t>高级秘传书</t>
  </si>
  <si>
    <t>记载如何更好发掘自身潜力的高级书籍，使用后角色获得6技能点数。</t>
  </si>
  <si>
    <t>item_4007</t>
  </si>
  <si>
    <t>奥义秘传书</t>
  </si>
  <si>
    <t>记载如何更好发掘自身潜力的奥义书籍，使用后角色获得8技能点数。</t>
  </si>
  <si>
    <t>item_5007</t>
  </si>
  <si>
    <t>觉醒秘传书</t>
  </si>
  <si>
    <t>晋升后使用的秘传书，使用后角色获得10技能点数。</t>
  </si>
  <si>
    <t>item_219020</t>
  </si>
  <si>
    <t>活动获得</t>
  </si>
  <si>
    <t>极意秘传书</t>
  </si>
  <si>
    <t>记载如何更好发掘自身潜力的极意书籍，使用后角色获得2技能点数。</t>
  </si>
  <si>
    <t>item_6007</t>
  </si>
  <si>
    <t>英雄之石</t>
  </si>
  <si>
    <t>由多种稀有的矿石熔炼而成的英雄之石，用于装备精炼。</t>
  </si>
  <si>
    <t>item_4003</t>
  </si>
  <si>
    <t>copy|5;copy|6</t>
  </si>
  <si>
    <t>航海远征|9</t>
  </si>
  <si>
    <t>剧情回顾|从第二章简单第一话获得。;剧情回顾|从第二章简单第二话获得。</t>
  </si>
  <si>
    <t>主要产出途径：&lt;color=#ba3901&gt;声望商店&lt;/color&gt;</t>
  </si>
  <si>
    <t>技能重置书</t>
  </si>
  <si>
    <t>记录着神秘信息的书本，可以使角色忘记学过的技能，重置角色所有的技能点。</t>
  </si>
  <si>
    <t>item_4008</t>
  </si>
  <si>
    <t>主要产出途径：&lt;color=#ba3901&gt;商城购买&lt;/color&gt;</t>
  </si>
  <si>
    <t>遗忘之书</t>
  </si>
  <si>
    <t>玩家改名卡</t>
  </si>
  <si>
    <t>拥有神秘力量的卡片，可以用于更改冒险者的名字。</t>
  </si>
  <si>
    <t>item_4010</t>
  </si>
  <si>
    <t>改名卡</t>
  </si>
  <si>
    <t>普通招募券</t>
  </si>
  <si>
    <t>普通的酒馆招募券，可以在酒馆进行普通招募。</t>
  </si>
  <si>
    <t>item_4011</t>
  </si>
  <si>
    <t>主要产出途径：&lt;color=#ba3901&gt;角色传记&lt;/color&gt;</t>
  </si>
  <si>
    <t>普通抽卡券</t>
  </si>
  <si>
    <t>强者招募券</t>
  </si>
  <si>
    <t>高级的酒馆使用券，可以在酒馆进行强者招募。</t>
  </si>
  <si>
    <t>item_5011</t>
  </si>
  <si>
    <t>航线模拟战|33</t>
  </si>
  <si>
    <t>高级抽卡券(天塌了也不改ID的神奇道具）</t>
  </si>
  <si>
    <t>精选招募券</t>
  </si>
  <si>
    <t>精选的酒馆使用券，可以在酒馆进行精选招募。</t>
  </si>
  <si>
    <t>item_5012</t>
  </si>
  <si>
    <t>夺宝券</t>
  </si>
  <si>
    <t>高级的夺宝券，可以在拼图活动中抽取拼图碎片。</t>
  </si>
  <si>
    <t>UI_pintu</t>
  </si>
  <si>
    <t>晋升招募券</t>
  </si>
  <si>
    <t>精致的酒馆使用券，可以在酒馆进行晋升招募。（80级及以上玩家可进行晋升招募）</t>
  </si>
  <si>
    <t>item_5013</t>
  </si>
  <si>
    <t>赐福符</t>
  </si>
  <si>
    <t>节日活动道具，可以在家园的樱花树下赐福</t>
  </si>
  <si>
    <t>item_5014</t>
  </si>
  <si>
    <t>限定招募券</t>
  </si>
  <si>
    <t>限定招募的使用券，可以在酒馆进行限定招募。</t>
  </si>
  <si>
    <t>item_5015</t>
  </si>
  <si>
    <t>主要产出途径：&lt;color=#ba3901&gt;付费&lt;/color&gt;</t>
  </si>
  <si>
    <t>UR招募券</t>
  </si>
  <si>
    <t>限定UR角色招募券，可在UR招募中进行角色招募。</t>
  </si>
  <si>
    <t>item_5018</t>
  </si>
  <si>
    <t>电话虫</t>
  </si>
  <si>
    <t>向全世界发布信息的电话虫，使用后可以让所有的玩家听到自己的声音。</t>
  </si>
  <si>
    <t>item_4012</t>
  </si>
  <si>
    <t>珍珠</t>
  </si>
  <si>
    <t>增加角色100点亲密度。</t>
  </si>
  <si>
    <t>item_221001</t>
  </si>
  <si>
    <t>幻彩水晶</t>
  </si>
  <si>
    <t>增加角色150点亲密度。</t>
  </si>
  <si>
    <t>item_24</t>
  </si>
  <si>
    <t>冒险指南</t>
  </si>
  <si>
    <t>增加角色200点亲密度。</t>
  </si>
  <si>
    <t>item_11</t>
  </si>
  <si>
    <t>荣誉勋章</t>
  </si>
  <si>
    <t>增加角色400点亲密度。</t>
  </si>
  <si>
    <t>item_12000003</t>
  </si>
  <si>
    <t>公会改名卡</t>
  </si>
  <si>
    <t>可以用于更改公会名称的卡片，仅公会会长可以使用；该道具与公会管理员对话使用。</t>
  </si>
  <si>
    <t>item_214050</t>
  </si>
  <si>
    <t>装备精炼提升道具</t>
  </si>
  <si>
    <t>古铜锭</t>
  </si>
  <si>
    <t>少量提升精炼成功率。</t>
  </si>
  <si>
    <t>item_212014</t>
  </si>
  <si>
    <t>锡铁锭</t>
  </si>
  <si>
    <t>部分提升精炼成功率。</t>
  </si>
  <si>
    <t>item_213014</t>
  </si>
  <si>
    <t>精金锭</t>
  </si>
  <si>
    <t>较高提升精炼成功率。</t>
  </si>
  <si>
    <t>item_214014</t>
  </si>
  <si>
    <t>限时铸造券</t>
  </si>
  <si>
    <t>在限时武器店使用的铸造券，可以通过限时铸造获得装备。</t>
  </si>
  <si>
    <t>item_215015</t>
  </si>
  <si>
    <t>限时锻造券</t>
  </si>
  <si>
    <t>船只加点</t>
  </si>
  <si>
    <t>初级改造图纸</t>
  </si>
  <si>
    <t>增加战船1点改造点数。</t>
  </si>
  <si>
    <t>item_212016</t>
  </si>
  <si>
    <t>中级改造图纸</t>
  </si>
  <si>
    <t>增加战船2点改造点数。</t>
  </si>
  <si>
    <t>item_213016</t>
  </si>
  <si>
    <t>高级改造图纸</t>
  </si>
  <si>
    <t>增加战船3点改造点数。</t>
  </si>
  <si>
    <t>item_214016</t>
  </si>
  <si>
    <t>超级改造图纸</t>
  </si>
  <si>
    <t>增加战船5点改造点数。</t>
  </si>
  <si>
    <t>item_215016</t>
  </si>
  <si>
    <t>黄金之匙</t>
  </si>
  <si>
    <t>可以用于开启黄金试炼的钥匙，每次开启时间持续20分钟。</t>
  </si>
  <si>
    <t>item_24002</t>
  </si>
  <si>
    <t>勇者之匙</t>
  </si>
  <si>
    <t>可以用于开启勇者试炼的钥匙，每次开启时间持续20分钟。</t>
  </si>
  <si>
    <t>item_24001</t>
  </si>
  <si>
    <t>克比碎片</t>
  </si>
  <si>
    <t>可比碎片</t>
  </si>
  <si>
    <t>记载可比经历的碎片，集齐10个可合成可比。</t>
  </si>
  <si>
    <t>hero_2d_1001</t>
  </si>
  <si>
    <t>gethero</t>
  </si>
  <si>
    <t>抽卡获得|从商城抽卡获得。</t>
  </si>
  <si>
    <t>斧手蒙卡碎片</t>
  </si>
  <si>
    <t>摩根碎片</t>
  </si>
  <si>
    <t>记载摩根经历的碎片，集齐10个可合成摩根。</t>
  </si>
  <si>
    <t>hero_2d_1002</t>
  </si>
  <si>
    <t>卡巴奇碎片</t>
  </si>
  <si>
    <t>记载卡巴奇经历的碎片，集齐10个可合成卡巴奇。</t>
  </si>
  <si>
    <t>hero_2d_1003</t>
  </si>
  <si>
    <t>克洛碎片</t>
  </si>
  <si>
    <t>记载克洛经历的碎片，集齐10个可合成克洛。</t>
  </si>
  <si>
    <t>hero_2d_1004</t>
  </si>
  <si>
    <t>强高碎片</t>
  </si>
  <si>
    <t>记载强高经历的碎片，集齐10个可合成强高。</t>
  </si>
  <si>
    <t>hero_2d_1005</t>
  </si>
  <si>
    <t>克里克碎片</t>
  </si>
  <si>
    <t>记载克里克经历的碎片，集齐10个可合成克里克。</t>
  </si>
  <si>
    <t>hero_2d_1006</t>
  </si>
  <si>
    <t>阿金碎片</t>
  </si>
  <si>
    <t>记载阿金经历的碎片，集齐10个可合成阿金。</t>
  </si>
  <si>
    <t>hero_2d_1007</t>
  </si>
  <si>
    <t>帕鲁碎片</t>
  </si>
  <si>
    <t>记载帕鲁经历的碎片，集齐10个可合成帕鲁。</t>
  </si>
  <si>
    <t>hero_2d_1008</t>
  </si>
  <si>
    <t>阿龙碎片</t>
  </si>
  <si>
    <t>记载阿龙经历的碎片，集齐10个可合成阿龙。</t>
  </si>
  <si>
    <t>hero_2d_1009</t>
  </si>
  <si>
    <t>阿八碎片</t>
  </si>
  <si>
    <t>小八碎片</t>
  </si>
  <si>
    <t>记载小八经历的碎片，集齐10个可合成小八。</t>
  </si>
  <si>
    <t>hero_2d_1010</t>
  </si>
  <si>
    <t>薇薇碎片</t>
  </si>
  <si>
    <t>记载薇薇经历的碎片，集齐10个可合成薇薇。</t>
  </si>
  <si>
    <t>hero_2d_1011</t>
  </si>
  <si>
    <t>Mr.5碎片</t>
  </si>
  <si>
    <t>记载Mr.5经历的碎片，集齐10个可合成Mr.5。</t>
  </si>
  <si>
    <t>hero_2d_1012</t>
  </si>
  <si>
    <t>瓦尔波碎片</t>
  </si>
  <si>
    <t>瓦波尔碎片</t>
  </si>
  <si>
    <t>记载瓦波尔经历的碎片，集齐10个可合成瓦波尔。</t>
  </si>
  <si>
    <t>hero_2d_1013</t>
  </si>
  <si>
    <t>Mr.4碎片</t>
  </si>
  <si>
    <t>记载Mr.4经历的碎片，集齐10个可合成Mr.4。</t>
  </si>
  <si>
    <t>hero_2d_1014</t>
  </si>
  <si>
    <t>Miss.黄金周碎片</t>
  </si>
  <si>
    <t>Ms.黄金周碎片</t>
  </si>
  <si>
    <t>记载Ms.黄金周经历的碎片，集齐10个可合成Ms.黄金周。</t>
  </si>
  <si>
    <t>hero_2d_1015</t>
  </si>
  <si>
    <t>约撒碎片</t>
  </si>
  <si>
    <t>记载约撒经历的碎片，集齐10个可合成约撒。</t>
  </si>
  <si>
    <t>hero_2d_21031</t>
  </si>
  <si>
    <t>路飞碎片</t>
  </si>
  <si>
    <t>记载路飞经历的碎片，集齐30个可合成路飞。</t>
  </si>
  <si>
    <t>hero_2d_2001</t>
  </si>
  <si>
    <t>佐罗碎片</t>
  </si>
  <si>
    <t>记载佐罗经历的碎片，集齐30个可合成佐罗。</t>
  </si>
  <si>
    <t>hero_2d_2002</t>
  </si>
  <si>
    <t>奈美碎片</t>
  </si>
  <si>
    <t>记载奈美经历的碎片，集齐30个可合成奈美。</t>
  </si>
  <si>
    <t>hero_2d_2003</t>
  </si>
  <si>
    <t>撒谎布碎片</t>
  </si>
  <si>
    <t>记载撒谎布经历的碎片，集齐30个可合成撒谎布。</t>
  </si>
  <si>
    <t>hero_2d_2004</t>
  </si>
  <si>
    <t>山智碎片</t>
  </si>
  <si>
    <t>记载山智经历的碎片，集齐30个可合成山智。</t>
  </si>
  <si>
    <t>hero_2d_2005</t>
  </si>
  <si>
    <t>乔巴碎片</t>
  </si>
  <si>
    <t>记载乔巴经历的碎片，集齐30个可合成乔巴。</t>
  </si>
  <si>
    <t>hero_2d_2006</t>
  </si>
  <si>
    <t>罗宾碎片</t>
  </si>
  <si>
    <t>记载罗宾经历的碎片，集齐30个可合成罗宾。</t>
  </si>
  <si>
    <t>hero_2d_2007</t>
  </si>
  <si>
    <t>弗兰奇碎片</t>
  </si>
  <si>
    <t>记载弗兰奇经历的碎片，集齐30个可合成弗兰奇。</t>
  </si>
  <si>
    <t>hero_2d_2008</t>
  </si>
  <si>
    <t>布鲁克碎片</t>
  </si>
  <si>
    <t>记载布鲁克经历的碎片，集齐30个可合成布鲁克。</t>
  </si>
  <si>
    <t>hero_2d_2009</t>
  </si>
  <si>
    <t>巴基碎片</t>
  </si>
  <si>
    <t>巴奇碎片</t>
  </si>
  <si>
    <t>记载巴奇经历的碎片，集齐30个可合成巴奇。</t>
  </si>
  <si>
    <t>hero_2d_2010</t>
  </si>
  <si>
    <t>斯摩格碎片</t>
  </si>
  <si>
    <t>烟鬼碎片</t>
  </si>
  <si>
    <t>记载烟鬼经历的碎片，集齐30个可合成烟鬼。</t>
  </si>
  <si>
    <t>hero_2d_2011</t>
  </si>
  <si>
    <t>塔西琪碎片</t>
  </si>
  <si>
    <t>塔希米碎片</t>
  </si>
  <si>
    <t>记载塔希米经历的碎片，集齐30个可合成塔希米。</t>
  </si>
  <si>
    <t>hero_2d_2012</t>
  </si>
  <si>
    <t>Mr.1碎片</t>
  </si>
  <si>
    <t>记载Mr.1经历的碎片，集齐30个可合成Mr.1。</t>
  </si>
  <si>
    <t>hero_2d_2013</t>
  </si>
  <si>
    <t>Mr.2碎片</t>
  </si>
  <si>
    <t>记载Mr.2经历的碎片，集齐30个可合成Mr.2。</t>
  </si>
  <si>
    <t>hero_2d_2014</t>
  </si>
  <si>
    <t>Mr.3碎片</t>
  </si>
  <si>
    <t>记载Mr.3经历的碎片，集齐30个可合成Mr.3。</t>
  </si>
  <si>
    <t>hero_2d_2015</t>
  </si>
  <si>
    <t>Miss.双手指碎片</t>
  </si>
  <si>
    <t>Ms.双手指碎片</t>
  </si>
  <si>
    <t>记载Ms.双手指经历的碎片，集齐30个可合成Ms.双手指。</t>
  </si>
  <si>
    <t>hero_2d_2016</t>
  </si>
  <si>
    <t>贝拉米碎片</t>
  </si>
  <si>
    <t>贝拉密碎片</t>
  </si>
  <si>
    <t>记载贝拉密经历的碎片，集齐30个可合成贝拉密。</t>
  </si>
  <si>
    <t>hero_2d_2017</t>
  </si>
  <si>
    <t>瓦帕碎片</t>
  </si>
  <si>
    <t>记载瓦帕经历的碎片，集齐30个可合成瓦帕。</t>
  </si>
  <si>
    <t>hero_2d_2018</t>
  </si>
  <si>
    <t>杰布拉碎片</t>
  </si>
  <si>
    <t>记载杰布拉经历的碎片，集齐30个可合成杰布拉。</t>
  </si>
  <si>
    <t>hero_2d_2019</t>
  </si>
  <si>
    <t>佳妮法碎片</t>
  </si>
  <si>
    <t>记载佳妮法经历的碎片，集齐30个可合成佳妮法。</t>
  </si>
  <si>
    <t>hero_2d_2020</t>
  </si>
  <si>
    <t>卡古碎片</t>
  </si>
  <si>
    <t>记载卡古经历的碎片，集齐30个可合成卡古。</t>
  </si>
  <si>
    <t>hero_2d_2021</t>
  </si>
  <si>
    <t>罗布路奇碎片</t>
  </si>
  <si>
    <t>鲁兹碎片</t>
  </si>
  <si>
    <t>记载罗布·鲁兹经历的碎片，集齐30个可合成鲁兹。</t>
  </si>
  <si>
    <t>hero_2d_2022</t>
  </si>
  <si>
    <t>阿布萨罗姆碎片</t>
  </si>
  <si>
    <t>记载阿布萨罗姆经历的碎片，集齐30个可合成阿布萨罗姆。</t>
  </si>
  <si>
    <t>hero_2d_2023</t>
  </si>
  <si>
    <t>豪格巴克碎片</t>
  </si>
  <si>
    <t>记载豪格巴克经历的碎片，集齐30个可合成豪格巴克。</t>
  </si>
  <si>
    <t>hero_2d_2024</t>
  </si>
  <si>
    <t>佩罗娜碎片</t>
  </si>
  <si>
    <t>记载佩罗娜经历的碎片，集齐30个可合成佩罗娜。</t>
  </si>
  <si>
    <t>hero_2d_2025</t>
  </si>
  <si>
    <t>龙马碎片</t>
  </si>
  <si>
    <t>记载龙马经历的碎片，集齐30个可合成龙马。</t>
  </si>
  <si>
    <t>hero_2d_2026</t>
  </si>
  <si>
    <t>贝宝碎片</t>
  </si>
  <si>
    <t>记载贝宝经历的碎片，集齐30个可合成贝宝。</t>
  </si>
  <si>
    <t>hero_2d_2027</t>
  </si>
  <si>
    <t>战桃丸碎片</t>
  </si>
  <si>
    <t>记载战桃丸经历的碎片，集齐50个可合成战桃丸。</t>
  </si>
  <si>
    <t>hero_2d_2028</t>
  </si>
  <si>
    <t>克洛克达尔碎片</t>
  </si>
  <si>
    <t>沙·鳄鱼碎片</t>
  </si>
  <si>
    <t>记载沙·鳄鱼经历的碎片，集齐50个可合成沙·鳄鱼。</t>
  </si>
  <si>
    <t>hero_2d_3001</t>
  </si>
  <si>
    <t>艾尼路碎片</t>
  </si>
  <si>
    <t>记载艾尼路经历的碎片，集齐50个可合成艾尼路。</t>
  </si>
  <si>
    <t>hero_2d_3002</t>
  </si>
  <si>
    <t>青雉碎片</t>
  </si>
  <si>
    <t>记载青雉经历的碎片，集齐50个可合成青雉。</t>
  </si>
  <si>
    <t>hero_2d_3003</t>
  </si>
  <si>
    <t>蒙奇·D·戈普碎片</t>
  </si>
  <si>
    <t>戈普碎片</t>
  </si>
  <si>
    <t>记载戈普经历的碎片，集齐50个可合成戈普。</t>
  </si>
  <si>
    <t>hero_2d_3004</t>
  </si>
  <si>
    <t>月光·莫利亚碎片</t>
  </si>
  <si>
    <t>莫利亚碎片</t>
  </si>
  <si>
    <t>记载莫利亚经历的碎片，集齐50个可合成莫利亚。</t>
  </si>
  <si>
    <t>hero_2d_3005</t>
  </si>
  <si>
    <t>大熊碎片</t>
  </si>
  <si>
    <t>记载大熊经历的碎片，集齐50个可合成大熊。</t>
  </si>
  <si>
    <t>hero_2d_3006</t>
  </si>
  <si>
    <t>波尔萨利诺碎片</t>
  </si>
  <si>
    <t>黄猿碎片</t>
  </si>
  <si>
    <t>记载黄猿经历的碎片，集齐50个可合成黄猿。</t>
  </si>
  <si>
    <t>hero_2d_3007</t>
  </si>
  <si>
    <t>波特夹斯·D·艾斯碎片</t>
  </si>
  <si>
    <t>艾斯碎片</t>
  </si>
  <si>
    <t>记载艾斯经历的碎片，集齐50个可合成艾斯。</t>
  </si>
  <si>
    <t>hero_2d_3008</t>
  </si>
  <si>
    <t>萨卡斯基碎片</t>
  </si>
  <si>
    <t>赤犬碎片</t>
  </si>
  <si>
    <t>记载赤犬经历的碎片，集齐50个可合成赤犬。</t>
  </si>
  <si>
    <t>hero_2d_3009</t>
  </si>
  <si>
    <t>杰拉基尔·米霍克碎片</t>
  </si>
  <si>
    <t>米霍克碎片</t>
  </si>
  <si>
    <t>记载米霍克经历的碎片，集齐50个可合成米霍克。</t>
  </si>
  <si>
    <t>hero_2d_3010</t>
  </si>
  <si>
    <t>路奇碎片</t>
  </si>
  <si>
    <t>记载鲁兹经历的碎片，集齐50个可合成鲁兹。</t>
  </si>
  <si>
    <t>hero_2d_3011</t>
  </si>
  <si>
    <t>甚平碎片</t>
  </si>
  <si>
    <t>记载甚平经历的碎片，集齐50个可合成甚平。</t>
  </si>
  <si>
    <t>hero_2d_3012</t>
  </si>
  <si>
    <t>女帝碎片</t>
  </si>
  <si>
    <t>汉库珂碎片</t>
  </si>
  <si>
    <t>记载汉库珂经历的碎片，集齐50个可合成汉库珂。</t>
  </si>
  <si>
    <t>hero_2d_3013</t>
  </si>
  <si>
    <t>罗碎片</t>
  </si>
  <si>
    <t>记载罗经历的碎片，集齐50个可合成罗。</t>
  </si>
  <si>
    <t>hero_2d_3014</t>
  </si>
  <si>
    <t>基德碎片</t>
  </si>
  <si>
    <t>记载基德经历的碎片，集齐50个可合成基德。</t>
  </si>
  <si>
    <t>hero_2d_3015</t>
  </si>
  <si>
    <t>雷利碎片</t>
  </si>
  <si>
    <t>记载雷利经历的碎片，集齐50个可合成雷利。</t>
  </si>
  <si>
    <t>hero_2d_3016</t>
  </si>
  <si>
    <t>战国碎片</t>
  </si>
  <si>
    <t>记载战国经历的碎片，集齐50个可合成战国。</t>
  </si>
  <si>
    <t>hero_2d_3017</t>
  </si>
  <si>
    <t>萨卡斯基</t>
  </si>
  <si>
    <t>麦哲伦碎片</t>
  </si>
  <si>
    <t>记载麦哲伦经历的碎片，集齐50个可合成麦哲伦。</t>
  </si>
  <si>
    <t>hero_2d_3018</t>
  </si>
  <si>
    <t>伊娃碎片</t>
  </si>
  <si>
    <t>伊娃科夫碎片</t>
  </si>
  <si>
    <t>记载伊娃科夫经历的碎片，集齐50个可合成伊娃科夫。</t>
  </si>
  <si>
    <t>hero_2d_3019</t>
  </si>
  <si>
    <t>乔兹碎片</t>
  </si>
  <si>
    <t>记载乔兹经历的碎片，集齐50个可合成乔兹。</t>
  </si>
  <si>
    <t>hero_2d_3020</t>
  </si>
  <si>
    <t>白胡子碎片</t>
  </si>
  <si>
    <t>记载白胡子经历的碎片，集齐50个可合成白胡子。</t>
  </si>
  <si>
    <t>hero_2d_3021</t>
  </si>
  <si>
    <t>马尔高碎片</t>
  </si>
  <si>
    <t>记载马尔高经历的碎片，集齐50个可合成马尔高。</t>
  </si>
  <si>
    <t>hero_2d_3022</t>
  </si>
  <si>
    <t>比斯塔碎片</t>
  </si>
  <si>
    <t>记载比斯塔经历的碎片，集齐50个可合成比斯塔。</t>
  </si>
  <si>
    <t>hero_2d_3023</t>
  </si>
  <si>
    <t>杰克斯碎片</t>
  </si>
  <si>
    <t>记载杰克斯经历的碎片，集齐50个可合成杰克斯。</t>
  </si>
  <si>
    <t>hero_2d_3024</t>
  </si>
  <si>
    <t>新世界撒谎布碎片</t>
  </si>
  <si>
    <t>记载新世界撒谎布经历的碎片，集齐50个可合成新世界撒谎布。</t>
  </si>
  <si>
    <t>hero_2d_3025</t>
  </si>
  <si>
    <t>新世界佐罗碎片</t>
  </si>
  <si>
    <t>记载新世界佐罗经历的碎片，集齐50个可合成新世界佐罗。</t>
  </si>
  <si>
    <t>hero_2d_3026</t>
  </si>
  <si>
    <t>黑胡子碎片</t>
  </si>
  <si>
    <t>记载黑胡子经历的碎片，集齐50个可合成黑胡子。</t>
  </si>
  <si>
    <t>hero_2d_3027</t>
  </si>
  <si>
    <t>新世界奈美</t>
  </si>
  <si>
    <t>新世界奈美碎片</t>
  </si>
  <si>
    <t>记载新世界奈美经历的碎片，集齐50个可合成新世界奈美。</t>
  </si>
  <si>
    <t>hero_2d_3028</t>
  </si>
  <si>
    <t>新世界罗宾</t>
  </si>
  <si>
    <t>新世界罗宾碎片</t>
  </si>
  <si>
    <t>记载新世界罗宾经历的碎片，集齐50个可合成新世界罗宾。</t>
  </si>
  <si>
    <t>hero_2d_3029</t>
  </si>
  <si>
    <t>多弗拉门戈</t>
  </si>
  <si>
    <t>多弗拉门戈碎片</t>
  </si>
  <si>
    <t>记载多弗拉门戈经历的碎片，集齐50个可合成多弗拉门戈。</t>
  </si>
  <si>
    <t>hero_2d_3030</t>
  </si>
  <si>
    <t>新世界路飞碎片</t>
  </si>
  <si>
    <t>记载新世界路飞经历的碎片，集齐50个可合成新世界路飞。</t>
  </si>
  <si>
    <t>hero_2d_3031</t>
  </si>
  <si>
    <t>新世界烟鬼</t>
  </si>
  <si>
    <t>新世界烟鬼碎片</t>
  </si>
  <si>
    <t>记载新世界烟鬼经历的碎片，集齐50个可合成新世界烟鬼。</t>
  </si>
  <si>
    <t>hero_2d_3032</t>
  </si>
  <si>
    <t>新世界塔希米</t>
  </si>
  <si>
    <t>新世界塔希米碎片</t>
  </si>
  <si>
    <t>记载新世界塔希米经历的碎片，集齐50个可合成新世界塔希米。</t>
  </si>
  <si>
    <t>hero_2d_3033</t>
  </si>
  <si>
    <t>锦卫门</t>
  </si>
  <si>
    <t>锦卫门碎片</t>
  </si>
  <si>
    <t>记载锦卫门经历的碎片，集齐50个可合成锦卫门。</t>
  </si>
  <si>
    <t>hero_2d_3034</t>
  </si>
  <si>
    <t>新世界弗兰奇</t>
  </si>
  <si>
    <t>新世界弗兰奇碎片</t>
  </si>
  <si>
    <t>记载新世界弗兰奇经历的碎片，集齐50个可合成新世界弗兰奇。</t>
  </si>
  <si>
    <t>hero_2d_3035</t>
  </si>
  <si>
    <t>新世界布鲁克</t>
  </si>
  <si>
    <t>新世界布鲁克碎片</t>
  </si>
  <si>
    <t>记载新世界布鲁克经历的碎片，集齐50个可合成新世界布鲁克。</t>
  </si>
  <si>
    <t>hero_2d_3036</t>
  </si>
  <si>
    <t>新世界山智</t>
  </si>
  <si>
    <t>新世界山智碎片</t>
  </si>
  <si>
    <t>记载新世界山智经历的碎片，集齐50个可合成新世界山智。</t>
  </si>
  <si>
    <t>hero_2d_3037</t>
  </si>
  <si>
    <t>新世界乔巴</t>
  </si>
  <si>
    <t>新世界乔巴碎片</t>
  </si>
  <si>
    <t>记载新世界乔巴经历的碎片，集齐50个可合成新世界乔巴。</t>
  </si>
  <si>
    <t>hero_2d_3038</t>
  </si>
  <si>
    <t>新世界罗</t>
  </si>
  <si>
    <t>新世界罗碎片</t>
  </si>
  <si>
    <t>记载新世界罗经历的碎片，集齐50个可合成新世界罗。</t>
  </si>
  <si>
    <t>hero_2d_3039</t>
  </si>
  <si>
    <t>藤虎</t>
  </si>
  <si>
    <t>藤虎碎片</t>
  </si>
  <si>
    <t>记载藤虎经历的碎片，集齐50个可合成藤虎。</t>
  </si>
  <si>
    <t>hero_2d_3043</t>
  </si>
  <si>
    <t>卡塔库栗</t>
  </si>
  <si>
    <t>卡塔库栗碎片</t>
  </si>
  <si>
    <t>记载卡塔库栗经历的碎片，集齐50个可合成卡塔库栗。</t>
  </si>
  <si>
    <t>hero_2d_3040</t>
  </si>
  <si>
    <t>凯撒</t>
  </si>
  <si>
    <t>凯撒碎片</t>
  </si>
  <si>
    <t>记载凯撒经历的碎片，集齐50个可合成凯撒。</t>
  </si>
  <si>
    <t>hero_2d_3041</t>
  </si>
  <si>
    <t>萨波</t>
  </si>
  <si>
    <t>萨波碎片</t>
  </si>
  <si>
    <t>记载萨波经历的碎片，集齐50个可合成萨波。</t>
  </si>
  <si>
    <t>hero_2d_3042</t>
  </si>
  <si>
    <t>夏洛特·玲玲</t>
  </si>
  <si>
    <t>夏洛特·玲玲碎片</t>
  </si>
  <si>
    <t>记载夏洛特·玲玲经历的碎片，集齐50个可合成夏洛特·玲玲。</t>
  </si>
  <si>
    <t>hero_2d_3044</t>
  </si>
  <si>
    <t>苏打饼</t>
  </si>
  <si>
    <t>苏打饼碎片</t>
  </si>
  <si>
    <t>记载苏打饼经历的碎片，集齐50个可合成苏打饼。</t>
  </si>
  <si>
    <t>hero_2d_3045</t>
  </si>
  <si>
    <t>奶昔</t>
  </si>
  <si>
    <t>奶昔碎片</t>
  </si>
  <si>
    <t>记载奶昔经历的碎片，集齐50个可合成奶昔。</t>
  </si>
  <si>
    <t>hero_2d_3047</t>
  </si>
  <si>
    <t>凯多</t>
  </si>
  <si>
    <t>凯多碎片</t>
  </si>
  <si>
    <t>记载凯多经历的碎片，集齐50个可合成凯多。</t>
  </si>
  <si>
    <t>hero_2d_3046</t>
  </si>
  <si>
    <t>新世界库赞</t>
  </si>
  <si>
    <t>新世界库赞碎片</t>
  </si>
  <si>
    <t>记载新世界库赞经历的碎片，集齐50个可合成新世界库赞。</t>
  </si>
  <si>
    <t>hero_2d_3049</t>
  </si>
  <si>
    <t>新世界赤犬</t>
  </si>
  <si>
    <t>新世界赤犬碎片</t>
  </si>
  <si>
    <t>记载新世界赤犬经历的碎片，集齐50个可合成新世界赤犬。</t>
  </si>
  <si>
    <t>hero_2d_3050</t>
  </si>
  <si>
    <t>丽久</t>
  </si>
  <si>
    <t>丽久碎片</t>
  </si>
  <si>
    <t>记载丽久经历的碎片，集齐50个可合成丽久。</t>
  </si>
  <si>
    <t>hero_2d_3051</t>
  </si>
  <si>
    <t>新世界路奇碎片</t>
  </si>
  <si>
    <t>新世界鲁兹碎片</t>
  </si>
  <si>
    <t>记载新世界鲁兹经历的碎片，集齐50个可合成新世界鲁兹。</t>
  </si>
  <si>
    <t>hero_2d_3052</t>
  </si>
  <si>
    <t>推进城汉库珂</t>
  </si>
  <si>
    <t>推进城汉库珂碎片</t>
  </si>
  <si>
    <t>记载推进城汉库珂经历的碎片，集齐50个可合成推进城汉库珂。</t>
  </si>
  <si>
    <t>hero_2d_3053</t>
  </si>
  <si>
    <t>巴尔托洛梅奥</t>
  </si>
  <si>
    <t>巴尔托洛梅奥碎片</t>
  </si>
  <si>
    <t>记载巴尔托洛梅奥经历的碎片，集齐50个可合成巴尔托洛梅奥。</t>
  </si>
  <si>
    <t>hero_2d_3054</t>
  </si>
  <si>
    <t>新世界马尔高</t>
  </si>
  <si>
    <t>新世界马尔高碎片</t>
  </si>
  <si>
    <t>记载新世界马尔高经历的碎片，集齐50个可合成新世界马尔高。</t>
  </si>
  <si>
    <t>hero_2d_3055</t>
  </si>
  <si>
    <t>新世界米霍克</t>
  </si>
  <si>
    <t>新世界米霍克碎片</t>
  </si>
  <si>
    <t>记载新世界米霍克经历的碎片，集齐50个可合成新世界米霍克。</t>
  </si>
  <si>
    <t>hero_2d_3056</t>
  </si>
  <si>
    <t>糖糖</t>
  </si>
  <si>
    <t>糖糖碎片</t>
  </si>
  <si>
    <t>记载糖糖经历的碎片，集齐50个可合成糖糖。</t>
  </si>
  <si>
    <t>hero_2d_21238</t>
  </si>
  <si>
    <t>凯文迪修</t>
  </si>
  <si>
    <t>凯文迪修碎片</t>
  </si>
  <si>
    <t>记载凯文迪修经历的碎片，集齐50个可合成凯文迪修。</t>
  </si>
  <si>
    <t>hero_2d_3048</t>
  </si>
  <si>
    <t>光月御殿</t>
  </si>
  <si>
    <t>光月御殿碎片</t>
  </si>
  <si>
    <t>记载光月御殿经历的碎片，集齐50个可合成光月御殿。</t>
  </si>
  <si>
    <t>hero_2d_3057</t>
  </si>
  <si>
    <t>青年雷利</t>
  </si>
  <si>
    <t>青年雷利碎片</t>
  </si>
  <si>
    <t>记载青年雷利经历的碎片，集齐50个可合成青年雷利。</t>
  </si>
  <si>
    <t>hero_2d_3058</t>
  </si>
  <si>
    <t>凯罗特</t>
  </si>
  <si>
    <t>凯罗特碎片</t>
  </si>
  <si>
    <t>记载凯罗特经历的碎片，集齐50个可合成凯罗特。</t>
  </si>
  <si>
    <t>hero_2d_3059</t>
  </si>
  <si>
    <t>阿菊</t>
  </si>
  <si>
    <t>阿菊碎片</t>
  </si>
  <si>
    <t>记载阿菊经历的碎片，集齐50个可合成阿菊。</t>
  </si>
  <si>
    <t>hero_2d_3060_2</t>
  </si>
  <si>
    <t>baby5</t>
  </si>
  <si>
    <t>baby5碎片</t>
  </si>
  <si>
    <t>记载baby5经历的碎片，集齐50个可合成baby5。</t>
  </si>
  <si>
    <t>hero_2d_2029</t>
  </si>
  <si>
    <t>年轻白胡子</t>
  </si>
  <si>
    <t>年轻白胡子碎片</t>
  </si>
  <si>
    <t>记载年轻白胡子经历的碎片，集齐50个可合成年轻白胡子。</t>
  </si>
  <si>
    <t>hero_2d_3061_2</t>
  </si>
  <si>
    <t>新世界佩罗娜碎片</t>
  </si>
  <si>
    <t>记载新世界佩罗娜经历的碎片，集齐50个可合成新世界佩罗娜。</t>
  </si>
  <si>
    <t>hero_2d_3062</t>
  </si>
  <si>
    <t>英雄戈普碎片</t>
  </si>
  <si>
    <t>记载英雄戈普经历的碎片，集齐50个可合成英雄戈普。</t>
  </si>
  <si>
    <t>hero_2d_3063</t>
  </si>
  <si>
    <t>新世界黑胡子碎片</t>
  </si>
  <si>
    <t>记载新世界黑胡子经历的碎片，集齐50个可合成新世界黑胡子。</t>
  </si>
  <si>
    <t>hero_2d_3064</t>
  </si>
  <si>
    <t>犬岚碎片</t>
  </si>
  <si>
    <t>记载犬岚经历的碎片，集齐50个可合成犬岚。</t>
  </si>
  <si>
    <t>hero_2d_3065</t>
  </si>
  <si>
    <t>猫蝮蛇碎片</t>
  </si>
  <si>
    <t>记载猫蝮蛇经历的碎片，集齐50个可合成猫蝮蛇。</t>
  </si>
  <si>
    <t>hero_2d_3066</t>
  </si>
  <si>
    <t>布玲碎片</t>
  </si>
  <si>
    <t>记载布玲经历的碎片，集齐50个可合成布玲。</t>
  </si>
  <si>
    <t>hero_2d_3067</t>
  </si>
  <si>
    <t>霍金斯碎片</t>
  </si>
  <si>
    <t>记载霍金斯经历的碎片，集齐50个可合成霍金斯。</t>
  </si>
  <si>
    <t>hero_2d_3068</t>
  </si>
  <si>
    <t>德雷克碎片</t>
  </si>
  <si>
    <t>记载德雷克经历的碎片，集齐50个可合成德雷克。</t>
  </si>
  <si>
    <t>hero_2d_3069</t>
  </si>
  <si>
    <t>希流碎片</t>
  </si>
  <si>
    <t>记载希流经历的碎片，集齐50个可合成希流。</t>
  </si>
  <si>
    <t>hero_2d_3070</t>
  </si>
  <si>
    <t>大将战国碎片</t>
  </si>
  <si>
    <t>记载大将战国经历的碎片，集齐50个可合成大将战国。</t>
  </si>
  <si>
    <t>hero_2d_3071</t>
  </si>
  <si>
    <t>杰克碎片</t>
  </si>
  <si>
    <t>记载杰克经历的碎片，集齐50个可合成杰克。</t>
  </si>
  <si>
    <t>hero_2d_3073</t>
  </si>
  <si>
    <t>昆因碎片</t>
  </si>
  <si>
    <t>记载昆因经历的碎片，集齐50个可合成昆因。</t>
  </si>
  <si>
    <t>hero_2d_3074</t>
  </si>
  <si>
    <t>大和碎片</t>
  </si>
  <si>
    <t>记载大和经历的碎片，集齐50个可合成大和。</t>
  </si>
  <si>
    <t>hero_2d_3075</t>
  </si>
  <si>
    <t>乌塔碎片</t>
  </si>
  <si>
    <t>记载乌塔经历的碎片，集齐50个可合成乌塔。</t>
  </si>
  <si>
    <t>hero_2d_3076</t>
  </si>
  <si>
    <t>润媞碎片</t>
  </si>
  <si>
    <t>记载润媞经历的碎片，集齐50个可合成润媞。</t>
  </si>
  <si>
    <t>hero_2d_3077</t>
  </si>
  <si>
    <t>烬碎片</t>
  </si>
  <si>
    <t>记载烬经历的碎片，集齐50个可合成烬。</t>
  </si>
  <si>
    <t>hero_2d_3078</t>
  </si>
  <si>
    <t>佩吉旺碎片</t>
  </si>
  <si>
    <t>记载佩吉旺经历的碎片，集齐50个可合成佩吉旺。</t>
  </si>
  <si>
    <t>hero_2d_3079</t>
  </si>
  <si>
    <t>基拉碎片</t>
  </si>
  <si>
    <t>记载基拉经历的碎片，集齐50个可合成基拉。</t>
  </si>
  <si>
    <t>hero_2d_3080</t>
  </si>
  <si>
    <t>新世界基德碎片</t>
  </si>
  <si>
    <t>记载新世界基德经历的碎片，集齐50个可合成新世界基德。</t>
  </si>
  <si>
    <t>hero_2d_3081</t>
  </si>
  <si>
    <t>和之国罗碎片</t>
  </si>
  <si>
    <t>记载和之国罗经历的碎片，集齐50个可合成和之国罗。</t>
  </si>
  <si>
    <t>hero_2d_3082</t>
  </si>
  <si>
    <t>龙人凯多碎片</t>
  </si>
  <si>
    <t>记载龙人凯多经历的碎片，集齐80个可合成龙人凯多。</t>
  </si>
  <si>
    <t>hero_2d_3072</t>
  </si>
  <si>
    <t>花魁阿玲碎片</t>
  </si>
  <si>
    <t>记载花魁阿玲经历的碎片，集齐80个可合成花魁阿玲。</t>
  </si>
  <si>
    <t>hero_2d_3083</t>
  </si>
  <si>
    <t>和之国路飞碎片</t>
  </si>
  <si>
    <t>记载和之国路飞经历的碎片，集齐50个可合成和之国路飞。</t>
  </si>
  <si>
    <t>hero_2d_3084</t>
  </si>
  <si>
    <t>和之国罗宾碎片</t>
  </si>
  <si>
    <t>记载和之国罗宾经历的碎片，集齐50个可合成和之国罗宾。</t>
  </si>
  <si>
    <t>hero_2d_3085</t>
  </si>
  <si>
    <t>和之国山智碎片</t>
  </si>
  <si>
    <t>记载和之国山智经历的碎片，集齐50个可合成和之国山智。</t>
  </si>
  <si>
    <t>hero_2d_3086</t>
  </si>
  <si>
    <t>和之国佐罗碎片</t>
  </si>
  <si>
    <t>记载和之国佐罗经历的碎片，集齐50个可合成和之国佐罗。</t>
  </si>
  <si>
    <t>hero_2d_3087</t>
  </si>
  <si>
    <t>和之国乔巴碎片</t>
  </si>
  <si>
    <t>记载和之国乔巴经历的碎片，集齐50个可合成和之国乔巴。</t>
  </si>
  <si>
    <t>hero_2d_3088</t>
  </si>
  <si>
    <t>和之国撒谎布碎片</t>
  </si>
  <si>
    <t>记载和之国撒谎布经历的碎片，集齐50个可合成和之国撒谎布。</t>
  </si>
  <si>
    <t>hero_2d_3089</t>
  </si>
  <si>
    <t>和之国奈美碎片</t>
  </si>
  <si>
    <t>记载和之国奈美经历的碎片，集齐50个可合成和之国奈美。</t>
  </si>
  <si>
    <t>hero_2d_3090</t>
  </si>
  <si>
    <t>和之国弗兰奇碎片</t>
  </si>
  <si>
    <t>记载和之国弗兰奇经历的碎片，集齐50个可合成和之国弗兰奇。</t>
  </si>
  <si>
    <t>hero_2d_3091</t>
  </si>
  <si>
    <t>和之国布鲁克碎片</t>
  </si>
  <si>
    <t>记载和之国布鲁克经历的碎片，集齐50个可合成和之国布鲁克。</t>
  </si>
  <si>
    <t>hero_2d_3092</t>
  </si>
  <si>
    <t>和之国甚平碎片</t>
  </si>
  <si>
    <t>记载和之国甚平经历的碎片，集齐50个可合成和之国甚平。</t>
  </si>
  <si>
    <t>hero_2d_3093</t>
  </si>
  <si>
    <t>黑色玛利亚碎片</t>
  </si>
  <si>
    <t>记载黑色玛利亚经历的碎片，集齐50个可合成黑色玛利亚。</t>
  </si>
  <si>
    <t>hero_2d_3094</t>
  </si>
  <si>
    <t>罗杰碎片</t>
  </si>
  <si>
    <t>记载罗杰经历的碎片，集齐80个可合成罗杰。</t>
  </si>
  <si>
    <t>hero_2d_3095</t>
  </si>
  <si>
    <t>金狮子西奇碎片</t>
  </si>
  <si>
    <t>记载金狮子西奇经历的碎片，集齐50个可合成金狮子西奇。</t>
  </si>
  <si>
    <t>hero_2d_3096</t>
  </si>
  <si>
    <t>荞麦假面碎片</t>
  </si>
  <si>
    <t>记载荞麦假面经历的碎片，集齐50个可合成荞麦假面。</t>
  </si>
  <si>
    <t>hero_2d_3097</t>
  </si>
  <si>
    <t>绿牛碎片</t>
  </si>
  <si>
    <t>记载绿牛经历的碎片，集齐50个可合成绿牛。</t>
  </si>
  <si>
    <t>hero_2d_3098</t>
  </si>
  <si>
    <t>大口真神大和碎片</t>
  </si>
  <si>
    <t>记载大口真神大和经历的碎片，集齐50个可合成大口真神大和。</t>
  </si>
  <si>
    <t>hero_2d_3099</t>
  </si>
  <si>
    <t>基德与罗碎片</t>
  </si>
  <si>
    <t>记载基德与罗经历的碎片，集齐50个可合成基德与罗。</t>
  </si>
  <si>
    <t>hero_2d_3100</t>
  </si>
  <si>
    <t>邦妮碎片</t>
  </si>
  <si>
    <t>记载邦妮经历的碎片，集齐50个可合成邦妮。</t>
  </si>
  <si>
    <t>hero_2d_3101</t>
  </si>
  <si>
    <t>S-老鹰碎片</t>
  </si>
  <si>
    <t>记载S-老鹰经历的碎片，集齐50个可合成S-老鹰。</t>
  </si>
  <si>
    <t>hero_2d_3102</t>
  </si>
  <si>
    <t>S-蛇女碎片</t>
  </si>
  <si>
    <t>记载S-蛇女经历的碎片，集齐50个可合成S-蛇女。</t>
  </si>
  <si>
    <t>hero_2d_3103</t>
  </si>
  <si>
    <t>未来岛卡古碎片</t>
  </si>
  <si>
    <t>记载未来岛卡古经历的碎片，集齐50个可合成未来岛卡古。</t>
  </si>
  <si>
    <t>hero_2d_3104</t>
  </si>
  <si>
    <t>5档路飞碎片</t>
  </si>
  <si>
    <t>记载5档路飞经历的碎片，集齐80个可合成5档路飞。</t>
  </si>
  <si>
    <t>hero_2d_3105</t>
  </si>
  <si>
    <t>未来岛鲁兹碎片</t>
  </si>
  <si>
    <t>记载未来岛鲁兹经历的碎片，集齐50个可合成未来岛鲁兹。</t>
  </si>
  <si>
    <t>hero_2d_3106</t>
  </si>
  <si>
    <t>未来岛斯图西碎片</t>
  </si>
  <si>
    <t>记载未来岛斯图西经历的碎片，集齐50个可合成未来岛斯图西。</t>
  </si>
  <si>
    <t>hero_2d_3107</t>
  </si>
  <si>
    <t>S-小熊碎片</t>
  </si>
  <si>
    <t>记载S-小熊经历的碎片，集齐50个可合成S-小熊。</t>
  </si>
  <si>
    <t>hero_2d_3108</t>
  </si>
  <si>
    <t>未来岛黑胡子碎片</t>
  </si>
  <si>
    <t>记载未来岛黑胡子经历的碎片，集齐50个可合成未来岛黑胡子。</t>
  </si>
  <si>
    <t>hero_2d_3109</t>
  </si>
  <si>
    <t>蜂巢岛库赞碎片</t>
  </si>
  <si>
    <t>待补充</t>
  </si>
  <si>
    <t>hero_2d_3110</t>
  </si>
  <si>
    <t>杰克斯晋升勋章</t>
  </si>
  <si>
    <t>晋升功能消耗，可用于杰克斯的晋升。</t>
  </si>
  <si>
    <t>item_jinsheng_003</t>
  </si>
  <si>
    <t>夏洛特·玲玲晋升勋章</t>
  </si>
  <si>
    <t>晋升功能消耗，可用于夏洛特·玲玲的晋升。\n每个勋章可兑换2个夏洛特·玲玲英雄碎片。</t>
  </si>
  <si>
    <t>item_jinsheng_001</t>
  </si>
  <si>
    <t>1001,630044,2</t>
  </si>
  <si>
    <t>黑胡子晋升勋章</t>
  </si>
  <si>
    <t>晋升功能消耗，可用于黑胡子的晋升。\n每个勋章可兑换2个黑胡子英雄碎片。</t>
  </si>
  <si>
    <t>item_jinsheng_002</t>
  </si>
  <si>
    <t>1001,630027,2</t>
  </si>
  <si>
    <t>莫利亚晋升勋章</t>
  </si>
  <si>
    <t>晋升功能消耗，可用于莫利亚的晋升。\n每个勋章可兑换2个莫利亚英雄碎片。</t>
  </si>
  <si>
    <t>item_jinsheng_004</t>
  </si>
  <si>
    <t>1001,630005,2</t>
  </si>
  <si>
    <t>精准之阵</t>
  </si>
  <si>
    <t>记载精准之阵奇妙信息的图纸，使用后可以学习精准之阵。</t>
  </si>
  <si>
    <t>item_233007</t>
  </si>
  <si>
    <t>会心之阵</t>
  </si>
  <si>
    <t>记载会心之阵奇妙信息的图纸，使用后可以学习会心之阵。</t>
  </si>
  <si>
    <t>item_233008</t>
  </si>
  <si>
    <t>平静之阵</t>
  </si>
  <si>
    <t>记载平静之阵奇妙信息的图纸，使用后可以学习平静之阵。</t>
  </si>
  <si>
    <t>item_233009</t>
  </si>
  <si>
    <t>疾行之阵</t>
  </si>
  <si>
    <t>记载疾行之阵奇妙信息的图纸，使用后可以学习疾行之阵。</t>
  </si>
  <si>
    <t>item_233010</t>
  </si>
  <si>
    <t>治愈之阵</t>
  </si>
  <si>
    <t>记载治愈之阵奇妙信息的图纸，使用后可以学习治愈之阵。</t>
  </si>
  <si>
    <t>item_233011</t>
  </si>
  <si>
    <t>沉稳之阵</t>
  </si>
  <si>
    <t>记载沉稳之阵奇妙信息的图纸，使用后可以学习沉稳之阵。</t>
  </si>
  <si>
    <t>item_233012</t>
  </si>
  <si>
    <t>狂怒之阵</t>
  </si>
  <si>
    <t>记载狂怒之阵奇妙信息的图纸，使用后可以学习狂怒之阵。</t>
  </si>
  <si>
    <t>item_233013</t>
  </si>
  <si>
    <t>壁垒之阵</t>
  </si>
  <si>
    <t>记载壁垒之阵奇妙信息的图纸，使用后可以学习壁垒之阵。</t>
  </si>
  <si>
    <t>item_233014</t>
  </si>
  <si>
    <t>激励之阵</t>
  </si>
  <si>
    <t>记载激励之阵奇妙信息的图纸，使用后可以学习激励之阵。</t>
  </si>
  <si>
    <t>item_233015</t>
  </si>
  <si>
    <t>战魂之阵</t>
  </si>
  <si>
    <t>记载战魂之阵奇妙信息的图纸，使用后可以学习战魂之阵。</t>
  </si>
  <si>
    <t>item_233016</t>
  </si>
  <si>
    <t>突袭之阵</t>
  </si>
  <si>
    <t>记载突袭之阵奇妙信息的图纸，使用后可以学习突袭之阵。</t>
  </si>
  <si>
    <t>item_233017</t>
  </si>
  <si>
    <t>对决之阵</t>
  </si>
  <si>
    <t>记载对决之阵奇妙信息的图纸，使用后可以学习对决之阵。</t>
  </si>
  <si>
    <t>item_233018</t>
  </si>
  <si>
    <t>极护之阵</t>
  </si>
  <si>
    <t>记载极护之阵奇妙信息的图纸，使用后可以学习极护之阵。</t>
  </si>
  <si>
    <t>item_233019</t>
  </si>
  <si>
    <t>精锐之阵</t>
  </si>
  <si>
    <t>记载精锐之阵奇妙信息的图纸，使用后可以学习精锐之阵。</t>
  </si>
  <si>
    <t>item_233020</t>
  </si>
  <si>
    <t>凶恶之阵</t>
  </si>
  <si>
    <t>记载凶恶之阵奇妙信息的图纸，使用后可以学习凶恶之阵。</t>
  </si>
  <si>
    <t>item_233021</t>
  </si>
  <si>
    <t>欢欣之阵</t>
  </si>
  <si>
    <t>记载欢欣之阵奇妙信息的图纸，使用后可以学习欢欣之阵。</t>
  </si>
  <si>
    <t>item_233022</t>
  </si>
  <si>
    <t>猎手之阵</t>
  </si>
  <si>
    <t>记载猎手之阵奇妙信息的图纸，使用后可以学习猎手之阵。</t>
  </si>
  <si>
    <t>item_233023</t>
  </si>
  <si>
    <t>灵性之阵</t>
  </si>
  <si>
    <t>记载灵性之阵奇妙信息的图纸，使用后可以学习灵性之阵。</t>
  </si>
  <si>
    <t>item_233024</t>
  </si>
  <si>
    <t>虚无之阵</t>
  </si>
  <si>
    <t>记载虚无之阵奇妙信息的图纸，使用后可以学习虚无之阵。</t>
  </si>
  <si>
    <t>item_233025</t>
  </si>
  <si>
    <t>凛冬之阵</t>
  </si>
  <si>
    <t>记载凛冬之阵奇妙信息的图纸，使用后可以学习凛冬之阵。</t>
  </si>
  <si>
    <t>item_233026</t>
  </si>
  <si>
    <t>雷炎之阵</t>
  </si>
  <si>
    <t>记载雷炎之阵奇妙信息的图纸，使用后可以学习雷炎之阵。</t>
  </si>
  <si>
    <t>item_233027</t>
  </si>
  <si>
    <t>曙光之阵</t>
  </si>
  <si>
    <t>记载曙光之阵奇妙信息的图纸，使用后可以学习曙光之阵。</t>
  </si>
  <si>
    <t>item_233028</t>
  </si>
  <si>
    <t>防护之阵</t>
  </si>
  <si>
    <t>记载防护之阵奇妙信息的图纸，使用后可以学习防护之阵。</t>
  </si>
  <si>
    <t>item_233029</t>
  </si>
  <si>
    <t>冲击之阵</t>
  </si>
  <si>
    <t>记载冲击之阵奇妙信息的图纸，使用后可以学习冲击之阵。</t>
  </si>
  <si>
    <t>item_233030</t>
  </si>
  <si>
    <t>进击之阵</t>
  </si>
  <si>
    <t>记载进击之阵奇妙信息的图纸，使用后可以学习进击之阵。</t>
  </si>
  <si>
    <t>item_233031</t>
  </si>
  <si>
    <t>元素之阵</t>
  </si>
  <si>
    <t>记载元素之阵奇妙信息的图纸，使用后可以学习元素之阵。</t>
  </si>
  <si>
    <t>item_233032</t>
  </si>
  <si>
    <t>专注之阵</t>
  </si>
  <si>
    <t>记载专注之阵奇妙信息的图纸，使用后可以学习专注之阵。</t>
  </si>
  <si>
    <t>item_233033</t>
  </si>
  <si>
    <t>激进之阵</t>
  </si>
  <si>
    <t>记载激进之阵奇妙信息的图纸，使用后可以学习激进之阵。</t>
  </si>
  <si>
    <t>item_233034</t>
  </si>
  <si>
    <t>冥想之阵</t>
  </si>
  <si>
    <t>记载冥想之阵奇妙信息的图纸，使用后可以学习冥想之阵。</t>
  </si>
  <si>
    <t>item_233035</t>
  </si>
  <si>
    <t>急速之阵</t>
  </si>
  <si>
    <t>记载急速之阵奇妙信息的图纸，使用后可以学习急速之阵。</t>
  </si>
  <si>
    <t>item_233036</t>
  </si>
  <si>
    <t>争霸之阵</t>
  </si>
  <si>
    <t>记载争霸之阵奇妙信息的图纸，使用后可以学习争霸之阵。</t>
  </si>
  <si>
    <t>守护之阵</t>
  </si>
  <si>
    <t>记载守护之阵奇妙信息的图纸，使用后可以学习守护之阵。</t>
  </si>
  <si>
    <t>御敌之阵</t>
  </si>
  <si>
    <t>记载御敌之阵奇妙信息的图纸，使用后可以学习御敌之阵。</t>
  </si>
  <si>
    <t>勇者之阵</t>
  </si>
  <si>
    <t>记载勇者之阵奇妙信息的图纸，使用后可以学习勇者之阵。</t>
  </si>
  <si>
    <t>毁灭之阵</t>
  </si>
  <si>
    <t>记载毁灭之阵奇妙信息的图纸，使用后可以学习毁灭之阵。</t>
  </si>
  <si>
    <t>item_233037</t>
  </si>
  <si>
    <t>勇士之阵</t>
  </si>
  <si>
    <t>记载勇士之阵奇妙信息的图纸，使用后可以学习勇士之阵。</t>
  </si>
  <si>
    <t>item_233038</t>
  </si>
  <si>
    <t>魔力之阵</t>
  </si>
  <si>
    <t>记载魔力之阵奇妙信息的图纸，使用后可以学习魔力之阵。</t>
  </si>
  <si>
    <t>item_233039</t>
  </si>
  <si>
    <t>幻想之阵</t>
  </si>
  <si>
    <t>记载幻想之阵奇妙信息的图纸，使用后可以学习幻想之阵。</t>
  </si>
  <si>
    <t>item_233040</t>
  </si>
  <si>
    <t>群免之阵</t>
  </si>
  <si>
    <t>记载群免之阵奇妙信息的图纸，使用后可以学习群免之阵。</t>
  </si>
  <si>
    <t>item_233041</t>
  </si>
  <si>
    <t>极伤之阵</t>
  </si>
  <si>
    <t>记载极伤之阵奇妙信息的图纸，使用后可以学习极伤之阵。</t>
  </si>
  <si>
    <t>item_233042</t>
  </si>
  <si>
    <t>抗敌之阵</t>
  </si>
  <si>
    <t>记载抗敌之阵奇妙信息的图纸，使用后可以学习抗敌之阵。</t>
  </si>
  <si>
    <t>item_233043</t>
  </si>
  <si>
    <t>对立之阵</t>
  </si>
  <si>
    <t>记载对立之阵奇妙信息的图纸，使用后可以学习对立之阵。</t>
  </si>
  <si>
    <t>item_233044</t>
  </si>
  <si>
    <t>豪气之阵</t>
  </si>
  <si>
    <t>记载豪气之阵奇妙信息的图纸，使用后可以学习豪气之阵。</t>
  </si>
  <si>
    <t>item_233045</t>
  </si>
  <si>
    <t>狂霸之阵</t>
  </si>
  <si>
    <t>记载狂霸之阵奇妙信息的图纸，使用后可以学习狂霸之阵。</t>
  </si>
  <si>
    <t>item_233046</t>
  </si>
  <si>
    <t>远投之阵</t>
  </si>
  <si>
    <t>记载远投之阵奇妙信息的图纸，使用后可以学习远投之阵。</t>
  </si>
  <si>
    <t>蔑视之阵</t>
  </si>
  <si>
    <t>记载蔑视之阵奇妙信息的图纸，使用后可以学习蔑视之阵。</t>
  </si>
  <si>
    <t>必杀之阵</t>
  </si>
  <si>
    <t>记载必杀之阵奇妙信息的图纸，使用后可以学习必杀之阵。</t>
  </si>
  <si>
    <t>速击之阵</t>
  </si>
  <si>
    <t>记载速击之阵奇妙信息的图纸，使用后可以学习速击之阵。</t>
  </si>
  <si>
    <t>item_233048</t>
  </si>
  <si>
    <t>胜佑之阵</t>
  </si>
  <si>
    <t>记载胜佑之阵奇妙信息的图纸，使用后可以学习胜佑之阵。</t>
  </si>
  <si>
    <t>item_233051</t>
  </si>
  <si>
    <t>守御之阵</t>
  </si>
  <si>
    <t>记载守御之阵奇妙信息的图纸，使用后可以学习守御之阵。</t>
  </si>
  <si>
    <t>item_233049</t>
  </si>
  <si>
    <t>破杀之阵</t>
  </si>
  <si>
    <t>记载破杀之阵奇妙信息的图纸，使用后可以学习破杀之阵。</t>
  </si>
  <si>
    <t>item_233050</t>
  </si>
  <si>
    <t>光耀之阵</t>
  </si>
  <si>
    <t>记载光耀之阵奇妙信息的图纸，使用后可以学习光耀之阵。</t>
  </si>
  <si>
    <t>漩涡之阵</t>
  </si>
  <si>
    <t>记载漩涡之阵奇妙信息的图纸，使用后可以学习漩涡之阵。</t>
  </si>
  <si>
    <t>席卷之阵</t>
  </si>
  <si>
    <t>记载席卷之阵奇妙信息的图纸，使用后可以学习席卷之阵。</t>
  </si>
  <si>
    <t>item_233056</t>
  </si>
  <si>
    <t>凌冽之阵</t>
  </si>
  <si>
    <t>记载凌冽之阵奇妙信息的图纸，使用后可以学习凌冽之阵。</t>
  </si>
  <si>
    <t>item_233057</t>
  </si>
  <si>
    <t>1级生命训练书</t>
  </si>
  <si>
    <t>生命训练书</t>
  </si>
  <si>
    <t>1级生命训练材料，用于角色生命训练。</t>
  </si>
  <si>
    <t>item_211018</t>
  </si>
  <si>
    <t>1001,211021,1</t>
  </si>
  <si>
    <t>主要产出途径：&lt;color=#ba3901&gt;训练副本&lt;/color&gt;</t>
  </si>
  <si>
    <t>2级生命训练书</t>
  </si>
  <si>
    <t>2级生命训练材料，用于角色生命训练。</t>
  </si>
  <si>
    <t>1001,212021,1</t>
  </si>
  <si>
    <t>3级生命训练书</t>
  </si>
  <si>
    <t>3级生命训练材料，用于角色生命训练。</t>
  </si>
  <si>
    <t>1001,213021,1</t>
  </si>
  <si>
    <t>4级生命训练书</t>
  </si>
  <si>
    <t>4级生命训练材料，用于角色生命训练。</t>
  </si>
  <si>
    <t>1001,214021,1</t>
  </si>
  <si>
    <t>5级生命训练书</t>
  </si>
  <si>
    <t>5级生命训练材料，用于角色生命训练。</t>
  </si>
  <si>
    <t>item_214018</t>
  </si>
  <si>
    <t>1001,215021,1</t>
  </si>
  <si>
    <t>6级生命训练书</t>
  </si>
  <si>
    <t>6级生命训练材料，用于角色生命训练。</t>
  </si>
  <si>
    <t>1001,216021,1</t>
  </si>
  <si>
    <t>7级生命训练书</t>
  </si>
  <si>
    <t>7级生命训练材料，用于角色生命训练。</t>
  </si>
  <si>
    <t>item_217018</t>
  </si>
  <si>
    <t>1001,217021,1</t>
  </si>
  <si>
    <t>8级生命训练书</t>
  </si>
  <si>
    <t>8级生命训练材料，用于角色生命训练。</t>
  </si>
  <si>
    <t>1001,218021,1</t>
  </si>
  <si>
    <t>9级生命训练书</t>
  </si>
  <si>
    <t>9级生命训练材料，用于角色生命训练。</t>
  </si>
  <si>
    <t>item_219018</t>
  </si>
  <si>
    <t>1001,219021,1</t>
  </si>
  <si>
    <t>10级生命训练书</t>
  </si>
  <si>
    <t>10级生命训练材料，用于角色生命训练。</t>
  </si>
  <si>
    <t>1001,210021,1</t>
  </si>
  <si>
    <t>11级生命训练书</t>
  </si>
  <si>
    <t>11级生命训练材料，用于角色生命训练。</t>
  </si>
  <si>
    <t>1001,210121,1</t>
  </si>
  <si>
    <t>12级生命训练书</t>
  </si>
  <si>
    <t>12级生命训练材料，用于角色生命训练。</t>
  </si>
  <si>
    <t>13级生命训练书</t>
  </si>
  <si>
    <t>13级生命训练材料，用于角色生命训练。</t>
  </si>
  <si>
    <t>14级生命训练书</t>
  </si>
  <si>
    <t>14级生命训练材料，用于角色生命训练。</t>
  </si>
  <si>
    <t>15级生命训练书</t>
  </si>
  <si>
    <t>15级生命训练材料，用于角色生命训练。</t>
  </si>
  <si>
    <t>生命冲刺训练书</t>
  </si>
  <si>
    <t>生命冲刺训练材料，用于角色生命冲刺训练。</t>
  </si>
  <si>
    <t>1级防御训练书</t>
  </si>
  <si>
    <t>防御训练书</t>
  </si>
  <si>
    <t>1级防御训练材料，用于角色防御训练。</t>
  </si>
  <si>
    <t>item_211019</t>
  </si>
  <si>
    <t>2级防御训练书</t>
  </si>
  <si>
    <t>2级防御训练材料，用于角色防御训练。</t>
  </si>
  <si>
    <t>3级防御训练书</t>
  </si>
  <si>
    <t>3级防御训练材料，用于角色防御训练。</t>
  </si>
  <si>
    <t>4级防御训练书</t>
  </si>
  <si>
    <t>4级防御训练材料，用于角色防御训练。</t>
  </si>
  <si>
    <t>5级防御训练书</t>
  </si>
  <si>
    <t>5级防御训练材料，用于角色防御训练。</t>
  </si>
  <si>
    <t>item_214019</t>
  </si>
  <si>
    <t>6级防御训练书</t>
  </si>
  <si>
    <t>6级防御训练材料，用于角色防御训练。</t>
  </si>
  <si>
    <t>7级防御训练书</t>
  </si>
  <si>
    <t>7级防御训练材料，用于角色防御训练。</t>
  </si>
  <si>
    <t>item_217019</t>
  </si>
  <si>
    <t>8级防御训练书</t>
  </si>
  <si>
    <t>8级防御训练材料，用于角色防御训练。</t>
  </si>
  <si>
    <t>9级防御训练书</t>
  </si>
  <si>
    <t>9级防御训练材料，用于角色防御训练。</t>
  </si>
  <si>
    <t>item_219019</t>
  </si>
  <si>
    <t>10级防御训练书</t>
  </si>
  <si>
    <t>10级防御训练材料，用于角色防御训练。</t>
  </si>
  <si>
    <t>11级防御训练书</t>
  </si>
  <si>
    <t>11级防御训练材料，用于角色防御训练。</t>
  </si>
  <si>
    <t>12级防御训练书</t>
  </si>
  <si>
    <t>12级防御训练材料，用于角色防御训练。</t>
  </si>
  <si>
    <t>13级防御训练书</t>
  </si>
  <si>
    <t>13级防御训练材料，用于角色防御训练。</t>
  </si>
  <si>
    <t>14级防御训练书</t>
  </si>
  <si>
    <t>14级防御训练材料，用于角色防御训练。</t>
  </si>
  <si>
    <t>15级防御训练书</t>
  </si>
  <si>
    <t>15级防御训练材料，用于角色防御训练。</t>
  </si>
  <si>
    <t>防御冲刺训练书</t>
  </si>
  <si>
    <t>防御冲刺训练材料，用于角色防御冲刺训练。</t>
  </si>
  <si>
    <t>1级攻击训练书</t>
  </si>
  <si>
    <t>攻击训练书</t>
  </si>
  <si>
    <t>1级攻击训练材料，用于角色攻击训练。</t>
  </si>
  <si>
    <t>item_211020</t>
  </si>
  <si>
    <t>2级攻击训练书</t>
  </si>
  <si>
    <t>2级攻击训练材料，用于角色攻击训练。</t>
  </si>
  <si>
    <t>3级攻击训练书</t>
  </si>
  <si>
    <t>3级攻击训练材料，用于角色攻击训练。</t>
  </si>
  <si>
    <t>4级攻击训练书</t>
  </si>
  <si>
    <t>4级攻击训练材料，用于角色攻击训练。</t>
  </si>
  <si>
    <t>5级攻击训练书</t>
  </si>
  <si>
    <t>5级攻击训练材料，用于角色攻击训练。</t>
  </si>
  <si>
    <t>item_214020</t>
  </si>
  <si>
    <t>6级攻击训练书</t>
  </si>
  <si>
    <t>6级攻击训练材料，用于角色攻击训练。</t>
  </si>
  <si>
    <t>7级攻击训练书</t>
  </si>
  <si>
    <t>7级攻击训练材料，用于角色攻击训练。</t>
  </si>
  <si>
    <t>item_217020</t>
  </si>
  <si>
    <t>8级攻击训练书</t>
  </si>
  <si>
    <t>8级攻击训练材料，用于角色攻击训练。</t>
  </si>
  <si>
    <t>9级攻击训练书</t>
  </si>
  <si>
    <t>9级攻击训练材料，用于角色攻击训练。</t>
  </si>
  <si>
    <t>10级攻击训练书</t>
  </si>
  <si>
    <t>10级攻击训练材料，用于角色攻击训练。</t>
  </si>
  <si>
    <t>11级攻击训练书</t>
  </si>
  <si>
    <t>11级攻击训练材料，用于角色攻击训练。</t>
  </si>
  <si>
    <t>12级攻击训练书</t>
  </si>
  <si>
    <t>12级攻击训练材料，用于角色攻击训练。</t>
  </si>
  <si>
    <t>13级攻击训练书</t>
  </si>
  <si>
    <t>13级攻击训练材料，用于角色攻击训练。</t>
  </si>
  <si>
    <t>14级攻击训练书</t>
  </si>
  <si>
    <t>14级攻击训练材料，用于角色攻击训练。</t>
  </si>
  <si>
    <t>15级攻击训练书</t>
  </si>
  <si>
    <t>15级攻击训练材料，用于角色攻击训练。</t>
  </si>
  <si>
    <t>攻击冲刺训练书</t>
  </si>
  <si>
    <t>攻击冲刺训练材料，用于角色攻击冲刺训练。</t>
  </si>
  <si>
    <t>1级强化训练书</t>
  </si>
  <si>
    <t>强化训练书</t>
  </si>
  <si>
    <t>1级强化训练材料，用于角色强化训练。</t>
  </si>
  <si>
    <t>item_211021</t>
  </si>
  <si>
    <t>活动副本|5;航海远征|9</t>
  </si>
  <si>
    <t>2级强化训练书</t>
  </si>
  <si>
    <t>2级强化训练材料，用于角色强化训练。</t>
  </si>
  <si>
    <t>3级强化训练书</t>
  </si>
  <si>
    <t>3级强化训练材料，用于角色强化训练。</t>
  </si>
  <si>
    <t>4级强化训练书</t>
  </si>
  <si>
    <t>4级强化训练材料，用于角色强化训练。</t>
  </si>
  <si>
    <t>5级强化训练书</t>
  </si>
  <si>
    <t>5级强化训练材料，用于角色强化训练。</t>
  </si>
  <si>
    <t>6级强化训练书</t>
  </si>
  <si>
    <t>6级强化训练材料，用于角色强化训练。</t>
  </si>
  <si>
    <t>7级强化训练书</t>
  </si>
  <si>
    <t>7级强化训练材料，用于角色强化训练。</t>
  </si>
  <si>
    <t>8级强化训练书</t>
  </si>
  <si>
    <t>8级强化训练材料，用于角色强化训练。</t>
  </si>
  <si>
    <t>9级强化训练书</t>
  </si>
  <si>
    <t>9级强化训练材料，用于角色强化训练。</t>
  </si>
  <si>
    <t>10级强化训练书</t>
  </si>
  <si>
    <t>10级强化训练材料，用于角色强化训练。</t>
  </si>
  <si>
    <t>11级强化训练书</t>
  </si>
  <si>
    <t>11级强化训练材料，用于角色强化训练。</t>
  </si>
  <si>
    <t>12级强化训练书</t>
  </si>
  <si>
    <t>12级强化训练材料，用于角色强化训练。</t>
  </si>
  <si>
    <t>冲刺训练书</t>
  </si>
  <si>
    <t>冲刺训练材料，用于角色冲刺训练。</t>
  </si>
  <si>
    <t>item_210121</t>
  </si>
  <si>
    <t>强化训练材料，用于角色强化训练。</t>
  </si>
  <si>
    <t>海岸边晶莹剔透的珍珠，采集后用于交付任务。</t>
  </si>
  <si>
    <t>贝壳</t>
  </si>
  <si>
    <t>海岸边光滑的贝壳，采集后用于交付任务。</t>
  </si>
  <si>
    <t>item_240001</t>
  </si>
  <si>
    <t>木材</t>
  </si>
  <si>
    <t>看着还不错的木材，采集后用于交付任务。</t>
  </si>
  <si>
    <t>item_240002</t>
  </si>
  <si>
    <t>野菜</t>
  </si>
  <si>
    <t>生长在野外的不知名的植物，采集后用于交付任务。</t>
  </si>
  <si>
    <t>item_240003</t>
  </si>
  <si>
    <t>稀有草药</t>
  </si>
  <si>
    <t>很少见的草药，用来缓解疼痛，采集后用于交付任务。</t>
  </si>
  <si>
    <t>item_240004</t>
  </si>
  <si>
    <t>河豚</t>
  </si>
  <si>
    <t>从浅水区域钓上来的河豚，收集后用于交付任务。</t>
  </si>
  <si>
    <t>item_431003</t>
  </si>
  <si>
    <t>新鲜的鱼</t>
  </si>
  <si>
    <t>item_431005</t>
  </si>
  <si>
    <t>地毡草</t>
  </si>
  <si>
    <t>桫椤</t>
  </si>
  <si>
    <t>紫云英</t>
  </si>
  <si>
    <t>幽灵兰</t>
  </si>
  <si>
    <t>苦檀果</t>
  </si>
  <si>
    <t>鬼针草</t>
  </si>
  <si>
    <t>从近海区域钓上来的鱼，收集后用于交付任务。</t>
  </si>
  <si>
    <t>黄帽子海盗的鞋子</t>
  </si>
  <si>
    <t>黄帽子海盗脚下穿的鞋，因为穿了太久鞋底都有点要磨穿了。还会散发出阵阵恶臭，不知道谁会要这种东西。</t>
  </si>
  <si>
    <t>item_box_19</t>
  </si>
  <si>
    <t>黄帽子海盗的帽子</t>
  </si>
  <si>
    <t>黄帽子海盗的帽子，类似于马戏团小丑的帽子。戴起来很有喜感，也不知道一个海盗带这种帽子有什么用。</t>
  </si>
  <si>
    <t>光头海盗的裤子</t>
  </si>
  <si>
    <t>光头海盗的裤子，后打的补丁比原材料还多的一条裤子。</t>
  </si>
  <si>
    <t>光头海盗的上衣</t>
  </si>
  <si>
    <t>光头海盗的上衣，上面印有一些可爱的字母。</t>
  </si>
  <si>
    <t>被偷走的武器</t>
  </si>
  <si>
    <t>武器老板店里被偷走的武器，因为存放过久已经有一些陈旧了。</t>
  </si>
  <si>
    <t>sjwq_0011</t>
  </si>
  <si>
    <t>被偷走的蔬菜</t>
  </si>
  <si>
    <t>村民们自己种植的蔬菜，经过仔细的照料长得非常好，吃起来肯定也不错。</t>
  </si>
  <si>
    <t>item_nangua</t>
  </si>
  <si>
    <t>刺豚鱼人的武器</t>
  </si>
  <si>
    <t>刺豚鱼人的武器，长时间的战斗导致武器已经不那么锋利。</t>
  </si>
  <si>
    <t>sjwq_0005</t>
  </si>
  <si>
    <t>胖鱼人的衣服</t>
  </si>
  <si>
    <t>胖鱼人的衣服，因为长久被过于肥胖的身体穿在身上已经没什么弹性了。</t>
  </si>
  <si>
    <t>item_100</t>
  </si>
  <si>
    <t>阔嘴鱼人的财宝</t>
  </si>
  <si>
    <t>阔嘴鱼人的财宝，看上去很值钱，但是很可惜你卖不掉它。</t>
  </si>
  <si>
    <t>记录指针</t>
  </si>
  <si>
    <t>无名探险家的记录指针，在伟大航线航行的必须道具之一。</t>
  </si>
  <si>
    <t>无名探险家的衣服</t>
  </si>
  <si>
    <t>无名探险家的衣服，虽然有些陈旧但是却意外的干净整洁。</t>
  </si>
  <si>
    <t>小胡子海盗的裤子</t>
  </si>
  <si>
    <t>从小胡子海盗背包里缴获的裤子，大小非常的不合适，很明显是从别人手里抢来的裤子。</t>
  </si>
  <si>
    <t>小胡子海盗的上衣</t>
  </si>
  <si>
    <t>从小胡子海盗那里缴获的上衣，大小和风格明显不是他的。</t>
  </si>
  <si>
    <t>慌张海盗的食物</t>
  </si>
  <si>
    <t>慌张海盗被夺走的食物，放的时间有点久，已经不那么新鲜了。这种东西吃下去肯定会不舒服的吧。</t>
  </si>
  <si>
    <t>慌张海盗的衣服</t>
  </si>
  <si>
    <t>慌张海盗被夺走的衣服，又旧又破打满补丁。竟然还有人要抢，太可怕了。</t>
  </si>
  <si>
    <t>慌张海盗的裤子</t>
  </si>
  <si>
    <t>慌张海盗被夺走的裤子，又旧又破打满补丁。竟然还有人要抢，太可怕了。</t>
  </si>
  <si>
    <t>慌张海盗的鞋</t>
  </si>
  <si>
    <t>慌张海盗被夺走的鞋，隔着好几米都能闻到上面散发的臭味。</t>
  </si>
  <si>
    <t>慌张海盗的武器</t>
  </si>
  <si>
    <t>慌张海盗被夺走的武器，并不是什么很好的武器，但是保养的很不错。武器的主人应该很珍惜它吧。</t>
  </si>
  <si>
    <t>戏剧头海盗的武器</t>
  </si>
  <si>
    <t>扎辫子的海盗的武器</t>
  </si>
  <si>
    <t>落难海盗的衣服</t>
  </si>
  <si>
    <t>落难海盗被夺走的的衣服，已经不是很新，长时间的清洗导致已经泛白。</t>
  </si>
  <si>
    <t>落难海盗的裤子</t>
  </si>
  <si>
    <t>落难海盗被夺走的裤子，上面沾满了污渍，看来裤子的主人对它并不是很友好。</t>
  </si>
  <si>
    <t>落难海盗的武器</t>
  </si>
  <si>
    <t>落难海盗被夺走的武器，磨损的非常厉害。</t>
  </si>
  <si>
    <t>落难海盗的鞋子</t>
  </si>
  <si>
    <t>落难海盗的鞋子，鞋底已经快磨穿了，味道也是非常大。</t>
  </si>
  <si>
    <t>散落的货物</t>
  </si>
  <si>
    <t>远行商人遗落在路上的货物，包装的箱子还很完好。</t>
  </si>
  <si>
    <t>矿石</t>
  </si>
  <si>
    <t>坚硬的石材，可以用来修建房屋或者围墙。</t>
  </si>
  <si>
    <t>item_shiliao</t>
  </si>
  <si>
    <t>便当</t>
  </si>
  <si>
    <t>美味的海盗便当，制作的厨师手艺肯定很棒！</t>
  </si>
  <si>
    <t>item_biandangf</t>
  </si>
  <si>
    <t>酒</t>
  </si>
  <si>
    <t>item_jiu</t>
  </si>
  <si>
    <t>钓具</t>
  </si>
  <si>
    <t>渔民的钓具</t>
  </si>
  <si>
    <t>石子</t>
  </si>
  <si>
    <t>圆形的小石子，拿来当弹弓的子弹太适合不过了。</t>
  </si>
  <si>
    <t>肥料</t>
  </si>
  <si>
    <t>种植蔬菜或者药材所需要的肥料，别名金坷垃，用了都说好！</t>
  </si>
  <si>
    <t>食物（连续支线）</t>
  </si>
  <si>
    <t>食物</t>
  </si>
  <si>
    <t>item_shiwu</t>
  </si>
  <si>
    <t>丢失的货物</t>
  </si>
  <si>
    <t>宝箱</t>
  </si>
  <si>
    <t>存放着美酒的货箱</t>
  </si>
  <si>
    <t>装满酒的货箱</t>
  </si>
  <si>
    <t>美酒</t>
  </si>
  <si>
    <t>美酒，海盗们最喜爱的东西。</t>
  </si>
  <si>
    <t>item_muliao</t>
  </si>
  <si>
    <t>白色草药根</t>
  </si>
  <si>
    <t>草药根</t>
  </si>
  <si>
    <t>用于制作药品的基础材料，分解完整药材可以获得</t>
  </si>
  <si>
    <t>item_411001</t>
  </si>
  <si>
    <t>行李</t>
  </si>
  <si>
    <t>海盗的行李</t>
  </si>
  <si>
    <t>稀有药草（磁鼓）</t>
  </si>
  <si>
    <t>稀有药草</t>
  </si>
  <si>
    <t>木材（磁鼓）</t>
  </si>
  <si>
    <t>治疗伤病效果非常好的草药。</t>
  </si>
  <si>
    <t>被大雪覆盖的货物</t>
  </si>
  <si>
    <t>商人被大雪掩埋的商品。</t>
  </si>
  <si>
    <t>被夺走的衣服</t>
  </si>
  <si>
    <t>装备商人为民间护卫团准备的衣物，保暖效果很不错。</t>
  </si>
  <si>
    <t>被夺走的武器</t>
  </si>
  <si>
    <t>装备商人为民间护卫团准备的武器。</t>
  </si>
  <si>
    <t>在野外找到的装有食物的货箱。</t>
  </si>
  <si>
    <t>油菜花野外的食物</t>
  </si>
  <si>
    <t>货物</t>
  </si>
  <si>
    <t>供水商人遗落在野外的货物。</t>
  </si>
  <si>
    <t>供水商人的货物</t>
  </si>
  <si>
    <t>书写精美的航海日志</t>
  </si>
  <si>
    <t>看上去很精致的航海日志，能看出作者十分用心。</t>
  </si>
  <si>
    <t>破破烂烂的航海日志</t>
  </si>
  <si>
    <t>破破烂烂的航海日志，记录着一些无意义的日常。</t>
  </si>
  <si>
    <t>藏宝图</t>
  </si>
  <si>
    <t>一张记载着宝物位置的藏宝图。</t>
  </si>
  <si>
    <t>藏宝图的碎片</t>
  </si>
  <si>
    <t>藏宝图的碎片，完全看不出藏宝地点。</t>
  </si>
  <si>
    <t>反叛军的物资</t>
  </si>
  <si>
    <t>反叛军被夺走的物资。</t>
  </si>
  <si>
    <t>鼓鼓的麻袋</t>
  </si>
  <si>
    <t>装满物品的麻袋。</t>
  </si>
  <si>
    <t>海军士兵的衣物</t>
  </si>
  <si>
    <t>装满财宝的箱子</t>
  </si>
  <si>
    <t>据说里面的财宝价值10亿贝里，可惜你打不开。</t>
  </si>
  <si>
    <t>商人的货物</t>
  </si>
  <si>
    <t>里面都是特别值钱的货物，要是能据为己有的话肯定能让你的战力直升10万。可惜你不能据为己有。</t>
  </si>
  <si>
    <t>日常奖励</t>
  </si>
  <si>
    <t>每日任务奖励</t>
  </si>
  <si>
    <t>完成日常任务将会获得大量经验卷轴并有几率获得钻石抽卡卷等稀有道具。</t>
  </si>
  <si>
    <t>lb-4</t>
  </si>
  <si>
    <t>20级未鉴定英雄套装箱</t>
  </si>
  <si>
    <t>20级英雄套装箱</t>
  </si>
  <si>
    <t>开启后可获得完整一套20级英雄套装</t>
  </si>
  <si>
    <t>item_box_06</t>
  </si>
  <si>
    <t>20级未鉴定英雄装备箱</t>
  </si>
  <si>
    <t>40级未鉴定英雄套装箱</t>
  </si>
  <si>
    <t>40级英雄套装箱</t>
  </si>
  <si>
    <t>开启后可获得完整一套40级英雄套装</t>
  </si>
  <si>
    <t>货箱</t>
  </si>
  <si>
    <t>木箱</t>
  </si>
  <si>
    <t>可用于装各种东西的大箱子</t>
  </si>
  <si>
    <t>石材</t>
  </si>
  <si>
    <t>稀有种子</t>
  </si>
  <si>
    <t>斩击贝</t>
  </si>
  <si>
    <t>被抢走的商品</t>
  </si>
  <si>
    <t>木材堆</t>
  </si>
  <si>
    <t>疗伤草药</t>
  </si>
  <si>
    <t>杂乱的木材</t>
  </si>
  <si>
    <t>空箱子</t>
  </si>
  <si>
    <t>60级未鉴定普通套装箱</t>
  </si>
  <si>
    <t>60级普通套装箱</t>
  </si>
  <si>
    <t>开启后可获得完整一套60级套装</t>
  </si>
  <si>
    <t>珍贵的石头</t>
  </si>
  <si>
    <t>贵重的草药</t>
  </si>
  <si>
    <t>隐藏的东西</t>
  </si>
  <si>
    <t>引以为豪的斧子</t>
  </si>
  <si>
    <t>薄荷</t>
  </si>
  <si>
    <t>钥匙</t>
  </si>
  <si>
    <t>重要的行李</t>
  </si>
  <si>
    <t>重要的记录</t>
  </si>
  <si>
    <t>贵妇的商品</t>
  </si>
  <si>
    <t>解毒草</t>
  </si>
  <si>
    <t>初级突破书</t>
  </si>
  <si>
    <t>角色突破道具。</t>
  </si>
  <si>
    <t>item_2009</t>
  </si>
  <si>
    <t>actiraid|3</t>
  </si>
  <si>
    <t>活动副本|5</t>
  </si>
  <si>
    <t>活动副本|突破副本获得。</t>
  </si>
  <si>
    <t>主要产出途径：&lt;color=#ba3901&gt;突破副本&lt;/color&gt;</t>
  </si>
  <si>
    <t>初级突破皇冠</t>
  </si>
  <si>
    <t>item_2111</t>
  </si>
  <si>
    <t>初级突破卷轴</t>
  </si>
  <si>
    <t>item_2112</t>
  </si>
  <si>
    <t>初级突破海图</t>
  </si>
  <si>
    <t>item_2113</t>
  </si>
  <si>
    <t>初级突破面具</t>
  </si>
  <si>
    <t>初级突破灵药</t>
  </si>
  <si>
    <t>item_2114</t>
  </si>
  <si>
    <t>中级突破书</t>
  </si>
  <si>
    <t>item_3009</t>
  </si>
  <si>
    <t>中级突破皇冠</t>
  </si>
  <si>
    <t>item_3111</t>
  </si>
  <si>
    <t>中级突破卷轴</t>
  </si>
  <si>
    <t>item_3112</t>
  </si>
  <si>
    <t>中级突破海图</t>
  </si>
  <si>
    <t>item_3113</t>
  </si>
  <si>
    <t>中级突破面具</t>
  </si>
  <si>
    <t>中级突破灵药</t>
  </si>
  <si>
    <t>item_3114</t>
  </si>
  <si>
    <t>高级突破书</t>
  </si>
  <si>
    <t>item_4009</t>
  </si>
  <si>
    <t>高级突破皇冠</t>
  </si>
  <si>
    <t>item_4111</t>
  </si>
  <si>
    <t>高级突破卷轴</t>
  </si>
  <si>
    <t>item_4112</t>
  </si>
  <si>
    <t>高级突破海图</t>
  </si>
  <si>
    <t>item_4113</t>
  </si>
  <si>
    <t>高级突破面具</t>
  </si>
  <si>
    <t>高级突破灵药</t>
  </si>
  <si>
    <t>item_4114</t>
  </si>
  <si>
    <t>超级突破书</t>
  </si>
  <si>
    <t>item_5009</t>
  </si>
  <si>
    <t>超级突破皇冠</t>
  </si>
  <si>
    <t>item_5111</t>
  </si>
  <si>
    <t>超级突破卷轴</t>
  </si>
  <si>
    <t>item_5112</t>
  </si>
  <si>
    <t>超级突破海图</t>
  </si>
  <si>
    <t>item_5113</t>
  </si>
  <si>
    <t>超级突破面具</t>
  </si>
  <si>
    <t>超级突破灵药</t>
  </si>
  <si>
    <t>item_5114</t>
  </si>
  <si>
    <t>超级突破核心</t>
  </si>
  <si>
    <t>角色突破道具，在终极挑战副本中积累挑战代币兑换获得。</t>
  </si>
  <si>
    <t>item_6111</t>
  </si>
  <si>
    <t>终极挑战|34</t>
  </si>
  <si>
    <t>超级突破精华</t>
  </si>
  <si>
    <t>item_6112</t>
  </si>
  <si>
    <t>超级突破精淬</t>
  </si>
  <si>
    <t>item_6113</t>
  </si>
  <si>
    <t>20级装备宝箱</t>
  </si>
  <si>
    <t>装备宝箱</t>
  </si>
  <si>
    <t>打开随机获得20级装备。</t>
  </si>
  <si>
    <t>item_box_05</t>
  </si>
  <si>
    <t>30级装备宝箱</t>
  </si>
  <si>
    <t>打开随机获得30级装备。</t>
  </si>
  <si>
    <t>40级装备宝箱</t>
  </si>
  <si>
    <t>打开随机获得40级装备。</t>
  </si>
  <si>
    <t>50级装备宝箱</t>
  </si>
  <si>
    <t>打开随机获得50级装备。</t>
  </si>
  <si>
    <t>60级装备宝箱</t>
  </si>
  <si>
    <t>打开随机获得60级装备。</t>
  </si>
  <si>
    <t>英雄套装宝箱</t>
  </si>
  <si>
    <t>打开随机获得一套60级英雄套装。</t>
  </si>
  <si>
    <t>item_box_02</t>
  </si>
  <si>
    <t>60英雄套装</t>
  </si>
  <si>
    <t>英雄装备宝箱</t>
  </si>
  <si>
    <t>打开随机获得一件60级英雄装备。</t>
  </si>
  <si>
    <t>60英雄装备</t>
  </si>
  <si>
    <t>40英雄武器</t>
  </si>
  <si>
    <t>完美武器宝箱</t>
  </si>
  <si>
    <t>打开随机获得一件40级英雄武器。</t>
  </si>
  <si>
    <t>40英雄防具</t>
  </si>
  <si>
    <t>完美防具宝箱</t>
  </si>
  <si>
    <t>打开随机获得一件40级英雄防具。</t>
  </si>
  <si>
    <t>40英雄戒指</t>
  </si>
  <si>
    <t>完美戒指宝箱</t>
  </si>
  <si>
    <t>打开随机获得一件40级英雄戒指。</t>
  </si>
  <si>
    <t>40英雄项链</t>
  </si>
  <si>
    <t>完美项链宝箱</t>
  </si>
  <si>
    <t>打开随机获得一件40级英雄项链。</t>
  </si>
  <si>
    <t>英雄武器宝箱
（只有60级的）</t>
  </si>
  <si>
    <t>极致武器宝箱</t>
  </si>
  <si>
    <t>打开随机获得一件60级英雄武器。</t>
  </si>
  <si>
    <t>60英雄武器</t>
  </si>
  <si>
    <t>60英雄防具</t>
  </si>
  <si>
    <t>极致防具宝箱</t>
  </si>
  <si>
    <t>打开随机获得一件60级英雄防具。</t>
  </si>
  <si>
    <t>60英雄戒指</t>
  </si>
  <si>
    <t>极致戒指宝箱</t>
  </si>
  <si>
    <t>打开随机获得一件60级英雄戒指。</t>
  </si>
  <si>
    <t>60英雄项链</t>
  </si>
  <si>
    <t>极致项链宝箱</t>
  </si>
  <si>
    <t>打开随机获得一件60级英雄项链。</t>
  </si>
  <si>
    <t>每日任务奖励袋子</t>
  </si>
  <si>
    <t>日常任务奖励</t>
  </si>
  <si>
    <t>每日任务中获得的奖励。</t>
  </si>
  <si>
    <t>item_box_07</t>
  </si>
  <si>
    <t>讨伐任务袋子</t>
  </si>
  <si>
    <t>讨伐任务奖励</t>
  </si>
  <si>
    <t>讨伐任务中获得的奖励，打开后可以随机获得道具和装备奖励。</t>
  </si>
  <si>
    <t>队长奖励袋子</t>
  </si>
  <si>
    <t>队长奖励袋</t>
  </si>
  <si>
    <t>讨伐任务中作为队长额外获得的奖励，打开后可以获得经验卷轴。</t>
  </si>
  <si>
    <t>30098,30098</t>
  </si>
  <si>
    <t>30099,30099</t>
  </si>
  <si>
    <t>30100,30100</t>
  </si>
  <si>
    <t>item_box_09</t>
  </si>
  <si>
    <t>30104,30104</t>
  </si>
  <si>
    <t>日常任务礼包1</t>
  </si>
  <si>
    <t>日常任务礼包</t>
  </si>
  <si>
    <t>打开后随机获得一件道具，有概率获得稀有道具。</t>
  </si>
  <si>
    <t>item_box_11</t>
  </si>
  <si>
    <t>日常任务礼包20</t>
  </si>
  <si>
    <t>item_box_12</t>
  </si>
  <si>
    <t>日常任务礼包40</t>
  </si>
  <si>
    <t>item_box_13</t>
  </si>
  <si>
    <t>日常任务礼包60</t>
  </si>
  <si>
    <t>item_box_14</t>
  </si>
  <si>
    <t>讨伐任务礼包</t>
  </si>
  <si>
    <t>item_box_15</t>
  </si>
  <si>
    <t>item_box_16</t>
  </si>
  <si>
    <t>item_box_17</t>
  </si>
  <si>
    <t>item_box_18</t>
  </si>
  <si>
    <t>20英雄装备（讨伐）</t>
  </si>
  <si>
    <t>英雄装备箱</t>
  </si>
  <si>
    <t>打开后随机获得一件20级英雄装备。</t>
  </si>
  <si>
    <t>item_box_01</t>
  </si>
  <si>
    <t>40英雄装备（讨伐）</t>
  </si>
  <si>
    <t>打开后随机获得一件40级英雄装备。</t>
  </si>
  <si>
    <t>60英雄装备（讨伐）</t>
  </si>
  <si>
    <t>打开后随机获得一件60级英雄装备。</t>
  </si>
  <si>
    <t>20装备（讨伐）</t>
  </si>
  <si>
    <t>打开随机获得一件20级装备。</t>
  </si>
  <si>
    <t>40装备（讨伐）</t>
  </si>
  <si>
    <t>打开随机获得一件40级装备。</t>
  </si>
  <si>
    <t>60装备（讨伐）</t>
  </si>
  <si>
    <t>打开随机获得一件60级装备。</t>
  </si>
  <si>
    <t>15级野外礼包</t>
  </si>
  <si>
    <t>野外礼包</t>
  </si>
  <si>
    <t>野外挂机时掉落的特殊礼包，打开可以获得金块、经验卷轴、宝石等奖励。</t>
  </si>
  <si>
    <t>25级野外礼包</t>
  </si>
  <si>
    <t>阿龙公园野外礼包</t>
  </si>
  <si>
    <t>黑市20武器</t>
  </si>
  <si>
    <t>部位：武器</t>
  </si>
  <si>
    <t>随机获得一件20级未鉴定武器。</t>
  </si>
  <si>
    <t>item_250051</t>
  </si>
  <si>
    <t>黑市20防具</t>
  </si>
  <si>
    <t>部位：防具</t>
  </si>
  <si>
    <t>随机获得一件20级未鉴定防具。</t>
  </si>
  <si>
    <t>item_250052</t>
  </si>
  <si>
    <t>黑市20戒指</t>
  </si>
  <si>
    <t>部位：戒指</t>
  </si>
  <si>
    <t>随机获得一件20级未鉴定戒指。</t>
  </si>
  <si>
    <t>item_250053</t>
  </si>
  <si>
    <t>黑市20项链</t>
  </si>
  <si>
    <t>部位：项链</t>
  </si>
  <si>
    <t>随机获得一件20级未鉴定项链。</t>
  </si>
  <si>
    <t>item_250054</t>
  </si>
  <si>
    <t>黑市40武器</t>
  </si>
  <si>
    <t>随机获得一件40级未鉴定武器。</t>
  </si>
  <si>
    <t>黑市40防具</t>
  </si>
  <si>
    <t>随机获得一件40级未鉴定防具。</t>
  </si>
  <si>
    <t>黑市40戒指</t>
  </si>
  <si>
    <t>随机获得一件40级未鉴定戒指。</t>
  </si>
  <si>
    <t>黑市40项链</t>
  </si>
  <si>
    <t>随机获得一件40级未鉴定项链。</t>
  </si>
  <si>
    <t>30级英雄装备箱</t>
  </si>
  <si>
    <t>打开后获得一套30级英雄装备。</t>
  </si>
  <si>
    <t>1200,460013,1;1200,460014,1;1200,460015,1;1200,460016,1</t>
  </si>
  <si>
    <t>黑市60武器</t>
  </si>
  <si>
    <t>随机获得一件60级未鉴定武器。</t>
  </si>
  <si>
    <t>黑市60防具</t>
  </si>
  <si>
    <t>随机获得一件60级未鉴定防具。</t>
  </si>
  <si>
    <t>黑市60戒指</t>
  </si>
  <si>
    <t>随机获得一件60级未鉴定戒指。</t>
  </si>
  <si>
    <t>黑市60项链</t>
  </si>
  <si>
    <t>随机获得一件60级未鉴定项链。</t>
  </si>
  <si>
    <t>30级野外礼包</t>
  </si>
  <si>
    <t>40级野外礼包</t>
  </si>
  <si>
    <t>50级野外礼包</t>
  </si>
  <si>
    <t>60级野外礼包</t>
  </si>
  <si>
    <t>英雄套装宝箱（40）</t>
  </si>
  <si>
    <t>打开后随机获得一件40级未鉴定英雄套装。</t>
  </si>
  <si>
    <t>英雄装备宝箱（40）</t>
  </si>
  <si>
    <t>打开后随机获得一件40级未鉴定英雄装备，有概率获得英雄套装。</t>
  </si>
  <si>
    <t>随机装备宝箱（40）</t>
  </si>
  <si>
    <t>随机装备宝箱</t>
  </si>
  <si>
    <t>打开后随机获得一件40级装备，有概率获得英雄装备及英雄套装。</t>
  </si>
  <si>
    <t>英雄套装宝箱（60）</t>
  </si>
  <si>
    <t>打开后随机获得一件60级未鉴定英雄套装。</t>
  </si>
  <si>
    <t>英雄装备宝箱（60）</t>
  </si>
  <si>
    <t>打开后随机获得一件60级未鉴定英雄装备，有概率获得英雄套装。</t>
  </si>
  <si>
    <t>随机装备宝箱（60）</t>
  </si>
  <si>
    <t>打开后随机获得一件60级装备，有概率获得英雄装备及英雄套装。</t>
  </si>
  <si>
    <t>随机SR礼盒</t>
  </si>
  <si>
    <t>打开后随机获得一名SR角色。</t>
  </si>
  <si>
    <t>item_box_03</t>
  </si>
  <si>
    <t>随机SSR礼盒</t>
  </si>
  <si>
    <t>打开后随机获得一名SSR角色。</t>
  </si>
  <si>
    <t>item_box_04</t>
  </si>
  <si>
    <t>英雄装备宝箱（50）</t>
  </si>
  <si>
    <t>打开后随机获得一件50级未鉴定英雄装备。</t>
  </si>
  <si>
    <t>随机英雄装备散件宝箱（50）</t>
  </si>
  <si>
    <t>黑市30武器</t>
  </si>
  <si>
    <t>随机获得一件30级未鉴定武器。</t>
  </si>
  <si>
    <t>黑市30防具</t>
  </si>
  <si>
    <t>随机获得一件30级未鉴定防具。</t>
  </si>
  <si>
    <t>黑市30戒指</t>
  </si>
  <si>
    <t>随机获得一件30级未鉴定戒指。</t>
  </si>
  <si>
    <t>黑市30项链</t>
  </si>
  <si>
    <t>随机获得一件30级未鉴定项链。</t>
  </si>
  <si>
    <t>黑市50武器</t>
  </si>
  <si>
    <t>随机获得一件50级未鉴定武器。</t>
  </si>
  <si>
    <t>黑市50防具</t>
  </si>
  <si>
    <t>随机获得一件50级未鉴定防具。</t>
  </si>
  <si>
    <t>黑市50戒指</t>
  </si>
  <si>
    <t>随机获得一件50级未鉴定戒指。</t>
  </si>
  <si>
    <t>黑市50项链</t>
  </si>
  <si>
    <t>随机获得一件50级未鉴定项链。</t>
  </si>
  <si>
    <t>黑市40英雄武器</t>
  </si>
  <si>
    <t>随机获得一件40级未鉴定英雄武器。</t>
  </si>
  <si>
    <t>item_250056</t>
  </si>
  <si>
    <t>黑市40英雄防具</t>
  </si>
  <si>
    <t>随机获得一件40级未鉴定英雄防具。</t>
  </si>
  <si>
    <t>item_250057</t>
  </si>
  <si>
    <t>黑市40英雄戒指</t>
  </si>
  <si>
    <t>随机获得一件40级未鉴定英雄戒指。</t>
  </si>
  <si>
    <t>item_250058</t>
  </si>
  <si>
    <t>黑市40英雄项链</t>
  </si>
  <si>
    <t>随机获得一件40级未鉴定英雄项链。</t>
  </si>
  <si>
    <t>item_250059</t>
  </si>
  <si>
    <t>黑市60英雄武器</t>
  </si>
  <si>
    <t>随机获得一件60级未鉴定英雄武器。</t>
  </si>
  <si>
    <t>黑市60英雄防具</t>
  </si>
  <si>
    <t>随机获得一件60级未鉴定英雄防具。</t>
  </si>
  <si>
    <t>黑市60英雄戒指</t>
  </si>
  <si>
    <t>随机获得一件60级未鉴定英雄戒指。</t>
  </si>
  <si>
    <t>黑市60英雄项链</t>
  </si>
  <si>
    <t>随机获得一件60级未鉴定英雄项链。</t>
  </si>
  <si>
    <t>随机英雄装备箱</t>
  </si>
  <si>
    <t>随机获得一件60级未鉴定英雄装备，有概率获得一件英雄套装。</t>
  </si>
  <si>
    <t>lb-ziyu</t>
  </si>
  <si>
    <t>南瓜头</t>
  </si>
  <si>
    <t>一个带着诡异微笑的南瓜头，似乎有什么神秘的作用！可用于兑换道具。</t>
  </si>
  <si>
    <t>lb-baiyin</t>
  </si>
  <si>
    <t>2018/11/7-23:59:59</t>
  </si>
  <si>
    <t>英雄套装箱（不绑定）</t>
  </si>
  <si>
    <t>英雄套装箱</t>
  </si>
  <si>
    <t>随机获得一件60级未鉴定英雄套装。</t>
  </si>
  <si>
    <t>lb-zuanshi</t>
  </si>
  <si>
    <t>黑市60英雄武器（活动）</t>
  </si>
  <si>
    <t>未鉴定武器</t>
  </si>
  <si>
    <t>黑市60英雄防具（活动）</t>
  </si>
  <si>
    <t>未鉴定防具</t>
  </si>
  <si>
    <t>黑市60英雄戒指（活动）</t>
  </si>
  <si>
    <t>未鉴定戒指</t>
  </si>
  <si>
    <t>黑市60英雄项链（活动）</t>
  </si>
  <si>
    <t>未鉴定项链</t>
  </si>
  <si>
    <t>英雄套装箱（绑定）</t>
  </si>
  <si>
    <t>黑市80英雄武器</t>
  </si>
  <si>
    <t>随机获得一件80级未鉴定英雄武器。</t>
  </si>
  <si>
    <t>黑市80英雄防具</t>
  </si>
  <si>
    <t>随机获得一件80级未鉴定英雄防具。</t>
  </si>
  <si>
    <t>黑市80英雄戒指</t>
  </si>
  <si>
    <t>随机获得一件80级未鉴定英雄戒指。</t>
  </si>
  <si>
    <t>黑市80英雄项链</t>
  </si>
  <si>
    <t>随机获得一件80级未鉴定英雄项链。</t>
  </si>
  <si>
    <t>黑市80武器</t>
  </si>
  <si>
    <t>随机获得一件80级未鉴定武器。</t>
  </si>
  <si>
    <t>黑市80防具</t>
  </si>
  <si>
    <t>随机获得一件80级未鉴定防具。</t>
  </si>
  <si>
    <t>黑市80戒指</t>
  </si>
  <si>
    <t>随机获得一件80级未鉴定戒指。</t>
  </si>
  <si>
    <t>黑市80项链</t>
  </si>
  <si>
    <t>随机获得一件80级未鉴定项链。</t>
  </si>
  <si>
    <t>黄金装备宝箱</t>
  </si>
  <si>
    <t>黄金套装宝箱</t>
  </si>
  <si>
    <t>打开后可以获得一套60级黄金套装。</t>
  </si>
  <si>
    <t>队长奖励袋子80</t>
  </si>
  <si>
    <t>30265,30265</t>
  </si>
  <si>
    <t>日常任务礼包80</t>
  </si>
  <si>
    <t>80级野外礼包</t>
  </si>
  <si>
    <t>10273</t>
  </si>
  <si>
    <t>10级训练宝箱</t>
  </si>
  <si>
    <t>训练宝箱</t>
  </si>
  <si>
    <t>打开后随机获得一个10级训练道具。</t>
  </si>
  <si>
    <t>10260</t>
  </si>
  <si>
    <t>豪华套装宝箱</t>
  </si>
  <si>
    <t>随机获得一件80级未鉴定稀有英雄套装。</t>
  </si>
  <si>
    <t>item_250110</t>
  </si>
  <si>
    <t>精品套装宝箱</t>
  </si>
  <si>
    <t>随机获得一件80级未鉴定英雄套装。</t>
  </si>
  <si>
    <t>item_250111</t>
  </si>
  <si>
    <t>80级装备宝箱</t>
  </si>
  <si>
    <t>随机获得一件80级未鉴定装备。</t>
  </si>
  <si>
    <t>item_box_25</t>
  </si>
  <si>
    <t>红包</t>
  </si>
  <si>
    <t>新年红包，会给新的一年带来好运。用于兑换道具。</t>
  </si>
  <si>
    <t>item_36</t>
  </si>
  <si>
    <t>2019/2/28-23:59:59</t>
  </si>
  <si>
    <t>60级英雄武器</t>
  </si>
  <si>
    <t>60级英雄防具</t>
  </si>
  <si>
    <t>60级英雄戒指</t>
  </si>
  <si>
    <t>60级英雄项链</t>
  </si>
  <si>
    <t>80级英雄武器</t>
  </si>
  <si>
    <t>80级英雄防具</t>
  </si>
  <si>
    <t>80级英雄戒指</t>
  </si>
  <si>
    <t>80级英雄项链</t>
  </si>
  <si>
    <t>日常任务礼包85</t>
  </si>
  <si>
    <t>队长奖励袋子85</t>
  </si>
  <si>
    <t>30274,30274</t>
  </si>
  <si>
    <t>85香波迪群岛声望装备箱</t>
  </si>
  <si>
    <t>繁星宝箱</t>
  </si>
  <si>
    <t>打开后获得一件英雄·繁星戒指，一件英雄·繁星项链。</t>
  </si>
  <si>
    <t>85级野外礼包</t>
  </si>
  <si>
    <t>新年红包送豪礼，开袋有惊喜~</t>
  </si>
  <si>
    <t>10277</t>
  </si>
  <si>
    <t>福字</t>
  </si>
  <si>
    <t>新年祝福送到来，使用有惊喜~</t>
  </si>
  <si>
    <t>item_35</t>
  </si>
  <si>
    <t>10278</t>
  </si>
  <si>
    <t>鞭炮</t>
  </si>
  <si>
    <t>鞭炮声声响，祝福新年步步高升，可用于兑换神秘道具。</t>
  </si>
  <si>
    <t>item_34</t>
  </si>
  <si>
    <t>决斗者套装箱</t>
  </si>
  <si>
    <t>打开后随机获得一件80级决斗者套装。</t>
  </si>
  <si>
    <t>lb-huangjin</t>
  </si>
  <si>
    <t>10279</t>
  </si>
  <si>
    <t>打火石</t>
  </si>
  <si>
    <t>原始的生火工具，可用于燃放烟花。</t>
  </si>
  <si>
    <t>item_55</t>
  </si>
  <si>
    <t>火把</t>
  </si>
  <si>
    <t>燃烧着的火把，可用于燃放高级烟花。</t>
  </si>
  <si>
    <t>item_56</t>
  </si>
  <si>
    <t>玫瑰花</t>
  </si>
  <si>
    <t>炽热爱意的玫瑰，献给最亲爱的你，使用可随机获得道具。</t>
  </si>
  <si>
    <t>item_47</t>
  </si>
  <si>
    <t>10280</t>
  </si>
  <si>
    <t>康乃馨</t>
  </si>
  <si>
    <t>女神们最喜欢的花朵之一，使用后可获得神秘道具。</t>
  </si>
  <si>
    <t>item_41</t>
  </si>
  <si>
    <t>10281</t>
  </si>
  <si>
    <t>庆典礼盒</t>
  </si>
  <si>
    <t>【航海王：燃烧意志】半周年庆典礼盒，可以兑换道具。</t>
  </si>
  <si>
    <t>item_43</t>
  </si>
  <si>
    <t>2019/4/3-23:59:59</t>
  </si>
  <si>
    <t>打开后可以获得一套60级黄金套装（等级达到60可开启）。</t>
  </si>
  <si>
    <t>10256</t>
  </si>
  <si>
    <t>随机SSR宝箱</t>
  </si>
  <si>
    <t>随机获得一个未拥有的SSR角色。</t>
  </si>
  <si>
    <t>item_250136</t>
  </si>
  <si>
    <t>1;100;113003,30;113004,20;113005,10</t>
  </si>
  <si>
    <t>随机时装宝箱</t>
  </si>
  <si>
    <t>随机获得一件未拥有的时装。</t>
  </si>
  <si>
    <t>item_250137</t>
  </si>
  <si>
    <t>2;100;1,70;2,60;3,50;4,40;5,30;6,20;7,10</t>
  </si>
  <si>
    <t>随机套装宝箱</t>
  </si>
  <si>
    <t>item_250138</t>
  </si>
  <si>
    <t>3;2800101,30;2800102,30;2800103,30;2800104,30;2800201,30;2800202,30;2800203,30;2800204,30;2800301,30;2800302,30;2800303,30;2800304,30</t>
  </si>
  <si>
    <t>柳条</t>
  </si>
  <si>
    <t>用来祭奠英灵的物品，可用来兑换神秘道具。</t>
  </si>
  <si>
    <t>item_44</t>
  </si>
  <si>
    <t>10282</t>
  </si>
  <si>
    <t>新版庆典礼盒</t>
  </si>
  <si>
    <t>迎新版本庆典礼盒，使用后可获得神秘奖励</t>
  </si>
  <si>
    <t>10283</t>
  </si>
  <si>
    <t>幸运彩蛋</t>
  </si>
  <si>
    <t>使用后可获得幸运奖励。</t>
  </si>
  <si>
    <t>item_25</t>
  </si>
  <si>
    <t>粽子</t>
  </si>
  <si>
    <t>端午节的必备食物，使用后获得道具。</t>
  </si>
  <si>
    <t>item_59</t>
  </si>
  <si>
    <t>10284</t>
  </si>
  <si>
    <t>属性药丸盒</t>
  </si>
  <si>
    <t>使用后随机获得一个属性伤害药丸。</t>
  </si>
  <si>
    <t>10285</t>
  </si>
  <si>
    <t>抗性药剂盒</t>
  </si>
  <si>
    <t>使用后随机获得一个高级抗性药剂。</t>
  </si>
  <si>
    <t>10286</t>
  </si>
  <si>
    <t>黑市100武器</t>
  </si>
  <si>
    <t>随机获得一件100级未鉴定武器。</t>
  </si>
  <si>
    <t>黑市100防具</t>
  </si>
  <si>
    <t>随机获得一件100级未鉴定防具。</t>
  </si>
  <si>
    <t>黑市100戒指</t>
  </si>
  <si>
    <t>随机获得一件100级未鉴定戒指。</t>
  </si>
  <si>
    <t>黑市100项链</t>
  </si>
  <si>
    <t>随机获得一件100级未鉴定项链。</t>
  </si>
  <si>
    <t>黑市100英雄武器</t>
  </si>
  <si>
    <t>随机获得一件100级未鉴定英雄武器。</t>
  </si>
  <si>
    <t>黑市100英雄防具</t>
  </si>
  <si>
    <t>随机获得一件100级未鉴定英雄防具。</t>
  </si>
  <si>
    <t>黑市100英雄戒指</t>
  </si>
  <si>
    <t>随机获得一件100级未鉴定英雄戒指。</t>
  </si>
  <si>
    <t>黑市100英雄项链</t>
  </si>
  <si>
    <t>随机获得一件100级未鉴定英雄项链。</t>
  </si>
  <si>
    <t>100级小礼包</t>
  </si>
  <si>
    <t>队长奖励袋子100</t>
  </si>
  <si>
    <t>30346,30346</t>
  </si>
  <si>
    <t>100级野外礼包</t>
  </si>
  <si>
    <t>资源找回突破绿</t>
  </si>
  <si>
    <t>初级突破盒</t>
  </si>
  <si>
    <t>打开后随机获得一个初级突破道具。</t>
  </si>
  <si>
    <t>资源找回突破蓝</t>
  </si>
  <si>
    <t>中级突破盒</t>
  </si>
  <si>
    <t>打开后随机获得一个中级突破道具。</t>
  </si>
  <si>
    <t>资源找回突破紫</t>
  </si>
  <si>
    <t>高级突破盒</t>
  </si>
  <si>
    <t>打开后随机获得一个高级突破道具。</t>
  </si>
  <si>
    <t>资源找回突破橙</t>
  </si>
  <si>
    <t>超级突破盒</t>
  </si>
  <si>
    <t>打开后随机获得一个超级突破道具。</t>
  </si>
  <si>
    <t>资源找回40级装备</t>
  </si>
  <si>
    <t>打开后随机获得一件40级装备。</t>
  </si>
  <si>
    <t>资源找回50级装备</t>
  </si>
  <si>
    <t>打开后随机获得一件50级装备，有概率获得60级装备。</t>
  </si>
  <si>
    <t>10295</t>
  </si>
  <si>
    <t>资源找回60级装备</t>
  </si>
  <si>
    <t>打开后随机获得一件60级装备。</t>
  </si>
  <si>
    <t>10298</t>
  </si>
  <si>
    <t>资源找回60级套装</t>
  </si>
  <si>
    <t>资源找回80级套装</t>
  </si>
  <si>
    <t>打开后随机获得一件80级装备。</t>
  </si>
  <si>
    <t>10301</t>
  </si>
  <si>
    <t>资源找回远征D</t>
  </si>
  <si>
    <t>远征宝箱</t>
  </si>
  <si>
    <t>打开后随机获得一件D级远征任务奖励。</t>
  </si>
  <si>
    <t>50001</t>
  </si>
  <si>
    <t>资源找回远征C</t>
  </si>
  <si>
    <t>打开后随机获得一件C级远征任务奖励。</t>
  </si>
  <si>
    <t>资源找回远征B</t>
  </si>
  <si>
    <t>打开后随机获得一件B级远征任务奖励。</t>
  </si>
  <si>
    <t>资源找回远征A</t>
  </si>
  <si>
    <t>打开后随机获得一件A级远征任务奖励。</t>
  </si>
  <si>
    <t>资源找回远征S</t>
  </si>
  <si>
    <t>打开后随机获得一件S级远征任务奖励。</t>
  </si>
  <si>
    <t>周年庆狂欢宝石礼包</t>
  </si>
  <si>
    <t>打开会随机获得 2 颗 LV5 ~ LV7的（攻击宝石，生命宝石，防御宝石，速度宝石，怒气宝石）宝石。</t>
  </si>
  <si>
    <t>large_bag_80</t>
  </si>
  <si>
    <t>春节宝石礼包</t>
  </si>
  <si>
    <t>随机训练箱</t>
  </si>
  <si>
    <t>打开后随机获得一本1级训练书。</t>
  </si>
  <si>
    <t>打开后随机获得一本2级训练书。</t>
  </si>
  <si>
    <t>无暇宝石箱·小</t>
  </si>
  <si>
    <t>打开会随机获得2颗LV1~4的（生命、攻击、防御、破击、命中、正义、骷髅、胜利、回血、吸血）宝石。</t>
  </si>
  <si>
    <t>item_511271</t>
  </si>
  <si>
    <t>璀璨宝石袋·小</t>
  </si>
  <si>
    <t>打开会随机获得2颗LV1~4的（生命、攻击、防御、格挡、闪避、抗暴伤、韧性、回怒、治愈、回复）宝石。</t>
  </si>
  <si>
    <t>华贵宝石箱·小</t>
  </si>
  <si>
    <t>打开会随机获得2颗LV1~4的（生命、攻击、防御、速度、暴击、暴伤、怒气、属伤、抗属伤、穿透）宝石。</t>
  </si>
  <si>
    <t>无暇宝石箱·中</t>
  </si>
  <si>
    <t>打开会随机获得2颗LV2~5的（生命、攻击、防御、破击、命中、正义、骷髅、胜利、回血、吸血）宝石。</t>
  </si>
  <si>
    <t>item_511272</t>
  </si>
  <si>
    <t>璀璨宝石袋·中</t>
  </si>
  <si>
    <t>打开会随机获得2颗LV2~5的（生命、攻击、防御、格挡、闪避、抗暴伤、韧性、回怒、治愈、回复）宝石。</t>
  </si>
  <si>
    <t>华贵宝石箱·中</t>
  </si>
  <si>
    <t>打开会随机获得2颗LV2~5的（生命、攻击、防御、速度、暴击、暴伤、怒气、属伤、抗属伤、穿透）宝石。</t>
  </si>
  <si>
    <t>无暇宝石箱·大</t>
  </si>
  <si>
    <t>打开会随机获得2颗LV3~7的（生命、攻击、防御、破击、命中、正义、骷髅、胜利、回血、吸血）宝石。</t>
  </si>
  <si>
    <t>item_511273</t>
  </si>
  <si>
    <t>璀璨宝石袋·大</t>
  </si>
  <si>
    <t>打开会随机获得2颗LV3~7的（生命、攻击、防御、格挡、闪避、抗暴伤、韧性、回怒、治愈、回复）宝石。</t>
  </si>
  <si>
    <t>华贵宝石箱·大</t>
  </si>
  <si>
    <t>打开会随机获得2颗LV3~7的（生命、攻击、防御、速度、暴击、暴伤、怒气、属伤、抗属伤、穿透）宝石。</t>
  </si>
  <si>
    <t>item_box_26</t>
  </si>
  <si>
    <t>草药茎</t>
  </si>
  <si>
    <t>item_411002</t>
  </si>
  <si>
    <t>白色草药茎</t>
  </si>
  <si>
    <t>普通草药叶</t>
  </si>
  <si>
    <t>用于制作药品的高级材料，分解完整药材可以获得</t>
  </si>
  <si>
    <t>item_411003</t>
  </si>
  <si>
    <t>白色草药叶</t>
  </si>
  <si>
    <t>普通草药花</t>
  </si>
  <si>
    <t>item_411004</t>
  </si>
  <si>
    <t>白色草药花</t>
  </si>
  <si>
    <t>普通草药果实</t>
  </si>
  <si>
    <t>item_411005</t>
  </si>
  <si>
    <t>白色草药果实</t>
  </si>
  <si>
    <t>石制药碾</t>
  </si>
  <si>
    <t>分解药材时需要的工具，可以在杂货店购买</t>
  </si>
  <si>
    <t>item_411006</t>
  </si>
  <si>
    <t>石制药杵</t>
  </si>
  <si>
    <t>item_411007</t>
  </si>
  <si>
    <t>泪滴草药</t>
  </si>
  <si>
    <t>制作特殊药品的稀有材料，分解完整药材可以获得。</t>
  </si>
  <si>
    <t>item_411008</t>
  </si>
  <si>
    <t>金色泪滴草药</t>
  </si>
  <si>
    <t>彩虹草药</t>
  </si>
  <si>
    <t>item_411009</t>
  </si>
  <si>
    <t>金色彩虹草药</t>
  </si>
  <si>
    <t>白色梦幻草药</t>
  </si>
  <si>
    <t>梦幻草药</t>
  </si>
  <si>
    <t>item_411010</t>
  </si>
  <si>
    <t>白色远古草药</t>
  </si>
  <si>
    <t>远古草药</t>
  </si>
  <si>
    <t>item_411011</t>
  </si>
  <si>
    <t>稀有草药叶</t>
  </si>
  <si>
    <t>item_412003</t>
  </si>
  <si>
    <t>绿色草药叶</t>
  </si>
  <si>
    <t>稀有草药花</t>
  </si>
  <si>
    <t>item_412004</t>
  </si>
  <si>
    <t>绿色草药花</t>
  </si>
  <si>
    <t>稀有草药果实</t>
  </si>
  <si>
    <t>item_412005</t>
  </si>
  <si>
    <t>绿色草药果实</t>
  </si>
  <si>
    <t>玻璃试管</t>
  </si>
  <si>
    <t>用于制作药品的工具，可以在杂货店购买</t>
  </si>
  <si>
    <t>item_412006</t>
  </si>
  <si>
    <t>玻璃烧瓶</t>
  </si>
  <si>
    <t>item_412007</t>
  </si>
  <si>
    <t>非凡草药叶</t>
  </si>
  <si>
    <t>item_413003</t>
  </si>
  <si>
    <t>蓝色草药叶</t>
  </si>
  <si>
    <t>非凡草药花</t>
  </si>
  <si>
    <t>item_413004</t>
  </si>
  <si>
    <t>蓝色草药花</t>
  </si>
  <si>
    <t>非凡草药果实</t>
  </si>
  <si>
    <t>item_413005</t>
  </si>
  <si>
    <t>蓝色草药果实</t>
  </si>
  <si>
    <t>强化玻璃试管</t>
  </si>
  <si>
    <t>item_413006</t>
  </si>
  <si>
    <t>强化玻璃烧瓶</t>
  </si>
  <si>
    <t>item_413007</t>
  </si>
  <si>
    <t>史诗草药叶</t>
  </si>
  <si>
    <t>item_414003</t>
  </si>
  <si>
    <t>紫色草药叶</t>
  </si>
  <si>
    <t>史诗草药花</t>
  </si>
  <si>
    <t>item_414004</t>
  </si>
  <si>
    <t>紫色草药花</t>
  </si>
  <si>
    <t>史诗草药果实</t>
  </si>
  <si>
    <t>item_414005</t>
  </si>
  <si>
    <t>紫色草药果实</t>
  </si>
  <si>
    <t>水晶试管</t>
  </si>
  <si>
    <t>item_414006</t>
  </si>
  <si>
    <t>树脂试管</t>
  </si>
  <si>
    <t>水晶烧瓶</t>
  </si>
  <si>
    <t>item_414007</t>
  </si>
  <si>
    <t>树脂烧瓶</t>
  </si>
  <si>
    <t>传奇草药根</t>
  </si>
  <si>
    <t>item_415001</t>
  </si>
  <si>
    <t>传奇草药茎</t>
  </si>
  <si>
    <t>item_415002</t>
  </si>
  <si>
    <t>传奇草药叶</t>
  </si>
  <si>
    <t>item_415003</t>
  </si>
  <si>
    <t>金色草药叶</t>
  </si>
  <si>
    <t>传奇草药花</t>
  </si>
  <si>
    <t>item_415004</t>
  </si>
  <si>
    <t>金色草药花</t>
  </si>
  <si>
    <t>传奇草药果实</t>
  </si>
  <si>
    <t>item_415005</t>
  </si>
  <si>
    <t>金色草药果实</t>
  </si>
  <si>
    <t>黄金药碾</t>
  </si>
  <si>
    <t>item_415006</t>
  </si>
  <si>
    <t>黄金药杵</t>
  </si>
  <si>
    <t>item_415007</t>
  </si>
  <si>
    <t>虚幻草药根</t>
  </si>
  <si>
    <t>用于制作药品的传奇材料，分解完整药材可以获得</t>
  </si>
  <si>
    <t>item_416001</t>
  </si>
  <si>
    <t>虚幻草药茎</t>
  </si>
  <si>
    <t>item_416002</t>
  </si>
  <si>
    <t>虚幻草药叶</t>
  </si>
  <si>
    <t>item_416003</t>
  </si>
  <si>
    <t>虚幻草药花</t>
  </si>
  <si>
    <t>item_416004</t>
  </si>
  <si>
    <t>虚幻草药果实</t>
  </si>
  <si>
    <t>item_416005</t>
  </si>
  <si>
    <t>虚幻草药</t>
  </si>
  <si>
    <t>item_416006</t>
  </si>
  <si>
    <t>奇异种子</t>
  </si>
  <si>
    <t>用于制作药品的传奇材料。</t>
  </si>
  <si>
    <t>item_417002</t>
  </si>
  <si>
    <t>奇异种子线上委托</t>
  </si>
  <si>
    <t>item_417001</t>
  </si>
  <si>
    <t>奇异种子暂时未用</t>
  </si>
  <si>
    <t>初级恢复药剂</t>
  </si>
  <si>
    <t>使用后全队立刻恢复20%生命，同类型道具冷却时间15秒</t>
  </si>
  <si>
    <t>item_441001</t>
  </si>
  <si>
    <t>类型：生命恢复</t>
  </si>
  <si>
    <t>学徒恢复药剂</t>
  </si>
  <si>
    <t>高级恢复药剂</t>
  </si>
  <si>
    <t>使用后全队立刻恢复50%生命，同类型道具冷却时间15秒</t>
  </si>
  <si>
    <t>item_441003</t>
  </si>
  <si>
    <t>中级恢复药剂</t>
  </si>
  <si>
    <t>超级恢复药剂</t>
  </si>
  <si>
    <t>使用后全队立刻恢复80%生命，同类型道具冷却时间15秒</t>
  </si>
  <si>
    <t>item_441004</t>
  </si>
  <si>
    <t>完美恢复合剂</t>
  </si>
  <si>
    <t>使用后全队立刻恢复100%生命，同类型道具冷却时间15秒</t>
  </si>
  <si>
    <t>item_441005</t>
  </si>
  <si>
    <t>大师恢复药剂</t>
  </si>
  <si>
    <t>初级剧毒药丸</t>
  </si>
  <si>
    <t>毒属性伤害永久提升1%，每个角色使用上限30个</t>
  </si>
  <si>
    <t>item_491001</t>
  </si>
  <si>
    <t>类型：属性伤害提升</t>
  </si>
  <si>
    <t>学徒强毒药丸</t>
  </si>
  <si>
    <t>初级激流药丸</t>
  </si>
  <si>
    <t>水属性伤害永久提升1%，每个角色使用上限30个</t>
  </si>
  <si>
    <t>item_491002</t>
  </si>
  <si>
    <t>学徒激流药丸</t>
  </si>
  <si>
    <t>初级烈焰药丸</t>
  </si>
  <si>
    <t>火属性伤害永久提升1%，每个角色使用上限30个</t>
  </si>
  <si>
    <t>item_491003</t>
  </si>
  <si>
    <t>学徒强火药丸</t>
  </si>
  <si>
    <t>初级寒冰药剂</t>
  </si>
  <si>
    <t>初级寒冰药丸</t>
  </si>
  <si>
    <t>冰属性伤害永久提升1%，每个角色使用上限30个</t>
  </si>
  <si>
    <t>item_491004</t>
  </si>
  <si>
    <t>学徒强冰药丸</t>
  </si>
  <si>
    <t>初级狂风药丸</t>
  </si>
  <si>
    <t>风属性伤害永久提升1%，每个角色使用上限30个</t>
  </si>
  <si>
    <t>item_491005</t>
  </si>
  <si>
    <t>学徒强风药丸</t>
  </si>
  <si>
    <t>初级雷电药丸</t>
  </si>
  <si>
    <t>雷属性伤害永久提升1%，每个角色使用上限30个</t>
  </si>
  <si>
    <t>item_491006</t>
  </si>
  <si>
    <t>学徒强雷药丸</t>
  </si>
  <si>
    <t>初级耀光药丸</t>
  </si>
  <si>
    <t>光属性伤害永久提升1%，每个角色使用上限30个</t>
  </si>
  <si>
    <t>item_491007</t>
  </si>
  <si>
    <t>学徒强光药丸</t>
  </si>
  <si>
    <t>初级幽暗药丸</t>
  </si>
  <si>
    <t>暗属性伤害永久提升1%，每个角色使用上限30个</t>
  </si>
  <si>
    <t>item_491008</t>
  </si>
  <si>
    <t>学徒强暗药丸</t>
  </si>
  <si>
    <t>初级抗毒药剂</t>
  </si>
  <si>
    <t>受到毒属性伤害永久降低2%，每个角色使用上限30个</t>
  </si>
  <si>
    <t>item_491009</t>
  </si>
  <si>
    <t>类型：属性伤害抵抗</t>
  </si>
  <si>
    <t>学徒抗毒药剂</t>
  </si>
  <si>
    <t>初级抗火药剂</t>
  </si>
  <si>
    <t>受到火属性伤害永久降低2%，每个角色使用上限30个</t>
  </si>
  <si>
    <t>item_491011</t>
  </si>
  <si>
    <t>学徒抗火药剂</t>
  </si>
  <si>
    <t>初级抗风药剂</t>
  </si>
  <si>
    <t>受到风属性伤害永久降低2%，每个角色使用上限30个</t>
  </si>
  <si>
    <t>item_491012</t>
  </si>
  <si>
    <t>学徒抗风药剂</t>
  </si>
  <si>
    <t>初级抗冰药剂</t>
  </si>
  <si>
    <t>受到冰属性伤害永久降低2%，每个角色使用上限30个</t>
  </si>
  <si>
    <t>item_491013</t>
  </si>
  <si>
    <t>学徒冰抗药剂</t>
  </si>
  <si>
    <t>初级抗雷药剂</t>
  </si>
  <si>
    <t>受到雷属性伤害永久降低2%，每个角色使用上限30个</t>
  </si>
  <si>
    <t>item_491014</t>
  </si>
  <si>
    <t>学徒抗雷药剂</t>
  </si>
  <si>
    <t>初级抗光药剂</t>
  </si>
  <si>
    <t>受到光属性伤害永久降低2%，每个角色使用上限30个</t>
  </si>
  <si>
    <t>item_491015</t>
  </si>
  <si>
    <t>学徒抗光药剂</t>
  </si>
  <si>
    <t>初级抗暗药剂</t>
  </si>
  <si>
    <t>受到暗属性伤害永久降低2%，每个角色使用上限30个</t>
  </si>
  <si>
    <t>item_491016</t>
  </si>
  <si>
    <t>学徒抗暗药剂</t>
  </si>
  <si>
    <t>初级生命药丸</t>
  </si>
  <si>
    <t>生命上限增加1000，与玩家战斗不生效，持续60分钟，同类型不可累积使用</t>
  </si>
  <si>
    <t>item_491017</t>
  </si>
  <si>
    <t>类型：生命提升</t>
  </si>
  <si>
    <t>学徒生命药丸</t>
  </si>
  <si>
    <t>初级攻击药丸</t>
  </si>
  <si>
    <t>单个角色攻击增加10%，与玩家战斗不生效，持续30分钟，同类型不可累积使用</t>
  </si>
  <si>
    <t>item_491018</t>
  </si>
  <si>
    <t>类型：攻击提升</t>
  </si>
  <si>
    <t>学徒攻击药丸</t>
  </si>
  <si>
    <t>初级防御药丸</t>
  </si>
  <si>
    <t>单个角色防御增加10%，与玩家战斗不生效，持续30分钟，同类型不可累积使用</t>
  </si>
  <si>
    <t>item_491019</t>
  </si>
  <si>
    <t>类型：防御提升</t>
  </si>
  <si>
    <t>学徒防御药丸</t>
  </si>
  <si>
    <t>初级暴击药丸</t>
  </si>
  <si>
    <t>单个角色暴击增加10%，与玩家战斗不生效，持续30分钟，同类型不可累积使用</t>
  </si>
  <si>
    <t>item_491020</t>
  </si>
  <si>
    <t>类型：暴击提升</t>
  </si>
  <si>
    <t>学徒暴击药丸</t>
  </si>
  <si>
    <t>初级韧性药丸</t>
  </si>
  <si>
    <t>单个角色韧性增加10%，与玩家战斗不生效，持续30分钟，同类型不可累积使用</t>
  </si>
  <si>
    <t>item_491021</t>
  </si>
  <si>
    <t>类型：韧性提升</t>
  </si>
  <si>
    <t>学徒韧性药丸</t>
  </si>
  <si>
    <t>初级命中药丸</t>
  </si>
  <si>
    <t>单个角色命中增加10%，与玩家战斗不生效，持续30分钟，同类型不可累积使用</t>
  </si>
  <si>
    <t>item_491022</t>
  </si>
  <si>
    <t>类型：命中提升</t>
  </si>
  <si>
    <t>学徒命中药丸</t>
  </si>
  <si>
    <t>初级闪避药丸</t>
  </si>
  <si>
    <t>单个角色闪避增加10%，与玩家战斗不生效，持续30分钟，同类型不可累积使用</t>
  </si>
  <si>
    <t>item_491023</t>
  </si>
  <si>
    <t>类型：闪避提升</t>
  </si>
  <si>
    <t>学徒闪避药丸</t>
  </si>
  <si>
    <t>初级速度药丸</t>
  </si>
  <si>
    <t>单个角色速度增加10%，与玩家战斗不生效，持续30分钟，同类型不可累积使用</t>
  </si>
  <si>
    <t>item_491024</t>
  </si>
  <si>
    <t>类型：速度提升</t>
  </si>
  <si>
    <t>学徒速度药丸</t>
  </si>
  <si>
    <t>初级丰收药剂</t>
  </si>
  <si>
    <t>战胜野怪后获得金块和经验增加10%，持续30分钟，同类型不会累积效果</t>
  </si>
  <si>
    <t>item_491025</t>
  </si>
  <si>
    <t>类型：野外收益提升</t>
  </si>
  <si>
    <t>学徒丰收药剂</t>
  </si>
  <si>
    <t>初级格挡药丸</t>
  </si>
  <si>
    <t>增加格挡值200，与玩家战斗不生效，持续60分钟，同类型不可累积使用</t>
  </si>
  <si>
    <t>item_491026</t>
  </si>
  <si>
    <t>类型：格挡提升</t>
  </si>
  <si>
    <t>学徒格挡药丸</t>
  </si>
  <si>
    <t>初级破击药丸</t>
  </si>
  <si>
    <t>增加破击值200，与玩家战斗不生效，持续60分钟，同类型不可累积使用</t>
  </si>
  <si>
    <t>item_491027</t>
  </si>
  <si>
    <t>类型：破击提升</t>
  </si>
  <si>
    <t>学徒破击药丸</t>
  </si>
  <si>
    <t>初级经验药剂</t>
  </si>
  <si>
    <t>经验获取提升10%</t>
  </si>
  <si>
    <t>item_460004</t>
  </si>
  <si>
    <t>初级金币药剂</t>
  </si>
  <si>
    <t>金币获取提升10%</t>
  </si>
  <si>
    <t>超级攻击药剂</t>
  </si>
  <si>
    <t>单个角色攻击增加30%，与玩家战斗不生效，持续10分钟，同类型不可累积使用</t>
  </si>
  <si>
    <t>item_491032</t>
  </si>
  <si>
    <t>超级治疗药剂</t>
  </si>
  <si>
    <t>单个角色治疗量增加30%，与玩家战斗不生效，持续10分钟，同类型不可累积使用</t>
  </si>
  <si>
    <t>item_491038</t>
  </si>
  <si>
    <t>类型：治疗提升</t>
  </si>
  <si>
    <t>超级增伤药剂</t>
  </si>
  <si>
    <t>单个角色攻击力永久增加10点，每个角色使用上限10个</t>
  </si>
  <si>
    <t>item_491034</t>
  </si>
  <si>
    <t>类型：伤害提升</t>
  </si>
  <si>
    <t>超级防御药剂</t>
  </si>
  <si>
    <t>单个角色伤害增加30%，与玩家战斗不生效，持续10分钟，同类型不可累积使用</t>
  </si>
  <si>
    <t>item_491035</t>
  </si>
  <si>
    <t>类型：伤害抵抗</t>
  </si>
  <si>
    <t xml:space="preserve">超级属伤药剂 </t>
  </si>
  <si>
    <t>单个角色防御力增加30%，与玩家战斗不生效，持续10分钟，同类型不可累积使用</t>
  </si>
  <si>
    <t>item_491037</t>
  </si>
  <si>
    <t>超级增强药剂</t>
  </si>
  <si>
    <t>单个角色生命永久增加40点，每个角色使用上限10个</t>
  </si>
  <si>
    <t>item_491036</t>
  </si>
  <si>
    <t>超级攻击合剂</t>
  </si>
  <si>
    <t>单个角色全属性伤害增加300，与玩家战斗不生效，持续10分钟，同类型不可累积使用</t>
  </si>
  <si>
    <t>item_491043</t>
  </si>
  <si>
    <t>超级生命合剂</t>
  </si>
  <si>
    <t>单个角色生命增加20%，与玩家战斗不生效，持续10分钟，同类型不可累积使用</t>
  </si>
  <si>
    <t>item_491044</t>
  </si>
  <si>
    <t>超级防御合剂</t>
  </si>
  <si>
    <t>单个角色防御永久增加2点，每个角色使用上限10个</t>
  </si>
  <si>
    <t>item_491042</t>
  </si>
  <si>
    <t>完美攻击合剂</t>
  </si>
  <si>
    <t>单个角色攻击永久增加16点，每个角色使用上限20个</t>
  </si>
  <si>
    <t>item_491041</t>
  </si>
  <si>
    <t>完美生命合剂</t>
  </si>
  <si>
    <t>单个角色生命永久增加140点，每个角色使用上限20个</t>
  </si>
  <si>
    <t>item_491039</t>
  </si>
  <si>
    <t>完美防御合剂</t>
  </si>
  <si>
    <t>单个角色防御永久增加6点，每个角色使用上限20个</t>
  </si>
  <si>
    <t>item_491040</t>
  </si>
  <si>
    <t>item_491033</t>
  </si>
  <si>
    <t>类型：暴伤提升</t>
  </si>
  <si>
    <t>完美暴伤药剂</t>
  </si>
  <si>
    <t>测试攻击药丸1</t>
  </si>
  <si>
    <t>己方角色攻击增加10%，与玩家战斗不生效，持续30分钟，同类型不可累积使用</t>
  </si>
  <si>
    <t>测试攻击药丸2</t>
  </si>
  <si>
    <t>敌方角色攻击降低10%，与玩家战斗不生效，持续30分钟，同类型不可累积使用</t>
  </si>
  <si>
    <t>测试攻击药丸3</t>
  </si>
  <si>
    <t>进入战斗后对敌方造成百分比伤害，与玩家战斗不生效，持续30分钟，同类型不可累积使用</t>
  </si>
  <si>
    <t>大型剧毒药丸</t>
  </si>
  <si>
    <t>超级剧毒合剂</t>
  </si>
  <si>
    <t>毒属性伤害永久提升2%，每个角色使用上限30个</t>
  </si>
  <si>
    <t>初级强毒药丸</t>
  </si>
  <si>
    <t>大型激流药丸</t>
  </si>
  <si>
    <t>超级激流合剂</t>
  </si>
  <si>
    <t>水属性伤害永久提升2%，每个角色使用上限30个</t>
  </si>
  <si>
    <t>大型烈火药丸</t>
  </si>
  <si>
    <t>增加火属性伤害100，与玩家战斗不生效，持续60分钟，同类型不可累积使用</t>
  </si>
  <si>
    <t>初级强火药丸</t>
  </si>
  <si>
    <t>大型寒冰药丸</t>
  </si>
  <si>
    <t>增加冰属性伤害100，与玩家战斗不生效，持续60分钟，同类型不可累积使用</t>
  </si>
  <si>
    <t>初级强冰药丸</t>
  </si>
  <si>
    <t>大型暴风药丸</t>
  </si>
  <si>
    <t>增加风属性伤害100，与玩家战斗不生效，持续60分钟，同类型不可累积使用</t>
  </si>
  <si>
    <t>初级强风药丸</t>
  </si>
  <si>
    <t>大型雷电药丸</t>
  </si>
  <si>
    <t>增加雷属性伤害100，与玩家战斗不生效，持续60分钟，同类型不可累积使用</t>
  </si>
  <si>
    <t>初级强雷药丸</t>
  </si>
  <si>
    <t>大型光明药丸</t>
  </si>
  <si>
    <t>增加光属性伤害100，与玩家战斗不生效，持续60分钟，同类型不可累积使用</t>
  </si>
  <si>
    <t>初级强光药丸</t>
  </si>
  <si>
    <t>大型黑暗药丸</t>
  </si>
  <si>
    <t>增加暗属性伤害100，与玩家战斗不生效，持续60分钟，同类型不可累积使用</t>
  </si>
  <si>
    <t>初级强暗药丸</t>
  </si>
  <si>
    <t>高级抗毒药剂</t>
  </si>
  <si>
    <t>高级抗水药剂</t>
  </si>
  <si>
    <t>受到水属性伤害永久降低2%，每个角色使用上限30个</t>
  </si>
  <si>
    <t>item_491010</t>
  </si>
  <si>
    <t>初级抗水药剂</t>
  </si>
  <si>
    <t>高级抗火药剂</t>
  </si>
  <si>
    <t>高级抗风药剂</t>
  </si>
  <si>
    <t>高级抗冰药剂</t>
  </si>
  <si>
    <t>初级冰抗药剂</t>
  </si>
  <si>
    <t>高级抗雷药剂</t>
  </si>
  <si>
    <t>高级抗光药剂</t>
  </si>
  <si>
    <t>高级抗暗药剂</t>
  </si>
  <si>
    <t>大型生命药丸</t>
  </si>
  <si>
    <t>高级攻击药丸</t>
  </si>
  <si>
    <t>单个角色攻击增加20%，与玩家战斗不生效，持续30分钟，同类型不会累积效果</t>
  </si>
  <si>
    <t>高级防御药丸</t>
  </si>
  <si>
    <t>单个角色防御增加20%，与玩家战斗不生效，持续30分钟，同类型不会累积效果</t>
  </si>
  <si>
    <t>高级暴击药丸</t>
  </si>
  <si>
    <t>单个角色暴击增加20%，与玩家战斗不生效，持续30分钟，同类型不会累积效果</t>
  </si>
  <si>
    <t>高级韧性药丸</t>
  </si>
  <si>
    <t>单个角色韧性增加20%，与玩家战斗不生效，持续30分钟，同类型不会累积效果</t>
  </si>
  <si>
    <t>高级命中药丸</t>
  </si>
  <si>
    <t>单个角色命中增加20%，与玩家战斗不生效，持续30分钟，同类型不会累积效果</t>
  </si>
  <si>
    <t>高级闪避药丸</t>
  </si>
  <si>
    <t>单个角色闪避增加20%，与玩家战斗不生效，持续30分钟，同类型不会累积效果</t>
  </si>
  <si>
    <t>高级速度药丸</t>
  </si>
  <si>
    <t>单个角色速度增加20%，与玩家战斗不生效，持续30分钟，同类型不会累积效果</t>
  </si>
  <si>
    <t>高级丰收药剂</t>
  </si>
  <si>
    <t>战胜野怪后获得金块和经验增加15%，持续30分钟，同类型不会累积效果</t>
  </si>
  <si>
    <t>大型格挡药丸</t>
  </si>
  <si>
    <t>增加格挡值400，与玩家战斗不生效，持续60分钟，同类型不可累积使用</t>
  </si>
  <si>
    <t>大型破击药丸</t>
  </si>
  <si>
    <t>增加破击值400，与玩家战斗不生效，持续60分钟，同类型不可累积使用</t>
  </si>
  <si>
    <t>高级经验药剂</t>
  </si>
  <si>
    <t>使用后玩家获得经验增加50%，持续24小时，同类型不会累积效果</t>
  </si>
  <si>
    <t>item_493001</t>
  </si>
  <si>
    <t>奥义经验药剂</t>
  </si>
  <si>
    <t>使用后玩家获得经验增加150%，持续24小时，同类型不会累积效果</t>
  </si>
  <si>
    <t>item_493002</t>
  </si>
  <si>
    <t>榉木</t>
  </si>
  <si>
    <t>水曲柳</t>
  </si>
  <si>
    <t>柞木</t>
  </si>
  <si>
    <t>椴木</t>
  </si>
  <si>
    <t>榆木</t>
  </si>
  <si>
    <t>木条</t>
  </si>
  <si>
    <t>铁片</t>
  </si>
  <si>
    <t>枫木</t>
  </si>
  <si>
    <t>樟木</t>
  </si>
  <si>
    <t>红松</t>
  </si>
  <si>
    <t>桦木</t>
  </si>
  <si>
    <t>柳木</t>
  </si>
  <si>
    <t>木板</t>
  </si>
  <si>
    <t>齿轮</t>
  </si>
  <si>
    <t>红衫木</t>
  </si>
  <si>
    <t>紫檀木</t>
  </si>
  <si>
    <t>白松</t>
  </si>
  <si>
    <t>楠木</t>
  </si>
  <si>
    <t>乌木</t>
  </si>
  <si>
    <t>帆布</t>
  </si>
  <si>
    <t>弹簧</t>
  </si>
  <si>
    <t>黑檀木</t>
  </si>
  <si>
    <t>水杉木</t>
  </si>
  <si>
    <t>箭毒木</t>
  </si>
  <si>
    <t>铁桦木</t>
  </si>
  <si>
    <t>铁力木</t>
  </si>
  <si>
    <t>铰链</t>
  </si>
  <si>
    <t>曲柄</t>
  </si>
  <si>
    <t>亚当宝树</t>
  </si>
  <si>
    <t>龙血木</t>
  </si>
  <si>
    <t>梧桐木</t>
  </si>
  <si>
    <t>阳树夏娃</t>
  </si>
  <si>
    <t>全知之树</t>
  </si>
  <si>
    <t>桅杆</t>
  </si>
  <si>
    <t>螺栓</t>
  </si>
  <si>
    <t>甘草胶囊</t>
  </si>
  <si>
    <t>低级治愈胶囊</t>
  </si>
  <si>
    <t>简单快速的小剂量恢复药剂，使用后立刻恢复1000血量。（10级使用）</t>
  </si>
  <si>
    <t>item_med001</t>
  </si>
  <si>
    <t>主要产出途径：&lt;color=#ba3901&gt;杂货铺购买&lt;/color&gt;</t>
  </si>
  <si>
    <t>蘑菇胶囊</t>
  </si>
  <si>
    <t>低级治愈喷雾</t>
  </si>
  <si>
    <t>有恢复效果的小剂量药剂，使用后每秒恢复50点血，持续15秒。（10级使用）</t>
  </si>
  <si>
    <t>item_med002</t>
  </si>
  <si>
    <t>苦檀胶囊</t>
  </si>
  <si>
    <t>中级治愈胶囊</t>
  </si>
  <si>
    <t>简单快速的恢复中剂量药剂，使用后立刻恢复1500血量。（20级使用）</t>
  </si>
  <si>
    <t>item_med003</t>
  </si>
  <si>
    <t>薄荷喷雾</t>
  </si>
  <si>
    <t>中级治愈药水</t>
  </si>
  <si>
    <t>有恢复效果的中剂量药剂，使用后每秒恢复100点血，持续15秒。（20级使用）</t>
  </si>
  <si>
    <t>item_med004</t>
  </si>
  <si>
    <t>紫云英胶囊</t>
  </si>
  <si>
    <t>高级治愈胶囊</t>
  </si>
  <si>
    <t>简单快速的大剂量恢复药剂，使用后立刻恢复2000血量。（30级使用）</t>
  </si>
  <si>
    <t>item_med005</t>
  </si>
  <si>
    <t>灵息粉</t>
  </si>
  <si>
    <t>高级治愈药粉</t>
  </si>
  <si>
    <t>有恢复效果的大剂量药剂，使用后每秒恢复150点血，持续15秒。（30级使用）</t>
  </si>
  <si>
    <t>item_med006</t>
  </si>
  <si>
    <t>普通樱桃</t>
  </si>
  <si>
    <t>烹饪中需要的材料之一。</t>
  </si>
  <si>
    <t>item_460001</t>
  </si>
  <si>
    <t>普通柠檬</t>
  </si>
  <si>
    <t>item_460002</t>
  </si>
  <si>
    <t>普通菠萝</t>
  </si>
  <si>
    <t>item_460003</t>
  </si>
  <si>
    <t>普通香蕉</t>
  </si>
  <si>
    <t>普通苹果</t>
  </si>
  <si>
    <t>item_460005</t>
  </si>
  <si>
    <t>普通鲷鱼</t>
  </si>
  <si>
    <t>item_460006</t>
  </si>
  <si>
    <t>普通蛤蜊</t>
  </si>
  <si>
    <t>item_460007</t>
  </si>
  <si>
    <t>普通虾</t>
  </si>
  <si>
    <t>item_460008</t>
  </si>
  <si>
    <t>普通章鱼</t>
  </si>
  <si>
    <t>item_460009</t>
  </si>
  <si>
    <t>普通沙丁鱼</t>
  </si>
  <si>
    <t>item_460010</t>
  </si>
  <si>
    <t>普通秋刀鱼</t>
  </si>
  <si>
    <t>item_460011</t>
  </si>
  <si>
    <t>普通猪肉</t>
  </si>
  <si>
    <t>item_460012</t>
  </si>
  <si>
    <t>普通鸡肉</t>
  </si>
  <si>
    <t>item_460013</t>
  </si>
  <si>
    <t>普通牛肉</t>
  </si>
  <si>
    <t>item_460014</t>
  </si>
  <si>
    <t>普通胡萝卜</t>
  </si>
  <si>
    <t>item_460015</t>
  </si>
  <si>
    <t>普通鸡蛋</t>
  </si>
  <si>
    <t>item_460016</t>
  </si>
  <si>
    <t>普通豆芽</t>
  </si>
  <si>
    <t>item_460017</t>
  </si>
  <si>
    <t>普通洋葱</t>
  </si>
  <si>
    <t>item_460018</t>
  </si>
  <si>
    <t>普通土豆</t>
  </si>
  <si>
    <t>item_460019</t>
  </si>
  <si>
    <t>普通裙带菜</t>
  </si>
  <si>
    <t>item_460020</t>
  </si>
  <si>
    <t>普通海带</t>
  </si>
  <si>
    <t>item_460021</t>
  </si>
  <si>
    <t>普通豆子</t>
  </si>
  <si>
    <t>item_460022</t>
  </si>
  <si>
    <t>普通油炸豆腐</t>
  </si>
  <si>
    <t>item_460023</t>
  </si>
  <si>
    <t>普通米饭</t>
  </si>
  <si>
    <t>普通的米饭</t>
  </si>
  <si>
    <t>item_460024</t>
  </si>
  <si>
    <t>普通南瓜</t>
  </si>
  <si>
    <t>item_460025</t>
  </si>
  <si>
    <t>优质樱桃</t>
  </si>
  <si>
    <t>优质柠檬</t>
  </si>
  <si>
    <t>优质菠萝</t>
  </si>
  <si>
    <t>优质香蕉</t>
  </si>
  <si>
    <t>优质苹果</t>
  </si>
  <si>
    <t>优质鲷鱼</t>
  </si>
  <si>
    <t>优质蛤蜊</t>
  </si>
  <si>
    <t>优质虾</t>
  </si>
  <si>
    <t>优质章鱼</t>
  </si>
  <si>
    <t>优质沙丁鱼</t>
  </si>
  <si>
    <t>优质秋刀鱼</t>
  </si>
  <si>
    <t>优质猪肉</t>
  </si>
  <si>
    <t>优质鸡肉</t>
  </si>
  <si>
    <t>优质牛肉</t>
  </si>
  <si>
    <t>优质胡萝卜</t>
  </si>
  <si>
    <t>优质鸡蛋</t>
  </si>
  <si>
    <t>优质豆芽</t>
  </si>
  <si>
    <t>优质洋葱</t>
  </si>
  <si>
    <t>优质土豆</t>
  </si>
  <si>
    <t>优质裙带菜</t>
  </si>
  <si>
    <t>优质海带</t>
  </si>
  <si>
    <t>优质豆子</t>
  </si>
  <si>
    <t>优质油炸豆腐</t>
  </si>
  <si>
    <t>优质米饭</t>
  </si>
  <si>
    <t>优质的米饭</t>
  </si>
  <si>
    <t>优质南瓜</t>
  </si>
  <si>
    <t>精品樱桃</t>
  </si>
  <si>
    <t>精品柠檬</t>
  </si>
  <si>
    <t>精品菠萝</t>
  </si>
  <si>
    <t>精品香蕉</t>
  </si>
  <si>
    <t>精品苹果</t>
  </si>
  <si>
    <t>精品鲷鱼</t>
  </si>
  <si>
    <t>精品蛤蜊</t>
  </si>
  <si>
    <t>精品虾</t>
  </si>
  <si>
    <t>精品章鱼</t>
  </si>
  <si>
    <t>精品沙丁鱼</t>
  </si>
  <si>
    <t>精品秋刀鱼</t>
  </si>
  <si>
    <t>精品猪肉</t>
  </si>
  <si>
    <t>精品鸡肉</t>
  </si>
  <si>
    <t>精品牛肉</t>
  </si>
  <si>
    <t>精品胡萝卜</t>
  </si>
  <si>
    <t>精品鸡蛋</t>
  </si>
  <si>
    <t>精品豆芽</t>
  </si>
  <si>
    <t>精品洋葱</t>
  </si>
  <si>
    <t>精品土豆</t>
  </si>
  <si>
    <t>精品裙带菜</t>
  </si>
  <si>
    <t>精品海带</t>
  </si>
  <si>
    <t>精品豆子</t>
  </si>
  <si>
    <t>精品油炸豆腐</t>
  </si>
  <si>
    <t>精品米饭</t>
  </si>
  <si>
    <t>精品的米饭</t>
  </si>
  <si>
    <t>精品南瓜</t>
  </si>
  <si>
    <t>高级樱桃</t>
  </si>
  <si>
    <t>樱桃</t>
  </si>
  <si>
    <t>高级柠檬</t>
  </si>
  <si>
    <t>柠檬</t>
  </si>
  <si>
    <t>高级菠萝</t>
  </si>
  <si>
    <t>菠萝</t>
  </si>
  <si>
    <t>高级香蕉</t>
  </si>
  <si>
    <t>香蕉</t>
  </si>
  <si>
    <t>高级苹果</t>
  </si>
  <si>
    <t>苹果</t>
  </si>
  <si>
    <t>高级鲷鱼</t>
  </si>
  <si>
    <t>鲷鱼</t>
  </si>
  <si>
    <t>高级蛤蜊</t>
  </si>
  <si>
    <t>蛤蜊</t>
  </si>
  <si>
    <t>高级虾</t>
  </si>
  <si>
    <t>虾</t>
  </si>
  <si>
    <t>高级章鱼</t>
  </si>
  <si>
    <t>章鱼</t>
  </si>
  <si>
    <t>高级沙丁鱼</t>
  </si>
  <si>
    <t>沙丁鱼</t>
  </si>
  <si>
    <t>高级秋刀鱼</t>
  </si>
  <si>
    <t>秋刀鱼</t>
  </si>
  <si>
    <t>高级猪肉</t>
  </si>
  <si>
    <t>猪肉</t>
  </si>
  <si>
    <t>高级鸡肉</t>
  </si>
  <si>
    <t>鸡肉</t>
  </si>
  <si>
    <t>高级牛肉</t>
  </si>
  <si>
    <t>牛肉</t>
  </si>
  <si>
    <t>高级胡萝卜</t>
  </si>
  <si>
    <t>胡萝卜</t>
  </si>
  <si>
    <t>高级鸡蛋</t>
  </si>
  <si>
    <t>鸡蛋</t>
  </si>
  <si>
    <t>高级豆芽</t>
  </si>
  <si>
    <t>豆芽</t>
  </si>
  <si>
    <t>高级洋葱</t>
  </si>
  <si>
    <t>洋葱</t>
  </si>
  <si>
    <t>高级土豆</t>
  </si>
  <si>
    <t>土豆</t>
  </si>
  <si>
    <t>高级裙带菜</t>
  </si>
  <si>
    <t>裙带菜</t>
  </si>
  <si>
    <t>高级海带</t>
  </si>
  <si>
    <t>海带</t>
  </si>
  <si>
    <t>高级豆子</t>
  </si>
  <si>
    <t>豆子</t>
  </si>
  <si>
    <t>高级油炸豆腐</t>
  </si>
  <si>
    <t>油炸豆腐</t>
  </si>
  <si>
    <t>高级米饭</t>
  </si>
  <si>
    <t>高级的米饭</t>
  </si>
  <si>
    <t>的米饭</t>
  </si>
  <si>
    <t>高级南瓜</t>
  </si>
  <si>
    <t>南瓜</t>
  </si>
  <si>
    <t>顶级樱桃</t>
  </si>
  <si>
    <t>顶级柠檬</t>
  </si>
  <si>
    <t>顶级菠萝</t>
  </si>
  <si>
    <t>顶级香蕉</t>
  </si>
  <si>
    <t>顶级苹果</t>
  </si>
  <si>
    <t>顶级鲷鱼</t>
  </si>
  <si>
    <t>顶级蛤蜊</t>
  </si>
  <si>
    <t>顶级虾</t>
  </si>
  <si>
    <t>顶级章鱼</t>
  </si>
  <si>
    <t>顶级沙丁鱼</t>
  </si>
  <si>
    <t>顶级秋刀鱼</t>
  </si>
  <si>
    <t>顶级猪肉</t>
  </si>
  <si>
    <t>顶级鸡肉</t>
  </si>
  <si>
    <t>顶级牛肉</t>
  </si>
  <si>
    <t>顶级胡萝卜</t>
  </si>
  <si>
    <t>顶级鸡蛋</t>
  </si>
  <si>
    <t>顶级豆芽</t>
  </si>
  <si>
    <t>顶级洋葱</t>
  </si>
  <si>
    <t>顶级土豆</t>
  </si>
  <si>
    <t>顶级裙带菜</t>
  </si>
  <si>
    <t>顶级海带</t>
  </si>
  <si>
    <t>顶级豆子</t>
  </si>
  <si>
    <t>顶级油炸豆腐</t>
  </si>
  <si>
    <t>顶级米饭</t>
  </si>
  <si>
    <t>顶级的米饭</t>
  </si>
  <si>
    <t>顶级南瓜</t>
  </si>
  <si>
    <t>盐</t>
  </si>
  <si>
    <t>item_465001</t>
  </si>
  <si>
    <t>黑胡椒</t>
  </si>
  <si>
    <t>item_465002</t>
  </si>
  <si>
    <t>牛奶</t>
  </si>
  <si>
    <t>item_465003</t>
  </si>
  <si>
    <t>芝士</t>
  </si>
  <si>
    <t>item_465005</t>
  </si>
  <si>
    <t>色拉油</t>
  </si>
  <si>
    <t>item_465006</t>
  </si>
  <si>
    <t>红酒</t>
  </si>
  <si>
    <t>item_465007</t>
  </si>
  <si>
    <t>咖喱</t>
  </si>
  <si>
    <t>item_465008</t>
  </si>
  <si>
    <t>橄榄油</t>
  </si>
  <si>
    <t>item_465009</t>
  </si>
  <si>
    <t>黄油</t>
  </si>
  <si>
    <t>item_465010</t>
  </si>
  <si>
    <t>面粉</t>
  </si>
  <si>
    <t>item_465011</t>
  </si>
  <si>
    <t>砂糖</t>
  </si>
  <si>
    <t>item_465012</t>
  </si>
  <si>
    <t>特制酱汁</t>
  </si>
  <si>
    <t>活力药剂</t>
  </si>
  <si>
    <t>充满活力的药剂，使用后增加1点活力。</t>
  </si>
  <si>
    <t>item_800001</t>
  </si>
  <si>
    <t>10级低级装备宝箱</t>
  </si>
  <si>
    <t>初级装备宝箱</t>
  </si>
  <si>
    <t>打开随机获得10级装备。</t>
  </si>
  <si>
    <t>10级高级装备宝箱</t>
  </si>
  <si>
    <t>高级装备宝箱</t>
  </si>
  <si>
    <t>20级低级装备宝箱</t>
  </si>
  <si>
    <t>20级高级装备宝箱</t>
  </si>
  <si>
    <t>30级低级装备宝箱</t>
  </si>
  <si>
    <t>30级高级装备宝箱</t>
  </si>
  <si>
    <t>item_box_21</t>
  </si>
  <si>
    <t>高级突破材料箱</t>
  </si>
  <si>
    <t>打开后随机获得一个高级角色突破材料。</t>
  </si>
  <si>
    <t>攻击训练道具箱</t>
  </si>
  <si>
    <t>打开后随机获得一本攻击训练书。</t>
  </si>
  <si>
    <t>防御训练道具箱</t>
  </si>
  <si>
    <t>打开后随机获得一本防御训练书。</t>
  </si>
  <si>
    <t>生命训练道具箱</t>
  </si>
  <si>
    <t>打开后随机获得一本生命训练书。</t>
  </si>
  <si>
    <t>20级武器</t>
  </si>
  <si>
    <t>武士刀</t>
  </si>
  <si>
    <t>通过本关后获得一件20级未鉴定装备【武士刀】。</t>
  </si>
  <si>
    <t>tzwq_0017</t>
  </si>
  <si>
    <t>主要产出途径：&lt;color=#ba3901&gt;剧情回顾&lt;/color&gt;</t>
  </si>
  <si>
    <t>10级装备武器</t>
  </si>
  <si>
    <t>20级防具</t>
  </si>
  <si>
    <t>独眼眼罩</t>
  </si>
  <si>
    <t>通过本关后获得一件20级未鉴定装备【独眼眼罩】。</t>
  </si>
  <si>
    <t>sjfj_0003</t>
  </si>
  <si>
    <t>10级装备防具</t>
  </si>
  <si>
    <t>20级戒指</t>
  </si>
  <si>
    <t>浪花戒</t>
  </si>
  <si>
    <t>通过本关后获得一件20级未鉴定装备【浪花戒】。</t>
  </si>
  <si>
    <t>sjjz_0003</t>
  </si>
  <si>
    <t>10级装备戒指</t>
  </si>
  <si>
    <t>20级项链</t>
  </si>
  <si>
    <t>琥珀项链</t>
  </si>
  <si>
    <t>通过本关后获得一件20级未鉴定装备【琥珀项链】。</t>
  </si>
  <si>
    <t>sjxl_0003</t>
  </si>
  <si>
    <t>10级装备项链</t>
  </si>
  <si>
    <t>30级武器</t>
  </si>
  <si>
    <t>精铁匕首</t>
  </si>
  <si>
    <t>通过本关后获得一件30级未鉴定装备【精铁匕首】。</t>
  </si>
  <si>
    <t>10级英雄装备武器</t>
  </si>
  <si>
    <t>30级防具</t>
  </si>
  <si>
    <t>探宝帽</t>
  </si>
  <si>
    <t>通过本关后获得一件30级未鉴定装备【探宝帽】。</t>
  </si>
  <si>
    <t>sjfj_0005</t>
  </si>
  <si>
    <t>10级英雄装备防具</t>
  </si>
  <si>
    <t>30级戒指</t>
  </si>
  <si>
    <t>神秘戒</t>
  </si>
  <si>
    <t>通过本关后获得一件30级未鉴定装备【神秘戒】。</t>
  </si>
  <si>
    <t>sjjz_0005</t>
  </si>
  <si>
    <t>10级英雄装备戒指</t>
  </si>
  <si>
    <t>30级项链</t>
  </si>
  <si>
    <t>花瓣链</t>
  </si>
  <si>
    <t>通过本关后获得一件30级未鉴定装备【花瓣链】。</t>
  </si>
  <si>
    <t>sjxl_0005</t>
  </si>
  <si>
    <t>10级英雄装备项链</t>
  </si>
  <si>
    <t>40级武器</t>
  </si>
  <si>
    <t>精铁长刀</t>
  </si>
  <si>
    <t>通过本关后获得一件40级未鉴定装备【精铁长刀】。</t>
  </si>
  <si>
    <t>sjwq_0007</t>
  </si>
  <si>
    <t>20级装备武器</t>
  </si>
  <si>
    <t>40级防具</t>
  </si>
  <si>
    <t>白色礼帽</t>
  </si>
  <si>
    <t>通过本关后获得一件40级未鉴定装备【白色礼帽】。</t>
  </si>
  <si>
    <t>sjfj_0007</t>
  </si>
  <si>
    <t>20级装备防具</t>
  </si>
  <si>
    <t>40级戒指</t>
  </si>
  <si>
    <t>青石指环</t>
  </si>
  <si>
    <t>通过本关后获得一件40级未鉴定装备【青石指环】。</t>
  </si>
  <si>
    <t>sjjz_0007</t>
  </si>
  <si>
    <t>20级装备戒指</t>
  </si>
  <si>
    <t>40级项链</t>
  </si>
  <si>
    <t>蓝海之心</t>
  </si>
  <si>
    <t>通过本关后获得一件40级未鉴定装备【蓝海之心】。</t>
  </si>
  <si>
    <t>sjxl_0007</t>
  </si>
  <si>
    <t>20级装备项链</t>
  </si>
  <si>
    <t>50级武器</t>
  </si>
  <si>
    <t>海盗弯刀</t>
  </si>
  <si>
    <t>通过本关后获得一件50级未鉴定装备【海盗弯刀】。</t>
  </si>
  <si>
    <t>20级英雄装备武器</t>
  </si>
  <si>
    <t>50级防具</t>
  </si>
  <si>
    <t>勇士头盔</t>
  </si>
  <si>
    <t>通过本关后获得一件50级未鉴定装备【勇士头盔】。</t>
  </si>
  <si>
    <t>sjfj_0011</t>
  </si>
  <si>
    <t>20级英雄装备防具</t>
  </si>
  <si>
    <t>50级戒指</t>
  </si>
  <si>
    <t>绿草戒</t>
  </si>
  <si>
    <t>通过本关后获得一件50级未鉴定装备【绿草戒】。</t>
  </si>
  <si>
    <t>sjjz_0011</t>
  </si>
  <si>
    <t>20级英雄装备戒指</t>
  </si>
  <si>
    <t>50级项链</t>
  </si>
  <si>
    <t>碧牙吊坠</t>
  </si>
  <si>
    <t>通过本关后获得一件50级未鉴定装备【碧牙吊坠】。</t>
  </si>
  <si>
    <t>sjxl_0011</t>
  </si>
  <si>
    <t>20级英雄装备项链</t>
  </si>
  <si>
    <t>60级武器</t>
  </si>
  <si>
    <t>短剑</t>
  </si>
  <si>
    <t>通过本关后获得一件60级未鉴定装备【短剑】。</t>
  </si>
  <si>
    <t>sjwq_0013</t>
  </si>
  <si>
    <t>30级装备武器</t>
  </si>
  <si>
    <t>60级防具</t>
  </si>
  <si>
    <t>船长帽</t>
  </si>
  <si>
    <t>通过本关后获得一件60级未鉴定装备【船长帽】。</t>
  </si>
  <si>
    <t>sjfj_0013</t>
  </si>
  <si>
    <t>30级装备防具</t>
  </si>
  <si>
    <t>60级戒指</t>
  </si>
  <si>
    <t>海洋戒</t>
  </si>
  <si>
    <t>通过本关后获得一件60级未鉴定装备【海洋戒】。</t>
  </si>
  <si>
    <t>sjjz_0013</t>
  </si>
  <si>
    <t>30级装备戒指</t>
  </si>
  <si>
    <t>60级项链</t>
  </si>
  <si>
    <t>火焰之泪</t>
  </si>
  <si>
    <t>通过本关后获得一件60级未鉴定装备【火焰之泪】。</t>
  </si>
  <si>
    <t>sjxl_0013</t>
  </si>
  <si>
    <t>30级装备项链</t>
  </si>
  <si>
    <t>20级英雄武器</t>
  </si>
  <si>
    <t>英雄·武士刀</t>
  </si>
  <si>
    <t>通过本关后有概率获得一件20级装备【英雄·武士刀】。</t>
  </si>
  <si>
    <t>30级英雄装备武器</t>
  </si>
  <si>
    <t>20级英雄防具</t>
  </si>
  <si>
    <t>英雄·独眼眼罩</t>
  </si>
  <si>
    <t>通过本关后有概率获得一件20级装备【英雄·独眼眼罩】。</t>
  </si>
  <si>
    <t>30级英雄装备防具</t>
  </si>
  <si>
    <t>20级英雄戒指</t>
  </si>
  <si>
    <t>英雄·浪花戒</t>
  </si>
  <si>
    <t>通过本关后有概率获得一件20级装备【英雄·浪花戒】。</t>
  </si>
  <si>
    <t>30级英雄装备戒指</t>
  </si>
  <si>
    <t>20级英雄项链</t>
  </si>
  <si>
    <t>英雄·琥珀项链</t>
  </si>
  <si>
    <t>通过本关后有概率获得一件20级装备【英雄·琥珀项链】。</t>
  </si>
  <si>
    <t>30级英雄装备项链</t>
  </si>
  <si>
    <t>20级战斗套装武器</t>
  </si>
  <si>
    <t>战斗短剑</t>
  </si>
  <si>
    <t>通过本关后有概率获得一件20级套装【战斗短剑】。</t>
  </si>
  <si>
    <t>tzwq_0003</t>
  </si>
  <si>
    <t>20级装备武器（套装）</t>
  </si>
  <si>
    <t>20级战斗套装防具</t>
  </si>
  <si>
    <t>战斗铠</t>
  </si>
  <si>
    <t>通过本关后有概率获得一件20级套装【战斗铠】。</t>
  </si>
  <si>
    <t>tzfj_0003</t>
  </si>
  <si>
    <t>20级装备防具（套装）</t>
  </si>
  <si>
    <t>20级战斗套装戒指</t>
  </si>
  <si>
    <t>战斗指环</t>
  </si>
  <si>
    <t>通过本关后有概率获得一件20级套装【战斗指环】。</t>
  </si>
  <si>
    <t>tzjz_0003</t>
  </si>
  <si>
    <t>20级装备戒指（套装）</t>
  </si>
  <si>
    <t>20级战斗套装项链</t>
  </si>
  <si>
    <t>战斗项链</t>
  </si>
  <si>
    <t>通过本关后有概率获得一件20级套装【战斗项链】。</t>
  </si>
  <si>
    <t>tzxl_0003</t>
  </si>
  <si>
    <t>20级装备项链（套装）</t>
  </si>
  <si>
    <t>30级英雄武器</t>
  </si>
  <si>
    <t>英雄·精铁匕首</t>
  </si>
  <si>
    <t>通过本关后有概率获得一件30级装备【英雄·精铁匕首】。</t>
  </si>
  <si>
    <t>1级装备武器</t>
  </si>
  <si>
    <t>30级英雄防具</t>
  </si>
  <si>
    <t>英雄·探宝帽</t>
  </si>
  <si>
    <t>通过本关后有概率获得一件30级装备【英雄·探宝帽】。</t>
  </si>
  <si>
    <t>1级装备防具</t>
  </si>
  <si>
    <t>30级英雄戒指</t>
  </si>
  <si>
    <t>英雄·神秘戒</t>
  </si>
  <si>
    <t>通过本关后有概率获得一件30级装备【英雄·神秘戒】。</t>
  </si>
  <si>
    <t>1级装备戒指</t>
  </si>
  <si>
    <t>30级英雄项链</t>
  </si>
  <si>
    <t>英雄·花瓣链</t>
  </si>
  <si>
    <t>通过本关后有概率获得一件30级装备【英雄·花瓣链】。</t>
  </si>
  <si>
    <t>1级装备项链</t>
  </si>
  <si>
    <t>40级英雄武器</t>
  </si>
  <si>
    <t>英雄·精铁长刀</t>
  </si>
  <si>
    <t>通过本关后有概率获得一件40级装备【英雄·精铁长刀】。</t>
  </si>
  <si>
    <t>40级装备武器</t>
  </si>
  <si>
    <t>40级英雄防具</t>
  </si>
  <si>
    <t>英雄·白色礼帽</t>
  </si>
  <si>
    <t>通过本关后有概率获得一件40级装备【英雄·白色礼帽】。</t>
  </si>
  <si>
    <t>40级装备防具</t>
  </si>
  <si>
    <t>40级英雄戒指</t>
  </si>
  <si>
    <t>英雄·青石指环</t>
  </si>
  <si>
    <t>通过本关后有概率获得一件40级装备【英雄·青石指环】。</t>
  </si>
  <si>
    <t>40级装备戒指</t>
  </si>
  <si>
    <t>40级英雄项链</t>
  </si>
  <si>
    <t>英雄·蓝海之心</t>
  </si>
  <si>
    <t>通过本关后有概率获得一件40级装备【英雄·蓝海之心】。</t>
  </si>
  <si>
    <t>40级装备项链</t>
  </si>
  <si>
    <t>40级探荒者套装武器</t>
  </si>
  <si>
    <t>军官手枪</t>
  </si>
  <si>
    <t>通过本关后有概率获得一件40级套装【军官手枪】。</t>
  </si>
  <si>
    <t>tzwq_0006</t>
  </si>
  <si>
    <t>40级探荒者套装防具</t>
  </si>
  <si>
    <t>军官外套</t>
  </si>
  <si>
    <t>通过本关后有概率获得一件40级套装【军官外套】。</t>
  </si>
  <si>
    <t>tzfj_0006</t>
  </si>
  <si>
    <t>40级探荒者套装戒指</t>
  </si>
  <si>
    <t>军官戒指</t>
  </si>
  <si>
    <t>通过本关后有概率获得一件40级套装【军官戒指】。</t>
  </si>
  <si>
    <t>tzjz_0006</t>
  </si>
  <si>
    <t>40级探荒者套装项链</t>
  </si>
  <si>
    <t>军官怀表</t>
  </si>
  <si>
    <t>通过本关后有概率获得一件40级套装【军官怀表】。</t>
  </si>
  <si>
    <t>tzxl_0006</t>
  </si>
  <si>
    <t>40级先驱者套装武器</t>
  </si>
  <si>
    <t>通过本关后有概率获得一件40级套装【海盗弯刀】。</t>
  </si>
  <si>
    <t>tzwq_0010</t>
  </si>
  <si>
    <t>40级先驱者套装防具</t>
  </si>
  <si>
    <t>海盗大衣</t>
  </si>
  <si>
    <t>通过本关后有概率获得一件40级套装【海盗大衣】。</t>
  </si>
  <si>
    <t>tzfj_0010</t>
  </si>
  <si>
    <t>40级先驱者套装戒指</t>
  </si>
  <si>
    <t>海盗手环</t>
  </si>
  <si>
    <t>通过本关后有概率获得一件40级套装【海盗手环】。</t>
  </si>
  <si>
    <t>tzjz_0010</t>
  </si>
  <si>
    <t>40级先驱者套装项链</t>
  </si>
  <si>
    <t>海盗指针</t>
  </si>
  <si>
    <t>通过本关后有概率获得一件40级套装【海盗指针】。</t>
  </si>
  <si>
    <t>tzxl_0010</t>
  </si>
  <si>
    <t>40级水手套装武器</t>
  </si>
  <si>
    <t>水手短枪</t>
  </si>
  <si>
    <t>通过本关后有概率获得一件40级套装【水手短枪】。</t>
  </si>
  <si>
    <t>tz_wq_shuishou</t>
  </si>
  <si>
    <t>40级水手套装防具</t>
  </si>
  <si>
    <t>水手便服</t>
  </si>
  <si>
    <t>通过本关后有概率获得一件40级套装【水手便服】。</t>
  </si>
  <si>
    <t>tz_yf_shuishou</t>
  </si>
  <si>
    <t>40级水手套装戒指</t>
  </si>
  <si>
    <t>水手之戒</t>
  </si>
  <si>
    <t>通过本关后有概率获得一件40级套装【水手之戒】。</t>
  </si>
  <si>
    <t>tz_jz_shuishou</t>
  </si>
  <si>
    <t>40级水手套装项链</t>
  </si>
  <si>
    <t>水手罗盘</t>
  </si>
  <si>
    <t>通过本关后有概率获得一件40级套装【水手罗盘】。</t>
  </si>
  <si>
    <t>tz_xl_shuishou</t>
  </si>
  <si>
    <t>40级绅士套装武器</t>
  </si>
  <si>
    <t>暗杀太刀</t>
  </si>
  <si>
    <t>通过本关后有概率获得一件40级套装【暗杀太刀】。</t>
  </si>
  <si>
    <t>tzwq_0008</t>
  </si>
  <si>
    <t>40级绅士套装防具</t>
  </si>
  <si>
    <t>暗杀西装</t>
  </si>
  <si>
    <t>通过本关后有概率获得一件40级套装【暗杀西装】。</t>
  </si>
  <si>
    <t>tzfj_0008</t>
  </si>
  <si>
    <t>40级绅士套装戒指</t>
  </si>
  <si>
    <t>暗杀之戒</t>
  </si>
  <si>
    <t>通过本关后有概率获得一件40级套装【暗杀之戒】。</t>
  </si>
  <si>
    <t>tzjz_0008</t>
  </si>
  <si>
    <t>40级绅士套装项链</t>
  </si>
  <si>
    <t>暗杀项圈</t>
  </si>
  <si>
    <t>通过本关后有概率获得一件40级套装【暗杀项圈】。</t>
  </si>
  <si>
    <t>tzxl_0008</t>
  </si>
  <si>
    <t>40级先驱者英雄套装武器</t>
  </si>
  <si>
    <t>英雄·海盗弯刀</t>
  </si>
  <si>
    <t>通过本关后有概率获得一件40级套装【英雄·海盗弯刀】。</t>
  </si>
  <si>
    <t>40级先驱者英雄套装防具</t>
  </si>
  <si>
    <t>英雄·海盗大衣</t>
  </si>
  <si>
    <t>通过本关后有概率获得一件40级套装【英雄·海盗大衣】。</t>
  </si>
  <si>
    <t>40级先驱者英雄套装戒指</t>
  </si>
  <si>
    <t>英雄·海盗手环</t>
  </si>
  <si>
    <t>通过本关后有概率获得一件40级套装【英雄·海盗手环】。</t>
  </si>
  <si>
    <t>40级先驱者英雄套装项链</t>
  </si>
  <si>
    <t>英雄·海盗指针</t>
  </si>
  <si>
    <t>通过本关后有概率获得一件40级套装【英雄·海盗指针】。</t>
  </si>
  <si>
    <t>40级探荒者英雄套装武器</t>
  </si>
  <si>
    <t>英雄·军官手枪</t>
  </si>
  <si>
    <t>通过本关后有概率获得一件40级套装【英雄·军官手枪】。</t>
  </si>
  <si>
    <t>40级探荒者英雄套装防具</t>
  </si>
  <si>
    <t>英雄·军官外套</t>
  </si>
  <si>
    <t>通过本关后有概率获得一件40级套装【英雄·军官外套】。</t>
  </si>
  <si>
    <t>40级探荒者英雄套装戒指</t>
  </si>
  <si>
    <t>英雄·军官戒指</t>
  </si>
  <si>
    <t>通过本关后有概率获得一件40级套装【英雄·军官戒指】。</t>
  </si>
  <si>
    <t>40级探荒者英雄套装项链</t>
  </si>
  <si>
    <t>英雄·军官怀表</t>
  </si>
  <si>
    <t>通过本关后有概率获得一件40级套装【英雄·军官怀表】。</t>
  </si>
  <si>
    <t>50级英雄武器</t>
  </si>
  <si>
    <t>通过本关后有概率获得一件50级装备【海盗弯刀】。</t>
  </si>
  <si>
    <t>50级英雄防具</t>
  </si>
  <si>
    <t>通过本关后有概率获得一件50级装备【勇士头盔】。</t>
  </si>
  <si>
    <t>50级英雄戒指</t>
  </si>
  <si>
    <t>通过本关后有概率获得一件50级装备【绿草戒】。</t>
  </si>
  <si>
    <t>50级英雄项链</t>
  </si>
  <si>
    <t>通过本关后有概率获得一件50级装备【碧牙吊坠】。</t>
  </si>
  <si>
    <t>通过本关后有概率获得一件60级装备【短剑】。</t>
  </si>
  <si>
    <t>通过本关后有概率获得一件60级装备【船长帽】。</t>
  </si>
  <si>
    <t>通过本关后有概率获得一件60级装备【海洋戒】。</t>
  </si>
  <si>
    <t>通过本关后有概率获得一件60级装备【火焰之泪】。</t>
  </si>
  <si>
    <t>60级航行者套装武器</t>
  </si>
  <si>
    <t>航行者之枪</t>
  </si>
  <si>
    <t>通过本关后有概率获得一件60级套装【航行者之枪】。</t>
  </si>
  <si>
    <t>tzwq_0009</t>
  </si>
  <si>
    <t>60级航行者套装防具</t>
  </si>
  <si>
    <t>航行者之衣</t>
  </si>
  <si>
    <t>通过本关后有概率获得一件60级套装【航行者之衣】。</t>
  </si>
  <si>
    <t>tzfj_0009</t>
  </si>
  <si>
    <t>60级航行者套装戒指</t>
  </si>
  <si>
    <t>航行者之戒</t>
  </si>
  <si>
    <t>通过本关后有概率获得一件60级套装【航行者之戒】。</t>
  </si>
  <si>
    <t>tzjz_0009</t>
  </si>
  <si>
    <t>60级航行者套装项链</t>
  </si>
  <si>
    <t>航行者之链</t>
  </si>
  <si>
    <t>通过本关后有概率获得一件60级套装【航行者之链】。</t>
  </si>
  <si>
    <t>tzxl_0009</t>
  </si>
  <si>
    <t>60级角斗士套装武器</t>
  </si>
  <si>
    <t>角斗士之斧</t>
  </si>
  <si>
    <t>通过本关后有概率获得一件60级套装【角斗士之斧】。</t>
  </si>
  <si>
    <t>tz_wq_jds</t>
  </si>
  <si>
    <t>60级角斗士套装防具</t>
  </si>
  <si>
    <t>角斗士铠甲</t>
  </si>
  <si>
    <t>通过本关后有概率获得一件60级套装【角斗士铠甲】。</t>
  </si>
  <si>
    <t>tz_yf_jds</t>
  </si>
  <si>
    <t>60级角斗士套装戒指</t>
  </si>
  <si>
    <t>角斗士之戒</t>
  </si>
  <si>
    <t>通过本关后有概率获得一件60级套装【角斗士之戒】。</t>
  </si>
  <si>
    <t>tz_jz_jds</t>
  </si>
  <si>
    <t>60级角斗士套装项链</t>
  </si>
  <si>
    <t>角斗士之链</t>
  </si>
  <si>
    <t>通过本关后有概率获得一件60级套装【角斗士之链】。</t>
  </si>
  <si>
    <t>tz_xl_jds</t>
  </si>
  <si>
    <t>60级皇家禁卫套装武器</t>
  </si>
  <si>
    <t>英雄·皇家猎枪</t>
  </si>
  <si>
    <t>通过本关后有概率获得一件60级套装【英雄·皇家猎枪】。</t>
  </si>
  <si>
    <t>equip_top_0201</t>
  </si>
  <si>
    <t>60级皇家禁卫套装防具</t>
  </si>
  <si>
    <t>英雄·皇家华服</t>
  </si>
  <si>
    <t>通过本关后有概率获得一件60级套装【英雄·皇家华服】。</t>
  </si>
  <si>
    <t>equip_top_0202</t>
  </si>
  <si>
    <t>60级皇家禁卫套装戒指</t>
  </si>
  <si>
    <t>英雄·皇家珠宝</t>
  </si>
  <si>
    <t>通过本关后有概率获得一件60级套装【英雄·皇家珠宝】。</t>
  </si>
  <si>
    <t>equip_top_0203</t>
  </si>
  <si>
    <t>60级皇家禁卫套装项链</t>
  </si>
  <si>
    <t>英雄·皇家吊坠</t>
  </si>
  <si>
    <t>通过本关后有概率获得一件60级套装【英雄·皇家吊坠】。</t>
  </si>
  <si>
    <t>equip_top_0204</t>
  </si>
  <si>
    <t>60级大力士套装武器</t>
  </si>
  <si>
    <t>英雄·野蛮之刃</t>
  </si>
  <si>
    <t>通过本关后有概率获得一件60级套装【英雄·野蛮之刃】。</t>
  </si>
  <si>
    <t>equip_top_0101</t>
  </si>
  <si>
    <t>60级大力士套装防具</t>
  </si>
  <si>
    <t>英雄·狂野战袍</t>
  </si>
  <si>
    <t>通过本关后有概率获得一件60级套装【英雄·狂野战袍】。</t>
  </si>
  <si>
    <t>equip_top_0102</t>
  </si>
  <si>
    <t>60级大力士套装戒指</t>
  </si>
  <si>
    <t>英雄·狂野手环</t>
  </si>
  <si>
    <t>通过本关后有概率获得一件60级套装【英雄·狂野手环】。</t>
  </si>
  <si>
    <t>equip_top_0103</t>
  </si>
  <si>
    <t>60级大力士套装项链</t>
  </si>
  <si>
    <t>英雄·狂野项圈</t>
  </si>
  <si>
    <t>通过本关后有概率获得一件60级套装【英雄·狂野项圈】。</t>
  </si>
  <si>
    <t>equip_top_0104</t>
  </si>
  <si>
    <t>60级狩猎者套装武器</t>
  </si>
  <si>
    <t>英雄·狩猎者之枪</t>
  </si>
  <si>
    <t>通过本关后有概率获得一件60级套装【英雄·狩猎者之枪】。</t>
  </si>
  <si>
    <t>equip_top_0301</t>
  </si>
  <si>
    <t>60级狩猎者套装防具</t>
  </si>
  <si>
    <t>英雄·狩猎者外套</t>
  </si>
  <si>
    <t>通过本关后有概率获得一件60级套装【英雄·狩猎者外套】。</t>
  </si>
  <si>
    <t>equip_top_0302</t>
  </si>
  <si>
    <t>60级狩猎者套装戒指</t>
  </si>
  <si>
    <t>英雄·狩猎者指环</t>
  </si>
  <si>
    <t>通过本关后有概率获得一件60级套装【英雄·狩猎者指环】。</t>
  </si>
  <si>
    <t>equip_top_0303</t>
  </si>
  <si>
    <t>60级狩猎者套装项链</t>
  </si>
  <si>
    <t>英雄·狩猎者项链</t>
  </si>
  <si>
    <t>通过本关后有概率获得一件60级套装【英雄·狩猎者项链】。</t>
  </si>
  <si>
    <t>equip_top_0304</t>
  </si>
  <si>
    <t>60级黄金套装武器</t>
  </si>
  <si>
    <t>英雄·黄金短枪</t>
  </si>
  <si>
    <t>通过本关后有概率获得一件60级套装【英雄·黄金短枪】。</t>
  </si>
  <si>
    <t>equip_top_0401</t>
  </si>
  <si>
    <t>60级黄金套装防具</t>
  </si>
  <si>
    <t>英雄·黄金斗篷</t>
  </si>
  <si>
    <t>通过本关后有概率获得一件60级套装【英雄·黄金斗篷】。</t>
  </si>
  <si>
    <t>equip_top_0402</t>
  </si>
  <si>
    <t>60级黄金套装戒指</t>
  </si>
  <si>
    <t>英雄·黄金手环</t>
  </si>
  <si>
    <t>通过本关后有概率获得一件60级套装【英雄·黄金手环】。</t>
  </si>
  <si>
    <t>equip_top_0403</t>
  </si>
  <si>
    <t>60级黄金套装项链</t>
  </si>
  <si>
    <t>英雄·黄金坠饰</t>
  </si>
  <si>
    <t>通过本关后有概率获得一件60级套装【英雄·黄金坠饰】。</t>
  </si>
  <si>
    <t>equip_top_0404</t>
  </si>
  <si>
    <t>60级公爵套装武器</t>
  </si>
  <si>
    <t>英雄·公爵之剑</t>
  </si>
  <si>
    <t>通过本关后有概率获得一件60级套装【英雄·公爵之剑】。</t>
  </si>
  <si>
    <t>equip_top_0501</t>
  </si>
  <si>
    <t>60级公爵套装防具</t>
  </si>
  <si>
    <t>英雄·公爵外套</t>
  </si>
  <si>
    <t>通过本关后有概率获得一件60级套装【英雄·公爵外套】。</t>
  </si>
  <si>
    <t>equip_top_0502</t>
  </si>
  <si>
    <t>60级公爵套装戒指</t>
  </si>
  <si>
    <t>英雄·公爵指环</t>
  </si>
  <si>
    <t>通过本关后有概率获得一件60级套装【英雄·公爵指环】。</t>
  </si>
  <si>
    <t>equip_top_0503</t>
  </si>
  <si>
    <t>60级公爵套装项链</t>
  </si>
  <si>
    <t>英雄·公爵项链</t>
  </si>
  <si>
    <t>通过本关后有概率获得一件60级套装【英雄·公爵项链】。</t>
  </si>
  <si>
    <t>equip_top_0504</t>
  </si>
  <si>
    <t>随机武器宝箱</t>
  </si>
  <si>
    <t>随机获得一件未鉴定装备。</t>
  </si>
  <si>
    <t>item_22</t>
  </si>
  <si>
    <t>未鉴定装备</t>
  </si>
  <si>
    <t>未鉴定英雄装备</t>
  </si>
  <si>
    <t>20级守卫套装武器</t>
  </si>
  <si>
    <t>守卫套装武器</t>
  </si>
  <si>
    <t>tzwq_0002</t>
  </si>
  <si>
    <t>20级守卫套装防具</t>
  </si>
  <si>
    <t>守卫套装防具</t>
  </si>
  <si>
    <t>tzfj_0002</t>
  </si>
  <si>
    <t>20级守卫套装戒指</t>
  </si>
  <si>
    <t>守卫套装戒指</t>
  </si>
  <si>
    <t>tzjz_0002</t>
  </si>
  <si>
    <t>20级守卫套装项链</t>
  </si>
  <si>
    <t>守卫套装项链</t>
  </si>
  <si>
    <t>tzxl_0002</t>
  </si>
  <si>
    <t>战斗套装武器</t>
  </si>
  <si>
    <t>战斗套装防具</t>
  </si>
  <si>
    <t>战斗套装戒指</t>
  </si>
  <si>
    <t>战斗套装项链</t>
  </si>
  <si>
    <t>20级冒险者套装武器</t>
  </si>
  <si>
    <t>冒险者套装武器</t>
  </si>
  <si>
    <t>tzwq_0016</t>
  </si>
  <si>
    <t>20级冒险者套装防具</t>
  </si>
  <si>
    <t>冒险者套装防具</t>
  </si>
  <si>
    <t>tzfj_0016</t>
  </si>
  <si>
    <t>20级冒险者套装戒指</t>
  </si>
  <si>
    <t>冒险者套装戒指</t>
  </si>
  <si>
    <t>tzjz_0016</t>
  </si>
  <si>
    <t>20级冒险者套装项链</t>
  </si>
  <si>
    <t>冒险者套装项链</t>
  </si>
  <si>
    <t>tzxl_0016</t>
  </si>
  <si>
    <t>40级英雄水手武器</t>
  </si>
  <si>
    <t>40级英雄水手防具</t>
  </si>
  <si>
    <t>40级英雄水手戒指</t>
  </si>
  <si>
    <t>40级英雄水手项链</t>
  </si>
  <si>
    <t>40级主厨武器</t>
  </si>
  <si>
    <t>主厨短刀</t>
  </si>
  <si>
    <t>通过本关后有概率获得一件40级套装【主厨短刀】。</t>
  </si>
  <si>
    <t>tz_wq_cs</t>
  </si>
  <si>
    <t>40级主厨防具</t>
  </si>
  <si>
    <t>主厨工服</t>
  </si>
  <si>
    <t>通过本关后有概率获得一件40级套装【主厨工服】。</t>
  </si>
  <si>
    <t>tz_yf_cs</t>
  </si>
  <si>
    <t>40级主厨戒指</t>
  </si>
  <si>
    <t>主厨扳指</t>
  </si>
  <si>
    <t>通过本关后有概率获得一件40级套装【主厨扳指】。</t>
  </si>
  <si>
    <t>tz_jz_cs</t>
  </si>
  <si>
    <t>40级主厨项链</t>
  </si>
  <si>
    <t>主厨吊坠</t>
  </si>
  <si>
    <t>通过本关后有概率获得一件40级套装【主厨吊坠】。</t>
  </si>
  <si>
    <t>tz_xl_cs</t>
  </si>
  <si>
    <t>宝石</t>
  </si>
  <si>
    <t>随机获得一个宝石，用于装备镶嵌，提升装备属性。</t>
  </si>
  <si>
    <t>item_20</t>
  </si>
  <si>
    <t>突破材料</t>
  </si>
  <si>
    <t>随机获得一个突破材料，用于角色突破。</t>
  </si>
  <si>
    <t>item_21</t>
  </si>
  <si>
    <t>R卡</t>
  </si>
  <si>
    <t>R卡碎片</t>
  </si>
  <si>
    <t>随机获得一个R卡碎片。</t>
  </si>
  <si>
    <t>item_17</t>
  </si>
  <si>
    <t>SR卡</t>
  </si>
  <si>
    <t>SR卡碎片</t>
  </si>
  <si>
    <t>随机获得一个SR卡碎片。</t>
  </si>
  <si>
    <t>item_18</t>
  </si>
  <si>
    <t>SSR卡</t>
  </si>
  <si>
    <t>SSR卡碎片</t>
  </si>
  <si>
    <t>随机获得一个SSR卡碎片。</t>
  </si>
  <si>
    <t>item_19</t>
  </si>
  <si>
    <t>突破材料橙色</t>
  </si>
  <si>
    <t>宝石2级</t>
  </si>
  <si>
    <t>随机获得一个宝石，大概率获得2级宝石，用于装备镶嵌，提升装备属性。</t>
  </si>
  <si>
    <t>宝石3级</t>
  </si>
  <si>
    <t>随机获得一个宝石，大概率获得3级宝石，用于装备镶嵌，提升装备属性。</t>
  </si>
  <si>
    <t>宝石4级</t>
  </si>
  <si>
    <t>随机获得一个宝石，大概率获得4级宝石，用于装备镶嵌，提升装备属性。</t>
  </si>
  <si>
    <t>宝石5级</t>
  </si>
  <si>
    <t>随机获得一个宝石，大概率获得5级宝石，用于装备镶嵌，提升装备属性。</t>
  </si>
  <si>
    <t>宝石6级</t>
  </si>
  <si>
    <t>随机获得一个宝石，大概率获得6级宝石，用于装备镶嵌，提升装备属性。</t>
  </si>
  <si>
    <t>宝石7级</t>
  </si>
  <si>
    <t>随机获得一个宝石，大概率获得7级宝石，用于装备镶嵌，提升装备属性。</t>
  </si>
  <si>
    <t>宝石1级</t>
  </si>
  <si>
    <t>随机获得一个1级宝石，用于装备镶嵌，提升装备属性。</t>
  </si>
  <si>
    <t>英雄·商贾巨剑</t>
  </si>
  <si>
    <t>通过本关后有概率获得一件60级套装【英雄·商贾巨剑】。</t>
  </si>
  <si>
    <t>equip_top_0801</t>
  </si>
  <si>
    <t>英雄·商贾之袍</t>
  </si>
  <si>
    <t>通过本关后有概率获得一件60级套装【英雄·商贾之袍】。</t>
  </si>
  <si>
    <t>equip_top_0802</t>
  </si>
  <si>
    <t>英雄·商贾之戒</t>
  </si>
  <si>
    <t>通过本关后有概率获得一件60级套装【英雄·商贾之戒】。</t>
  </si>
  <si>
    <t>equip_top_0803</t>
  </si>
  <si>
    <t>英雄·商贾项链</t>
  </si>
  <si>
    <t>通过本关后有概率获得一件60级套装【英雄·商贾项链】。</t>
  </si>
  <si>
    <t>equip_top_0804</t>
  </si>
  <si>
    <t>英雄·霸者之剑</t>
  </si>
  <si>
    <t>通过本关后有概率获得一件60级套装【英雄·霸者之剑】。</t>
  </si>
  <si>
    <t>equip_top_0701</t>
  </si>
  <si>
    <t>英雄·霸者之衣</t>
  </si>
  <si>
    <t>通过本关后有概率获得一件60级套装【英雄·霸者之衣】。</t>
  </si>
  <si>
    <t>equip_top_0702</t>
  </si>
  <si>
    <t>英雄·霸者之戒</t>
  </si>
  <si>
    <t>通过本关后有概率获得一件60级套装【英雄·霸者之戒】。</t>
  </si>
  <si>
    <t>equip_top_0703</t>
  </si>
  <si>
    <t>英雄·霸者之链</t>
  </si>
  <si>
    <t>通过本关后有概率获得一件60级套装【英雄·霸者之链】。</t>
  </si>
  <si>
    <t>equip_top_0704</t>
  </si>
  <si>
    <t>英雄·赤炎之刃</t>
  </si>
  <si>
    <t>通过本关后有概率获得一件60级套装【英雄·赤炎之刃】。</t>
  </si>
  <si>
    <t>equip_top_0601</t>
  </si>
  <si>
    <t>英雄·赤炎和服</t>
  </si>
  <si>
    <t>通过本关后有概率获得一件60级套装【英雄·赤炎和服】。</t>
  </si>
  <si>
    <t>equip_top_0602</t>
  </si>
  <si>
    <t>英雄·赤炎指环</t>
  </si>
  <si>
    <t>通过本关后有概率获得一件60级套装【英雄·赤炎指环】。</t>
  </si>
  <si>
    <t>equip_top_0603</t>
  </si>
  <si>
    <t>英雄·赤炎吊坠</t>
  </si>
  <si>
    <t>通过本关后有概率获得一件60级套装【英雄·赤炎吊坠】。</t>
  </si>
  <si>
    <t>equip_top_0604</t>
  </si>
  <si>
    <t>80级攻击武器</t>
  </si>
  <si>
    <t>黄金剑</t>
  </si>
  <si>
    <t>通过本关后获得一件80级装备【黄金剑】。</t>
  </si>
  <si>
    <t>sjatk_18001</t>
  </si>
  <si>
    <t>80级攻击防具</t>
  </si>
  <si>
    <t>警长帽</t>
  </si>
  <si>
    <t>通过本关后获得一件80级装备【警长帽】。</t>
  </si>
  <si>
    <t>sjatk_18002</t>
  </si>
  <si>
    <t>80级攻击戒指</t>
  </si>
  <si>
    <t>天蓝宝石戒指</t>
  </si>
  <si>
    <t>通过本关后获得一件80级装备【天蓝宝石戒指】。</t>
  </si>
  <si>
    <t>sjatk_18003</t>
  </si>
  <si>
    <t>80级攻击项链</t>
  </si>
  <si>
    <t>珍宝项链</t>
  </si>
  <si>
    <t>通过本关后获得一件80级装备【珍宝项链】。</t>
  </si>
  <si>
    <t>sjatk_18004</t>
  </si>
  <si>
    <t>80级攻击英雄武器</t>
  </si>
  <si>
    <t>英雄·黄金剑</t>
  </si>
  <si>
    <t>通过本关后有概率获得一件80级装备【英雄·黄金剑】。</t>
  </si>
  <si>
    <t>80级攻击英雄防具</t>
  </si>
  <si>
    <t>英雄·警长帽</t>
  </si>
  <si>
    <t>通过本关后有概率获得一件80级装备【英雄·警长帽】。</t>
  </si>
  <si>
    <t>80级攻击英雄戒指</t>
  </si>
  <si>
    <t>英雄·天蓝宝石戒指</t>
  </si>
  <si>
    <t>通过本关后有概率获得一件80级装备【英雄·天蓝宝石戒指】。</t>
  </si>
  <si>
    <t>80级攻击英雄项链</t>
  </si>
  <si>
    <t>英雄·珍宝项链</t>
  </si>
  <si>
    <t>通过本关后有概率获得一件80级装备【英雄·珍宝项链】。</t>
  </si>
  <si>
    <t>80级勇士武器</t>
  </si>
  <si>
    <t>英雄·勇士大剑</t>
  </si>
  <si>
    <t>通过本关后有概率获得一件80级套装【英雄·勇士大剑】。</t>
  </si>
  <si>
    <t>tzys_8001</t>
  </si>
  <si>
    <t>80级勇士防具</t>
  </si>
  <si>
    <t>英雄·勇士护甲</t>
  </si>
  <si>
    <t>通过本关后有概率获得一件80级套装【英雄·勇士护甲】。</t>
  </si>
  <si>
    <t>tzys_8002</t>
  </si>
  <si>
    <t>80级勇士戒指</t>
  </si>
  <si>
    <t>英雄·勇士戒指</t>
  </si>
  <si>
    <t>通过本关后有概率获得一件80级套装【英雄·勇士戒指】。</t>
  </si>
  <si>
    <t>tzys_8003</t>
  </si>
  <si>
    <t>80级勇士项链</t>
  </si>
  <si>
    <t>英雄·勇士项链</t>
  </si>
  <si>
    <t>通过本关后有概率获得一件80级套装【英雄·勇士项链】。</t>
  </si>
  <si>
    <t>tzys_8004</t>
  </si>
  <si>
    <t>80级龙鳞武器</t>
  </si>
  <si>
    <t>英雄·龙鳞巨刀</t>
  </si>
  <si>
    <t>通过本关后有概率获得一件80级套装【英雄·龙鳞巨刀】。</t>
  </si>
  <si>
    <t>tzll_8001</t>
  </si>
  <si>
    <t>80级龙鳞防具</t>
  </si>
  <si>
    <t>英雄·龙鳞闪甲</t>
  </si>
  <si>
    <t>通过本关后有概率获得一件80级套装【英雄·龙鳞闪甲】。</t>
  </si>
  <si>
    <t>tzll_8002</t>
  </si>
  <si>
    <t>80级龙鳞戒指</t>
  </si>
  <si>
    <t>英雄·龙鳞光戒</t>
  </si>
  <si>
    <t>通过本关后有概率获得一件80级套装【英雄·龙鳞光戒】。</t>
  </si>
  <si>
    <t>tzll_8003</t>
  </si>
  <si>
    <t>80级龙鳞项链</t>
  </si>
  <si>
    <t>英雄·龙鳞光链</t>
  </si>
  <si>
    <t>通过本关后有概率获得一件80级套装【英雄·龙鳞光链】。</t>
  </si>
  <si>
    <t>tzll_8004</t>
  </si>
  <si>
    <t>80级骑士武器</t>
  </si>
  <si>
    <t>英雄·骑士长剑</t>
  </si>
  <si>
    <t>通过本关后有概率获得一件80级套装【英雄·骑士长剑】。</t>
  </si>
  <si>
    <t>tzqs_8001</t>
  </si>
  <si>
    <t>80级骑士防具</t>
  </si>
  <si>
    <t>英雄·骑士长袍</t>
  </si>
  <si>
    <t>通过本关后有概率获得一件80级套装【英雄·骑士长袍】。</t>
  </si>
  <si>
    <t>tzqs_8002</t>
  </si>
  <si>
    <t>80级骑士戒指</t>
  </si>
  <si>
    <t>英雄·骑士戒指</t>
  </si>
  <si>
    <t>通过本关后有概率获得一件80级套装【英雄·骑士戒指】。</t>
  </si>
  <si>
    <t>tzqs_8003</t>
  </si>
  <si>
    <t>80级骑士项链</t>
  </si>
  <si>
    <t>英雄·骑士项链</t>
  </si>
  <si>
    <t>通过本关后有概率获得一件80级套装【英雄·骑士项链】。</t>
  </si>
  <si>
    <t>tzqs_8004</t>
  </si>
  <si>
    <t>80级学者武器</t>
  </si>
  <si>
    <t>英雄·学者慧笔</t>
  </si>
  <si>
    <t>通过本关后有概率获得一件80级套装【英雄·学者慧笔】。</t>
  </si>
  <si>
    <t>tzxz_8001</t>
  </si>
  <si>
    <t>80级学者防具</t>
  </si>
  <si>
    <t>英雄·学者袍</t>
  </si>
  <si>
    <t>通过本关后有概率获得一件80级套装【英雄·学者袍】。</t>
  </si>
  <si>
    <t>tzxz_8002</t>
  </si>
  <si>
    <t>80级学者戒指</t>
  </si>
  <si>
    <t>英雄·学者戒指</t>
  </si>
  <si>
    <t>通过本关后有概率获得一件80级套装【英雄·学者戒指】。</t>
  </si>
  <si>
    <t>tzxz_8003</t>
  </si>
  <si>
    <t>80级学者项链</t>
  </si>
  <si>
    <t>英雄·学者项链</t>
  </si>
  <si>
    <t>通过本关后有概率获得一件80级套装【英雄·学者项链】。</t>
  </si>
  <si>
    <t>tzxz_8004</t>
  </si>
  <si>
    <t>80级繁星武器</t>
  </si>
  <si>
    <t>英雄·繁星剑</t>
  </si>
  <si>
    <t>通过本关后有概率获得一件80级套装【英雄·繁星剑】。</t>
  </si>
  <si>
    <t>tzsg_8001</t>
  </si>
  <si>
    <t>80级繁星防具</t>
  </si>
  <si>
    <t>英雄·繁星服</t>
  </si>
  <si>
    <t>通过本关后有概率获得一件80级套装【英雄·繁星服】。</t>
  </si>
  <si>
    <t>tzsg_8002</t>
  </si>
  <si>
    <t>80级繁星戒指</t>
  </si>
  <si>
    <t>英雄·繁星戒指</t>
  </si>
  <si>
    <t>通过本关后有概率获得一件80级套装【英雄·繁星戒指】。</t>
  </si>
  <si>
    <t>tzsg_8003</t>
  </si>
  <si>
    <t>80级繁星项链</t>
  </si>
  <si>
    <t>英雄·繁星项链</t>
  </si>
  <si>
    <t>通过本关后有概率获得一件80级套装【英雄·繁星项链】。</t>
  </si>
  <si>
    <t>tzsg_8004</t>
  </si>
  <si>
    <t>80级防御武器</t>
  </si>
  <si>
    <t>豹纹剑</t>
  </si>
  <si>
    <t>通过本关后获得一件80级装备【豹纹剑】。</t>
  </si>
  <si>
    <t>sjdef_18001</t>
  </si>
  <si>
    <t>80级防御防具</t>
  </si>
  <si>
    <t>猎手帽</t>
  </si>
  <si>
    <t>通过本关后获得一件80级装备【猎手帽】。</t>
  </si>
  <si>
    <t>sjdef_18002</t>
  </si>
  <si>
    <t>80级防御戒指</t>
  </si>
  <si>
    <t>紫宝石戒指</t>
  </si>
  <si>
    <t>通过本关后获得一件80级装备【紫宝石戒指】。</t>
  </si>
  <si>
    <t>sjdef_18003</t>
  </si>
  <si>
    <t>80级防御项链</t>
  </si>
  <si>
    <t>红石项链</t>
  </si>
  <si>
    <t>通过本关后获得一件80级装备【红石项链】。</t>
  </si>
  <si>
    <t>sjdef_18004</t>
  </si>
  <si>
    <t>80级标准武器</t>
  </si>
  <si>
    <t>海螺锤</t>
  </si>
  <si>
    <t>通过本关后获得一件80级装备【海螺锤】。</t>
  </si>
  <si>
    <t>sjcom_18001</t>
  </si>
  <si>
    <t>80级标准防具</t>
  </si>
  <si>
    <t>护卫坚盔</t>
  </si>
  <si>
    <t>通过本关后获得一件80级装备【护卫坚盔】。</t>
  </si>
  <si>
    <t>sjcom_18002</t>
  </si>
  <si>
    <t>80级标准戒指</t>
  </si>
  <si>
    <t>红蓝戒指</t>
  </si>
  <si>
    <t>通过本关后获得一件80级装备【红蓝戒指】。</t>
  </si>
  <si>
    <t>sjcom_18003</t>
  </si>
  <si>
    <t>80级标准项链</t>
  </si>
  <si>
    <t>蓝紫宝石项链</t>
  </si>
  <si>
    <t>通过本关后获得一件80级装备【蓝紫宝石项链】。</t>
  </si>
  <si>
    <t>sjcom_18004</t>
  </si>
  <si>
    <t>80级防御英雄武器</t>
  </si>
  <si>
    <t>英雄·豹纹剑</t>
  </si>
  <si>
    <t>通过本关后有概率获得一件80级装备【英雄·豹纹剑】。</t>
  </si>
  <si>
    <t>80级防御英雄防具</t>
  </si>
  <si>
    <t>英雄·猎手帽</t>
  </si>
  <si>
    <t>通过本关后有概率获得一件80级装备【英雄·猎手帽】。</t>
  </si>
  <si>
    <t>80级防御英雄戒指</t>
  </si>
  <si>
    <t>英雄·紫宝石戒指</t>
  </si>
  <si>
    <t>通过本关后有概率获得一件80级装备【英雄·紫宝石戒指】。</t>
  </si>
  <si>
    <t>80级防御英雄项链</t>
  </si>
  <si>
    <t>英雄·蓝绿宝石项链</t>
  </si>
  <si>
    <t>通过本关后有概率获得一件80级装备【英雄·蓝绿宝石项链】。</t>
  </si>
  <si>
    <t>80级标准英雄武器</t>
  </si>
  <si>
    <t>英雄·海螺锤</t>
  </si>
  <si>
    <t>通过本关后有概率获得一件80级装备【英雄·海螺锤】。</t>
  </si>
  <si>
    <t>80级标准英雄防具</t>
  </si>
  <si>
    <t>英雄·护卫坚盔</t>
  </si>
  <si>
    <t>通过本关后有概率获得一件80级装备【英雄·护卫坚盔】。</t>
  </si>
  <si>
    <t>80级标准英雄戒指</t>
  </si>
  <si>
    <t>英雄·红蓝戒指</t>
  </si>
  <si>
    <t>通过本关后有概率获得一件80级装备【英雄·红蓝戒指】。</t>
  </si>
  <si>
    <t>80级标准英雄项链</t>
  </si>
  <si>
    <t>英雄·蓝紫宝石项链</t>
  </si>
  <si>
    <t>通过本关后有概率获得一件80级装备【英雄·蓝紫宝石项链】。</t>
  </si>
  <si>
    <t>贸易1-绿</t>
  </si>
  <si>
    <t>贸易随机奖励</t>
  </si>
  <si>
    <t>完成贸易订单后有机会获得经验卷轴、训练材料、精炼石、秘传书、亲密道具、突破材料等道具。</t>
  </si>
  <si>
    <t>贸易1-蓝</t>
  </si>
  <si>
    <t>贸易1-紫</t>
  </si>
  <si>
    <t>贸易1-橙</t>
  </si>
  <si>
    <t>贸易2-绿</t>
  </si>
  <si>
    <t>完成贸易订单后有机会获得宝石、经验卷轴、训练材料、精炼石、亲密度材料等道具。</t>
  </si>
  <si>
    <t>贸易2-蓝</t>
  </si>
  <si>
    <t>完成贸易订单后有机会获得宝石、经验卷轴、训练材料、秘传书等道具。</t>
  </si>
  <si>
    <t>贸易2-紫</t>
  </si>
  <si>
    <t>完成贸易订单后有机会获得宝石、经验卷轴、训练材料、精炼石等道具。</t>
  </si>
  <si>
    <t>贸易2-橙</t>
  </si>
  <si>
    <t>完成贸易订单后有机会获得高品质经验卷轴、高等级训练材料等道具。</t>
  </si>
  <si>
    <t>贸易3-绿</t>
  </si>
  <si>
    <t>贸易3-蓝</t>
  </si>
  <si>
    <t>完成贸易订单后有机会获得宝石、经验卷轴、训练材料、亲密度材料等道具。</t>
  </si>
  <si>
    <t>贸易3-紫</t>
  </si>
  <si>
    <t>完成贸易订单后有机会获得宝石、经验卷轴、秘传书、亲密度材料等道具。</t>
  </si>
  <si>
    <t>贸易3-橙</t>
  </si>
  <si>
    <t>完成贸易订单后有机会获得高品质经验卷轴、高等级训练材料、精炼石、亲密度材料等道具。</t>
  </si>
  <si>
    <t>贸易4-绿</t>
  </si>
  <si>
    <t>贸易4-蓝</t>
  </si>
  <si>
    <t>贸易4-紫</t>
  </si>
  <si>
    <t>贸易4-橙</t>
  </si>
  <si>
    <t>贸易5-绿</t>
  </si>
  <si>
    <t>贸易5-蓝</t>
  </si>
  <si>
    <t>完成贸易订单后有机会获得宝石、经验卷轴、训练材料、亲密度材料、突破材料等道具。</t>
  </si>
  <si>
    <t>贸易5-紫</t>
  </si>
  <si>
    <t>完成贸易订单后有机会获得宝石、经验卷轴、秘传书、亲密度材料、快速挑战券等道具。</t>
  </si>
  <si>
    <t>贸易5-橙</t>
  </si>
  <si>
    <t>完成贸易订单后有机会获得高等级宝石、高品质经验卷轴、高等级训练材料、精炼石、亲密度材料等道具。</t>
  </si>
  <si>
    <t>斗士细剑</t>
  </si>
  <si>
    <t>通过本关后获得一件100级装备【斗士细剑】。</t>
  </si>
  <si>
    <t>sjatk_28001</t>
  </si>
  <si>
    <t>金冠</t>
  </si>
  <si>
    <t>通过本关后获得一件100级装备【金冠】。</t>
  </si>
  <si>
    <t>sjatk_28002</t>
  </si>
  <si>
    <t>光绿戒指</t>
  </si>
  <si>
    <t>通过本关后获得一件100级装备【光绿戒指】。</t>
  </si>
  <si>
    <t>sjatk_28003</t>
  </si>
  <si>
    <t>红珍宝项链</t>
  </si>
  <si>
    <t>通过本关后获得一件100级装备【红珍宝项链】。</t>
  </si>
  <si>
    <t>sjatk_28004</t>
  </si>
  <si>
    <t>战锤</t>
  </si>
  <si>
    <t>通过本关后获得一件100级装备【战锤】。</t>
  </si>
  <si>
    <t>sjdef_28001</t>
  </si>
  <si>
    <t>卫兵尖盔</t>
  </si>
  <si>
    <t>通过本关后获得一件100级装备【卫兵尖盔】。</t>
  </si>
  <si>
    <t>sjdef_28002</t>
  </si>
  <si>
    <t>蓝水晶戒指</t>
  </si>
  <si>
    <t>通过本关后获得一件100级装备【蓝水晶戒指】。</t>
  </si>
  <si>
    <t>sjdef_28003</t>
  </si>
  <si>
    <t>珠花项链</t>
  </si>
  <si>
    <t>通过本关后获得一件100级装备【珠花项链】。</t>
  </si>
  <si>
    <t>sjdef_28004</t>
  </si>
  <si>
    <t>战斗枪</t>
  </si>
  <si>
    <t>通过本关后获得一件100级装备【战斗枪】。</t>
  </si>
  <si>
    <t>sjcom_28001</t>
  </si>
  <si>
    <t>车长帽</t>
  </si>
  <si>
    <t>通过本关后获得一件100级装备【车长帽】。</t>
  </si>
  <si>
    <t>sjcom_28002</t>
  </si>
  <si>
    <t>红翡戒指</t>
  </si>
  <si>
    <t>通过本关后获得一件100级装备【红翡戒指】。</t>
  </si>
  <si>
    <t>sjcom_28003</t>
  </si>
  <si>
    <t>金珠之链</t>
  </si>
  <si>
    <t>通过本关后获得一件100级装备【金珠之链】。</t>
  </si>
  <si>
    <t>sjcom_28004</t>
  </si>
  <si>
    <t>英雄·斗士细剑</t>
  </si>
  <si>
    <t>通过本关后有概率获得一件100级装备【英雄·斗士细剑】。</t>
  </si>
  <si>
    <t>英雄·金冠</t>
  </si>
  <si>
    <t>通过本关后有概率获得一件100级装备【英雄·金冠】。</t>
  </si>
  <si>
    <t>英雄·光绿戒指</t>
  </si>
  <si>
    <t>通过本关后有概率获得一件100级装备【英雄·光绿戒指】。</t>
  </si>
  <si>
    <t>英雄·红珍宝项链</t>
  </si>
  <si>
    <t>通过本关后有概率获得一件100级装备【英雄·红珍宝项链】。</t>
  </si>
  <si>
    <t>英雄·战锤</t>
  </si>
  <si>
    <t>通过本关后有概率获得一件100级装备【英雄·战锤】。</t>
  </si>
  <si>
    <t>英雄·卫兵尖盔</t>
  </si>
  <si>
    <t>通过本关后有概率获得一件100级装备【英雄·卫兵尖盔】。</t>
  </si>
  <si>
    <t>英雄·蓝水晶戒指</t>
  </si>
  <si>
    <t>通过本关后有概率获得一件100级装备【英雄·蓝水晶戒指】。</t>
  </si>
  <si>
    <t>英雄·珠花项链</t>
  </si>
  <si>
    <t>通过本关后有概率获得一件100级装备【英雄·珠花项链】。</t>
  </si>
  <si>
    <t>英雄·战斗枪</t>
  </si>
  <si>
    <t>通过本关后有概率获得一件100级装备【英雄·战斗枪】。</t>
  </si>
  <si>
    <t>英雄·车长帽</t>
  </si>
  <si>
    <t>通过本关后有概率获得一件100级装备【英雄·车长帽】。</t>
  </si>
  <si>
    <t>英雄·红翡戒指</t>
  </si>
  <si>
    <t>通过本关后有概率获得一件100级装备【英雄·红翡戒指】。</t>
  </si>
  <si>
    <t>英雄·金珠之链</t>
  </si>
  <si>
    <t>通过本关后有概率获得一件100级装备【英雄·金珠之链】。</t>
  </si>
  <si>
    <t>英雄·提督长鞭</t>
  </si>
  <si>
    <t>通过本关后有概率获得一件100级装备【英雄·提督长鞭】。</t>
  </si>
  <si>
    <t>tztd_1001</t>
  </si>
  <si>
    <t>英雄·提督长袍</t>
  </si>
  <si>
    <t>通过本关后有概率获得一件100级装备【英雄·提督长袍】。</t>
  </si>
  <si>
    <t>tztd_1002</t>
  </si>
  <si>
    <t>英雄·提督戒指</t>
  </si>
  <si>
    <t>通过本关后有概率获得一件100级装备【英雄·提督戒指】。</t>
  </si>
  <si>
    <t>tztd_1003</t>
  </si>
  <si>
    <t>英雄·提督项链</t>
  </si>
  <si>
    <t>通过本关后有概率获得一件100级装备【英雄·提督项链】。</t>
  </si>
  <si>
    <t>tztd_1004</t>
  </si>
  <si>
    <t>英雄·绅士长杖</t>
  </si>
  <si>
    <t>通过本关后有概率获得一件100级装备【英雄·绅士长杖】。</t>
  </si>
  <si>
    <t>tzss_1001</t>
  </si>
  <si>
    <t>英雄·绅士礼服</t>
  </si>
  <si>
    <t>通过本关后有概率获得一件100级装备【英雄·绅士礼服】。</t>
  </si>
  <si>
    <t>tzss_1002</t>
  </si>
  <si>
    <t>英雄·绅士戒指</t>
  </si>
  <si>
    <t>通过本关后有概率获得一件100级装备【英雄·绅士戒指】。</t>
  </si>
  <si>
    <t>tzss_1003</t>
  </si>
  <si>
    <t>英雄·绅士项链</t>
  </si>
  <si>
    <t>通过本关后有概率获得一件100级装备【英雄·绅士项链】。</t>
  </si>
  <si>
    <t>tzss_1004</t>
  </si>
  <si>
    <t>英雄·起航剑</t>
  </si>
  <si>
    <t>通过本关后有概率获得一件100级装备【英雄·起航剑】。</t>
  </si>
  <si>
    <t>tzqh_8001</t>
  </si>
  <si>
    <t>英雄·起航服</t>
  </si>
  <si>
    <t>通过本关后有概率获得一件100级装备【英雄·起航服】。</t>
  </si>
  <si>
    <t>tzqh_8002</t>
  </si>
  <si>
    <t>英雄·起航戒指</t>
  </si>
  <si>
    <t>通过本关后有概率获得一件100级装备【英雄·起航戒指】。</t>
  </si>
  <si>
    <t>tzqh_8003</t>
  </si>
  <si>
    <t>英雄·起航项链</t>
  </si>
  <si>
    <t>通过本关后有概率获得一件100级装备【英雄·起航项链】。</t>
  </si>
  <si>
    <t>tzqh_8004</t>
  </si>
  <si>
    <t>英雄·勇气剑</t>
  </si>
  <si>
    <t>通过本关后有概率获得一件100级装备【英雄·勇气剑】。</t>
  </si>
  <si>
    <t>tzyq_8001</t>
  </si>
  <si>
    <t>英雄·勇气服</t>
  </si>
  <si>
    <t>通过本关后有概率获得一件100级装备【英雄·勇气服】。</t>
  </si>
  <si>
    <t>tzyq_8002</t>
  </si>
  <si>
    <t>英雄·勇气戒指</t>
  </si>
  <si>
    <t>通过本关后有概率获得一件100级装备【英雄·勇气戒指】。</t>
  </si>
  <si>
    <t>tzyq_8003</t>
  </si>
  <si>
    <t>英雄·勇气项链</t>
  </si>
  <si>
    <t>通过本关后有概率获得一件100级装备【英雄·勇气项链】。</t>
  </si>
  <si>
    <t>tzyq_8004</t>
  </si>
  <si>
    <t>英雄·冲击长矛</t>
  </si>
  <si>
    <t>通过本关后有概率获得一件100级装备【英雄·冲击长矛】。</t>
  </si>
  <si>
    <t>tzcj_1001</t>
  </si>
  <si>
    <t>英雄·冲击长衣</t>
  </si>
  <si>
    <t>通过本关后有概率获得一件100级装备【英雄·冲击长衣】。</t>
  </si>
  <si>
    <t>tzcj_1002</t>
  </si>
  <si>
    <t>英雄·冲击戒指</t>
  </si>
  <si>
    <t>通过本关后有概率获得一件100级装备【英雄·冲击戒指】。</t>
  </si>
  <si>
    <t>tzcj_1003</t>
  </si>
  <si>
    <t>英雄·冲击项链</t>
  </si>
  <si>
    <t>通过本关后有概率获得一件100级装备【英雄·冲击项链】。</t>
  </si>
  <si>
    <t>tzcj_1004</t>
  </si>
  <si>
    <t>1级强健宝石</t>
  </si>
  <si>
    <t>强健宝石</t>
  </si>
  <si>
    <t>镶嵌在装备上的七彩宝石</t>
  </si>
  <si>
    <t>item_huoli0</t>
  </si>
  <si>
    <t>2级强健宝石</t>
  </si>
  <si>
    <t>3级强健宝石</t>
  </si>
  <si>
    <t>4级强健宝石</t>
  </si>
  <si>
    <t>5级强健宝石</t>
  </si>
  <si>
    <t>镶嵌在装备上的强健宝石，增加属性：36点攻击，36点防御，450点血量</t>
  </si>
  <si>
    <t>6级强健宝石</t>
  </si>
  <si>
    <t>镶嵌在装备上的强健宝石，增加属性：48点攻击，48点防御，575点血量</t>
  </si>
  <si>
    <t>7级强健宝石</t>
  </si>
  <si>
    <t>镶嵌在装备上的强健宝石，增加属性：62点攻击，62点防御，755点血量</t>
  </si>
  <si>
    <t>item_huoli1</t>
  </si>
  <si>
    <t>8级强健宝石</t>
  </si>
  <si>
    <t>镶嵌在装备上的强健宝石，增加属性：80点攻击，80点防御，970点血量</t>
  </si>
  <si>
    <t>9级强健宝石</t>
  </si>
  <si>
    <t>镶嵌在装备上的强健宝石，增加属性：104点攻击，104点防御，1260点血量</t>
  </si>
  <si>
    <t>10级强健宝石</t>
  </si>
  <si>
    <t>镶嵌在装备上的强健宝石，增加属性：150点攻击，150点防御，1800点血量</t>
  </si>
  <si>
    <t>item_huoli2</t>
  </si>
  <si>
    <t>11级强健宝石</t>
  </si>
  <si>
    <t>镶嵌在装备上的强健宝石，增加属性：188点攻击，188点防御，2250点血量</t>
  </si>
  <si>
    <t>item_qiangjian3</t>
  </si>
  <si>
    <t>1级迅捷宝石</t>
  </si>
  <si>
    <t>迅捷宝石</t>
  </si>
  <si>
    <t>item_xunjie0</t>
  </si>
  <si>
    <t>2级迅捷宝石</t>
  </si>
  <si>
    <t>3级迅捷宝石</t>
  </si>
  <si>
    <t>4级迅捷宝石</t>
  </si>
  <si>
    <t>5级迅捷宝石</t>
  </si>
  <si>
    <t>镶嵌在装备上的迅捷宝石，增加属性：7点速度，16命中值，16闪避值</t>
  </si>
  <si>
    <t>6级迅捷宝石</t>
  </si>
  <si>
    <t>镶嵌在装备上的迅捷宝石，增加属性：9点速度，20命中值，20闪避值</t>
  </si>
  <si>
    <t>7级迅捷宝石</t>
  </si>
  <si>
    <t>镶嵌在装备上的迅捷宝石，增加属性：12点速度，26命中值，26闪避值</t>
  </si>
  <si>
    <t>item_xunjie1</t>
  </si>
  <si>
    <t>8级迅捷宝石</t>
  </si>
  <si>
    <t>镶嵌在装备上的迅捷宝石，增加属性：16点速度，35命中值，35闪避值</t>
  </si>
  <si>
    <t>9级迅捷宝石</t>
  </si>
  <si>
    <t>镶嵌在装备上的迅捷宝石，增加属性：21点速度，46命中值，46闪避值</t>
  </si>
  <si>
    <t>10级迅捷宝石</t>
  </si>
  <si>
    <t>镶嵌在装备上的迅捷宝石，增加属性：30点速度，66命中值，66闪避值</t>
  </si>
  <si>
    <t>item_xunjie2</t>
  </si>
  <si>
    <t>11级迅捷宝石</t>
  </si>
  <si>
    <t>镶嵌在装备上的迅捷宝石，增加属性：37点速度，83命中值，83闪避值</t>
  </si>
  <si>
    <t>item_xunjie3</t>
  </si>
  <si>
    <t>1级复仇宝石</t>
  </si>
  <si>
    <t>复仇宝石</t>
  </si>
  <si>
    <t>item_fuchou0</t>
  </si>
  <si>
    <t>2级复仇宝石</t>
  </si>
  <si>
    <t>3级复仇宝石</t>
  </si>
  <si>
    <t>4级复仇宝石</t>
  </si>
  <si>
    <t>5级复仇宝石</t>
  </si>
  <si>
    <t>镶嵌在装备上的复仇宝石，增加属性：12暴击值，12韧性值，2.0%暴击伤害</t>
  </si>
  <si>
    <t>6级复仇宝石</t>
  </si>
  <si>
    <t>镶嵌在装备上的复仇宝石，增加属性：15暴击值，15韧性值，2.5%暴击伤害</t>
  </si>
  <si>
    <t>7级复仇宝石</t>
  </si>
  <si>
    <t>镶嵌在装备上的复仇宝石，增加属性：20暴击值，20韧性值，3.3%暴击伤害</t>
  </si>
  <si>
    <t>item_fuchou1</t>
  </si>
  <si>
    <t>8级复仇宝石</t>
  </si>
  <si>
    <t>镶嵌在装备上的复仇宝石，增加属性：26暴击值，26韧性值，4.3%暴击伤害</t>
  </si>
  <si>
    <t>9级复仇宝石</t>
  </si>
  <si>
    <t>镶嵌在装备上的复仇宝石，增加属性：35暴击值，35韧性值，5.6%暴击伤害</t>
  </si>
  <si>
    <t>10级复仇宝石</t>
  </si>
  <si>
    <t>镶嵌在装备上的复仇宝石，增加属性：49暴击值，49韧性值，8.0%暴击伤害</t>
  </si>
  <si>
    <t>item_fuchou2</t>
  </si>
  <si>
    <t>11级复仇宝石</t>
  </si>
  <si>
    <t>镶嵌在装备上的复仇宝石，增加属性：61暴击值，61韧性值，10.0%暴击伤害</t>
  </si>
  <si>
    <t>item_fuchou3</t>
  </si>
  <si>
    <t>1级闪耀宝石</t>
  </si>
  <si>
    <t>闪耀宝石</t>
  </si>
  <si>
    <t>item_shanyao0</t>
  </si>
  <si>
    <t>2级闪耀宝石</t>
  </si>
  <si>
    <t>3级闪耀宝石</t>
  </si>
  <si>
    <t>4级闪耀宝石</t>
  </si>
  <si>
    <t>5级闪耀宝石</t>
  </si>
  <si>
    <t>镶嵌在装备上的闪耀宝石，增加属性：5%全属性伤害，5%全属性抗性，2.0%抗暴击伤害</t>
  </si>
  <si>
    <t>6级闪耀宝石</t>
  </si>
  <si>
    <t>镶嵌在装备上的闪耀宝石，增加属性：6%全属性伤害，6%全属性抗性，2.5%抗暴击伤害</t>
  </si>
  <si>
    <t>7级闪耀宝石</t>
  </si>
  <si>
    <t>镶嵌在装备上的闪耀宝石，增加属性：7%全属性伤害，7%全属性抗性，3.3%抗暴击伤害</t>
  </si>
  <si>
    <t>item_shanyao1</t>
  </si>
  <si>
    <t>8级闪耀宝石</t>
  </si>
  <si>
    <t>镶嵌在装备上的闪耀宝石，增加属性：8%全属性伤害，8%全属性抗性，4.3%抗暴击伤害</t>
  </si>
  <si>
    <t>9级闪耀宝石</t>
  </si>
  <si>
    <t>镶嵌在装备上的闪耀宝石，增加属性：9%全属性伤害，9%全属性抗性，5.6%抗暴击伤害</t>
  </si>
  <si>
    <t>10级闪耀宝石</t>
  </si>
  <si>
    <t>镶嵌在装备上的闪耀宝石，增加属性：10%全属性伤害，10%全属性抗性，8.0%抗暴击伤害</t>
  </si>
  <si>
    <t>item_shanyao2</t>
  </si>
  <si>
    <t>11级闪耀宝石</t>
  </si>
  <si>
    <t>镶嵌在装备上的闪耀宝石，增加属性：11%全属性伤害，11%全属性抗性，10.0%抗暴击伤害</t>
  </si>
  <si>
    <t>item_shanyao3</t>
  </si>
  <si>
    <t>1级命运宝石</t>
  </si>
  <si>
    <t>命运宝石</t>
  </si>
  <si>
    <t>item_mingyun0</t>
  </si>
  <si>
    <t>2级命运宝石</t>
  </si>
  <si>
    <t>3级命运宝石</t>
  </si>
  <si>
    <t>4级命运宝石</t>
  </si>
  <si>
    <t>5级命运宝石</t>
  </si>
  <si>
    <t>镶嵌在装备上的命运宝石，增加属性：5%伤害加成，16命中值，16破击值</t>
  </si>
  <si>
    <t>6级命运宝石</t>
  </si>
  <si>
    <t>镶嵌在装备上的命运宝石，增加属性：6%伤害加成，20命中值，22破击值</t>
  </si>
  <si>
    <t>7级命运宝石</t>
  </si>
  <si>
    <t>镶嵌在装备上的命运宝石，增加属性：7%伤害加成，26命中值，28破击值</t>
  </si>
  <si>
    <t>item_mingyun1</t>
  </si>
  <si>
    <t>8级命运宝石</t>
  </si>
  <si>
    <t>镶嵌在装备上的命运宝石，增加属性：8%伤害加成，35命中值，36破击值</t>
  </si>
  <si>
    <t>9级命运宝石</t>
  </si>
  <si>
    <t>镶嵌在装备上的命运宝石，增加属性：9%伤害加成，46命中值，47破击值</t>
  </si>
  <si>
    <t>10级命运宝石</t>
  </si>
  <si>
    <t>镶嵌在装备上的命运宝石，增加属性：10%伤害加成，66命中值，67破击值</t>
  </si>
  <si>
    <t>item_mingyun2</t>
  </si>
  <si>
    <t>11级命运宝石</t>
  </si>
  <si>
    <t>镶嵌在装备上的命运宝石，增加属性：11%伤害加成，83命中值，85破击值</t>
  </si>
  <si>
    <t>item_mingyun3</t>
  </si>
  <si>
    <t>1级自由宝石</t>
  </si>
  <si>
    <t>自由宝石</t>
  </si>
  <si>
    <t>item_ziyou0</t>
  </si>
  <si>
    <t>2级自由宝石</t>
  </si>
  <si>
    <t>3级自由宝石</t>
  </si>
  <si>
    <t>4级自由宝石</t>
  </si>
  <si>
    <t>5级自由宝石</t>
  </si>
  <si>
    <t>镶嵌在装备上的自由宝石，增加属性：5%伤害减免，16闪避值，16格挡值</t>
  </si>
  <si>
    <t>6级自由宝石</t>
  </si>
  <si>
    <t>镶嵌在装备上的自由宝石，增加属性：6%伤害减免，20闪避值，22格挡值</t>
  </si>
  <si>
    <t>7级自由宝石</t>
  </si>
  <si>
    <t>镶嵌在装备上的自由宝石，增加属性：7%伤害减免，26闪避值，28格挡值</t>
  </si>
  <si>
    <t>item_ziyou1</t>
  </si>
  <si>
    <t>8级自由宝石</t>
  </si>
  <si>
    <t>镶嵌在装备上的自由宝石，增加属性：8%伤害减免，35闪避值，36格挡值</t>
  </si>
  <si>
    <t>9级自由宝石</t>
  </si>
  <si>
    <t>镶嵌在装备上的自由宝石，增加属性：9%伤害减免，46闪避值，47格挡值</t>
  </si>
  <si>
    <t>10级自由宝石</t>
  </si>
  <si>
    <t>镶嵌在装备上的自由宝石，增加属性：10%伤害减免，66闪避值，67格挡值</t>
  </si>
  <si>
    <t>item_ziyou2</t>
  </si>
  <si>
    <t>11级自由宝石</t>
  </si>
  <si>
    <t>镶嵌在装备上的自由宝石，增加属性：11%伤害减免，83闪避值，85格挡值</t>
  </si>
  <si>
    <t>item_ziyou3</t>
  </si>
  <si>
    <t>1级攻击红宝石</t>
  </si>
  <si>
    <t>攻击宝石</t>
  </si>
  <si>
    <t>镶嵌在装备上的攻击宝石，增加12点攻击力。</t>
  </si>
  <si>
    <t>item_1100101</t>
  </si>
  <si>
    <t>主要产出途径：&lt;color=#ba3901&gt;野外敌人掉落&lt;/color&gt;</t>
  </si>
  <si>
    <t>2级攻击红宝石</t>
  </si>
  <si>
    <t>镶嵌在装备上的攻击宝石，增加18点攻击力。</t>
  </si>
  <si>
    <t>3级攻击红宝石</t>
  </si>
  <si>
    <t>镶嵌在装备上的攻击宝石，增加24点攻击力。</t>
  </si>
  <si>
    <t>4级攻击红宝石</t>
  </si>
  <si>
    <t>镶嵌在装备上的攻击宝石，增加30点攻击力。</t>
  </si>
  <si>
    <t>item_1100104</t>
  </si>
  <si>
    <t>5级攻击红宝石</t>
  </si>
  <si>
    <t>镶嵌在装备上的攻击宝石，增加36点攻击力。</t>
  </si>
  <si>
    <t>6级攻击红宝石</t>
  </si>
  <si>
    <t>镶嵌在装备上的攻击宝石，增加48点攻击力。</t>
  </si>
  <si>
    <t>7级攻击红宝石</t>
  </si>
  <si>
    <t>镶嵌在装备上的攻击宝石，增加62点攻击力。</t>
  </si>
  <si>
    <t>item_1100107</t>
  </si>
  <si>
    <t>8级攻击红宝石</t>
  </si>
  <si>
    <t>镶嵌在装备上的攻击宝石，增加80点攻击力。</t>
  </si>
  <si>
    <t>9级攻击红宝石</t>
  </si>
  <si>
    <t>镶嵌在装备上的攻击宝石，增加104点攻击力。</t>
  </si>
  <si>
    <t>10级攻击红宝石</t>
  </si>
  <si>
    <t>镶嵌在装备上的攻击宝石，增加150点攻击力。</t>
  </si>
  <si>
    <t>item_1100110</t>
  </si>
  <si>
    <t>11级攻击红宝石</t>
  </si>
  <si>
    <t>镶嵌在装备上的攻击宝石，增加188点攻击力。</t>
  </si>
  <si>
    <t>item_1100111</t>
  </si>
  <si>
    <t>12级攻击红宝石</t>
  </si>
  <si>
    <t>镶嵌在装备上的攻击宝石，增加225点攻击力。</t>
  </si>
  <si>
    <t>1级防御灰宝石</t>
  </si>
  <si>
    <t>防御宝石</t>
  </si>
  <si>
    <t>镶嵌在装备上的防御宝石，增加12点防御。</t>
  </si>
  <si>
    <t>item_1100201</t>
  </si>
  <si>
    <t>2级防御灰宝石</t>
  </si>
  <si>
    <t>镶嵌在装备上的防御宝石，增加18点防御。</t>
  </si>
  <si>
    <t>3级防御灰宝石</t>
  </si>
  <si>
    <t>镶嵌在装备上的防御宝石，增加24点防御。</t>
  </si>
  <si>
    <t>4级防御灰宝石</t>
  </si>
  <si>
    <t>镶嵌在装备上的防御宝石，增加30点防御。</t>
  </si>
  <si>
    <t>item_1100204</t>
  </si>
  <si>
    <t>5级防御灰宝石</t>
  </si>
  <si>
    <t>镶嵌在装备上的防御宝石，增加36点防御。</t>
  </si>
  <si>
    <t>6级防御灰宝石</t>
  </si>
  <si>
    <t>镶嵌在装备上的防御宝石，增加48点防御。</t>
  </si>
  <si>
    <t>7级防御灰宝石</t>
  </si>
  <si>
    <t>镶嵌在装备上的防御宝石，增加62点防御。</t>
  </si>
  <si>
    <t>item_1100207</t>
  </si>
  <si>
    <t>8级防御灰宝石</t>
  </si>
  <si>
    <t>镶嵌在装备上的防御宝石，增加80点防御。</t>
  </si>
  <si>
    <t>9级防御灰宝石</t>
  </si>
  <si>
    <t>镶嵌在装备上的防御宝石，增加104点防御。</t>
  </si>
  <si>
    <t>10级防御灰宝石</t>
  </si>
  <si>
    <t>镶嵌在装备上的防御宝石，增加150点防御。</t>
  </si>
  <si>
    <t>item_1100210</t>
  </si>
  <si>
    <t>11级防御灰宝石</t>
  </si>
  <si>
    <t>镶嵌在装备上的防御宝石，增加188点防御。</t>
  </si>
  <si>
    <t>item_1100211</t>
  </si>
  <si>
    <t>12级防御灰宝石</t>
  </si>
  <si>
    <t>镶嵌在装备上的防御宝石，增加225点防御。</t>
  </si>
  <si>
    <t>1级生命红宝石</t>
  </si>
  <si>
    <t>生命宝石</t>
  </si>
  <si>
    <t>镶嵌在装备上的生命宝石，增加160点血量。</t>
  </si>
  <si>
    <t>item_1100301</t>
  </si>
  <si>
    <t>2级生命红宝石</t>
  </si>
  <si>
    <t>镶嵌在装备上的生命宝石，增加225点血量。</t>
  </si>
  <si>
    <t>3级生命红宝石</t>
  </si>
  <si>
    <t>镶嵌在装备上的生命宝石，增加285点血量。</t>
  </si>
  <si>
    <t>4级生命红宝石</t>
  </si>
  <si>
    <t>镶嵌在装备上的生命宝石，增加360点血量。</t>
  </si>
  <si>
    <t>item_1100304</t>
  </si>
  <si>
    <t>5级生命红宝石</t>
  </si>
  <si>
    <t>镶嵌在装备上的生命宝石，增加450点血量。</t>
  </si>
  <si>
    <t>6级生命红宝石</t>
  </si>
  <si>
    <t>镶嵌在装备上的生命宝石，增加575点血量。</t>
  </si>
  <si>
    <t>7级生命红宝石</t>
  </si>
  <si>
    <t>镶嵌在装备上的生命宝石，增加755点血量。</t>
  </si>
  <si>
    <t>item_1100307</t>
  </si>
  <si>
    <t>8级生命红宝石</t>
  </si>
  <si>
    <t>镶嵌在装备上的生命宝石，增加970点血量。</t>
  </si>
  <si>
    <t>9级生命红宝石</t>
  </si>
  <si>
    <t>镶嵌在装备上的生命宝石，增加1260点血量。</t>
  </si>
  <si>
    <t>10级生命红宝石</t>
  </si>
  <si>
    <t>镶嵌在装备上的生命宝石，增加1800点血量。</t>
  </si>
  <si>
    <t>item_1100310</t>
  </si>
  <si>
    <t>11级生命红宝石</t>
  </si>
  <si>
    <t>镶嵌在装备上的生命宝石，增加2250点血量。</t>
  </si>
  <si>
    <t>item_1100311</t>
  </si>
  <si>
    <t>12级生命红宝石</t>
  </si>
  <si>
    <t>镶嵌在装备上的生命宝石，增加2700点血量。</t>
  </si>
  <si>
    <t>1级速度蓝宝石</t>
  </si>
  <si>
    <t>速度宝石</t>
  </si>
  <si>
    <t>镶嵌在装备上的速度宝石，增加2点速度。</t>
  </si>
  <si>
    <t>item_1100401</t>
  </si>
  <si>
    <t>2级速度蓝宝石</t>
  </si>
  <si>
    <t>镶嵌在装备上的速度宝石，增加3点速度。</t>
  </si>
  <si>
    <t>3级速度蓝宝石</t>
  </si>
  <si>
    <t>镶嵌在装备上的速度宝石，增加4点速度。</t>
  </si>
  <si>
    <t>4级速度蓝宝石</t>
  </si>
  <si>
    <t>镶嵌在装备上的速度宝石，增加6点速度。</t>
  </si>
  <si>
    <t>item_1100404</t>
  </si>
  <si>
    <t>5级速度蓝宝石</t>
  </si>
  <si>
    <t>镶嵌在装备上的速度宝石，增加7点速度。</t>
  </si>
  <si>
    <t>6级速度蓝宝石</t>
  </si>
  <si>
    <t>镶嵌在装备上的速度宝石，增加9点速度。</t>
  </si>
  <si>
    <t>7级速度蓝宝石</t>
  </si>
  <si>
    <t>镶嵌在装备上的速度宝石，增加12点速度。</t>
  </si>
  <si>
    <t>item_1100407</t>
  </si>
  <si>
    <t>8级速度蓝宝石</t>
  </si>
  <si>
    <t>镶嵌在装备上的速度宝石，增加16点速度。</t>
  </si>
  <si>
    <t>9级速度蓝宝石</t>
  </si>
  <si>
    <t>镶嵌在装备上的速度宝石，增加21点速度。</t>
  </si>
  <si>
    <t>10级速度蓝宝石</t>
  </si>
  <si>
    <t>镶嵌在装备上的速度宝石，增加30点速度。</t>
  </si>
  <si>
    <t>item_1100410</t>
  </si>
  <si>
    <t>11级速度蓝宝石</t>
  </si>
  <si>
    <t>镶嵌在装备上的速度宝石，增加35点速度。</t>
  </si>
  <si>
    <t>item_1100411</t>
  </si>
  <si>
    <t>12级速度蓝宝石</t>
  </si>
  <si>
    <t>镶嵌在装备上的速度宝石，增加40点速度。</t>
  </si>
  <si>
    <t>1级精准紫宝石</t>
  </si>
  <si>
    <t>精准宝石</t>
  </si>
  <si>
    <t>镶嵌在装备上的精准宝石，增加5命中值。</t>
  </si>
  <si>
    <t>item_1100501</t>
  </si>
  <si>
    <t>2级精准紫宝石</t>
  </si>
  <si>
    <t>镶嵌在装备上的精准宝石，增加8命中值。</t>
  </si>
  <si>
    <t>3级精准紫宝石</t>
  </si>
  <si>
    <t>镶嵌在装备上的精准宝石，增加10命中值。</t>
  </si>
  <si>
    <t>4级精准紫宝石</t>
  </si>
  <si>
    <t>镶嵌在装备上的精准宝石，增加13命中值。</t>
  </si>
  <si>
    <t>item_1100504</t>
  </si>
  <si>
    <t>5级精准紫宝石</t>
  </si>
  <si>
    <t>镶嵌在装备上的精准宝石，增加16命中值。</t>
  </si>
  <si>
    <t>6级精准紫宝石</t>
  </si>
  <si>
    <t>镶嵌在装备上的精准宝石，增加20命中值。</t>
  </si>
  <si>
    <t>7级精准紫宝石</t>
  </si>
  <si>
    <t>镶嵌在装备上的精准宝石，增加26命中值。</t>
  </si>
  <si>
    <t>item_1100507</t>
  </si>
  <si>
    <t>8级精准紫宝石</t>
  </si>
  <si>
    <t>镶嵌在装备上的精准宝石，增加35命中值。</t>
  </si>
  <si>
    <t>9级精准紫宝石</t>
  </si>
  <si>
    <t>镶嵌在装备上的精准宝石，增加46命中值。</t>
  </si>
  <si>
    <t>10级精准紫宝石</t>
  </si>
  <si>
    <t>镶嵌在装备上的精准宝石，增加66命中值。</t>
  </si>
  <si>
    <t>item_1100510</t>
  </si>
  <si>
    <t>11级精准紫宝石</t>
  </si>
  <si>
    <t>镶嵌在装备上的精准宝石，增加82命中值。</t>
  </si>
  <si>
    <t>item_1100511</t>
  </si>
  <si>
    <t>12级精准紫宝石</t>
  </si>
  <si>
    <t>镶嵌在装备上的精准宝石，增加99命中值。</t>
  </si>
  <si>
    <t>1级闪避蓝宝石</t>
  </si>
  <si>
    <t>闪避宝石</t>
  </si>
  <si>
    <t>镶嵌在装备上的闪避宝石，增加5闪避值。</t>
  </si>
  <si>
    <t>item_1100601</t>
  </si>
  <si>
    <t>2级闪避蓝宝石</t>
  </si>
  <si>
    <t>镶嵌在装备上的闪避宝石，增加8闪避值。</t>
  </si>
  <si>
    <t>3级闪避蓝宝石</t>
  </si>
  <si>
    <t>镶嵌在装备上的闪避宝石，增加10闪避值。</t>
  </si>
  <si>
    <t>4级闪避蓝宝石</t>
  </si>
  <si>
    <t>镶嵌在装备上的闪避宝石，增加13闪避值。</t>
  </si>
  <si>
    <t>item_1100604</t>
  </si>
  <si>
    <t>5级闪避蓝宝石</t>
  </si>
  <si>
    <t>镶嵌在装备上的闪避宝石，增加16闪避值。</t>
  </si>
  <si>
    <t>6级闪避蓝宝石</t>
  </si>
  <si>
    <t>镶嵌在装备上的闪避宝石，增加20闪避值。</t>
  </si>
  <si>
    <t>7级闪避蓝宝石</t>
  </si>
  <si>
    <t>镶嵌在装备上的闪避宝石，增加26闪避值。</t>
  </si>
  <si>
    <t>item_1100607</t>
  </si>
  <si>
    <t>8级闪避蓝宝石</t>
  </si>
  <si>
    <t>镶嵌在装备上的闪避宝石，增加35闪避值。</t>
  </si>
  <si>
    <t>9级闪避蓝宝石</t>
  </si>
  <si>
    <t>镶嵌在装备上的闪避宝石，增加46闪避值。</t>
  </si>
  <si>
    <t>10级闪避蓝宝石</t>
  </si>
  <si>
    <t>镶嵌在装备上的闪避宝石，增加66闪避值。</t>
  </si>
  <si>
    <t>item_1100610</t>
  </si>
  <si>
    <t>11级闪避蓝宝石</t>
  </si>
  <si>
    <t>镶嵌在装备上的闪避宝石，增加82闪避值。</t>
  </si>
  <si>
    <t>item_1100611</t>
  </si>
  <si>
    <t>12级闪避蓝宝石</t>
  </si>
  <si>
    <t>镶嵌在装备上的闪避宝石，增加99闪避值。</t>
  </si>
  <si>
    <t>1级暴击黄宝石</t>
  </si>
  <si>
    <t>暴击宝石</t>
  </si>
  <si>
    <t>镶嵌在装备上的暴击宝石，增加3暴击值。</t>
  </si>
  <si>
    <t>item_1100701</t>
  </si>
  <si>
    <t>2级暴击黄宝石</t>
  </si>
  <si>
    <t>镶嵌在装备上的暴击宝石，增加5暴击值。</t>
  </si>
  <si>
    <t>3级暴击黄宝石</t>
  </si>
  <si>
    <t>镶嵌在装备上的暴击宝石，增加7暴击值。</t>
  </si>
  <si>
    <t>4级暴击黄宝石</t>
  </si>
  <si>
    <t>镶嵌在装备上的暴击宝石，增加10暴击值。</t>
  </si>
  <si>
    <t>item_1100704</t>
  </si>
  <si>
    <t>5级暴击黄宝石</t>
  </si>
  <si>
    <t>镶嵌在装备上的暴击宝石，增加12暴击值。</t>
  </si>
  <si>
    <t>6级暴击黄宝石</t>
  </si>
  <si>
    <t>镶嵌在装备上的暴击宝石，增加15暴击值。</t>
  </si>
  <si>
    <t>7级暴击黄宝石</t>
  </si>
  <si>
    <t>镶嵌在装备上的暴击宝石，增加20暴击值。</t>
  </si>
  <si>
    <t>item_1100707</t>
  </si>
  <si>
    <t>8级暴击黄宝石</t>
  </si>
  <si>
    <t>镶嵌在装备上的暴击宝石，增加26暴击值。</t>
  </si>
  <si>
    <t>9级暴击黄宝石</t>
  </si>
  <si>
    <t>镶嵌在装备上的暴击宝石，增加35暴击值。</t>
  </si>
  <si>
    <t>10级暴击黄宝石</t>
  </si>
  <si>
    <t>镶嵌在装备上的暴击宝石，增加49暴击值。</t>
  </si>
  <si>
    <t>item_1100710</t>
  </si>
  <si>
    <t>11级暴击黄宝石</t>
  </si>
  <si>
    <t>镶嵌在装备上的暴击宝石，增加82暴击值。</t>
  </si>
  <si>
    <t>item_1100711</t>
  </si>
  <si>
    <t>12级暴击黄宝石</t>
  </si>
  <si>
    <t>镶嵌在装备上的暴击宝石，增加99暴击值。</t>
  </si>
  <si>
    <t>1级抗暴蓝宝石</t>
  </si>
  <si>
    <t>抗暴宝石</t>
  </si>
  <si>
    <t>镶嵌在装备上的抗暴宝石，增加3韧性值。</t>
  </si>
  <si>
    <t>item_1100801</t>
  </si>
  <si>
    <t>2级抗暴蓝宝石</t>
  </si>
  <si>
    <t>镶嵌在装备上的抗暴宝石，增加5韧性值。</t>
  </si>
  <si>
    <t>3级抗暴蓝宝石</t>
  </si>
  <si>
    <t>镶嵌在装备上的抗暴宝石，增加7韧性值。</t>
  </si>
  <si>
    <t>4级抗暴蓝宝石</t>
  </si>
  <si>
    <t>镶嵌在装备上的抗暴宝石，增加10韧性值。</t>
  </si>
  <si>
    <t>item_1100804</t>
  </si>
  <si>
    <t>5级抗暴蓝宝石</t>
  </si>
  <si>
    <t>镶嵌在装备上的抗暴宝石，增加12韧性值。</t>
  </si>
  <si>
    <t>6级抗暴蓝宝石</t>
  </si>
  <si>
    <t>镶嵌在装备上的抗暴宝石，增加15韧性值。</t>
  </si>
  <si>
    <t>7级抗暴蓝宝石</t>
  </si>
  <si>
    <t>镶嵌在装备上的抗暴宝石，增加20韧性值。</t>
  </si>
  <si>
    <t>item_1100807</t>
  </si>
  <si>
    <t>8级抗暴蓝宝石</t>
  </si>
  <si>
    <t>镶嵌在装备上的抗暴宝石，增加26韧性值。</t>
  </si>
  <si>
    <t>9级抗暴蓝宝石</t>
  </si>
  <si>
    <t>镶嵌在装备上的抗暴宝石，增加35韧性值。</t>
  </si>
  <si>
    <t>10级抗暴蓝宝石</t>
  </si>
  <si>
    <t>镶嵌在装备上的抗暴宝石，增加49韧性值。</t>
  </si>
  <si>
    <t>item_1100810</t>
  </si>
  <si>
    <t>11级抗暴蓝宝石</t>
  </si>
  <si>
    <t>镶嵌在装备上的抗暴宝石，增加82韧性值。</t>
  </si>
  <si>
    <t>item_1100811</t>
  </si>
  <si>
    <t>12级抗暴蓝宝石</t>
  </si>
  <si>
    <t>镶嵌在装备上的抗暴宝石，增加99韧性值。</t>
  </si>
  <si>
    <t>1级暴伤黄宝石</t>
  </si>
  <si>
    <t>暴伤宝石</t>
  </si>
  <si>
    <t>镶嵌在装备上的暴伤宝石，增加0.7%暴击伤害。</t>
  </si>
  <si>
    <t>item_1100901</t>
  </si>
  <si>
    <t>2级暴伤黄宝石</t>
  </si>
  <si>
    <t>镶嵌在装备上的暴伤宝石，增加1.0%暴击伤害。</t>
  </si>
  <si>
    <t>3级暴伤黄宝石</t>
  </si>
  <si>
    <t>镶嵌在装备上的暴伤宝石，增加1.2%暴击伤害。</t>
  </si>
  <si>
    <t>4级暴伤黄宝石</t>
  </si>
  <si>
    <t>镶嵌在装备上的暴伤宝石，增加1.6%暴击伤害。</t>
  </si>
  <si>
    <t>item_1100904</t>
  </si>
  <si>
    <t>5级暴伤黄宝石</t>
  </si>
  <si>
    <t>镶嵌在装备上的暴伤宝石，增加2.0%暴击伤害。</t>
  </si>
  <si>
    <t>6级暴伤黄宝石</t>
  </si>
  <si>
    <t>镶嵌在装备上的暴伤宝石，增加2.5%暴击伤害。</t>
  </si>
  <si>
    <t>7级暴伤黄宝石</t>
  </si>
  <si>
    <t>镶嵌在装备上的暴伤宝石，增加3.3%暴击伤害。</t>
  </si>
  <si>
    <t>item_1100907</t>
  </si>
  <si>
    <t>8级暴伤黄宝石</t>
  </si>
  <si>
    <t>镶嵌在装备上的暴伤宝石，增加4.3%暴击伤害。</t>
  </si>
  <si>
    <t>9级暴伤黄宝石</t>
  </si>
  <si>
    <t>镶嵌在装备上的暴伤宝石，增加5.6%暴击伤害。</t>
  </si>
  <si>
    <t>10级暴伤黄宝石</t>
  </si>
  <si>
    <t>镶嵌在装备上的暴伤宝石，增加8.0%暴击伤害。</t>
  </si>
  <si>
    <t>item_1100910</t>
  </si>
  <si>
    <t>11级暴伤黄宝石</t>
  </si>
  <si>
    <t>镶嵌在装备上的暴伤宝石，增加10.0%暴击伤害。</t>
  </si>
  <si>
    <t>item_1100911</t>
  </si>
  <si>
    <t>12级暴伤黄宝石</t>
  </si>
  <si>
    <t>镶嵌在装备上的暴伤宝石，增加12.0%暴击伤害。</t>
  </si>
  <si>
    <t>1级怒气红宝石</t>
  </si>
  <si>
    <t>怒气宝石</t>
  </si>
  <si>
    <t>镶嵌在装备上的怒气宝石，增加0.5点初始怒气。</t>
  </si>
  <si>
    <t>item_1101001</t>
  </si>
  <si>
    <t>2级怒气红宝石</t>
  </si>
  <si>
    <t>镶嵌在装备上的怒气宝石，增加1点初始怒气。</t>
  </si>
  <si>
    <t>3级怒气红宝石</t>
  </si>
  <si>
    <t>镶嵌在装备上的怒气宝石，增加1.5点初始怒气。</t>
  </si>
  <si>
    <t>4级怒气红宝石</t>
  </si>
  <si>
    <t>镶嵌在装备上的怒气宝石，增加2点初始怒气。</t>
  </si>
  <si>
    <t>item_1101004</t>
  </si>
  <si>
    <t>5级怒气红宝石</t>
  </si>
  <si>
    <t>镶嵌在装备上的怒气宝石，增加2.5点初始怒气。</t>
  </si>
  <si>
    <t>6级怒气红宝石</t>
  </si>
  <si>
    <t>镶嵌在装备上的怒气宝石，增加3点初始怒气。</t>
  </si>
  <si>
    <t>7级怒气红宝石</t>
  </si>
  <si>
    <t>镶嵌在装备上的怒气宝石，增加3.5点初始怒气。</t>
  </si>
  <si>
    <t>item_1101007</t>
  </si>
  <si>
    <t>8级怒气红宝石</t>
  </si>
  <si>
    <t>镶嵌在装备上的怒气宝石，增加4点初始怒气。</t>
  </si>
  <si>
    <t>9级怒气红宝石</t>
  </si>
  <si>
    <t>镶嵌在装备上的怒气宝石，增加4.5点初始怒气。</t>
  </si>
  <si>
    <t>10级怒气红宝石</t>
  </si>
  <si>
    <t>镶嵌在装备上的怒气宝石，增加5点初始怒气。</t>
  </si>
  <si>
    <t>item_1101010</t>
  </si>
  <si>
    <t>1级回复绿宝石</t>
  </si>
  <si>
    <t>回复宝石</t>
  </si>
  <si>
    <t>镶嵌在装备上的回复宝石，每回合恢复25血量。</t>
  </si>
  <si>
    <t>item_1101101</t>
  </si>
  <si>
    <t>2级回复绿宝石</t>
  </si>
  <si>
    <t>镶嵌在装备上的回复宝石，每回合恢复36血量。</t>
  </si>
  <si>
    <t>3级回复绿宝石</t>
  </si>
  <si>
    <t>镶嵌在装备上的回复宝石，每回合恢复48血量。</t>
  </si>
  <si>
    <t>4级回复绿宝石</t>
  </si>
  <si>
    <t>镶嵌在装备上的回复宝石，每回合恢复60血量。</t>
  </si>
  <si>
    <t>item_1101104</t>
  </si>
  <si>
    <t>5级回复绿宝石</t>
  </si>
  <si>
    <t>镶嵌在装备上的回复宝石，每回合恢复75血量。</t>
  </si>
  <si>
    <t>6级回复绿宝石</t>
  </si>
  <si>
    <t>镶嵌在装备上的回复宝石，每回合恢复96血量。</t>
  </si>
  <si>
    <t>7级回复绿宝石</t>
  </si>
  <si>
    <t>镶嵌在装备上的回复宝石，每回合恢复126血量。</t>
  </si>
  <si>
    <t>item_1101107</t>
  </si>
  <si>
    <t>8级回复绿宝石</t>
  </si>
  <si>
    <t>镶嵌在装备上的回复宝石，每回合恢复162血量。</t>
  </si>
  <si>
    <t>9级回复绿宝石</t>
  </si>
  <si>
    <t>镶嵌在装备上的回复宝石，每回合恢复210血量。</t>
  </si>
  <si>
    <t>10级回复绿宝石</t>
  </si>
  <si>
    <t>镶嵌在装备上的回复宝石，每回合恢复300血量。</t>
  </si>
  <si>
    <t>item_1101110</t>
  </si>
  <si>
    <t>1级治愈绿宝石</t>
  </si>
  <si>
    <t>治愈宝石</t>
  </si>
  <si>
    <t>镶嵌在装备上的治愈宝石，增加1%治疗量。</t>
  </si>
  <si>
    <t>item_1101201</t>
  </si>
  <si>
    <t>2级治愈绿宝石</t>
  </si>
  <si>
    <t>镶嵌在装备上的治愈宝石，增加2%治疗量。</t>
  </si>
  <si>
    <t>3级治愈绿宝石</t>
  </si>
  <si>
    <t>镶嵌在装备上的治愈宝石，增加3%治疗量。</t>
  </si>
  <si>
    <t>4级治愈绿宝石</t>
  </si>
  <si>
    <t>镶嵌在装备上的治愈宝石，增加4%治疗量。</t>
  </si>
  <si>
    <t>item_1101204</t>
  </si>
  <si>
    <t>5级治愈绿宝石</t>
  </si>
  <si>
    <t>镶嵌在装备上的治愈宝石，增加5%治疗量。</t>
  </si>
  <si>
    <t>6级治愈绿宝石</t>
  </si>
  <si>
    <t>镶嵌在装备上的治愈宝石，增加6%治疗量。</t>
  </si>
  <si>
    <t>7级治愈绿宝石</t>
  </si>
  <si>
    <t>镶嵌在装备上的治愈宝石，增加7%治疗量。</t>
  </si>
  <si>
    <t>item_1101207</t>
  </si>
  <si>
    <t>8级治愈绿宝石</t>
  </si>
  <si>
    <t>镶嵌在装备上的治愈宝石，增加8%治疗量。</t>
  </si>
  <si>
    <t>9级治愈绿宝石</t>
  </si>
  <si>
    <t>镶嵌在装备上的治愈宝石，增加9%治疗量。</t>
  </si>
  <si>
    <t>10级治愈绿宝石</t>
  </si>
  <si>
    <t>镶嵌在装备上的治愈宝石，增加10%治疗量。</t>
  </si>
  <si>
    <t>item_1101210</t>
  </si>
  <si>
    <t>1级回血绿宝石</t>
  </si>
  <si>
    <t>回血宝石</t>
  </si>
  <si>
    <t>镶嵌在装备上的回血宝石，击杀敌人后恢复81血量。</t>
  </si>
  <si>
    <t>item_1101301</t>
  </si>
  <si>
    <t>2级回血绿宝石</t>
  </si>
  <si>
    <t>镶嵌在装备上的回血宝石，击杀敌人后恢复112血量。</t>
  </si>
  <si>
    <t>3级回血绿宝石</t>
  </si>
  <si>
    <t>镶嵌在装备上的回血宝石，击杀敌人后恢复144血量。</t>
  </si>
  <si>
    <t>4级回血绿宝石</t>
  </si>
  <si>
    <t>镶嵌在装备上的回血宝石，击杀敌人后恢复180血量。</t>
  </si>
  <si>
    <t>item_1101304</t>
  </si>
  <si>
    <t>5级回血绿宝石</t>
  </si>
  <si>
    <t>镶嵌在装备上的回血宝石，击杀敌人后恢复225血量。</t>
  </si>
  <si>
    <t>6级回血绿宝石</t>
  </si>
  <si>
    <t>镶嵌在装备上的回血宝石，击杀敌人后恢复288血量。</t>
  </si>
  <si>
    <t>7级回血绿宝石</t>
  </si>
  <si>
    <t>镶嵌在装备上的回血宝石，击杀敌人后恢复378血量。</t>
  </si>
  <si>
    <t>item_1101307</t>
  </si>
  <si>
    <t>8级回血绿宝石</t>
  </si>
  <si>
    <t>镶嵌在装备上的回血宝石，击杀敌人后恢复486血量。</t>
  </si>
  <si>
    <t>9级回血绿宝石</t>
  </si>
  <si>
    <t>镶嵌在装备上的回血宝石，击杀敌人后恢复630血量。</t>
  </si>
  <si>
    <t>10级回血绿宝石</t>
  </si>
  <si>
    <t>镶嵌在装备上的回血宝石，击杀敌人后恢复900血量。</t>
  </si>
  <si>
    <t>item_1101310</t>
  </si>
  <si>
    <t>1级回怒红宝石</t>
  </si>
  <si>
    <t>回怒宝石</t>
  </si>
  <si>
    <t>镶嵌在装备上的回怒宝石，击杀敌人后恢复1怒气。</t>
  </si>
  <si>
    <t>item_1101401</t>
  </si>
  <si>
    <t>2级回怒红宝石</t>
  </si>
  <si>
    <t>镶嵌在装备上的回怒宝石，击杀敌人后恢复2怒气。</t>
  </si>
  <si>
    <t>3级回怒红宝石</t>
  </si>
  <si>
    <t>镶嵌在装备上的回怒宝石，击杀敌人后恢复3怒气。</t>
  </si>
  <si>
    <t>4级回怒红宝石</t>
  </si>
  <si>
    <t>镶嵌在装备上的回怒宝石，击杀敌人后恢复4怒气。</t>
  </si>
  <si>
    <t>item_1101404</t>
  </si>
  <si>
    <t>5级回怒红宝石</t>
  </si>
  <si>
    <t>镶嵌在装备上的回怒宝石，击杀敌人后恢复5怒气。</t>
  </si>
  <si>
    <t>6级回怒红宝石</t>
  </si>
  <si>
    <t>镶嵌在装备上的回怒宝石，击杀敌人后恢复6怒气。</t>
  </si>
  <si>
    <t>7级回怒红宝石</t>
  </si>
  <si>
    <t>镶嵌在装备上的回怒宝石，击杀敌人后恢复7怒气。</t>
  </si>
  <si>
    <t>item_1101407</t>
  </si>
  <si>
    <t>8级回怒红宝石</t>
  </si>
  <si>
    <t>镶嵌在装备上的回怒宝石，击杀敌人后恢复8怒气。</t>
  </si>
  <si>
    <t>9级回怒红宝石</t>
  </si>
  <si>
    <t>镶嵌在装备上的回怒宝石，击杀敌人后恢复9怒气。</t>
  </si>
  <si>
    <t>10级回怒红宝石</t>
  </si>
  <si>
    <t>镶嵌在装备上的回怒宝石，击杀敌人后恢复10怒气。</t>
  </si>
  <si>
    <t>item_1101410</t>
  </si>
  <si>
    <t>1级正义白宝石</t>
  </si>
  <si>
    <t>正义宝石</t>
  </si>
  <si>
    <t>镶嵌在装备上的正义宝石，对于海盗势力伤害增加0.4%。</t>
  </si>
  <si>
    <t>item_1101501</t>
  </si>
  <si>
    <t>2级正义白宝石</t>
  </si>
  <si>
    <t>镶嵌在装备上的正义宝石，对于海盗势力伤害增加0.6%。</t>
  </si>
  <si>
    <t>3级正义白宝石</t>
  </si>
  <si>
    <t>镶嵌在装备上的正义宝石，对于海盗势力伤害增加0.8%。</t>
  </si>
  <si>
    <t>4级正义白宝石</t>
  </si>
  <si>
    <t>镶嵌在装备上的正义宝石，对于海盗势力伤害增加1.0%。</t>
  </si>
  <si>
    <t>item_1101504</t>
  </si>
  <si>
    <t>5级正义白宝石</t>
  </si>
  <si>
    <t>镶嵌在装备上的正义宝石，对于海盗势力伤害增加1.3%。</t>
  </si>
  <si>
    <t>6级正义白宝石</t>
  </si>
  <si>
    <t>镶嵌在装备上的正义宝石，对于海盗势力伤害增加1.6%。</t>
  </si>
  <si>
    <t>7级正义白宝石</t>
  </si>
  <si>
    <t>镶嵌在装备上的正义宝石，对于海盗势力伤害增加2.1%。</t>
  </si>
  <si>
    <t>item_1101507</t>
  </si>
  <si>
    <t>8级正义白宝石</t>
  </si>
  <si>
    <t>镶嵌在装备上的正义宝石，对于海盗势力伤害增加2.7%。</t>
  </si>
  <si>
    <t>9级正义白宝石</t>
  </si>
  <si>
    <t>镶嵌在装备上的正义宝石，对于海盗势力伤害增加3.5%。</t>
  </si>
  <si>
    <t>10级正义白宝石</t>
  </si>
  <si>
    <t>镶嵌在装备上的正义宝石，对于海盗势力伤害增加5.0%。</t>
  </si>
  <si>
    <t>item_1101510</t>
  </si>
  <si>
    <t>1级骷髅黑宝石</t>
  </si>
  <si>
    <t>骷髅宝石</t>
  </si>
  <si>
    <t>镶嵌在装备上的骷髅宝石，对于海军势力伤害增加0.4%。</t>
  </si>
  <si>
    <t>item_1101601</t>
  </si>
  <si>
    <t>2级骷髅黑宝石</t>
  </si>
  <si>
    <t>镶嵌在装备上的骷髅宝石，对于海军势力伤害增加0.6%。</t>
  </si>
  <si>
    <t>3级骷髅黑宝石</t>
  </si>
  <si>
    <t>镶嵌在装备上的骷髅宝石，对于海军势力伤害增加0.8%。</t>
  </si>
  <si>
    <t>4级骷髅黑宝石</t>
  </si>
  <si>
    <t>镶嵌在装备上的骷髅宝石，对于海军势力伤害增加1.0%。</t>
  </si>
  <si>
    <t>item_1101604</t>
  </si>
  <si>
    <t>5级骷髅黑宝石</t>
  </si>
  <si>
    <t>镶嵌在装备上的骷髅宝石，对于海军势力伤害增加1.3%。</t>
  </si>
  <si>
    <t>6级骷髅黑宝石</t>
  </si>
  <si>
    <t>镶嵌在装备上的骷髅宝石，对于海军势力伤害增加1.6%。</t>
  </si>
  <si>
    <t>7级骷髅黑宝石</t>
  </si>
  <si>
    <t>镶嵌在装备上的骷髅宝石，对于海军势力伤害增加2.1%。</t>
  </si>
  <si>
    <t>item_1101607</t>
  </si>
  <si>
    <t>8级骷髅黑宝石</t>
  </si>
  <si>
    <t>镶嵌在装备上的骷髅宝石，对于海军势力伤害增加2.7%。</t>
  </si>
  <si>
    <t>9级骷髅黑宝石</t>
  </si>
  <si>
    <t>镶嵌在装备上的骷髅宝石，对于海军势力伤害增加3.5%。</t>
  </si>
  <si>
    <t>10级骷髅黑宝石</t>
  </si>
  <si>
    <t>镶嵌在装备上的骷髅宝石，对于海军势力伤害增加5.0%。</t>
  </si>
  <si>
    <t>item_1101610</t>
  </si>
  <si>
    <t>1级胜利粉宝石</t>
  </si>
  <si>
    <t>胜利宝石</t>
  </si>
  <si>
    <t>镶嵌在装备上的胜利宝石，战斗胜利恢复67点血量。</t>
  </si>
  <si>
    <t>item_1101701</t>
  </si>
  <si>
    <t>2级胜利粉宝石</t>
  </si>
  <si>
    <t>镶嵌在装备上的胜利宝石，战斗胜利恢复95点血量。</t>
  </si>
  <si>
    <t>3级胜利粉宝石</t>
  </si>
  <si>
    <t>镶嵌在装备上的胜利宝石，战斗胜利恢复120点血量。</t>
  </si>
  <si>
    <t>4级胜利粉宝石</t>
  </si>
  <si>
    <t>镶嵌在装备上的胜利宝石，战斗胜利恢复150点血量。</t>
  </si>
  <si>
    <t>item_1101704</t>
  </si>
  <si>
    <t>5级胜利粉宝石</t>
  </si>
  <si>
    <t>镶嵌在装备上的胜利宝石，战斗胜利恢复190点血量。</t>
  </si>
  <si>
    <t>6级胜利粉宝石</t>
  </si>
  <si>
    <t>镶嵌在装备上的胜利宝石，战斗胜利恢复240点血量。</t>
  </si>
  <si>
    <t>7级胜利粉宝石</t>
  </si>
  <si>
    <t>镶嵌在装备上的胜利宝石，战斗胜利恢复315点血量。</t>
  </si>
  <si>
    <t>item_1101707</t>
  </si>
  <si>
    <t>8级胜利粉宝石</t>
  </si>
  <si>
    <t>镶嵌在装备上的胜利宝石，战斗胜利恢复405点血量。</t>
  </si>
  <si>
    <t>9级胜利粉宝石</t>
  </si>
  <si>
    <t>镶嵌在装备上的胜利宝石，战斗胜利恢复525点血量。</t>
  </si>
  <si>
    <t>10级胜利粉宝石</t>
  </si>
  <si>
    <t>镶嵌在装备上的胜利宝石，战斗胜利恢复750点血量。</t>
  </si>
  <si>
    <t>item_1101710</t>
  </si>
  <si>
    <t>1级格挡宝石</t>
  </si>
  <si>
    <t>格挡宝石</t>
  </si>
  <si>
    <t>镶嵌在装备上的格挡宝石，增加5点格挡值。</t>
  </si>
  <si>
    <t>item_1101801</t>
  </si>
  <si>
    <t>2级格挡宝石</t>
  </si>
  <si>
    <t>镶嵌在装备上的格挡宝石，增加8点格挡值。</t>
  </si>
  <si>
    <t>3级格挡宝石</t>
  </si>
  <si>
    <t>镶嵌在装备上的格挡宝石，增加11点格挡值。</t>
  </si>
  <si>
    <t>4级格挡宝石</t>
  </si>
  <si>
    <t>镶嵌在装备上的格挡宝石，增加13点格挡值。</t>
  </si>
  <si>
    <t>item_1101804</t>
  </si>
  <si>
    <t>5级格挡宝石</t>
  </si>
  <si>
    <t>镶嵌在装备上的格挡宝石，增加16点格挡值。</t>
  </si>
  <si>
    <t>6级格挡宝石</t>
  </si>
  <si>
    <t>镶嵌在装备上的格挡宝石，增加22点格挡值。</t>
  </si>
  <si>
    <t>7级格挡宝石</t>
  </si>
  <si>
    <t>镶嵌在装备上的格挡宝石，增加28点格挡值。</t>
  </si>
  <si>
    <t>item_1101807</t>
  </si>
  <si>
    <t>8级格挡宝石</t>
  </si>
  <si>
    <t>镶嵌在装备上的格挡宝石，增加36点格挡值。</t>
  </si>
  <si>
    <t>9级格挡宝石</t>
  </si>
  <si>
    <t>镶嵌在装备上的格挡宝石，增加47点格挡值。</t>
  </si>
  <si>
    <t>10级格挡宝石</t>
  </si>
  <si>
    <t>镶嵌在装备上的格挡宝石，增加67点格挡值。</t>
  </si>
  <si>
    <t>item_1101810</t>
  </si>
  <si>
    <t>11级格挡宝石</t>
  </si>
  <si>
    <t>镶嵌在装备上的格挡宝石，增加82点格挡值。</t>
  </si>
  <si>
    <t>item_1101811</t>
  </si>
  <si>
    <t>12级格挡宝石</t>
  </si>
  <si>
    <t>镶嵌在装备上的格挡宝石，增加99点格挡值。</t>
  </si>
  <si>
    <t>1级破击宝石</t>
  </si>
  <si>
    <t>破击宝石</t>
  </si>
  <si>
    <t>镶嵌在装备上的破击宝石，增加5点破击值。</t>
  </si>
  <si>
    <t>item_1101901</t>
  </si>
  <si>
    <t>2级破击宝石</t>
  </si>
  <si>
    <t>镶嵌在装备上的破击宝石，增加8点破击值。</t>
  </si>
  <si>
    <t>3级破击宝石</t>
  </si>
  <si>
    <t>镶嵌在装备上的破击宝石，增加11点破击值。</t>
  </si>
  <si>
    <t>4级破击宝石</t>
  </si>
  <si>
    <t>镶嵌在装备上的破击宝石，增加13点破击值。</t>
  </si>
  <si>
    <t>item_1101904</t>
  </si>
  <si>
    <t>5级破击宝石</t>
  </si>
  <si>
    <t>镶嵌在装备上的破击宝石，增加16点破击值。</t>
  </si>
  <si>
    <t>6级破击宝石</t>
  </si>
  <si>
    <t>镶嵌在装备上的破击宝石，增加22点破击值。</t>
  </si>
  <si>
    <t>7级破击宝石</t>
  </si>
  <si>
    <t>镶嵌在装备上的破击宝石，增加28点破击值。</t>
  </si>
  <si>
    <t>item_1101907</t>
  </si>
  <si>
    <t>8级破击宝石</t>
  </si>
  <si>
    <t>镶嵌在装备上的破击宝石，增加36点破击值。</t>
  </si>
  <si>
    <t>9级破击宝石</t>
  </si>
  <si>
    <t>镶嵌在装备上的破击宝石，增加47点破击值。</t>
  </si>
  <si>
    <t>10级破击宝石</t>
  </si>
  <si>
    <t>镶嵌在装备上的破击宝石，增加67点破击值。</t>
  </si>
  <si>
    <t>item_1101910</t>
  </si>
  <si>
    <t>11级破击宝石</t>
  </si>
  <si>
    <t>镶嵌在装备上的破击宝石，增加82点破击值。</t>
  </si>
  <si>
    <t>item_1101911</t>
  </si>
  <si>
    <t>12级破击宝石</t>
  </si>
  <si>
    <t>镶嵌在装备上的破击宝石，增加99点破击值。</t>
  </si>
  <si>
    <t>1级吸血宝石</t>
  </si>
  <si>
    <t>吸血宝石</t>
  </si>
  <si>
    <t>镶嵌在装备上的吸血宝石，造成伤害的0.2%转化为自身血量。</t>
  </si>
  <si>
    <t>item_1102001</t>
  </si>
  <si>
    <t>2级吸血宝石</t>
  </si>
  <si>
    <t>镶嵌在装备上的吸血宝石，造成伤害的0.25%转化为自身血量。</t>
  </si>
  <si>
    <t>3级吸血宝石</t>
  </si>
  <si>
    <t>镶嵌在装备上的吸血宝石，造成伤害的0.32%转化为自身血量。</t>
  </si>
  <si>
    <t>4级吸血宝石</t>
  </si>
  <si>
    <t>镶嵌在装备上的吸血宝石，造成伤害的0.4%转化为自身血量。</t>
  </si>
  <si>
    <t>item_1102004</t>
  </si>
  <si>
    <t>5级吸血宝石</t>
  </si>
  <si>
    <t>镶嵌在装备上的吸血宝石，造成伤害的0.5%转化为自身血量。</t>
  </si>
  <si>
    <t>6级吸血宝石</t>
  </si>
  <si>
    <t>镶嵌在装备上的吸血宝石，造成伤害的0.64%转化为自身血量。</t>
  </si>
  <si>
    <t>7级吸血宝石</t>
  </si>
  <si>
    <t>镶嵌在装备上的吸血宝石，造成伤害的0.84%转化为自身血量。</t>
  </si>
  <si>
    <t>item_1102007</t>
  </si>
  <si>
    <t>8级吸血宝石</t>
  </si>
  <si>
    <t>镶嵌在装备上的吸血宝石，造成伤害的1.0%转化为自身血量。</t>
  </si>
  <si>
    <t>9级吸血宝石</t>
  </si>
  <si>
    <t>镶嵌在装备上的吸血宝石，造成伤害的1.4%转化为自身血量。</t>
  </si>
  <si>
    <t>10级吸血宝石</t>
  </si>
  <si>
    <t>镶嵌在装备上的吸血宝石，造成伤害的2.0%转化为自身血量。</t>
  </si>
  <si>
    <t>item_1102010</t>
  </si>
  <si>
    <t>1级穿透宝石</t>
  </si>
  <si>
    <t>穿透宝石</t>
  </si>
  <si>
    <t>镶嵌在装备上的穿透宝石，降低目标7点防御。</t>
  </si>
  <si>
    <t>item_1102101</t>
  </si>
  <si>
    <t>2级穿透宝石</t>
  </si>
  <si>
    <t>镶嵌在装备上的穿透宝石，降低目标9点防御。</t>
  </si>
  <si>
    <t>3级穿透宝石</t>
  </si>
  <si>
    <t>镶嵌在装备上的穿透宝石，降低目标12点防御。</t>
  </si>
  <si>
    <t>4级穿透宝石</t>
  </si>
  <si>
    <t>镶嵌在装备上的穿透宝石，降低目标15点防御。</t>
  </si>
  <si>
    <t>item_1102104</t>
  </si>
  <si>
    <t>5级穿透宝石</t>
  </si>
  <si>
    <t>镶嵌在装备上的穿透宝石，降低目标18点防御。</t>
  </si>
  <si>
    <t>6级穿透宝石</t>
  </si>
  <si>
    <t>镶嵌在装备上的穿透宝石，降低目标24点防御。</t>
  </si>
  <si>
    <t>7级穿透宝石</t>
  </si>
  <si>
    <t>镶嵌在装备上的穿透宝石，降低目标32点防御。</t>
  </si>
  <si>
    <t>item_1102107</t>
  </si>
  <si>
    <t>8级穿透宝石</t>
  </si>
  <si>
    <t>镶嵌在装备上的穿透宝石，降低目标40点防御。</t>
  </si>
  <si>
    <t>9级穿透宝石</t>
  </si>
  <si>
    <t>镶嵌在装备上的穿透宝石，降低目标52点防御。</t>
  </si>
  <si>
    <t>10级穿透宝石</t>
  </si>
  <si>
    <t>镶嵌在装备上的穿透宝石，降低目标75点防御。</t>
  </si>
  <si>
    <t>item_1102110</t>
  </si>
  <si>
    <t>1级属伤宝石</t>
  </si>
  <si>
    <t>属伤宝石</t>
  </si>
  <si>
    <t>镶嵌在装备上的属性伤害宝石，提高1%全属性伤害。</t>
  </si>
  <si>
    <t>item_1102201</t>
  </si>
  <si>
    <t>2级属伤宝石</t>
  </si>
  <si>
    <t>镶嵌在装备上的属性伤害宝石，提高2%全属性伤害。</t>
  </si>
  <si>
    <t>3级属伤宝石</t>
  </si>
  <si>
    <t>镶嵌在装备上的属性伤害宝石，提高3%全属性伤害。</t>
  </si>
  <si>
    <t>4级属伤宝石</t>
  </si>
  <si>
    <t>镶嵌在装备上的属性伤害宝石，提高4%全属性伤害。</t>
  </si>
  <si>
    <t>item_1102204</t>
  </si>
  <si>
    <t>5级属伤宝石</t>
  </si>
  <si>
    <t>镶嵌在装备上的属性伤害宝石，提高5%全属性伤害。</t>
  </si>
  <si>
    <t>6级属伤宝石</t>
  </si>
  <si>
    <t>镶嵌在装备上的属性伤害宝石，提高6%全属性伤害。</t>
  </si>
  <si>
    <t>7级属伤宝石</t>
  </si>
  <si>
    <t>镶嵌在装备上的属性伤害宝石，提高7%全属性伤害。</t>
  </si>
  <si>
    <t>item_1102207</t>
  </si>
  <si>
    <t>8级属伤宝石</t>
  </si>
  <si>
    <t>镶嵌在装备上的属性伤害宝石，提高8%全属性伤害。</t>
  </si>
  <si>
    <t>9级属伤宝石</t>
  </si>
  <si>
    <t>镶嵌在装备上的属性伤害宝石，提高9%全属性伤害。</t>
  </si>
  <si>
    <t>10级属伤宝石</t>
  </si>
  <si>
    <t>镶嵌在装备上的属性伤害宝石，提高10%全属性伤害。</t>
  </si>
  <si>
    <t>item_1102210</t>
  </si>
  <si>
    <t>11级属伤宝石</t>
  </si>
  <si>
    <t>镶嵌在装备上的属性伤害宝石，提高11%全属性伤害。</t>
  </si>
  <si>
    <t>item_1102211</t>
  </si>
  <si>
    <t>12级属伤宝石</t>
  </si>
  <si>
    <t>镶嵌在装备上的属性伤害宝石，提高12%全属性伤害。</t>
  </si>
  <si>
    <t>1级抗性宝石</t>
  </si>
  <si>
    <t>抗性宝石</t>
  </si>
  <si>
    <t>镶嵌在装备上的抗性宝石，提高1%全属性抗性。</t>
  </si>
  <si>
    <t>item_1102301</t>
  </si>
  <si>
    <t>2级抗性宝石</t>
  </si>
  <si>
    <t>镶嵌在装备上的抗性宝石，提高2%全属性抗性。</t>
  </si>
  <si>
    <t>3级抗性宝石</t>
  </si>
  <si>
    <t>镶嵌在装备上的抗性宝石，提高3%全属性抗性。</t>
  </si>
  <si>
    <t>4级抗性宝石</t>
  </si>
  <si>
    <t>镶嵌在装备上的抗性宝石，提高4%全属性抗性。</t>
  </si>
  <si>
    <t>item_1102304</t>
  </si>
  <si>
    <t>5级抗性宝石</t>
  </si>
  <si>
    <t>镶嵌在装备上的抗性宝石，提高5%全属性抗性。</t>
  </si>
  <si>
    <t>6级抗性宝石</t>
  </si>
  <si>
    <t>镶嵌在装备上的抗性宝石，提高6%全属性抗性。</t>
  </si>
  <si>
    <t>7级抗性宝石</t>
  </si>
  <si>
    <t>镶嵌在装备上的抗性宝石，提高7%全属性抗性。</t>
  </si>
  <si>
    <t>item_1102307</t>
  </si>
  <si>
    <t>8级抗性宝石</t>
  </si>
  <si>
    <t>镶嵌在装备上的抗性宝石，提高8%全属性抗性。</t>
  </si>
  <si>
    <t>9级抗性宝石</t>
  </si>
  <si>
    <t>镶嵌在装备上的抗性宝石，提高9%全属性抗性。</t>
  </si>
  <si>
    <t>10级抗性宝石</t>
  </si>
  <si>
    <t>镶嵌在装备上的抗性宝石，提高10%全属性抗性。</t>
  </si>
  <si>
    <t>item_1102310</t>
  </si>
  <si>
    <t>11级抗性宝石</t>
  </si>
  <si>
    <t>镶嵌在装备上的抗性宝石，提高11%全属性抗性。</t>
  </si>
  <si>
    <t>item_1102311</t>
  </si>
  <si>
    <t>12级抗性宝石</t>
  </si>
  <si>
    <t>镶嵌在装备上的抗性宝石，提高12%全属性抗性。</t>
  </si>
  <si>
    <t>1级抗暴伤宝石</t>
  </si>
  <si>
    <t>抗暴伤宝石</t>
  </si>
  <si>
    <t>镶嵌在装备上的抗暴伤宝石，提高0.7%抗暴击伤害。</t>
  </si>
  <si>
    <t>item_1102401</t>
  </si>
  <si>
    <t>2级抗暴伤宝石</t>
  </si>
  <si>
    <t>镶嵌在装备上的抗暴伤宝石，提高1.0%抗暴击伤害。</t>
  </si>
  <si>
    <t>3级抗暴伤宝石</t>
  </si>
  <si>
    <t>镶嵌在装备上的抗暴伤宝石，提高1.2%抗暴击伤害。</t>
  </si>
  <si>
    <t>4级抗暴伤宝石</t>
  </si>
  <si>
    <t>镶嵌在装备上的抗暴伤宝石，提高1.6%抗暴击伤害。</t>
  </si>
  <si>
    <t>item_1102404</t>
  </si>
  <si>
    <t>5级抗暴伤宝石</t>
  </si>
  <si>
    <t>镶嵌在装备上的抗暴伤宝石，提高2.0%抗暴击伤害。</t>
  </si>
  <si>
    <t>6级抗暴伤宝石</t>
  </si>
  <si>
    <t>镶嵌在装备上的抗暴伤宝石，提高2.5%抗暴击伤害。</t>
  </si>
  <si>
    <t>7级抗暴伤宝石</t>
  </si>
  <si>
    <t>镶嵌在装备上的抗暴伤宝石，提高3.3%抗暴击伤害。</t>
  </si>
  <si>
    <t>item_1102407</t>
  </si>
  <si>
    <t>8级抗暴伤宝石</t>
  </si>
  <si>
    <t>镶嵌在装备上的抗暴伤宝石，提高4.3%抗暴击伤害。</t>
  </si>
  <si>
    <t>9级抗暴伤宝石</t>
  </si>
  <si>
    <t>镶嵌在装备上的抗暴伤宝石，提高5.6%抗暴击伤害。</t>
  </si>
  <si>
    <t>10级抗暴伤宝石</t>
  </si>
  <si>
    <t>镶嵌在装备上的抗暴伤宝石，提高8.0%抗暴击伤害。</t>
  </si>
  <si>
    <t>item_1102410</t>
  </si>
  <si>
    <t>活力宝石</t>
  </si>
  <si>
    <t>精致宝石袋</t>
  </si>
  <si>
    <t>装有宝石的小袋子，打开后可以获得高档宝石，有几率开出高等级宝石。</t>
  </si>
  <si>
    <t>精致宝石箱</t>
  </si>
  <si>
    <t>精巧宝石袋</t>
  </si>
  <si>
    <t>item_box_27</t>
  </si>
  <si>
    <t>技能书袋子</t>
  </si>
  <si>
    <t>秘传书宝箱</t>
  </si>
  <si>
    <t>装有秘传书的宝箱，打开后可以获得秘传书，有几率开出高等级秘传书。</t>
  </si>
  <si>
    <t>突破材料袋子</t>
  </si>
  <si>
    <t>突破材料宝箱</t>
  </si>
  <si>
    <t>装有突破材料的宝箱，打开后可以获得突破材料，有几率开出高品质突破材料。</t>
  </si>
  <si>
    <t>打孔道具袋子</t>
  </si>
  <si>
    <t>打孔道具袋</t>
  </si>
  <si>
    <t>装有打孔石的小袋子，打开后可以获得打孔石，有几率开出高品质打孔石。</t>
  </si>
  <si>
    <t>精炼石袋子</t>
  </si>
  <si>
    <t>精炼石袋</t>
  </si>
  <si>
    <t>装有精炼石的小袋子，打开后可以获得精炼石，有几率开出高品质精炼石。</t>
  </si>
  <si>
    <t>装有宝石的小袋子，打开后可以随机获得属伤宝石、抗性宝石和抗暴伤宝石，有几率开出高等级宝石。</t>
  </si>
  <si>
    <t>高级宝石袋</t>
  </si>
  <si>
    <t>装有高级宝石的袋子，打开后可以随机获得一个7级宝石。</t>
  </si>
  <si>
    <t>血战宝箱</t>
  </si>
  <si>
    <t>打开后有概率获得蓝钻、秘传书、宝石。</t>
  </si>
  <si>
    <t>主要产出途径：血战阿鲁巴拿。</t>
  </si>
  <si>
    <t>初级血战宝箱</t>
  </si>
  <si>
    <t>打开后有概率获得蓝钻、秘传书、宝石、英雄之石。</t>
  </si>
  <si>
    <t>主要产出途径：血战空岛。</t>
  </si>
  <si>
    <t>中级血战宝箱</t>
  </si>
  <si>
    <t>item_box_23</t>
  </si>
  <si>
    <t>主要产出途径：血战司法岛。</t>
  </si>
  <si>
    <t>高级血战宝箱</t>
  </si>
  <si>
    <t>红绸带</t>
  </si>
  <si>
    <t>飘扬的红绸带，装饰在船上给人过节的感觉，可用于兑换道具</t>
  </si>
  <si>
    <t>gqj_001</t>
  </si>
  <si>
    <t>2018/10/26-23:59:59</t>
  </si>
  <si>
    <t>红灯笼</t>
  </si>
  <si>
    <t>喜庆的红灯笼，挂在船头可照亮一方无尽的黑夜，可用于兑换道具</t>
  </si>
  <si>
    <t>gqj_002</t>
  </si>
  <si>
    <t>小红旗</t>
  </si>
  <si>
    <t>国庆节道具，用于国庆节活动。</t>
  </si>
  <si>
    <t>gqj_003</t>
  </si>
  <si>
    <t>小花灯</t>
  </si>
  <si>
    <t>中秋节道具，用于中秋节活动。</t>
  </si>
  <si>
    <t>zqj_001</t>
  </si>
  <si>
    <t>月饼</t>
  </si>
  <si>
    <t>zqj_002</t>
  </si>
  <si>
    <t>金沙</t>
  </si>
  <si>
    <t>放在回收站可以换取大额的金块。</t>
  </si>
  <si>
    <t>item_700003</t>
  </si>
  <si>
    <t>item_700004</t>
  </si>
  <si>
    <t>一袋金沙</t>
  </si>
  <si>
    <t>item_700005</t>
  </si>
  <si>
    <t>一箱金沙</t>
  </si>
  <si>
    <t>item_700006</t>
  </si>
  <si>
    <t>打开后随机获得一件未鉴定的20级英雄装备。</t>
  </si>
  <si>
    <t>30级未鉴定英雄装备</t>
  </si>
  <si>
    <t>打开后随机获得一件未鉴定的30级英雄装备。</t>
  </si>
  <si>
    <t>皇家武器宝箱</t>
  </si>
  <si>
    <t>打开后获得一件英雄·皇家猎枪。</t>
  </si>
  <si>
    <t>1200,20201,1</t>
  </si>
  <si>
    <t>皇家防具宝箱</t>
  </si>
  <si>
    <t>打开后获得一件英雄·皇家华服。</t>
  </si>
  <si>
    <t>1200,20202,1</t>
  </si>
  <si>
    <t>皇家戒指宝箱</t>
  </si>
  <si>
    <t>打开后获得一件英雄·皇家珠宝。</t>
  </si>
  <si>
    <t>1200,20203,1</t>
  </si>
  <si>
    <t>皇家项链宝箱</t>
  </si>
  <si>
    <t>打开后获得一件英雄·皇家吊坠。</t>
  </si>
  <si>
    <t>1200,20204,1</t>
  </si>
  <si>
    <t>竞技场挑战券</t>
  </si>
  <si>
    <t>进入竞技场需要持有的券，使用后增加竞技场挑战次数。</t>
  </si>
  <si>
    <t>item_712001</t>
  </si>
  <si>
    <t>竞技券</t>
  </si>
  <si>
    <t>航海日志</t>
  </si>
  <si>
    <t>记录航海事件的日志，使用后增加角色传记次数。</t>
  </si>
  <si>
    <t>item_712002</t>
  </si>
  <si>
    <t>副本挑战券</t>
  </si>
  <si>
    <t>使用后增加剧情回顾次数。</t>
  </si>
  <si>
    <t>item_712003</t>
  </si>
  <si>
    <t>突破活动挑战券</t>
  </si>
  <si>
    <t>使用后增加突破副本次数。</t>
  </si>
  <si>
    <t>item_712004</t>
  </si>
  <si>
    <t>1001,712017,1</t>
  </si>
  <si>
    <t>突破券</t>
  </si>
  <si>
    <t>秘传活动挑战券</t>
  </si>
  <si>
    <t>使用后增加秘传书副本次数。</t>
  </si>
  <si>
    <t>item_712005</t>
  </si>
  <si>
    <t>秘传券</t>
  </si>
  <si>
    <t>训练活动挑战券</t>
  </si>
  <si>
    <t>活动挑战券</t>
  </si>
  <si>
    <t>可以增加活动副本的挑战次数。</t>
  </si>
  <si>
    <t>item_712017</t>
  </si>
  <si>
    <t>训练券</t>
  </si>
  <si>
    <t>两周年BOSS挑战券</t>
  </si>
  <si>
    <t>两周年邀请函</t>
  </si>
  <si>
    <t>消耗邀请函可以参与周年庆活动。</t>
  </si>
  <si>
    <t>item_712018</t>
  </si>
  <si>
    <t>2周年挑战券</t>
  </si>
  <si>
    <t>三周年BOSS挑战券</t>
  </si>
  <si>
    <t>三周年邀请函</t>
  </si>
  <si>
    <t>沙鳄鱼挑战书</t>
  </si>
  <si>
    <t>沙·鳄鱼战令</t>
  </si>
  <si>
    <t>消耗一张即可在乱入强者NPC处挑战沙·鳄鱼。</t>
  </si>
  <si>
    <t>jingpintiaozhanshu</t>
  </si>
  <si>
    <t>艾尼路挑战书</t>
  </si>
  <si>
    <t>艾尼路战令</t>
  </si>
  <si>
    <t>消耗一张即可在乱入强者NPC处挑战艾尼路。</t>
  </si>
  <si>
    <t>青雉挑战书</t>
  </si>
  <si>
    <t>青雉战灵</t>
  </si>
  <si>
    <t>消耗一张即可在乱入强者NPC处挑战青雉。</t>
  </si>
  <si>
    <t>戈普挑战书</t>
  </si>
  <si>
    <t>戈普战令</t>
  </si>
  <si>
    <t>消耗一张即可在乱入强者NPC处挑战戈普。</t>
  </si>
  <si>
    <t>莫利亚挑战书</t>
  </si>
  <si>
    <t>莫利亚战令</t>
  </si>
  <si>
    <t>消耗一张即可在乱入强者NPC处挑战莫利亚。</t>
  </si>
  <si>
    <t>大熊挑战书</t>
  </si>
  <si>
    <t>大熊战令</t>
  </si>
  <si>
    <t>消耗一张即可在乱入强者NPC处挑战大熊。</t>
  </si>
  <si>
    <t>黄猿挑战书</t>
  </si>
  <si>
    <t>黄猿战令</t>
  </si>
  <si>
    <t>消耗一张即可在乱入强者NPC处挑战黄猿。</t>
  </si>
  <si>
    <t>艾斯挑战书</t>
  </si>
  <si>
    <t>艾斯战令</t>
  </si>
  <si>
    <t>消耗一张即可在乱入强者NPC处挑战艾斯。</t>
  </si>
  <si>
    <t>赤犬挑战书</t>
  </si>
  <si>
    <t>赤犬战令</t>
  </si>
  <si>
    <t>消耗一张即可在乱入强者NPC处挑战赤犬。</t>
  </si>
  <si>
    <t>鹰眼挑战书</t>
  </si>
  <si>
    <t>米霍克战令</t>
  </si>
  <si>
    <t>消耗一张即可在乱入强者NPC处挑战米霍克。</t>
  </si>
  <si>
    <t>乱入强者挑战卷</t>
  </si>
  <si>
    <t>强者战令</t>
  </si>
  <si>
    <t>消耗一张即可在乱入强者NPC处挑战这个世界真正的强者。</t>
  </si>
  <si>
    <t>路奇挑战书</t>
  </si>
  <si>
    <t>罗布·鲁兹战令</t>
  </si>
  <si>
    <t>消耗一张即可在乱入强者NPC处挑战罗布·鲁兹。</t>
  </si>
  <si>
    <t>爆炸头(路飞)时装</t>
  </si>
  <si>
    <t>路飞（爆炸头）</t>
  </si>
  <si>
    <t>可以用来解锁时装：\n&lt;color=#9400d7&gt;路飞（爆炸头）&lt;/color&gt;</t>
  </si>
  <si>
    <t>item_713013</t>
  </si>
  <si>
    <t>爆炸头(路飞)时装兑换券</t>
  </si>
  <si>
    <t>玛丽弗德(沙·鳄鱼)时装</t>
  </si>
  <si>
    <t>沙·鳄鱼（玛丽弗德）</t>
  </si>
  <si>
    <t>可以用来解锁时装：\n&lt;color=#9400d7&gt;沙·鳄鱼（玛丽弗德）&lt;/color&gt;</t>
  </si>
  <si>
    <t>item_713014</t>
  </si>
  <si>
    <t>马林梵多(沙·鳄鱼)时装兑换券</t>
  </si>
  <si>
    <t>水之都(佐罗)时装</t>
  </si>
  <si>
    <t>佐罗（水之都时装）</t>
  </si>
  <si>
    <t>可以用来解锁时装：\n&lt;color=#9400d7&gt;佐罗（水之都时装）&lt;/color&gt;</t>
  </si>
  <si>
    <t>item_713015</t>
  </si>
  <si>
    <t>水之都(佐罗)时装兑换券</t>
  </si>
  <si>
    <t>狗头帽(戈普)时装</t>
  </si>
  <si>
    <t>戈普（狗头帽）</t>
  </si>
  <si>
    <t>可以用来解锁时装：\n&lt;color=#9400d7&gt;戈普（狗头帽）&lt;/color&gt;</t>
  </si>
  <si>
    <t>item_713016</t>
  </si>
  <si>
    <t>狗头帽(戈普)时装兑换券</t>
  </si>
  <si>
    <t>紫色旗袍(汉库珂)时装</t>
  </si>
  <si>
    <t>汉库珂（紫色旗袍）</t>
  </si>
  <si>
    <t>可以用来解锁时装：\n&lt;color=#9400d7&gt;汉库珂（紫色旗袍）&lt;/color&gt;</t>
  </si>
  <si>
    <t>item_713017</t>
  </si>
  <si>
    <t>紫色旗袍(汉库珂)时装兑换券</t>
  </si>
  <si>
    <t>阿拉巴斯坦(艾斯)时装</t>
  </si>
  <si>
    <t>艾斯（阿拉巴斯坦时装）</t>
  </si>
  <si>
    <t>可以用来解锁时装：\n&lt;color=#9400d7&gt;艾斯（阿拉巴斯坦时装）&lt;/color&gt;</t>
  </si>
  <si>
    <t>item_713018</t>
  </si>
  <si>
    <t>阿拉巴斯坦(艾斯)时装兑换券</t>
  </si>
  <si>
    <t>长链岛(撒谎布)时装</t>
  </si>
  <si>
    <t>撒谎布（长链岛时装）</t>
  </si>
  <si>
    <t>可以用来解锁时装：\n&lt;color=#9400d7&gt;撒谎布（长链岛时装）&lt;/color&gt;</t>
  </si>
  <si>
    <t>item_713019</t>
  </si>
  <si>
    <t>长链岛(撒谎布)时装兑换券</t>
  </si>
  <si>
    <t>结婚礼服(奈美)时装</t>
  </si>
  <si>
    <t>奈美（结婚礼服）</t>
  </si>
  <si>
    <t>可以用来解锁时装：\n&lt;color=#9400d7&gt;奈美（结婚礼服）&lt;/color&gt;</t>
  </si>
  <si>
    <t>item_713020</t>
  </si>
  <si>
    <t>结婚礼服(奈美)时装兑换券</t>
  </si>
  <si>
    <t>空岛(山智)时装</t>
  </si>
  <si>
    <t>山智（空岛时装）</t>
  </si>
  <si>
    <t>可以用来解锁时装：\n&lt;color=#9400d7&gt;山智（空岛时装）&lt;/color&gt;</t>
  </si>
  <si>
    <t>item_713021</t>
  </si>
  <si>
    <t>空岛(山智)时装兑换券</t>
  </si>
  <si>
    <t>巴奇海军时装</t>
  </si>
  <si>
    <t>巴奇（海军装）</t>
  </si>
  <si>
    <t>可以用来解锁时装：\n&lt;color=#9400d7&gt;巴奇（海军装）&lt;/color&gt;</t>
  </si>
  <si>
    <t>item_713022</t>
  </si>
  <si>
    <t>巴奇海军装时装兑换券</t>
  </si>
  <si>
    <t>薇薇公主时装</t>
  </si>
  <si>
    <t>薇薇（公主装）</t>
  </si>
  <si>
    <t>可以用来解锁时装：\n&lt;color=#9400d7&gt;薇薇（公主装）&lt;/color&gt;</t>
  </si>
  <si>
    <t>item_713023</t>
  </si>
  <si>
    <t>薇薇公主装时装兑换券</t>
  </si>
  <si>
    <t>鲁兹船工时装</t>
  </si>
  <si>
    <t>鲁兹（船工装）</t>
  </si>
  <si>
    <t>可以用来解锁时装：\n&lt;color=#9400d7&gt;鲁兹（船工装）&lt;/color&gt;</t>
  </si>
  <si>
    <t>item_713024</t>
  </si>
  <si>
    <t>路奇船工装时装兑换券</t>
  </si>
  <si>
    <t>奈美泳装时装</t>
  </si>
  <si>
    <t>奈美（泳装）</t>
  </si>
  <si>
    <t>可以用来解锁时装：\n&lt;color=#9400d7&gt;奈美（泳装）&lt;/color&gt;</t>
  </si>
  <si>
    <t>item_713025</t>
  </si>
  <si>
    <t>奈美泳装时装兑换</t>
  </si>
  <si>
    <t>罗宾泳装时装</t>
  </si>
  <si>
    <t>罗宾（泳装）</t>
  </si>
  <si>
    <t>可以用来解锁时装：\n&lt;color=#9400d7&gt;罗宾（泳装）&lt;/color&gt;</t>
  </si>
  <si>
    <t>item_713026</t>
  </si>
  <si>
    <t>罗宾泳装时装兑换</t>
  </si>
  <si>
    <t>奈美阿拉巴斯坦舞娘装</t>
  </si>
  <si>
    <t>奈美（阿拉巴斯坦舞娘装）</t>
  </si>
  <si>
    <t>可以用来解锁时装：\n&lt;color=#9400d7&gt;奈美（阿拉巴斯坦舞娘装）&lt;/color&gt;</t>
  </si>
  <si>
    <t>item_713027</t>
  </si>
  <si>
    <t>奈美舞娘装时装兑换</t>
  </si>
  <si>
    <t>罗宾巴洛克工作社装</t>
  </si>
  <si>
    <t>罗宾（巴洛克工作社装）</t>
  </si>
  <si>
    <t>可以用来解锁时装：\n&lt;color=#9400d7&gt;罗宾（巴洛克工作社装）&lt;/color&gt;</t>
  </si>
  <si>
    <t>item_713028</t>
  </si>
  <si>
    <t>罗宾巴洛克工作社时装兑换</t>
  </si>
  <si>
    <t>路飞夏威夷服装</t>
  </si>
  <si>
    <t>路飞（夏威夷服装）</t>
  </si>
  <si>
    <t>可以用来解锁时装：\n&lt;color=#9400d7&gt;路飞（夏威夷服装）&lt;/color&gt;</t>
  </si>
  <si>
    <t>item_713029</t>
  </si>
  <si>
    <t>路飞夏威夷服时装兑换</t>
  </si>
  <si>
    <t>新世界佐罗-黑色西服</t>
  </si>
  <si>
    <t>新世界佐罗（黑色西服）</t>
  </si>
  <si>
    <t>可以用来解锁时装：\n&lt;color=#9400d7&gt;新世界佐罗（黑色西服）&lt;/color&gt;</t>
  </si>
  <si>
    <t>item_713030</t>
  </si>
  <si>
    <t>佐罗黑色西服时装兑换</t>
  </si>
  <si>
    <t>新世界佐罗-激战</t>
  </si>
  <si>
    <t>新世界佐罗（激战）</t>
  </si>
  <si>
    <t>可以用来解锁时装：\n&lt;color=#9400d7&gt;新世界佐罗（激战）&lt;/color&gt;</t>
  </si>
  <si>
    <t>item_713031</t>
  </si>
  <si>
    <t>佐罗赤膊爆衣时装兑换</t>
  </si>
  <si>
    <t>新世界撒谎布-德雷斯罗萨</t>
  </si>
  <si>
    <t>新世界撒谎布（德雷斯罗萨）</t>
  </si>
  <si>
    <t>可以用来解锁时装：\n&lt;color=#9400d7&gt;新世界撒谎布（德雷斯罗萨）&lt;/color&gt;</t>
  </si>
  <si>
    <t>item_713032</t>
  </si>
  <si>
    <t>新世界撒谎布</t>
  </si>
  <si>
    <t>新世界佐罗-唐装</t>
  </si>
  <si>
    <t>新世界佐罗（唐装）</t>
  </si>
  <si>
    <t>可以用来解锁时装：\n&lt;color=#9400d7&gt;新世界佐罗（唐装）&lt;/color&gt;</t>
  </si>
  <si>
    <t>item_713033</t>
  </si>
  <si>
    <t>新世界佐罗唐装</t>
  </si>
  <si>
    <t>新世界奈美-唐装</t>
  </si>
  <si>
    <t>新世界奈美（唐装）</t>
  </si>
  <si>
    <t>可以用来解锁时装：\n&lt;color=#9400d7&gt;新世界奈美（唐装）&lt;/color&gt;</t>
  </si>
  <si>
    <t>item_713034</t>
  </si>
  <si>
    <t>新世界奈美唐装</t>
  </si>
  <si>
    <t>新世界撒谎布-唐装</t>
  </si>
  <si>
    <t>新世界撒谎布（唐装）</t>
  </si>
  <si>
    <t>可以用来解锁时装：\n&lt;color=#9400d7&gt;新世界撒谎布（唐装）&lt;/color&gt;</t>
  </si>
  <si>
    <t>item_713035</t>
  </si>
  <si>
    <t>新世界撒谎布唐装</t>
  </si>
  <si>
    <t>新世界罗宾-唐装</t>
  </si>
  <si>
    <t>新世界罗宾（唐装）</t>
  </si>
  <si>
    <t>可以用来解锁时装：\n&lt;color=#9400d7&gt;新世界罗宾（唐装）&lt;/color&gt;</t>
  </si>
  <si>
    <t>item_713036</t>
  </si>
  <si>
    <t>新世界罗宾唐装</t>
  </si>
  <si>
    <t>新世界路飞-唐装</t>
  </si>
  <si>
    <t>新世界路飞（唐装）</t>
  </si>
  <si>
    <t>可以用来解锁时装：\n&lt;color=#9400d7&gt;新世界路飞（唐装）&lt;/color&gt;</t>
  </si>
  <si>
    <t>item_713037</t>
  </si>
  <si>
    <t>新世界路飞唐装</t>
  </si>
  <si>
    <t>新世界山智-唐装</t>
  </si>
  <si>
    <t>新世界山智（唐装）</t>
  </si>
  <si>
    <t>可以用来解锁时装：\n&lt;color=#9400d7&gt;新世界山智（唐装）&lt;/color&gt;</t>
  </si>
  <si>
    <t>item_713038</t>
  </si>
  <si>
    <t>新世界山智唐装</t>
  </si>
  <si>
    <t>新世界弗兰奇-黑犀牛FR</t>
  </si>
  <si>
    <t>新世界弗兰奇（黑犀牛FR）</t>
  </si>
  <si>
    <t>可以用来解锁时装：\n&lt;color=#9400d7&gt;新世界弗兰奇（黑犀牛FR）\n使用后可乘坐专属载具黑犀牛FR&lt;/color&gt;</t>
  </si>
  <si>
    <t>item_713039</t>
  </si>
  <si>
    <t>新世界路飞-皇者披风</t>
  </si>
  <si>
    <t>新世界路飞（皇者披风）</t>
  </si>
  <si>
    <t>可以用来解锁时装：\n&lt;color=#9400d7&gt;新世界路飞（皇者披风）&lt;/color&gt;</t>
  </si>
  <si>
    <t>item_713040</t>
  </si>
  <si>
    <t>新世界路飞披风</t>
  </si>
  <si>
    <t>玫瑰礼服(汉库珂)时装</t>
  </si>
  <si>
    <t>汉库珂（玫瑰礼服）</t>
  </si>
  <si>
    <t>可以用来解锁时装：\n&lt;color=#9400d7&gt;汉库珂（玫瑰礼服）&lt;/color&gt;</t>
  </si>
  <si>
    <t>item_713041</t>
  </si>
  <si>
    <t>汉库珂玫瑰礼服</t>
  </si>
  <si>
    <t>新世界奈美-泳装</t>
  </si>
  <si>
    <t>新世界奈美（泳装）</t>
  </si>
  <si>
    <t>可以用来解锁时装：\n&lt;color=#9400d7&gt;新世界奈美（泳装）&lt;/color&gt;</t>
  </si>
  <si>
    <t>item_713042</t>
  </si>
  <si>
    <t>新世界娜美泳装</t>
  </si>
  <si>
    <t>佩罗娜泳装</t>
  </si>
  <si>
    <t>佩罗娜（泳装）</t>
  </si>
  <si>
    <t>可以用来解锁时装：\n&lt;color=#9400d7&gt;佩罗娜（泳装）&lt;/color&gt;</t>
  </si>
  <si>
    <t>item_713043</t>
  </si>
  <si>
    <t>薇薇泳装</t>
  </si>
  <si>
    <t>薇薇（泳装）</t>
  </si>
  <si>
    <t>可以用来解锁时装：\n&lt;color=#9400d7&gt;薇薇（泳装）&lt;/color&gt;</t>
  </si>
  <si>
    <t>item_713044</t>
  </si>
  <si>
    <t>新世界布鲁克-唐装</t>
  </si>
  <si>
    <t>新世界布鲁克（唐装）</t>
  </si>
  <si>
    <t>可以用来解锁时装：\n&lt;color=#9400d7&gt;新世界布鲁克（唐装）&lt;/color&gt;</t>
  </si>
  <si>
    <t>item_713045</t>
  </si>
  <si>
    <t>新世界布鲁克唐装</t>
  </si>
  <si>
    <t>新世界罗宾-泳装</t>
  </si>
  <si>
    <t>新世界罗宾（泳装）</t>
  </si>
  <si>
    <t>可以用来解锁时装：\n&lt;color=#9400d7&gt;新世界罗宾（泳装）&lt;/color&gt;</t>
  </si>
  <si>
    <t>item_713046</t>
  </si>
  <si>
    <t>新世界罗宾泳装</t>
  </si>
  <si>
    <t>新世界塔希米-泳装</t>
  </si>
  <si>
    <t>新世界塔希米（泳装）</t>
  </si>
  <si>
    <t>可以用来解锁时装：\n&lt;color=#9400d7&gt;新世界塔希米（泳装）&lt;/color&gt;</t>
  </si>
  <si>
    <t>item_713047</t>
  </si>
  <si>
    <t>新世界塔西米泳装</t>
  </si>
  <si>
    <t>新世界塔希米-泳装不穿外套</t>
  </si>
  <si>
    <t>新世界塔希米（清凉泳装）</t>
  </si>
  <si>
    <t>可以用来解锁时装：\n&lt;color=#9400d7&gt;新世界塔希米（清凉泳装）&lt;/color&gt;</t>
  </si>
  <si>
    <t>item_713048</t>
  </si>
  <si>
    <t>汉库珂泳装</t>
  </si>
  <si>
    <t>汉库珂（泳装）</t>
  </si>
  <si>
    <t>可以用来解锁时装：\n&lt;color=#9400d7&gt;汉库珂（泳装）&lt;/color&gt;</t>
  </si>
  <si>
    <t>item_713049</t>
  </si>
  <si>
    <t>汉库珂-泳装</t>
  </si>
  <si>
    <t>新世界路飞-“路西”</t>
  </si>
  <si>
    <t>新世界路飞（路西时装）</t>
  </si>
  <si>
    <t>可以用来解锁时装：\n&lt;color=#9400d7&gt;新世界路飞（路西时装）&lt;/color&gt;</t>
  </si>
  <si>
    <t>item_713050</t>
  </si>
  <si>
    <t>新世界路飞“路西”</t>
  </si>
  <si>
    <t>新世界路飞- 皇冠</t>
  </si>
  <si>
    <t>新世界路飞（皇冠时装）</t>
  </si>
  <si>
    <t>可以用来解锁时装：\n&lt;color=#9400d7&gt;新世界路飞（皇冠时装）&lt;/color&gt;</t>
  </si>
  <si>
    <t>item_713051</t>
  </si>
  <si>
    <t>艾斯-万圣节</t>
  </si>
  <si>
    <t>艾斯（万圣节时装）</t>
  </si>
  <si>
    <t>可以用来解锁时装：\n&lt;color=#9400d7&gt;艾斯（万圣节时装）&lt;/color&gt;</t>
  </si>
  <si>
    <t>item_713052</t>
  </si>
  <si>
    <t>黑鸦（萨波）</t>
  </si>
  <si>
    <t>萨波（黑鸦时装）</t>
  </si>
  <si>
    <t>可以用来解锁时装：\n&lt;color=#9400d7&gt;萨波（黑鸦时装）\n可点击按钮召唤飞行坐骑黑鸦&lt;/color&gt;</t>
  </si>
  <si>
    <t>item_713053</t>
  </si>
  <si>
    <t>萨博-黑鸦</t>
  </si>
  <si>
    <t>泳装baby5</t>
  </si>
  <si>
    <t>baby5（泳装）</t>
  </si>
  <si>
    <t>可以用来解锁时装：\n&lt;color=#9400d7&gt;baby5（泳装）&lt;/color&gt;</t>
  </si>
  <si>
    <t>item_713054</t>
  </si>
  <si>
    <t>baby5-泳装</t>
  </si>
  <si>
    <t>萨博-万圣节</t>
  </si>
  <si>
    <t>萨波（万圣节时装）</t>
  </si>
  <si>
    <t>可以用来解锁时装：\n&lt;color=#9400d7&gt;萨博（万圣节时装）&lt;/color&gt;</t>
  </si>
  <si>
    <t>item_713055</t>
  </si>
  <si>
    <t>睡衣（夏洛特·玲玲）</t>
  </si>
  <si>
    <t>夏洛特·玲玲（睡衣）</t>
  </si>
  <si>
    <t>可以用来解锁时装：\n&lt;color=#9400d7&gt;夏洛特·玲玲（睡衣）&lt;/color&gt;</t>
  </si>
  <si>
    <t>item_713056</t>
  </si>
  <si>
    <t>新世界路飞- 万圣节</t>
  </si>
  <si>
    <t>新世界路飞（万圣节时装）</t>
  </si>
  <si>
    <t>可以用来解锁时装：\n&lt;color=#9400d7&gt;新世界路飞（万圣节时装）&lt;/color&gt;</t>
  </si>
  <si>
    <t>item_713057</t>
  </si>
  <si>
    <t>路飞-万圣节</t>
  </si>
  <si>
    <t>龙形态（凯多）</t>
  </si>
  <si>
    <t>凯多（龙形态）</t>
  </si>
  <si>
    <t>可以用来解锁时装：\n&lt;color=#9400d7&gt;凯多（龙形态）\n使用后可化身为龙&lt;/color&gt;</t>
  </si>
  <si>
    <t>item_713058</t>
  </si>
  <si>
    <t>凯多-龙形态</t>
  </si>
  <si>
    <t>新世界罗-万圣节</t>
  </si>
  <si>
    <t>新世界罗（万圣节）</t>
  </si>
  <si>
    <t>可以用来解锁时装：\n&lt;color=#9400d7&gt;新世界罗（万圣节）&lt;/color&gt;</t>
  </si>
  <si>
    <t>item_713059</t>
  </si>
  <si>
    <t>新世界罗宾-万圣节</t>
  </si>
  <si>
    <t>新世界罗宾（万圣节）</t>
  </si>
  <si>
    <t>可以用来解锁时装：\n&lt;color=#9400d7&gt;新世界罗宾（万圣节）&lt;/color&gt;</t>
  </si>
  <si>
    <t>item_713060</t>
  </si>
  <si>
    <t>新世界山智-万圣节</t>
  </si>
  <si>
    <t>新世界山智（万圣节）</t>
  </si>
  <si>
    <t>可以用来解锁时装：\n&lt;color=#9400d7&gt;新世界山智（万圣节）&lt;/color&gt;</t>
  </si>
  <si>
    <t>item_713061</t>
  </si>
  <si>
    <t>新世界佐罗-万圣节</t>
  </si>
  <si>
    <t>新世界佐罗（万圣节）</t>
  </si>
  <si>
    <t>可以用来解锁时装：\n&lt;color=#9400d7&gt;新世界佐罗（万圣节）&lt;/color&gt;</t>
  </si>
  <si>
    <t>item_713062</t>
  </si>
  <si>
    <t>新世界奈美-万圣节</t>
  </si>
  <si>
    <t>新世界奈美（万圣节）</t>
  </si>
  <si>
    <t>可以用来解锁时装：\n&lt;color=#9400d7&gt;新世界奈美（万圣节）&lt;/color&gt;</t>
  </si>
  <si>
    <t>item_713063</t>
  </si>
  <si>
    <t>奶昔-泳装</t>
  </si>
  <si>
    <t>奶昔（泳装）</t>
  </si>
  <si>
    <t>可以用来解锁时装：\n&lt;color=#9400d7&gt;奶昔（泳装）&lt;/color&gt;</t>
  </si>
  <si>
    <t>item_713064</t>
  </si>
  <si>
    <t>奶昔泳装</t>
  </si>
  <si>
    <t>新世界青雉企鹅</t>
  </si>
  <si>
    <t>新世界库赞（企鹅）</t>
  </si>
  <si>
    <t>可以用来解锁时装：\n&lt;color=#9400d7&gt;新世界库赞（企鹅）\n带有新世界库赞的宠物大企鹅&lt;/color&gt;</t>
  </si>
  <si>
    <t>item_713065</t>
  </si>
  <si>
    <t>新世界奈美-圣诞节</t>
  </si>
  <si>
    <t>新世界奈美（圣诞节）</t>
  </si>
  <si>
    <t>可以用来解锁时装：\n&lt;color=#9400d7&gt;新世界奈美（圣诞节）&lt;/color&gt;</t>
  </si>
  <si>
    <t>item_713066</t>
  </si>
  <si>
    <t>新世界奈美圣诞节</t>
  </si>
  <si>
    <t>新世界罗宾-圣诞节</t>
  </si>
  <si>
    <t>新世界罗宾（圣诞节）</t>
  </si>
  <si>
    <t>可以用来解锁时装：\n&lt;color=#9400d7&gt;新世界罗宾（圣诞节）&lt;/color&gt;</t>
  </si>
  <si>
    <t>item_713067</t>
  </si>
  <si>
    <t>新世界罗宾圣诞节</t>
  </si>
  <si>
    <t>新世界乔巴-圣诞节</t>
  </si>
  <si>
    <t>新世界乔巴（圣诞节）</t>
  </si>
  <si>
    <t>可以用来解锁时装：\n&lt;color=#9400d7&gt;新世界乔巴（圣诞节）&lt;/color&gt;</t>
  </si>
  <si>
    <t>item_713068</t>
  </si>
  <si>
    <t>新世界乔巴圣诞节</t>
  </si>
  <si>
    <t>丽久礼服</t>
  </si>
  <si>
    <t>丽久（礼服）</t>
  </si>
  <si>
    <t>可以用来解锁时装：\n&lt;color=#9400d7&gt;丽久（礼服）&lt;/color&gt;</t>
  </si>
  <si>
    <t>item_713069</t>
  </si>
  <si>
    <t>新世界路奇和服</t>
  </si>
  <si>
    <t>新世界鲁兹（和服）</t>
  </si>
  <si>
    <t>可以用来解锁时装：\n&lt;color=#9400d7&gt;新世界鲁兹（和服）&lt;/color&gt;</t>
  </si>
  <si>
    <t>item_713070</t>
  </si>
  <si>
    <t>推进城汉库珂和服</t>
  </si>
  <si>
    <t>推进城汉库珂（和服）</t>
  </si>
  <si>
    <t>可以用来解锁时装：\n&lt;color=#9400d7&gt;推进城汉库珂（和服）&lt;/color&gt;</t>
  </si>
  <si>
    <t>item_713071</t>
  </si>
  <si>
    <t>推进城女帝和服</t>
  </si>
  <si>
    <t>新世界马尔高漂浮状态（暂时）</t>
  </si>
  <si>
    <t>新世界马尔高（青炎）</t>
  </si>
  <si>
    <t>可以用来解锁时装：\n&lt;color=#9400d7&gt;新世界马尔高（青炎）&lt;/color&gt;</t>
  </si>
  <si>
    <t>item_713072</t>
  </si>
  <si>
    <t>新世界米霍克和服</t>
  </si>
  <si>
    <t>新世界米霍克（和服）</t>
  </si>
  <si>
    <t>可以用来解锁时装：\n&lt;color=#9400d7&gt;新世界米霍克（和服）&lt;/color&gt;</t>
  </si>
  <si>
    <t>item_713073</t>
  </si>
  <si>
    <t>凯文迪修时装</t>
  </si>
  <si>
    <t>凯文迪修（法鲁鲁）</t>
  </si>
  <si>
    <t>可以用来解锁时装：\n&lt;color=#9400d7&gt;凯文迪修（法鲁鲁）\n可召唤坐骑法鲁鲁&lt;/color&gt;</t>
  </si>
  <si>
    <t>item_713074</t>
  </si>
  <si>
    <t>凯文迪修马</t>
  </si>
  <si>
    <t>糖糖时装</t>
  </si>
  <si>
    <t>糖糖（泳装）</t>
  </si>
  <si>
    <t>可以用来解锁时装：\n&lt;color=#9400d7&gt;糖糖（泳装）&lt;/color&gt;</t>
  </si>
  <si>
    <t>item_713075</t>
  </si>
  <si>
    <t>糖糖泳装</t>
  </si>
  <si>
    <t>光月御殿时装</t>
  </si>
  <si>
    <t>光月御殿（皇冠）</t>
  </si>
  <si>
    <t>可以用来解锁时装：\n&lt;color=#9400d7&gt;光月御殿（皇冠）&lt;/color&gt;</t>
  </si>
  <si>
    <t>item_713076</t>
  </si>
  <si>
    <t>光月御田时装</t>
  </si>
  <si>
    <t>凯罗特和服</t>
  </si>
  <si>
    <t>凯罗特（和服）</t>
  </si>
  <si>
    <t>可以用来解锁时装：\n&lt;color=#9400d7&gt;凯罗特（和服）&lt;/color&gt;</t>
  </si>
  <si>
    <t>item_713077</t>
  </si>
  <si>
    <t>凯洛特和服</t>
  </si>
  <si>
    <t>阿菊（大铠）</t>
  </si>
  <si>
    <t>可以用来解锁时装：\n&lt;color=#9400d7&gt;阿菊（大铠）&lt;/color&gt;</t>
  </si>
  <si>
    <t>item_713078</t>
  </si>
  <si>
    <t>年轻白胡子和服</t>
  </si>
  <si>
    <t>年轻白胡子（和服）</t>
  </si>
  <si>
    <t>可以用来解锁时装：\n&lt;color=#9400d7&gt;年轻白胡子（和服）&lt;/color&gt;</t>
  </si>
  <si>
    <t>item_713079</t>
  </si>
  <si>
    <t>新世界佩罗娜(礼服)</t>
  </si>
  <si>
    <t>可以用来解锁时装：\n&lt;color=#9400d7&gt;新世界佩罗娜(礼服)&lt;/color&gt;</t>
  </si>
  <si>
    <t>item_713080</t>
  </si>
  <si>
    <t>新世界佩罗娜礼服</t>
  </si>
  <si>
    <t>布玲婚纱</t>
  </si>
  <si>
    <t>布玲(婚纱)</t>
  </si>
  <si>
    <t>可以用来解锁时装：\n&lt;color=#9400d7&gt;布玲(婚纱)&lt;/color&gt;</t>
  </si>
  <si>
    <t>item_713081</t>
  </si>
  <si>
    <t>布玲时装（婚纱）</t>
  </si>
  <si>
    <t>布林原皮（飞毯）</t>
  </si>
  <si>
    <t>布玲（飞毯）</t>
  </si>
  <si>
    <t>可以用来解锁时装：\n&lt;color=#9400d7&gt;布玲(飞毯)&lt;/color&gt;</t>
  </si>
  <si>
    <t>item_713082</t>
  </si>
  <si>
    <t>布林婚纱（飞毯）</t>
  </si>
  <si>
    <t>婚纱（飞毯）</t>
  </si>
  <si>
    <t>可以用来解锁时装：\n&lt;color=#9400d7&gt;布玲婚纱(飞毯)&lt;/color&gt;</t>
  </si>
  <si>
    <t>item_713083</t>
  </si>
  <si>
    <t>布玲婚纱（飞毯）</t>
  </si>
  <si>
    <t>霍金斯时装</t>
  </si>
  <si>
    <t>霍金斯（狛鹿）</t>
  </si>
  <si>
    <t>可以用来解锁时装：\n&lt;color=#9400d7&gt;霍金斯（狛鹿）&lt;/color&gt;</t>
  </si>
  <si>
    <t>item_713084</t>
  </si>
  <si>
    <t>德雷克时装</t>
  </si>
  <si>
    <t>德雷克（异特龙）</t>
  </si>
  <si>
    <t>可以用来解锁时装：\n&lt;color=#9400d7&gt;德雷克（异特龙）&lt;/color&gt;</t>
  </si>
  <si>
    <t>item_713085</t>
  </si>
  <si>
    <t>新世界鲁兹时装</t>
  </si>
  <si>
    <t>新世界鲁兹（豹）</t>
  </si>
  <si>
    <t>可以用来解锁时装：\n&lt;color=#9400d7&gt;新世界鲁兹（豹）&lt;/color&gt;</t>
  </si>
  <si>
    <t>item_713086</t>
  </si>
  <si>
    <t>龙人凯多时装</t>
  </si>
  <si>
    <t>龙人凯多（龙人形态）</t>
  </si>
  <si>
    <t>可以用来解锁时装：\n&lt;color=#9400d7&gt;龙人凯多（龙人形态）&lt;/color&gt;</t>
  </si>
  <si>
    <t>item_713087</t>
  </si>
  <si>
    <t>新世界山智（王子服）</t>
  </si>
  <si>
    <t>可以用来解锁时装：\n&lt;color=#9400d7&gt;新世界山智（王子服）&lt;/color&gt;</t>
  </si>
  <si>
    <t>item_713088</t>
  </si>
  <si>
    <t>杰克（猛犸形态）</t>
  </si>
  <si>
    <t>可以用来解锁时装：\n&lt;color=#9400d7&gt;杰克（猛犸形态）&lt;/color&gt;</t>
  </si>
  <si>
    <t>item_713089</t>
  </si>
  <si>
    <t>昆因（腕龙形态）</t>
  </si>
  <si>
    <t>可以用来解锁时装：\n&lt;color=#9400d7&gt;昆因（腕龙形态）&lt;/color&gt;</t>
  </si>
  <si>
    <t>item_713090</t>
  </si>
  <si>
    <t>路飞（战斗服）</t>
  </si>
  <si>
    <t>可以用来解锁时装：\n&lt;color=#9400d7&gt;路飞（战斗服）&lt;/color&gt;</t>
  </si>
  <si>
    <t>item_713091</t>
  </si>
  <si>
    <t>大和（面具）</t>
  </si>
  <si>
    <t>可以用来解锁时装：\n&lt;color=#9400d7&gt;大和（面具）&lt;/color&gt;</t>
  </si>
  <si>
    <t>item_713092</t>
  </si>
  <si>
    <t>乌塔（铠甲）</t>
  </si>
  <si>
    <t>可以用来解锁时装：\n&lt;color=#9400d7&gt;乌塔（铠甲）&lt;/color&gt;</t>
  </si>
  <si>
    <t>item_713093</t>
  </si>
  <si>
    <t>润媞（肿头龙）</t>
  </si>
  <si>
    <t>可以用来解锁时装：\n&lt;color=#9400d7&gt;润媞（肿头龙）&lt;/color&gt;</t>
  </si>
  <si>
    <t>item_713094</t>
  </si>
  <si>
    <t>烬（无齿翼龙）</t>
  </si>
  <si>
    <t>可以用来解锁时装：\n&lt;color=#9400d8&gt;烬（无齿翼龙）&lt;/color&gt;</t>
  </si>
  <si>
    <t>item_713095</t>
  </si>
  <si>
    <t>佩吉旺（脊背龙）</t>
  </si>
  <si>
    <t>可以用来解锁时装：\n&lt;color=#9400d8&gt;佩吉旺（脊背龙）&lt;/color&gt;</t>
  </si>
  <si>
    <t>item_713096</t>
  </si>
  <si>
    <t>新世界基德时装</t>
  </si>
  <si>
    <t>新世界基德（获赋者）</t>
  </si>
  <si>
    <t>可以用来解锁时装：\n&lt;color=#9400d8&gt;基德（获赋者）&lt;/color&gt;</t>
  </si>
  <si>
    <t>item_713097</t>
  </si>
  <si>
    <t>和之国罗时装</t>
  </si>
  <si>
    <t>和之国罗（讨伐鬼岛装）</t>
  </si>
  <si>
    <t>可以用来解锁时装：\n&lt;color=#9400d8&gt;和之国罗（讨伐鬼岛装）&lt;/color&gt;</t>
  </si>
  <si>
    <t>item_713100</t>
  </si>
  <si>
    <t>赫拉</t>
  </si>
  <si>
    <t>花魁阿玲（赫拉）</t>
  </si>
  <si>
    <t>可以用来解锁时装：\n&lt;color=#9400d8&gt;花魁阿玲（赫拉）&lt;/color&gt;</t>
  </si>
  <si>
    <t>item_713101</t>
  </si>
  <si>
    <t>路飞太郎</t>
  </si>
  <si>
    <t>和之国路飞（路飞太郎）</t>
  </si>
  <si>
    <t>可以用来解锁时装：\n&lt;color=#9400d8&gt;和之国路飞（路飞太郎）&lt;/color&gt;</t>
  </si>
  <si>
    <t>item_713102</t>
  </si>
  <si>
    <t>和之国罗宾（阿罗宾）</t>
  </si>
  <si>
    <t>可以用来解锁时装：\n&lt;color=#9400d8&gt;和之国罗宾（阿罗宾）&lt;/color&gt;</t>
  </si>
  <si>
    <t>item_713103</t>
  </si>
  <si>
    <t>阿罗宾</t>
  </si>
  <si>
    <t>和之国山智（山五郎）</t>
  </si>
  <si>
    <t>可以用来解锁时装：\n&lt;color=#9400d8&gt;和之国山智（山五郎）&lt;/color&gt;</t>
  </si>
  <si>
    <t>item_713104</t>
  </si>
  <si>
    <t>山五郎</t>
  </si>
  <si>
    <t>和之国佐罗（佐罗十郎）</t>
  </si>
  <si>
    <t>可以用来解锁时装：\n&lt;color=#9400d8&gt;和之国佐罗（佐罗十郎）&lt;/color&gt;</t>
  </si>
  <si>
    <t>item_713105</t>
  </si>
  <si>
    <t>和之国乔巴（乔巴卫门）</t>
  </si>
  <si>
    <t>可以用来解锁时装：\n&lt;color=#9400d8&gt;和之国乔巴（乔巴卫门）&lt;/color&gt;</t>
  </si>
  <si>
    <t>item_713106</t>
  </si>
  <si>
    <t>和之国撒谎布（撒谎八）</t>
  </si>
  <si>
    <t>可以用来解锁时装：\n&lt;color=#9400d8&gt;和之国撒谎布（撒谎八）&lt;/color&gt;</t>
  </si>
  <si>
    <t>item_713107</t>
  </si>
  <si>
    <t>和之国奈美（阿奈美）</t>
  </si>
  <si>
    <t>可以用来解锁时装：\n&lt;color=#9400d8&gt;和之国奈美（阿奈美）&lt;/color&gt;</t>
  </si>
  <si>
    <t>item_713108</t>
  </si>
  <si>
    <t>和之国弗兰奇（弗兰介）</t>
  </si>
  <si>
    <t>可以用来解锁时装：\n&lt;color=#9400d8&gt;和之国弗兰奇（弗兰介）&lt;/color&gt;</t>
  </si>
  <si>
    <t>item_713109</t>
  </si>
  <si>
    <t>和之国布鲁克（骨吉）</t>
  </si>
  <si>
    <t>可以用来解锁时装：\n&lt;color=#9400d8&gt;和之国布鲁克（骨吉）&lt;/color&gt;</t>
  </si>
  <si>
    <t>item_713110</t>
  </si>
  <si>
    <t>路飞（西装）</t>
  </si>
  <si>
    <t>可以用来解锁时装：\n&lt;color=#9400d8&gt;路飞（西装）&lt;/color&gt;</t>
  </si>
  <si>
    <t>item_713111</t>
  </si>
  <si>
    <t>罗杰（海盗王）</t>
  </si>
  <si>
    <t>可以用来解锁时装：\n&lt;color=#9400d8&gt;罗杰（海盗王）&lt;/color&gt;</t>
  </si>
  <si>
    <t>item_713112</t>
  </si>
  <si>
    <t>罗杰（大海盗）</t>
  </si>
  <si>
    <t>可以用来解锁时装：\n&lt;color=#9400d8&gt;罗杰（大海盗）&lt;/color&gt;</t>
  </si>
  <si>
    <t>item_713113</t>
  </si>
  <si>
    <t>烬（无面具）</t>
  </si>
  <si>
    <t>可以用来解锁时装：\n&lt;color=#9400d8&gt;烬（无面具）&lt;/color&gt;</t>
  </si>
  <si>
    <t>item_713114</t>
  </si>
  <si>
    <t>和之国路飞（获赋者）</t>
  </si>
  <si>
    <t>可以用来解锁时装：\n&lt;color=#9400d8&gt;和之国路飞（获赋者）&lt;/color&gt;</t>
  </si>
  <si>
    <t>item_713115</t>
  </si>
  <si>
    <t>绿牛（飞行）</t>
  </si>
  <si>
    <t>可以用来解锁时装：\n&lt;color=#9400d8&gt;绿牛（飞行）&lt;/color&gt;</t>
  </si>
  <si>
    <t>item_713116</t>
  </si>
  <si>
    <t>大口真神大和（兽形态）</t>
  </si>
  <si>
    <t>可以用来解锁时装：\n&lt;color=#9400d8&gt;大口真神大和（兽形态）&lt;/color&gt;</t>
  </si>
  <si>
    <t>item_713117</t>
  </si>
  <si>
    <t>基德与罗（罗）</t>
  </si>
  <si>
    <t>可以用来解锁时装：\n&lt;color=#9400d8&gt;基德与罗（罗）&lt;/color&gt;</t>
  </si>
  <si>
    <t>item_713118</t>
  </si>
  <si>
    <t>邦妮（常服）</t>
  </si>
  <si>
    <t>可以用来解锁时装：\n&lt;color=#9400d8&gt;邦妮（常服）&lt;/color&gt;</t>
  </si>
  <si>
    <t>item_713119</t>
  </si>
  <si>
    <t>邦妮（未来服·小孩子）</t>
  </si>
  <si>
    <t>可以用来解锁时装：\n&lt;color=#9400d8&gt;邦妮（未来服·小孩子）&lt;/color&gt;</t>
  </si>
  <si>
    <t>item_713120</t>
  </si>
  <si>
    <t>邦妮（常服·小孩子）</t>
  </si>
  <si>
    <t>可以用来解锁时装：\n&lt;color=#9400d8&gt;邦妮（常服·小孩子）&lt;/color&gt;</t>
  </si>
  <si>
    <t>item_713121</t>
  </si>
  <si>
    <t>S-老鹰（飞行）</t>
  </si>
  <si>
    <t>可以用来解锁时装：\n&lt;color=#9400d8&gt;S-老鹰（飞行）&lt;/color&gt;</t>
  </si>
  <si>
    <t>item_713122</t>
  </si>
  <si>
    <t>光月御殿（羽织）</t>
  </si>
  <si>
    <t>可以用来解锁时装：\n&lt;color=#9400d7&gt;光月御殿（羽织）&lt;/color&gt;</t>
  </si>
  <si>
    <t>item_713123</t>
  </si>
  <si>
    <t>S-蛇女（飞行）</t>
  </si>
  <si>
    <t>可以用来解锁时装：\n&lt;color=#9400d8&gt;S-蛇女（飞行）&lt;/color&gt;</t>
  </si>
  <si>
    <t>item_713124</t>
  </si>
  <si>
    <t>未来岛卡古（面具）</t>
  </si>
  <si>
    <t>可以用来解锁时装：\n&lt;color=#9400d8&gt;未来岛卡古（面具）&lt;/color&gt;</t>
  </si>
  <si>
    <t>item_713125</t>
  </si>
  <si>
    <t>未来岛卡古（长颈鹿）</t>
  </si>
  <si>
    <t>可以用来解锁时装：\n&lt;color=#9400d8&gt;未来岛卡古（长颈鹿）&lt;/color&gt;</t>
  </si>
  <si>
    <t>item_713126</t>
  </si>
  <si>
    <t>5档路飞（上衣）</t>
  </si>
  <si>
    <t>可以用来解锁时装：\n&lt;color=#9400d8&gt;5档路飞（上衣）&lt;/color&gt;</t>
  </si>
  <si>
    <t>item_713127</t>
  </si>
  <si>
    <t>5档路飞（眼镜）</t>
  </si>
  <si>
    <t>可以用来解锁时装：\n&lt;color=#9400d8&gt;5档路飞（眼镜）&lt;/color&gt;</t>
  </si>
  <si>
    <t>item_713128</t>
  </si>
  <si>
    <t>5档路飞（奔跑）</t>
  </si>
  <si>
    <t>可以用来解锁时装：\n&lt;color=#9400d8&gt;5档路飞（奔跑）&lt;/color&gt;</t>
  </si>
  <si>
    <t>item_713129</t>
  </si>
  <si>
    <t>5档路飞（上衣奔跑）</t>
  </si>
  <si>
    <t>可以用来解锁时装：\n&lt;color=#9400d8&gt;5档路飞（上衣奔跑）&lt;/color&gt;</t>
  </si>
  <si>
    <t>item_713130</t>
  </si>
  <si>
    <t>5档路飞（眼镜奔跑）</t>
  </si>
  <si>
    <t>可以用来解锁时装：\n&lt;color=#9400d8&gt;5档路飞（眼镜奔跑）&lt;/color&gt;</t>
  </si>
  <si>
    <t>item_713131</t>
  </si>
  <si>
    <t>烬（人兽型）</t>
  </si>
  <si>
    <t>可以用来解锁时装：\n&lt;color=#9400d8&gt;烬（人兽型）&lt;/color&gt;</t>
  </si>
  <si>
    <t>item_713132</t>
  </si>
  <si>
    <t>昆因（人兽型）</t>
  </si>
  <si>
    <t>可以用来解锁时装：\n&lt;color=#9400d8&gt;昆因（人兽型）&lt;/color&gt;</t>
  </si>
  <si>
    <t>item_713133</t>
  </si>
  <si>
    <t>杰克（人兽型）</t>
  </si>
  <si>
    <t>可以用来解锁时装：\n&lt;color=#9400d8&gt;杰克（人兽型）&lt;/color&gt;</t>
  </si>
  <si>
    <t>item_713134</t>
  </si>
  <si>
    <t>龙人凯多（飞行）</t>
  </si>
  <si>
    <t>可以用来解锁时装：\n&lt;color=#9400d8&gt;龙人凯多（飞行）&lt;/color&gt;</t>
  </si>
  <si>
    <t>item_713135</t>
  </si>
  <si>
    <t>未来岛鲁兹（面具）</t>
  </si>
  <si>
    <t>可以用来解锁时装：\n&lt;color=#9400d9&gt;未来岛鲁兹（面具）&lt;/color&gt;</t>
  </si>
  <si>
    <t>item_713136</t>
  </si>
  <si>
    <t>未来岛鲁兹（大衣）</t>
  </si>
  <si>
    <t>可以用来解锁时装：\n&lt;color=#9400d9&gt;未来岛鲁兹（大衣）&lt;/color&gt;</t>
  </si>
  <si>
    <t>item_713137</t>
  </si>
  <si>
    <t>未来岛鲁兹（豹形态）</t>
  </si>
  <si>
    <t>可以用来解锁时装：\n&lt;color=#9400d9&gt;未来岛鲁兹（豹形态）&lt;/color&gt;</t>
  </si>
  <si>
    <t>item_713138</t>
  </si>
  <si>
    <t>未来岛鲁兹（豹形态冲刺）</t>
  </si>
  <si>
    <t>可以用来解锁时装：\n&lt;color=#9400d9&gt;未来岛鲁兹（豹形态冲刺）&lt;/color&gt;</t>
  </si>
  <si>
    <t>item_713139</t>
  </si>
  <si>
    <t>未来岛斯图西（面具）</t>
  </si>
  <si>
    <t>可以用来解锁时装：\n&lt;color=#9400d9&gt;未来岛斯图西（面具）&lt;/color&gt;</t>
  </si>
  <si>
    <t>item_713140</t>
  </si>
  <si>
    <t>未来岛斯图西（蝙蝠翼）</t>
  </si>
  <si>
    <t>可以用来解锁时装：\n&lt;color=#9400d9&gt;未来岛斯图西（蝙蝠翼）&lt;/color&gt;</t>
  </si>
  <si>
    <t>item_713141</t>
  </si>
  <si>
    <t>艾尼路（雷电移动）</t>
  </si>
  <si>
    <t>可以用来解锁时装：\n&lt;color=#9400d8&gt;艾尼路（雷电移动）&lt;/color&gt;</t>
  </si>
  <si>
    <t>item_713142</t>
  </si>
  <si>
    <t>艾尼路（球云）</t>
  </si>
  <si>
    <t>可以用来解锁时装：\n&lt;color=#9400d8&gt;艾尼路（球云）&lt;/color&gt;</t>
  </si>
  <si>
    <t>item_713143</t>
  </si>
  <si>
    <t>S-小熊（DOM靴）</t>
  </si>
  <si>
    <t>可以用来解锁时装：\n&lt;color=#9400d8&gt;S-小熊（DOM靴）&lt;/color&gt;</t>
  </si>
  <si>
    <t>item_713144</t>
  </si>
  <si>
    <t>未来岛黑胡子（墨镜）</t>
  </si>
  <si>
    <t>可以用来解锁时装：\n&lt;color=#9400d8&gt;未来岛黑胡子（墨镜）&lt;/color&gt;</t>
  </si>
  <si>
    <t>item_713145</t>
  </si>
  <si>
    <t>黑胡子（大衣）</t>
  </si>
  <si>
    <t>可以用来解锁时装：\n&lt;color=#9400d8&gt;黑胡子（大衣）&lt;/color&gt;</t>
  </si>
  <si>
    <t>item_713146</t>
  </si>
  <si>
    <t>艾斯（顶上战争）</t>
  </si>
  <si>
    <t>可以用来解锁时装：\n&lt;color=#9400d8&gt;艾斯（顶上战争）&lt;/color&gt;</t>
  </si>
  <si>
    <t>item_713147</t>
  </si>
  <si>
    <t>附魂抽卡卷</t>
  </si>
  <si>
    <t>搜魂券</t>
  </si>
  <si>
    <t>可以免费搜魂一次</t>
  </si>
  <si>
    <t>item_720001</t>
  </si>
  <si>
    <t>舰船甲板1</t>
  </si>
  <si>
    <t>红花水</t>
  </si>
  <si>
    <t>item_451002</t>
  </si>
  <si>
    <t>桅杆1</t>
  </si>
  <si>
    <t>甘草芦荟丸</t>
  </si>
  <si>
    <t>增加10%元素抗性，持续30分钟。</t>
  </si>
  <si>
    <t>item_451003</t>
  </si>
  <si>
    <t>大炮1</t>
  </si>
  <si>
    <t>甘草蘑菇丸</t>
  </si>
  <si>
    <t>item_451004</t>
  </si>
  <si>
    <t>帆布1</t>
  </si>
  <si>
    <t>四叶红花水</t>
  </si>
  <si>
    <t>增加10%元素伤害，持续30分钟。</t>
  </si>
  <si>
    <t>item_451005</t>
  </si>
  <si>
    <t>铁钉1</t>
  </si>
  <si>
    <t>芦荟四叶酒</t>
  </si>
  <si>
    <t>战斗中50%几率几率免疫减速效果，持续30分钟。</t>
  </si>
  <si>
    <t>item_451006</t>
  </si>
  <si>
    <t>缆绳1</t>
  </si>
  <si>
    <t>芦荟红花胶囊</t>
  </si>
  <si>
    <t>战斗中50%几率几率免疫击退效果，持续30分钟。</t>
  </si>
  <si>
    <t>item_451008</t>
  </si>
  <si>
    <t>快速挑战券</t>
  </si>
  <si>
    <t>可以在剧情回顾、角色传记、活动副本、血战中快速完成战斗。</t>
  </si>
  <si>
    <t>item_713001</t>
  </si>
  <si>
    <t>历险速战券</t>
  </si>
  <si>
    <t>历险挑战券</t>
  </si>
  <si>
    <t>可以在历险中快速完成战斗。</t>
  </si>
  <si>
    <t>item_452203</t>
  </si>
  <si>
    <t>青铜勋章</t>
  </si>
  <si>
    <t>青铜铸造的神秘勋章，可用于兑换指定奖励。</t>
  </si>
  <si>
    <t>item_465110</t>
  </si>
  <si>
    <t>2018/8/23-23:00:00</t>
  </si>
  <si>
    <t>青铜徽章</t>
  </si>
  <si>
    <t>白银徽章1</t>
  </si>
  <si>
    <t>白银勋章</t>
  </si>
  <si>
    <t>兑换道具</t>
  </si>
  <si>
    <t>item_465111</t>
  </si>
  <si>
    <t>2018/7/25-16:05:00</t>
  </si>
  <si>
    <t>白银徽章</t>
  </si>
  <si>
    <t>白银徽章2</t>
  </si>
  <si>
    <t>黄金徽章1</t>
  </si>
  <si>
    <t>黄金勋章</t>
  </si>
  <si>
    <t>item_465112</t>
  </si>
  <si>
    <t>黄金徽章</t>
  </si>
  <si>
    <t>学徒布丁</t>
  </si>
  <si>
    <t>角色获得亲密度时，额外增加2，持续60分钟，同类型不可累积使用。</t>
  </si>
  <si>
    <t>item_466001</t>
  </si>
  <si>
    <t>学徒超美味蛤蜊</t>
  </si>
  <si>
    <t>角色进入战斗后，立即拥有10%的怒气，与玩家战斗不生效，持续60分钟，同类型不可累积使用。</t>
  </si>
  <si>
    <t>item_466002</t>
  </si>
  <si>
    <t>学徒便当</t>
  </si>
  <si>
    <t>队伍中每个角色立即恢复1500生命，同类型道具冷却时间15秒。</t>
  </si>
  <si>
    <t>item_466003</t>
  </si>
  <si>
    <t>学徒伙食汤</t>
  </si>
  <si>
    <t>增加幸运值10点，幸运值可以提升战胜野外敌人后获得道具几率，持续60分钟，同类型不可累积使用。</t>
  </si>
  <si>
    <t>item_466004</t>
  </si>
  <si>
    <t>学徒棒骨大肉</t>
  </si>
  <si>
    <t>永久增加角色生命上限5，每个角色使用上限50个。</t>
  </si>
  <si>
    <t>item_466005</t>
  </si>
  <si>
    <t>学徒炖香肠</t>
  </si>
  <si>
    <t>永久增加角色格挡值5，每个角色使用上限50个。</t>
  </si>
  <si>
    <t>item_466006</t>
  </si>
  <si>
    <t>学徒可乐饼</t>
  </si>
  <si>
    <t>永久增加角色暴击值5，每个角色使用上限50个。</t>
  </si>
  <si>
    <t>item_466007</t>
  </si>
  <si>
    <t>学徒秘制煮豆</t>
  </si>
  <si>
    <t>永久增加角色破击值5，每个角色使用上限50个。</t>
  </si>
  <si>
    <t>item_466008</t>
  </si>
  <si>
    <t>学徒切片章鱼</t>
  </si>
  <si>
    <t>永久增加角色闪避值5，每个角色使用上限50个。</t>
  </si>
  <si>
    <t>item_466009</t>
  </si>
  <si>
    <t>学徒石烧炖菜</t>
  </si>
  <si>
    <t>永久增加角色韧性值5，每个角色使用上限50个。</t>
  </si>
  <si>
    <t>item_466010</t>
  </si>
  <si>
    <t>学徒水果百汇</t>
  </si>
  <si>
    <t>永久增加角色攻击5，每个角色使用上限50个。</t>
  </si>
  <si>
    <t>item_466011</t>
  </si>
  <si>
    <t>学徒樱桃派</t>
  </si>
  <si>
    <t>永久增加角色防御5，每个角色使用上限50个。</t>
  </si>
  <si>
    <t>item_466012</t>
  </si>
  <si>
    <t>学徒章鱼烧</t>
  </si>
  <si>
    <t>永久增加角色速度5，每个角色使用上限50个。</t>
  </si>
  <si>
    <t>item_466013</t>
  </si>
  <si>
    <t>学徒食品摊炒面</t>
  </si>
  <si>
    <t>永久增加角色命中值5，每个角色使用上限50个。</t>
  </si>
  <si>
    <t>item_466014</t>
  </si>
  <si>
    <t>初级布丁</t>
  </si>
  <si>
    <t>角色获得亲密度时，额外增加4，持续60分钟，同类型不可累积使用</t>
  </si>
  <si>
    <t>初级超美味蛤蜊</t>
  </si>
  <si>
    <t>角色进入战斗后，立即拥有20%的怒气，与玩家战斗不生效，持续60分钟，同类型不可累积使用</t>
  </si>
  <si>
    <t>初级便当</t>
  </si>
  <si>
    <t>队伍中每个角色立即恢复3000生命，同类型道具冷却时间15秒</t>
  </si>
  <si>
    <t>初级伙食汤</t>
  </si>
  <si>
    <t>增加幸运值20点，幸运值可以提升战胜野外敌人后获得道具几率，持续60分钟，同类型不可累积使用</t>
  </si>
  <si>
    <t>初级棒骨大肉</t>
  </si>
  <si>
    <t>永久增加角色生命上限10，每个角色使用上限50个</t>
  </si>
  <si>
    <t>初级炖香肠</t>
  </si>
  <si>
    <t>永久增加角色格挡值5，每个角色使用上限50个</t>
  </si>
  <si>
    <t>初级可乐饼</t>
  </si>
  <si>
    <t>永久增加角色暴击值5，每个角色使用上限50个</t>
  </si>
  <si>
    <t>初级秘制煮豆</t>
  </si>
  <si>
    <t>永久增加角色破击值5，每个角色使用上限50个</t>
  </si>
  <si>
    <t>初级切片章鱼</t>
  </si>
  <si>
    <t>永久增加角色闪避值5，每个角色使用上限50个</t>
  </si>
  <si>
    <t>初级石烧炖菜</t>
  </si>
  <si>
    <t>永久增加角色韧性值5，每个角色使用上限50个</t>
  </si>
  <si>
    <t>初级水果百汇</t>
  </si>
  <si>
    <t>永久增加角色攻击5，每个角色使用上限50个</t>
  </si>
  <si>
    <t>初级樱桃派</t>
  </si>
  <si>
    <t>永久增加角色防御5，每个角色使用上限50个</t>
  </si>
  <si>
    <t>初级章鱼烧</t>
  </si>
  <si>
    <t>永久增加角色速度5，每个角色使用上限50个</t>
  </si>
  <si>
    <t>初级食品摊炒面</t>
  </si>
  <si>
    <t>永久增加角色命中值5，每个角色使用上限50个</t>
  </si>
  <si>
    <t>中级布丁</t>
  </si>
  <si>
    <t>角色获得亲密度时，额外增加6，持续60分钟，同类型不可累积使用</t>
  </si>
  <si>
    <t>中级超美味蛤蜊</t>
  </si>
  <si>
    <t>角色进入战斗后，立即拥有30%的怒气，与玩家战斗不生效，持续60分钟，同类型不可累积使用</t>
  </si>
  <si>
    <t>中级便当</t>
  </si>
  <si>
    <t>队伍中每个角色立即恢复6000生命，同类型道具冷却时间15秒</t>
  </si>
  <si>
    <t>中级伙食汤</t>
  </si>
  <si>
    <t>增加幸运值30点，幸运值可以提升战胜野外敌人后获得道具几率，持续60分钟，同类型不可累积使用</t>
  </si>
  <si>
    <t>中级棒骨大肉</t>
  </si>
  <si>
    <t>永久增加角色生命上限15，每个角色使用上限50个</t>
  </si>
  <si>
    <t>中级炖香肠</t>
  </si>
  <si>
    <t>中级可乐饼</t>
  </si>
  <si>
    <t>中级秘制煮豆</t>
  </si>
  <si>
    <t>中级切片章鱼</t>
  </si>
  <si>
    <t>中级石烧炖菜</t>
  </si>
  <si>
    <t>中级水果百汇</t>
  </si>
  <si>
    <t>中级樱桃派</t>
  </si>
  <si>
    <t>中级章鱼烧</t>
  </si>
  <si>
    <t>中级食品摊炒面</t>
  </si>
  <si>
    <t>高级布丁</t>
  </si>
  <si>
    <t>角色获得亲密度时，额外增加8，持续60分钟，同类型不可累积使用</t>
  </si>
  <si>
    <t>高级超美味蛤蜊</t>
  </si>
  <si>
    <t>角色进入战斗后，立即拥有40%的怒气，与玩家战斗不生效，持续60分钟，同类型不可累积使用</t>
  </si>
  <si>
    <t>高级便当</t>
  </si>
  <si>
    <t>队伍中每个角色立即恢复9000生命，同类型道具冷却时间15秒</t>
  </si>
  <si>
    <t>高级伙食汤</t>
  </si>
  <si>
    <t>增加幸运值40点，幸运值可以提升战胜野外敌人后获得道具几率，持续60分钟，同类型不可累积使用</t>
  </si>
  <si>
    <t>高级棒骨大肉</t>
  </si>
  <si>
    <t>永久增加角色生命上限20，每个角色使用上限50个</t>
  </si>
  <si>
    <t>高级炖香肠</t>
  </si>
  <si>
    <t>高级可乐饼</t>
  </si>
  <si>
    <t>高级秘制煮豆</t>
  </si>
  <si>
    <t>高级切片章鱼</t>
  </si>
  <si>
    <t>高级石烧炖菜</t>
  </si>
  <si>
    <t>高级水果百汇</t>
  </si>
  <si>
    <t>高级樱桃派</t>
  </si>
  <si>
    <t>高级章鱼烧</t>
  </si>
  <si>
    <t>高级食品摊炒面</t>
  </si>
  <si>
    <t>大师布丁</t>
  </si>
  <si>
    <t>角色获得亲密度时，额外增加10，持续60分钟，同类型不可累积使用</t>
  </si>
  <si>
    <t>大师超美味蛤蜊</t>
  </si>
  <si>
    <t>角色进入战斗后，立即拥有50%的怒气，与玩家战斗不生效，持续60分钟，同类型不可累积使用</t>
  </si>
  <si>
    <t>大师便当</t>
  </si>
  <si>
    <t>队伍中每个角色立即恢复12000生命，同类型道具冷却时间15秒</t>
  </si>
  <si>
    <t>大师伙食汤</t>
  </si>
  <si>
    <t>增加幸运值50点，幸运值可以提升战胜野外敌人后获得道具几率，持续60分钟，同类型不可累积使用</t>
  </si>
  <si>
    <t>大师棒骨大肉</t>
  </si>
  <si>
    <t>永久增加角色生命上限25，每个角色使用上限50个</t>
  </si>
  <si>
    <t>大师炖香肠</t>
  </si>
  <si>
    <t>大师可乐饼</t>
  </si>
  <si>
    <t>大师秘制煮豆</t>
  </si>
  <si>
    <t>大师切片章鱼</t>
  </si>
  <si>
    <t>大师石烧炖菜</t>
  </si>
  <si>
    <t>大师水果百汇</t>
  </si>
  <si>
    <t>大师樱桃派</t>
  </si>
  <si>
    <t>大师章鱼烧</t>
  </si>
  <si>
    <t>大师食品摊炒面</t>
  </si>
  <si>
    <t>鲅鱼</t>
  </si>
  <si>
    <t>肉质鲜美的小型鱼类，是做料理的好材料。</t>
  </si>
  <si>
    <t>item_431001</t>
  </si>
  <si>
    <t>鲈鱼</t>
  </si>
  <si>
    <t>栖息在浅海的名贵食用鱼，很受鱼商青睐。</t>
  </si>
  <si>
    <t>item_433004</t>
  </si>
  <si>
    <t>金枪鱼</t>
  </si>
  <si>
    <t>极品食用鱼之一，有海洋黄金之称。</t>
  </si>
  <si>
    <t>悬赏BOSS宝箱</t>
  </si>
  <si>
    <t>击败悬赏BOSS获得的宝箱，打开有几率获得蓝钻、黄金钥匙、勇者钥匙、宝石袋、勇者之石。</t>
  </si>
  <si>
    <t>item_452202</t>
  </si>
  <si>
    <t>采集到的完整药材，在制药屋进行分解可以获得制作药品的材料</t>
  </si>
  <si>
    <t>item_400001</t>
  </si>
  <si>
    <t>类型：草药分解</t>
  </si>
  <si>
    <t>item_400002</t>
  </si>
  <si>
    <t>item_400003</t>
  </si>
  <si>
    <t>item_400004</t>
  </si>
  <si>
    <t>item_400005</t>
  </si>
  <si>
    <t>绯色草药花</t>
  </si>
  <si>
    <t>item_400006</t>
  </si>
  <si>
    <t>航海远征加速卷</t>
  </si>
  <si>
    <t>快速完成航海远征任务</t>
  </si>
  <si>
    <t>item_491111</t>
  </si>
  <si>
    <t>mallshop|129</t>
  </si>
  <si>
    <t>从商城中购买|从蓝钻商城中获得</t>
  </si>
  <si>
    <t>一捆普通木料</t>
  </si>
  <si>
    <t>普通物料箱</t>
  </si>
  <si>
    <t>建造战船的原材料。在造船厂中提炼可以获得原木，概率获得硬木、木根、龙骨和合金。</t>
  </si>
  <si>
    <t>item_511000</t>
  </si>
  <si>
    <t>类型：物料收集</t>
  </si>
  <si>
    <t>普通量具</t>
  </si>
  <si>
    <t>用于制作战船零部件的普通材料。</t>
  </si>
  <si>
    <t>item_511001</t>
  </si>
  <si>
    <t>普通图纸</t>
  </si>
  <si>
    <t>item_511002</t>
  </si>
  <si>
    <t>普通铆钉</t>
  </si>
  <si>
    <t>item_511003</t>
  </si>
  <si>
    <t>普通木锤</t>
  </si>
  <si>
    <t>item_511004</t>
  </si>
  <si>
    <t>普通铁锤</t>
  </si>
  <si>
    <t>item_511005</t>
  </si>
  <si>
    <t>普通原木</t>
  </si>
  <si>
    <t>item_511006</t>
  </si>
  <si>
    <t>普通木条</t>
  </si>
  <si>
    <t>item_511007</t>
  </si>
  <si>
    <t>普通舰船甲板</t>
  </si>
  <si>
    <t>item_511008</t>
  </si>
  <si>
    <t>普通硬木</t>
  </si>
  <si>
    <t>item_511009</t>
  </si>
  <si>
    <t>普通木板</t>
  </si>
  <si>
    <t>item_511010</t>
  </si>
  <si>
    <t>普通高级甲板</t>
  </si>
  <si>
    <t>用于制作战船的普通零部件。</t>
  </si>
  <si>
    <t>item_511011</t>
  </si>
  <si>
    <t>普通精铁</t>
  </si>
  <si>
    <t>item_511012</t>
  </si>
  <si>
    <t>普通铁矿</t>
  </si>
  <si>
    <t>普通钢板</t>
  </si>
  <si>
    <t>item_511013</t>
  </si>
  <si>
    <t>普通舰船主炮</t>
  </si>
  <si>
    <t>item_511014</t>
  </si>
  <si>
    <t>普通合金</t>
  </si>
  <si>
    <t>item_511015</t>
  </si>
  <si>
    <t>普通铜矿</t>
  </si>
  <si>
    <t>普通铜板</t>
  </si>
  <si>
    <t>item_511016</t>
  </si>
  <si>
    <t>普通舰船炮台</t>
  </si>
  <si>
    <t>item_511017</t>
  </si>
  <si>
    <t>普通木根</t>
  </si>
  <si>
    <t>item_511018</t>
  </si>
  <si>
    <t>普通青色木材</t>
  </si>
  <si>
    <t>普通帆布</t>
  </si>
  <si>
    <t>item_511019</t>
  </si>
  <si>
    <t>普通布</t>
  </si>
  <si>
    <t>普通龙骨</t>
  </si>
  <si>
    <t>item_511020</t>
  </si>
  <si>
    <t>普通风帆</t>
  </si>
  <si>
    <t>item_511021</t>
  </si>
  <si>
    <t>普通桅柱</t>
  </si>
  <si>
    <t>item_511022</t>
  </si>
  <si>
    <t>普通舰船桅杆</t>
  </si>
  <si>
    <t>item_511023</t>
  </si>
  <si>
    <t>普通舰船舱室</t>
  </si>
  <si>
    <t>item_511024</t>
  </si>
  <si>
    <t>普通龙骨骨架</t>
  </si>
  <si>
    <t>item_511025</t>
  </si>
  <si>
    <t>一捆优质木料</t>
  </si>
  <si>
    <t>优质物料箱</t>
  </si>
  <si>
    <t>item_512000</t>
  </si>
  <si>
    <t>优质量具</t>
  </si>
  <si>
    <t>用于制作战船零部件的优质材料。</t>
  </si>
  <si>
    <t>item_512001</t>
  </si>
  <si>
    <t>优质图纸</t>
  </si>
  <si>
    <t>item_512002</t>
  </si>
  <si>
    <t>优质铆钉</t>
  </si>
  <si>
    <t>item_512003</t>
  </si>
  <si>
    <t>优质龙骨</t>
  </si>
  <si>
    <t>优质木锤</t>
  </si>
  <si>
    <t>item_512004</t>
  </si>
  <si>
    <t>优质铁锤</t>
  </si>
  <si>
    <t>item_512005</t>
  </si>
  <si>
    <t>优质原木</t>
  </si>
  <si>
    <t>item_512006</t>
  </si>
  <si>
    <t>优质木条</t>
  </si>
  <si>
    <t>item_512007</t>
  </si>
  <si>
    <t>优质舰船甲板</t>
  </si>
  <si>
    <t>item_512008</t>
  </si>
  <si>
    <t>优质硬木</t>
  </si>
  <si>
    <t>item_512009</t>
  </si>
  <si>
    <t>优质木板</t>
  </si>
  <si>
    <t>item_512010</t>
  </si>
  <si>
    <t>优质高级甲板</t>
  </si>
  <si>
    <t>用于制作战船的优质零部件。</t>
  </si>
  <si>
    <t>item_512011</t>
  </si>
  <si>
    <t>优质精铁</t>
  </si>
  <si>
    <t>item_512012</t>
  </si>
  <si>
    <t>优质铁矿</t>
  </si>
  <si>
    <t>优质钢板</t>
  </si>
  <si>
    <t>item_512013</t>
  </si>
  <si>
    <t>优质舰船主炮</t>
  </si>
  <si>
    <t>item_512014</t>
  </si>
  <si>
    <t>优质合金</t>
  </si>
  <si>
    <t>item_512015</t>
  </si>
  <si>
    <t>优质铜矿</t>
  </si>
  <si>
    <t>优质铜板</t>
  </si>
  <si>
    <t>item_512016</t>
  </si>
  <si>
    <t>优质舰船炮台</t>
  </si>
  <si>
    <t>item_512017</t>
  </si>
  <si>
    <t>优质木根</t>
  </si>
  <si>
    <t>item_512018</t>
  </si>
  <si>
    <t>优质青色木材</t>
  </si>
  <si>
    <t>优质帆布</t>
  </si>
  <si>
    <t>item_512019</t>
  </si>
  <si>
    <t>优质布</t>
  </si>
  <si>
    <t>item_512020</t>
  </si>
  <si>
    <t>优质风帆</t>
  </si>
  <si>
    <t>item_512021</t>
  </si>
  <si>
    <t>优质桅柱</t>
  </si>
  <si>
    <t>item_512022</t>
  </si>
  <si>
    <t>优质舰船桅杆</t>
  </si>
  <si>
    <t>item_512023</t>
  </si>
  <si>
    <t>优质舰船舱室</t>
  </si>
  <si>
    <t>item_512024</t>
  </si>
  <si>
    <t>优质龙骨骨架</t>
  </si>
  <si>
    <t>item_512025</t>
  </si>
  <si>
    <t>一捆稀有木料</t>
  </si>
  <si>
    <t>稀有物料箱</t>
  </si>
  <si>
    <t>item_513000</t>
  </si>
  <si>
    <t>稀有量具</t>
  </si>
  <si>
    <t>用于制作战船零部件的稀有材料。</t>
  </si>
  <si>
    <t>item_513001</t>
  </si>
  <si>
    <t>稀有图纸</t>
  </si>
  <si>
    <t>item_513002</t>
  </si>
  <si>
    <t>稀有铆钉</t>
  </si>
  <si>
    <t>item_513003</t>
  </si>
  <si>
    <t>稀有龙骨</t>
  </si>
  <si>
    <t>稀有木锤</t>
  </si>
  <si>
    <t>item_513004</t>
  </si>
  <si>
    <t>稀有铁锤</t>
  </si>
  <si>
    <t>item_513005</t>
  </si>
  <si>
    <t>稀有原木</t>
  </si>
  <si>
    <t>item_513006</t>
  </si>
  <si>
    <t>稀有木条</t>
  </si>
  <si>
    <t>item_513007</t>
  </si>
  <si>
    <t>稀有舰船甲板</t>
  </si>
  <si>
    <t>item_513008</t>
  </si>
  <si>
    <t>稀有硬木</t>
  </si>
  <si>
    <t>item_513009</t>
  </si>
  <si>
    <t>稀有木板</t>
  </si>
  <si>
    <t>item_513010</t>
  </si>
  <si>
    <t>稀有高级甲板</t>
  </si>
  <si>
    <t>用于制作战船的稀有零部件。</t>
  </si>
  <si>
    <t>item_513011</t>
  </si>
  <si>
    <t>稀有精铁</t>
  </si>
  <si>
    <t>item_513012</t>
  </si>
  <si>
    <t>稀有铁矿</t>
  </si>
  <si>
    <t>稀有钢板</t>
  </si>
  <si>
    <t>item_513013</t>
  </si>
  <si>
    <t>稀有舰船主炮</t>
  </si>
  <si>
    <t>item_513014</t>
  </si>
  <si>
    <t>稀有合金</t>
  </si>
  <si>
    <t>item_513015</t>
  </si>
  <si>
    <t>稀有铜矿</t>
  </si>
  <si>
    <t>稀有铜板</t>
  </si>
  <si>
    <t>item_513016</t>
  </si>
  <si>
    <t>稀有舰船炮台</t>
  </si>
  <si>
    <t>item_513017</t>
  </si>
  <si>
    <t>稀有木根</t>
  </si>
  <si>
    <t>item_513018</t>
  </si>
  <si>
    <t>稀有青色木材</t>
  </si>
  <si>
    <t>稀有帆布</t>
  </si>
  <si>
    <t>item_513019</t>
  </si>
  <si>
    <t>稀有布</t>
  </si>
  <si>
    <t>item_513020</t>
  </si>
  <si>
    <t>稀有风帆</t>
  </si>
  <si>
    <t>item_513021</t>
  </si>
  <si>
    <t>稀有桅柱</t>
  </si>
  <si>
    <t>item_513022</t>
  </si>
  <si>
    <t>稀有舰船桅杆</t>
  </si>
  <si>
    <t>item_513023</t>
  </si>
  <si>
    <t>稀有舰船舱室</t>
  </si>
  <si>
    <t>item_513024</t>
  </si>
  <si>
    <t>稀有龙骨骨架</t>
  </si>
  <si>
    <t>item_513025</t>
  </si>
  <si>
    <t>一捆贵重木料</t>
  </si>
  <si>
    <t>贵重物料箱</t>
  </si>
  <si>
    <t>item_514000</t>
  </si>
  <si>
    <t>贵重量具</t>
  </si>
  <si>
    <t>用于制作战船零部件的贵重材料。</t>
  </si>
  <si>
    <t>item_514001</t>
  </si>
  <si>
    <t>贵重图纸</t>
  </si>
  <si>
    <t>item_514002</t>
  </si>
  <si>
    <t>贵重铆钉</t>
  </si>
  <si>
    <t>item_514003</t>
  </si>
  <si>
    <t>贵重龙骨</t>
  </si>
  <si>
    <t>贵重木锤</t>
  </si>
  <si>
    <t>item_514004</t>
  </si>
  <si>
    <t>贵重铁锤</t>
  </si>
  <si>
    <t>item_514005</t>
  </si>
  <si>
    <t>贵重原木</t>
  </si>
  <si>
    <t>item_514006</t>
  </si>
  <si>
    <t>贵重木条</t>
  </si>
  <si>
    <t>item_514007</t>
  </si>
  <si>
    <t>贵重舰船甲板</t>
  </si>
  <si>
    <t>item_514008</t>
  </si>
  <si>
    <t>贵重硬木</t>
  </si>
  <si>
    <t>item_514009</t>
  </si>
  <si>
    <t>贵重木板</t>
  </si>
  <si>
    <t>item_514010</t>
  </si>
  <si>
    <t>贵重高级甲板</t>
  </si>
  <si>
    <t>用于制作战船的贵重零部件。</t>
  </si>
  <si>
    <t>item_514011</t>
  </si>
  <si>
    <t>贵重精铁</t>
  </si>
  <si>
    <t>item_514012</t>
  </si>
  <si>
    <t>贵重铁矿</t>
  </si>
  <si>
    <t>贵重钢板</t>
  </si>
  <si>
    <t>item_514013</t>
  </si>
  <si>
    <t>贵重舰船主炮</t>
  </si>
  <si>
    <t>item_514014</t>
  </si>
  <si>
    <t>贵重合金</t>
  </si>
  <si>
    <t>item_514015</t>
  </si>
  <si>
    <t>贵重铜矿</t>
  </si>
  <si>
    <t>贵重铜板</t>
  </si>
  <si>
    <t>item_514016</t>
  </si>
  <si>
    <t>贵重舰船炮台</t>
  </si>
  <si>
    <t>item_514017</t>
  </si>
  <si>
    <t>贵重木根</t>
  </si>
  <si>
    <t>item_514018</t>
  </si>
  <si>
    <t>贵重青色木材</t>
  </si>
  <si>
    <t>贵重帆布</t>
  </si>
  <si>
    <t>item_514019</t>
  </si>
  <si>
    <t>贵重布</t>
  </si>
  <si>
    <t>item_514020</t>
  </si>
  <si>
    <t>贵重风帆</t>
  </si>
  <si>
    <t>item_514021</t>
  </si>
  <si>
    <t>贵重桅柱</t>
  </si>
  <si>
    <t>item_514022</t>
  </si>
  <si>
    <t>贵重舰船桅杆</t>
  </si>
  <si>
    <t>item_514023</t>
  </si>
  <si>
    <t>贵重舰船舱室</t>
  </si>
  <si>
    <t>item_514024</t>
  </si>
  <si>
    <t>贵重龙骨骨架</t>
  </si>
  <si>
    <t>item_514025</t>
  </si>
  <si>
    <t>一捆豪华木料</t>
  </si>
  <si>
    <t>豪华物料箱</t>
  </si>
  <si>
    <t>item_515000</t>
  </si>
  <si>
    <t>豪华量具</t>
  </si>
  <si>
    <t>用于制作战船零部件的豪华材料。</t>
  </si>
  <si>
    <t>item_515001</t>
  </si>
  <si>
    <t>豪华图纸</t>
  </si>
  <si>
    <t>item_515002</t>
  </si>
  <si>
    <t>豪华铆钉</t>
  </si>
  <si>
    <t>item_515003</t>
  </si>
  <si>
    <t>豪华龙骨</t>
  </si>
  <si>
    <t>豪华木锤</t>
  </si>
  <si>
    <t>item_515004</t>
  </si>
  <si>
    <t>豪华铁锤</t>
  </si>
  <si>
    <t>item_515005</t>
  </si>
  <si>
    <t>豪华原木</t>
  </si>
  <si>
    <t>item_515006</t>
  </si>
  <si>
    <t>豪华木条</t>
  </si>
  <si>
    <t>item_515007</t>
  </si>
  <si>
    <t>豪华舰船甲板</t>
  </si>
  <si>
    <t>item_515008</t>
  </si>
  <si>
    <t>豪华硬木</t>
  </si>
  <si>
    <t>item_515009</t>
  </si>
  <si>
    <t>豪华木板</t>
  </si>
  <si>
    <t>item_515010</t>
  </si>
  <si>
    <t>豪华高级甲板</t>
  </si>
  <si>
    <t>用于制作战船的豪华零部件。</t>
  </si>
  <si>
    <t>item_515011</t>
  </si>
  <si>
    <t>豪华精铁</t>
  </si>
  <si>
    <t>item_515012</t>
  </si>
  <si>
    <t>豪华铁矿</t>
  </si>
  <si>
    <t>豪华钢板</t>
  </si>
  <si>
    <t>item_515013</t>
  </si>
  <si>
    <t>豪华舰船主炮</t>
  </si>
  <si>
    <t>item_515014</t>
  </si>
  <si>
    <t>豪华合金</t>
  </si>
  <si>
    <t>item_515015</t>
  </si>
  <si>
    <t>豪华铜矿</t>
  </si>
  <si>
    <t>豪华铜板</t>
  </si>
  <si>
    <t>item_515016</t>
  </si>
  <si>
    <t>豪华舰船炮台</t>
  </si>
  <si>
    <t>item_515017</t>
  </si>
  <si>
    <t>豪华木根</t>
  </si>
  <si>
    <t>item_515018</t>
  </si>
  <si>
    <t>豪华青色木材</t>
  </si>
  <si>
    <t>豪华帆布</t>
  </si>
  <si>
    <t>item_515019</t>
  </si>
  <si>
    <t>豪华布</t>
  </si>
  <si>
    <t>item_515020</t>
  </si>
  <si>
    <t>豪华风帆</t>
  </si>
  <si>
    <t>item_515021</t>
  </si>
  <si>
    <t>豪华桅柱</t>
  </si>
  <si>
    <t>item_515022</t>
  </si>
  <si>
    <t>豪华舰船桅杆</t>
  </si>
  <si>
    <t>item_515023</t>
  </si>
  <si>
    <t>豪华舰船舱室</t>
  </si>
  <si>
    <t>item_515024</t>
  </si>
  <si>
    <t>豪华龙骨骨架</t>
  </si>
  <si>
    <t>item_515025</t>
  </si>
  <si>
    <t>普通沉船货物</t>
  </si>
  <si>
    <t>用于战船的改造。</t>
  </si>
  <si>
    <t>item_511026</t>
  </si>
  <si>
    <t>普通海兽兽骨</t>
  </si>
  <si>
    <t>item_511027</t>
  </si>
  <si>
    <t>普通皮革</t>
  </si>
  <si>
    <t>item_511028</t>
  </si>
  <si>
    <t>普通珊瑚</t>
  </si>
  <si>
    <t>item_511029</t>
  </si>
  <si>
    <t>普通珍奇矿石</t>
  </si>
  <si>
    <t>item_511030</t>
  </si>
  <si>
    <t>优质沉船货物</t>
  </si>
  <si>
    <t>item_512026</t>
  </si>
  <si>
    <t>优质海兽兽骨</t>
  </si>
  <si>
    <t>item_512027</t>
  </si>
  <si>
    <t>优质皮革</t>
  </si>
  <si>
    <t>item_512028</t>
  </si>
  <si>
    <t>优质珊瑚</t>
  </si>
  <si>
    <t>item_512029</t>
  </si>
  <si>
    <t>优质珍奇矿石</t>
  </si>
  <si>
    <t>item_512030</t>
  </si>
  <si>
    <t>稀有沉船货物</t>
  </si>
  <si>
    <t>item_513026</t>
  </si>
  <si>
    <t>稀有海兽兽骨</t>
  </si>
  <si>
    <t>item_513027</t>
  </si>
  <si>
    <t>稀有皮革</t>
  </si>
  <si>
    <t>item_513028</t>
  </si>
  <si>
    <t>稀有珊瑚</t>
  </si>
  <si>
    <t>item_513029</t>
  </si>
  <si>
    <t>稀有珍奇矿石</t>
  </si>
  <si>
    <t>item_513030</t>
  </si>
  <si>
    <t>贵重沉船货物</t>
  </si>
  <si>
    <t>item_514026</t>
  </si>
  <si>
    <t>贵重海兽兽骨</t>
  </si>
  <si>
    <t>item_514027</t>
  </si>
  <si>
    <t>贵重皮革</t>
  </si>
  <si>
    <t>item_514028</t>
  </si>
  <si>
    <t>贵重珊瑚</t>
  </si>
  <si>
    <t>item_514029</t>
  </si>
  <si>
    <t>贵重珍奇矿石</t>
  </si>
  <si>
    <t>item_514030</t>
  </si>
  <si>
    <t>豪华沉船货物</t>
  </si>
  <si>
    <t>item_515026</t>
  </si>
  <si>
    <t>豪华海兽兽骨</t>
  </si>
  <si>
    <t>item_515027</t>
  </si>
  <si>
    <t>豪华皮革</t>
  </si>
  <si>
    <t>item_515028</t>
  </si>
  <si>
    <t>豪华珊瑚</t>
  </si>
  <si>
    <t>item_515029</t>
  </si>
  <si>
    <t>豪华珍奇矿石</t>
  </si>
  <si>
    <t>item_515030</t>
  </si>
  <si>
    <t>改造重置书</t>
  </si>
  <si>
    <t>用于重置战船的改造点数。</t>
  </si>
  <si>
    <t>item_514031</t>
  </si>
  <si>
    <t>洗练石</t>
  </si>
  <si>
    <t>战船洗练石</t>
  </si>
  <si>
    <t>用于洗练战船技能。</t>
  </si>
  <si>
    <t>item_514032</t>
  </si>
  <si>
    <t>时间沙漏(紫色)</t>
  </si>
  <si>
    <t>时间沙漏</t>
  </si>
  <si>
    <t>用于减少航海贸易中的时间。</t>
  </si>
  <si>
    <t>item_524001</t>
  </si>
  <si>
    <t>时间沙漏(橙色)</t>
  </si>
  <si>
    <t>item_525001</t>
  </si>
  <si>
    <t>测试刀锋草</t>
  </si>
  <si>
    <t>测试迷雾花</t>
  </si>
  <si>
    <t>测试彼岸花</t>
  </si>
  <si>
    <t>测试水晶花</t>
  </si>
  <si>
    <t>测试摩罗花</t>
  </si>
  <si>
    <t>测试赤炎花</t>
  </si>
  <si>
    <t>彩蛋</t>
  </si>
  <si>
    <t>感恩节彩蛋</t>
  </si>
  <si>
    <t>玩具兔</t>
  </si>
  <si>
    <t>瓦尔波的玩具常年随身携带，可用于兑换道具</t>
  </si>
  <si>
    <t>item_212013</t>
  </si>
  <si>
    <t>2019/4/30-23:59:59</t>
  </si>
  <si>
    <t>发音盒</t>
  </si>
  <si>
    <t>上弦后可播放美妙动听的音乐，可用于兑换道具</t>
  </si>
  <si>
    <t>item_213013</t>
  </si>
  <si>
    <t>幸运抽奖券</t>
  </si>
  <si>
    <t>用于在幸运转盘活动中抽奖，建议在幸运转盘活动开启期间购买</t>
  </si>
  <si>
    <t>item_xingyun</t>
  </si>
  <si>
    <t>抽奖卷</t>
  </si>
  <si>
    <t>幸运兑换币</t>
  </si>
  <si>
    <t>幸运兑换币可以在幸运兑换商店中进行道具兑换</t>
  </si>
  <si>
    <t>item_xingyunbi</t>
  </si>
  <si>
    <t>火柴</t>
  </si>
  <si>
    <t>用于燃放烟花。</t>
  </si>
  <si>
    <t>item_511122</t>
  </si>
  <si>
    <t>打火机</t>
  </si>
  <si>
    <t>用于燃放高级烟花。</t>
  </si>
  <si>
    <t>item_511123</t>
  </si>
  <si>
    <t>雪花</t>
  </si>
  <si>
    <t>冬天里最纯洁的雪花，可用于兑换特殊道具。</t>
  </si>
  <si>
    <t>item_49</t>
  </si>
  <si>
    <t>航海指针</t>
  </si>
  <si>
    <t>指引极限挑战的前进线路，可用于重置极限挑战</t>
  </si>
  <si>
    <t>item_lxzz</t>
  </si>
  <si>
    <t>幸运卡牌</t>
  </si>
  <si>
    <t>一张富有神奇魔力的卡牌，可以翻出心仪的道具</t>
  </si>
  <si>
    <t>item_xyp</t>
  </si>
  <si>
    <t>普通工具箱</t>
  </si>
  <si>
    <t>装满修理工具的箱子，可用来修缮公会建筑</t>
  </si>
  <si>
    <t>item_gjx1</t>
  </si>
  <si>
    <t>高级工具箱</t>
  </si>
  <si>
    <t>item_gjx2</t>
  </si>
  <si>
    <t>初级装备券</t>
  </si>
  <si>
    <t>使用初级装备券可以在装备工坊中抽取60级装备</t>
  </si>
  <si>
    <t>item_511129</t>
  </si>
  <si>
    <t>中级装备券</t>
  </si>
  <si>
    <t>使用中级装备券可以在装备工坊中抽取80级装备</t>
  </si>
  <si>
    <t>item_511130</t>
  </si>
  <si>
    <t>红气球</t>
  </si>
  <si>
    <t>红色的气球，可用于兑换特殊道具。</t>
  </si>
  <si>
    <t>item_58</t>
  </si>
  <si>
    <t>彩气球</t>
  </si>
  <si>
    <t>一簇彩色气球，可用于兑换特殊道具。</t>
  </si>
  <si>
    <t>item_57</t>
  </si>
  <si>
    <t>海岛争霸币</t>
  </si>
  <si>
    <t>争霸币</t>
  </si>
  <si>
    <t>争霸币可以在海岛争霸兑换商店中进行道具兑换</t>
  </si>
  <si>
    <t>UI_item_chessmoney</t>
  </si>
  <si>
    <t>装备兑换</t>
  </si>
  <si>
    <t>高级装备兑换袋</t>
  </si>
  <si>
    <t>用于兑换装备。</t>
  </si>
  <si>
    <t>small_bag_60</t>
  </si>
  <si>
    <t>豪华装备兑换袋</t>
  </si>
  <si>
    <t>small_bag_80</t>
  </si>
  <si>
    <t>装备兑换袋宝箱</t>
  </si>
  <si>
    <t>打开后随机获得一种装备兑换袋，有概率获得豪华装备兑换袋。</t>
  </si>
  <si>
    <t>图纸兑换</t>
  </si>
  <si>
    <t>晶莹珍珠</t>
  </si>
  <si>
    <t>用于兑换阵法图纸。</t>
  </si>
  <si>
    <t>船兑换</t>
  </si>
  <si>
    <t>极品战船兑换袋</t>
  </si>
  <si>
    <t>集齐一定数量可以兑换战船。</t>
  </si>
  <si>
    <t>冰块</t>
  </si>
  <si>
    <t>夏日令人清爽解暑用品，可用于兑换特殊道具。</t>
  </si>
  <si>
    <t>item_60</t>
  </si>
  <si>
    <t>风筝</t>
  </si>
  <si>
    <t>随风飞舞的小风筝，可用于兑换特殊道具。</t>
  </si>
  <si>
    <t>item_61</t>
  </si>
  <si>
    <t>毽子</t>
  </si>
  <si>
    <t>小时候常伴左右的玩具，可用于兑换特殊道具。</t>
  </si>
  <si>
    <t>item_62</t>
  </si>
  <si>
    <t>小扇子</t>
  </si>
  <si>
    <t>一把小扇子，可用于兑换特殊道具。</t>
  </si>
  <si>
    <t>item_63</t>
  </si>
  <si>
    <t>夏日礼盒</t>
  </si>
  <si>
    <t>打开后随机获得一个道具。</t>
  </si>
  <si>
    <t>遮阳伞</t>
  </si>
  <si>
    <t>打捞网</t>
  </si>
  <si>
    <t>在藏宝海域进行高级打捞宝藏的道具，使用后不会增加普通打捞的消耗。</t>
  </si>
  <si>
    <t>解锁自走棋地图2</t>
  </si>
  <si>
    <t>海岛争霸岛屿卷</t>
  </si>
  <si>
    <t>解锁海岛争霸地图</t>
  </si>
  <si>
    <t>解锁自走棋地图3</t>
  </si>
  <si>
    <t>解锁自走棋地图4</t>
  </si>
  <si>
    <t>解锁自走棋地图5</t>
  </si>
  <si>
    <t>解锁自走棋地图6</t>
  </si>
  <si>
    <t>测试用多选宝箱</t>
  </si>
  <si>
    <t>多选宝箱</t>
  </si>
  <si>
    <t>2:1001,511129,5;1001,511130,1;1001,511131,1;1001,511132,1</t>
  </si>
  <si>
    <t>多选大宝箱</t>
  </si>
  <si>
    <t>2:1001,212113,5;1001,215111,5;1001,250032,10;1001,250050,5;1001,250127,10;1001,411011,5;1001,491002,5;1001,261116,2;1001,1100304,1;1001,700005,1;1001,712005,5;</t>
  </si>
  <si>
    <t>周年庆钱袋</t>
  </si>
  <si>
    <t>【航海王：燃烧意志】周年庆典钱袋，使用有概率获得周年金币、周年银币。</t>
  </si>
  <si>
    <t>item_znqdz</t>
  </si>
  <si>
    <t>周年狂欢福袋</t>
  </si>
  <si>
    <t>周年狂欢季特殊道具，可以兑换神秘道具</t>
  </si>
  <si>
    <t>周年狂欢锦囊</t>
  </si>
  <si>
    <t>large_bag_60</t>
  </si>
  <si>
    <t>黄猿战利品·首通</t>
  </si>
  <si>
    <t>路飞战利品钱袋【首通】</t>
  </si>
  <si>
    <t>黄猿战利品</t>
  </si>
  <si>
    <t>路飞战利品钱袋</t>
  </si>
  <si>
    <t>青雉战利品·首通</t>
  </si>
  <si>
    <t>item_znqdz_2</t>
  </si>
  <si>
    <t>女帝战利品钱袋【首通】</t>
  </si>
  <si>
    <t>青雉战利品</t>
  </si>
  <si>
    <t>女帝战利品钱袋</t>
  </si>
  <si>
    <t>赤犬战利品·首通</t>
  </si>
  <si>
    <t>item_znqdz_3</t>
  </si>
  <si>
    <t>白胡子战利品钱袋【首通】</t>
  </si>
  <si>
    <t>赤犬战利品</t>
  </si>
  <si>
    <t>白胡子战利品钱袋</t>
  </si>
  <si>
    <t>SSR任选箱</t>
  </si>
  <si>
    <t>角色·周年任选箱</t>
  </si>
  <si>
    <t>【角色】周年任选宝箱，使用后可任意选择获得一个SSR角色</t>
  </si>
  <si>
    <t>1:1001,630005,50;1001,630012,50;1001,630016,50;1001,630017,50;1001,620028,50;1001,630013,50;1001,630015,50;1001,630014,50;1001,630018,50;1001,630019,50</t>
  </si>
  <si>
    <t>时装任选箱</t>
  </si>
  <si>
    <t>时装·周年任选箱</t>
  </si>
  <si>
    <t>【时装】周年任选宝箱，使用后可任意选择获得一个角色时装</t>
  </si>
  <si>
    <t>1:1001,713022,1;1001,713016,1;1001,713021,1;1001,713015,1;1001,713019,1;1001,713024,1;1001,713014,1</t>
  </si>
  <si>
    <t>周年庆银币袋</t>
  </si>
  <si>
    <t>【航海王：燃烧意志】周年庆银币袋，使用获得20枚周年银币</t>
  </si>
  <si>
    <t>宝石任选箱</t>
  </si>
  <si>
    <t>宝石·周年任选箱</t>
  </si>
  <si>
    <t>【宝石】周年任选宝箱，使用后可任意选择获得一个五级宝石</t>
  </si>
  <si>
    <t>item_250139</t>
  </si>
  <si>
    <t>1:1001,1100105,1;1001,1100205,1;1001,1100305,1;1001,1100405,1;1001,1101005,1;1001,1100705,1;1001,1100805,1;1001,1100905,1;1001,1100505,1;1001,1100605,1;1001,1102205,1;1001,1102305,1</t>
  </si>
  <si>
    <t>限定SSR任选箱</t>
  </si>
  <si>
    <t>使用后可任意选择一个限定SSR角色。（可选限定角色截止到比斯塔）</t>
  </si>
  <si>
    <t>1:1001,620028,50;1001,630005,50;1001,630011,50;1001,630012,50;1001,630013,50;1001,630014,50;1001,630015,50;1001,630016,50;1001,630017,50;1001,630018,50;1001,630019,50;1001,630020,50;1001,630021,50;1001,630022,50;1001,630023,50</t>
  </si>
  <si>
    <t>中秋佳节共享美食，使用后会获得神秘道具。</t>
  </si>
  <si>
    <t>中秋节礼包</t>
  </si>
  <si>
    <t>汉库珂</t>
  </si>
  <si>
    <t>汉库珂角色箱</t>
  </si>
  <si>
    <t>打开后获得50个汉库珂碎片。</t>
  </si>
  <si>
    <t>1001,630013,50</t>
  </si>
  <si>
    <t>麦哲伦</t>
  </si>
  <si>
    <t>麦哲伦角色箱</t>
  </si>
  <si>
    <t>打开后获得50个麦哲伦碎片。</t>
  </si>
  <si>
    <t>1001,630018,50</t>
  </si>
  <si>
    <t>伊娃科夫</t>
  </si>
  <si>
    <t>伊娃科夫角色箱</t>
  </si>
  <si>
    <t>打开后获得50个伊娃科夫碎片。</t>
  </si>
  <si>
    <t>1001,630019,50</t>
  </si>
  <si>
    <t>6级宝石任选箱</t>
  </si>
  <si>
    <t>使用后可任意选择一个6级宝石。</t>
  </si>
  <si>
    <t>1:1001,1100106,1;1001,1100206,1;1001,1100306,1;1001,1100406,1;1001,1100506,1;1001,1100606,1;1001,1100706,1;1001,1100806,1;1001,1100906,1;1001,1101006,1;1001,1102206,1;1001,1102306,1;1001,1102406,1</t>
  </si>
  <si>
    <t>7级宝石任选箱</t>
  </si>
  <si>
    <t>使用后可任意选择一个7级宝石。</t>
  </si>
  <si>
    <t>1:1001,1100107,1;1001,1100207,1;1001,1100307,1;1001,1100407,1;1001,1100507,1;1001,1100607,1;1001,1100707,1;1001,1100807,1;1001,1100907,1;1001,1101007,1;1001,1102207,1;1001,1102307,1;1001,1102407,1</t>
  </si>
  <si>
    <t>8级宝石任选箱</t>
  </si>
  <si>
    <t>使用后可任意选择一个8级宝石。</t>
  </si>
  <si>
    <t>1:1001,1100108,1;1001,1100208,1;1001,1100308,1;1001,1100408,1;1001,1100508,1;1001,1100608,1;1001,1100708,1;1001,1100808,1;1001,1100908,1;1001,1101008,1;1001,1102208,1;1001,1102308,1;1001,1102408,1</t>
  </si>
  <si>
    <t>限定SR任选箱</t>
  </si>
  <si>
    <t>可从限定SR角色（罗宾、双手指、阿布萨罗姆、豪格巴克、佩罗娜、龙马、贝宝）任意选择一个。</t>
  </si>
  <si>
    <t>1:1001,620007,30;1001,620016,30;1001,620023,30;1001,620024,30;1001,620025,30;1001,620026,30;1001,620027,30</t>
  </si>
  <si>
    <t>通行证经验书</t>
  </si>
  <si>
    <t>使用后可增加50点航海通行证经验。（道具过期后将无法再使用）</t>
  </si>
  <si>
    <t>使用后随机获得一个高品质道具。</t>
  </si>
  <si>
    <t>使用后随机获得一个道具。</t>
  </si>
  <si>
    <t>可从阿布萨罗姆、豪格巴克、佩罗娜、龙马中任意选择一个限定SR角色</t>
  </si>
  <si>
    <t>1:1001,620023,30;1001,620024,30;1001,620025,30;1001,620026,30</t>
  </si>
  <si>
    <t>万圣节宝石袋</t>
  </si>
  <si>
    <t>使用后获得两颗高档宝石（5级~7级）。</t>
  </si>
  <si>
    <t>4级随机宝石袋</t>
  </si>
  <si>
    <t>使用后随机获得一颗4级宝石。</t>
  </si>
  <si>
    <t>女帝宝箱</t>
  </si>
  <si>
    <t>使用后获得汉库珂碎片*50。</t>
  </si>
  <si>
    <t>基德宝箱</t>
  </si>
  <si>
    <t>使用后获得基德碎片*50。</t>
  </si>
  <si>
    <t>1001,630015,50</t>
  </si>
  <si>
    <t>使用后获得100级未鉴定的英雄·提督长鞭</t>
  </si>
  <si>
    <t>使用后获得100级未鉴定的英雄·提督长袍</t>
  </si>
  <si>
    <t>使用后获得100级未鉴定的英雄·提督戒指</t>
  </si>
  <si>
    <t>使用后获得100级未鉴定的英雄·提督项链</t>
  </si>
  <si>
    <t>英雄·警卫长枪</t>
  </si>
  <si>
    <t>使用后获得80级未鉴定的英雄·警卫长枪</t>
  </si>
  <si>
    <t>tzjw_8001</t>
  </si>
  <si>
    <t>英雄·警卫制服</t>
  </si>
  <si>
    <t>使用后获得80级未鉴定的英雄·警卫制服</t>
  </si>
  <si>
    <t>tzjw_8002</t>
  </si>
  <si>
    <t>英雄·警卫戒指</t>
  </si>
  <si>
    <t>使用后获得80级未鉴定的英雄·警卫戒指</t>
  </si>
  <si>
    <t>tzjw_8003</t>
  </si>
  <si>
    <t>英雄·警卫项链</t>
  </si>
  <si>
    <t>使用后获得80级未鉴定的英雄·警卫项链</t>
  </si>
  <si>
    <t>tzjw_8004</t>
  </si>
  <si>
    <t>使用后获得神秘奖励。</t>
  </si>
  <si>
    <t>大雪人</t>
  </si>
  <si>
    <t>item_70</t>
  </si>
  <si>
    <t>姜饼人</t>
  </si>
  <si>
    <t>item_68</t>
  </si>
  <si>
    <t>普通金币红包</t>
  </si>
  <si>
    <t>可在公会聊天频道发送一个包含金币的红包，发送后获得公会贡献。</t>
  </si>
  <si>
    <t>item_511191</t>
  </si>
  <si>
    <t>普通钻石红包</t>
  </si>
  <si>
    <t>可在公会聊天频道发送一个包含蓝钻的红包，发送后获得公会贡献。</t>
  </si>
  <si>
    <t>item_511192</t>
  </si>
  <si>
    <t>彩钻钻石红包</t>
  </si>
  <si>
    <t>高级钻石红包</t>
  </si>
  <si>
    <t>可在公会聊天频道发送一个包含蓝钻的红包，消耗彩钻，发送后获得公会贡献。</t>
  </si>
  <si>
    <t>item_511193</t>
  </si>
  <si>
    <t>烹饪中需要的材料之一，可加速年夜饭的做菜时间10分钟。</t>
  </si>
  <si>
    <t>烹饪中需要的材料之一，可加速年夜饭的做菜时间1小时。</t>
  </si>
  <si>
    <t>烹饪中需要的材料之一，可加速年夜饭的做菜时间30分钟。</t>
  </si>
  <si>
    <t>item_465004</t>
  </si>
  <si>
    <t>鹿角头饰</t>
  </si>
  <si>
    <t>圣诞节神秘的鹿角头饰，可以用于兑换神秘道具。</t>
  </si>
  <si>
    <t>item_65</t>
  </si>
  <si>
    <t>鹿角</t>
  </si>
  <si>
    <t>圣诞帽</t>
  </si>
  <si>
    <t>圣诞节必备的圣诞帽，可以用于兑换神秘道具。</t>
  </si>
  <si>
    <t>item_67</t>
  </si>
  <si>
    <t>时装自选宝箱</t>
  </si>
  <si>
    <t>圣诞节庆典宝箱，多种时装任意选择。</t>
  </si>
  <si>
    <t>1:1001,713013,1;1001,713014,1;1001,713015,1;1001,713016,1;1001,713018,1;1001,713019,1;1001,713020,1;1001,713021,1;1001,713022,1;1001,713023,1;1001,713024,1;1001,713025,1;1001,713026,1;1001,713027,1;1001,713028,1;</t>
  </si>
  <si>
    <t>渔业兑换1</t>
  </si>
  <si>
    <t>海神结晶</t>
  </si>
  <si>
    <t>渔业兑换2</t>
  </si>
  <si>
    <t>鱼获贩卖2</t>
  </si>
  <si>
    <t>渔业兑换3</t>
  </si>
  <si>
    <t>鱼获贩卖3</t>
  </si>
  <si>
    <t>5级随机宝石袋</t>
  </si>
  <si>
    <t>使用后随机获得一颗5级宝石。</t>
  </si>
  <si>
    <t>体力药剂</t>
  </si>
  <si>
    <t>大航海体力药剂，使用后恢复300点大航海体力</t>
  </si>
  <si>
    <t>一袋航海币</t>
  </si>
  <si>
    <t>一小袋鼓鼓的航海币，开启后可获得50航海币。</t>
  </si>
  <si>
    <t>特别的果实</t>
  </si>
  <si>
    <t>只有收藏价值的特别果实，采集后用于交付任务。</t>
  </si>
  <si>
    <t>珍贵的野草</t>
  </si>
  <si>
    <t>用途不明的珍贵野草，采集后用于交付任务。</t>
  </si>
  <si>
    <t>大包</t>
  </si>
  <si>
    <t>粗心的居民丢失的大包，采集后用于交付任务。</t>
  </si>
  <si>
    <t>稀有形状的珊瑚</t>
  </si>
  <si>
    <t>可以用来制作艺术品的珊瑚，采集后用于交付任务。</t>
  </si>
  <si>
    <t>海之森地图</t>
  </si>
  <si>
    <t>路痴的最佳助手，采集后用于交付任务。</t>
  </si>
  <si>
    <t>船匠的备忘录</t>
  </si>
  <si>
    <t>记载着船匠心得的备忘录，采集后用于交付任务。</t>
  </si>
  <si>
    <t>旧抹布</t>
  </si>
  <si>
    <t>使用了很久的抹布，采集后用于交付任务。</t>
  </si>
  <si>
    <t>大鱼</t>
  </si>
  <si>
    <t>肉质鲜美的食材，采集后用于交付任务。</t>
  </si>
  <si>
    <t>特甜砂糖</t>
  </si>
  <si>
    <t>用来制作点心的砂糖，采集后用于交付任务。</t>
  </si>
  <si>
    <t>银色戒指</t>
  </si>
  <si>
    <t>做工精致的戒指，采集后用于交付任务。</t>
  </si>
  <si>
    <t>高级装备券</t>
  </si>
  <si>
    <t>使用高级装备券可以在装备工坊中抽取100级装备</t>
  </si>
  <si>
    <t>item_511203</t>
  </si>
  <si>
    <t>大珍珠</t>
  </si>
  <si>
    <t>见证爱情的美丽珍珠。</t>
  </si>
  <si>
    <t>辟邪的珊瑚</t>
  </si>
  <si>
    <t>辟邪的珊瑚，效果令人怀疑。</t>
  </si>
  <si>
    <t>危险的木桶</t>
  </si>
  <si>
    <t>危险的木桶，要小心搬运。</t>
  </si>
  <si>
    <t>宝物笔记</t>
  </si>
  <si>
    <t>宝物笔记，记载了许多宝物效果的百科全书。</t>
  </si>
  <si>
    <t>美味的点心</t>
  </si>
  <si>
    <t>被偷走的美味点心，不可以偷吃喔。</t>
  </si>
  <si>
    <t>新</t>
  </si>
  <si>
    <t>新年神秘道具，可用来兑换道具</t>
  </si>
  <si>
    <t>item_40</t>
  </si>
  <si>
    <t>年</t>
  </si>
  <si>
    <t>item_39</t>
  </si>
  <si>
    <t>1级宝石随机</t>
  </si>
  <si>
    <t>随机宝石袋</t>
  </si>
  <si>
    <t>打开后随机获得一个1级宝石。</t>
  </si>
  <si>
    <t>2级宝石随机</t>
  </si>
  <si>
    <t>打开后随机获得一个2级宝石。</t>
  </si>
  <si>
    <t>3级宝石随机</t>
  </si>
  <si>
    <t>打开后随机获得一个3级宝石。</t>
  </si>
  <si>
    <t>4级宝石随机</t>
  </si>
  <si>
    <t>打开后随机获得一个4级宝石。</t>
  </si>
  <si>
    <t>5级宝石随机</t>
  </si>
  <si>
    <t>打开后随机获得一个5级宝石。</t>
  </si>
  <si>
    <t>6级宝石随机</t>
  </si>
  <si>
    <t>打开后随机获得一个6级宝石。</t>
  </si>
  <si>
    <t>7级宝石随机</t>
  </si>
  <si>
    <t>打开后随机获得一个7级宝石。</t>
  </si>
  <si>
    <t>8级宝石随机</t>
  </si>
  <si>
    <t>打开后随机获得一个8级宝石。</t>
  </si>
  <si>
    <t>9级宝石随机</t>
  </si>
  <si>
    <t>打开后随机获得一个9级宝石。</t>
  </si>
  <si>
    <t>10级宝石随机</t>
  </si>
  <si>
    <t>打开后随机获得一个10级宝石。</t>
  </si>
  <si>
    <t>时装精选宝箱</t>
  </si>
  <si>
    <t>使用后可任意从紫色旗袍(汉库珂)、唐装(新世界佐罗)、唐装(新世界奈美)任选一件时装。</t>
  </si>
  <si>
    <t>1:1001,713017,1;1001,713033,1;1001,713034,1</t>
  </si>
  <si>
    <t>玫瑰花束</t>
  </si>
  <si>
    <t>代表真挚的爱意送给最爱的人，使用后有概率获得高级道具。</t>
  </si>
  <si>
    <t>item_42</t>
  </si>
  <si>
    <t>红玫瑰</t>
  </si>
  <si>
    <t>时装任选宝箱</t>
  </si>
  <si>
    <t>情人节庆典宝箱，多种时装任意选择。</t>
  </si>
  <si>
    <t>100鱼人岛声望装备箱</t>
  </si>
  <si>
    <t>提督宝箱</t>
  </si>
  <si>
    <t>打开后获得一件英雄·提督武器，一件英雄·提督项链。</t>
  </si>
  <si>
    <t>水雷</t>
  </si>
  <si>
    <t>用于开启海兽围捕活动。</t>
  </si>
  <si>
    <t>item_511236</t>
  </si>
  <si>
    <t>雪域之度地图</t>
  </si>
  <si>
    <t>使用后可激活海岛争霸雪域之度场景。</t>
  </si>
  <si>
    <t>item_511237</t>
  </si>
  <si>
    <t>感恩之心</t>
  </si>
  <si>
    <t>item_45</t>
  </si>
  <si>
    <t>战船改造大礼包</t>
  </si>
  <si>
    <t>战船礼包</t>
  </si>
  <si>
    <t>打开后可以从幽灵船和极地潜水号中选择一艘战船。</t>
  </si>
  <si>
    <t>1:1001,122018,1;1001,122019,1</t>
  </si>
  <si>
    <t>花束</t>
  </si>
  <si>
    <t>SR任选礼包</t>
  </si>
  <si>
    <t>可以从龙马、佩罗娜、豪格巴克、阿布萨罗姆、贝宝和Ms.双手指中任意选择一名角色。</t>
  </si>
  <si>
    <t>1:1001,620026,30;1001,620025,30;1001,620024,30;1001,620023,30;1001,620027,30;1001,620016,30</t>
  </si>
  <si>
    <t>阵法任选礼包</t>
  </si>
  <si>
    <t>可以从极护之阵、冥想之阵、虚无之阵、急速之阵、激进之阵和专注之阵中任意选择一张阵法图纸。</t>
  </si>
  <si>
    <t>1:1001,233019,1;1001,233035,1;1001,233025,1;1001,233036,1;1001,233034,1;1001,233033,1</t>
  </si>
  <si>
    <t>战船任选礼包</t>
  </si>
  <si>
    <t>可以从风·格拉玛号、雷德·佛斯号、九蛇海盗船、幽灵船和黑桃海盗船中任意选择一艘战船。</t>
  </si>
  <si>
    <t>1:1001,122015,1;1001,122013,1;1001,122012,1;1001,122020,1;1001,122019,1</t>
  </si>
  <si>
    <t>新世界时装礼包</t>
  </si>
  <si>
    <t>任意选择一件新世界草帽海盗团的时装（不包含新世界罗宾泳装、新世界路飞-皇者披风时装）。</t>
  </si>
  <si>
    <t>1:1001,713030,1;1001,713031,1;1001,713032,1;1001,713033,1;1001,713034,1;1001,713035,1;1001,713036,1;1001,713037,1;1001,713038,1;1001,713039,1;1001,713045,1;1001,713042,1</t>
  </si>
  <si>
    <t>初级工具箱</t>
  </si>
  <si>
    <t>使用后可使建筑加速建造5分钟</t>
  </si>
  <si>
    <t>item_JYJS1</t>
  </si>
  <si>
    <t>家园加速券1</t>
  </si>
  <si>
    <t>中级工具箱</t>
  </si>
  <si>
    <t>使用后可使建筑加速建造30分钟</t>
  </si>
  <si>
    <t>item_JYJS2</t>
  </si>
  <si>
    <t>家园加速券2</t>
  </si>
  <si>
    <t>使用后可使建筑加速建造2小时</t>
  </si>
  <si>
    <t>item_JYJS3</t>
  </si>
  <si>
    <t>家园加速券3</t>
  </si>
  <si>
    <t>顶级工具箱</t>
  </si>
  <si>
    <t>使用后可使建筑加速建造6小时</t>
  </si>
  <si>
    <t>item_JYJS4</t>
  </si>
  <si>
    <t>家园加速券4</t>
  </si>
  <si>
    <t>100级别套装箱</t>
  </si>
  <si>
    <t>100级精选套装箱</t>
  </si>
  <si>
    <t>打开可获得一件100级英雄套装</t>
  </si>
  <si>
    <t>80级别套装箱</t>
  </si>
  <si>
    <t>80级精选套装箱</t>
  </si>
  <si>
    <t>打开可获得一件80级英雄套装</t>
  </si>
  <si>
    <t>60级别套装箱</t>
  </si>
  <si>
    <t>60级精选套装箱</t>
  </si>
  <si>
    <t>打开可获得一件60级英雄套装</t>
  </si>
  <si>
    <t>40级别套装箱</t>
  </si>
  <si>
    <t>40级精选套装箱</t>
  </si>
  <si>
    <t>打开可获得一件40级英雄套装</t>
  </si>
  <si>
    <t>豪华套装随机箱</t>
  </si>
  <si>
    <t>100级豪华套装随机箱</t>
  </si>
  <si>
    <t>黑市60装备随机箱</t>
  </si>
  <si>
    <t>60级精选装备箱</t>
  </si>
  <si>
    <t>打开可获得一件60级装备或一件60级英雄套装</t>
  </si>
  <si>
    <t>黑市80装备随机箱</t>
  </si>
  <si>
    <t>80级精选装备箱</t>
  </si>
  <si>
    <t>打开可获得一件80级装备或一件80级英雄套装</t>
  </si>
  <si>
    <t>黑市100装备随机箱</t>
  </si>
  <si>
    <t>100级精选装备箱</t>
  </si>
  <si>
    <t>打开可获得一件100级装备或一件100级英雄套装</t>
  </si>
  <si>
    <t>可以从风·格拉玛号、雷德·佛斯号、九蛇海盗船、幽灵船、黑桃海盗船、极地潜水号和弗拉门戈号中任意选择一艘战船。</t>
  </si>
  <si>
    <t>1:1001,122015,1;1001,122013,1;1001,122012,1;1001,122020,1;1001,122019,1;1001,122018,1;1001,122023,1</t>
  </si>
  <si>
    <t>玫瑰</t>
  </si>
  <si>
    <t>桃心</t>
  </si>
  <si>
    <t>黑市40装备随机箱</t>
  </si>
  <si>
    <t>40级精选装备箱</t>
  </si>
  <si>
    <t>打开可获得一件40级装备或一件40级英雄套装</t>
  </si>
  <si>
    <t>钢材</t>
  </si>
  <si>
    <t>看起来十分高级的建筑材料，可用于家园建筑建造</t>
  </si>
  <si>
    <t>item_JY1</t>
  </si>
  <si>
    <t>石砖</t>
  </si>
  <si>
    <t>看起来十分坚固的建筑材料，可用于家园建筑建造</t>
  </si>
  <si>
    <t>item_JY2</t>
  </si>
  <si>
    <t>普通蓝钻袋</t>
  </si>
  <si>
    <t>一袋鼓鼓的蓝钻，开启获得50蓝钻。</t>
  </si>
  <si>
    <t>item_511268</t>
  </si>
  <si>
    <t>优质蓝钻袋</t>
  </si>
  <si>
    <t>一袋鼓鼓的蓝钻，开启获得100蓝钻。</t>
  </si>
  <si>
    <t>item_511269</t>
  </si>
  <si>
    <t>3,0,100</t>
  </si>
  <si>
    <t>贵重蓝钻袋</t>
  </si>
  <si>
    <t>一袋鼓鼓的蓝钻，开启获得150蓝钻。</t>
  </si>
  <si>
    <t>item_511270</t>
  </si>
  <si>
    <t>3,0,150</t>
  </si>
  <si>
    <t>普通宝石箱</t>
  </si>
  <si>
    <t>装有宝石的箱子，打开后可以随机获得2颗1~4级宝石。</t>
  </si>
  <si>
    <t>优质宝石箱</t>
  </si>
  <si>
    <t>装有宝石的箱子，打开后可以随机获得2颗2~5级宝石。</t>
  </si>
  <si>
    <t>贵重宝石箱</t>
  </si>
  <si>
    <t>装有宝石的箱子，打开后可以随机获得2颗3~7级宝石。</t>
  </si>
  <si>
    <t>普通精炼石袋</t>
  </si>
  <si>
    <t>装有精炼石的袋子，打开后可以随机获得2个精炼石。</t>
  </si>
  <si>
    <t>item_511274</t>
  </si>
  <si>
    <t>优质精炼石袋</t>
  </si>
  <si>
    <t>装有精炼石的袋子，打开后可以随机获得2个精炼石，更高几率获得高级精炼石。</t>
  </si>
  <si>
    <t>item_511275</t>
  </si>
  <si>
    <t>贵重精炼石袋</t>
  </si>
  <si>
    <t>装有精炼石的袋子，打开后可以随机获得2个精炼石，有几率获得超级精炼石。</t>
  </si>
  <si>
    <t>item_511276</t>
  </si>
  <si>
    <t>普通经验卷轴箱</t>
  </si>
  <si>
    <t>散落的经验卷轴，打开后可以随机获得10个经验卷轴。</t>
  </si>
  <si>
    <t>item_511277</t>
  </si>
  <si>
    <t>优质经验卷轴箱</t>
  </si>
  <si>
    <t>item_511278</t>
  </si>
  <si>
    <t>贵重经验卷轴箱</t>
  </si>
  <si>
    <t>item_511279</t>
  </si>
  <si>
    <t>普通训练书箱</t>
  </si>
  <si>
    <t>一摞训练书，打开后可以随机获得10本任意训练书。</t>
  </si>
  <si>
    <t>item_511280</t>
  </si>
  <si>
    <t>优质训练书箱</t>
  </si>
  <si>
    <t>item_511281</t>
  </si>
  <si>
    <t>贵重训练书箱</t>
  </si>
  <si>
    <t>item_511282</t>
  </si>
  <si>
    <t>高级精华器</t>
  </si>
  <si>
    <t>精华收集器的必备零件，可以在家园中建造高级精华收集器</t>
  </si>
  <si>
    <t>丢失的物资</t>
  </si>
  <si>
    <t>仓库管理员弄丢的物资，采集后用于交付任务。</t>
  </si>
  <si>
    <t>珍贵的草药</t>
  </si>
  <si>
    <t>罕见的珍贵药草，采集后用于交付任务。</t>
  </si>
  <si>
    <t>完美的种子</t>
  </si>
  <si>
    <t>可以种出特别植物的种子，采集后用于交付任务。</t>
  </si>
  <si>
    <t>优质的食材</t>
  </si>
  <si>
    <t>烹饪美味佳肴必不可少之物，采集后用于交付任务。</t>
  </si>
  <si>
    <t>刻刀</t>
  </si>
  <si>
    <t>一把老旧的刻刀，陪伴主人经历了许多岁月，采集后用于交付任务。</t>
  </si>
  <si>
    <t>涌来冶炼的常用矿石，采集后用于交付任务。</t>
  </si>
  <si>
    <t>植物颜料</t>
  </si>
  <si>
    <t>随处可见的纯天然颜料，容易褪色，采集后用于交付任务。</t>
  </si>
  <si>
    <t>肥美的鱼饵</t>
  </si>
  <si>
    <t>大鱼最爱之物，采集后用于交付任务。</t>
  </si>
  <si>
    <t>宴会物资</t>
  </si>
  <si>
    <t>举办宴会的最佳选择，采集后用于交付任务。</t>
  </si>
  <si>
    <t>负重工具</t>
  </si>
  <si>
    <t>沉甸甸的箱子，采集后用于交付任务。</t>
  </si>
  <si>
    <t>粽子篮</t>
  </si>
  <si>
    <t>item_72</t>
  </si>
  <si>
    <t>可以从风·格拉玛号、雷德·佛斯号、九蛇海盗船、幽灵船、黑桃海盗船、极地潜水号、弗拉门戈号和莫比迪克号中任意选择一艘战船。</t>
  </si>
  <si>
    <t>1:1001,122015,1;1001,122013,1;1001,122012,1;1001,122020,1;1001,122019,1;1001,122018,1;1001,122023,1;1001,122022,1</t>
  </si>
  <si>
    <t>时装任选礼包</t>
  </si>
  <si>
    <t>从泳装（奈美）、结婚礼服(奈美)、紫色旗袍(汉库珂)、泳装（罗宾）、公主装(薇薇)中任意选择一件。</t>
  </si>
  <si>
    <t>1:1001,713025,1;1001,713020,1;1001,713017,1;1001,713026,1;1001,713023,1</t>
  </si>
  <si>
    <t>卷轴与书</t>
  </si>
  <si>
    <t>突破材料的一种组合，使用后可开出24个超级突破卷轴与31个超级突破书。</t>
  </si>
  <si>
    <t>1001,215009,31;1001,215112,24</t>
  </si>
  <si>
    <t>海图与卷轴</t>
  </si>
  <si>
    <t>突破材料的一种组合，使用后可开出24个超级突破海图与31个超级突破卷轴。</t>
  </si>
  <si>
    <t>1001,215112,31;1001,215113,24</t>
  </si>
  <si>
    <t>灵药与海图</t>
  </si>
  <si>
    <t>突破材料的一种组合，使用后可开出24个超级突破灵药与31个超级突破海图。</t>
  </si>
  <si>
    <t>1001,215113,31;1001,215114,24</t>
  </si>
  <si>
    <t>皇冠与灵药</t>
  </si>
  <si>
    <t>突破材料的一种组合，使用后可开出24个超级突破皇冠与31个超级突破灵药。</t>
  </si>
  <si>
    <t>1001,215114,31;1001,215111,24</t>
  </si>
  <si>
    <t>书与皇冠</t>
  </si>
  <si>
    <t>突破材料的一种组合，使用后可开出24个超级突破书与31个超级突破皇冠。</t>
  </si>
  <si>
    <t>1001,215111,31;1001,215009,24</t>
  </si>
  <si>
    <t>突破道具宝箱</t>
  </si>
  <si>
    <t>打开后可以选择一种超级突破材料的组合，满足一名SSR角色从突破0到突破3的橙色材料需求。</t>
  </si>
  <si>
    <t>1:1001,511298,1;1001,511299,1;1001,511300,1;1001,511301,1;1001,511302,1</t>
  </si>
  <si>
    <t>水晶</t>
  </si>
  <si>
    <t>升级公会的稀有道具，使用后个人增加贡献1200，工会获得1枚水晶(无公会状态此道具使用后无效）</t>
  </si>
  <si>
    <t>UI_item_icon_jing</t>
  </si>
  <si>
    <t>10004,0,1;1014,0,1200</t>
  </si>
  <si>
    <t>公会水晶</t>
  </si>
  <si>
    <t>10级宝石任选箱</t>
  </si>
  <si>
    <t>使用后可任意选择一个10级宝石。</t>
  </si>
  <si>
    <t>1:1001,1100110,1;1001,1100210,1;1001,1100310,1;1001,1100410,1;1001,1100510,1;1001,1100610,1;1001,1100710,1;1001,1100810,1;1001,1100910,1;1001,1101010,1;1001,1102210,1;1001,1102310,1;1001,1102410,1</t>
  </si>
  <si>
    <t>简易木桥图纸</t>
  </si>
  <si>
    <t>使用后可以开启家园装扮【简易木桥（副）】</t>
  </si>
  <si>
    <t>item_JY_3</t>
  </si>
  <si>
    <t>贸易港口图纸</t>
  </si>
  <si>
    <t>使用后可以开启家园装扮【贸易港口】</t>
  </si>
  <si>
    <t>item_JY_4</t>
  </si>
  <si>
    <t>精致海边走廊图纸</t>
  </si>
  <si>
    <t>使用后可以开启家园装扮【精致海边走廊】</t>
  </si>
  <si>
    <t>item_JY_6</t>
  </si>
  <si>
    <t>精致休闲长廊图纸</t>
  </si>
  <si>
    <t>使用后可以开启家园装扮【精致休闲长廊】</t>
  </si>
  <si>
    <t>石质拱桥(主)图纸</t>
  </si>
  <si>
    <t>使用后可以开启家园装扮【石质拱桥(主)】</t>
  </si>
  <si>
    <t>石质拱桥(副)图纸</t>
  </si>
  <si>
    <t>使用后可以开启家园装扮【石质拱桥(副)】</t>
  </si>
  <si>
    <t>精致喷泉图纸</t>
  </si>
  <si>
    <t>使用后可以开启家园装扮【精致喷泉】</t>
  </si>
  <si>
    <t>item_JY_5</t>
  </si>
  <si>
    <t>巨鲸号角</t>
  </si>
  <si>
    <t>使用后可以开启家园装扮【巨鲸】</t>
  </si>
  <si>
    <t>item_JY_7</t>
  </si>
  <si>
    <t>钢材箱</t>
  </si>
  <si>
    <t>装满钢材的建材箱，使用后可获得500钢材</t>
  </si>
  <si>
    <t>1001,511266,500</t>
  </si>
  <si>
    <t>石砖箱</t>
  </si>
  <si>
    <t>装满石砖的建材箱，使用后可获得500石砖</t>
  </si>
  <si>
    <t>1001,511267,500</t>
  </si>
  <si>
    <t>盛典徽章</t>
  </si>
  <si>
    <t>用于庆典活动道具兑换。</t>
  </si>
  <si>
    <t>item_511316</t>
  </si>
  <si>
    <t>航海徽章</t>
  </si>
  <si>
    <t>item_511317</t>
  </si>
  <si>
    <t>可以从风·格拉玛号、雷德·佛斯号、九蛇海盗船、幽灵船、黑桃海盗船、极地潜水号、弗拉门戈号、莫比迪克号和巴拉蒂中任意选择一艘战船。</t>
  </si>
  <si>
    <t>1:1001,122015,1;1001,122013,1;1001,122012,1;1001,122020,1;1001,122019,1;1001,122018,1;1001,122023,1;1001,122022,1;1001,122014,1</t>
  </si>
  <si>
    <t>可以从极护之阵、冥想之阵、虚无之阵、急速之阵、激进之阵、专注之阵和守护之阵中任意选择一张阵法图纸。</t>
  </si>
  <si>
    <t>1:1001,233019,1;1001,233035,1;1001,233025,1;1001,233036,1;1001,233034,1;1001,233033,1;1001,233038,1</t>
  </si>
  <si>
    <t>家园建材宝箱</t>
  </si>
  <si>
    <t>装满家园建材的宝箱，使用后可获得3000钢材、3000石砖</t>
  </si>
  <si>
    <t>1001,511266,3000;1001,511267,3000;</t>
  </si>
  <si>
    <t>友情礼包</t>
  </si>
  <si>
    <t>在家园中协助好友生产获得的友情奖励，使用后可获得2000金块、1个初级工具箱</t>
  </si>
  <si>
    <t>1001,511250,1;5,0,2000</t>
  </si>
  <si>
    <t>宝石礼包</t>
  </si>
  <si>
    <t>打开后随机获得一个1~3级的宝石</t>
  </si>
  <si>
    <t>50151</t>
  </si>
  <si>
    <t>从泳装（佩罗娜）、泳装(薇薇)中任意选择一件。</t>
  </si>
  <si>
    <t>1:1001,713043,1;1001,713044,1</t>
  </si>
  <si>
    <t>100级装备宝箱</t>
  </si>
  <si>
    <t>使用后可随机获得一整套100级套装</t>
  </si>
  <si>
    <t>复仇套装随机箱</t>
  </si>
  <si>
    <t>使用后可随机获得复仇套装中的一个部位</t>
  </si>
  <si>
    <t>统帅套装随机箱</t>
  </si>
  <si>
    <t>使用后可随机获得统帅套装中的一个部位</t>
  </si>
  <si>
    <t>英雄·复仇镰刀</t>
  </si>
  <si>
    <t>使用后获得100级未鉴定的英雄·复仇镰刀</t>
  </si>
  <si>
    <t>英雄·复仇战服</t>
  </si>
  <si>
    <t>使用后获得100级未鉴定的英雄·复仇战服</t>
  </si>
  <si>
    <t>英雄·复仇戒指</t>
  </si>
  <si>
    <t>使用后获得100级未鉴定的英雄·复仇戒指</t>
  </si>
  <si>
    <t>英雄·复仇项链</t>
  </si>
  <si>
    <t>使用后获得100级未鉴定的英雄·复仇项链</t>
  </si>
  <si>
    <t>英雄·统帅长剑</t>
  </si>
  <si>
    <t>使用后获得100级未鉴定的英雄·统帅长剑</t>
  </si>
  <si>
    <t>英雄·统帅之服</t>
  </si>
  <si>
    <t>使用后获得100级未鉴定的英雄·统帅之服</t>
  </si>
  <si>
    <t>英雄·统帅戒指</t>
  </si>
  <si>
    <t>使用后获得100级未鉴定的英雄·统帅戒指</t>
  </si>
  <si>
    <t>英雄·统帅项链</t>
  </si>
  <si>
    <t>使用后获得100级未鉴定的英雄·统帅项链</t>
  </si>
  <si>
    <t>复仇套装自选箱</t>
  </si>
  <si>
    <t>使用后可自行选择获得复仇套装中的一个部位</t>
  </si>
  <si>
    <t>1:1001,511327,1;1001,511328,1;1001,511329,1;1001,511330,1</t>
  </si>
  <si>
    <t>统帅套装自选箱</t>
  </si>
  <si>
    <t>使用后可自行选择获得统帅套装中的一个部位</t>
  </si>
  <si>
    <t>1:1001,511331,1;1001,511332,1;1001,511333,1;1001,511334,1</t>
  </si>
  <si>
    <t>可从以下9种阵型任选其一（极护、冥想、虚无、急速、激进、专注、守护、勇者、御敌）</t>
  </si>
  <si>
    <t>1:1001,233019,1;1001,233035,1;1001,233025,1;1001,233036,1;1001,233034,1;1001,233033,1;1001,233038,1;1001,233040,1;1001,233039,1</t>
  </si>
  <si>
    <t>小熊礼盒</t>
  </si>
  <si>
    <t>item_74</t>
  </si>
  <si>
    <t>一袋鼓鼓的蓝钻，开启获得40蓝钻。</t>
  </si>
  <si>
    <t>3,0,40</t>
  </si>
  <si>
    <t>高级蓝钻袋</t>
  </si>
  <si>
    <t>一袋鼓鼓的蓝钻，开启获得60蓝钻。</t>
  </si>
  <si>
    <t>3,0,60</t>
  </si>
  <si>
    <t>一袋鼓鼓的蓝钻，开启获得70蓝钻。</t>
  </si>
  <si>
    <t>3,0,70</t>
  </si>
  <si>
    <t>稀有蓝钻袋</t>
  </si>
  <si>
    <t>一袋鼓鼓的蓝钻，开启获得80蓝钻。</t>
  </si>
  <si>
    <t>3,0,80</t>
  </si>
  <si>
    <t>无暇宝石箱</t>
  </si>
  <si>
    <t>装有宝石的箱子，打开后可以随机获得1颗1级宝石。</t>
  </si>
  <si>
    <t>装有精炼石的袋子，打开后可以随机获得2个精炼石，有较小几率获得更高等级的精炼石。</t>
  </si>
  <si>
    <t>高级精炼石袋</t>
  </si>
  <si>
    <t>装有精炼石的袋子，打开后可以随机获得2个精炼石，有普通几率获得更高等级的精炼石。</t>
  </si>
  <si>
    <t>装有精炼石的袋子，打开后可以随机获得2个精炼石，有较大几率获得更高等级的精炼石。</t>
  </si>
  <si>
    <t>稀有精炼石袋</t>
  </si>
  <si>
    <t>装有精炼石的袋子，打开后可以随机获得2个精炼石，有显著几率获得更高等级的精炼石。</t>
  </si>
  <si>
    <t>散落的经验卷轴，打开后可以随机获得10个各类经验卷轴。</t>
  </si>
  <si>
    <t>高级经验卷轴箱</t>
  </si>
  <si>
    <t>稀有经验卷轴箱</t>
  </si>
  <si>
    <t>高级训练书箱</t>
  </si>
  <si>
    <t>稀有训练书箱</t>
  </si>
  <si>
    <t>神树图纸</t>
  </si>
  <si>
    <t>使用后可以开启家园装扮【神树】</t>
  </si>
  <si>
    <t>item_JY_8</t>
  </si>
  <si>
    <t>五重塔图纸</t>
  </si>
  <si>
    <t>使用后可以开启家园装扮【五重塔】</t>
  </si>
  <si>
    <t>item_JY_10</t>
  </si>
  <si>
    <t>风锦桥图纸</t>
  </si>
  <si>
    <t>使用后可以开启家园装扮【风锦桥】</t>
  </si>
  <si>
    <t>item_JY_9</t>
  </si>
  <si>
    <t>月枕桥图纸</t>
  </si>
  <si>
    <t>使用后可以开启家园装扮【月枕桥】</t>
  </si>
  <si>
    <t>竹林小憩图纸</t>
  </si>
  <si>
    <t>使用后可以开启家园装扮【竹林小憩】</t>
  </si>
  <si>
    <t>挽风凉亭图纸</t>
  </si>
  <si>
    <t>使用后可以开启家园装扮【挽风凉亭】</t>
  </si>
  <si>
    <t>素业茶苑图纸</t>
  </si>
  <si>
    <t>使用后可以开启家园装扮【素业茶苑】</t>
  </si>
  <si>
    <t>樱花祭图纸</t>
  </si>
  <si>
    <t>使用后可以开启家园装扮【樱花祭】</t>
  </si>
  <si>
    <t>樱落图纸7天（弃用）</t>
  </si>
  <si>
    <t>樱落图纸</t>
  </si>
  <si>
    <t>使用后可以开启家园装扮【樱落】</t>
  </si>
  <si>
    <t>装满家园建材的宝箱，使用后可获得1500钢材、1500石砖</t>
  </si>
  <si>
    <t>1001,511266,1500;1001,511267,1500</t>
  </si>
  <si>
    <t>可从以下13种阵型任选其一（冥想、急速、激进、专注、守护、冲击、曙光、进击、元素、争霸、守护、御敌、勇者）</t>
  </si>
  <si>
    <t>1:1001,233035,1;1001,233036,1;1001,233034,1;1001,233033,1;1001,233038,1;1001,233030,1;1001,233028,1;1001,233031,1;1001,233032,1;1001,233037,1;1001,233038,1;1001,233039,1;1001,233040,1</t>
  </si>
  <si>
    <t>使用后可以任意选择获得以下战船一艘（性感福克斯号、黑胡子木筏、海军战舰、戈普的军舰和太阳海盗船）</t>
  </si>
  <si>
    <t>1:1001,122010,1;1001,122005,1;1001,122016,1;1001,122017,1;1001,122011,1</t>
  </si>
  <si>
    <t>精美宝石袋</t>
  </si>
  <si>
    <t>装有宝石的小袋子，打开后可以获得高档宝石，有几率开出高等级宝石。（最高可开出5级宝石）</t>
  </si>
  <si>
    <t>英雄·游侠长矛</t>
  </si>
  <si>
    <t>使用后获得100级未鉴定的英雄·游侠长矛</t>
  </si>
  <si>
    <t>tzyx_1001</t>
  </si>
  <si>
    <t>英雄·游侠长衣</t>
  </si>
  <si>
    <t>使用后获得100级未鉴定的英雄·游侠长衣</t>
  </si>
  <si>
    <t>tzyx_1002</t>
  </si>
  <si>
    <t>英雄·游侠戒指</t>
  </si>
  <si>
    <t>使用后获得100级未鉴定的英雄·游侠戒指</t>
  </si>
  <si>
    <t>tzyx_1003</t>
  </si>
  <si>
    <t>英雄·游侠项链</t>
  </si>
  <si>
    <t>使用后获得100级未鉴定的英雄·游侠项链</t>
  </si>
  <si>
    <t>tzyx_1004</t>
  </si>
  <si>
    <t>英雄·卫兵长戟</t>
  </si>
  <si>
    <t>使用后获得80级未鉴定的英雄·卫兵长戟</t>
  </si>
  <si>
    <t>tzwb_8001</t>
  </si>
  <si>
    <t>英雄·卫兵盔甲</t>
  </si>
  <si>
    <t>使用后获得80级未鉴定的英雄·卫兵盔甲</t>
  </si>
  <si>
    <t>tzwb_8002</t>
  </si>
  <si>
    <t>英雄·卫兵戒指</t>
  </si>
  <si>
    <t>使用后获得80级未鉴定的英雄·卫兵戒指</t>
  </si>
  <si>
    <t>tzwb_8003</t>
  </si>
  <si>
    <t>英雄·卫兵项链</t>
  </si>
  <si>
    <t>使用后获得80级未鉴定的英雄·卫兵项链</t>
  </si>
  <si>
    <t>tzwb_8004</t>
  </si>
  <si>
    <t>称号：风雨同舟</t>
  </si>
  <si>
    <t>使用后获得周年庆称号：风雨同舟</t>
  </si>
  <si>
    <t>周年庆狂欢礼包</t>
  </si>
  <si>
    <t>2,0,300;1001,215011,2</t>
  </si>
  <si>
    <t>4级宝石箱（公会拍卖）</t>
  </si>
  <si>
    <t>4级宝石袋</t>
  </si>
  <si>
    <t>5级宝石箱（公会拍卖）</t>
  </si>
  <si>
    <t>5级宝石袋</t>
  </si>
  <si>
    <t>6级宝石箱（公会拍卖）</t>
  </si>
  <si>
    <t>6级宝石袋</t>
  </si>
  <si>
    <t>英雄之石箱（公会拍卖）</t>
  </si>
  <si>
    <t>英雄之石袋</t>
  </si>
  <si>
    <t>打开后随机获得10个、20个或30个英雄之石。</t>
  </si>
  <si>
    <t>80级英雄套装箱</t>
  </si>
  <si>
    <t>打开后随机获得两件80级套装。</t>
  </si>
  <si>
    <t>100级英雄套装箱</t>
  </si>
  <si>
    <t>打开后随机获得两件100级套装。</t>
  </si>
  <si>
    <t>周年徽章</t>
  </si>
  <si>
    <t>用于周年庆兑换活动道具。</t>
  </si>
  <si>
    <t>燃梦徽章</t>
  </si>
  <si>
    <t>孙子的来信</t>
  </si>
  <si>
    <t>像是寄给某人的信，采集后用于交付任务。</t>
  </si>
  <si>
    <t>美味的果实</t>
  </si>
  <si>
    <t>看起来就很好吃的果实，采集后用于交付任务。</t>
  </si>
  <si>
    <t>运送中的货物</t>
  </si>
  <si>
    <t>被遗忘在路边的货物，采集后用于交付任务。</t>
  </si>
  <si>
    <t>做干花书签用的花</t>
  </si>
  <si>
    <t>淡雅的花朵，晾干可以作为书签，采集后用于交付任务。</t>
  </si>
  <si>
    <t>珍稀的鸟蛋</t>
  </si>
  <si>
    <t>很少见的鸟蛋，采集后用于交付任务。</t>
  </si>
  <si>
    <t>新鲜牛奶，采集后用于交付任务。</t>
  </si>
  <si>
    <t>凯撒招募礼包</t>
  </si>
  <si>
    <t>内含50个凯撒碎片</t>
  </si>
  <si>
    <t>1001,630041,50</t>
  </si>
  <si>
    <t>被夺走的剑</t>
  </si>
  <si>
    <t>看起来略显陈旧的长剑，似乎颇有些年头了。</t>
  </si>
  <si>
    <t>消失的食材</t>
  </si>
  <si>
    <t>被偷走的食材，看起来十分可口。</t>
  </si>
  <si>
    <t>竞技场战斗准备室的武器，不知道被谁偷走了。</t>
  </si>
  <si>
    <t>警察的枪</t>
  </si>
  <si>
    <t>警用配枪，不知道为何会出现在这里。</t>
  </si>
  <si>
    <t>被偷的钱包</t>
  </si>
  <si>
    <t>造型精致的钱包，失主一定很着急。</t>
  </si>
  <si>
    <t>漂亮的昆虫</t>
  </si>
  <si>
    <t>拥有亮丽颜色的昆虫，具有一定的观赏价值</t>
  </si>
  <si>
    <t>重要的戒指</t>
  </si>
  <si>
    <t>看起来意义非凡的戒指，快还给失主吧。</t>
  </si>
  <si>
    <t>可从以下3种阵型任选其一（毁灭之阵、勇士之阵和魔力之阵）</t>
  </si>
  <si>
    <t>1:1001,233041,1;1001,233042,1;1001,233043,1</t>
  </si>
  <si>
    <t>新世界草帽团任选箱</t>
  </si>
  <si>
    <t>任意选择一个新世界草帽团角色</t>
  </si>
  <si>
    <t>1:1001,630031,50;1001,630026,50;1001,630028,50;1001,630037,50;1001,630025,50;1001,630038,50;1001,630029,50;1001,630035,50;1001,630036,50</t>
  </si>
  <si>
    <t>任意选择以下一件新世界草帽海盗团的时装（新世界佐罗（黑色西服、激战、唐装）、新世界撒谎布（德雷斯罗萨、唐装）、新世界奈美（唐装、泳装）、新世界罗宾（唐装、泳装）、新世界路飞（唐装）、新世界山智（唐装）、新世界弗兰奇（金属）、新世界布鲁克（唐装））。</t>
  </si>
  <si>
    <t>1:1001,713030,1;1001,713031,1;1001,713032,1;1001,713033,1;1001,713034,1;1001,713035,1;1001,713036,1;1001,713037,1;1001,713038,1;1001,713039,1;1001,713045,1;1001,713042,1;1001,713046,1</t>
  </si>
  <si>
    <t>德莱斯罗兹声望装备箱</t>
  </si>
  <si>
    <t>打开后获得一件英雄·提督防具，一件英雄·提督戒指。</t>
  </si>
  <si>
    <t>幸运南瓜灯</t>
  </si>
  <si>
    <t>打开后随机获得一个高品质道具</t>
  </si>
  <si>
    <t>item_hd_01</t>
  </si>
  <si>
    <t>15125</t>
  </si>
  <si>
    <t>大南瓜灯</t>
  </si>
  <si>
    <t>万圣节道具，可用于兑换特殊道具。</t>
  </si>
  <si>
    <t>jr-wansheng2</t>
  </si>
  <si>
    <t>小南瓜灯</t>
  </si>
  <si>
    <t>jr-wansheng1</t>
  </si>
  <si>
    <t>阵型卷轴</t>
  </si>
  <si>
    <t>用于升级阵型的卷轴，使用后获得5000点阵型经验</t>
  </si>
  <si>
    <t>可从以下13种阵型任选其一（冥想、急速、激进、专注、防护、冲击、曙光、进击、元素、争霸、守护、御敌、勇者）</t>
  </si>
  <si>
    <t>1:1001,233035,1;1001,233036,1;1001,233034,1;1001,233033,1;1001,233029,1;1001,233030,1;1001,233028,1;1001,233031,1;1001,233032,1;1001,233037,1;1001,233038,1;1001,233039,1;1001,233040,1</t>
  </si>
  <si>
    <t>9级宝石任选箱</t>
  </si>
  <si>
    <t>使用后可任意选择一个9级宝石。</t>
  </si>
  <si>
    <t>1:1001,1100109,1;1001,1100209,1;1001,1100309,1;1001,1100409,1;1001,1100509,1;1001,1100609,1;1001,1100709,1;1001,1100809,1;1001,1100909,1;1001,1101009,1;1001,1102209,1;1001,1102309,1;1001,1102409,1</t>
  </si>
  <si>
    <t>精选拼图宝袋</t>
  </si>
  <si>
    <t>打开后可随机获得强者招募券、搜魂券、精致宝石袋等稀有道具</t>
  </si>
  <si>
    <t>cz-1</t>
  </si>
  <si>
    <t>晋升副本入场券</t>
  </si>
  <si>
    <t>item_511421</t>
  </si>
  <si>
    <t>晋升任选箱</t>
  </si>
  <si>
    <t>打开后可任选获得一种晋升勋章10个</t>
  </si>
  <si>
    <t>1:1001,615001,10;1001,615003,10;1001,615004,10</t>
  </si>
  <si>
    <t>高级晋升任选箱</t>
  </si>
  <si>
    <t>打开后可任选获得一种晋升勋章20个</t>
  </si>
  <si>
    <t>1:1001,615001,20;1001,615003,20;1001,615004,20</t>
  </si>
  <si>
    <t>8级训练宝箱</t>
  </si>
  <si>
    <t>打开后随机获得一个8级训练道具。</t>
  </si>
  <si>
    <t>10351</t>
  </si>
  <si>
    <t>英雄·暴走长刃</t>
  </si>
  <si>
    <t>使用后获得100级未鉴定的英雄·暴走长刃</t>
  </si>
  <si>
    <t>tzbz_1001</t>
  </si>
  <si>
    <t>英雄·暴走披风</t>
  </si>
  <si>
    <t>使用后获得100级未鉴定的英雄·暴走披风</t>
  </si>
  <si>
    <t>tzbz_1002</t>
  </si>
  <si>
    <t>英雄·暴走戒指</t>
  </si>
  <si>
    <t>使用后获得100级未鉴定的英雄·暴走戒指</t>
  </si>
  <si>
    <t>tzbz_1003</t>
  </si>
  <si>
    <t>英雄·暴走项链</t>
  </si>
  <si>
    <t>使用后获得100级未鉴定的英雄·暴走项链</t>
  </si>
  <si>
    <t>tzbz_1004</t>
  </si>
  <si>
    <t>英雄·决心配剑</t>
  </si>
  <si>
    <t>使用后获得80级未鉴定的英雄·决心配剑</t>
  </si>
  <si>
    <t>tznd_8001</t>
  </si>
  <si>
    <t>英雄·决心侍衣</t>
  </si>
  <si>
    <t>使用后获得80级未鉴定的英雄·决心侍衣</t>
  </si>
  <si>
    <t>tznd_8002</t>
  </si>
  <si>
    <t>英雄·决心戒指</t>
  </si>
  <si>
    <t>使用后获得80级未鉴定的英雄·决心戒指</t>
  </si>
  <si>
    <t>tznd_8003</t>
  </si>
  <si>
    <t>英雄·决心项链</t>
  </si>
  <si>
    <t>使用后获得80级未鉴定的英雄·决心项链</t>
  </si>
  <si>
    <t>tznd_8004</t>
  </si>
  <si>
    <t>英雄·残忍长枪</t>
  </si>
  <si>
    <t>使用后获得100级未鉴定的英雄·残忍长枪</t>
  </si>
  <si>
    <t>tzbt_1001</t>
  </si>
  <si>
    <t>英雄·残忍制服</t>
  </si>
  <si>
    <t>使用后获得100级未鉴定的英雄·残忍制服</t>
  </si>
  <si>
    <t>tzbt_1002</t>
  </si>
  <si>
    <t>英雄·残忍戒指</t>
  </si>
  <si>
    <t>使用后获得100级未鉴定的英雄·残忍戒指</t>
  </si>
  <si>
    <t>tzbt_1003</t>
  </si>
  <si>
    <t>英雄·残忍项链</t>
  </si>
  <si>
    <t>使用后获得100级未鉴定的英雄·残忍项链</t>
  </si>
  <si>
    <t>tzbt_1004</t>
  </si>
  <si>
    <t>草药</t>
  </si>
  <si>
    <t>药草</t>
  </si>
  <si>
    <t>生长于格林比特的药草，采集后用于交付任务。</t>
  </si>
  <si>
    <t>土壤</t>
  </si>
  <si>
    <t>格林比特森林里的土壤，采集后用于交付任务。</t>
  </si>
  <si>
    <t>精选任选箱</t>
  </si>
  <si>
    <t>任意选择一个本期精选招募角色</t>
  </si>
  <si>
    <t>1:1001,630030,50;1001,630027,50;1001,630021,50;1001,630024,50;1001,630012,50;1001,630016,50;1001,630022,50;1001,630023,50;1001,630020,50</t>
  </si>
  <si>
    <t>感恩彩蛋</t>
  </si>
  <si>
    <t>感恩火鸡</t>
  </si>
  <si>
    <t>item_29</t>
  </si>
  <si>
    <t>新世界佐罗时装箱</t>
  </si>
  <si>
    <t>从黑色西服、激战形态、唐装和万圣节装扮中任意选择一件。</t>
  </si>
  <si>
    <t>1:1001,713030,1;1001,713031,1;1001,713033,1;1001,713062,1</t>
  </si>
  <si>
    <t>幸运圣诞帽</t>
  </si>
  <si>
    <t>圣诞饼干</t>
  </si>
  <si>
    <t>美味的圣诞饼干，可用于兑换特殊道具。</t>
  </si>
  <si>
    <t>平安果</t>
  </si>
  <si>
    <t>象征平安的苹果，可用于兑换特殊道具。</t>
  </si>
  <si>
    <t>item_48</t>
  </si>
  <si>
    <t>幸运雪人</t>
  </si>
  <si>
    <t>大航海挂机次数券</t>
  </si>
  <si>
    <t>GvoTimeItem</t>
  </si>
  <si>
    <t>可以从九蛇海盗船、雷德·佛斯号、幽灵船、风·格拉玛号、莫比迪克号和弗拉门戈号中任意选择一艘战船。</t>
  </si>
  <si>
    <t>1:1001,122012,1;1001,122013,1;1001,122019,1;1001,122015,1;1001,122022,1;1001,122023,1</t>
  </si>
  <si>
    <t>迎春礼盒</t>
  </si>
  <si>
    <t>迎春气球</t>
  </si>
  <si>
    <t>新春红包</t>
  </si>
  <si>
    <t>会给新的一年带来好运。用于兑换道具。</t>
  </si>
  <si>
    <t>新春战船任选箱</t>
  </si>
  <si>
    <t>可以从女王妈妈吟唱者和方舟箴言中任意选择一艘战船。</t>
  </si>
  <si>
    <t>1:1001,122028,1;1001,122029,1</t>
  </si>
  <si>
    <t>2021春节福字</t>
  </si>
  <si>
    <t>2021年的春节祝福，据说能给人带来一整年的幸福好运，使用后有可以获得道具奖励</t>
  </si>
  <si>
    <t>2021春节鞭炮</t>
  </si>
  <si>
    <t>2021年的春节鞭炮，燃放后可以驱走所有霉运，使用后有可以获得道具奖励</t>
  </si>
  <si>
    <t>1:1001,630047,50;1001,630044,50;1001,630049,50;1001,630021,50;1001,630050,50;1001,630043,50;1001,630037,50;1001,630026,50;1001,630030,50</t>
  </si>
  <si>
    <t>白玫瑰花</t>
  </si>
  <si>
    <t>延续情人节的红色爱意，寄托自己真挚的爱意送给最爱的人，使用后有概率获得高级道具</t>
  </si>
  <si>
    <t>item_46</t>
  </si>
  <si>
    <t>感恩花束</t>
  </si>
  <si>
    <t>精美的好友礼物，赠送好友后可以获得50友好度</t>
  </si>
  <si>
    <t>haogandu003</t>
  </si>
  <si>
    <t>50,10</t>
  </si>
  <si>
    <t>蓝石英</t>
  </si>
  <si>
    <t>精美的好友礼物，赠送好友后可以获得100友好度</t>
  </si>
  <si>
    <t>haogandu001</t>
  </si>
  <si>
    <t>100,10</t>
  </si>
  <si>
    <t>巧克力花盒</t>
  </si>
  <si>
    <t>精美的好友礼物，赠送好友后可以获得200友好度</t>
  </si>
  <si>
    <t>haogandu002</t>
  </si>
  <si>
    <t>200,10</t>
  </si>
  <si>
    <t>已废除</t>
  </si>
  <si>
    <t>友好值增加5000</t>
  </si>
  <si>
    <t>5000,10</t>
  </si>
  <si>
    <t>爱之心</t>
  </si>
  <si>
    <t>愚人小丑</t>
  </si>
  <si>
    <t>愚人节小丑盒子</t>
  </si>
  <si>
    <t>item_76</t>
  </si>
  <si>
    <t>称号：永远的伙伴</t>
  </si>
  <si>
    <t>使用后获得伙伴称号：永远的伙伴</t>
  </si>
  <si>
    <t>和平鸽</t>
  </si>
  <si>
    <t>洁白的和平鸽，可用于兑换特殊道具。</t>
  </si>
  <si>
    <t>item_77</t>
  </si>
  <si>
    <t>2021/5/5-23:59:59</t>
  </si>
  <si>
    <t>红丝带</t>
  </si>
  <si>
    <t>美丽的红丝带，可用于兑换特殊道具。</t>
  </si>
  <si>
    <t>item_78</t>
  </si>
  <si>
    <t>item_64</t>
  </si>
  <si>
    <t>1:1001,630043,50;1001,630040,50;1001,630044,50;1001,630046,50;1001,630047,50;1001,630049,50;1001,630050,50;1001,630052,50;1001,630053,50</t>
  </si>
  <si>
    <t>选择获得一位角色的时装</t>
  </si>
  <si>
    <t>1:1001,713070,1;1001,713071,1;1001,713056,1;1001,713058,1;1001,713064,1;1001,713065,1</t>
  </si>
  <si>
    <t>献礼福牌</t>
  </si>
  <si>
    <t>落樱祈福活动道具，可在家园的樱花树下进行献礼抽奖。</t>
  </si>
  <si>
    <t>UI_yinhuafu</t>
  </si>
  <si>
    <t>落樱信笺</t>
  </si>
  <si>
    <t>寄托落樱祝福的信笺，可在用于兑换活动道具。</t>
  </si>
  <si>
    <t>UI_yinhuaxinqian</t>
  </si>
  <si>
    <t>清凉冰块</t>
  </si>
  <si>
    <t>炎炎夏日即将到来，祝各位船长们度过一个清凉的夏日生活。打开后随机获得一个高品质道具</t>
  </si>
  <si>
    <t>寄托着对相思之人的深情爱意，使用后有概率获得高级道具。</t>
  </si>
  <si>
    <t>阵法任选箱</t>
  </si>
  <si>
    <t>可从以下8种阵型任选其一（毁灭之阵、勇士之阵、魔力之阵、幻想之阵、群免之阵、极伤之阵、抗敌之阵、远投之阵）</t>
  </si>
  <si>
    <t>1:1001,233041,1;1001,233042,1;1001,233043,1;1001,233044,1;1001,233045,1;1001,233046,1;1001,233047,1;1001,233051,1</t>
  </si>
  <si>
    <t>童年时期度过闲暇时光的一种娱乐方式，可用于兑换特殊道具</t>
  </si>
  <si>
    <t>item_79</t>
  </si>
  <si>
    <t>2021/6/9-23:59:59</t>
  </si>
  <si>
    <t>折扇</t>
  </si>
  <si>
    <t>绘画着彩色图案的儿童折扇，可用于兑换特殊道具</t>
  </si>
  <si>
    <t>item_80</t>
  </si>
  <si>
    <t>玩具熊</t>
  </si>
  <si>
    <t>大人们送给孩子们的童年礼物，使用后有概率获得高级道具。</t>
  </si>
  <si>
    <t>item_81</t>
  </si>
  <si>
    <t>粽子礼箱</t>
  </si>
  <si>
    <t>被精致包装过的端午节粽子，使用后有概率获得高级道具。</t>
  </si>
  <si>
    <t>item_73</t>
  </si>
  <si>
    <t>一篮美味的粽子，使用后有概率获得高级道具。</t>
  </si>
  <si>
    <t>端午节粽子</t>
  </si>
  <si>
    <t>庆贺端午节喜气洋洋的气氛，使用后有概率获得高级道具。</t>
  </si>
  <si>
    <t>战船任选箱</t>
  </si>
  <si>
    <t>可以从九蛇海盗船、雷德佛斯号、幽灵船、风·格拉玛号、莫比迪克号、多弗拉门戈的船、前进·路飞前辈号中任意选择一艘战船。</t>
  </si>
  <si>
    <t>1:1001,122012,1;1001,122013,1;1001,122019,1;1001,122015,1;1001,122022,1;1001,122023,1;1001,122030,1</t>
  </si>
  <si>
    <t>通行证礼盒</t>
  </si>
  <si>
    <t>打开后随机获得道具奖励，有概率获得高级道具。</t>
  </si>
  <si>
    <t>可以从玛丽弗德(沙·鳄鱼)、狗头帽(戈普)、阿拉巴斯坦(艾斯)、玛丽弗德(巴奇)、水之都(鲁兹)、路西(新世界路飞)、黑色西服(新世界佐罗)、泳装(佩罗娜)、泳装(薇薇)、泳装(罗宾)中任意选择一件时装。</t>
  </si>
  <si>
    <t>1:1001,713014,1;1001,713016,1;1001,713018,1;1001,713024,1;1001,713050,1;1001,713030,1;1001,713043,1;1001,713026,1;1001,713044,1;1001,713022,1</t>
  </si>
  <si>
    <t>炎炎夏日已经到来，祝各位船长们能享受到清凉的夏日生活。打开后随机获得一个高品质道具</t>
  </si>
  <si>
    <t>夏日用来抵御炎热享受清凉的道具。打开后随机获得一个高品质道具</t>
  </si>
  <si>
    <t>夏日用来抵御炎热享受清凉的道具。使用后有一定几率获得稀有道具</t>
  </si>
  <si>
    <t>可以从糖糖(泳装)、丽久(礼服)、萨博(黑鸦)几款时装中任选一款</t>
  </si>
  <si>
    <t>1:1001,713075,1;1001,713069,1;1001,713053,1</t>
  </si>
  <si>
    <t>7级七彩宝石任选袋</t>
  </si>
  <si>
    <t>打开后可任选一块7级七彩宝石</t>
  </si>
  <si>
    <t>1:1001,1010107,1;1001,1010207,1;1001,1010307,1;1001,1010407,1;1001,1010507,1;1001,1010607,1</t>
  </si>
  <si>
    <t>可以从新世界鹰眼(和服)、光月御殿(皇冠)、新世界鲁兹(和服)、凯多(龙形态)、奶昔(泳装)几款时装中任选一款</t>
  </si>
  <si>
    <t>1:1001,713073,1;1001,713076,1;1001,713070,1;1001,713058,1;1001,713064,1</t>
  </si>
  <si>
    <t>1:1001,630056,50;1001,630059,50;1001,630055,50;1001,630052,50;1001,630047,50;1001,630045,50;1001,630046,50;1001,630054,50</t>
  </si>
  <si>
    <t>可以从米霍克的船、前进·路飞前辈号、方舟箴言、女王妈妈吟唱者中任意选择一艘战船。</t>
  </si>
  <si>
    <t>1:1001,122031,1;1001,122030,1;1001,122029,1;1001,122028,1</t>
  </si>
  <si>
    <t>炎炎夏日已经到来，祝各位船长们能享受到清凉的夏日生活，可用于兑换特殊道具</t>
  </si>
  <si>
    <t>2021/8/11-23:59:59</t>
  </si>
  <si>
    <t>夏日用来抵御炎热享受清凉的物品，打开后随机获得一个高品质道具</t>
  </si>
  <si>
    <t>夏日用来抵御炎热享受清凉的物品，可用于兑换特殊道具</t>
  </si>
  <si>
    <t>保底任选箱</t>
  </si>
  <si>
    <t>任意选择一个本期限定招募角色</t>
  </si>
  <si>
    <t>SSR假图标</t>
  </si>
  <si>
    <t>随机获得本次招募角色中任意一名SSR角色</t>
  </si>
  <si>
    <t>UI_ssr</t>
  </si>
  <si>
    <t>可以从凯多(龙形态)、夏洛特·玲玲(睡衣)、糖糖（泳装）几款时装中任选一款</t>
  </si>
  <si>
    <t>1:1001,713056,1;1001,713058,1;1001,713075,1</t>
  </si>
  <si>
    <t>可以从米霍克的船、前进·路飞前辈号中任意选择一艘战船。</t>
  </si>
  <si>
    <t>1:1001,122031,1;1001,122030,1</t>
  </si>
  <si>
    <t>红色的气球，使用后有概率获得高级道具。</t>
  </si>
  <si>
    <t>活动期间参与讨伐任务有几率获得，可用于兑换特殊道具。</t>
  </si>
  <si>
    <t>2021/9/15-23:59:59</t>
  </si>
  <si>
    <t>活动期间参与每日任务和剧情回顾有几率获得，可用于兑换特殊道具。</t>
  </si>
  <si>
    <t>海军激战战利品</t>
  </si>
  <si>
    <t>海军激战的战利品箱子，使用后有概率获得高级道具</t>
  </si>
  <si>
    <t>华彩宝石袋</t>
  </si>
  <si>
    <t>装有宝石的小袋子，打开后可以获得高档宝石，有几率开出七彩宝石。</t>
  </si>
  <si>
    <t>七彩宝箱</t>
  </si>
  <si>
    <t>装有七彩原石和七彩宝石的宝箱，打开后可以随机获得七彩原石或七彩宝石。</t>
  </si>
  <si>
    <t>争霸赛霸主</t>
  </si>
  <si>
    <t>使用后获得限定称号：争霸赛霸主</t>
  </si>
  <si>
    <t>title_ch</t>
  </si>
  <si>
    <t>超越·三周年</t>
  </si>
  <si>
    <t>使用后获得限定称号：超越·三周年</t>
  </si>
  <si>
    <t>寻梦·三周年</t>
  </si>
  <si>
    <t>使用后获得限定称号：寻梦·三周年</t>
  </si>
  <si>
    <t>燃情·三周年</t>
  </si>
  <si>
    <t>使用后获得限定称号：燃情·三周年</t>
  </si>
  <si>
    <t>携舟与共</t>
  </si>
  <si>
    <t>使用后获得限定称号：携舟与共</t>
  </si>
  <si>
    <t>1:1001,630060,50;1001,630059,50;1001,630058,50;1001,630061,50;1001,630049,50;1001,630055,50;1001,630046,50;1001,630051,50</t>
  </si>
  <si>
    <t>3周年庆典礼盒</t>
  </si>
  <si>
    <t>庆祝即将到来的三周年活动，祝各位船长玩的愉快。打开后随机获得一个高品质道具</t>
  </si>
  <si>
    <t>3周年庆典气球</t>
  </si>
  <si>
    <t>幸运礼袋</t>
  </si>
  <si>
    <t>幸运转盘抽到的小礼品袋子，使用后有概率获得高级道具。</t>
  </si>
  <si>
    <t>Baby5招募礼盒</t>
  </si>
  <si>
    <t>内含50个Baby5角色碎片</t>
  </si>
  <si>
    <t>1001,630063,50</t>
  </si>
  <si>
    <t>可从从以下7种阵型中任选其一（蔑视之阵、远投之阵、抗敌之阵、极伤之阵、群免之阵、幻想之阵、毁灭之阵）</t>
  </si>
  <si>
    <t>1:1001,233052,1;1001,233051,1;1001,233047,1;1001,233046,1;1001,233045,1;1001,233044,1;1001,233041,1</t>
  </si>
  <si>
    <t>可以从以下5种时装中任意选择一件[ 凯罗特（和服）、凯文迪修（法鲁鲁）、光月御殿（皇冠）、新世界米霍克（和服）、新世界鲁兹（和服）]</t>
  </si>
  <si>
    <t>1:1001,713077,1;1001,713074,1;1001,713076,1;1001,713073,1;1001,713070,1</t>
  </si>
  <si>
    <t>白胡子海贼团任选箱</t>
  </si>
  <si>
    <t>可以从以下4名白胡子海贼团队长中任意选择一名（乔兹、比斯塔、艾斯、马尔高）</t>
  </si>
  <si>
    <t>1:1001,630020,50;1001,630023,50;1001,630008,50;1001,630022,50</t>
  </si>
  <si>
    <t>活动期间限时兑换的道具，使用后有概率获得一个高品质道具</t>
  </si>
  <si>
    <t>节日大餐</t>
  </si>
  <si>
    <t>item_30</t>
  </si>
  <si>
    <t>2021/10/20-23:59:59</t>
  </si>
  <si>
    <t>节日美食</t>
  </si>
  <si>
    <t>item_28</t>
  </si>
  <si>
    <t>究极训练书1级</t>
  </si>
  <si>
    <t>1级究极训练书，可以直接将一个角色的1级训练升至满级</t>
  </si>
  <si>
    <t>item_290900</t>
  </si>
  <si>
    <t>究极训练书2级</t>
  </si>
  <si>
    <t>2级究极训练书，可以直接将一个角色的2级训练升至满级</t>
  </si>
  <si>
    <t>item_290910</t>
  </si>
  <si>
    <t>究极训练书3级</t>
  </si>
  <si>
    <t>3级究极训练书，可以直接将一个角色的3级训练升至满级</t>
  </si>
  <si>
    <t>item_290920</t>
  </si>
  <si>
    <t>究极训练书4级</t>
  </si>
  <si>
    <t>4级究极训练书，可以直接将一个角色的4级训练升至满级</t>
  </si>
  <si>
    <t>item_290930</t>
  </si>
  <si>
    <t>究极训练书5级</t>
  </si>
  <si>
    <t>5级究极训练书，可以直接将一个角色的5级训练升至满级</t>
  </si>
  <si>
    <t>item_290940</t>
  </si>
  <si>
    <t>究极训练书6级</t>
  </si>
  <si>
    <t>6级究极训练书，可以直接将一个角色的6级训练升至满级</t>
  </si>
  <si>
    <t>item_290950</t>
  </si>
  <si>
    <t>究极训练书7级</t>
  </si>
  <si>
    <t>7级究极训练书，可以直接将一个角色的7级训练升至满级</t>
  </si>
  <si>
    <t>item_290960</t>
  </si>
  <si>
    <t>究极训练书8级</t>
  </si>
  <si>
    <t>8级究极训练书，可以直接将一个角色的8级训练升至满级</t>
  </si>
  <si>
    <t>item_290970</t>
  </si>
  <si>
    <t>究极训练书9级</t>
  </si>
  <si>
    <t>9级究极训练书，可以直接将一个角色的9级训练升至满级</t>
  </si>
  <si>
    <t>item_290980</t>
  </si>
  <si>
    <t>究极训练书10级</t>
  </si>
  <si>
    <t>10级究极训练书，可以直接将一个角色的10级训练升至满级</t>
  </si>
  <si>
    <t>item_290990</t>
  </si>
  <si>
    <t>究极训练书11级</t>
  </si>
  <si>
    <t>11级究极训练书，可以直接将一个角色的11级训练升至满级</t>
  </si>
  <si>
    <t>item_291000</t>
  </si>
  <si>
    <t>究极训练书12级</t>
  </si>
  <si>
    <t>12级究极训练书，可以直接将一个角色的12级训练升至满级</t>
  </si>
  <si>
    <t>item_291010</t>
  </si>
  <si>
    <t>究极训练书13级</t>
  </si>
  <si>
    <t>13级究极训练书，可以直接将一个角色的13级训练升至满级</t>
  </si>
  <si>
    <t>item_291020</t>
  </si>
  <si>
    <t>究极训练书14级</t>
  </si>
  <si>
    <t>14级究极训练书，可以直接将一个角色的14级训练升至满级</t>
  </si>
  <si>
    <t>item_291030</t>
  </si>
  <si>
    <t>究极训练书15级</t>
  </si>
  <si>
    <t>15级究极训练书，可以直接将一个角色的15级训练升至满级</t>
  </si>
  <si>
    <t>item_291040</t>
  </si>
  <si>
    <t>海军激战货币袋，使用有概率获得海军激战金币、海军激战银币。</t>
  </si>
  <si>
    <t>藤虎战利品·首通</t>
  </si>
  <si>
    <t>藤虎战利品</t>
  </si>
  <si>
    <t>6级七彩宝石任选袋</t>
  </si>
  <si>
    <t>打开后可任选一块6级七彩宝石</t>
  </si>
  <si>
    <t>1:1001,1010106,1;1001,1010206,1;1001,1010306,1;1001,1010406,1;1001,1010506,1;1001,1010606,1</t>
  </si>
  <si>
    <t>8级七彩宝石任选袋</t>
  </si>
  <si>
    <t>打开后可任选一块8级七彩宝石</t>
  </si>
  <si>
    <t>1:1001,1010108,1;1001,1010208,1;1001,1010308,1;1001,1010408,1;1001,1010508,1;1001,1010608,1</t>
  </si>
  <si>
    <t>万圣节皮肤任选箱</t>
  </si>
  <si>
    <t>可以从以下6种时装中任意选择一件 [新世界佐罗(万圣节)、新世界山智(万圣节)、新世界奈美(万圣节)、艾斯(万圣节)、萨博(万圣节)、新世界罗(万圣节)]</t>
  </si>
  <si>
    <t>1:1001,713062,1;1001,713061,1;1001,713063,1;1001,713052,1;1001,713055,1;1001,713059,1</t>
  </si>
  <si>
    <t>三桅帆船角色任选</t>
  </si>
  <si>
    <t>可以从以下4名恐怖三桅帆船角色团中任意选择一名（龙马、佩罗娜、豪格巴克、阿布萨罗姆）</t>
  </si>
  <si>
    <t>1:1001,620026,50;1001,620025,50;1001,620024,50;1001,620023,50</t>
  </si>
  <si>
    <t>草帽海贼团角色任选</t>
  </si>
  <si>
    <t>草帽海盗团角色任选</t>
  </si>
  <si>
    <t>可以从以下6名草帽海盗团角色中任意选择一名（新世界路飞、新世界佐罗、新世界山智、新世界奈美、新世界罗宾、新世界撒谎布）</t>
  </si>
  <si>
    <t>1:1001,630031,50;1001,630026,50;1001,630037,50;1001,630028,50;1001,630029,50;1001,630025,50</t>
  </si>
  <si>
    <t>旧七武海角色任选</t>
  </si>
  <si>
    <t>可以从以下4名旧七武海角色中任意选择一名（莫利亚，甚平，沙鳄鱼，大熊）</t>
  </si>
  <si>
    <t>1:1001,630001,50;1001,630005,50;1001,630006,50;1001,630012,50</t>
  </si>
  <si>
    <t>万圣节里捣蛋鬼们用大南瓜头制作的吓人灯笼，活动期间内参与讨伐任务有几率获得，可用于兑换特殊道具。</t>
  </si>
  <si>
    <t>2021/11/20-23:59:59</t>
  </si>
  <si>
    <t>万圣节里捣蛋鬼们用小南瓜头制作的引路灯笼，活动期间内参与每日任务和剧情回顾有几率获得，可用于兑换特殊道具。</t>
  </si>
  <si>
    <t>一个诡异的玩具熊，捣蛋鬼们在里面藏了什么东西吗，使用后有概率获得一个高品质道具</t>
  </si>
  <si>
    <t>家园建筑任选箱</t>
  </si>
  <si>
    <t>可以从以下3份道具中任意选择一份（巨鲸号角、石料钢材组合、彩钻500）</t>
  </si>
  <si>
    <t>1:1001,511313,1;1001,511320,1;1,0,500</t>
  </si>
  <si>
    <t>1:1001,630052,50;1001,630040,50;1001,630053,50;1001,630058,50;1001,630059,50;1001,630038,50;1001,630036,50;1001,630035,50</t>
  </si>
  <si>
    <t>可以从以下5种时装中任意选择一件 [凯文迪修（法鲁鲁）、新世界塔希米（泳装）、阿菊（大铠）、推进城汉库珂（和服）、夏洛特·玲玲（睡衣）]</t>
  </si>
  <si>
    <t>1:1001,713074,1;1001,713047,1;1001,713078,1;1001,713071,1;1001,713056,1</t>
  </si>
  <si>
    <t>方形风筝</t>
  </si>
  <si>
    <t>2021/11/24-23:59:59</t>
  </si>
  <si>
    <t>羽毛毽子</t>
  </si>
  <si>
    <t>红色气球</t>
  </si>
  <si>
    <t>双11女神任选</t>
  </si>
  <si>
    <t>可以从以下4名SSR角色中任意选择一名（新世界奈美、新世界罗宾、汉库珂、新世界塔希米）</t>
  </si>
  <si>
    <t>1:1001,630028,50;1001,630029,50;1001,630013,50;1001,630033,50</t>
  </si>
  <si>
    <t>巅峰挑战者</t>
  </si>
  <si>
    <t>使用后获得限定称号：巅峰挑战者</t>
  </si>
  <si>
    <t>SSR角色任选</t>
  </si>
  <si>
    <t>可以从以下4名SSR角色中任意选择一名（白胡子、雷利、新世界佐罗、新世界撒谎布）</t>
  </si>
  <si>
    <t>1:1001,630021,50;1001,630016,50;1001,630026,50;1001,630025,50</t>
  </si>
  <si>
    <t>高级突破材料任选</t>
  </si>
  <si>
    <t>1:1001,214009,1;1001,214111,1;1001,214112,1;1001,214113,1;1001,214114,1</t>
  </si>
  <si>
    <t>超级突破材料任选</t>
  </si>
  <si>
    <t>1:1001,215009,1;1001,215111,1;1001,215112,1;1001,215113,1;1001,215114,1</t>
  </si>
  <si>
    <t>可以从以下5种时装中任意选择一件[ 年轻白胡子（和服）、凯多（龙形态）、糖糖（泳装）、丽久（礼服）、奶昔（泳装）]</t>
  </si>
  <si>
    <t>1:1001,713079,1;1001,713058,1;1001,713075,1;1001,713069,1;1001,713064,1</t>
  </si>
  <si>
    <t>感恩节花束</t>
  </si>
  <si>
    <t>寄托着对身边伙伴的感谢之情，使用后有概率获得高级道具。</t>
  </si>
  <si>
    <t>感恩节礼品巧克力</t>
  </si>
  <si>
    <t>感恩节到来之际，感谢一起相伴航海之旅的各位船长，使用后有概率获得高级道具。</t>
  </si>
  <si>
    <t>激斗日常礼包</t>
  </si>
  <si>
    <t>激斗赛每日奖励礼包，使用后有概率获得高级道具。</t>
  </si>
  <si>
    <t>可以从以下7种战船中任意选择一种[ 黑桃海盗船、米霍克的船、幽灵船、风·格拉玛号、莫比迪克号、弗拉门戈号、前进·路飞前辈号 ]</t>
  </si>
  <si>
    <t>1:1001,122020,1;1001,122031,1;1001,122019,1;1001,122015,1;1001,122022,1;1001,122023,1;1001,122030,1</t>
  </si>
  <si>
    <t>可以从以下3种时装中任意选择一件 [凯罗特（和服）、凯文迪修（法鲁鲁）、阿菊（大铠）]</t>
  </si>
  <si>
    <t>1:1001,713077,1;1001,713074,1;1001,713078,1</t>
  </si>
  <si>
    <t>美味的圣诞饼干，活动期间内参与讨伐任务有几率获得，使用后有概率获得高级道具。</t>
  </si>
  <si>
    <t>象征平安的苹果，活动期间内参与每日任务和剧情回顾有几率获得，使用后有概率获得高级道具。</t>
  </si>
  <si>
    <t>可以从德雷克（异特龙）、大和（面具）、烬（无齿翼龙）几款时装中任选一款</t>
  </si>
  <si>
    <t>1:1001,713085,1;1001,713092,1;1001,713095,1</t>
  </si>
  <si>
    <t>可以从佩吉旺（脊背龙）、润媞（肿头龙）、丽久（礼服）、杰克（猛犸形态）、光月御殿（皇冠）几款时装中任选一款</t>
  </si>
  <si>
    <t>1:1001,713096,1;1001,713094,1;1001,713069,1;1001,713089,1;1001,713076,1</t>
  </si>
  <si>
    <t>路飞觉醒徽章</t>
  </si>
  <si>
    <t>新世界路飞觉醒徽章</t>
  </si>
  <si>
    <t>觉醒功能消耗，可用于新世界路飞觉醒。</t>
  </si>
  <si>
    <t>item_juexinglufei001</t>
  </si>
  <si>
    <t>觉醒挑战券</t>
  </si>
  <si>
    <t>使用后增加觉醒副本次数。</t>
  </si>
  <si>
    <t>Ui_616005</t>
  </si>
  <si>
    <t>强者同行任选箱</t>
  </si>
  <si>
    <t>可以从杰克斯和黑胡子中任选一名</t>
  </si>
  <si>
    <t>1:1001,630024,50;1001,630027,50</t>
  </si>
  <si>
    <t>会员专享阵法箱</t>
  </si>
  <si>
    <t>可从以下5种阵型任选其一（防护之阵、冲击之阵、曙光之阵、进击之阵、元素之阵）</t>
  </si>
  <si>
    <t>1:1001,233029,1;1001,233030,1;1001,233028,1;1001,233031,1;1001,233032,1</t>
  </si>
  <si>
    <t>会员专享战船箱</t>
  </si>
  <si>
    <t>可以从一下4种战船中任选一艘[太阳海盗船、戈普的军舰、风·格拉玛号、幽灵船]</t>
  </si>
  <si>
    <t>1:1001,122017,1;1001,122016,1;1001,122015,1;1001,122019,1</t>
  </si>
  <si>
    <t>一掷千金</t>
  </si>
  <si>
    <t>使用后获得限定称号：一掷千金</t>
  </si>
  <si>
    <t>见证·新航线</t>
  </si>
  <si>
    <t>使用后获得限定称号：见证·新航线</t>
  </si>
  <si>
    <t>可以从以下3种时装中任意选择一件 [丽久（礼服）、年轻白胡子（和服）、大和（面具）]</t>
  </si>
  <si>
    <t>1:1001,713069,1;1001,713079,1;1001,713092,1</t>
  </si>
  <si>
    <t>可以从以下时装中任意选择一件[龙人凯多（龙人形态）、凯多（龙形态）、新世界弗兰奇（黑犀牛FR）]</t>
  </si>
  <si>
    <t>1:1001,713087,1;1001,713058,1;1001,713039,1</t>
  </si>
  <si>
    <t>可任选一名SR英雄。</t>
  </si>
  <si>
    <t>1:1001,620006,30;1001,620007,30;1001,620008,30;1001,620009,30;1001,620010,30;1001,620011,30;1001,620012,30;1001,620013,30;1001,620014,30;1001,620015,30;1001,620016,30;1001,620017,30;1001,620019,30;1001,620020,30;1001,620021,30;1001,620023,30;1001,620024,30;1001,620025,30;1001,620026,30;1001,620027,30;</t>
  </si>
  <si>
    <t>老区SSR任选箱</t>
  </si>
  <si>
    <t>SSR任选宝箱</t>
  </si>
  <si>
    <t>【角色】周年任选宝箱，使用后可选择获得一个SSR角色。</t>
  </si>
  <si>
    <t>1:1001,630063,50;1001,630002,50;1001,630003,50;1001,630007,50;1001,630008,50;1001,630009,50;1001,630011,50;1001,630012,50;1001,630013,50;1001,630014,50;1001,630016,50;1001,630020,50;1001,630021,50;1001,630022,50;1001,630023,50;1001,630024,50;1001,630025,50;1001,630026,50;1001,630027,50;1001,630028,50;1001,630029,50;1001,630030,50;1001,630031,50;1001,630032,50;1001,630033,50;1001,630034,50;1001,630035,50;1001,630036,50;1001,630037,50;1001,630038,50;1001,630039,50;1001,630040,50;1001,630041,50;1001,630042,50;1001,630043,50;1001,630044,50;1001,630045,50;1001,630046,50;1001,630047,50;1001,630049,50;1001,630050,50;1001,630051,50;1001,630052,50;1001,630053,50;1001,630054,50;1001,630055,50;1001,630056,50;1001,630057,50;1001,630058,50;1001,630059,50;1001,630060,50;1001,630061,50;1001,630062,50</t>
  </si>
  <si>
    <t>新区SSR任选箱</t>
  </si>
  <si>
    <t>1:1001,630063,50;1001,630003,50;1001,630007,50;1001,630008,50;1001,630009,50;1001,630011,50;1001,630012,50;1001,630013,50;1001,630014,50;1001,630020,50;1001,630021,50;1001,630022,50;1001,630023,50;1001,630025,50;1001,630026,50;1001,630028,50;1001,630029,50;1001,630031,50;1001,630032,50;1001,630033,50;1001,630035,50;1001,630036,50;1001,630037,50;1001,630038,50;1001,630039,50;1001,630040,50;1001,630042,50;1001,630044,50;1001,630045,50;1001,630046,50;1001,630047,50;1001,630052,50;1001,630053,50;1001,630055,50;1001,630056,50;1001,630058,50;1001,630060,50</t>
  </si>
  <si>
    <t>称号：新星统帅</t>
  </si>
  <si>
    <t>使用获得称号：新星统帅</t>
  </si>
  <si>
    <t>称号：巅峰霸者</t>
  </si>
  <si>
    <t>使用获得称号：巅峰霸者</t>
  </si>
  <si>
    <t>称号：航路传说</t>
  </si>
  <si>
    <t>使用获得称号：航路传说</t>
  </si>
  <si>
    <t>称号：王者之巅</t>
  </si>
  <si>
    <t>使用获得称号：王者之巅</t>
  </si>
  <si>
    <t>名字框：竞技场之星</t>
  </si>
  <si>
    <t>竞技场之星</t>
  </si>
  <si>
    <t>使用后获得名字框：竞技场之星</t>
  </si>
  <si>
    <t>UI_mingzikuang_jingji_pic</t>
  </si>
  <si>
    <t>名字框：花开伴柳</t>
  </si>
  <si>
    <t>花开伴柳</t>
  </si>
  <si>
    <t>使用后获得名字框：花开伴柳</t>
  </si>
  <si>
    <t>UI_mingzikuang_qingming_pic</t>
  </si>
  <si>
    <t>名字框：S1激斗赛之王</t>
  </si>
  <si>
    <t>S1激斗赛之王</t>
  </si>
  <si>
    <t>使用后获得名字框：S1激斗赛之王</t>
  </si>
  <si>
    <t>UI_mingzikuang_jidousai_pic</t>
  </si>
  <si>
    <t>名字框：出航-25周年</t>
  </si>
  <si>
    <t>出航-25周年</t>
  </si>
  <si>
    <t>使用后获得名字框：出航-25周年</t>
  </si>
  <si>
    <t>UI_mingzikuang_25th_pic</t>
  </si>
  <si>
    <t>名字框：四周年庆</t>
  </si>
  <si>
    <t>四周年庆</t>
  </si>
  <si>
    <t>使用后获得名字框：四周年庆</t>
  </si>
  <si>
    <t>UI_mingzikuang_ly_pic</t>
  </si>
  <si>
    <t>名字框：万圣节</t>
  </si>
  <si>
    <t>万圣节</t>
  </si>
  <si>
    <t>使用后获得名字框：万圣节</t>
  </si>
  <si>
    <t>UI_mingzikuang_wsj_item</t>
  </si>
  <si>
    <t>名字框：梦幻冒险</t>
  </si>
  <si>
    <t>梦幻冒险</t>
  </si>
  <si>
    <t>使用后获得名字框：梦幻冒险</t>
  </si>
  <si>
    <t>UI_mingzikuang_mhmx_item</t>
  </si>
  <si>
    <t>名字框：圣诞庆典</t>
  </si>
  <si>
    <t>圣诞庆典</t>
  </si>
  <si>
    <t>使用后获得名字框：圣诞庆典</t>
  </si>
  <si>
    <t>UI_mingzikuang_sdj_item</t>
  </si>
  <si>
    <t>名字框：甜蜜情人节</t>
  </si>
  <si>
    <t>甜蜜情人节</t>
  </si>
  <si>
    <t>使用后获得名字框：甜蜜情人节</t>
  </si>
  <si>
    <t>UI_mingzikuang_qrj_item</t>
  </si>
  <si>
    <t>名字框：世界歌姬</t>
  </si>
  <si>
    <t>世界歌姬</t>
  </si>
  <si>
    <t>使用后获得名字框：世界歌姬</t>
  </si>
  <si>
    <t>UI_mingzikuang_sjgj_item</t>
  </si>
  <si>
    <t>名字框：闪亮歌姬</t>
  </si>
  <si>
    <t>闪亮歌姬</t>
  </si>
  <si>
    <t>使用后获得名字框：闪亮歌姬</t>
  </si>
  <si>
    <t>UI_mingzikuang_slgj_item</t>
  </si>
  <si>
    <t>跨服争霸赛冠军名字框</t>
  </si>
  <si>
    <t>跨服争霸赛冠军</t>
  </si>
  <si>
    <t>使用后获得名字框：2023跨服争霸赛冠军</t>
  </si>
  <si>
    <t>UI_item23zb01</t>
  </si>
  <si>
    <t>跨服争霸赛亚军名字框</t>
  </si>
  <si>
    <t>跨服争霸赛亚军</t>
  </si>
  <si>
    <t>使用后获得名字框：2023跨服争霸赛亚军</t>
  </si>
  <si>
    <t>UI_item23zb02</t>
  </si>
  <si>
    <t>跨服争霸赛季军名字框</t>
  </si>
  <si>
    <t>跨服争霸赛季军</t>
  </si>
  <si>
    <t>使用后获得名字框：2023跨服争霸赛季军</t>
  </si>
  <si>
    <t>UI_item23zb03</t>
  </si>
  <si>
    <t>名字框：五周年庆</t>
  </si>
  <si>
    <t>使用后获得名字框：五周年庆</t>
  </si>
  <si>
    <t>Ui_name_5zn_item</t>
  </si>
  <si>
    <t>名字框：2024春节</t>
  </si>
  <si>
    <t>使用后获得名字框：2024春节</t>
  </si>
  <si>
    <t>UI_mingzikuang_2024item</t>
  </si>
  <si>
    <t>名字框：六周年庆</t>
  </si>
  <si>
    <t>使用后获得名字框：六周年庆</t>
  </si>
  <si>
    <t>Ui_name_6zn_item</t>
  </si>
  <si>
    <t>随风飞舞的小风筝，可在六周年活动中兑换特殊道具。</t>
  </si>
  <si>
    <t>气球</t>
  </si>
  <si>
    <t>红色的气球，可在六周年活动中兑换特殊道具。</t>
  </si>
  <si>
    <t>春日惊喜宝箱</t>
  </si>
  <si>
    <t>祝各位船长玩的愉快。打开后随机获得高品质道具</t>
  </si>
  <si>
    <t>lb_15</t>
  </si>
  <si>
    <t>周年之约</t>
  </si>
  <si>
    <t>来自燃烧意志的一份周年庆预备好礼，仅可在七周年庆典时兑换特殊道具。</t>
  </si>
  <si>
    <t>艾斯觉醒徽章</t>
  </si>
  <si>
    <t>觉醒功能消耗，可用于艾斯觉醒。</t>
  </si>
  <si>
    <t>Item_juexing002</t>
  </si>
  <si>
    <t>艾尼路觉醒徽章</t>
  </si>
  <si>
    <t>觉醒功能消耗，可用于艾尼路觉醒。</t>
  </si>
  <si>
    <t>Item_juexing003</t>
  </si>
  <si>
    <t>推进城汉库珂觉醒徽章</t>
  </si>
  <si>
    <t>觉醒功能消耗，可用于推进城汉库珂觉醒。</t>
  </si>
  <si>
    <t>Item_juexing004</t>
  </si>
  <si>
    <t>沙·鳄鱼觉醒徽章</t>
  </si>
  <si>
    <t>觉醒功能消耗，可用于沙·鳄鱼觉醒。</t>
  </si>
  <si>
    <t>Item_juexing005</t>
  </si>
  <si>
    <t>新世界鲁兹觉醒徽章</t>
  </si>
  <si>
    <t>觉醒功能消耗，可用于新世界鲁兹觉醒。</t>
  </si>
  <si>
    <t>Item_juexing006</t>
  </si>
  <si>
    <t>夏洛特玲玲觉醒徽章</t>
  </si>
  <si>
    <t>觉醒功能消耗，可用于夏洛特玲玲觉醒。</t>
  </si>
  <si>
    <t>Item_juexing007</t>
  </si>
  <si>
    <t>卡塔库栗觉醒徽章</t>
  </si>
  <si>
    <t>觉醒功能消耗，可用于卡塔库栗觉醒。</t>
  </si>
  <si>
    <t>Item_juexing008</t>
  </si>
  <si>
    <t>萨波觉醒徽章</t>
  </si>
  <si>
    <t>觉醒功能消耗，可用于萨波觉醒。</t>
  </si>
  <si>
    <t>Item_juexing009</t>
  </si>
  <si>
    <t>黄猿觉醒徽章</t>
  </si>
  <si>
    <t>觉醒功能消耗，可用于黄猿觉醒。</t>
  </si>
  <si>
    <t>UI_title_juexing10</t>
  </si>
  <si>
    <t>大熊觉醒徽章</t>
  </si>
  <si>
    <t>觉醒功能消耗，可用于大熊觉醒。</t>
  </si>
  <si>
    <t>Item_juexing011</t>
  </si>
  <si>
    <t>奶昔觉醒徽章</t>
  </si>
  <si>
    <t>觉醒功能消耗，可用于奶昔觉醒。</t>
  </si>
  <si>
    <t>Item_juexing012</t>
  </si>
  <si>
    <t>苏打饼觉醒徽章</t>
  </si>
  <si>
    <t>觉醒功能消耗，可用于苏打饼觉醒。</t>
  </si>
  <si>
    <t>Item_juexing013</t>
  </si>
  <si>
    <t>布玲觉醒徽章</t>
  </si>
  <si>
    <t>觉醒功能消耗，可用于布玲觉醒。</t>
  </si>
  <si>
    <t>Item_juexing014</t>
  </si>
  <si>
    <t>烬觉醒徽章</t>
  </si>
  <si>
    <t>觉醒功能消耗，可用于烬觉醒。</t>
  </si>
  <si>
    <t>Item_juexing015</t>
  </si>
  <si>
    <t>青年雷利觉醒徽章</t>
  </si>
  <si>
    <t>觉醒功能消耗，可用于青年雷利觉醒。</t>
  </si>
  <si>
    <t>Item_juexing016</t>
  </si>
  <si>
    <t>杰克觉醒徽章</t>
  </si>
  <si>
    <t>觉醒功能消耗，可用于杰克觉醒。</t>
  </si>
  <si>
    <t>Item_juexing017</t>
  </si>
  <si>
    <t>昆因觉醒徽章</t>
  </si>
  <si>
    <t>觉醒功能消耗，可用于昆因觉醒。</t>
  </si>
  <si>
    <t>Item_juexing018</t>
  </si>
  <si>
    <t>新世界库赞觉醒徽章</t>
  </si>
  <si>
    <t>觉醒功能消耗，可用于新世界库赞觉醒。</t>
  </si>
  <si>
    <t>Item_juexing019</t>
  </si>
  <si>
    <t>光月御殿觉醒徽章</t>
  </si>
  <si>
    <t>觉醒功能消耗，可用于光月御殿觉醒。</t>
  </si>
  <si>
    <t>Item_juexing020</t>
  </si>
  <si>
    <t>戈普觉醒徽章</t>
  </si>
  <si>
    <t>觉醒功能消耗，可用于戈普觉醒。</t>
  </si>
  <si>
    <t>Item_juexing021</t>
  </si>
  <si>
    <t>百兽团助威之证</t>
  </si>
  <si>
    <t>助威功能消耗，可用于龙人凯多解锁百兽团助威！</t>
  </si>
  <si>
    <t>Item_zhuwei001</t>
  </si>
  <si>
    <t>阿菊觉醒徽章</t>
  </si>
  <si>
    <t>觉醒功能消耗，可用于阿菊觉醒。</t>
  </si>
  <si>
    <t>Item_juexing022</t>
  </si>
  <si>
    <t>锦卫门觉醒徽章</t>
  </si>
  <si>
    <t>觉醒功能消耗，可用于锦卫门觉醒。</t>
  </si>
  <si>
    <t>Item_juexing023</t>
  </si>
  <si>
    <t>觉醒徽章礼盒（新世界路飞）</t>
  </si>
  <si>
    <t>开启可获得新世界路飞觉醒徽章</t>
  </si>
  <si>
    <t>打开后随机获得一定数量的随机SR角色碎片。</t>
  </si>
  <si>
    <t>嘉年华活跃度</t>
  </si>
  <si>
    <t>完成嘉年华任务获得的活跃度，用于激活嘉年华大奖</t>
  </si>
  <si>
    <t>UI_icon_jnh</t>
  </si>
  <si>
    <t>梦想永不终结</t>
  </si>
  <si>
    <t>使用后获得限定称号：梦想永不终结</t>
  </si>
  <si>
    <t>SSR任选箱H5活动</t>
  </si>
  <si>
    <t>打开后从新世界塔西米、新世界罗宾、新世界奈美中任选一位角色。</t>
  </si>
  <si>
    <t>1:1001,630033,50;1001,630028,50;1001,630029,50</t>
  </si>
  <si>
    <t>船任选箱H5活动</t>
  </si>
  <si>
    <t>战船任选宝箱</t>
  </si>
  <si>
    <t>打开后从戈普的军舰、太阳海盗船、黑胡子木筏中任选一艘战船。</t>
  </si>
  <si>
    <t>1:1001,122011,1;1001,122016,1;1001,122017,1</t>
  </si>
  <si>
    <t>阵法任选箱H5活动</t>
  </si>
  <si>
    <t>阵法任选宝箱</t>
  </si>
  <si>
    <t>打开后从激进之阵、冥想之阵、元素之阵中任选一个阵法。</t>
  </si>
  <si>
    <t>1:1001,233032,1;1001,233034,1;1001,233035,1</t>
  </si>
  <si>
    <t>激斗达人</t>
  </si>
  <si>
    <t>使用后获得激斗赛专属称号：激斗达人</t>
  </si>
  <si>
    <t>见习训练礼包</t>
  </si>
  <si>
    <t>打开后可获得：1级训练书*15,2级训练书*30,3级训练书*45</t>
  </si>
  <si>
    <t>1001,211021,15;1001,212021,30;1001,213021,45</t>
  </si>
  <si>
    <t>进阶训练礼包</t>
  </si>
  <si>
    <t>打开后可获得：4级训练书*30,5级训练书*40</t>
  </si>
  <si>
    <t>1001,214021,30;1001,215021,40</t>
  </si>
  <si>
    <t>冲刺训练礼包</t>
  </si>
  <si>
    <t>打开后可获得：冲刺训练书*9,奥义经验卷轴*10</t>
  </si>
  <si>
    <t>1001,210121,9;1001,216001,10</t>
  </si>
  <si>
    <t>活动副本入场次数</t>
  </si>
  <si>
    <t>可以增加活动副本入场次数</t>
  </si>
  <si>
    <t>可以从以下7种战船中任意选择一种[方舟箴言、米霍克的船、幽灵船、风·格拉玛号、莫比迪克号、弗拉门戈号、前进·路飞前辈号]</t>
  </si>
  <si>
    <t>1:1001,122028,1;1001,122031,1;1001,122019,1;1001,122015,1;1001,122022,1;1001,122023,1;1001,122030,1</t>
  </si>
  <si>
    <t>血战奖励宝石袋</t>
  </si>
  <si>
    <t>装有宝石的小袋子，打开后可以获得2级或3级宝石一颗</t>
  </si>
  <si>
    <t>初级突破材料任选</t>
  </si>
  <si>
    <t>可以从初级突破材料中任选某一种道具5个</t>
  </si>
  <si>
    <t>1:1001,212009,5;1001,212111,5;1001,212112,5;1001,212113,5;1001,212114,5</t>
  </si>
  <si>
    <t>中级突破材料任选</t>
  </si>
  <si>
    <t>可以从中级突破材料中任选某一种道具5个</t>
  </si>
  <si>
    <t>1:1001,213009,5;1001,213111,5;1001,213112,5;1001,213113,5;1001,213114,5</t>
  </si>
  <si>
    <t>可以从高级突破材料中任选某一种道具5个</t>
  </si>
  <si>
    <t>1:1001,214009,5;1001,214111,5;1001,214112,5;1001,214113,5;1001,214114,5</t>
  </si>
  <si>
    <t>可以从以下4种时装中任意选择一件 [新世界库赞(企鹅)、新世界马尔高(不死鸟)、凯文迪修(法鲁鲁)、萨波(黑鸦)]</t>
  </si>
  <si>
    <t>1:1001,713065,1;1001,713072,1;1001,713074,1;1001,713053,1</t>
  </si>
  <si>
    <t>2022/1/19-23:59:59</t>
  </si>
  <si>
    <t>活动换取的小礼品袋子，使用后有概率获得高级道具。</t>
  </si>
  <si>
    <t>可以从高级突破材料中任选某一种道具7个</t>
  </si>
  <si>
    <t>1:1001,214009,7;1001,214111,7;1001,214112,7;1001,214113,7;1001,214114,7</t>
  </si>
  <si>
    <t>可以从超级突破材料中任选某一种道具7个</t>
  </si>
  <si>
    <t>1:1001,215009,7;1001,215111,7;1001,215112,7;1001,215113,7;1001,215114,7</t>
  </si>
  <si>
    <t>汉库珂时装任选箱</t>
  </si>
  <si>
    <t>可以从以下3件时装中任意选择一件 [玫瑰礼服、泳装、紫色旗袍]</t>
  </si>
  <si>
    <t>1:1001,713041,1;1001,713049,1;1001,713017,1</t>
  </si>
  <si>
    <t>狩猎者套装箱</t>
  </si>
  <si>
    <t>打开后可以获得一套60级狩猎者套装。</t>
  </si>
  <si>
    <t>开服船任选</t>
  </si>
  <si>
    <t>打开后可以从以下3种战船中任意选择一种：黑桃海盗船、雷德·佛斯号、九蛇海盗船。</t>
  </si>
  <si>
    <t>1:1001,122012,1;1001,122013,1;1001,122020,1</t>
  </si>
  <si>
    <t>开服80装备任选</t>
  </si>
  <si>
    <t>英雄套装任选箱</t>
  </si>
  <si>
    <t>打开后可以从以下3种英雄套装中任意选择一套：卫兵套装【护盾、防御】、警卫套装【怒气提升】、决斗者套装【魂玉返还】。</t>
  </si>
  <si>
    <t>1:1001,617017,1;1001,617018,1;1001,617019,1</t>
  </si>
  <si>
    <t>卫兵套装</t>
  </si>
  <si>
    <t>打开后可以获得一套80级卫兵套装。</t>
  </si>
  <si>
    <t>警卫套装</t>
  </si>
  <si>
    <t>打开后可以获得一套80级警卫套装。</t>
  </si>
  <si>
    <t>决斗者套装</t>
  </si>
  <si>
    <t>打开后可以获得一套80级决斗者套装。</t>
  </si>
  <si>
    <t>垃圾</t>
  </si>
  <si>
    <t>丢在地上的垃圾，收集后交付任务。</t>
  </si>
  <si>
    <t>UI_item_icon_mu</t>
  </si>
  <si>
    <t>丢失的帽子</t>
  </si>
  <si>
    <t>贵妇遗失的帽子，收集后交付任务。</t>
  </si>
  <si>
    <t>sjfj_0008</t>
  </si>
  <si>
    <t>传单</t>
  </si>
  <si>
    <t>海盗们写满对方坏话的传单，收集后交付任务。</t>
  </si>
  <si>
    <t>成堆的糖果</t>
  </si>
  <si>
    <t>产自诱惑森林的梦幻糖果，收集后交付任务。</t>
  </si>
  <si>
    <t>巧克力</t>
  </si>
  <si>
    <t>散落在森林里的巧克力，收集后交付任务。</t>
  </si>
  <si>
    <t>食谱碎片</t>
  </si>
  <si>
    <t>甜点师的秘传食谱，收集后交付任务。</t>
  </si>
  <si>
    <t>新鲜的樱桃</t>
  </si>
  <si>
    <t>刚被摘下的新鲜樱桃，收集后交付任务。</t>
  </si>
  <si>
    <t>白色的花朵</t>
  </si>
  <si>
    <t>生长于河边的白色花朵，收集后交付任务。</t>
  </si>
  <si>
    <t>镜子碎片</t>
  </si>
  <si>
    <t>散落在街道的镜子碎片，收集后交付任务。</t>
  </si>
  <si>
    <t>老旧的灯泡</t>
  </si>
  <si>
    <t>蛋糕城内路灯换下的老旧灯泡，收集后交付任务。</t>
  </si>
  <si>
    <t>贵重的香料</t>
  </si>
  <si>
    <t>被海盗抢走的香料，收集后交付任务。</t>
  </si>
  <si>
    <t>item_53</t>
  </si>
  <si>
    <t>饼干招牌</t>
  </si>
  <si>
    <t>被海盗抢走的饼干招牌，收集后交付任务。</t>
  </si>
  <si>
    <t>指令书</t>
  </si>
  <si>
    <t>被海盗偷走的指令书，收集后交付任务。</t>
  </si>
  <si>
    <t>item_1301</t>
  </si>
  <si>
    <t>有魔力的菜刀</t>
  </si>
  <si>
    <t>被海盗偷走的有魔力的指令书，收集后交付任务。</t>
  </si>
  <si>
    <t>歌手的钱包</t>
  </si>
  <si>
    <t>歌手被抢走的钱包，收集后交付任务。</t>
  </si>
  <si>
    <t>新年活动时装任选箱</t>
  </si>
  <si>
    <t>虎年时装任选箱</t>
  </si>
  <si>
    <t>可以从以下5件时装中任意选择一件 [新世界佩罗娜时装、小菊大铠、凯罗特和服、推进城女帝和服、新世界鲁兹和服]</t>
  </si>
  <si>
    <t>1:1001,713080,1;1001,713078,1;1001,713077,1;1001,713071,1;1001,713070,1</t>
  </si>
  <si>
    <t>新年活动战船或阵法任选箱</t>
  </si>
  <si>
    <t>虎年道具任选箱</t>
  </si>
  <si>
    <t>可以从以下14件道具中任意选择一件 [阵法：蔑视之阵，远投之阵，抗敌之阵，极伤之阵，群免之阵，幻想之阵，毁灭之阵，战船：米霍克的船，方舟箴言，幽灵船，风·格拉玛号，莫比迪克号，弗拉门戈号，前进·路飞前辈号]</t>
  </si>
  <si>
    <t>1:1001,233051,1;1001,233052,1;1001,233047,1;1001,233046,1;1001,233045,1;1001,233044,1;1001,233041,1;1001,122028,1;1001,122031,1;1001,122019,1;1001,122015,1;1001,122022,1;1001,122023,1;1001,122030,1</t>
  </si>
  <si>
    <t>2.8活动时装任选箱</t>
  </si>
  <si>
    <t>可以从以下5件时装中任意选择一件 [光月御殿（皇冠）、推进城女帝和服、糖糖（泳装）、凯罗特（和服）、夏洛特·玲玲（睡衣）]</t>
  </si>
  <si>
    <t>1:1001,713076,1;1001,713071,1;1001,713075,1;1001,713077,1;1001,713056,1</t>
  </si>
  <si>
    <t>SSR碎片任选箱</t>
  </si>
  <si>
    <t>可以从以下道具任意选择一件 [甚平碎片、罗碎片、鲁兹碎片]</t>
  </si>
  <si>
    <t>1:1001,630012,10;1001,630014,10;1001,630011,10</t>
  </si>
  <si>
    <t>20220223时装任选箱老服</t>
  </si>
  <si>
    <t>可以从以下4种时装中任意选择一件[新世界佩罗娜（礼服）、阿菊（大铠）、丽久（礼服）、奶昔（泳装）]</t>
  </si>
  <si>
    <t>1:1001,713080,1;1001,713078,1;1001,713064,1;1001,713069,1</t>
  </si>
  <si>
    <t>20220223时装任选箱新服</t>
  </si>
  <si>
    <t>可以从以下4种时装中任意选择一件[新世界路飞（唐装）、新世界路飞（路西）、新世界佐罗（激战）、新世界佐罗（黑色西服）]</t>
  </si>
  <si>
    <t>1:1001,713037,1;1001,713050,1;1001,713031,1;1001,713030,1</t>
  </si>
  <si>
    <t>时装任选箱新服</t>
  </si>
  <si>
    <t>可以从以下2种时装中任意选择一件[新世界路飞（皇冠时装）、新世界佐罗（唐装）]</t>
  </si>
  <si>
    <t>1:1001,713051,1;1001,713033,1</t>
  </si>
  <si>
    <t>20220307庆典礼盒</t>
  </si>
  <si>
    <t>礼盒</t>
  </si>
  <si>
    <t>幸运儿的奖赏~打开后有机会获得一个高品质道具</t>
  </si>
  <si>
    <t>20220307庆典气球</t>
  </si>
  <si>
    <t>隐隐约约能看见里面的道具，似乎不太值钱~破开后随机获得一个中品质道具</t>
  </si>
  <si>
    <t>幸运气球</t>
  </si>
  <si>
    <t>象征幸运的红色气球，活动期间内参与每日任务和剧情回顾有几率获得，可用于兑换特殊道具。</t>
  </si>
  <si>
    <t>2022/3/30-23:59:59</t>
  </si>
  <si>
    <t>快乐毽子</t>
  </si>
  <si>
    <t>闲暇时间用来放松的毽子，活动期间内参与讨伐任务有几率获得，可用于兑换特殊道具。</t>
  </si>
  <si>
    <t>惊喜礼物箱</t>
  </si>
  <si>
    <t>打开后有机会获得一个高品质道具</t>
  </si>
  <si>
    <t>雷鳞矿</t>
  </si>
  <si>
    <t>绝境之中特有的矿材，经地闪淬炼偶然形成，参与绝境挑战有几率获得，可用于装备升级。</t>
  </si>
  <si>
    <t>item_5016</t>
  </si>
  <si>
    <t>可以从女王妈妈吟唱者，极地潜水号和方舟箴言中任意选择一艘战船。</t>
  </si>
  <si>
    <t>1:1001,122028,1;1001,122029,1;1001,122018,1</t>
  </si>
  <si>
    <t>春日礼袋</t>
  </si>
  <si>
    <t>和煦春日特有的礼袋，活动期间内参与每日任务和剧情回顾有几率获得，打开后有机会获得高品质道具。</t>
  </si>
  <si>
    <t>春日礼箱</t>
  </si>
  <si>
    <t>透出生机希望的礼箱，活动期间内参与讨伐任务有几率获得，打开后有机会获得高品质道具。</t>
  </si>
  <si>
    <t>20220328时装任选箱新服</t>
  </si>
  <si>
    <t>可以从以下4种时装中任意选择一件[新世界路飞（唐装）、新世界米霍克（和服）、凯罗特和服、丽久（礼服）]</t>
  </si>
  <si>
    <t>1:1001,713037,1;1001,713069,1;1001,713077,1;1001,713073,1</t>
  </si>
  <si>
    <t>可以从莫比迪克号、米霍克的船、风·格拉玛号和方舟箴言中任意选择一艘战船。</t>
  </si>
  <si>
    <t>1:1001,122022,1;1001,122031,1;1001,122015,1;1001,122028,1</t>
  </si>
  <si>
    <t>可以从方舟箴言、女王妈妈吟唱者、莫比迪克号和弗拉门戈号中任意选择一艘战船。</t>
  </si>
  <si>
    <t>1:1001,122028,1;1001,122029,1;1001,122022,1;1001,122023,1</t>
  </si>
  <si>
    <t>20220426时装任选箱老服</t>
  </si>
  <si>
    <t>可以从以下4种时装中任意选择一件[新世界佩罗娜（礼服）、糖糖（泳装）、新世界塔希米（泳装）、奶昔（泳装）]</t>
  </si>
  <si>
    <t>1:1001,713080,1;1001,713075,1;1001,713047,1;1001,713064,1</t>
  </si>
  <si>
    <t>战船任选箱（老服）</t>
  </si>
  <si>
    <t>可以从莫比迪克号、前进·路飞前辈号、雷德·佛斯号、弗拉门戈号和巴拉蒂中任意选择一艘战船。</t>
  </si>
  <si>
    <t>1:1001,122022,1;1001,122030,1;1001,122013,1;1001,122023,1;1001,122014,1</t>
  </si>
  <si>
    <t>新春打火石</t>
  </si>
  <si>
    <t>新春火把</t>
  </si>
  <si>
    <t>2级宝石任选袋</t>
  </si>
  <si>
    <t>使用后可任意选择一个2级宝石。</t>
  </si>
  <si>
    <t>1:1001,1100102,1;1001,1100202,1;1001,1100302,1;1001,1100402,1;1001,1100502,1;1001,1100602,1;1001,1100702,1;1001,1100802,1;1001,1100902,1;1001,1101002,1;1001,1102202,1;1001,1102302,1;1001,1102402,1</t>
  </si>
  <si>
    <t>3级宝石任选袋</t>
  </si>
  <si>
    <t>使用后可任意选择一个3级宝石。</t>
  </si>
  <si>
    <t>1:1001,1100103,1;1001,1100203,1;1001,1100303,1;1001,1100403,1;1001,1100503,1;1001,1100603,1;1001,1100703,1;1001,1100803,1;1001,1100903,1;1001,1101003,1;1001,1102203,1;1001,1102303,1;1001,1102403,1</t>
  </si>
  <si>
    <t>4级宝石任选袋</t>
  </si>
  <si>
    <t>使用后可任意选择一个4级宝石。</t>
  </si>
  <si>
    <t>1:1001,1100104,1;1001,1100204,1;1001,1100304,1;1001,1100404,1;1001,1100504,1;1001,1100604,1;1001,1100704,1;1001,1100804,1;1001,1100904,1;1001,1101004,1;1001,1102204,1;1001,1102304,1;1001,1102404,1</t>
  </si>
  <si>
    <t>5级宝石任选袋</t>
  </si>
  <si>
    <t>使用后可任意选择一个5级宝石。</t>
  </si>
  <si>
    <t>1:1001,1100105,1;1001,1100205,1;1001,1100305,1;1001,1100405,1;1001,1100505,1;1001,1100605,1;1001,1100705,1;1001,1100805,1;1001,1100905,1;1001,1101005,1;1001,1102205,1;1001,1102305,1;1001,1102405,1</t>
  </si>
  <si>
    <t>觉醒徽章礼盒（艾斯）</t>
  </si>
  <si>
    <t>开启后可获得艾斯觉醒徽章。</t>
  </si>
  <si>
    <t>激斗大师</t>
  </si>
  <si>
    <t>使用后获得激斗赛专属称号：激斗大师</t>
  </si>
  <si>
    <t>激斗霸者</t>
  </si>
  <si>
    <t>使用后获得激斗赛专属称号：激斗霸者</t>
  </si>
  <si>
    <t>激斗至尊</t>
  </si>
  <si>
    <t>使用后获得激斗赛专属称号：激斗至尊</t>
  </si>
  <si>
    <t>觉醒徽章礼盒（艾尼路）</t>
  </si>
  <si>
    <t>开启后可获得艾尼路觉醒徽章。</t>
  </si>
  <si>
    <t>称号：环球航者</t>
  </si>
  <si>
    <t>使用后获得伙伴称号：称号：环球航者（游历四方的大航海家，激活后持续30天）</t>
  </si>
  <si>
    <t>处刑套装宝箱</t>
  </si>
  <si>
    <t>开启后可获得全套100级处刑套装</t>
  </si>
  <si>
    <t>烈酒</t>
  </si>
  <si>
    <t>通过战斗掠夺来的烈酒，活动期间内参与每日任务和剧情回顾有几率获得，可用于兑换特殊道具。</t>
  </si>
  <si>
    <t>神秘制剂</t>
  </si>
  <si>
    <t>各种材料混合在一起的神秘药水，活动期间内参与讨伐任务有几率获得，可用于兑换特殊道具</t>
  </si>
  <si>
    <t>春日琼浆</t>
  </si>
  <si>
    <t>生机盎然的春日已经到来，祝各位船长们能享受到清爽的春日生活。打开后随机获得一个高品质道具</t>
  </si>
  <si>
    <t>item_491031</t>
  </si>
  <si>
    <t>觉醒徽章礼盒（推进城汉库珂）</t>
  </si>
  <si>
    <t>开启后可获得推进城汉库珂觉醒徽章。</t>
  </si>
  <si>
    <t>争霸之巅</t>
  </si>
  <si>
    <t>可以从以下时装中任选一件[+F2605]</t>
  </si>
  <si>
    <t>巅峰争霸赛冠军，傲视伟大航道的至高强者</t>
  </si>
  <si>
    <t>争霸王者</t>
  </si>
  <si>
    <t>巅峰争霸赛亚军，冠军之下的第一强者</t>
  </si>
  <si>
    <t>争霸新星</t>
  </si>
  <si>
    <t>在巅峰争霸赛中获得季军的超级强者</t>
  </si>
  <si>
    <t>争霸强者</t>
  </si>
  <si>
    <t>曾经参与角逐争霸巅峰的最强八人之一</t>
  </si>
  <si>
    <t>22.5月VIP战船任选箱</t>
  </si>
  <si>
    <t>可以从以下3种战船中任意选择一种[雷德·佛斯号、九蛇海盗船、黑桃海盗船]</t>
  </si>
  <si>
    <t>1:1001,122013,1;1001,122012,1;1001,122020,1</t>
  </si>
  <si>
    <t>22.5月VIP阵法任选箱</t>
  </si>
  <si>
    <t>可从从以下16种阵型中任选其一（精准之阵、会心之阵、平静之阵、疾行之阵、治愈之阵、沉稳之阵、狂怒之阵、激励之阵、战魂之阵、猎手之阵、凛冬之阵、虚无之阵、雷炎之阵、曙光之阵、冲击之阵、守护之阵）</t>
  </si>
  <si>
    <t>1:1001,233007,1;1001,233008,1;1001,233009,1;1001,233010,1;1001,233011,1;1001,233012,1;1001,233013,1;1001,233015,1;1001,233016,1;1001,233023,1;1001,233026,1;1001,233025,1;1001,233027,1;1001,233028,1;1001,233030,1;1001,233038,1</t>
  </si>
  <si>
    <t>22.5月VIPSSR角色任选</t>
  </si>
  <si>
    <t>可以从以下5名SSR角色中任意选择一名（baby5、丽久、汉库珂、阿菊、新世界罗宾）</t>
  </si>
  <si>
    <t>1:1001,630063,50;1001,630051,50;1001,630013,50;1001,630062,50;1001,630029,50</t>
  </si>
  <si>
    <t>夏日活力</t>
  </si>
  <si>
    <t>从寻梦初夏主题活动的玩法中获得，可用于寻梦助力</t>
  </si>
  <si>
    <t>UI_icon_huoyue</t>
  </si>
  <si>
    <t>艾斯招募礼包</t>
  </si>
  <si>
    <t>内含50个艾斯碎片</t>
  </si>
  <si>
    <t>1001,630008,50</t>
  </si>
  <si>
    <t>觉醒徽章礼盒（沙·鳄鱼）</t>
  </si>
  <si>
    <t>开启后可获得沙·鳄鱼觉醒徽章。</t>
  </si>
  <si>
    <t>限时宝库钥匙</t>
  </si>
  <si>
    <t>item_24005</t>
  </si>
  <si>
    <t>强化训练书任选箱（1~10）</t>
  </si>
  <si>
    <t>强化训练书任选箱</t>
  </si>
  <si>
    <t>可以从1~10级强化训练书任选一种获得。</t>
  </si>
  <si>
    <t>1:1001,211021,100;1001,212021,65;1001,213021,40;1001,214021,25;1001,215021,16;1001,216021,10;1001,217021,8;1001,218021,7;1001,219021,6;1001,210021,5</t>
  </si>
  <si>
    <t>铜质团结奖章</t>
  </si>
  <si>
    <t>提升阵营等级的低级道具</t>
  </si>
  <si>
    <t>UI_icon_tuanjietong</t>
  </si>
  <si>
    <t>银质团结奖章</t>
  </si>
  <si>
    <t>提升阵营等级的中级道具</t>
  </si>
  <si>
    <t>UI_icon_tuanjieyin</t>
  </si>
  <si>
    <t>金质团结奖章</t>
  </si>
  <si>
    <t>提升阵营等级的高级道具</t>
  </si>
  <si>
    <t>UI_icon_tuanjiejin</t>
  </si>
  <si>
    <t>夜幕套装任选箱</t>
  </si>
  <si>
    <t>可以从夜幕套装4件装备中任选1件获得。</t>
  </si>
  <si>
    <t>1:1200,3001501,1;1200,3001502,1;1200,3001503,1;1200,3001504,1</t>
  </si>
  <si>
    <t>糖果套装任选箱</t>
  </si>
  <si>
    <t>可以从糖果套装4件装备中任选1件获得。</t>
  </si>
  <si>
    <t>1:1200,3001401,1;1200,3001402,1;1200,3001403,1;1200,3001404,1</t>
  </si>
  <si>
    <t>堡垒套装任选箱</t>
  </si>
  <si>
    <t>可以从堡垒套装4件装备中任选1件获得。</t>
  </si>
  <si>
    <t>1:1200,3000401,1;1200,3000402,1;1200,3000403,1;1200,3000404,1</t>
  </si>
  <si>
    <t>处刑套装任选箱</t>
  </si>
  <si>
    <t>可以从处刑套装4件装备中任选1件获得。</t>
  </si>
  <si>
    <t>1:1200,3000301,1;1200,3000302,1;1200,3000303,1;1200,3000304,1</t>
  </si>
  <si>
    <t>红骨套装任选箱</t>
  </si>
  <si>
    <t>可以从红骨套装4件装备中任选1件获得。</t>
  </si>
  <si>
    <t>1:1200,2800101,1;1200,2800102,1;1200,2800103,1;1200,2800104,1</t>
  </si>
  <si>
    <t>觉醒徽章礼盒（新世界鲁兹）</t>
  </si>
  <si>
    <t>开启后可获得新世界鲁兹觉醒徽章。</t>
  </si>
  <si>
    <t>藏宝地图</t>
  </si>
  <si>
    <t>似乎是隐藏了重要信息的藏宝地图，也许能通过它找到失落的秘宝……</t>
  </si>
  <si>
    <t>UI_icon_cbt</t>
  </si>
  <si>
    <t>藏宝地图(第一期）</t>
  </si>
  <si>
    <t>地图碎片</t>
  </si>
  <si>
    <t>似乎是地图的碎片，收集起来也许能拼凑出重要的信息……</t>
  </si>
  <si>
    <t>UI_icon_cbtsp</t>
  </si>
  <si>
    <t>地图碎片（第一期）</t>
  </si>
  <si>
    <t>精选任选箱(2022.07.21)</t>
  </si>
  <si>
    <t>1:1001,630031,50;1001,630036,50;1001,630042,50;1001,630026,50;1001,630060,50;1001,630046,50;1001,630067,50;1001,630040,50</t>
  </si>
  <si>
    <t>庆典挑战恢复剂</t>
  </si>
  <si>
    <t>使用后恢复今日一次庆典挑战次数</t>
  </si>
  <si>
    <t>觉醒徽章自选箱</t>
  </si>
  <si>
    <t>可从路飞觉醒徽章*50和艾斯觉醒徽章*50中自选1项。</t>
  </si>
  <si>
    <t>1:1001,615005,50;1001,615006,50</t>
  </si>
  <si>
    <t>周年庆SSR自选宝箱</t>
  </si>
  <si>
    <t>可以从以下2名SSR角色中任意选择一名（Baby5/凯撒）</t>
  </si>
  <si>
    <t>1:1001,630063,50;1001,630041,50</t>
  </si>
  <si>
    <t>觉醒徽章礼盒（夏洛特玲玲）</t>
  </si>
  <si>
    <t>开启后可获得夏洛特玲玲觉醒徽章。</t>
  </si>
  <si>
    <t>100级装备任选箱</t>
  </si>
  <si>
    <t>可以从勇武套装任选箱、游侠套装任选箱、战争套装任选箱中任选1个获得。</t>
  </si>
  <si>
    <t>1:1001,619041,1;1001,619042,1;1001,619043,1</t>
  </si>
  <si>
    <t>勇武套装任选箱</t>
  </si>
  <si>
    <t>可以从勇武套装4件装备中任选1件获得。</t>
  </si>
  <si>
    <t>1:1200,3001301,1;1200,3001302,1;1200,3001303,1;1200,3001304,1</t>
  </si>
  <si>
    <t>游侠套装任选箱</t>
  </si>
  <si>
    <t>可以从游侠套装4件装备中任选1件获得。</t>
  </si>
  <si>
    <t>1:1200,3000901,1;1200,3000902,1;1200,3000903,1;1200,3000904,1</t>
  </si>
  <si>
    <t>战争套装任选箱</t>
  </si>
  <si>
    <t>可以从战争套装4件装备中任选1件获得。</t>
  </si>
  <si>
    <t>1:1200,3002201,1;1200,3002202,1;1200,3002203,1;1200,3002204,1</t>
  </si>
  <si>
    <t>80级装备任选箱</t>
  </si>
  <si>
    <t>可以从红骨套装任选箱、龙鳞套装任选箱、繁星套装任选箱中任选1个获得。</t>
  </si>
  <si>
    <t>1:1001,619045,1;1001,619046,1;1001,619047,1</t>
  </si>
  <si>
    <t>龙鳞套装任选箱</t>
  </si>
  <si>
    <t>可以从龙鳞套装4件装备中任选1件获得。</t>
  </si>
  <si>
    <t>1:1200,2800501,1;1200,2800502,1;1200,2800503,1;1200,2800504,1</t>
  </si>
  <si>
    <t>繁星套装任选箱</t>
  </si>
  <si>
    <t>可以从繁星套装4件装备中任选1件获得。</t>
  </si>
  <si>
    <t>1:1200,2801201,1;1200,2801202,1;1200,2801203,1;1200,2801204,1</t>
  </si>
  <si>
    <t>可以从以下SSR角色中任意选择一名（Baby5，艾斯，战桃丸，比斯塔，新世界撒谎布，沙鳄鱼，戈普，莫利亚，大熊，米霍克，基德，战国，麦哲伦，伊娃科夫）</t>
  </si>
  <si>
    <t>1:1001,630063,50;1001,630008,50;1001,620028,50;1001,630023,50;1001,630025,50;1001,630001,50;1001,630004,50;1001,630005,50;1001,630006,50;1001,630010,50;1001,630015,50;1001,630017,50;1001,630018,50;1001,630019,50</t>
  </si>
  <si>
    <t>可以从以下SSR角色中任意选择一名（凯撒，Baby5，艾斯，战桃丸，比斯塔，新世界撒谎布，沙鳄鱼，戈普，莫利亚，大熊，米霍克，基德，战国，麦哲伦，伊娃科夫）</t>
  </si>
  <si>
    <t>1:1001,630041,50;1001,630063,50;1001,630008,50;1001,620028,50;1001,630023,50;1001,630025,50;1001,630001,50;1001,630004,50;1001,630005,50;1001,630006,50;1001,630010,50;1001,630015,50;1001,630017,50;1001,630018,50;1001,630019,50</t>
  </si>
  <si>
    <t>觉醒徽章礼盒（卡塔库栗）</t>
  </si>
  <si>
    <t>开启后可获得卡塔库栗觉醒徽章。</t>
  </si>
  <si>
    <t>龙人庆典宝箱（一期）</t>
  </si>
  <si>
    <t>开启后可获得一个龙人凯多碎片</t>
  </si>
  <si>
    <t>1001,640001,1</t>
  </si>
  <si>
    <t>龙人庆典宝箱（二期）</t>
  </si>
  <si>
    <t>觉醒徽章礼盒（萨波）</t>
  </si>
  <si>
    <t>开启后可获得萨波觉醒徽章。</t>
  </si>
  <si>
    <t>11月精选招募自选宝箱</t>
  </si>
  <si>
    <t>可以从以下SSR角色中任意选择一名（新世界乔巴，新世界弗兰奇，新世界山智，新世界烟鬼，新世界塔希米，年轻白胡子，犬岚，猫蝮蛇，新世界赤犬，新世界库赞）</t>
  </si>
  <si>
    <t>1:1001,630038,50;1001,630035,50;1001,630037,50;1001,630032,50;1001,630033,50;1001,630064,50;1001,630068,50;1001,630069,50;1001,630049,50;1001,630050,50</t>
  </si>
  <si>
    <t>彩钻红包</t>
  </si>
  <si>
    <t>道具红包（红包1）</t>
  </si>
  <si>
    <t>道具红包</t>
  </si>
  <si>
    <t>新手招募券</t>
  </si>
  <si>
    <t>新手招募券，可以在酒馆进行新手招募。</t>
  </si>
  <si>
    <t>UI_Item_icon_xszmq</t>
  </si>
  <si>
    <t>新手手册|33</t>
  </si>
  <si>
    <t>主要产出途径：&lt;color=#ba3901&gt;新手手册&lt;/color&gt;</t>
  </si>
  <si>
    <t>觉醒徽章礼盒（黄猿）</t>
  </si>
  <si>
    <t>开启后可获得黄猿觉醒徽章。</t>
  </si>
  <si>
    <t>卓越套装任选箱</t>
  </si>
  <si>
    <t>可以从卓越套装4件装备中任选1件获得。</t>
  </si>
  <si>
    <t>1:1200,3003901,1;1200,3003902,1;1200,3003903,1;1200,3003904,1</t>
  </si>
  <si>
    <t>暴走套装任选箱</t>
  </si>
  <si>
    <t>可以从暴走套装4件装备中任选1件获得。</t>
  </si>
  <si>
    <t>1:1200,3003201,1;1200,3003202,1;1200,3003203,1;1200,3003204,1</t>
  </si>
  <si>
    <t>精准套装任选箱</t>
  </si>
  <si>
    <t>可以从精准套装4件装备中任选1件获得。</t>
  </si>
  <si>
    <t>1:1200,3004001,1;1200,3004002,1;1200,3004003,1;1200,3004004,1</t>
  </si>
  <si>
    <t>新回流SSR自选宝箱（新服）</t>
  </si>
  <si>
    <t>SSR自选宝箱</t>
  </si>
  <si>
    <t>可以从以下SSR角色中任意选择一名（杰克、萨波、年轻白胡子、昆因）</t>
  </si>
  <si>
    <t>1:1001,630042,50;1001,630078,50;1001,630064,50;1001,630079,50</t>
  </si>
  <si>
    <t>新回流SSR自选宝箱（老服）</t>
  </si>
  <si>
    <t>觉醒徽章自选宝箱</t>
  </si>
  <si>
    <t>可以从以下奖励中任意选择一个（沙鳄鱼觉醒徽章*50、萨波觉醒徽章*50、艾尼路觉醒徽章*50、夏洛特玲玲觉醒徽章*50）</t>
  </si>
  <si>
    <t>1:1001,615009,50;1001,615013,50;1001,615007,50;1001,615011,50</t>
  </si>
  <si>
    <t>新回流装备自选宝箱（新服）</t>
  </si>
  <si>
    <t>装备自选宝箱</t>
  </si>
  <si>
    <t>可以从卓越套装任选箱、暴走套装任选箱、游侠套装任选箱中任选1个获得。</t>
  </si>
  <si>
    <t>1:1001,619059,1;1001,619060,1;1001,619042,1</t>
  </si>
  <si>
    <t>新回流装备自选宝箱（老服）</t>
  </si>
  <si>
    <t>可以从卓越套装任选箱、暴走套装任选箱、精准套装任选箱中任选1个获得。</t>
  </si>
  <si>
    <t>1:1001,619059,1;1001,619060,1;1001,619061,1</t>
  </si>
  <si>
    <t>圣诞装扮</t>
  </si>
  <si>
    <t>从圣诞庆典主题活动的玩法中获得，可用于圣诞装扮</t>
  </si>
  <si>
    <t>UI_icon_guaizhangtang</t>
  </si>
  <si>
    <t>觉醒徽章礼盒（大熊）</t>
  </si>
  <si>
    <t>开启后可获得大熊觉醒徽章。</t>
  </si>
  <si>
    <t>重铸符文石红包</t>
  </si>
  <si>
    <t>精粹石道具红包</t>
  </si>
  <si>
    <t>冲刺训练书道具红包</t>
  </si>
  <si>
    <t>道具红包（大红包袋2）</t>
  </si>
  <si>
    <t>新手手册SSR自选宝箱</t>
  </si>
  <si>
    <t>可以从以下SSR角色中任意选择一名（猫蝮蛇，乔兹，比斯塔，新世界塔希米，多弗拉门戈）</t>
  </si>
  <si>
    <t>1:1001,630069,50;1001,630020,50;1001,630023,50;1001,630033,50;1001,630030,50</t>
  </si>
  <si>
    <t>返航训练SSR自选宝箱</t>
  </si>
  <si>
    <t>可从返航SSR奖励中任选一个</t>
  </si>
  <si>
    <t>1:1001,630055,50;1001,630058,50;1001,630039,50;1001,630079,50</t>
  </si>
  <si>
    <t>1:1001,615012,50;1001,615014,50;1001,615006,50;1001,615008,50</t>
  </si>
  <si>
    <t>新春SSR自选宝箱（新服）</t>
  </si>
  <si>
    <t>新春SSR自选宝箱</t>
  </si>
  <si>
    <t>可以从以下SSR角色中任意选择一名（新世界塔西米，猫蝮蛇，乔兹，比斯塔，汉库珂，罗，鹰眼，baby-5）</t>
  </si>
  <si>
    <t>1:1001,630033,50;1001,630069,50;1001,630020,50;1001,630023,50;1001,630013,50;1001,630014,50;1001,630010,50;1001,630063,50</t>
  </si>
  <si>
    <t>新春SSR自选宝箱（老服）</t>
  </si>
  <si>
    <t>可以从以下SSR角色中任意选择一名（新世界塔西米，猫蝮蛇，乔兹，比斯塔，汉库珂，罗，鹰眼，baby-5，锦卫门，凯撒）</t>
  </si>
  <si>
    <t>1:1001,630033,50;1001,630069,50;1001,630020,50;1001,630023,50;1001,630013,50;1001,630014,50;1001,630010,50;1001,630063,50;1001,630034,50;1001,630041,50</t>
  </si>
  <si>
    <t>一大袋鼓鼓的金块，开启获得30000金块。</t>
  </si>
  <si>
    <t>5,0,30000</t>
  </si>
  <si>
    <t>2023/3/28-23:59:59</t>
  </si>
  <si>
    <t>音符</t>
  </si>
  <si>
    <t>从Red剧场版主题活动的玩法中获得，可用于乌塔应援</t>
  </si>
  <si>
    <t>UI_icon_sjgj</t>
  </si>
  <si>
    <t>祈愿券</t>
  </si>
  <si>
    <t>祈愿树专用奖券，用它许下的愿望都能实现哦~</t>
  </si>
  <si>
    <t>UI_icon_qifuquan</t>
  </si>
  <si>
    <t>毁灭套装任选箱</t>
  </si>
  <si>
    <t>可以从毁灭套装4件装备中任选1件获得。</t>
  </si>
  <si>
    <t>1:1200,3001701,1;1200,3001702,1;1200,3001703,1;1200,3001704,1</t>
  </si>
  <si>
    <t>强化训练书任选箱（10、11、12）</t>
  </si>
  <si>
    <t>可以从以下3本强化训练书中任意选择一本[10级强化训练书、11级强化训练书、12级强化训练书]</t>
  </si>
  <si>
    <t>1:1001,210021,1;1001,211121,1;1001,212121,1</t>
  </si>
  <si>
    <t>谈判套装任选箱</t>
  </si>
  <si>
    <t>可以从谈判套装4件装备中任选1件获得。</t>
  </si>
  <si>
    <t>1:1200,3002601,1;1200,3002602,1;1200,3002603,1;1200,3002604,1</t>
  </si>
  <si>
    <t>2023.5.4时装任选箱</t>
  </si>
  <si>
    <t>可以从以下时装中任选一件[新世界鲁兹（豹）、新世界罗宾（万圣节）、布玲（飞毯）、丽久（礼服）、凯罗特（和服）]</t>
  </si>
  <si>
    <t>1:1001,713086,1;1001,713060,1;1001,713082,1;1001,713069,1;1001,713077,1</t>
  </si>
  <si>
    <t>特制祈愿券</t>
  </si>
  <si>
    <t>万物生春活动中的神树祈愿玩法使用的特制奖券，用它许下的愿望都能实现哦~</t>
  </si>
  <si>
    <t>UI_icon_qifuquan2</t>
  </si>
  <si>
    <t>客服需求宝箱</t>
  </si>
  <si>
    <t>可以从以下4种时装中任意选择一件[沙·鳄鱼（玛丽弗德）、戈普（狗头帽）、鲁兹（船工装）、汉库珂（紫色旗袍）]</t>
  </si>
  <si>
    <t>1:1001,713014,1;1001,713016,1;1001,713024,1;1001,713017,1</t>
  </si>
  <si>
    <t>实用6级宝石任选箱</t>
  </si>
  <si>
    <t>使用后可任意选择一个实用的6级宝石。</t>
  </si>
  <si>
    <t>1:1001,1100106,1;1001,1100206,1;1001,1100306,1;1001,1100406,1;1001,1100506,1;1001,1100606,1;1001,1100706,1;1001,1100806,1;1001,1100906,1;1001,1101806,1;1001,1101906,1</t>
  </si>
  <si>
    <t>公会首领战装备奖励箱</t>
  </si>
  <si>
    <t>首领装备箱</t>
  </si>
  <si>
    <t>打开后随机获得一件套装装备，可获得套装种类有：游侠套装，勇武套装，提督套装，糖果套装，佣兵套装，领主套装。</t>
  </si>
  <si>
    <t>2023.7.20时装任选箱</t>
  </si>
  <si>
    <t>可以从以下时装中任选一件[夏洛特·玲玲（睡衣）、新世界马尔高（青炎）、阿菊（大铠）、新世界米霍克（和服）、霍金斯（狛鹿）、布玲(婚纱)]</t>
  </si>
  <si>
    <t>1:1001,713056,1;1001,713072,1;1001,713078,1;1001,713073,1;1001,713084,1;1001,713081,1</t>
  </si>
  <si>
    <t>2023.7.27时装任选箱</t>
  </si>
  <si>
    <t>可以从以下时装中任选一件[龙人凯多（龙人形态）、新世界鲁兹（豹）、德雷克（异特龙）]</t>
  </si>
  <si>
    <t>1:1001,713087,1;1001,713086,1;1001,713085,1</t>
  </si>
  <si>
    <t>2023新出角色任选</t>
  </si>
  <si>
    <t>可以从以下SSR角色中任意选择一名（大和、乌塔、润媞、烬、佩吉旺、基拉、新世界基德）</t>
  </si>
  <si>
    <t>1:1001,630080,50;1001,630081,50;1001,630082,50;1001,630083,50;1001,630084,50;1001,630085,50;1001,630086,50</t>
  </si>
  <si>
    <t>2023新出时装任选</t>
  </si>
  <si>
    <t>可以从以下时装中任选一件[大和（面具）、乌塔（铠甲）、润媞（肿头龙）、烬（无齿翼龙）、佩吉旺（脊背龙）、新世界基德（获赋者）]</t>
  </si>
  <si>
    <t>1:1001,713092,1;1001,713093,1;1001,713094,1;1001,713095,1;1001,713096,1;1001,713097,1</t>
  </si>
  <si>
    <t>炽热爱意的玫瑰，献给最亲爱的你。</t>
  </si>
  <si>
    <t>代表真挚的爱意送给最爱的人。</t>
  </si>
  <si>
    <t>精美花束</t>
  </si>
  <si>
    <t>精美礼物，使用后可随机获得一件道具。</t>
  </si>
  <si>
    <t>张狂套装任选箱</t>
  </si>
  <si>
    <t>可以从张狂套装4件装备中任选1件获得。</t>
  </si>
  <si>
    <t>1:1200,3002701,1;1200,3002702,1;1200,3002703,1;1200,3002704,1</t>
  </si>
  <si>
    <t>2023.8.24时装任选箱</t>
  </si>
  <si>
    <t>可以从以下时装中任选一件[佩吉旺（脊背龙）、润媞（肿头龙）、烬（无齿翼龙）、糖糖（泳装）]</t>
  </si>
  <si>
    <t>1:1001,713096,1;1001,713094,1;1001,713095,1;1001,713075,1</t>
  </si>
  <si>
    <t>可以从以下SSR角色中任意选择一名（大和、烬、基拉、新世界基德）</t>
  </si>
  <si>
    <t>1:1001,630080,50;1001,630083,50;1001,630085,50;1001,630086,50</t>
  </si>
  <si>
    <t>2023.9.7时装任选箱</t>
  </si>
  <si>
    <t>可以从以下时装中任选一件[新世界基德（获赋者）、萨波（万圣节时装）、丽久（礼服）、杰克（猛犸形态）、布玲(婚纱)]</t>
  </si>
  <si>
    <t>1:1001,713097,1;1001,713055,1;1001,713069,1;1001,713089,1;1001,713081,1</t>
  </si>
  <si>
    <t>称号：携手·五周年</t>
  </si>
  <si>
    <t>携手·五周年</t>
  </si>
  <si>
    <t>使用后获得五周年庆称号：携手·五周年</t>
  </si>
  <si>
    <t>2023.9.21战船任选箱</t>
  </si>
  <si>
    <t>可以从以下战船中任意选择一种[巴拉蒂、极地潜水号、幽灵船、黑桃海盗船、莫比迪克号、弗拉门戈号、方舟箴言、女王妈妈吟唱者]</t>
  </si>
  <si>
    <t>1:1001,122014,1;1001,122018,1;1001,122019,1;1001,122020,1;1001,122022,1;1001,122023,1;1001,122028,1;1001,122029,1</t>
  </si>
  <si>
    <t>5周年庆典礼盒</t>
  </si>
  <si>
    <t>周年庆典气球</t>
  </si>
  <si>
    <t>周年庆典气球，活动期间内参与每日任务和剧情回顾获得，可用于兑换特殊道具。</t>
  </si>
  <si>
    <t>5周年庆典气球</t>
  </si>
  <si>
    <t>周年庆典气球束</t>
  </si>
  <si>
    <t>周年庆典气球束，活动期间内参与讨伐任务有几率获得，可用于兑换特殊道具。</t>
  </si>
  <si>
    <t>5周年庆礼袋</t>
  </si>
  <si>
    <t>周年庆宝箱</t>
  </si>
  <si>
    <t>周年庆期间获得的幸运宝箱，使用后有概率获得一个高品质道具</t>
  </si>
  <si>
    <t>lb-huangjingg</t>
  </si>
  <si>
    <t>一筐粽叶</t>
  </si>
  <si>
    <t>采集来的一筐粽叶，活动期间内参与每日任务和剧情回顾有几率获得，可用于兑换特殊道具。</t>
  </si>
  <si>
    <t>一箱粽叶</t>
  </si>
  <si>
    <t>满满一大箱粽叶，活动期间内参与讨伐任务有几率获得，可用于兑换特殊道具</t>
  </si>
  <si>
    <t>红豆粽子</t>
  </si>
  <si>
    <t>端午时节已经到来，请船长们享用美味的粽子。打开后随机获得一个高品质道具</t>
  </si>
  <si>
    <t>5.27时装任选箱</t>
  </si>
  <si>
    <t>可以从以下4种时装中任意选择一件[新世界路飞（皇冠时装）、新世界佐罗（唐装）、新世界路飞（唐装）、推进城汉库珂（和服）]</t>
  </si>
  <si>
    <t>1:1001,713051,1;1001,713033,1;1001,713037,1;1001,713071,1</t>
  </si>
  <si>
    <t>强化训练书任选箱（8、9、10）</t>
  </si>
  <si>
    <t>可以从以下3本强化训练书中任意选择一本[8级强化训练书、9级强化训练书、10级强化训练书]</t>
  </si>
  <si>
    <t>1:1001,218021,1;1001,219021,1;1001,210021,1</t>
  </si>
  <si>
    <t>6.6时装任选箱</t>
  </si>
  <si>
    <t>可以从以下4种时装中任意选择一件[丽久（礼服）、新世界米霍克（和服）、年轻白胡子（和服）、霍金斯（狛鹿）]</t>
  </si>
  <si>
    <t>1:1001,713069,1;1001,713073,1;1001,713084,1;1001,713079,1</t>
  </si>
  <si>
    <t>可以从黑桃海盗船、方舟箴言、米霍克的船和雷德·佛斯号中任意选择一艘战船。</t>
  </si>
  <si>
    <t>1:1001,122020,1;1001,122028,1;1001,122031,1;1001,122013,1</t>
  </si>
  <si>
    <t>6.15时装任选箱</t>
  </si>
  <si>
    <t>可以从以下2种时装中任意选择一件[新世界奈美（泳装）、新世界罗宾（泳装）]</t>
  </si>
  <si>
    <t>1:1001,713042,1;1001,713046,1</t>
  </si>
  <si>
    <t>新鲜大虾</t>
  </si>
  <si>
    <t>捕捞的新鲜大虾，肉质鲜美。活动期间内参与每日任务和剧情回顾有几率获得，可用于兑换特殊道具。</t>
  </si>
  <si>
    <t>鲜活章鱼</t>
  </si>
  <si>
    <t>捕获的鲜活章鱼，肉质Q弹。活动期间内参与讨伐任务有几率获得，可用于兑换特殊道具。</t>
  </si>
  <si>
    <t>海鲜浓烩</t>
  </si>
  <si>
    <t>海鲜烧制的浓汤，味道鲜美，鲜味四溢。使用后随机获得一个高品质道具。</t>
  </si>
  <si>
    <t>6.29时装任选箱（老服)</t>
  </si>
  <si>
    <t>可以从以下4种时装中任意选择一件[德雷克（异特龙）、凯罗特（和服）、阿菊（大铠）、新世界库赞（企鹅）]</t>
  </si>
  <si>
    <t>1:1001,713085,1;1001,713077,1;1001,713078,1;1001,713065,1</t>
  </si>
  <si>
    <t>7.13时装任选箱（老服)</t>
  </si>
  <si>
    <t>可以从以下4种时装中任意选择一件[布玲(婚纱)、新世界鲁兹（和服）、新世界佩罗娜(礼服)、糖糖（泳装）]</t>
  </si>
  <si>
    <t>1:1001,713081,1;1001,713070,1;1001,713080,1;1001,713075,1</t>
  </si>
  <si>
    <t>可以从弗拉门戈号、前进·路飞前辈号、女王妈妈吟唱者、九蛇海盗船中任意选择一艘战船。</t>
  </si>
  <si>
    <t>1:1001,122023,1;1001,122030,1;1001,122029,1;1001,122012,1</t>
  </si>
  <si>
    <t>7.20时装任选箱（新服)</t>
  </si>
  <si>
    <t>可以从以下3种时装中任意选择一件[新世界鲁兹（和服）、布玲(婚纱)、新世界罗宾（泳装）]</t>
  </si>
  <si>
    <t>1:1001,713070,1;1001,713081,1;1001,713046,1;</t>
  </si>
  <si>
    <t>一本神秘的指令书，收集后交付任务。</t>
  </si>
  <si>
    <t>一把有魔力的菜刀，收集后交付任务。</t>
  </si>
  <si>
    <t>一个诡异的玩具熊，使用后有概率获得一个高品质道具</t>
  </si>
  <si>
    <t>8.4时装任选箱（老服)</t>
  </si>
  <si>
    <t>可以从以下4种时装中任意选择一件[新世界布鲁克（唐装）、奶昔（泳装）、夏洛特·玲玲（睡衣）、光月御殿（皇冠）]</t>
  </si>
  <si>
    <t>1:1001,713045,1;1001,713064,1;1001,713056,1;1001,713076,1</t>
  </si>
  <si>
    <t>8.11时装任选箱（新服)</t>
  </si>
  <si>
    <t>可以从以下3种时装中任意选择一件[新世界奈美（泳装）、新世界罗宾（泳装）、新世界塔希米（泳装）]</t>
  </si>
  <si>
    <t>1:1001,713042,1;1001,713046,1;1001,713047,1;</t>
  </si>
  <si>
    <t>8.18时装任选箱（老服)</t>
  </si>
  <si>
    <t>可以从以下4种时装中任意选择一件[新世界米霍克（和服）、新世界佩罗娜(礼服)、德雷克（异特龙）、新世界鲁兹（和服）]</t>
  </si>
  <si>
    <t>1:1001,713073,1;1001,713080,1;1001,713085,1;1001,713070,1;</t>
  </si>
  <si>
    <t>可以从以下道具任意选择一件 [罗碎片*10、鲁兹碎片*10]</t>
  </si>
  <si>
    <t>1:1001,630014,10;1001,630011,10</t>
  </si>
  <si>
    <t>可以从以下道具任意选择一件 [甚平碎片*10、罗碎片*10、鲁兹碎片*10、犬岚碎片*10、猫蝮蛇碎片*10、新世界罗宾碎片*10]</t>
  </si>
  <si>
    <t>1:1001,630012,10;1001,630014,10;1001,630011,10;1001,630068,10;1001,630029,10;1001,630069,10</t>
  </si>
  <si>
    <t>地魄矿</t>
  </si>
  <si>
    <t>绝境之中特有的矿材，深埋地底，经时间洗礼形成，参与绝境挑战有几率获得，可用于专属装备词条增强。</t>
  </si>
  <si>
    <t>item_5017</t>
  </si>
  <si>
    <t>可以从以下13名SSR角色中任意选择一名（战桃丸、克洛克达尔、戈普、莫利亚、大熊、米霍克、基德、战国、麦哲伦、伊娃科夫、汉库珂、新世界罗宾、新世界塔希米）</t>
  </si>
  <si>
    <t>1:1001,620028,50;1001,630001,50;1001,630004,50;1001,630005,50;1001,630006,50;1001,630010,50;1001,630015,50;1001,630017,50;1001,630018,50;1001,630019,50;1001,630013,50;1001,630029,50;1001,630033,50;</t>
  </si>
  <si>
    <t>9.8时装任选箱（老服)</t>
  </si>
  <si>
    <t>可以从以下4种时装中任意选择一件[布玲(婚纱)、奶昔（泳装）、德雷克（异特龙）、光月御殿（皇冠）]</t>
  </si>
  <si>
    <t>1:1001,713081,1;1001,713064,1;1001,713085,1;1001,713076,1;</t>
  </si>
  <si>
    <t>秋日礼袋</t>
  </si>
  <si>
    <t>飒爽秋日特有的礼袋，活动期间内参与每日任务和剧情回顾有几率获得，打开后有机会获得高品质道具。</t>
  </si>
  <si>
    <t>秋日礼箱</t>
  </si>
  <si>
    <t>洋溢丰收喜悦的礼箱，活动期间内参与讨伐任务有几率获得，打开后有机会获得高品质道具。</t>
  </si>
  <si>
    <t>9.15时装任选箱（新服)</t>
  </si>
  <si>
    <t>可以从以下4种时装中任意选择一件[新世界佐罗（唐装）、推进城汉库珂（和服）、新世界鲁兹（和服）、布玲(婚纱)]</t>
  </si>
  <si>
    <t>1:1001,713033,1;1001,713071,1;1001,713070,1;1001,713081,1;</t>
  </si>
  <si>
    <t>4周年庆典礼盒</t>
  </si>
  <si>
    <t>四周年庆典礼盒。活动期间内参与每日任务和剧情回顾有几率获得，可用于兑换特殊道具。</t>
  </si>
  <si>
    <t>4周年庆典气球</t>
  </si>
  <si>
    <t>四周年庆典气球，活动期间内参与讨伐任务有几率获得，可用于兑换特殊道具。</t>
  </si>
  <si>
    <t>4周年庆礼袋</t>
  </si>
  <si>
    <t>周年庆期间获得的幸运礼袋，使用后有概率获得一个高品质道具</t>
  </si>
  <si>
    <t>9.29时装任选箱（老服)</t>
  </si>
  <si>
    <t>可以从以下10种时装中任意选择一件[新世界佩罗娜(礼服)、萨波（黑鸦时装）、光月御殿（皇冠）、夏洛特·玲玲（睡衣）、丽久（礼服）、阿菊（大铠）、霍金斯（狛鹿）、新世界罗（万圣节）、新世界奈美（唐装）、新世界罗宾（万圣节）]</t>
  </si>
  <si>
    <t>1:1001,713080,1;1001,713053,1;1001,713076,1;1001,713056,1;1001,713069,1;1001,713078,1;1001,713084,1;1001,713059,1;1001,713034,1;1001,713060,1;</t>
  </si>
  <si>
    <t>9.29时装任选箱（新服)</t>
  </si>
  <si>
    <t>可以从以下10种时装中任意选择一件[新世界奈美（唐装）、新世界奈美（泳装）、新世界罗宾（万圣节）、新世界罗宾（泳装）、新世界塔希米（泳装）、新世界布鲁克（唐装）、新世界米霍克（和服）、布玲(婚纱)、新世界鲁兹（和服）、推进城汉库珂（和服）]</t>
  </si>
  <si>
    <t>1:1001,713034,1;1001,713042,1;1001,713060,1;1001,713046,1;1001,713047,1;1001,713045,1;1001,713073,1;1001,713081,1;1001,713070,1;1001,713071,1;</t>
  </si>
  <si>
    <t>豪华任选礼箱（老服)</t>
  </si>
  <si>
    <t>豪华任选礼箱</t>
  </si>
  <si>
    <t>从以下3种道具中任选一件{UR招募券*15、强者招募券*10、皮肤任选箱[新世界佩罗娜礼服、萨波黑鸦时装、光月御殿皇冠、夏洛特·玲玲睡衣、丽久礼服、阿菊大铠、霍金斯狛鹿、新世界罗万圣节、新世界奈美唐装、新世界罗宾万圣节]*1}</t>
  </si>
  <si>
    <t>1:1001,221011,15;1001,215011,10;1001,619143,1;</t>
  </si>
  <si>
    <t>豪华任选礼箱（新服)</t>
  </si>
  <si>
    <t>从以下3种道具中任选一件{UR招募券*15、强者招募券*10、皮肤任选箱[新世界奈美唐装、新世界奈美泳装、新世界罗宾万圣节、新世界罗宾泳装、新世界塔希米泳装、新世界布鲁克唐装、新世界米霍克和服、布玲婚纱、新世界鲁兹和服、推进城汉库珂]*1}</t>
  </si>
  <si>
    <t>1:1001,221011,15;1001,215011,10;1001,619144,1;</t>
  </si>
  <si>
    <t>普通的木材</t>
  </si>
  <si>
    <t>普通的木材，近期似乎有人在回收这些东西。活动期间内参与每日任务和剧情回顾有几率获得，可用于兑换特殊道具。</t>
  </si>
  <si>
    <t>驯鹿帽子</t>
  </si>
  <si>
    <t>被海盗掠走的驯鹿帽子。活动期间内参与讨伐任务有几率获得，可用于兑换特殊道具。</t>
  </si>
  <si>
    <t>福相礼袋</t>
  </si>
  <si>
    <t>可以从必杀之阵、勇士之阵、抗敌之阵、极伤之阵、群免之阵、幻想之阵和毁灭之阵中任意选择一张阵法图纸。</t>
  </si>
  <si>
    <t>1:1001,233053,1;1001,233042,1;1001,233047,1;1001,233046,1;1001,233045,1;1001,233044,1;1001,233041,1</t>
  </si>
  <si>
    <t>战船任选箱（新服）</t>
  </si>
  <si>
    <t>可以从黑桃海盗船、弗拉门戈号、方舟箴言任意选择一艘战船。</t>
  </si>
  <si>
    <t>1:1001,122020,1;1001,122023,1;1001,122028,1</t>
  </si>
  <si>
    <t>万圣节南瓜</t>
  </si>
  <si>
    <t>万圣到，吃南瓜！\n活动期间内参与每日任务和剧情回顾有几率获得，打开后有机会获得高品质道具。</t>
  </si>
  <si>
    <t>item_75</t>
  </si>
  <si>
    <t>万圣节礼盒</t>
  </si>
  <si>
    <t>砰！吓到你了吗？\n活动期间内参与讨伐任务有几率获得，打开后有机会获得高品质道具。</t>
  </si>
  <si>
    <t>镣铐</t>
  </si>
  <si>
    <t>约束了佩戴者，也约束了自己。\n活动期间内参与每日任务和剧情回顾有几率获得，可用于兑换特殊道具。</t>
  </si>
  <si>
    <t>item_2125</t>
  </si>
  <si>
    <t>木质啤酒杯</t>
  </si>
  <si>
    <t>有酒吗？再来一杯！\n活动期间内参与讨伐任务有几率获得，可用于兑换特殊道具。</t>
  </si>
  <si>
    <t>item_2126</t>
  </si>
  <si>
    <t>短柄斧头</t>
  </si>
  <si>
    <t>杀戮有用吗？\n使用后有概率获得一个高品质道具</t>
  </si>
  <si>
    <t>item_2127</t>
  </si>
  <si>
    <t>11.9时装任选箱（新服)</t>
  </si>
  <si>
    <t>可以从以下3种时装中任意选择一件[新世界奈美（万圣节）、新世界罗（万圣节）、新世界罗宾（万圣节）]</t>
  </si>
  <si>
    <t>1:1001,713063,1;1001,713059,1;1001,713060,1</t>
  </si>
  <si>
    <t>11.23时装任选箱</t>
  </si>
  <si>
    <t>可以从以下2种时装中任意选择一件[霍金斯（狛鹿）、德雷克（异特龙）]</t>
  </si>
  <si>
    <t>1:1001,713084,1;1001,713085,1;</t>
  </si>
  <si>
    <t>解锁自走棋棋盘</t>
  </si>
  <si>
    <t>万象更新</t>
  </si>
  <si>
    <t>使用后解锁海岛争霸新场景-万象更新</t>
  </si>
  <si>
    <t>Item_cjzzq</t>
  </si>
  <si>
    <t>解锁自走棋地图7</t>
  </si>
  <si>
    <t>海岛争霸岛屿卷7</t>
  </si>
  <si>
    <t>测试</t>
  </si>
  <si>
    <t>海岛争霸试玩卡</t>
  </si>
  <si>
    <t>使用后可免费体验海岛角色（夏洛特·玲玲），共计3天</t>
  </si>
  <si>
    <t>UI_haidao_itme9</t>
  </si>
  <si>
    <t>113044:259200000</t>
  </si>
  <si>
    <t>使用后可免费体验海岛角色（苏打饼），共计3天</t>
  </si>
  <si>
    <t>UI_haidao_itme8</t>
  </si>
  <si>
    <t>113045:259200000</t>
  </si>
  <si>
    <t>使用后可免费体验海岛角色（奶昔），共计3天</t>
  </si>
  <si>
    <t>UI_haidao_itme7</t>
  </si>
  <si>
    <t>113046:259200000</t>
  </si>
  <si>
    <t>使用后可免费体验海岛角色（卡塔库栗），共计3天</t>
  </si>
  <si>
    <t>UI_haidao_itme6</t>
  </si>
  <si>
    <t>113040:259200000</t>
  </si>
  <si>
    <t>使用后可免费体验海岛角色（白胡子），共计3天</t>
  </si>
  <si>
    <t>UI_haidao_itme1</t>
  </si>
  <si>
    <t>113021:259200000</t>
  </si>
  <si>
    <t>使用后可免费体验海岛角色（马尔高），共计3天</t>
  </si>
  <si>
    <t>UI_haidao_itme2</t>
  </si>
  <si>
    <t>113022:259200000</t>
  </si>
  <si>
    <t>使用后可免费体验海岛角色（比斯塔），共计3天</t>
  </si>
  <si>
    <t>UI_haidao_itme3</t>
  </si>
  <si>
    <t>113023:259200000</t>
  </si>
  <si>
    <t>使用后可免费体验海岛角色（乔兹），共计3天</t>
  </si>
  <si>
    <t>UI_haidao_itme5</t>
  </si>
  <si>
    <t>113020:259200000</t>
  </si>
  <si>
    <t>使用后可免费体验海岛角色（艾斯），共计3天</t>
  </si>
  <si>
    <t>UI_haidao_itme4</t>
  </si>
  <si>
    <t>113008:259200000</t>
  </si>
  <si>
    <t>圣诞手套</t>
  </si>
  <si>
    <t>被海盗掠走的圣诞手套。\n活动期间内参与每日任务和剧情回顾有几率获得，可用于兑换特殊道具。</t>
  </si>
  <si>
    <t>item_66</t>
  </si>
  <si>
    <t>圣诞帽子</t>
  </si>
  <si>
    <t>遗失的圣诞帽。\n活动期间内参与讨伐任务有几率获得，可用于兑换特殊道具。</t>
  </si>
  <si>
    <t>圣诞老头</t>
  </si>
  <si>
    <t>可爱的圣诞老人玩偶。\n使用后有概率获得一个高品质道具</t>
  </si>
  <si>
    <t>圣诞围巾</t>
  </si>
  <si>
    <t>遗失的圣诞围巾。\n活动期间内参与每日任务和剧情回顾有几率获得，打开后有机会获得高品质道具。</t>
  </si>
  <si>
    <t>item_69</t>
  </si>
  <si>
    <t>圣诞雪人</t>
  </si>
  <si>
    <t>精心搭建的圣诞雪人。\n活动期间内参与讨伐任务有几率获得，打开后有机会获得高品质道具。</t>
  </si>
  <si>
    <t>12.28时装任选箱</t>
  </si>
  <si>
    <t>可以从以下4种时装中任意选择一件[新世界马尔高（青炎）、新世界米霍克（和服）、新世界佩罗娜(礼服)、丽久（礼服）]</t>
  </si>
  <si>
    <t>1:1001,713072,1;1001,713073,1;1001,713080,1;1001,713069,1</t>
  </si>
  <si>
    <t>1.4时装任选箱</t>
  </si>
  <si>
    <t>可以从以下5种时装中任意选择一件[布玲(婚纱)、糖糖（泳装）、阿菊（大铠）、霍金斯（狛鹿）、德雷克（异特龙）]</t>
  </si>
  <si>
    <t>1:1001,713081,1;1001,713075,1;1001,713078,1;1001,713084,1;1001,713085,1</t>
  </si>
  <si>
    <t>1.11时装任选箱</t>
  </si>
  <si>
    <t>可以从以下4种时装中任意选择一件[新世界路飞（唐装）、新世界佐罗（唐装）、新世界奈美（唐装）、新世界布鲁克（唐装）]</t>
  </si>
  <si>
    <t>1:1001,713037,1;1001,713033,1;1001,713034,1;1001,713045,1</t>
  </si>
  <si>
    <t>黄金战魂惊喜礼盒</t>
  </si>
  <si>
    <t>黄金战魂礼盒</t>
  </si>
  <si>
    <t>打开后必得20个黄金战魂，有机会额外获得黄金战魂*1~5或黄金战魂*10或黄金战魂*20或黄金战魂*30</t>
  </si>
  <si>
    <t>时装任选（老服春节）</t>
  </si>
  <si>
    <t>可以从以下15种时装中任意选择一件[凯多（龙形态）、布玲(婚纱)、新世界库赞（企鹅）、新世界路飞（唐装）、新世界佐罗（唐装）、新世界奈美（唐装）、新世界撒谎布（唐装）、新世界布鲁克（唐装)、丽久（礼服）、新世界鲁兹（豹）、霍金斯（狛鹿）、德雷克（异特龙）、新世界佩罗娜(礼服)、汉库珂（玫瑰礼服）、新世界弗兰奇（黑犀牛FR）]</t>
  </si>
  <si>
    <t>1:1001,713058,1;1001,713081,1;1001,713065,1;1001,713037,1;1001,713033,1;1001,713034,1;1001,713035,1;1001,713045,1;1001,713069,1;1001,713086,1;1001,713084,1;1001,713085,1;1001,713080,1;1001,713041,1;1001,713039,1;</t>
  </si>
  <si>
    <t>时装任选（新服春节）</t>
  </si>
  <si>
    <t>可以从以下14种时装中任意选择一件[凯多（龙形态）、布玲(婚纱)、新世界路飞（唐装）、新世界佐罗（唐装）、新世界奈美（唐装）、新世界撒谎布（唐装）、新世界布鲁克（唐装)、新世界鲁兹（豹）、霍金斯（狛鹿）、德雷克（异特龙）、杰克（猛犸形态）、新世界路飞（皇冠时装）、汉库珂（玫瑰礼服）、新世界弗兰奇（黑犀牛FR）]</t>
  </si>
  <si>
    <t>1:1001,713058,1;1001,713081,1;1001,713037,1;1001,713033,1;1001,713034,1;1001,713035,1;1001,713045,1;1001,713086,1;1001,713084,1;1001,713085,1;1001,713089,1;1001,713051,1;1001,713041,1;1001,713039,1;</t>
  </si>
  <si>
    <t>强者惊喜礼盒</t>
  </si>
  <si>
    <t>打开后必得2个强者招募券，有机会额外获得强者招募券*1~9</t>
  </si>
  <si>
    <t>汤圆</t>
  </si>
  <si>
    <t>香糯可口的汤圆。\n活动期间内参与每日任务和剧情回顾有几率获得，使用后有机会获得高品质道具。</t>
  </si>
  <si>
    <t>item_54</t>
  </si>
  <si>
    <t>红色飘带</t>
  </si>
  <si>
    <t>随风飘扬的红色飘带。\n活动期间内参与讨伐任务有几率获得，使用后有机会获得高品质道具。</t>
  </si>
  <si>
    <t>时装任选箱（2.2）</t>
  </si>
  <si>
    <t>可以从以下4种时装中任意选择一件[昆因（腕龙形态）、凯文迪修（法鲁鲁）、奶昔（泳装）、新世界米霍克（和服）]</t>
  </si>
  <si>
    <t>1:1001,713090,1;1001,713074,1;1001,713064,1;1001,713073,1</t>
  </si>
  <si>
    <t>白色的玫瑰花。\n活动期间内参与每日任务和剧情回顾有几率获得，可用于兑换特殊道具。</t>
  </si>
  <si>
    <t>红玫瑰花</t>
  </si>
  <si>
    <t>红色的玫瑰花。\n活动期间内参与讨伐任务有几率获得，可用于兑换特殊道具。</t>
  </si>
  <si>
    <t>爱心</t>
  </si>
  <si>
    <t>爱是生命的火焰，没有它，一切变成黑夜。\n使用后有概率获得一个高品质道具</t>
  </si>
  <si>
    <t>2023.2.23时装任选箱（老服)</t>
  </si>
  <si>
    <t>可以从以下4种时装中任意选择一件[路飞（战斗服）、杰克（猛犸形态）、年轻白胡子（和服）、新世界罗（万圣节）]</t>
  </si>
  <si>
    <t>1:1001,713091,1;1001,713089,1;1001,713079,1;1001,713059,1</t>
  </si>
  <si>
    <t>2023.2.23时装任选箱（新服)</t>
  </si>
  <si>
    <t>可以从以下4种时装中任意选择一件[路飞（战斗服）、德雷克（异特龙）、年轻白胡子（和服）、奶昔（泳装）]</t>
  </si>
  <si>
    <t>1:1001,713091,1;1001,713085,1;1001,713079,1;1001,713064,1</t>
  </si>
  <si>
    <t>2023.3.2时装任选箱</t>
  </si>
  <si>
    <t>2023.3.9时装任选箱</t>
  </si>
  <si>
    <t>可以从以下时装中任选一件[龙人凯多（龙人形态）、凯多（龙形态）、新世界弗兰奇（黑犀牛FR）]</t>
  </si>
  <si>
    <t>海上秘令</t>
  </si>
  <si>
    <t>一本神秘的海上秘令，收集后交付任务。</t>
  </si>
  <si>
    <t>清凉甘果</t>
  </si>
  <si>
    <t>海上可以采集的果实，收集后交付任务。</t>
  </si>
  <si>
    <t>开心玩具熊</t>
  </si>
  <si>
    <t>一个开心的玩具熊，使用后有概率获得一个高品质道具</t>
  </si>
  <si>
    <t>时装任选箱（3.30）</t>
  </si>
  <si>
    <t>可以从以下4种时装中任意选择一件[霍金斯（狛鹿）、光月御殿（皇冠）、杰克（猛犸形态）、糖糖（泳装）]</t>
  </si>
  <si>
    <t>1:1001,713084,1;1001,713076,1;1001,713089,1;1001,713075,1</t>
  </si>
  <si>
    <t>肥美大虾</t>
  </si>
  <si>
    <t>新鲜章鱼</t>
  </si>
  <si>
    <t>重燃礼包</t>
  </si>
  <si>
    <t>打开后可获得：高级经验卷轴*3，1级强化书*2</t>
  </si>
  <si>
    <t>1001,214001,3;1001,211021,2</t>
  </si>
  <si>
    <t>打开后可获得：冲刺训练书*1，金块*10,000</t>
  </si>
  <si>
    <t>1001,210121,1;5,0,10000</t>
  </si>
  <si>
    <t>打开后可获得：精钢石*1，2级随机宝石*1</t>
  </si>
  <si>
    <t>1001,212004,1;1001,511222,1</t>
  </si>
  <si>
    <t>打开后可获得：黄金战魂*1，5级强化书*3</t>
  </si>
  <si>
    <t>1001,215005,1;1001,215021,3</t>
  </si>
  <si>
    <t>打开后可获得：高级经验卷轴*5，2级强化书*2</t>
  </si>
  <si>
    <t>1001,214001,5;1001,212021,2</t>
  </si>
  <si>
    <t>打开后可获得：冲刺训练书*3，金块*20,000</t>
  </si>
  <si>
    <t>1001,210121,3;5,0,20000</t>
  </si>
  <si>
    <t>打开后可获得：精钢石*2，2级随机宝石*3</t>
  </si>
  <si>
    <t>1001,212004,2;1001,511222,3</t>
  </si>
  <si>
    <t>打开后可获得：黄金战魂*2，5级强化书*5</t>
  </si>
  <si>
    <t>1001,215005,2;1001,215021,5</t>
  </si>
  <si>
    <t>打开后可获得：高级经验卷轴*8，2级强化书*5</t>
  </si>
  <si>
    <t>1001,214001,8;1001,212021,5</t>
  </si>
  <si>
    <t>打开后可获得：冲刺训练书*5，金块*30,000</t>
  </si>
  <si>
    <t>1001,210121,5;5,0,30000</t>
  </si>
  <si>
    <t>打开后可获得：初级精炼石*10，英雄之石*1</t>
  </si>
  <si>
    <t>1001,212002,10;1001,214003,1</t>
  </si>
  <si>
    <t>打开后可获得：精钢石*2，2级随机宝石*5</t>
  </si>
  <si>
    <t>1001,212004,2;1001,511222,5</t>
  </si>
  <si>
    <t>打开后可获得：黄金战魂*2，5级强化书*8</t>
  </si>
  <si>
    <t>1001,215005,2;1001,215021,8</t>
  </si>
  <si>
    <t>打开后可获得：超级经验卷轴*3，高级秘传书*5</t>
  </si>
  <si>
    <t>1001,215001,3;1001,214007,5</t>
  </si>
  <si>
    <t>打开后可获得：冲刺训练书*10，金块*30,000</t>
  </si>
  <si>
    <t>1001,210121,10;5,0,30000</t>
  </si>
  <si>
    <t>打开后可获得：初级精炼石*20，英雄之石*3</t>
  </si>
  <si>
    <t>1001,212002,20;1001,214003,3</t>
  </si>
  <si>
    <t>打开后可获得：精钢石*3，3级随机宝石*3</t>
  </si>
  <si>
    <t>1001,212004,3;1001,511223,3</t>
  </si>
  <si>
    <t>打开后可获得：黄金战魂*3，5级强化书*10</t>
  </si>
  <si>
    <t>1001,215005,3;1001,215021,10</t>
  </si>
  <si>
    <t>打开后可获得：超级经验卷轴*5，高级秘传书*10</t>
  </si>
  <si>
    <t>1001,215001,5;1001,214007,10</t>
  </si>
  <si>
    <t>打开后可获得：冲刺训练书*15，金块*50,000</t>
  </si>
  <si>
    <t>1001,210121,15;5,0,50000</t>
  </si>
  <si>
    <t>打开后可获得：中级精炼石*10，英雄之石*5</t>
  </si>
  <si>
    <t>1001,213002,10;1001,214003,5</t>
  </si>
  <si>
    <t>打开后可获得：精钢石*4，3级随机宝石*4</t>
  </si>
  <si>
    <t>1001,212004,4;1001,511223,4</t>
  </si>
  <si>
    <t>打开后可获得：黄金战魂*4，5级强化书*15</t>
  </si>
  <si>
    <t>1001,215005,4;1001,215021,15</t>
  </si>
  <si>
    <t>打开后可获得：超级经验卷轴*10，高级秘传书*20</t>
  </si>
  <si>
    <t>1001,215001,10;1001,214007,20</t>
  </si>
  <si>
    <t>打开后可获得：冲刺训练书*18，金块*80,000</t>
  </si>
  <si>
    <t>1001,210121,18;5,0,80000</t>
  </si>
  <si>
    <t>打开后可获得：中级精炼石*20，英雄之石*8</t>
  </si>
  <si>
    <t>1001,213002,20;1001,214003,8</t>
  </si>
  <si>
    <t>打开后可获得：海蓝石*3，3级随机宝石*5</t>
  </si>
  <si>
    <t>1001,213004,3;1001,511223,5</t>
  </si>
  <si>
    <t>打开后可获得：黄金战魂*4，6级强化书*10</t>
  </si>
  <si>
    <t>1001,215005,4;1001,216021,10</t>
  </si>
  <si>
    <t>打开后可获得：超级经验卷轴*20，高级秘传书*30</t>
  </si>
  <si>
    <t>1001,215001,20;1001,214007,30</t>
  </si>
  <si>
    <t>打开后可获得：冲刺训练书*20，金块*100,000</t>
  </si>
  <si>
    <t>1001,210121,20;5,0,100000</t>
  </si>
  <si>
    <t>打开后可获得：中级精炼石*30，英雄之石*15</t>
  </si>
  <si>
    <t>1001,213002,30;1001,214003,15</t>
  </si>
  <si>
    <t>打开后可获得：海蓝石*4，4级随机宝石*4</t>
  </si>
  <si>
    <t>1001,213004,4;1001,511177,4</t>
  </si>
  <si>
    <t>打开后可获得：黄金战魂*5，6级强化书*15</t>
  </si>
  <si>
    <t>1001,215005,5;1001,216021,15</t>
  </si>
  <si>
    <t>重燃SSR碎片任选箱</t>
  </si>
  <si>
    <t>可以从以下道具任意选择一件 [乔兹*50、汉库珂*50]</t>
  </si>
  <si>
    <t>1:1001,630020,50;1001,630013,50</t>
  </si>
  <si>
    <t>打开后可获得：奥义经验卷轴*10，奥义秘传书*10</t>
  </si>
  <si>
    <t>1001,216001,10;1001,215007,10</t>
  </si>
  <si>
    <t>打开后可获得：冲刺训练书*22，金块*200,000</t>
  </si>
  <si>
    <t>1001,210121,22;5,0,200000</t>
  </si>
  <si>
    <t>打开后可获得：中级精炼石*50，英雄之石*20</t>
  </si>
  <si>
    <t>1001,213002,50;1001,214003,20</t>
  </si>
  <si>
    <t>打开后可获得：海蓝石*6，4级任选宝石*5</t>
  </si>
  <si>
    <t>1001,213004,6;1001,618005,5</t>
  </si>
  <si>
    <t>打开后可获得：黄金战魂*5，6级强化书*18</t>
  </si>
  <si>
    <t>1001,215005,5;1001,216021,18</t>
  </si>
  <si>
    <t>打开后可获得：奥义经验卷轴*20，奥义秘传书*15</t>
  </si>
  <si>
    <t>1001,216001,20;1001,215007,15</t>
  </si>
  <si>
    <t>打开后可获得：冲刺训练书*25，金块*200,000</t>
  </si>
  <si>
    <t>1001,210121,25;5,0,200000</t>
  </si>
  <si>
    <t>打开后可获得：中级精炼石*80，英雄之石*30</t>
  </si>
  <si>
    <t>1001,213002,80;1001,214003,30</t>
  </si>
  <si>
    <t>打开后可获得：海蓝石*8，4级任选宝石*6</t>
  </si>
  <si>
    <t>1001,213004,8;1001,618005,6</t>
  </si>
  <si>
    <t>打开后可获得：黄金战魂*5，6级强化书*20</t>
  </si>
  <si>
    <t>1001,215005,5;1001,216021,20</t>
  </si>
  <si>
    <t>可以从以下道具任意选择一件 [乔兹*50、汉库珂*50、比斯塔*50]</t>
  </si>
  <si>
    <t>1:1001,630020,50;1001,630013,50;1001,630023,50</t>
  </si>
  <si>
    <t>打开后可获得：奥义经验卷轴*30，奥义秘传书*20</t>
  </si>
  <si>
    <t>1001,216001,30;1001,215007,20</t>
  </si>
  <si>
    <t>打开后可获得：冲刺训练书*30，金块*300,000</t>
  </si>
  <si>
    <t>1001,210121,30;5,0,300000</t>
  </si>
  <si>
    <t>打开后可获得：中级精炼石*100，英雄之石*50</t>
  </si>
  <si>
    <t>1001,213002,100;1001,214003,50</t>
  </si>
  <si>
    <t>打开后可获得：海蓝石*10，4级任选宝石*8</t>
  </si>
  <si>
    <t>1001,213004,10;1001,618005,8</t>
  </si>
  <si>
    <t>打开后可获得：黄金战魂*5，6级强化书*30</t>
  </si>
  <si>
    <t>1001,215005,5;1001,216021,30</t>
  </si>
  <si>
    <t>玩具毽子</t>
  </si>
  <si>
    <t>使用后随机获得一种道具。</t>
  </si>
  <si>
    <t>白玫瑰</t>
  </si>
  <si>
    <t>时装任选箱（2023.9.21）</t>
  </si>
  <si>
    <t>可以从以下时装中任意选择一件[烬（无齿翼龙)、新世界佩罗娜(礼服)、光月御殿(皇冠)、年轻白胡子（和服)、夏洛特·玲玲(睡衣)、萨波(黑鸦时装)、推进城汉库珂（和服)、布玲(婚纱)、大和(面具)]</t>
  </si>
  <si>
    <t>1:1001,713095,1;1001,713080,1;1001,713076,1;1001,713079,1;1001,713056,1;1001,713053,1;1001,713071,1;1001,713081,1;1001,713092,1</t>
  </si>
  <si>
    <t>从以下3种道具中任选一件{UR招募券*15、阵法任选礼包[必杀之阵、勇士之阵、抗敌之阵、极伤之阵、群免之阵、幻想之阵、毁灭之阵]*1、皮肤任选箱[烬（无齿翼龙)、新世界佩罗娜(礼服)、光月御殿(皇冠)、年轻白胡子（和服)、夏洛特·玲玲(睡衣)、萨波(黑鸦时装)、推进城汉库珂（和服)、布玲(婚纱)、大和(面具)]*1}</t>
  </si>
  <si>
    <t>1:1001,221011,15;1001,619150,1;1001,619259,1;</t>
  </si>
  <si>
    <t>从以下3种道具中任选一件{UR招募券*15、战船任选箱[巴拉蒂、极地潜水号、幽灵船、黑桃海盗船、莫比迪克号、弗拉门戈号、方舟箴言、女王妈妈吟唱者]*1、皮肤任选箱[烬（无齿翼龙)、新世界佩罗娜(礼服)、光月御殿(皇冠)、年轻白胡子（和服)、夏洛特·玲玲(睡衣)、萨波(黑鸦时装)、推进城汉库珂（和服)、布玲(婚纱)、大和(面具)]*1}</t>
  </si>
  <si>
    <t>1:1001,221011,15;1001,619107,1;1001,619259,1;</t>
  </si>
  <si>
    <t>可以从必杀之阵、勇士之阵、抗敌之阵、极伤之阵、蔑视之阵、幻想之阵和毁灭之阵中任意选择一张阵法图纸。</t>
  </si>
  <si>
    <t>1:1001,233053,1;1001,233042,1;1001,233047,1;1001,233046,1;1001,233052,1;1001,233044,1;1001,233041,1</t>
  </si>
  <si>
    <t>可以从黑桃海盗船、方舟箴言、米霍克的船、雷德·佛斯号和女王妈妈吟唱者中任意选择一艘战船。</t>
  </si>
  <si>
    <t>1:1001,122020,1;1001,122028,1;1001,122031,1;1001,122013,1;1001,122029,1</t>
  </si>
  <si>
    <t>可以从以下时装中任意选择一件[和之国路飞（路飞太郎）、和之国罗（讨伐鬼岛装）、新世界基德（获赋者）、大和（面具）、乌塔（铠甲）、润媞（肿头龙）、烬（无齿翼龙）、佩吉旺（脊背龙）、萨波（黑鸦时装）、布玲(婚纱)]</t>
  </si>
  <si>
    <t>1:1001,713102,1;1001,713098,1;1001,713097,1;1001,713092,1;1001,713093,1;1001,713094,1;1001,713095,1;1001,713096,1;1001,713053,1;1001,713081,1</t>
  </si>
  <si>
    <t>可从以下10种阵型任选其一（毁灭之阵、勇士之阵、魔力之阵、幻想之阵、群免之阵、极伤之阵、抗敌之阵、远投之阵、蔑视之阵、必杀之阵）</t>
  </si>
  <si>
    <t>1:1001,233041,1;1001,233042,1;1001,233043,1;1001,233044,1;1001,233045,1;1001,233046,1;1001,233047,1;1001,233051,1;1001,233052,1;1001,233053,1</t>
  </si>
  <si>
    <t>装备任选箱</t>
  </si>
  <si>
    <t>装备任选礼包</t>
  </si>
  <si>
    <t>可从以下套装中任选其一（致命套装、流浪套装、浪人套装、迅捷套装、诡匿套装）</t>
  </si>
  <si>
    <t>1:1001,619270,1;1001,619271,1;1001,619272,1;1001,619273,1;1001,619274,1</t>
  </si>
  <si>
    <t>致命套装</t>
  </si>
  <si>
    <t>使用获得一套致命装备。</t>
  </si>
  <si>
    <t>1200,3003701,1;1200,3003702,1;1200,3003703,1;1200,3003704,1;</t>
  </si>
  <si>
    <t>流浪套装</t>
  </si>
  <si>
    <t>使用获得一套流浪装备。</t>
  </si>
  <si>
    <t>1200,3002001,1;1200,3002002,1;1200,3002003,1;1200,3002004,1;</t>
  </si>
  <si>
    <t>浪人套装</t>
  </si>
  <si>
    <t>使用获得一套浪人装备。</t>
  </si>
  <si>
    <t>1200,3004601,1;1200,3004602,1;1200,3004603,1;1200,3004604,1;</t>
  </si>
  <si>
    <t>迅捷套装</t>
  </si>
  <si>
    <t>使用获得一套迅捷装备。</t>
  </si>
  <si>
    <t>1200,3004101,1;1200,3004102,1;1200,3004103,1;1200,3004104,1;</t>
  </si>
  <si>
    <t>诡匿套装</t>
  </si>
  <si>
    <t>使用获得一套诡匿装备。</t>
  </si>
  <si>
    <t>1200,3004201,1;1200,3004202,1;1200,3004203,1;1200,3004204,1;</t>
  </si>
  <si>
    <t>装备任选箱（新区）</t>
  </si>
  <si>
    <t>可从以下套装中任选其一（斗志套装、浪人套装、卓越套装、暴走套装、青龙套装）</t>
  </si>
  <si>
    <t>1:1001,619276,1;1001,619272,1;1001,619277,1;1001,619278,1;1001,619279,1</t>
  </si>
  <si>
    <t>斗志套装</t>
  </si>
  <si>
    <t>使用获得一套斗志装备。</t>
  </si>
  <si>
    <t>1200,3004501,1;1200,3004502,1;1200,3004503,1;1200,3004504,1;</t>
  </si>
  <si>
    <t>卓越套装</t>
  </si>
  <si>
    <t>使用获得一套卓越装备。</t>
  </si>
  <si>
    <t>1200,3003901,1;1200,3003902,1;1200,3003903,1;1200,3003904,1;</t>
  </si>
  <si>
    <t>暴走套装</t>
  </si>
  <si>
    <t>使用获得一套暴走装备。</t>
  </si>
  <si>
    <t>1200,3003201,1;1200,3003202,1;1200,3003203,1;1200,3003204,1;</t>
  </si>
  <si>
    <t>青龙套装</t>
  </si>
  <si>
    <t>使用获得一套青龙装备。</t>
  </si>
  <si>
    <t>1200,5004201,1;1200,5004202,1;1200,5004203,1;1200,5004204,1;</t>
  </si>
  <si>
    <t>可以从九蛇海盗船、雷德·佛斯号、巴拉蒂、风·格拉玛号、极地潜水号、幽灵船、黑桃海盗船、莫比迪克号、弗拉门戈号、方舟箴言、女王妈妈吟唱者、前进·路飞前辈号和米霍克的船中任意选择一艘战船。</t>
  </si>
  <si>
    <t>1:1001,122012,1;1001,122013,1;1001,122014,1;1001,122015,1;1001,122018,1;1001,122019,1;1001,122020,1;1001,122022,1;1001,122023,1;1001,122028,1;1001,122029,1;1001,122030,1;1001,122031,1</t>
  </si>
  <si>
    <t>新区阵法任选箱</t>
  </si>
  <si>
    <t>可从以下8种阵型任选其一（进击之阵、元素之阵、专注之阵、激进之阵、冥想之阵、急速之阵、争霸之阵、守护之阵、御敌之阵、勇者之阵）</t>
  </si>
  <si>
    <t>1:1001,233031,1;1001,233032,1;1001,233033,1;1001,233034,1;1001,233035,1;1001,233036,1;1001,233037,1;1001,233038,1;1001,233039,1;1001,233040,1</t>
  </si>
  <si>
    <t>豪华任选礼箱（老服2998)</t>
  </si>
  <si>
    <t>从以下3种道具中任选一件{重铸符文石*200、阵法任选礼包[毁灭之阵、勇士之阵、魔力之阵、幻想之阵、群免之阵、极伤之阵、抗敌之阵、远投之阵、蔑视之阵、必杀之阵以及部分四级阵法]*1、战船任选箱[九蛇海盗船、雷德·佛斯号、巴拉蒂、风·格拉玛号、极地潜水号、幽灵船、黑桃海盗船、莫比迪克号、弗拉门戈号、方舟箴言、女王妈妈吟唱者、前进·路飞前辈号、米霍克的船]*1}</t>
  </si>
  <si>
    <t>1:1001,216002,200;1001,619347,1;1001,619280,1;</t>
  </si>
  <si>
    <t>豪华任选礼箱（新服2998)</t>
  </si>
  <si>
    <t>从以下3种道具中任选一件{重铸符文石*200、阵法任选礼包[进击之阵、元素之阵、专注之阵、激进之阵、冥想之阵、急速之阵、争霸之阵、守护之阵、御敌之阵、勇者之阵]*1、战船任选箱[九蛇海盗船、雷德·佛斯号、巴拉蒂、风·格拉玛号、极地潜水号、幽灵船、黑桃海盗船、莫比迪克号、弗拉门戈号、方舟箴言、女王妈妈吟唱者、前进·路飞前辈号、米霍克的船]*1}</t>
  </si>
  <si>
    <t>1:1001,216002,200;1001,619281,1;1001,619280,1;</t>
  </si>
  <si>
    <t>时装任选箱（累消）</t>
  </si>
  <si>
    <t>可以从以下时装中任意选择一件[新世界基德（获赋者）、大和（面具）、德雷克（异特龙）、凯文迪修（法鲁鲁）、夏洛特·玲玲（睡衣）]</t>
  </si>
  <si>
    <t>1:1001,713097,1;1001,713092,1;1001,713085,1;1001,713074,1;1001,713056,1</t>
  </si>
  <si>
    <t>时装任选箱（全部时装）</t>
  </si>
  <si>
    <t>豪华时装任选箱</t>
  </si>
  <si>
    <t>可以从以下时装中任意选择一件[新世界佐罗-黑色西服、新世界佐罗-激战、新世界撒谎布-德雷斯罗萨、新世界佐罗-唐装、新世界奈美-唐装、新世界撒谎布-唐装、新世界罗宾-唐装、新世界路飞-唐装、新世界山智-唐装、新世界弗兰奇-黑犀牛FR、玫瑰礼服(汉库珂)时装、新世界奈美-泳装、佩罗娜泳装、薇薇泳装、新世界布鲁克-唐装、新世界罗宾-泳装、新世界塔希米-泳装、汉库珂泳装、艾斯-万圣节、黑鸦（萨波）、萨博-万圣节、睡衣（夏洛特·玲玲）、新世界路飞- 万圣节、龙形态（凯多）、新世界罗-万圣节、新世界罗宾-万圣节、新世界山智-万圣节、新世界佐罗-万圣节、新世界奈美-万圣节、奶昔-泳装、新世界奈美-圣诞节、新世界罗宾-圣诞节、新世界乔巴-圣诞节、丽久礼服、新世界路奇和服、推进城汉库珂和服、新世界米霍克和服、凯文迪修时装、糖糖时装、光月御殿时装、凯罗特和服、阿菊（大铠）、年轻白胡子和服、新世界佩罗娜(礼服)、布玲婚纱、布林原皮（飞毯）、霍金斯时装、德雷克时装、新世界鲁兹时装、龙人凯多时装、新世界山智（王子服）、杰克（猛犸形态）、昆因（腕龙形态）、路飞（战斗服）、大和（面具）、润媞（肿头龙）、烬（无齿翼龙）、佩吉旺（脊背龙）、新世界基德时装、和之国罗时装]</t>
  </si>
  <si>
    <t>1:1001,713030,1;1001,713031,1;1001,713032,1;1001,713033,1;1001,713034,1;1001,713035,1;1001,713036,1;1001,713037,1;1001,713038,1;1001,713039,1;1001,713041,1;1001,713042,1;1001,713043,1;1001,713044,1;1001,713045,1;1001,713046,1;1001,713047,1;1001,713049,1;1001,713052,1;1001,713053,1;1001,713055,1;1001,713056,1;1001,713057,1;1001,713058,1;1001,713059,1;1001,713060,1;1001,713061,1;1001,713062,1;1001,713063,1;1001,713064,1;1001,713066,1;1001,713067,1;1001,713068,1;1001,713069,1;1001,713070,1;1001,713071,1;1001,713073,1;1001,713074,1;1001,713075,1;1001,713076,1;1001,713077,1;1001,713078,1;1001,713079,1;1001,713080,1;1001,713081,1;1001,713082,1;1001,713084,1;1001,713085,1;1001,713086,1;1001,713087,1;1001,713088,1;1001,713089,1;1001,713090,1;1001,713091,1;1001,713092,1;1001,713094,1;1001,713095,1;1001,713096,1;1001,713097,1;1001,713098,1;</t>
  </si>
  <si>
    <t>时装任选箱（累消）23.11.24</t>
  </si>
  <si>
    <t>可以从以下时装中任意选择一件[和之国罗（讨伐鬼岛装）、新世界佩罗娜(礼服)、凯罗特（和服）、烬（无齿翼龙）、夏洛特·玲玲（睡衣）]</t>
  </si>
  <si>
    <t>1:1001,713098,1;1001,713080,1;1001,713077,1;1001,713095,1;1001,713056,1</t>
  </si>
  <si>
    <t>感恩节期间掉落道具，可用于兑换特殊道具。</t>
  </si>
  <si>
    <t>感恩节礼品</t>
  </si>
  <si>
    <t>打开后随机获得一个高品质道具。</t>
  </si>
  <si>
    <t>从2023圣诞庆典主题活动的玩法中获得，可用于圣诞装扮</t>
  </si>
  <si>
    <t>圣诞节神秘的鹿角头饰，可以用于兑换道具。</t>
  </si>
  <si>
    <t>圣诞节必备的圣诞帽，可以用于兑换道具。</t>
  </si>
  <si>
    <t>圣诞玩偶</t>
  </si>
  <si>
    <t>时装任选箱（累消）23.12.21</t>
  </si>
  <si>
    <t>可以从以下时装中任意选择一件[和之国路飞（路飞太郎）、阿菊（大铠）、糖糖（泳装）、大和（面具）、烬（无齿翼龙）]</t>
  </si>
  <si>
    <t>1:1001,713102,1;1001,713078,1;1001,713075,1;1001,713092,1;1001,713095,1</t>
  </si>
  <si>
    <t>海战5-6级宝石随机</t>
  </si>
  <si>
    <t>打开后随机获得一个5-6级宝石。</t>
  </si>
  <si>
    <t>海战80级英雄套装箱</t>
  </si>
  <si>
    <t>打开后随机获得以下80级套装中的一件：威风、决心、斩击者、勇士套装。</t>
  </si>
  <si>
    <t>海战100级英雄套装箱</t>
  </si>
  <si>
    <t>打开后随机获得以下100级套装中的一件：战争、谈判、张狂、起源、暴走套装。</t>
  </si>
  <si>
    <t>觉醒徽章礼盒（奶昔）</t>
  </si>
  <si>
    <t>开启后可获得奶昔觉醒徽章。</t>
  </si>
  <si>
    <t>时装任选箱（累消）2024.1.25</t>
  </si>
  <si>
    <t>可以从以下时装中任意选择一件[和之国罗宾（阿罗宾）、奶昔（泳装）、新世界马尔高（青炎）、大和（面具）]</t>
  </si>
  <si>
    <t>1:1001,713103,1;1001,713064,1;1001,713072,1;1001,713092,1</t>
  </si>
  <si>
    <t>春节SSR任选箱</t>
  </si>
  <si>
    <t>打开后从【润媞，烬，佩吉旺，基拉，新世界基德，和之国罗】中任选一位角色。</t>
  </si>
  <si>
    <t>1:1001,630082,50;1001,630083,50;1001,630084,50;1001,630085,50;1001,630086,50;1001,630087,50</t>
  </si>
  <si>
    <t>春节觉醒碎片任选</t>
  </si>
  <si>
    <t>打开后从【奶昔觉醒碎片*50，卡塔库栗觉醒碎片*50】中任选一种道具。</t>
  </si>
  <si>
    <t>1:1001,615016,50;1001,615012,50</t>
  </si>
  <si>
    <t>新春灯笼</t>
  </si>
  <si>
    <t>春节道具，可用于兑换特殊道具。</t>
  </si>
  <si>
    <t>新春龙头</t>
  </si>
  <si>
    <t>龙年惊喜宝箱</t>
  </si>
  <si>
    <t>打开后随机获得一个道具，有概率获得高品质道具。</t>
  </si>
  <si>
    <t>9级七彩宝石任选袋</t>
  </si>
  <si>
    <t>打开后可任选一块9级七彩宝石</t>
  </si>
  <si>
    <t>1:1001,1010109,1;1001,1010209,1;1001,1010309,1;1001,1010409,1;1001,1010509,1;1001,1010609,1</t>
  </si>
  <si>
    <t>红色羽毛</t>
  </si>
  <si>
    <t>活动道具，可用于兑换特殊道具。</t>
  </si>
  <si>
    <t>星星蓝宝石</t>
  </si>
  <si>
    <t>tz_xl_hhz</t>
  </si>
  <si>
    <t>巨大号角</t>
  </si>
  <si>
    <t>春节时装任选箱</t>
  </si>
  <si>
    <t>可以从以下时装或道具中任意选择一件[新世界佐罗（唐装）、新世界奈美（唐装）、新世界撒谎布（唐装）、新世界罗宾（唐装）、新世界路飞（唐装）、新世界山智（唐装）、新世界布鲁克（唐装）、强者招募券*10]</t>
  </si>
  <si>
    <t>1:1001,713033,1;1001,713034,1;1001,713035,1;1001,713036,1;1001,713037,1;1001,713038,1;1001,713045,1;1001,215011,10</t>
  </si>
  <si>
    <t>2024时装任选箱</t>
  </si>
  <si>
    <t>可以从以下时装中任意选择一件[新世界弗兰奇（黑犀牛FR）、汉库珂（玫瑰礼服）、新世界奈美（泳装）、佩罗娜（泳装）、薇薇（泳装）、新世界罗宾（泳装）、新世界塔希米（泳装）、汉库珂（泳装）、艾斯（万圣节时装）、萨波（黑鸦时装）、萨波（万圣节时装）、夏洛特·玲玲（睡衣）、新世界路飞（万圣节时装）、凯多（龙形态）、新世界罗（万圣节）、新世界罗宾（万圣节）、新世界山智（万圣节）、新世界佐罗（万圣节）、新世界奈美（万圣节）、奶昔（泳装）、新世界奈美（圣诞节）、新世界罗宾（圣诞节）、新世界乔巴（圣诞节）、丽久（礼服）、新世界鲁兹（和服）、推进城汉库珂（和服）、新世界米霍克（和服）、凯文迪修（法鲁鲁）、糖糖（泳装）、光月御殿（皇冠）、凯罗特（和服）、阿菊（大铠）、年轻白胡子（和服）、新世界佩罗娜(礼服)、布玲(婚纱)、布玲（飞毯）、霍金斯（狛鹿）、德雷克（异特龙）、新世界鲁兹（豹）、龙人凯多（龙人形态）、新世界山智（王子服）、杰克（猛犸形态）、昆因（腕龙形态）、路飞（战斗服）、大和（面具）、润媞（肿头龙）、烬（无齿翼龙）、佩吉旺（脊背龙）、新世界基德（获赋者）、和之国罗（讨伐鬼岛装）、花魁阿玲（赫拉）、和之国路飞（路飞太郎）、和之国罗宾（阿罗宾）、和之国山智（山五郎）]</t>
  </si>
  <si>
    <t>UI_icon_sjgjbox</t>
  </si>
  <si>
    <t>1:1001,713039,1;1001,713041,1;1001,713042,1;1001,713043,1;1001,713044,1;1001,713046,1;1001,713047,1;1001,713049,1;1001,713052,1;1001,713053,1;1001,713055,1;1001,713056,1;1001,713057,1;1001,713058,1;1001,713059,1;1001,713060,1;1001,713061,1;1001,713062,1;1001,713063,1;1001,713064,1;1001,713066,1;1001,713067,1;1001,713068,1;1001,713069,1;1001,713070,1;1001,713071,1;1001,713073,1;1001,713074,1;1001,713075,1;1001,713076,1;1001,713077,1;1001,713078,1;1001,713079,1;1001,713080,1;1001,713081,1;1001,713082,1;1001,713084,1;1001,713085,1;1001,713086,1;1001,713087,1;1001,713088,1;1001,713089,1;1001,713090,1;1001,713091,1;1001,713092,1;1001,713094,1;1001,713095,1;1001,713096,1;1001,713097,1;1001,713098,1;1001,713101,1;1001,713102,1;1001,713103,1;1001,713104,1</t>
  </si>
  <si>
    <t>食材1</t>
  </si>
  <si>
    <t>制作美食的食材1</t>
  </si>
  <si>
    <t>食材2</t>
  </si>
  <si>
    <t>制作美食的食材2</t>
  </si>
  <si>
    <t>食材3</t>
  </si>
  <si>
    <t>制作美食的食材3</t>
  </si>
  <si>
    <t>食材4</t>
  </si>
  <si>
    <t>制作美食的食材4</t>
  </si>
  <si>
    <t>食材5</t>
  </si>
  <si>
    <t>制作美食的食材5</t>
  </si>
  <si>
    <t>食材6</t>
  </si>
  <si>
    <t>制作美食的食材6</t>
  </si>
  <si>
    <t>食材7</t>
  </si>
  <si>
    <t>制作美食的食材7</t>
  </si>
  <si>
    <t>食材8</t>
  </si>
  <si>
    <t>制作美食的食材8</t>
  </si>
  <si>
    <t>食材9</t>
  </si>
  <si>
    <t>制作美食的食材9</t>
  </si>
  <si>
    <t>食材10</t>
  </si>
  <si>
    <t>制作美食的食材10</t>
  </si>
  <si>
    <t>食材11</t>
  </si>
  <si>
    <t>制作美食的食材11</t>
  </si>
  <si>
    <t>食材12</t>
  </si>
  <si>
    <t>制作美食的食材12</t>
  </si>
  <si>
    <t>食材13</t>
  </si>
  <si>
    <t>制作美食的食材13</t>
  </si>
  <si>
    <t>食材14</t>
  </si>
  <si>
    <t>制作美食的食材14</t>
  </si>
  <si>
    <t>食材15</t>
  </si>
  <si>
    <t>制作美食的食材15</t>
  </si>
  <si>
    <t>食材16</t>
  </si>
  <si>
    <t>制作美食的食材16</t>
  </si>
  <si>
    <t>食材17</t>
  </si>
  <si>
    <t>制作美食的食材17</t>
  </si>
  <si>
    <t>食材18</t>
  </si>
  <si>
    <t>制作美食的食材18</t>
  </si>
  <si>
    <t>食材19</t>
  </si>
  <si>
    <t>制作美食的食材19</t>
  </si>
  <si>
    <t>食材20</t>
  </si>
  <si>
    <t>制作美食的食材20</t>
  </si>
  <si>
    <t>食材21</t>
  </si>
  <si>
    <t>制作美食的食材21</t>
  </si>
  <si>
    <t>美食1</t>
  </si>
  <si>
    <t>美食2</t>
  </si>
  <si>
    <t>美食3</t>
  </si>
  <si>
    <t>美食4</t>
  </si>
  <si>
    <t>美食5</t>
  </si>
  <si>
    <t>食谱1</t>
  </si>
  <si>
    <t>UI_icon_qfp</t>
  </si>
  <si>
    <t>食谱2</t>
  </si>
  <si>
    <t>食谱3</t>
  </si>
  <si>
    <t>食谱4</t>
  </si>
  <si>
    <t>食谱5</t>
  </si>
  <si>
    <t>试玩卡路飞测试</t>
  </si>
  <si>
    <t>试玩卡杰克斯测试</t>
  </si>
  <si>
    <t>杰克斯试玩卡</t>
  </si>
  <si>
    <t>试玩卡只能在主线任务，每日任务，剧情回刷，活动副本，角色传记等玩法中使用，其他PVP和PVE玩法中都不可使用。拥有试玩卡对应的本卡角色时，试玩卡会失效</t>
  </si>
  <si>
    <t>UI_item_shiwan_hongfa</t>
  </si>
  <si>
    <t>黑胡子试玩卡</t>
  </si>
  <si>
    <t>UI_item_shiwan_heihuzi</t>
  </si>
  <si>
    <t>多弗拉门戈试玩卡</t>
  </si>
  <si>
    <t>UI_item_shiwan_mingge</t>
  </si>
  <si>
    <t>浪人套装任选箱(koc专用）</t>
  </si>
  <si>
    <t>浪人套装任选箱</t>
  </si>
  <si>
    <t>可以从浪人套装4件装备中任选1件获得。</t>
  </si>
  <si>
    <t>1:1200,3004601,1;1200,3004602,1;1200,3004603,1;1200,3004604,1</t>
  </si>
  <si>
    <t>VIP战船任选箱</t>
  </si>
  <si>
    <t>可以从雷德佛斯号，九蛇海盗船，黑桃海盗船中任选一艘战船。</t>
  </si>
  <si>
    <t>VIP阵法任选箱</t>
  </si>
  <si>
    <t>可以从精准之阵，会心之阵，平静之阵，疾行之阵，治愈之阵，沉稳之阵，狂怒之阵，激励之阵，战魂之阵，猎手之阵，凛冬之阵，曙光之阵，冲击之阵，守护之阵，雷炎之阵，虚无之阵。</t>
  </si>
  <si>
    <t>1:1001,233007,1;1001,233008,1;1001,233009,1;1001,233010,1;1001,233011,1;1001,233012,1;1001,233013,1;1001,233015,1;1001,233016,1;1001,233023,1;1001,233026,1;1001,233026,1;1001,233028,1;1001,233030,1;1001,233038,1;1001,233027,1;1001,233025,1</t>
  </si>
  <si>
    <t>全服挑战疲劳值恢复药剂</t>
  </si>
  <si>
    <t>疲劳恢复药剂</t>
  </si>
  <si>
    <t>使用后恢复疲劳值</t>
  </si>
  <si>
    <t>雷利试玩卡</t>
  </si>
  <si>
    <t>UI_item_shiwan_leili</t>
  </si>
  <si>
    <t>星辰演习典册</t>
  </si>
  <si>
    <t>item_211023</t>
  </si>
  <si>
    <t>实战演练-星辰|99</t>
  </si>
  <si>
    <t>星辰高阶演习日志</t>
  </si>
  <si>
    <t>用于提升无果实系角色的技能。</t>
  </si>
  <si>
    <t>item_2707</t>
  </si>
  <si>
    <t>星辰奥义演习日志</t>
  </si>
  <si>
    <t>item_3707</t>
  </si>
  <si>
    <t>星辰秘藏演习日志</t>
  </si>
  <si>
    <t>item_4707</t>
  </si>
  <si>
    <t>星辰极意演习日志</t>
  </si>
  <si>
    <t>item_5707</t>
  </si>
  <si>
    <t>幻形演习典册</t>
  </si>
  <si>
    <t>用于动物系角色提升技能强度，在一些特殊技能等级时会用到它，非常稀有</t>
  </si>
  <si>
    <t>item_211026</t>
  </si>
  <si>
    <t>实战演练-幻形|98</t>
  </si>
  <si>
    <t>幻形高阶演习日志</t>
  </si>
  <si>
    <t>用于提升动物系角色的技能。</t>
  </si>
  <si>
    <t>item_2207</t>
  </si>
  <si>
    <t>幻形奥义演习日志</t>
  </si>
  <si>
    <t>item_3207</t>
  </si>
  <si>
    <t>幻形秘藏演习日志</t>
  </si>
  <si>
    <t>item_4207</t>
  </si>
  <si>
    <t>幻形极意演习日志</t>
  </si>
  <si>
    <t>item_5207</t>
  </si>
  <si>
    <t>风暴演习典册</t>
  </si>
  <si>
    <t>用于自然系角色提升技能强度，在一些特殊技能等级时会用到它，非常稀有</t>
  </si>
  <si>
    <t>item_211022</t>
  </si>
  <si>
    <t>实战演练-风暴|97</t>
  </si>
  <si>
    <t>风暴高阶演习日志</t>
  </si>
  <si>
    <t>用于提升自然系角色的技能。</t>
  </si>
  <si>
    <t>item_2807</t>
  </si>
  <si>
    <t>风暴奥义演习日志</t>
  </si>
  <si>
    <t>item_3807</t>
  </si>
  <si>
    <t>风暴秘藏演习日志</t>
  </si>
  <si>
    <t>item_4807</t>
  </si>
  <si>
    <t>风暴极意演习日志</t>
  </si>
  <si>
    <t>item_5807</t>
  </si>
  <si>
    <t>超凡演习典册</t>
  </si>
  <si>
    <t>用于超人系角色提升技能强度，在一些特殊技能等级时会用到它，非常稀有</t>
  </si>
  <si>
    <t>item_211024</t>
  </si>
  <si>
    <t>实战演练-超凡|96</t>
  </si>
  <si>
    <t>超凡高阶演习日志</t>
  </si>
  <si>
    <t>用于提升超人系角色的技能。</t>
  </si>
  <si>
    <t>item_2307</t>
  </si>
  <si>
    <t>超凡奥义演习日志</t>
  </si>
  <si>
    <t>item_3307</t>
  </si>
  <si>
    <t>超凡秘藏演习日志</t>
  </si>
  <si>
    <t>item_4307</t>
  </si>
  <si>
    <t>超凡极意演习日志</t>
  </si>
  <si>
    <t>item_5307</t>
  </si>
  <si>
    <t>上元节打火石</t>
  </si>
  <si>
    <t>2024/3/10-23:59:59</t>
  </si>
  <si>
    <t>上元节火把</t>
  </si>
  <si>
    <t>觉醒徽章礼盒（苏打饼）</t>
  </si>
  <si>
    <t>开启后可获得苏打饼觉醒徽章。</t>
  </si>
  <si>
    <t>无名新叶</t>
  </si>
  <si>
    <t>可爱苹果</t>
  </si>
  <si>
    <t>皇后鲜花</t>
  </si>
  <si>
    <t>纯爱之心</t>
  </si>
  <si>
    <t>纯爱之晶</t>
  </si>
  <si>
    <t>情人节惊喜宝箱</t>
  </si>
  <si>
    <t>承载着满满爱意的一个惊喜宝箱，听说有概率开出神秘的纯爱之晶</t>
  </si>
  <si>
    <t>白色情人节宝箱</t>
  </si>
  <si>
    <t>白色情人节·SSR任选箱</t>
  </si>
  <si>
    <t>白色情人节·SSR任选箱，使用后可从以下6个SSR角色中任意选择一个(乌塔、杰克斯、新世界米霍克、新世界佩罗娜、大和、艾斯)</t>
  </si>
  <si>
    <t>1:1001,630081,50;1001,630024,50;1001,630056,50;1001,630065,50;1001,630080,50;1001,630008,50</t>
  </si>
  <si>
    <t>白色情人节·皮肤任选箱</t>
  </si>
  <si>
    <t>白色情人节·皮肤任选箱，使用后可从以下10个皮肤中任意选择一个(乌塔(铠甲)、新世界佩罗娜(礼服)、新世界米霍克(和服)、艾斯(万圣节)、大和(面具)、汉库珂(泳装)、新世界罗宾(泳装)、新世界娜美(泳装)、UR凯多(龙人形态)、新世界鲁兹(豹形态))</t>
  </si>
  <si>
    <t>1:1001,713093,1;1001,713080,1;1001,713073,1;1001,713052,1;1001,713092,1;1001,713049,1;1001,713046,1;1001,713042,1;1001,713087,1;1001,713086,1</t>
  </si>
  <si>
    <t>使用后可从以下4个皮肤中任意选择一个(和之国山智（山五郎）、烬（无齿翼龙）、龙人凯多（龙人形态）、和之国罗宾（阿罗宾）)</t>
  </si>
  <si>
    <t>1:1001,713104,1;1001,713095,1;1001,713087,1;1001,713103,1</t>
  </si>
  <si>
    <t>可从从以下阵型中任选其一(狂怒之阵、壁垒之阵、激励之阵、战魂之阵、突袭之阵、凶恶之阵、极护之阵、对决之阵、精锐之阵、猎手之阵、灵性之阵、虚无之阵、凛冬之阵、雷炎之阵、防护之阵、冲击之阵、曙光之阵)</t>
  </si>
  <si>
    <t>1:1001,233013,1;1001,233014,1;1001,233015,1;1001,233016,1;1001,233017,1;1001,233021,1;1001,233019,1;1001,233018,1;1001,233020,1;1001,233023,1;1001,233024,1;1001,233025,1;1001,233026,1;1001,233027,1;1001,233029,1;1001,233030,1;1001,233028,1</t>
  </si>
  <si>
    <t>春日好礼任选箱</t>
  </si>
  <si>
    <t>可以从以下道具中任选其一(强者招募券*5、阵法任选箱*1、重铸符文石*20)</t>
  </si>
  <si>
    <t>1:1001,215011,5;1001,619324,1;1001,216002,20</t>
  </si>
  <si>
    <t>懵懂新芽</t>
  </si>
  <si>
    <t>魔法蔓藤</t>
  </si>
  <si>
    <t>怒放鲜花</t>
  </si>
  <si>
    <t>使用后有概率获得一个高品质道具</t>
  </si>
  <si>
    <t>使用后可从以下5个皮肤中任意选择一个(和之国乔巴（乔巴卫门）、和之国山智（山五郎）、和之国罗宾（阿罗宾）、佩吉旺变身时装（棘背龙形态）、糖糖泳装)</t>
  </si>
  <si>
    <t>1:1001,713106,1;1001,713104,1;1001,713103,1;1001,713096,1;1001,713075,1</t>
  </si>
  <si>
    <t>劳动小红旗</t>
  </si>
  <si>
    <t>520宝箱</t>
  </si>
  <si>
    <t>使用后可概率获得一个高品质道具</t>
  </si>
  <si>
    <t>甜蜜时装宝箱</t>
  </si>
  <si>
    <t>使用后可从以下4个时装中任意选择一个（玫瑰礼服(汉库珂)时装、结婚礼服(奈美)时装、新世界佐罗-黑色西服、薇薇泳装）</t>
  </si>
  <si>
    <t>1:1001,713041,1;1001,713020,1;1001,713030,1;1001,713044,1</t>
  </si>
  <si>
    <t>520玫瑰</t>
  </si>
  <si>
    <t>520水晶</t>
  </si>
  <si>
    <t>520气球</t>
  </si>
  <si>
    <t>惊喜宝箱</t>
  </si>
  <si>
    <t>任选宝箱</t>
  </si>
  <si>
    <t>使用后可从以下3个道具中任意选择一个（凯撒整卡、初级炼魂石*50、符文重铸石头*30）</t>
  </si>
  <si>
    <t>1:1001,630041,50;1001,720002,50;1001,216002,30</t>
  </si>
  <si>
    <t>使用后可从以下5个时装中任意选择一个（布玲(婚纱)时装、布玲(飞毯)时装、和之国乔巴（乔巴门卫）时装、烬(无齿翼龙）、UR花魁阿玲（赫拉）时装）</t>
  </si>
  <si>
    <t>1:1001,713081,1;1001,713082,1;1001,713106,1;1001,713095,1;1001,713101,1</t>
  </si>
  <si>
    <t>儿童节糖果</t>
  </si>
  <si>
    <t>儿童节风筝</t>
  </si>
  <si>
    <t>可从以下20种阵型任选其一（毁灭之阵、勇士之阵、魔力之阵、幻想之阵、群免之阵、极伤之阵、抗敌之阵、远投之阵、蔑视之阵、必杀之阵、进击之阵、元素之阵、专注之阵、激进之阵、冥想之阵、急速之阵、争霸之阵、守护之阵、御敌之阵、勇者之阵）</t>
  </si>
  <si>
    <t>1:1001,233041,1;1001,233042,1;1001,233043,1;1001,233044,1;1001,233045,1;1001,233046,1;1001,233047,1;1001,233051,1;1001,233052,1;1001,233053,1;1001,233031,1;1001,233032,1;1001,233033,1;1001,233034,1;1001,233035,1;1001,233036,1;1001,233037,1;1001,233038,1;1001,233039,1;1001,233040,1</t>
  </si>
  <si>
    <t>生日惊喜宝箱</t>
  </si>
  <si>
    <t>可从以下两种物品中任意选择一个（路飞-夏威夷、强者招募券*2）</t>
  </si>
  <si>
    <t>1:1001,713029,1;1001,215011,2</t>
  </si>
  <si>
    <t>粽叶飘香宝箱</t>
  </si>
  <si>
    <t>可从以下17种阵型任选其一（狂怒之阵、壁垒之阵、激励之阵、战魂之阵、突袭之阵、凶恶之阵、极护之阵、对决之阵、精锐之阵、猎手之阵、灵性之阵、虚无之阵、凛冬之阵、雷炎之阵、防护之阵、冲击之阵、曙光之阵)</t>
  </si>
  <si>
    <t>全区SSR任选箱</t>
  </si>
  <si>
    <t>任选宝箱，使用后可选择获得一个SSR角色。</t>
  </si>
  <si>
    <t>1:1001,630034,50;1001,630028,50;1001,630029,50;1001,630033,50;1001,630035,50;1001,630036,50;1001,630037,50;1001,630038,50;1001,630039,50;1001,630050,50;1001,630052,50;1001,630055,50;1001,630056,50</t>
  </si>
  <si>
    <t>不法之地-SSR任选箱</t>
  </si>
  <si>
    <t>可任选一个SSR获得。</t>
  </si>
  <si>
    <t>1:1001,630040,50;1001,630044,50;1001,630045,50;1001,630046,50;1001,630070,50;</t>
  </si>
  <si>
    <t>扇子</t>
  </si>
  <si>
    <t>用于兑换珍贵道具</t>
  </si>
  <si>
    <t>68累充时装任选箱</t>
  </si>
  <si>
    <t>使用后可从以下4个时装中任意选择一个（佩罗娜（泳装）、薇薇（泳装）、薇薇公主时装、结婚礼服(奈美)时装）</t>
  </si>
  <si>
    <t>1:1001,713043,1;1001,713044,1;1001,713023,1;1001,713020,1</t>
  </si>
  <si>
    <t>代币兑换时装任选箱</t>
  </si>
  <si>
    <t>使用后可从以下4个时装中任意选择一个（佩罗娜（泳装）、薇薇（泳装）、新世界塔希米（泳装）、推进城汉库珂（和服））</t>
  </si>
  <si>
    <t>1:1001,713043,1;1001,713044,1;1001,713047,1;1001,713071,1</t>
  </si>
  <si>
    <t>青龙装备任选箱</t>
  </si>
  <si>
    <t>使用可以任选一件青龙装备</t>
  </si>
  <si>
    <t>1:1200,5004201,1;1200,5004202,1;1200,5004203,1;1200,5004204,1</t>
  </si>
  <si>
    <t>三级阵法任选箱</t>
  </si>
  <si>
    <t>可以从以下阵型中任选其一（壁垒之阵、突袭之阵、凶恶之阵、极护之阵、对决之阵、精锐之阵、灵性之阵、虚无之阵、雷炎之阵、防护之阵、冲击之阵、曙光之阵）</t>
  </si>
  <si>
    <t>1:1001,233014,1;1001,233017,1;1001,233021,1;1001,233019,1;1001,233018,1;1001,233020,1;1001,233024,1;1001,233025,1;1001,233027,1</t>
  </si>
  <si>
    <t>皮肤/UR招募券任选箱</t>
  </si>
  <si>
    <t>道具任选箱</t>
  </si>
  <si>
    <t>使用后可以任意选择以下道具（UR招募券*5、佩罗娜（泳装）、薇薇（泳装）、薇薇公主时装、结婚礼服(奈美)时装）</t>
  </si>
  <si>
    <t>1:1001,221011,5;1001,619355,1</t>
  </si>
  <si>
    <t>时装兑换币</t>
  </si>
  <si>
    <t>活动道具，可用于兑换活动时装。</t>
  </si>
  <si>
    <t>item_15</t>
  </si>
  <si>
    <t>预热活动宝箱</t>
  </si>
  <si>
    <t>额外惊喜礼包</t>
  </si>
  <si>
    <t>使用后有33%概率获得强者招募券*3、20%概率获得强者招募券*5、10%概率获得强者招募券*8、20.6%概率获得时装兑换券*5、11%概率获得时装兑换券*8、5%概率获得时装兑换券*20、0.3%概率获得6级七彩宝石任选*1、0.1%概率获得7级七彩宝石任选*1</t>
  </si>
  <si>
    <t>惊喜随机好礼</t>
  </si>
  <si>
    <t>打开后必得时装兑换币*5，额外还有33%概率获得强者招募券*3、20%概率获得强者招募券*5、10%概率获得强者招募券*8、20.6%概率获得时装兑换券*5、11%概率获得时装兑换券*8、5%概率获得时装兑换券*20、0.3%概率获得6级七彩宝石任选*1、0.1%概率获得7级七彩宝石任选*1</t>
  </si>
  <si>
    <t>1001,619360,5;1001,619362,1</t>
  </si>
  <si>
    <t>稀有时装任选箱</t>
  </si>
  <si>
    <t>使用后可从以下5个时装中任意选择一个（狗头帽(戈普)时装、结婚礼服(奈美)时装、紫色旗袍(汉库珂)时装、玛丽弗德(沙·鳄鱼)时装、阿拉巴斯坦(艾斯)时装）</t>
  </si>
  <si>
    <t>1:1001,713016,1;1001,713020,1;1001,713017,1;1001,713014,1;1001,713018,1</t>
  </si>
  <si>
    <t>珍贵时装任选箱</t>
  </si>
  <si>
    <t>使用后可从以下6个时装中任意选择一个（新世界罗宾-泳装、新世界路飞-“路西”、玫瑰礼服(汉库珂)时装、新世界米霍克和服、新世界青雉企鹅、新世界路奇和服）</t>
  </si>
  <si>
    <t>1:1001,713046,1;1001,713050,1;1001,713041,1;1001,713073,1;1001,713065,1;1001,713070,1</t>
  </si>
  <si>
    <t>惊喜道具任选箱</t>
  </si>
  <si>
    <t>使用后可以任选时装兑换币*150或和之国弗兰奇时装。</t>
  </si>
  <si>
    <t>1:1001,619360,150;1001,713109,1</t>
  </si>
  <si>
    <t>UR招募券宝箱</t>
  </si>
  <si>
    <t>打开后有10%概率获得UR招募券*10、25%概率获得UR招募券*11、30%概率获得UR招募券*12、20%概率获得UR招募券*13、10%概率获得UR招募券*14、4.8%概率获得UR招募券*15、0.2%概率获得时装兑换币*150和和之国弗兰奇时装任选宝箱。</t>
  </si>
  <si>
    <t>符文重铸石宝箱</t>
  </si>
  <si>
    <t>打开后有45%概率获得符文重铸石*40、35%概率获得符文重铸石*45、19.8%概率获得符文重铸石*50、0.2%概率获得时装兑换币*150和和之国弗兰奇时装任选宝箱。</t>
  </si>
  <si>
    <t>铸造券宝箱</t>
  </si>
  <si>
    <t>打开后有10%概率获得铸造券*10、25%概率获得铸造券*11、30%概率获得铸造券*12、20%概率获得铸造券*13、10%概率获得铸造券*14、4.8%概率获得铸造券*15、0.2%概率获得时装兑换币*150和和之国弗兰奇时装任选宝箱。</t>
  </si>
  <si>
    <t>炼魂石宝箱</t>
  </si>
  <si>
    <t>打开后有45%概率获得炼魂石*40、35%概率获得炼魂石*45、19.8%概率获得炼魂石*50、0.2%概率获得时装兑换币*150和和之国弗兰奇时装任选宝箱。</t>
  </si>
  <si>
    <t>七彩宝石宝箱</t>
  </si>
  <si>
    <t>打开后有60%概率获得7级七彩宝石任选袋、39.8%概率获得8级七彩宝石任选袋、0.2%概率获得时装兑换币*150和和之国弗兰奇时装任选宝箱。</t>
  </si>
  <si>
    <t>新时装惊喜宝箱</t>
  </si>
  <si>
    <t>惊喜道具任选箱子</t>
  </si>
  <si>
    <t>使用后必得时装兑换币*10，还以任选UR招募券宝箱、重铸符文石宝箱、铸造券宝箱、炼魂石宝箱、七彩宝石宝箱、更有机会获得时装兑换币*150和和之国弗兰奇时装。</t>
  </si>
  <si>
    <t>1001,619360,10;1001,619377,1</t>
  </si>
  <si>
    <t>使用后可以从以下宝箱中任选一个（UR招募券宝箱、重铸符文石宝箱、铸造券宝箱、炼魂石宝箱、七彩宝石宝箱）更有机会获得时装兑换币*150和和之国弗兰奇时装。</t>
  </si>
  <si>
    <t>1:1001,619371,1;1001,619372,1;1001,619373,1;1001,619374,1;1001,619375,1</t>
  </si>
  <si>
    <t>初征赠礼</t>
  </si>
  <si>
    <t>打开后可以获得强者招募券*1和奥义经验卷轴*5</t>
  </si>
  <si>
    <t>1001,215011,1;1001,216001,5</t>
  </si>
  <si>
    <t>初征启航礼A</t>
  </si>
  <si>
    <t>打开后可以获得强者招募券*10和奥义经验卷轴*10</t>
  </si>
  <si>
    <t>1001,215011,10;1001,216001,10</t>
  </si>
  <si>
    <t>初征启航礼B</t>
  </si>
  <si>
    <t>打开后可以获得UR招募券*16和奥义经验卷轴*10</t>
  </si>
  <si>
    <t>1001,221011,16;1001,216001,10</t>
  </si>
  <si>
    <t>初征启航礼C</t>
  </si>
  <si>
    <t>打开后可以获得限时铸造券*20和奥义经验卷轴*10</t>
  </si>
  <si>
    <t>1001,215015,20;1001,216001,10</t>
  </si>
  <si>
    <t>打开后可从以下2个时装中任意选择一个(和之国路飞（路飞太郎）、和之国撒谎布（撒谎八））</t>
  </si>
  <si>
    <t>1:1001,713102,1;1001,713107,1</t>
  </si>
  <si>
    <t>打开后可从以下3个时装中任意选择一个(萨波（黑鸦时装）、和之国罗宾（阿罗宾）、阿菊（大铠））</t>
  </si>
  <si>
    <t>1:1001,713053,1;1001,713103,1;1001,713078,1</t>
  </si>
  <si>
    <t>打开后可从以下10个SSR中任意选择一个(乌塔、新世界米霍克、大和、布玲、新世界路飞、新世界佩罗娜、艾斯、杰克斯、新世界山智、推进城汉库珂）</t>
  </si>
  <si>
    <t>1:1001,630081,50;1001,630056,50;1001,630080,50;1001,630070,50;1001,630031,50;1001,630065,50;1001,630008,50;1001,630024,50;1001,630037,50;1001,630053,50</t>
  </si>
  <si>
    <t>打开后可从以下9个时装中任意选择一个(乌塔（铠甲）、新世界佩罗娜(礼服)、新世界米霍克（和服）、艾斯（万圣节时装）、大和（面具）、新世界罗宾（泳装）、新世界娜美泳装、布玲时装（婚纱）、新世界山智（王子服））</t>
  </si>
  <si>
    <t>1:1001,713093,1;1001,713080,1;1001,713073,1;1001,713052,1;1001,713092,1;1001,713046,1;1001,713042,1;1001,713081,1;1001,713088,1</t>
  </si>
  <si>
    <t>打开后可从以下3个时装中任意选择一个(和之国罗（讨伐鬼岛装）、和之国弗兰奇（弗兰介）、新世界基德（获赋者））</t>
  </si>
  <si>
    <t>1:1001,713098,1;1001,713109,1;1001,713097,1</t>
  </si>
  <si>
    <t>打开后可从以下6个SSR中任意选择一个(凯撒、锦卫门、阿菊、baby5、基拉、凯多）</t>
  </si>
  <si>
    <t>1:1001,630041,50;1001,630034,50;1001,630062,50;1001,630063,50;1001,630085,50;1001,630047,50</t>
  </si>
  <si>
    <t>打开后可从以下4个时装中任意选择一个(和之国布鲁克（骨吉）、烬（无齿翼龙）、和之国佐罗（佐罗十郎）、昆因（腕龙形态））</t>
  </si>
  <si>
    <t>1:1001,713110,1;1001,713095,1;1001,713105,1;1001,713090,1</t>
  </si>
  <si>
    <t>打开后可从以下3个时装中任意选择一个(和之国山智（山五郎）、和之国罗宾（阿罗宾）、新世界佩罗娜(礼服)）</t>
  </si>
  <si>
    <t>1:1001,713104,1;1001,713103,1;1001,713080,1</t>
  </si>
  <si>
    <t>经典时装好礼</t>
  </si>
  <si>
    <t>打开后可以获得路飞（西装）</t>
  </si>
  <si>
    <t>1001,713111,1</t>
  </si>
  <si>
    <t>豪华时装好礼</t>
  </si>
  <si>
    <t>打开后可以获得（路飞（西装）和黄金战魂*30和强者招募券*10和豪华珍奇矿石*1）</t>
  </si>
  <si>
    <t>1001,713111,1;1001,215005,30;1001,215011,10;1001,515030,1</t>
  </si>
  <si>
    <t>典藏时装好礼</t>
  </si>
  <si>
    <t>打开后可以获得（路飞（西装）和黄金战魂*50和强者招募券*20和豪华珍奇矿石*2）</t>
  </si>
  <si>
    <t>1001,713111,1;1001,215005,50;1001,215011,20;1001,515030,2</t>
  </si>
  <si>
    <t>屠戮套装任选箱</t>
  </si>
  <si>
    <t>可以从屠戮套装4件装备中任选1件获得。</t>
  </si>
  <si>
    <t>1:1200,3004401,1;1200,3004402,1;1200,3004403,1;1200,3004404,1</t>
  </si>
  <si>
    <t>打开后可从以下3个时装中任意选择一个(和之国乔巴（乔巴卫门）、和之国路飞（路飞太郎）、佩吉旺变身时装）</t>
  </si>
  <si>
    <t>1:1001,713106,1;1001,713102,1;1001,713096,1</t>
  </si>
  <si>
    <t>周年庆典铜宝箱</t>
  </si>
  <si>
    <t>打开后有概率获得彩钻*6、彩钻*18、彩钻*30或彩钻*66，若不打开宝箱则可用来兑换更高级别宝箱</t>
  </si>
  <si>
    <t>周年庆典银宝箱</t>
  </si>
  <si>
    <t>打开后有概率获得彩钻*88、彩钻*188、彩钻*388或彩钻*688，若不打开宝箱则可用来兑换更高级别宝箱</t>
  </si>
  <si>
    <t>四级阵法任选箱</t>
  </si>
  <si>
    <t>可以从以下阵型中任选其一（进击之阵、元素之阵、专注之阵、激进之阵、冥想之阵、急速之阵、争霸之阵、守护之阵、御敌之阵、勇者之阵）</t>
  </si>
  <si>
    <t>UR任选箱</t>
  </si>
  <si>
    <t>打开宝箱从UR凯多和UR大妈中任选一个</t>
  </si>
  <si>
    <t>1:1001,640001,80;1001,640002,80</t>
  </si>
  <si>
    <t>打开后可从以下4个时装中任意选择一个(和之国撒谎布（撒谎八）、润媞（肿头龙）、和之国奈美（阿奈美）、阿菊（大铠））</t>
  </si>
  <si>
    <t>1:1001,713107,1;1001,713094,1;1001,713108,1;1001,713078,1</t>
  </si>
  <si>
    <t>打开后可从以下8个SSR中任意选择一个(和之国路飞、和之国罗宾、和之国山治、和之国索隆、和之国乔巴、和之国撒谎布、和之国娜美、和之国甚平）</t>
  </si>
  <si>
    <t>1:1001,630089,50;1001,630090,50;1001,630091,50;1001,630092,50;1001,630093,50;1001,630094,50;1001,630095,50;1001,630098,50;</t>
  </si>
  <si>
    <t>打开后可从以下3个时装中任意选择一个(奈美泳装、罗宾泳装、baby5泳装）</t>
  </si>
  <si>
    <t>1:1001,713025,1;1001,713026,1;1001,713054,1</t>
  </si>
  <si>
    <t>打开后可从以下5个战船中任意选择一个(般城丸号、海军战舰、黑胡子木筏、戈普的军舰、太阳海盗船）</t>
  </si>
  <si>
    <t>1:1001,122034,1;1001,122005,1;1001,122011,1;1001,122016,1;1001,122017,1</t>
  </si>
  <si>
    <t>活动期间内参与每日任务和剧情回顾有几率获得，可用于兑换特殊道具。</t>
  </si>
  <si>
    <t>活动期间内参与讨伐任务有几率获得，可用于兑换特殊道具</t>
  </si>
  <si>
    <t>红飘带</t>
  </si>
  <si>
    <t>活动期间用于兑换新世界黑胡子碎片</t>
  </si>
  <si>
    <t>月桂飘香宝箱</t>
  </si>
  <si>
    <t>活动礼包，打开后有机会获得高品质道具。</t>
  </si>
  <si>
    <t>打开后可从以下2个时装中任意选择一个(霍金斯（狛鹿）、新世界马尔高（青炎））</t>
  </si>
  <si>
    <t>1:1001,713084,1;1001,713072,1</t>
  </si>
  <si>
    <t>打开后可从以下10个SSR中任意选择一个(和之国路飞、和之国罗宾、和之国山治、和之国索隆、和之国乔巴、和之国撒谎布、和之国娜美、和之国甚平、和之国弗兰奇、和之国布鲁克）</t>
  </si>
  <si>
    <t>1:1001,630089,50;1001,630090,50;1001,630091,50;1001,630092,50;1001,630093,50;1001,630094,50;1001,630095,50;1001,630098,50;1001,630096,50;1001,630097,50</t>
  </si>
  <si>
    <t>打开后可从以下8个时装中任意选择一个(泳装baby5、新世界佐罗-黑色西服、新世界路飞-唐装、新世界山智-唐装、玫瑰礼服(汉库珂)时装、丽久礼服、光月御殿时装、年轻白胡子和服）</t>
  </si>
  <si>
    <t>1:1001,713054,1;1001,713030,1;1001,713037,1;1001,713038,1;1001,713041,1;1001,713069,1;1001,713076,1;1001,713079,1</t>
  </si>
  <si>
    <t>打开后可从以下10个时装中任意选择一个(奈美（阿拉巴斯坦舞娘装）、薇薇（泳装）、薇薇（公主装）、奈美（泳装）、罗宾（泳装）、路飞（夏威夷服装）、汉库珂（玫瑰礼服）、新世界罗宾（泳装）、新世界塔希米（泳装）、新世界佐罗-黑色西服）</t>
  </si>
  <si>
    <t>1:1001,713027,1;1001,713044,1;1001,713023,1;1001,713025,1;1001,713026,1;1001,713029,1;1001,713041,1;1001,713046,1;1001,713047,1;1001,713030,1</t>
  </si>
  <si>
    <t>罗杰船员礼包</t>
  </si>
  <si>
    <t>打开后可从以下3个SSR中任意选择一个(雷利、光月御殿、杰克斯）</t>
  </si>
  <si>
    <t>1:1001,630016,50;1001,630059,50;1001,630024,50</t>
  </si>
  <si>
    <t>10级七彩宝石任选袋</t>
  </si>
  <si>
    <t>打开后可任选一块10级七彩宝石</t>
  </si>
  <si>
    <t>1:1001,1010110,1;1001,1010210,1;1001,1010310,1;1001,1010410,1;1001,1010510,1;1001,1010610,1</t>
  </si>
  <si>
    <t>回归奖励SSR任选箱</t>
  </si>
  <si>
    <t>打开后可从以下11个SSR中任意选择一个(和之国罗、和之国路飞、和之国罗宾、和之国山治、和之国索隆、和之国乔巴、和之国撒谎布、和之国娜美、和之国甚平、和之国弗兰奇、和之国布鲁克）</t>
  </si>
  <si>
    <t>1:1001,630087,50;1001,630089,50;1001,630090,50;1001,630091,50;1001,630092,50;1001,630093,50;1001,630094,50;1001,630095,50;1001,630098,50;1001,630096,50;1001,630097,50</t>
  </si>
  <si>
    <t>金宝箱SSR任选箱</t>
  </si>
  <si>
    <t>打开后可从以下14个SSR中任意选择一个(基拉、大和、沙·鳄鱼、布玲、萨波、新世界奈美、新世界罗宾、新世界撒谎布、新世界弗兰奇、新世界乔巴、和之国罗、和之国山智、和之国路飞、和之国撒谎布）</t>
  </si>
  <si>
    <t>1:1001,630085,50;1001,630080,50;1001,630001,50;1001,630070,50;1001,630042,50;1001,630028,50;1001,630029,50;1001,630025,50;1001,630035,50;1001,630038,50;1001,630087,50;1001,630091,50;1001,630089,50;1001,630094,50</t>
  </si>
  <si>
    <t>金宝箱时装任选箱</t>
  </si>
  <si>
    <t>打开后可从以下6个时装中任意选择一个(新世界罗宾（泳装）、新世界奈美-泳装、沙·鳄鱼（玛丽弗德）、新世界撒谎布（唐装）、新世界奈美（唐装）、新世界罗宾（唐装））</t>
  </si>
  <si>
    <t>1:1001,713046,1;1001,713042,1;1001,713014,1;1001,713035,1;1001,713034,1;1001,713036,1</t>
  </si>
  <si>
    <t>周年庆典金宝箱</t>
  </si>
  <si>
    <t>打开后可从以下3个奖励中任意选择一个（时装任选箱*1、10级七彩宝石任选袋*1、SSR任选箱*1）</t>
  </si>
  <si>
    <t>1:1001,619422,1;1001,619421,1;1001,619419,1</t>
  </si>
  <si>
    <t>新年红包，会给新的一年带来好运！</t>
  </si>
  <si>
    <t>海螺</t>
  </si>
  <si>
    <t>item_2128</t>
  </si>
  <si>
    <t>闹钟</t>
  </si>
  <si>
    <t>item_2129</t>
  </si>
  <si>
    <t>酒杯</t>
  </si>
  <si>
    <t>item_3126</t>
  </si>
  <si>
    <t>时装兑换币宝箱</t>
  </si>
  <si>
    <t>打开后可以获得10-15枚时装兑换币</t>
  </si>
  <si>
    <t>材料任选箱</t>
  </si>
  <si>
    <t>打开后可以任选符文重铸石*15或战船洗练石*15</t>
  </si>
  <si>
    <t>1:1001,216002,15;1001,514032,15</t>
  </si>
  <si>
    <t>海盗王时装礼包</t>
  </si>
  <si>
    <t>打开后可以获得符文重铸石*15或战船洗练石*15以及时装兑换币10-15枚，有0.5%几率直接获得罗杰海盗王时装</t>
  </si>
  <si>
    <t>1001,619434,1;1001,619433,1</t>
  </si>
  <si>
    <t>庆典SSR任选箱</t>
  </si>
  <si>
    <t>打开后可从以下62个SSR中任意选择一个(战桃丸、沙·鳄鱼、艾尼路、青雉、戈普、莫利亚、大熊、艾斯、米霍克、鲁兹、甚平、汉库珂、罗、基德、雷利、战国、麦哲伦、伊娃科夫、乔兹、白胡子、马尔高、比斯塔、新世界撒谎布、新世界佐罗、黑胡子、新世界奈美、新世界罗宾、新世界路飞、新世界塔希米、新世界布鲁克、新世界山智、新世界乔巴、新世界罗、卡塔库栗、萨波、藤虎、夏洛特·玲玲、苏打饼、奶昔、凯多、凯文迪修、新世界赤犬、丽久、推进城汉库珂、巴尔托洛梅奥、新世界马尔高、新世界米霍克、糖糖、光月御殿、凯罗特、阿菊、Baby5、年轻白胡子、新世界佩罗娜、英雄戈普、新世界黑胡子、犬岚、猫蝮蛇、布玲、霍金斯、德雷克、希流）</t>
  </si>
  <si>
    <t>1:1001,620028,50;1001,630001,50;1001,630002,50;1001,630003,50;1001,630004,50;1001,630005,50;1001,630006,50;1001,630008,50;1001,630010,50;1001,630011,50;1001,630012,50;1001,630013,50;1001,630014,50;1001,630015,50;1001,630016,50;1001,630017,50;1001,630018,50;1001,630019,50;1001,630020,50;1001,630021,50;1001,630022,50;1001,630023,50;1001,630025,50;1001,630026,50;1001,630027,50;1001,630028,50;1001,630029,50;1001,630031,50;1001,630033,50;1001,630036,50;1001,630037,50;1001,630038,50;1001,630039,50;1001,630040,50;1001,630042,50;1001,630043,50;1001,630044,50;1001,630045,50;1001,630046,50;1001,630047,50;1001,630058,50;1001,630050,50;1001,630051,50;1001,630053,50;1001,630054,50;1001,630055,50;1001,630056,50;1001,630057,50;1001,630059,50;1001,630061,50;1001,630062,50;1001,630063,50;1001,630064,50;1001,630065,50;1001,630066,50;1001,630067,50;1001,630068,50;1001,630069,50;1001,630070,50;1001,630071,50;1001,630072,50;1001,630073,50</t>
  </si>
  <si>
    <t>打开后可从以下4个时装中任意选择一个(奈美（和之国奈美（阿奈美）,和之国罗宾（阿罗宾）,和之国布鲁克（骨吉）,和之国弗兰奇（弗兰介））</t>
  </si>
  <si>
    <t>1:1001,713108,1;1001,713103,1;1001,713109,1;1001,713110,1</t>
  </si>
  <si>
    <t>打开后可从以下3个时装中任意选择一个(萨波（黑鸦时装）、和之国乔巴（乔巴卫门）、佩吉旺（脊背龙））</t>
  </si>
  <si>
    <t>1:1001,713053,1;1001,713106,1;1001,713096,1</t>
  </si>
  <si>
    <t>水母</t>
  </si>
  <si>
    <t>item_432005</t>
  </si>
  <si>
    <t>大章鱼</t>
  </si>
  <si>
    <t>称号兑换币</t>
  </si>
  <si>
    <t>活动道具，可用于兑换活动称号。</t>
  </si>
  <si>
    <t>item_4</t>
  </si>
  <si>
    <t>称号兑换币宝箱</t>
  </si>
  <si>
    <t>打开后可以获得10-15枚称号兑换币</t>
  </si>
  <si>
    <t>富贵之星礼包</t>
  </si>
  <si>
    <t>打开后可以获得符文重铸石*15或战船洗练石*15以及称号兑换币10-15枚，有0.5%几率直接获得“富贵之星”称号</t>
  </si>
  <si>
    <t>1001,619434,1;1001,619443,1</t>
  </si>
  <si>
    <t>打开后可从以下阵法中任意选择一个(曙光之阵、防护之阵、灵性之阵、极护之阵、凶恶之阵、激励之阵、凛冬之阵、精准之阵、会心之阵、平静之阵、疾行之阵、治愈之阵、沉稳之阵）</t>
  </si>
  <si>
    <t>1:1001,233028,1;1001,233029,1;1001,233024,1;1001,233019,1;1001,233021,1;1001,233015,1;1001,233026,1;1001,233007,1;1001,233008,1;1001,233009,1;1001,233010,1;1001,233011,1;1001,233012,1</t>
  </si>
  <si>
    <t>时装任选箱老服</t>
  </si>
  <si>
    <t>打开后可从以下2个时装中任意选择一个(新世界基德（获赋者）,杰克（猛犸形态））</t>
  </si>
  <si>
    <t>1:1001,713097,1;1001,713089,1</t>
  </si>
  <si>
    <t>打开后可从以下2个时装中任意选择一个(新世界基德（获赋者）,德雷克（异特龙））</t>
  </si>
  <si>
    <t>1:1001,713097,1;1001,713085,1</t>
  </si>
  <si>
    <t>时装任选箱10.24</t>
  </si>
  <si>
    <t>打开后可从以下3个时装中任意选择一个(和之国弗兰奇（弗兰介）、奶昔（泳装）、和之国山智（山五郎））</t>
  </si>
  <si>
    <t>1:1001,713109,1;1001,713064,1;1001,713104,1</t>
  </si>
  <si>
    <t>时装任选箱10.31</t>
  </si>
  <si>
    <t>打开后可从以下5个时装中任意选择一个(和之国奈美（阿奈美）、烬（无齿翼龙）、和之国罗宾（阿罗宾）、和之国路飞（路飞太郎）、龙人凯多（龙人形态））</t>
  </si>
  <si>
    <t>1:1001,713108,1;1001,713095,1;1001,713103,1;1001,713102,1;1001,713087,1</t>
  </si>
  <si>
    <t>万圣节时装任选箱</t>
  </si>
  <si>
    <t>打开后可从以下8个时装中任意选择一个(艾斯（万圣节时装）、萨波（万圣节时装）、新世界路飞（万圣节时装）、新世界罗（万圣节）、新世界罗宾（万圣节）、新世界山智（万圣节）、新世界佐罗（万圣节）、新世界奈美（万圣节））</t>
  </si>
  <si>
    <t>1:1001,713052,1;1001,713055,1;1001,713057,1;1001,713059,1;1001,713060,1;1001,713061,1;1001,713062,1;1001,713063,1</t>
  </si>
  <si>
    <t>万圣节惊喜时装礼包</t>
  </si>
  <si>
    <t>打开后可以获得符文重铸石*15或战船洗练石*15以及时装兑换币10-15枚，有0.5%几率直接获得万圣节时装任选箱（艾斯（万圣节时装）、萨波（万圣节时装）、新世界路飞（万圣节时装）、新世界罗（万圣节）、新世界罗宾（万圣节）、新世界山智（万圣节）、新世界佐罗（万圣节）、新世界奈美（万圣节））</t>
  </si>
  <si>
    <t>1001,619434,1;1001,619452,1</t>
  </si>
  <si>
    <t>万圣节时装兑换币宝箱</t>
  </si>
  <si>
    <t>称号任选箱</t>
  </si>
  <si>
    <t>打开后可从壕气冲天和100称号兑换币中任选其一</t>
  </si>
  <si>
    <t>1:1001,931015,1;1001,619442,100</t>
  </si>
  <si>
    <t>火石</t>
  </si>
  <si>
    <t>惊喜小丑</t>
  </si>
  <si>
    <t>活动期间内用于兑换道具</t>
  </si>
  <si>
    <t>动物系碎片自选箱</t>
  </si>
  <si>
    <t>打开后可从:鲁兹碎片*1、战国碎片*1、马尔高碎片*1、新世界乔巴碎片*1、凯多碎片*1、新世界鲁兹碎片*1、新世界马尔高碎片*1、德雷克碎片*1、大将战国碎片*1、杰克碎片*1、昆因碎片*1、大和碎片*1、润媞碎片*1、烬碎片*1、佩吉旺碎片*1、基拉碎片*1、和之国乔巴中任意选择一个获得</t>
  </si>
  <si>
    <t>1:1001,630011,1;1001,630017,1;1001,630022,1;1001,630038,1;1001,630047,1;1001,630052,1;1001,630055,1;1001,630072,1;1001,630076,1;1001,630078,1;1001,630079,1;1001,630080,1;1001,630082,1;1001,630083,1;1001,630084,1;1001,630085,1;1001,630093,1</t>
  </si>
  <si>
    <t>自然系碎片自选箱</t>
  </si>
  <si>
    <t>打开后可从:沙·鳄鱼碎片*1、艾尼路碎片*1、青雉碎片*1、黄猿碎片*1、艾斯碎片*1、赤犬碎片*1、黑胡子碎片*1、新世界烟鬼碎片*1、萨波碎片*1、新世界赤犬碎片*1、新世界黑胡子中任意选择一个获得</t>
  </si>
  <si>
    <t>1:1001,630001,1;1001,630002,1;1001,630003,1;1001,630007,1;1001,630008,1;1001,630009,1;1001,630027,1;1001,630032,1;1001,630042,1;1001,630050,1;1001,630067,1</t>
  </si>
  <si>
    <t>超人系碎片自选箱</t>
  </si>
  <si>
    <t>打开后可从:莫利亚碎片*1、大熊碎片*1、汉库珂碎片*1、罗碎片*1、基德碎片*1、麦哲伦碎片*1、伊娃科夫碎片*1、乔兹碎片*1、白胡子碎片*1、新世界罗宾碎片*1、多弗拉门戈碎片*1、新世界路飞碎片*1、新世界布鲁克碎片*1、新世界罗碎片*1、卡塔库栗碎片*1、藤虎碎片*1、夏洛特·玲玲碎片*1、苏打饼碎片*1、奶昔碎片*1、推进城汉库珂碎片*1、巴尔托洛梅奥碎片*1、糖糖碎片*1、Baby5碎片*1、年轻白胡子碎片*1、新世界佩罗娜碎片*1、布玲碎片*1、霍金斯碎片*1、希流碎片*1、新世界基德碎片*1、和之国罗碎片*1、和之国路飞碎片*1、和之国罗宾碎片*1、和之国布鲁克中任意选择一个获得</t>
  </si>
  <si>
    <t>1:1001,630005,1;1001,630006,1;1001,630013,1;1001,630014,1;1001,630015,1;1001,630018,1;1001,630019,1;1001,630020,1;1001,630021,1;1001,630029,1;1001,630030,1;1001,630031,1;1001,630036,1;1001,630039,1;1001,630040,1;1001,630043,1;1001,630044,1;1001,630045,1;1001,630046,1;1001,630053,1;1001,630054,1;1001,630057,1;1001,630063,1;1001,630064,1;1001,630065,1;1001,630070,1;1001,630071,1;1001,630073,1;1001,630086,1;1001,630087,1;1001,630089,1;1001,630090,1;1001,630097,1</t>
  </si>
  <si>
    <t>格斗系碎片自选箱</t>
  </si>
  <si>
    <t>打开后可从:战桃丸碎片*1、戈普碎片*1、甚平碎片*1、新世界弗兰奇碎片*1、新世界山智碎片*1、丽久碎片*1、凯罗特碎片*1、英雄戈普碎片*1、猫蝮蛇碎片*1、和之国山智碎片*1、和之国弗兰奇碎片*1、和之国甚平中任意选择一个获得</t>
  </si>
  <si>
    <t>1:1001,620028,1;1001,630004,1;1001,630012,1;1001,630035,1;1001,630037,1;1001,630051,1;1001,630061,1;1001,630066,1;1001,630069,1;1001,630091,1;1001,630096,1;1001,630098,1</t>
  </si>
  <si>
    <t>剑道系碎片自选箱</t>
  </si>
  <si>
    <t>打开后可从:米霍克碎片*1、雷利碎片*1、比斯塔碎片*1、新世界佐罗碎片*1、新世界塔希米碎片*1、新世界米霍克碎片*1、凯文迪修碎片*1、光月御殿碎片*1、阿菊碎片*1、和之国佐罗中任意选择一个获得</t>
  </si>
  <si>
    <t>1:1001,630010,1;1001,630016,1;1001,630023,1;1001,630026,1;1001,630033,1;1001,630056,1;1001,630058,1;1001,630059,1;1001,630062,1;1001,630092,1</t>
  </si>
  <si>
    <t>射击系碎片自选箱</t>
  </si>
  <si>
    <t>打开后可从:新世界撒谎布碎片*1、新世界奈美碎片*1、和之国撒谎布碎片*1、和之国奈美中任意选择一个获得</t>
  </si>
  <si>
    <t>1:1001,630025,1;1001,630028,1;1001,630094,1;1001,630095,1</t>
  </si>
  <si>
    <t>全系碎片自选箱</t>
  </si>
  <si>
    <t>打开后可从:动物系碎片自选箱、自然系碎片自选箱、超人系碎片自选箱、格斗系碎片自选箱、剑道系碎片自选箱、射击系碎片自选箱中任意选择一个获得（除一些特殊角色外包含截止到和之国甚平之前的所有角色）</t>
  </si>
  <si>
    <t>1:1001,619458,1;1001,619459,1;1001,619460,1;1001,619461,1;1001,619462,1;1001,619463,1</t>
  </si>
  <si>
    <t>审判套装自选箱</t>
  </si>
  <si>
    <t>使用后可自行选择获得审判套装中的一个部位</t>
  </si>
  <si>
    <t>1:1001,619466,1;1001,619467,1;1001,619468,1;1001,619469,1</t>
  </si>
  <si>
    <t>英雄·审判手杖</t>
  </si>
  <si>
    <t>使用后获得100级未鉴定的英雄·审判手杖</t>
  </si>
  <si>
    <t>英雄·审判铠甲</t>
  </si>
  <si>
    <t>使用后获得100级未鉴定的英雄·审判铠甲</t>
  </si>
  <si>
    <t>英雄·审判戒指</t>
  </si>
  <si>
    <t>使用后获得100级未鉴定的英雄·审判戒指</t>
  </si>
  <si>
    <t>英雄·审判项链</t>
  </si>
  <si>
    <t>使用后获得100级未鉴定的英雄·审判项链</t>
  </si>
  <si>
    <t>打开后可从以下3个时装中任意选择一个(烬（无齿翼龙形态）,和之国布鲁克（骨吉），罗杰（大海盗））</t>
  </si>
  <si>
    <t>1:1001,713095,1;1001,713110,1;1001,713113,1</t>
  </si>
  <si>
    <t>甜蜜时装任选箱</t>
  </si>
  <si>
    <t>打开后可从:新世界山智·王子服*1、布林婚纱飞毯*1、时装兑换币*200中任意选择一个获得</t>
  </si>
  <si>
    <t>1:1001,713088,1;1001,713083,1;1001,619360,200</t>
  </si>
  <si>
    <t>至尊礼任选箱</t>
  </si>
  <si>
    <t>打开后可从:速击之阵*1、甜蜜时装任选箱*1中任意选择一个获得</t>
  </si>
  <si>
    <t>1:1001,233054,1;1001,619471,1</t>
  </si>
  <si>
    <t>流浪套装自选箱</t>
  </si>
  <si>
    <t>使用后可自行选择获得流浪套装中的一个部位</t>
  </si>
  <si>
    <t>1:1001,619474,1;1001,619475,1;1001,619476,1;1001,619477,1</t>
  </si>
  <si>
    <t>英雄·流浪长刀</t>
  </si>
  <si>
    <t>使用后获得100级未鉴定的英雄·流浪长刀</t>
  </si>
  <si>
    <t>英雄·流浪长袍</t>
  </si>
  <si>
    <t>使用后获得100级未鉴定的英雄·流浪长袍</t>
  </si>
  <si>
    <t>英雄·流浪戒指</t>
  </si>
  <si>
    <t>使用后获得100级未鉴定的英雄·流浪戒指</t>
  </si>
  <si>
    <t>英雄·流浪项链</t>
  </si>
  <si>
    <t>使用后获得100级未鉴定的英雄·流浪项链</t>
  </si>
  <si>
    <t>打开后可从以下6个时装中任意选择一个(和之国佐罗（佐罗十郎）,布琳（飞毯），布琳（婚纱），和之国弗兰奇（弗兰介），新世界山智（万圣节）,罗杰（大海盗））</t>
  </si>
  <si>
    <t>1:1001,713105,1;1001,713082,1;1001,713081,1;1001,713109,1;1001,713061,1;1001,713113,1</t>
  </si>
  <si>
    <t>烬·惊喜时装礼包</t>
  </si>
  <si>
    <t>打开后可以获得符文重铸石*15或战船洗练石*15以及时装兑换币10-15枚，有0.5%几率直接获得烬时装</t>
  </si>
  <si>
    <t>1001,619434,1;1001,619480,1</t>
  </si>
  <si>
    <t>烬·时装兑换币宝箱</t>
  </si>
  <si>
    <t>无双会员宝箱Lv0</t>
  </si>
  <si>
    <t>打开后可以获得强者招募券*2、蓝钻*200、黄金战魂*10</t>
  </si>
  <si>
    <t>1001,215011,2;3,0,200;1001,215005,10</t>
  </si>
  <si>
    <t>无双会员宝箱Lv1</t>
  </si>
  <si>
    <t>打开后可以获得时装兑换币*30、限时铸造券*5、黄金战魂*20、强者招募券*8</t>
  </si>
  <si>
    <t>1001,619360,30;1001,215015,5;1001,215005,20;1001,215011,8</t>
  </si>
  <si>
    <t>无双会员宝箱Lv2</t>
  </si>
  <si>
    <t>打开后可以获得时装兑换币*40、家园装扮-【樱落】7天*1、战船拆解自选物资（洗练材料）*20、限时铸造券*10、战船拆解自选材料（升级材料）*30</t>
  </si>
  <si>
    <t>1001,619360,40;1001,16010010,1;1001,931023,20;1001,931025,30;1001,215015,10</t>
  </si>
  <si>
    <t>无双会员宝箱Lv3</t>
  </si>
  <si>
    <t>打开后可以获得时装兑换币*50、家园装扮-【樱落】7天*1、战船拆解自选物资（洗练材料）*30、限时铸造券*15、战船拆解自选材料（升级材料）*50</t>
  </si>
  <si>
    <t>1001,619360,50;1001,16010010,1;1001,931023,30;1001,931025,50;1001,215015,15</t>
  </si>
  <si>
    <t>无双会员宝箱Lv4</t>
  </si>
  <si>
    <t>打开后可以获得时装兑换币*60、家园装扮-【樱落】7天*2、战船拆解自选物资（洗练材料）*50、限时铸造券*20、战船拆解自选材料（升级材料）*80</t>
  </si>
  <si>
    <t>lb_16</t>
  </si>
  <si>
    <t>1001,619360,60;1001,16010010,2;1001,931023,50;1001,931025,80;1001,215015,20</t>
  </si>
  <si>
    <t>打开后可从以下3个时装中任意选择一个(和之国罗宾（阿罗宾），德雷克变身（异特龙形态），新世界基德（获赋者））</t>
  </si>
  <si>
    <t>1:1001,713103,1;1001,713085,1;1001,713097,1</t>
  </si>
  <si>
    <t>二级阵法任选箱</t>
  </si>
  <si>
    <t>可以从以下阵型中任选其一（狂怒之阵、激励之阵、战魂之阵、猎手之阵、凛冬之阵）</t>
  </si>
  <si>
    <t>1:1001,233013,1;1001,233015,1;1001,233016,1;1001,233023,1;1001,233026,1</t>
  </si>
  <si>
    <t>1:1001,233014,1;1001,233017,1;1001,233021,1;1001,233019,1;1001,233018,1;1001,233020,1;1001,233024,1;1001,233025,1;1001,233027,1;1001,233028,1;1001,233029,1;1001,233030,1</t>
  </si>
  <si>
    <t>感恩节火鸡</t>
  </si>
  <si>
    <t>双12银宝箱</t>
  </si>
  <si>
    <t>打开后可在：彩钻*12、彩钻*22、彩钻*32、彩钻*42、彩钻*52中随机获得一个（如不开启，可在双12活动中兑换更高级别的奖励哦！）</t>
  </si>
  <si>
    <t>打开后可从以下3个时装中任意选择一个(昆因（腕龙形态）,大和（面具），杰克（猛犸形态））</t>
  </si>
  <si>
    <t>1:1001,713090,1;1001,713092,1;1001,713089,1</t>
  </si>
  <si>
    <t>打开后可从以下3个时装中任意选择一个(和之国乔巴（乔巴卫门）,和之国布鲁克（骨吉），新世界佩罗娜（礼服））</t>
  </si>
  <si>
    <t>1:1001,713106,1;1001,713110,1;1001,713080,1</t>
  </si>
  <si>
    <t>双12金宝箱</t>
  </si>
  <si>
    <t>打开后可在：彩钻*1212、强者招募券8、限时铸造券*10，中任选一种获得</t>
  </si>
  <si>
    <t>1:1001,215011,8;1001,215015,10;1001,619494,1</t>
  </si>
  <si>
    <t>彩钻宝袋</t>
  </si>
  <si>
    <t>打开后可以获得彩钻*1212</t>
  </si>
  <si>
    <t>small_bag_open_80</t>
  </si>
  <si>
    <t>1,0,1212</t>
  </si>
  <si>
    <t>青年雷利礼盒</t>
  </si>
  <si>
    <t>打开后可在：青年雷利碎片*50、青年雷利觉醒徽章*50，中任选一种获得</t>
  </si>
  <si>
    <t>1:1001,630060,50;1001,615020,50</t>
  </si>
  <si>
    <t>打开后可从以下3个时装中任意选择一个(和之国罗宾（阿罗宾）,新世界撒谎布（德雷斯罗萨），昆因（腕龙形态））</t>
  </si>
  <si>
    <t>1:1001,713103,1;1001,713032,1;1001,713090,1</t>
  </si>
  <si>
    <t>圣诞节时装礼包</t>
  </si>
  <si>
    <t>打开后可以获得符文重铸石*15或战船洗练石*15以及时装兑换币10-15枚，有0.5%几率获得圣诞时装任选箱（新世界乔巴、新世界奈美、新世界罗宾）</t>
  </si>
  <si>
    <t>1001,619434,1;1001,619499,1</t>
  </si>
  <si>
    <t>圣诞时装任选箱</t>
  </si>
  <si>
    <t>打开后可从以下3个时装中任意选择一个(圣诞节奈美、圣诞节罗宾、圣诞节乔巴）</t>
  </si>
  <si>
    <t>1:1001,713066,1;1001,713067,1;1001,713068,1</t>
  </si>
  <si>
    <t>圣诞节时装兑换币宝箱</t>
  </si>
  <si>
    <t>圣诞节神秘的鹿角装饰，活动期间内参与每日任务和剧情回顾有几率获得，可用于兑换特殊道具。</t>
  </si>
  <si>
    <t>圣诞节必备的帽子，活动期间内参与讨伐任务有几率获得，可用于兑换特殊道具</t>
  </si>
  <si>
    <t>打开后可从以下4个时装中任意选择一个(和之国佐罗（佐罗十郎）,新世界米霍克（和服），年轻白胡子（和服），新世界鲁兹（和服））</t>
  </si>
  <si>
    <t>1:1001,713105,1;1001,713073,1;1001,713079,1;1001,713070,1</t>
  </si>
  <si>
    <t>战至巅峰SSR任选</t>
  </si>
  <si>
    <t>任选宝箱，使用后可以从：夏洛特·玲玲、布玲、丽久、奶昔、苏打饼、卡塔库栗、光月御殿、锦卫门、阿菊、凯罗特，中选择一个获得。</t>
  </si>
  <si>
    <t>1:1001,630044,50;1001,630070,50;1001,630051,50;1001,630046,50;1001,630045,50;1001,630040,50;1001,630059,50;1001,630034,50;1001,630062,50;1001,630061,50</t>
  </si>
  <si>
    <t>新春庆典神秘礼</t>
  </si>
  <si>
    <t>打开后有概率获得：彩钻*20、彩钻*25、彩钻*66、彩钻*88，极低概率获得彩钻*2025，若不打开礼包则可用来兑换更高级别礼包</t>
  </si>
  <si>
    <t>打开后可从以下2个时装中任意选择一个(罗杰（大海盗）,绿牛（飞行））</t>
  </si>
  <si>
    <t>1:1001,713113,1;1001,713116,1</t>
  </si>
  <si>
    <t>打开后可从以下6个时装中任意选择一个(布玲（婚纱）,布玲（飞毯），绿牛（飞行），和之国罗宾（阿罗宾），和之国乔巴（乔巴卫门），罗杰（大海盗））</t>
  </si>
  <si>
    <t>1:1001,713081,1;1001,713082,1;1001,713103,1;1001,713106,1;1001,713116,1;1001,713113,1</t>
  </si>
  <si>
    <t>王者同行任选箱</t>
  </si>
  <si>
    <t>可以从凯多和夏洛特·玲玲中任选一名</t>
  </si>
  <si>
    <t>1:1001,630047,50;1001,630044,50</t>
  </si>
  <si>
    <t>经典时装任选箱</t>
  </si>
  <si>
    <t>打开后可从以下道具中任意选择一个(大和（面具）,杰克（猛犸形态），夏洛特·玲玲（睡衣），老时装任选箱*1）</t>
  </si>
  <si>
    <t>1:1001,713092,1;1001,713089,1;1001,713056,1;1001,619510,1</t>
  </si>
  <si>
    <t>老时装任选箱</t>
  </si>
  <si>
    <t>打开后可从以下时装中任意选择一个(路飞（爆炸头）,沙·鳄鱼（玛丽弗德），佐罗（水之都），戈普（狗头帽），汉库珂（紫色旗袍），艾斯（阿拉巴斯坦），撒谎布（长链岛时装），奈美（结婚礼服），山智（空岛时装），巴奇（海军装），薇薇（公主装），鲁兹（船工装），奈美（泳装），罗宾（泳装），奈美（阿拉巴斯坦舞娘），罗宾（巴洛克工作社装），路飞（夏威夷））</t>
  </si>
  <si>
    <t>1:1001,713013,1;1001,713014,1;1001,713015,1;1001,713016,1;1001,713017,1;1001,713018,1;1001,713019,1;1001,713020,1;1001,713021,1;1001,713022,1;1001,713023,1;1001,713024,1;1001,713025,1;1001,713026,1;1001,713027,1;1001,713028,1;1001,713029,1</t>
  </si>
  <si>
    <t>新春庆典惊喜礼</t>
  </si>
  <si>
    <t>打开后有概率获得：彩钻*188、彩钻*288、彩钻*588、彩钻*888、小概率获得彩钻*1588，极低概率获得彩钻*2025，若不打开礼包则可用来兑换更高级别礼包</t>
  </si>
  <si>
    <t>新春庆典豪华礼</t>
  </si>
  <si>
    <t>打开后可以在：彩钻*2025、时装任选箱*1、8级七彩宝石任选*1、2024SSR任选箱*1、四级阵法任选*1中任选一个获得</t>
  </si>
  <si>
    <t>1:1001,619513,1;1,0,2025;1001,511588,1;1001,619514,1;1001,730003,1</t>
  </si>
  <si>
    <t>打开后可从以下时装中任意选择一个(路飞-爆炸头、沙鳄鱼-玛丽弗德、佐罗-水之都、戈普-狗头帽、汉库珂-紫色旗袍、艾斯-阿拉巴斯坦、撒谎布-长链岛、奈美-结婚礼服、山智-空岛、巴奇-海军装、薇薇-公主装、鲁兹-船工装）</t>
  </si>
  <si>
    <t>1:1001,713013,1;1001,713014,1;1001,713015,1;1001,713016,1;1001,713017,1;1001,713018,1;1001,713019,1;1001,713020,1;1001,713021,1;1001,713022,1;1001,713023,1;1001,713024,1</t>
  </si>
  <si>
    <t>2024SSR任选箱</t>
  </si>
  <si>
    <t>打开后可以从：和之国山智*50、和之国佐罗*50、和之国乔巴*50、和之国撒谎布*50、和之国奈美*50、和之国弗兰奇*50、和之国布鲁克*50、和之国甚平*50、黑色玛利亚*50、荞麦假面*50中任选一个获得</t>
  </si>
  <si>
    <t>1:1001,630091,50;1001,630092,50;1001,630093,50;1001,630094,50;1001,630095,50;1001,630096,50;1001,630097,50;1001,630098,50;1001,630099,50;1001,630102,50</t>
  </si>
  <si>
    <t>卫士套装自选箱</t>
  </si>
  <si>
    <t>使用后可自行选择获得卫士套装中的一个部位</t>
  </si>
  <si>
    <t>1:1200,3000601,1;1200,3000602,1;1200,3000603,1;1200,3000604,1</t>
  </si>
  <si>
    <t>UR豪礼自选箱</t>
  </si>
  <si>
    <t>打开后可从：龙人凯多碎片*80、UR招募券*6中任选一种奖励获得</t>
  </si>
  <si>
    <t>lb_18</t>
  </si>
  <si>
    <t>1:1001,640001,80;1001,221011,6</t>
  </si>
  <si>
    <t>打开后可从以下3个时装中任意选择一个(绿牛（飞行），和之国布鲁克（骨吉），和之国乔巴（乔巴卫门））</t>
  </si>
  <si>
    <t>1:1001,713106,1;1001,713110,1;1001,713116,1</t>
  </si>
  <si>
    <t>元宵节宝箱</t>
  </si>
  <si>
    <t>情人节宝箱</t>
  </si>
  <si>
    <t>情人节SSR任选箱</t>
  </si>
  <si>
    <t>打开后可以从以下奖励中任选一种获得：大和碎片*50,乌塔碎片*50,润媞碎片*50,佩吉旺碎片*50,基拉碎片*50,新世界佩罗娜碎片*50,英雄戈普碎片*50,新世界黑胡子碎片*50,犬岚碎片*50,猫蝮蛇碎片*50,布玲碎片*50,霍金斯碎片*50,德雷克碎片*50,希流碎片*50,凯撒碎片*50,萨波碎片*50,藤虎碎片*50,夏洛特·玲玲碎片*50,苏打饼碎片*50,奶昔碎片*50,凯多碎片*50</t>
  </si>
  <si>
    <t>1:1001,630080,50;1001,630081,50;1001,630082,50;1001,630084,50;1001,630085,50;1001,630065,50;1001,630066,50;1001,630067,50;1001,630068,50;1001,630069,50;1001,630070,50;1001,630071,50;1001,630072,50;1001,630073,50;1001,630041,50;1001,630042,50;1001,630043,50;1001,630044,50;1001,630045,50;1001,630046,50;1001,630047,50</t>
  </si>
  <si>
    <t>情人节皮肤任选箱</t>
  </si>
  <si>
    <t>打开后可以从以下时装中任选一个获得：乌塔（铠甲）,新世界佩罗娜(礼服),艾斯（万圣节时装）,大和（面具）,汉库珂（玫瑰礼服）,新世界罗宾（泳装）,新世界奈美（泳装）,新世界鲁兹（豹）,新世界佐罗（激战）,新世界山智（王子服）,婚纱（飞毯）,和之国佐罗（佐罗十郎）,和之国弗兰奇（弗兰介），凯多（龙形态），推进城汉库珂（和服）</t>
  </si>
  <si>
    <t>1:1001,713093,1;1001,713080,1;1001,713052,1;1001,713092,1;1001,713041,1;1001,713046,1;1001,713042,1;1001,713086,1;1001,713031,1;1001,713088,1;1001,713083,1;1001,713105,1;1001,713109,1;1001,713071,1;1001,713058,1</t>
  </si>
  <si>
    <t>打开后可从以下时装中任意选择一个(杰克（猛犸形态），和之国布鲁克（骨吉），和之国罗宾（阿罗宾），凯罗特（和服））</t>
  </si>
  <si>
    <t>1:1001,713077,1;1001,713103,1;1001,713110,1;1001,713089,1</t>
  </si>
  <si>
    <t>王者套装任选箱</t>
  </si>
  <si>
    <t>可以从王者套装4件装备中任选1件获得。</t>
  </si>
  <si>
    <t>1:1200,3003801,1;1200,3003802,1;1200,3003803,1;1200,3003804,1</t>
  </si>
  <si>
    <t>纵横装备宝箱</t>
  </si>
  <si>
    <t>可以从精准套装任选箱*1、限时铸造券*10中任选一种获得</t>
  </si>
  <si>
    <t>1:1001,619061,1;1001,215015,10</t>
  </si>
  <si>
    <t>珍奇任选箱</t>
  </si>
  <si>
    <t>打开后可以从：破杀之阵、速击之阵、重铸符文石*300任选其一</t>
  </si>
  <si>
    <t>1:1001,233057,1;1001,233054,1;1001,216002,300</t>
  </si>
  <si>
    <t>打开后可以从：邦妮（常服）、佩吉旺（脊背龙）、润媞（肿头龙）、罗杰（大海盗）任选其一</t>
  </si>
  <si>
    <t>1:1001,713119,1;1001,713096,1;1001,713094,1;1001,713113,1</t>
  </si>
  <si>
    <t>五一赠礼宝箱</t>
  </si>
  <si>
    <t>打开后可以从：花开伴柳、劳动节宝箱*3任选其一</t>
  </si>
  <si>
    <t>1:1001,555002,1;1001,619537,3</t>
  </si>
  <si>
    <t>路飞生日赠礼</t>
  </si>
  <si>
    <t>打开后可以从：和之国路飞(获赋者)、时装兑换币*30任选其一</t>
  </si>
  <si>
    <t>1:1001,713115,1;1001,619360,30</t>
  </si>
  <si>
    <t>掉落道具A</t>
  </si>
  <si>
    <t>掉落道具B</t>
  </si>
  <si>
    <t>劳动节宝箱</t>
  </si>
  <si>
    <t>打开后可以从：和之国布鲁克（骨吉）、和之国山智（山五郎）、和之国弗兰奇（弗兰介）、罗杰（大海盗）、新世界米霍克（和服）任选其一</t>
  </si>
  <si>
    <t>1:1001,713110,1;1001,713104,1;1001,713109,1;1001,713113,1;1001,713073,1</t>
  </si>
  <si>
    <t>打开后可以从：大口真神大和（兽形态）、和之国佐罗（佐罗十郎）、和之国罗宾（阿罗宾）、和之国奈美（阿奈美）、新世界库赞（企鹅）任选其一</t>
  </si>
  <si>
    <t>1:1001,713117,1;1001,713105,1;1001,713103,1;1001,713108,1;1001,713065,1</t>
  </si>
  <si>
    <t>打开后可以从：和之国乔巴（乔巴卫门）、和之国撒谎布（撒谎八）、新世界库赞（企鹅）、德雷克（异特龙）任选其一</t>
  </si>
  <si>
    <t>1:1001,713106,1;1001,713107,1;1001,713065,1;1001,713085,1</t>
  </si>
  <si>
    <t>打开后可以从：和之国路飞（路飞太郎）、夏洛特·玲玲（睡衣）、萨波（黑鸦时装）、杰克（猛犸形态）任选其一</t>
  </si>
  <si>
    <t>1:1001,713102,1;1001,713056,1;1001,713053,1;1001,713089,1</t>
  </si>
  <si>
    <t>打开后可以从：大口真神大和（兽形态）、邦妮（常服）、烬（无齿翼龙）任选其一</t>
  </si>
  <si>
    <t>1:1001,713117,1;1001,713119,1;1001,713095,1</t>
  </si>
  <si>
    <t>打开后可以从：绿牛（飞行）、新世界基德（获赋者）、新世界库赞（企鹅）、新世界山智（王子服）任选其一</t>
  </si>
  <si>
    <t>1:1001,713116,1;1001,713097,1;1001,713065,1;1001,713088,1</t>
  </si>
  <si>
    <t>同心共斗装备箱</t>
  </si>
  <si>
    <t>可以从卓越套装任选箱、暴走套装任选箱、精准套装任选箱、限时铸造券*10中任选1个获得。</t>
  </si>
  <si>
    <t>1:1001,619059,1;1001,619060,1;1001,619061,1;1001,215015,10</t>
  </si>
  <si>
    <t>打开后可以从：和之国布鲁克（骨吉）、罗杰（大海盗）、光月御殿（皇冠）任选其一</t>
  </si>
  <si>
    <t>1:1001,713110,1;1001,713113,1;1001,713076,1</t>
  </si>
  <si>
    <t>打开后可以从：罗杰（大海盗）、光月御殿（皇冠）、和之国乔巴（乔巴卫门）任选其一</t>
  </si>
  <si>
    <t>1:1001,713113,1;1001,713076,1;1001,713106,1</t>
  </si>
  <si>
    <t>打开后可以从：邦妮（常服）、大口真神大和（兽形态）、阿菊（大铠）、昆因（腕龙形态）任选其一</t>
  </si>
  <si>
    <t>1:1001,713119,1;1001,713117,1;1001,713078,1;1001,713090,1</t>
  </si>
  <si>
    <t>突破材料任选礼包</t>
  </si>
  <si>
    <t>可以从初级突破材料*15、中级突破材料*10、高级突破材料*4、超级突破材料*1中任选某一种道具获得</t>
  </si>
  <si>
    <t>1:1001,212009,15;1001,212111,15;1001,212112,15;1001,212113,15;1001,212114,15;1001,213009,10;1001,213111,10;1001,213112,10;1001,213113,10;1001,213114,10;1001,214009,4;1001,214111,4;1001,214112,4;1001,214113,4;1001,214114,4;1001,215009,1;1001,215111,1;1001,215112,1;1001,215113,1;1001,215114,1</t>
  </si>
  <si>
    <t>打开后可以从：杰克（猛犸形态）、绿牛（飞行）、新世界罗宾（泳装）、新世界塔希米（泳装）、新世界奈美（泳装）任选其一</t>
  </si>
  <si>
    <t>1:1001,713089,1;1001,713116,1;1001,713046,1;1001,713047,1;1001,713042,1</t>
  </si>
  <si>
    <t>打开后可以从：S-老鹰（飞行）、S-蛇女（飞行）任选其一</t>
  </si>
  <si>
    <t>1:1001,713122,1;1001,713124,1</t>
  </si>
  <si>
    <t>打开后可以从：奶昔（泳装）、糖糖（泳装）、baby5（泳装）、新世界罗宾（泳装）、夏洛特·玲玲（睡衣）任选其一</t>
  </si>
  <si>
    <t>1:1001,713064,1;1001,713075,1;1001,713054,1;1001,713046,1;1001,713056,1</t>
  </si>
  <si>
    <t>打开后可以从：罗杰（大海盗）、和之国罗（讨伐鬼岛装）、大口真神大和（兽形态）、德雷克（异特龙）、布玲(婚纱)、布玲（飞毯）任选其一</t>
  </si>
  <si>
    <t>1:1001,713113,1;1001,713098,1;1001,713117,1;1001,713085,1;1001,713081,1;1001,713082,1</t>
  </si>
  <si>
    <t>打开后可从以下97个SSR中任意选择一个(战桃丸、沙·鳄鱼、艾尼路、青雉、戈普、莫利亚、大熊、黄猿、艾斯、赤犬、米霍克、鲁兹、甚平、汉库珂、罗、基德、雷利、战国、麦哲伦、伊娃科夫、乔兹、白胡子、马尔高、比斯塔、杰克斯、新世界撒谎布、新世界佐罗、黑胡子、新世界奈美、新世界罗宾、多弗拉门戈、新世界路飞、新世界烟鬼、新世界塔希米、锦卫门、新世界弗兰奇、新世界布鲁克、新世界山智、新世界乔巴、新世界罗、藤虎、卡塔库栗、凯撒、萨波、夏洛特·玲玲、苏打饼、奶昔、凯多、新世界库赞、新世界赤犬、丽久、新世界鲁兹、推进城汉库珂、巴尔托洛梅奥、新世界马尔高、新世界米霍克、糖糖、凯文迪修、光月御殿、青年雷利、凯罗特、阿菊、baby5、年轻白胡子、新世界佩罗娜、英雄戈普、新世界黑胡子、犬岚、猫蝮蛇、布玲、霍金斯、德雷克、希流、大将战国、杰克、昆因、大和、润媞、烬、佩吉旺、基拉、新世界基德、和之国罗、和之国路飞、和之国罗宾、和之国山智、和之国佐罗、和之国乔巴、和之国撒谎布、和之国奈美、和之国弗兰奇、和之国布鲁克、和之国甚平、黑色玛利亚、荞麦假面、绿牛、大口真神大和）</t>
  </si>
  <si>
    <t>1:1001,620028,50;1001,630001,50;1001,630002,50;1001,630003,50;1001,630004,50;1001,630005,50;1001,630006,50;1001,630007,50;1001,630008,50;1001,630009,50;1001,630010,50;1001,630011,50;1001,630012,50;1001,630013,50;1001,630014,50;1001,630015,50;1001,630016,50;1001,630017,50;1001,630018,50;1001,630019,50;1001,630020,50;1001,630021,50;1001,630022,50;1001,630023,50;1001,630024,50;1001,630025,50;1001,630026,50;1001,630027,50;1001,630028,50;1001,630029,50;1001,630030,50;1001,630031,50;1001,630032,50;1001,630033,50;1001,630034,50;1001,630035,50;1001,630036,50;1001,630037,50;1001,630038,50;1001,630039,50;1001,630043,50;1001,630040,50;1001,630041,50;1001,630042,50;1001,630044,50;1001,630045,50;1001,630046,50;1001,630047,50;1001,630049,50;1001,630050,50;1001,630051,50;1001,630052,50;1001,630053,50;1001,630054,50;1001,630055,50;1001,630056,50;1001,630057,50;1001,630058,50;1001,630059,50;1001,630060,50;1001,630061,50;1001,630062,50;1001,630063,50;1001,630064,50;1001,630065,50;1001,630066,50;1001,630067,50;1001,630068,50;1001,630069,50;1001,630070,50;1001,630071,50;1001,630072,50;1001,630073,50;1001,630076,50;1001,630078,50;1001,630079,50;1001,630080,50;1001,630082,50;1001,630083,50;1001,630084,50;1001,630085,50;1001,630086,50;1001,630087,50;1001,630089,50;1001,630090,50;1001,630091,50;1001,630092,50;1001,630093,50;1001,630094,50;1001,630095,50;1001,630096,50;1001,630097,50;1001,630098,50;1001,630099,50;1001,630102,50;1001,630103,50;1001,630104,50</t>
  </si>
  <si>
    <t>打开后可以从：绿牛（飞行）、和之国佐罗（佐罗十郎）、大和（面具）任选其一</t>
  </si>
  <si>
    <t>1:1001,713116,1;1001,713105,1;1001,713092,1</t>
  </si>
  <si>
    <t>打开后可从以下18个SSR中任意选择一个(和之国罗、和之国路飞、和之国罗宾、和之国山智、和之国佐罗、和之国乔巴、和之国撒谎布、和之国奈美、和之国弗兰奇、和之国布鲁克、和之国甚平、黑色玛利亚、荞麦假面、绿牛、大口真神大和、基德与罗、邦妮、S-老鹰）</t>
  </si>
  <si>
    <t>1:1001,630087,50;1001,630089,50;1001,630090,50;1001,630091,50;1001,630092,50;1001,630093,50;1001,630094,50;1001,630095,50;1001,630096,50;1001,630097,50;1001,630098,50;1001,630099,50;1001,630102,50;1001,630103,50;1001,630104,50;1001,630105,50;1001,630106,50;1001,630107,50</t>
  </si>
  <si>
    <t>打开后可以从：和之国布鲁克（骨吉）、凯多（龙形态）、糖糖（泳装）、萨波（黑鸦时装）、新世界基德（获赋者）、烬（无齿翼龙）任选其一</t>
  </si>
  <si>
    <t>1:1001,713110,1;1001,713058,1;1001,713075,1;1001,713053,1;1001,713097,1;1001,713095,1</t>
  </si>
  <si>
    <t>7周年庆典铜宝箱</t>
  </si>
  <si>
    <t>打开后有概率获得：彩钻*7、彩钻*27、彩钻*57、彩钻*77、极小概率获得彩钻*777。如现在不开启宝箱,可在后续周年庆活动按一定比例兑换更高级别宝箱，获取更高级别奖励。</t>
  </si>
  <si>
    <t>七夕宝箱</t>
  </si>
  <si>
    <t>庆典神秘礼A</t>
  </si>
  <si>
    <t>在网页组队活动中获取，可用于兑换七周年庆典指定庆典战令</t>
  </si>
  <si>
    <t>庆典神秘礼B</t>
  </si>
  <si>
    <t>七夕SSR任选箱</t>
  </si>
  <si>
    <t>打开后可以从：乌塔、新世界米霍克、大和、布玲、新世界路飞、新世界罗宾、杰克斯、新世界佩罗娜、艾斯、新世界山智、汉库珂、推进城汉库珂，中选择一个获得。</t>
  </si>
  <si>
    <t>1:1001,630081,50;1001,630056,50;1001,630080,50;1001,630070,50;1001,630031,50;1001,630029,50;1001,630024,50;1001,630065,50;1001,630008,50;1001,630037,50;1001,630013,50;1001,630053,50</t>
  </si>
  <si>
    <t>七夕皮肤任选箱</t>
  </si>
  <si>
    <t>打开后可以从：乌塔（铠甲）、新世界佩罗娜(礼服)、新世界米霍克（和服）、艾斯（万圣节时装）、大和（面具）、新世界罗宾（泳装）、新世界奈美（泳装）、布玲(婚纱)、新世界山智（王子服）、新世界佐罗（黑色西服）、汉库珂（泳装）、路飞（战斗服）、新世界罗（万圣节）、推进城汉库珂（和服）任选其一</t>
  </si>
  <si>
    <t>1:1001,713093,1;1001,713080,1;1001,713073,1;1001,713052,1;1001,713092,1;1001,713046,1;1001,713042,1;1001,713081,1;1001,713088,1;1001,713030,1;1001,713049,1;1001,713091,1;1001,713059,1;1001,713071,1</t>
  </si>
  <si>
    <t>打开后可以从：未来岛卡古（长颈鹿）、和之国罗宾（阿罗宾）、和之国弗兰奇（弗兰介）任选其一</t>
  </si>
  <si>
    <t>1:1001,713126,1;1001,713103,1;1001,713109,1</t>
  </si>
  <si>
    <t>打开后可以从：未来岛卡古（长颈鹿）、布玲(婚纱)、布玲（飞毯）、婚纱（飞毯）任选其一</t>
  </si>
  <si>
    <t>1:1001,713126,1;1001,713081,1;1001,713082,1;1001,713083,1</t>
  </si>
  <si>
    <t>打开后可以从：杰克觉醒徽章*10、昆因觉醒徽章*10、烬觉醒徽章*10任选其一</t>
  </si>
  <si>
    <t>1:1001,615021,10;1001,615022,10;1001,615019,10</t>
  </si>
  <si>
    <t>打开后可以从：和之国路飞（路飞太郎）、和之国奈美（阿奈美）、杰克（猛犸形态）、丽久（礼服）任选其一</t>
  </si>
  <si>
    <t>1:1001,713102,1;1001,713108,1;1001,713089,1;1001,713069,1</t>
  </si>
  <si>
    <t>打开后可以从：邦妮（常服）、大口真神大和（兽形态）任选其一</t>
  </si>
  <si>
    <t>1:1001,713119,1;1001,713117,1</t>
  </si>
  <si>
    <t>中秋惊喜宝箱</t>
  </si>
  <si>
    <t>打开后有概率获得：彩钻*88、强者招募券*1、UR招募券*1、奥义秘传书*5、奥义经验卷轴*10、高级精炼石*10、英雄之石*5、重铸符文石*5</t>
  </si>
  <si>
    <t>月满中秋任选箱</t>
  </si>
  <si>
    <t>可以从以下奖励中任选一种获得：称号兑换币*30、时尚币*300、毽子*30、雷鳞矿*10、地魄矿*5、彩钻*666</t>
  </si>
  <si>
    <t>1:1001,619442,30;20012,0,300;1001,619354,30;1001,617047,10;1001,619134,5;1,0,666</t>
  </si>
  <si>
    <t>可以从以下奖励中任选一种获得：UR龙人凯多碎片*80、UR花魁阿玲碎片*80</t>
  </si>
  <si>
    <t>打开后可以从：大口真神大和（兽形态）、和之国撒谎布（撒谎八）、绿牛（飞行）、邦妮（常服）任选其一</t>
  </si>
  <si>
    <t>1:1001,713117,1;1001,713107,1;1001,713116,1;1001,713119,1</t>
  </si>
  <si>
    <t>招募券任选箱</t>
  </si>
  <si>
    <t>可以从以下奖励中任选一种获得：强者招募券*1、UR招募券*1</t>
  </si>
  <si>
    <t>1:1001,215011,1;1001,221011,1</t>
  </si>
  <si>
    <t>万圣节时装礼包</t>
  </si>
  <si>
    <t>打开后可以从：艾斯（万圣节时装）、新世界佐罗（万圣节）、新世界奈美（万圣节）、新世界罗宾（万圣节）、新世界路飞（万圣节时装）、新世界山智（万圣节）、萨波（万圣节时装）、新世界罗（万圣节）任选其一</t>
  </si>
  <si>
    <t>1:1001,713052,1;1001,713062,1;1001,713063,1;1001,713060,1;1001,713057,1;1001,713061,1;1001,713055,1;1001,713059,1</t>
  </si>
  <si>
    <t>打开后可以从：新世界鲁兹（和服）、新世界鲁兹（豹）、和之国布鲁克（骨吉）、新世界米霍克（和服）任选其一</t>
  </si>
  <si>
    <t>1:1001,713070,1;1001,713086,1;1001,713110,1;1001,713073,1</t>
  </si>
  <si>
    <t>打开后可以获得符文重铸石*15或战船洗练石*15以及时装兑换币10-15枚，有0.5%几率直接获得万圣节时装礼包</t>
  </si>
  <si>
    <t>1001,619434,1;1001,619580,1</t>
  </si>
  <si>
    <t>打开后可以获得10-15枚时装兑换币，有0.5%几率直接获得万圣节时装礼包</t>
  </si>
  <si>
    <t>万圣节糖果</t>
  </si>
  <si>
    <t>打开后有概率获得：彩钻*33、彩钻*66、强者招募券*1、奥义经验卷轴*5、搜魂券*2、重铸符文石*2、战船洗练石*3、极小概率获得万圣节时装礼包*1。</t>
  </si>
  <si>
    <t>珍藏称号箱</t>
  </si>
  <si>
    <t>可从称号：燕归万物苏、称号：胜日寻芳、称号：风雨同行、称号：携舟与共、称号：不离不弃、称号：祥云瑞气中选择1个获得</t>
  </si>
  <si>
    <t>1:1001,931054,1;1001,931060,1;1001,931123,1;1001,931124,1;1001,931011,1;1001,931041,1</t>
  </si>
  <si>
    <t>狂欢惊喜任选箱</t>
  </si>
  <si>
    <t>打开后可以从：称号兑换币*20、时尚币*300任选其一</t>
  </si>
  <si>
    <t>1:1001,619442,20;20012,0,300</t>
  </si>
  <si>
    <t>鲁兹的礼物A</t>
  </si>
  <si>
    <t>未来岛鲁兹的礼物，解锁未来岛鲁兹-豹形态后，于成就中获取，用来兑换未来岛鲁兹-豹形态冲刺动作。</t>
  </si>
  <si>
    <t>鲁兹的礼物B</t>
  </si>
  <si>
    <t>未来岛鲁兹的礼物，于每日在线时长奖励中获取，用来兑换未来岛鲁兹-豹形态冲刺动作。</t>
  </si>
  <si>
    <t>狂欢预热好礼</t>
  </si>
  <si>
    <t>打开后有概率获得：彩钻*88、强者招募券*1、UR招募券*1、奥义秘传书*5、奥义经验卷轴*10、超级精炼石*10、英雄之石*5、符文重铸石*5、战船洗练石*5</t>
  </si>
  <si>
    <t>狂欢预热任选箱</t>
  </si>
  <si>
    <t>打开后可以从：称号兑换币*30、时尚币*300、毽子*30、雷磷矿*10、地魄矿*5、彩钻*666任选其一</t>
  </si>
  <si>
    <t>打开后可以从：未来岛鲁兹（面具）、新世界鲁兹（和服）、新世界鲁兹（豹）、新世界佩罗娜(礼服)任选其一</t>
  </si>
  <si>
    <t>1:1001,713136,1;1001,713070,1;1001,713086,1;1001,713080,1</t>
  </si>
  <si>
    <t>打开后可以从：未来岛鲁兹（面具）、和之国奈美（阿奈美）、未来岛卡古（长颈鹿）任选其一</t>
  </si>
  <si>
    <t>1:1001,713136,1;1001,713108,1;1001,713126,1</t>
  </si>
  <si>
    <t>打开后可以从：邦妮（常服）、大口真神大和（兽形态）、阿菊（大铠）任选其一</t>
  </si>
  <si>
    <t>1:1001,713119,1;1001,713117,1;1001,713078,1</t>
  </si>
  <si>
    <t>祈愿任选箱</t>
  </si>
  <si>
    <t>打开后可以从：暴走套装任选箱*1、限时铸造券*10任选其一</t>
  </si>
  <si>
    <t>1:1001,619060,1;1001,215015,10</t>
  </si>
  <si>
    <t>打开后可以从：未来岛斯图西（蝙蝠翼）、和之国乔巴（乔巴卫门）、凯罗特（和服）、阿菊（大铠）任选其一</t>
  </si>
  <si>
    <t>1:1001,713141,1;1001,713106,1;1001,713077,1;1001,713078,1</t>
  </si>
  <si>
    <t>感恩节宝箱</t>
  </si>
  <si>
    <t>打开后可以从：未来岛斯图西（蝙蝠翼）、和之国罗宾（阿罗宾）、未来岛卡古（长颈鹿）任选其一</t>
  </si>
  <si>
    <t>1:1001,713141,1;1001,713103,1;1001,713126,1</t>
  </si>
  <si>
    <t>打开后可以从：未来岛鲁兹（面具）、推进城汉库珂（和服）、杰克（猛犸形态）任选其一</t>
  </si>
  <si>
    <t>1:1001,713136,1;1001,713071,1;1001,713089,1</t>
  </si>
  <si>
    <t>可从称号：燕归万物苏、称号：胜日寻芳、称号：风雨同行、称号：携舟与共、称号：不离不弃、称号：祥云瑞气、称号：春樱绮梦、称号：难忘今宵、称号：万象更新中选择1个获得</t>
  </si>
  <si>
    <t>1:1001,931054,1;1001,931060,1;1001,931123,1;1001,931124,1;1001,931011,1;1001,931041,1;1001,931045,1;1001,931037,1;1001,931033,1</t>
  </si>
  <si>
    <t>双12狂欢宝箱</t>
  </si>
  <si>
    <t>打开后有概率获得：重铸符文石*5、精金锭*1、精致宝石袋*2、冲刺训练书*5、黄金战魂*3、限时铸造券*1、强者招募券*1、战船洗练石*5、蓝钻*500、金块*500000</t>
  </si>
  <si>
    <t>迅捷套装任选箱</t>
  </si>
  <si>
    <t>可以从迅捷套装4件装备中任选1件获得。</t>
  </si>
  <si>
    <t>1:1200,3004101,1;1200,3004102,1;1200,3004103,1;1200,3004104,1</t>
  </si>
  <si>
    <t>时尚币宝箱</t>
  </si>
  <si>
    <t>打开后获得时尚币*10</t>
  </si>
  <si>
    <t>20012,0,10</t>
  </si>
  <si>
    <t>锦卫门惊喜宝箱Ⅰ</t>
  </si>
  <si>
    <t>打开后可以从：锦卫门碎片*10、强者招募券*1任选其一</t>
  </si>
  <si>
    <t>1:1001,630034,10;1001,215011,1</t>
  </si>
  <si>
    <t>锦卫门惊喜宝箱Ⅱ</t>
  </si>
  <si>
    <t>打开后可以从：锦卫门碎片*30、强者招募券*3任选其一</t>
  </si>
  <si>
    <t>1:1001,630034,30;1001,215011,3</t>
  </si>
  <si>
    <t>6级阵法任选箱</t>
  </si>
  <si>
    <t>打开后可从6级阵法中任意选择一个：速击之阵、守御之阵、破杀之阵、漩涡之阵</t>
  </si>
  <si>
    <t>1:1001,233054,1;1001,233056,1;1001,233057,1;1001,233059,1</t>
  </si>
  <si>
    <t>打开后可以从：未来岛卡古（长颈鹿）、佩吉旺（脊背龙）、大和（面具）、萨波（黑鸦时装）任选其一</t>
  </si>
  <si>
    <t>1:1001,713126,1;1001,713096,1;1001,713092,1;1001,713053,1</t>
  </si>
  <si>
    <t>黑团任选箱</t>
  </si>
  <si>
    <t>打开后可以从：黑胡子、新世界黑胡子、希流、青雉中任选一个获得</t>
  </si>
  <si>
    <t>1:1001,630027,50;1001,630067,50;1001,630073,50;1001,630003,50</t>
  </si>
  <si>
    <t>打开后可以从：战桃丸、baby5、沙·鳄鱼、艾尼路、青雉、戈普、莫利亚、大熊、黄猿、艾斯、赤犬、米霍克、鲁兹、甚平、汉库珂、罗、基德、雷利、战国、麦哲伦、伊娃科夫、乔兹、白胡子、马尔高、比斯塔、杰克斯、新世界撒谎布、新世界佐罗、黑胡子、新世界奈美、新世界罗宾、多弗拉门戈、新世界路飞、新世界烟鬼、新世界塔希米、锦卫门、新世界弗兰奇、新世界布鲁克、新世界山智、新世界乔巴、新世界罗、卡塔库栗、凯撒、萨波、藤虎、夏洛特·玲玲、苏打饼、奶昔、凯多、凯文迪修、新世界库赞、新世界赤犬、丽久、新世界鲁兹、推进城汉库珂、巴尔托洛梅奥、新世界马尔高、新世界米霍克、糖糖、凯文迪修、光月御殿、青年雷利、凯罗特、阿菊、年轻白胡子、新世界佩罗娜、英雄戈普、新世界黑胡子、犬岚、猫蝮蛇、布玲、霍金斯、德雷克、希流、大将战国、杰克、昆因、大和、润媞、烬、佩吉旺、基拉、新世界基德、和之国罗、和之国路飞、和之国罗宾、和之国山智、和之国佐罗、和之国乔巴、和之国撒谎布、和之国奈美、和之国弗兰奇、和之国布鲁克、和之国甚平、黑色玛利亚中任选一个获得</t>
  </si>
  <si>
    <t>1:1001,620028,50;1001,630063,50;1001,630001,50;1001,630002,50;1001,630003,50;1001,630004,50;1001,630005,50;1001,630006,50;1001,630007,50;1001,630008,50;1001,630009,50;1001,630010,50;1001,630011,50;1001,630012,50;1001,630013,50;1001,630014,50;1001,630015,50;1001,630016,50;1001,630017,50;1001,630018,50;1001,630019,50;1001,630020,50;1001,630021,50;1001,630022,50;1001,630023,50;1001,630024,50;1001,630025,50;1001,630026,50;1001,630027,50;1001,630028,50;1001,630029,50;1001,630030,50;1001,630031,50;1001,630032,50;1001,630033,50;1001,630034,50;1001,630035,50;1001,630036,50;1001,630037,50;1001,630038,50;1001,630039,50;1001,630040,50;1001,630041,50;1001,630042,50;1001,630043,50;1001,630044,50;1001,630045,50;1001,630046,50;1001,630047,50;1001,630058,50;1001,630049,50;1001,630050,50;1001,630051,50;1001,630052,50;1001,630053,50;1001,630054,50;1001,630055,50;1001,630056,50;1001,630057,50;1001,630058,50;1001,630059,50;1001,630060,50;1001,630061,50;1001,630062,50;1001,630064,50;1001,630065,50;1001,630066,50;1001,630067,50;1001,630068,50;1001,630069,50;1001,630070,50;1001,630071,50;1001,630072,50;1001,630073,50;1001,630076,50;1001,630078,50;1001,630079,50;1001,630080,50;1001,630082,50;1001,630083,50;1001,630084,50;1001,630085,50;1001,630086,50;1001,630087,50;1001,630089,50;1001,630090,50;1001,630091,50;1001,630092,50;1001,630093,50;1001,630094,50;1001,630095,50;1001,630096,50;1001,630097,50;1001,630098,50;1001,630099,50</t>
  </si>
  <si>
    <t>打开后可以从：新世界塔希米（泳装）、未来岛鲁兹（面具）、绿牛（飞行）任选其一</t>
  </si>
  <si>
    <t>1:1001,713047,1;1001,713136,1;1001,713116,1</t>
  </si>
  <si>
    <t>鹿角饰品</t>
  </si>
  <si>
    <t>圣诞节神秘的鹿角饰品，可以用于兑换道具。</t>
  </si>
  <si>
    <t>圣诞老人帽</t>
  </si>
  <si>
    <t>圣诞节必备的圣诞老人帽，可以用于兑换道具。</t>
  </si>
  <si>
    <t>圣诞节玩偶</t>
  </si>
  <si>
    <t>打开后可以从：新世界奈美（圣诞节）、新世界罗宾（圣诞节）、新世界乔巴（圣诞节）任选其一</t>
  </si>
  <si>
    <t>圣诞节宝箱</t>
  </si>
  <si>
    <t>打开后有概率获得：彩钻*66、彩钻*88、蓝钻*200、黄金战魂*10、强者招募券*1、UR招募券*1、装备铸造券*1、金块*88888</t>
  </si>
  <si>
    <t>圣诞节秘藏宝箱</t>
  </si>
  <si>
    <t>打开后有概率获得：金块*10000、彩钻*15、蓝钻*50、黄金战魂*1、时尚币*15，极低概率获得圣诞时装任选箱*1</t>
  </si>
  <si>
    <t>元旦惊喜任选箱</t>
  </si>
  <si>
    <t>打开后可以从：UR招募券*5、限时铸造券*5、彩钻*888任选其一</t>
  </si>
  <si>
    <t>1:1001,221011,5;1001,215015,5;1,0,888</t>
  </si>
  <si>
    <t>打开后可以从：未来岛鲁兹（面具）、和之国弗兰奇（弗兰介）、光月御殿（皇冠）、时尚币*2888任选其一</t>
  </si>
  <si>
    <t>1:1001,713136,1;1001,713109,1;1001,713076,1;20012,0,2888</t>
  </si>
  <si>
    <t>打开后可以从：大口真神大和（兽形态）、和之国佐罗（佐罗十郎）、阿菊（大铠）、冲刺动作包任选其一</t>
  </si>
  <si>
    <t>1:1001,713117,1;1001,713105,1;1001,713078,1;1001,932026,1</t>
  </si>
  <si>
    <t>打开后获得时尚币*3200</t>
  </si>
  <si>
    <t>20012,0,3200</t>
  </si>
  <si>
    <t>打开后可以从：新世界库赞（企鹅）、未来岛斯图西（蝙蝠翼）、冲刺动作包任选其一</t>
  </si>
  <si>
    <t>1:1001,713065,1;1001,713141,1;1001,932026,1</t>
  </si>
  <si>
    <t>随机道具箱</t>
  </si>
  <si>
    <t>打开后有概率获得：强者招募券、蓝钻、金块、奥义经验卷轴、奥义秘传书、突破材料任选礼包</t>
  </si>
  <si>
    <t>打开后可以从：未来岛鲁兹（面具）、未来岛卡古（长颈鹿）、时尚币*2888任选其一</t>
  </si>
  <si>
    <t>1:1001,713136,1;1001,713126,1;20012,0,2888</t>
  </si>
  <si>
    <t>UR唤醒之证</t>
  </si>
  <si>
    <t>用于兑换UR角色</t>
  </si>
  <si>
    <t>UI_icon_dlktz_jin</t>
  </si>
  <si>
    <t>可从激斗大师、见证·新航线、坚守·六周年、意志不熄、吉星·六周年、携手五周年、擂台霸主中选择1个获得</t>
  </si>
  <si>
    <t>1:1001,619002,1;1001,511624,1;1001,931008,1;1001,931014,1;1001,931009,1;1001,619106,1;1001,511634,1</t>
  </si>
  <si>
    <t>好礼任选箱</t>
  </si>
  <si>
    <t>打开后可以从：青龙装备任选箱*2、重铸符文石*100任选其一</t>
  </si>
  <si>
    <t>1:1001,619357,2;1001,216002,100</t>
  </si>
  <si>
    <t>春节惊喜铜宝箱</t>
  </si>
  <si>
    <t>打开后有概率获得：彩钻*20、彩钻*26、彩钻*66、彩钻*88，极低概率获得彩钻*2026，若不打开礼包则可用来兑换更高级别礼包</t>
  </si>
  <si>
    <t>打开后可以从：大口真神大和（兽形态）、和之国佐罗（佐罗十郎）、时尚币*2888任选其一</t>
  </si>
  <si>
    <t>1:1001,713117,1;1001,713105,1;20012,0,2888</t>
  </si>
  <si>
    <t>打开后可以从：残忍套装任选箱*1、毁灭套装任选箱*1、战争套装任选箱*1、谈判套装任选箱*1、张狂套装任选箱*1、凯旋套装任选箱*1、复仇套装自选箱*1、嗜血套装任选箱*1、暴走套装任选箱*1、卓越套装任选箱*1、限时铸造券*3任选其一</t>
  </si>
  <si>
    <t>1:1001,932011,1;1001,619084,1;1001,619043,1;1001,619086,1;1001,619102,1;1001,619364,1;1001,511335,1;1001,932021,1;1001,619060,1;1001,619059,1;1001,215015,3</t>
  </si>
  <si>
    <t>战利品宝箱</t>
  </si>
  <si>
    <t>可用于兑换特殊道具。</t>
  </si>
  <si>
    <t>新春时装好礼</t>
  </si>
  <si>
    <t>打开后可以从：S-小熊（DOM靴）、未来岛卡古（面具）、S-蛇女（飞行）、S-老鹰（飞行）、未来岛斯图西（面具）、未来岛鲁兹（豹形态）任选其一</t>
  </si>
  <si>
    <t>1:1001,713144,1;1001,713125,1;1001,713124,1;1001,713122,1;1001,713140,1;1001,713138,1</t>
  </si>
  <si>
    <t>百兽团角色任选</t>
  </si>
  <si>
    <t>打开后可以从：杰克、昆因、烬、大和、润媞、佩吉旺、黑色玛利亚、霍金斯、德雷克中任选一个获得</t>
  </si>
  <si>
    <t>1:1001,630078,50;1001,630079,50;1001,630083,50;1001,630080,50;1001,630082,50;1001,630084,50;1001,630099,50;1001,630071,50;1001,630072,50</t>
  </si>
  <si>
    <t>三灾时装礼包</t>
  </si>
  <si>
    <t>打开后可以获得：杰克（人兽型）、昆因（人兽型）、烬（人兽型）</t>
  </si>
  <si>
    <t>1001,713134,1;1001,713133,1;1001,713132,1</t>
  </si>
  <si>
    <t>新春角色任选</t>
  </si>
  <si>
    <t>打开后可以从：乌塔、金狮子西奇中任选一个获得</t>
  </si>
  <si>
    <t>1:1001,630081,50;1001,630101,50</t>
  </si>
  <si>
    <t>新春时装惊喜礼</t>
  </si>
  <si>
    <t>打开后可以从：时尚币*500、新春时装好礼*1任选其一，新春时装好礼开启后S-小熊（DOM靴）、未来岛卡古（面具）、S-蛇女（飞行）、S-老鹰（飞行）、未来岛斯图西（面具）、未来岛鲁兹（豹形态）任选其一</t>
  </si>
  <si>
    <t>1:1001,619631,1;20012,0,500</t>
  </si>
  <si>
    <t>新春洗练惊喜礼</t>
  </si>
  <si>
    <t>打开后可以从：战船洗练石*200、重铸符文石*200任选其一</t>
  </si>
  <si>
    <t>1:1001,514032,200;1001,216002,200</t>
  </si>
  <si>
    <t>2025角色任选箱</t>
  </si>
  <si>
    <t>打开后可以从：绿牛、大口真神大和、基德与罗、邦妮、s-老鹰、s-蛇女、未来岛卡古、未来岛鲁兹、未来岛斯图西中任选一个获得</t>
  </si>
  <si>
    <t>1:1001,630103,50;1001,630104,50;1001,630105,50;1001,630106,50;1001,630107,50;1001,630108,50;1001,630109,50;1001,630111,50;1001,630112,50</t>
  </si>
  <si>
    <t>新春时装任选箱</t>
  </si>
  <si>
    <t>打开后可以从：路飞（爆炸头）、沙·鳄鱼（玛丽弗德）、佐罗（水之都时装）、戈普（狗头帽）、汉库珂（紫色旗袍）、艾斯（阿拉巴斯坦时装）、撒谎布（长链岛时装）、奈美（结婚礼服）、山智（空岛时装）、巴奇（海军装）、薇薇（公主装）、鲁兹（船工装）、奈美（泳装）、罗宾（泳装）、路飞（夏威夷服装）、新世界佐罗（激战）、新世界佐罗（唐装）、新世界奈美（唐装）、新世界撒谎布（唐装）、新世界罗宾（唐装）、新世界路飞（唐装）、新世界山智（唐装）、新世界布鲁克（唐装）任选其一</t>
  </si>
  <si>
    <t>1:1001,713013,1;1001,713014,1;1001,713015,1;1001,713016,1;1001,713017,1;1001,713018,1;1001,713019,1;1001,713020,1;1001,713021,1;1001,713022,1;1001,713023,1;1001,713024,1;1001,713025,1;1001,713026,1;1001,713029,1;1001,713031,1;1001,713033,1;1001,713034,1;1001,713035,1;1001,713036,1;1001,713037,1;1001,713038,1;1001,713045,1</t>
  </si>
  <si>
    <t>春节庆典银宝箱</t>
  </si>
  <si>
    <t>打开后有概率获得：彩钻*188、彩钻*288、彩钻*588、彩钻*888、小概率获得彩钻*1588，极低概率获得彩钻*2026，若不打开礼包则可用来兑换更高级别礼包</t>
  </si>
  <si>
    <t>春节庆典金宝箱</t>
  </si>
  <si>
    <t>打开后可以在：彩钻*2026、新春时装任选箱*1、9级七彩宝石任选袋*1、2025角色任选箱*1、4级阵法任选箱*1、10级宝石任选箱*1、重铸符文石*66、UR唤醒之证*5中任选一个获得</t>
  </si>
  <si>
    <t>1:1,0,2026;1001,619638,1;1001,619306,1;1001,619637,1;1001,730003,1;1001,511305,1;1001,216002,66;1001,619623,5</t>
  </si>
  <si>
    <t>新春网页好礼箱I</t>
  </si>
  <si>
    <t>新春庆典网页活动任务奖励。</t>
  </si>
  <si>
    <t>1001,216002,200;1001,1200001,1</t>
  </si>
  <si>
    <t>新春网页好礼箱II</t>
  </si>
  <si>
    <t>1001,933001,50;1001,619442,150</t>
  </si>
  <si>
    <t>新春网页好礼箱III</t>
  </si>
  <si>
    <t>1001,933002,11;20012,0,1888</t>
  </si>
  <si>
    <t>新春网页好礼箱IV</t>
  </si>
  <si>
    <t>1001,216002,200;1001,514032,200</t>
  </si>
  <si>
    <t>新春网页SSR任选箱</t>
  </si>
  <si>
    <t>打开后可以从：战桃丸、沙·鳄鱼、艾尼路、青雉、戈普、莫利亚、大熊、黄猿、艾斯、赤犬、米霍克、鲁兹、甚平、汉库珂、罗、基德、雷利、战国、麦哲伦、伊娃科夫、乔兹、白胡子、马尔高、比斯塔、杰克斯、新世界撒谎布、新世界佐罗、黑胡子、新世界奈美、新世界罗宾、多弗拉门戈、新世界路飞、新世界烟鬼、新世界塔希米、锦卫门、新世界弗兰奇、新世界布鲁克、新世界山智、新世界乔巴、新世界罗、藤虎、卡塔库栗、凯撒、萨波、夏洛特·玲玲、苏打饼、奶昔、凯多、新世界库赞、新世界赤犬、丽久、新世界鲁兹、推进城汉库珂、巴尔托洛梅奥、新世界马尔高、新世界米霍克、糖糖、凯文迪修、光月御殿、青年雷利、凯罗特、阿菊、baby5、年轻白胡子、新世界佩罗娜、英雄戈普、新世界黑胡子、犬岚、猫蝮蛇、布玲、霍金斯、德雷克、希流、大将战国、杰克、昆因、大和、润媞、烬、佩吉旺、基拉、新世界基德、和之国罗、和之国路飞、和之国罗宾、和之国山智、和之国佐罗、和之国乔巴、和之国撒谎布、和之国奈美、和之国弗兰奇、和之国布鲁克、和之国甚平、黑色玛利亚、荞麦假面、绿牛、大口真神大和、基德与罗、邦妮、S-老鹰、S-蛇女、未来岛卡古、未来岛鲁兹、未来岛斯图西、S-小熊中任选一个获得</t>
  </si>
  <si>
    <t>1:1001,620028,50;1001,630001,50;1001,630002,50;1001,630003,50;1001,630004,50;1001,630005,50;1001,630006,50;1001,630007,50;1001,630008,50;1001,630009,50;1001,630010,50;1001,630011,50;1001,630012,50;1001,630013,50;1001,630014,50;1001,630015,50;1001,630016,50;1001,630017,50;1001,630018,50;1001,630019,50;1001,630020,50;1001,630021,50;1001,630022,50;1001,630023,50;1001,630024,50;1001,630025,50;1001,630026,50;1001,630027,50;1001,630028,50;1001,630029,50;1001,630030,50;1001,630031,50;1001,630032,50;1001,630033,50;1001,630034,50;1001,630035,50;1001,630036,50;1001,630037,50;1001,630038,50;1001,630039,50;1001,630043,50;1001,630040,50;1001,630041,50;1001,630042,50;1001,630044,50;1001,630045,50;1001,630046,50;1001,630047,50;1001,630049,50;1001,630050,50;1001,630051,50;1001,630052,50;1001,630053,50;1001,630054,50;1001,630055,50;1001,630056,50;1001,630057,50;1001,630058,50;1001,630059,50;1001,630060,50;1001,630061,50;1001,630062,50;1001,630063,50;1001,630064,50;1001,630065,50;1001,630066,50;1001,630067,50;1001,630068,50;1001,630069,50;1001,630070,50;1001,630071,50;1001,630072,50;1001,630073,50;1001,630076,50;1001,630078,50;1001,630079,50;1001,630080,50;1001,630082,50;1001,630083,50;1001,630084,50;1001,630085,50;1001,630086,50;1001,630087,50;1001,630089,50;1001,630090,50;1001,630091,50;1001,630092,50;1001,630093,50;1001,630094,50;1001,630095,50;1001,630096,50;1001,630097,50;1001,630098,50;1001,630099,50;1001,630102,50;1001,630103,50;1001,630104,50;1001,630105,50;1001,630106,50;1001,630107,50;1001,630108,50;1001,630109,50;1001,630111,50;1001,630112,50;1001,630113,50</t>
  </si>
  <si>
    <t>佳节阵法任选箱</t>
  </si>
  <si>
    <t>打开后可以从：精准之阵、会心之阵、平静之阵、疾行之阵、治愈之阵、沉稳之阵、对决之阵、精锐之阵任选其一</t>
  </si>
  <si>
    <t>1:1001,233007,1;1001,233008,1;1001,233009,1;1001,233010,1;1001,233011,1;1001,233012,1;1001,233018,1;1001,233020,1</t>
  </si>
  <si>
    <t>礼花</t>
  </si>
  <si>
    <t>item_50</t>
  </si>
  <si>
    <t>打开后可以从：未来岛卡古（长颈鹿）、阿菊（大铠）、邦妮（常服）、时尚币*2888任选其一</t>
  </si>
  <si>
    <t>1:1001,713126,1;1001,713078,1;1001,713119,1;20012,0,2888</t>
  </si>
  <si>
    <t>艾斯的潜能书</t>
  </si>
  <si>
    <t>艾斯的潜能书，用于解锁艾斯的潜能系统。</t>
  </si>
  <si>
    <t>Ui_qianneng_icon_zhenbao_aisi</t>
  </si>
  <si>
    <t>艾斯的潜能石</t>
  </si>
  <si>
    <t>艾斯的潜能石，用于升级艾斯的潜能系统。</t>
  </si>
  <si>
    <t>Ui_qianneng_icon_aisi</t>
  </si>
  <si>
    <t>未来岛黑胡子的潜能书</t>
  </si>
  <si>
    <t>未来岛黑胡子的潜能书，用于解锁未来岛黑胡子的潜能系统。</t>
  </si>
  <si>
    <t>Ui_qianneng_icon_zhenbao_heihuzi</t>
  </si>
  <si>
    <t>未来岛黑胡子的潜能石</t>
  </si>
  <si>
    <t>未来岛黑胡子的潜能石，用于升级未来岛黑胡子的潜能系统。</t>
  </si>
  <si>
    <t>Ui_qianneng_icon_heihuzi</t>
  </si>
  <si>
    <t>初级炼魂石</t>
  </si>
  <si>
    <t>含有特殊力量的矿石，可作为超级附魂洗练的材料</t>
  </si>
  <si>
    <t>item_215014</t>
  </si>
  <si>
    <t>中级炼魂石</t>
  </si>
  <si>
    <t>item_216014</t>
  </si>
  <si>
    <t>高级炼魂石</t>
  </si>
  <si>
    <t>item_217014</t>
  </si>
  <si>
    <t>元素淬魂石</t>
  </si>
  <si>
    <t>超级附魂洗练的特殊材料，使用后更容易出现元素类属性</t>
  </si>
  <si>
    <t>item_shilian_ji01</t>
  </si>
  <si>
    <t>进攻淬魂石</t>
  </si>
  <si>
    <t>超级附魂洗练的特殊材料，使用后更容易出现进攻类属性</t>
  </si>
  <si>
    <t>item_shilian_li01</t>
  </si>
  <si>
    <t>生存淬魂石</t>
  </si>
  <si>
    <t>超级附魂洗练的特殊材料，使用后更容易出现生存类属性</t>
  </si>
  <si>
    <t>item_shilian_xin01</t>
  </si>
  <si>
    <t>增益淬魂石</t>
  </si>
  <si>
    <t>超级附魂洗练的特殊材料，使用后更容易出现机制效果属性</t>
  </si>
  <si>
    <t>item_shilian_zhi01</t>
  </si>
  <si>
    <t>稀有淬魂石</t>
  </si>
  <si>
    <t>超级附魂洗练的特殊材料，使用后更容易出现速度等稀有属性</t>
  </si>
  <si>
    <t>item_shilian_ren01</t>
  </si>
  <si>
    <t>低级附魂充能石</t>
  </si>
  <si>
    <t>低级的超载附魂充能道具，可以对超载附魂进行充能10%</t>
  </si>
  <si>
    <t>item_soulstone1</t>
  </si>
  <si>
    <t>中级附魂充能石</t>
  </si>
  <si>
    <t>中级的超载附魂充能道具，可以对超载附魂进行充能50%</t>
  </si>
  <si>
    <t>item_soulstone2</t>
  </si>
  <si>
    <t>高级附魂充能石</t>
  </si>
  <si>
    <t>高级的超载附魂充能道具，可以完全充能超载附魂。</t>
  </si>
  <si>
    <t>item_soulstone3</t>
  </si>
  <si>
    <t>攻击力引魂石</t>
  </si>
  <si>
    <t>超级附魂洗练的特殊材料，使用后更容易出现攻击力属性</t>
  </si>
  <si>
    <t>暴击率引魂石</t>
  </si>
  <si>
    <t>超级附魂洗练的特殊材料，使用后更容易出现暴击率属性</t>
  </si>
  <si>
    <t>韧性引魂石</t>
  </si>
  <si>
    <t>超级附魂洗练的特殊材料，使用后更容易出现韧性属性</t>
  </si>
  <si>
    <t>命中引魂石</t>
  </si>
  <si>
    <t>超级附魂洗练的特殊材料，使用后更容易出现命中属性</t>
  </si>
  <si>
    <t>闪避引魂石</t>
  </si>
  <si>
    <t>超级附魂洗练的特殊材料，使用后更容易出现闪避属性</t>
  </si>
  <si>
    <t>破击机率引魂石</t>
  </si>
  <si>
    <t>超级附魂洗练的特殊材料，使用后更容易出现破击机率属性</t>
  </si>
  <si>
    <t>格挡机率引魂石</t>
  </si>
  <si>
    <t>超级附魂洗练的特殊材料，使用后更容易出现格挡机率属性</t>
  </si>
  <si>
    <t>全伤害引魂石</t>
  </si>
  <si>
    <t>超级附魂洗练的特殊材料，使用后更容易出现全伤害属性</t>
  </si>
  <si>
    <t>全抗性引魂石</t>
  </si>
  <si>
    <t>超级附魂洗练的特殊材料，使用后更容易出现全抗性属性</t>
  </si>
  <si>
    <t>爆击伤害率引魂石</t>
  </si>
  <si>
    <t>超级附魂洗练的特殊材料，使用后更容易出现爆击伤害率属性</t>
  </si>
  <si>
    <t>速度引魂石</t>
  </si>
  <si>
    <t>超级附魂洗练的特殊材料，使用后更容易出现速度属性</t>
  </si>
  <si>
    <t>生命值引魂石</t>
  </si>
  <si>
    <t>超级附魂洗练的特殊材料，使用后更容易出现生命值属性</t>
  </si>
  <si>
    <t>谢尔兹镇影像其一</t>
  </si>
  <si>
    <t>使用后获得照片莉香送来的慰问</t>
  </si>
  <si>
    <t>item_huiyiyingxiang_photo</t>
  </si>
  <si>
    <t>谢尔兹镇影像其二</t>
  </si>
  <si>
    <t>使用后获得照片与可比的离别时刻</t>
  </si>
  <si>
    <t>擂台赛挑战券</t>
  </si>
  <si>
    <t>进入擂台赛需要持有的券，使用后增加擂台赛挑战次数。</t>
  </si>
  <si>
    <t>巨蜥的蛋</t>
  </si>
  <si>
    <t>巨蜥所产下的蛋，相当珍贵，采集后用于交付任务。</t>
  </si>
  <si>
    <t>小石子</t>
  </si>
  <si>
    <t>田地里的小石子，采集后用于交付任务。</t>
  </si>
  <si>
    <t>木板碎片</t>
  </si>
  <si>
    <t>旧房子木板的碎片，采集后用于交付任务。</t>
  </si>
  <si>
    <t>漂流的木头</t>
  </si>
  <si>
    <t>漂流到海边的木头，采集后用于交付任务。</t>
  </si>
  <si>
    <t>九里海滩上的海螺，采集后用于交付任务。</t>
  </si>
  <si>
    <t>毒蘑菇</t>
  </si>
  <si>
    <t>致命的毒蘑菇，采集后用于交付任务。</t>
  </si>
  <si>
    <t>假通缉令</t>
  </si>
  <si>
    <t>伪造的假通缉令，采集后用于交付任务。</t>
  </si>
  <si>
    <t>兜裆布</t>
  </si>
  <si>
    <t>相扑训练用的兜裆布，采集后用于交付任务。</t>
  </si>
  <si>
    <t>散落的苹果，采集后用于交付任务。</t>
  </si>
  <si>
    <t>路上的石头</t>
  </si>
  <si>
    <t>散落在道路上的石头，采集后用于交付任务。</t>
  </si>
  <si>
    <t>熄火的灯笼</t>
  </si>
  <si>
    <t>已经熄火的灯笼，采集后用于交付任务。</t>
  </si>
  <si>
    <t>竹笼</t>
  </si>
  <si>
    <t>海边老人被抢的竹笼，用于交付任务。</t>
  </si>
  <si>
    <t>大铃铛</t>
  </si>
  <si>
    <t>采竹笋行家被抢的大铃铛，用于交付任务。</t>
  </si>
  <si>
    <t>巨大石磨</t>
  </si>
  <si>
    <t>捡漏镇镇民被抢的巨大石磨，用于交付任务。</t>
  </si>
  <si>
    <t>相扑刺绣围裙</t>
  </si>
  <si>
    <t>相扑手弟弟被抢的刺绣围裙，用于交付任务。</t>
  </si>
  <si>
    <t>账簿</t>
  </si>
  <si>
    <t>吴服店老板娘的账簿，用于交付任务。</t>
  </si>
  <si>
    <t>item_2120</t>
  </si>
  <si>
    <t>从平静之阵、勇者之阵、元素之阵、沉稳之阵、疾行之阵、治愈之阵、狂怒之阵中任选一个阵法图纸。</t>
  </si>
  <si>
    <t>1:1001,233009,1;1001,233040,1;1001,233032,1;1001,233012,1;1001,233010,1;1001,233011,1;1001,233013,1</t>
  </si>
  <si>
    <t>60随机装备</t>
  </si>
  <si>
    <t>60级随机装备箱</t>
  </si>
  <si>
    <t>开启后随机获得1件60级装备。</t>
  </si>
  <si>
    <t>觉醒徽章礼盒（布玲）</t>
  </si>
  <si>
    <t>开启后可获得布玲觉醒徽章。</t>
  </si>
  <si>
    <t>称号：擂台霸主</t>
  </si>
  <si>
    <t>使用获得称号：擂台霸主</t>
  </si>
  <si>
    <t>可爱林檎</t>
  </si>
  <si>
    <t>胖虎的林檎，使用后可以学会技能“雷普”</t>
  </si>
  <si>
    <t>凯旋套装任选箱</t>
  </si>
  <si>
    <t>可以从凯旋套装4件装备中任选1件获得。</t>
  </si>
  <si>
    <t>1:1200,3001801,1;1200,3001802,1;1200,3001803,1;1200,3001804,1</t>
  </si>
  <si>
    <t>称号：大师赛新星</t>
  </si>
  <si>
    <t>使用后获得称号：大师赛新星</t>
  </si>
  <si>
    <t>彼岸套装任选箱</t>
  </si>
  <si>
    <t>可以从彼岸套装4件装备中任选1件获得。</t>
  </si>
  <si>
    <t>1:1200,3003001,1;1200,3003002,1;1200,3003003,1;1200,3003004,1</t>
  </si>
  <si>
    <t>海域补给</t>
  </si>
  <si>
    <t>活动道具，可在海域争锋中消耗进行出海</t>
  </si>
  <si>
    <t>item_730001</t>
  </si>
  <si>
    <t>月卡宝库钥匙</t>
  </si>
  <si>
    <t>使用后可开启月卡宝库，开启后可在30天内通过连续登录获得总计 彩钻*4700 蓝钻*1500 快速挑战券*300</t>
  </si>
  <si>
    <t>招募宝库钥匙</t>
  </si>
  <si>
    <t>使用后可开启招募宝库，开启后可在7天内通过连续登录获得总计 UR招募券*35 和之国草帽团角色的任选箱*1（和之国路飞，和之国罗宾，和之国山智，和之国佐罗，和之国撒谎布，和之国奈美，和之国甚平，和之国乔巴，和之国弗兰奇，和之国布鲁克）。</t>
  </si>
  <si>
    <t>金魂宝库钥匙</t>
  </si>
  <si>
    <t>使用后可开启金魂宝库，开启后可在15天内通过连续登录获得总计 470个黄金战魂。</t>
  </si>
  <si>
    <t>惊喜宝库钥匙</t>
  </si>
  <si>
    <t>使用后可开启惊喜宝库，开启后可在10天内通过连续登录获得总计 重铸符文石*10 黄金战魂*5 奥义经验卷轴*10 七彩原石*20 强者招募券*1 彩钻*88 初级炼魂石*10 战船洗练石*10 高级精炼石*10  庆典SSR任选箱*1  。</t>
  </si>
  <si>
    <t>七彩宝库钥匙</t>
  </si>
  <si>
    <t>使用后可开启七彩宝库，开启后可在7天内通过连续登录获得总计6个7级七彩宝石自选，1个8级七彩宝石自选和一个七彩炫光！</t>
  </si>
  <si>
    <t>感恩招募宝库钥匙</t>
  </si>
  <si>
    <t>使用后可开启感恩招募宝库，开启后可在7天内通过连续登录获得 15张强者招募券。</t>
  </si>
  <si>
    <t>感恩养成宝库钥匙</t>
  </si>
  <si>
    <t>使用后可开启感恩养成宝库，开启后可在7天内通过连续登录获得总计 重铸符文石*110、冲刺训练书*60。</t>
  </si>
  <si>
    <t>感恩惊喜宝库钥匙</t>
  </si>
  <si>
    <t>使用后可开启感恩惊喜宝库，开启后可在9天内通过连续登录获得总计 强者招募券*3、限时铸造券*3、七彩宝箱*3。</t>
  </si>
  <si>
    <t>七彩炫光</t>
  </si>
  <si>
    <t>用于合成11级七彩宝石</t>
  </si>
  <si>
    <t>item_qicaixuanguang</t>
  </si>
  <si>
    <t>技能书：霸海</t>
  </si>
  <si>
    <t>用于解锁龙人凯多和花魁阿玲的霸海进阶技能</t>
  </si>
  <si>
    <t>item_216007</t>
  </si>
  <si>
    <t>指挥部石料</t>
  </si>
  <si>
    <t>建设指挥部需要的材料</t>
  </si>
  <si>
    <t>港务局石料</t>
  </si>
  <si>
    <t>建设港务局需要的材料</t>
  </si>
  <si>
    <t>码头方木</t>
  </si>
  <si>
    <t>建设货运码头需要的材料</t>
  </si>
  <si>
    <t>灯塔石料</t>
  </si>
  <si>
    <t>建设灯塔需要的材料</t>
  </si>
  <si>
    <t>岸防炮铁料</t>
  </si>
  <si>
    <t>建设岸防炮需要的材料</t>
  </si>
  <si>
    <t>战斗策略图纸</t>
  </si>
  <si>
    <t>在港口防御中实施执行策略所需的图纸</t>
  </si>
  <si>
    <t>海战策略图纸</t>
  </si>
  <si>
    <t>在观测灯塔中实施海战策略所需的图纸</t>
  </si>
  <si>
    <t>称号：坚守·六周年</t>
  </si>
  <si>
    <t>使用后获得称号：坚守·六周年</t>
  </si>
  <si>
    <t>称号：吉星·六周年</t>
  </si>
  <si>
    <t>使用后获得称号：吉星·六周年</t>
  </si>
  <si>
    <t>称号：传奇·六周年</t>
  </si>
  <si>
    <t>使用后获得称号：传奇·六周年</t>
  </si>
  <si>
    <t>称号：不离不弃</t>
  </si>
  <si>
    <t>使用后获得称号：不离不弃</t>
  </si>
  <si>
    <t>称号：抽卡好手</t>
  </si>
  <si>
    <t>使用后获得称号：抽卡好手</t>
  </si>
  <si>
    <t>称号：鸿运当头</t>
  </si>
  <si>
    <t>使用后获得称号：鸿运当头</t>
  </si>
  <si>
    <t>称号：意志不熄</t>
  </si>
  <si>
    <t>使用后获得称号：意志不熄</t>
  </si>
  <si>
    <t>称号：壕气冲天</t>
  </si>
  <si>
    <t>使用后获得称号：壕气冲天</t>
  </si>
  <si>
    <t>称号：富贵之星</t>
  </si>
  <si>
    <t>使用后获得称号：富贵之星</t>
  </si>
  <si>
    <t>称号：盛装集者</t>
  </si>
  <si>
    <t>使用后获得称号：盛装集者</t>
  </si>
  <si>
    <t>称号：同行·六周年</t>
  </si>
  <si>
    <t>使用后获得称号：同行·六周年</t>
  </si>
  <si>
    <t>称号：荣耀新星</t>
  </si>
  <si>
    <t>使用后获得称号：荣耀新星</t>
  </si>
  <si>
    <t>称号：荣耀强者</t>
  </si>
  <si>
    <t>使用后获得称号：荣耀强者</t>
  </si>
  <si>
    <t>称号：荣耀大师</t>
  </si>
  <si>
    <t>使用后获得称号：荣耀大师</t>
  </si>
  <si>
    <t>称号：荣耀之王</t>
  </si>
  <si>
    <t>使用后获得称号：荣耀之王</t>
  </si>
  <si>
    <t>战船拆解自选物资</t>
  </si>
  <si>
    <t>使用后可以在“战斗策略图纸”和“海战策略图纸”中自选一种。</t>
  </si>
  <si>
    <t>1:1001,930006,1;1001,930007,1</t>
  </si>
  <si>
    <t>惊喜转盘券</t>
  </si>
  <si>
    <t>用于在惊喜转盘活动中抽奖，建议在惊喜转盘活动开启期间购买</t>
  </si>
  <si>
    <t>精进硬币</t>
  </si>
  <si>
    <t>用于提升同心共斗中第一赛季赛季增益等级（已失效，可回收为金块）</t>
  </si>
  <si>
    <t>item_730002</t>
  </si>
  <si>
    <t>称号：共斗之巅</t>
  </si>
  <si>
    <t>使用后获得称号：共斗之巅</t>
  </si>
  <si>
    <t>称号：共斗王者</t>
  </si>
  <si>
    <t>使用后获得称号：共斗王者</t>
  </si>
  <si>
    <t>称号：共斗大师</t>
  </si>
  <si>
    <t>使用后获得称号：共斗大师</t>
  </si>
  <si>
    <t>称号：共斗强者</t>
  </si>
  <si>
    <t>使用后获得称号：共斗强者</t>
  </si>
  <si>
    <t>称号：共斗新星</t>
  </si>
  <si>
    <t>使用后获得称号：共斗新星</t>
  </si>
  <si>
    <t>精进硬币S2</t>
  </si>
  <si>
    <t>用于提升同心共斗第二赛季中赛季增益等级</t>
  </si>
  <si>
    <t>精进硬币S3</t>
  </si>
  <si>
    <t>用于提升同心共斗第三赛季中赛季增益等级</t>
  </si>
  <si>
    <t>觉醒徽章礼盒（烬）</t>
  </si>
  <si>
    <t>开启可获得烬觉醒徽章</t>
  </si>
  <si>
    <t>觉醒徽章礼盒（青年雷利）</t>
  </si>
  <si>
    <t>开启可获得青年雷利觉醒徽章</t>
  </si>
  <si>
    <t>觉醒徽章礼盒（杰克）</t>
  </si>
  <si>
    <t>开启可获得杰克觉醒徽章</t>
  </si>
  <si>
    <t>觉醒徽章礼盒（昆因）</t>
  </si>
  <si>
    <t>开启可获得昆因觉醒徽章</t>
  </si>
  <si>
    <t>觉醒徽章礼盒（新世界库赞）</t>
  </si>
  <si>
    <t>开启可获得新世界库赞觉醒徽章</t>
  </si>
  <si>
    <t>觉醒徽章礼盒（光月御殿）</t>
  </si>
  <si>
    <t>开启可获得光月御殿觉醒徽章</t>
  </si>
  <si>
    <t>觉醒徽章礼盒（戈普）</t>
  </si>
  <si>
    <t>开启可获得戈普觉醒徽章</t>
  </si>
  <si>
    <t>觉醒徽章礼盒（阿菊）</t>
  </si>
  <si>
    <t>开启可获得阿菊觉醒徽章</t>
  </si>
  <si>
    <t>觉醒徽章礼盒（锦卫门）</t>
  </si>
  <si>
    <t>开启可获得锦卫门觉醒徽章</t>
  </si>
  <si>
    <t>战船拆解自选材料</t>
  </si>
  <si>
    <t>使用后可以在“指挥部石料”、“港务局石料”、“码头方木”、“灯塔石料”、“岸防炮铁料”中自选一种。</t>
  </si>
  <si>
    <t>1:1001,930001,1;1001,930002,1;1001,930003,1;1001,930004,1;1001,930005,1</t>
  </si>
  <si>
    <t>4级阵法任选箱</t>
  </si>
  <si>
    <t>从曙光之阵、防护之阵、冲击之阵、进击之阵、元素之阵、专注之阵、激进之阵、冥想之阵、急速之阵、争霸之阵、守护之阵、御敌之阵、勇者之阵中任选一个阵法图纸</t>
  </si>
  <si>
    <t>1:1001,233028,1;1001,233029,1;1001,233030,1;1001,233031,1;1001,233032,1;1001,233033,1;1001,233034,1;1001,233035,1;1001,233036,1;1001,233037,1;1001,233038,1;1001,233039,1;1001,233040,1</t>
  </si>
  <si>
    <t>布玲觉醒之印</t>
  </si>
  <si>
    <t>让布玲从觉醒临时关闭的情况变为觉醒开启</t>
  </si>
  <si>
    <t>布玲封印之印</t>
  </si>
  <si>
    <t>让布玲从觉醒开启的情况变为临时觉醒关闭</t>
  </si>
  <si>
    <t>测试日期道具</t>
  </si>
  <si>
    <t>2025/5/01-11:15:00</t>
  </si>
  <si>
    <t>战船拆解材料包（小）</t>
  </si>
  <si>
    <t>打开后可获得：战船拆解自选物资包*20，战船拆解自选材料包*30</t>
  </si>
  <si>
    <t>1001,931023,20;1001,931025,30</t>
  </si>
  <si>
    <t>战船拆解材料包（中）</t>
  </si>
  <si>
    <t>打开后可获得：战船拆解自选物资包*30，战船拆解自选材料包*50</t>
  </si>
  <si>
    <t>1001,931023,30;1001,931025,50</t>
  </si>
  <si>
    <t>战船拆解材料包（大）</t>
  </si>
  <si>
    <t>打开后可获得：战船拆解自选物资包*50，战船拆解自选材料包*80</t>
  </si>
  <si>
    <t>1001,931023,50;1001,931025,80</t>
  </si>
  <si>
    <t>罗杰·图录1</t>
  </si>
  <si>
    <t>使用后可以解锁【罗杰·图录1】</t>
  </si>
  <si>
    <t>UI_icon_aoyi</t>
  </si>
  <si>
    <t>和之国布鲁克·图录1</t>
  </si>
  <si>
    <t>使用后可以解锁【和之国布鲁克·图录1】</t>
  </si>
  <si>
    <t>和之国路飞·图录1</t>
  </si>
  <si>
    <t>使用后可以解锁【和之国路飞·图录1】</t>
  </si>
  <si>
    <t>花魁阿玲·图录1</t>
  </si>
  <si>
    <t>使用后可以解锁【花魁阿玲·图录1】</t>
  </si>
  <si>
    <t>和之国奈美·图录1</t>
  </si>
  <si>
    <t>使用后可以解锁【和之国奈美·图录1】</t>
  </si>
  <si>
    <t>和之国乔巴·图录1</t>
  </si>
  <si>
    <t>使用后可以解锁【和之国乔巴·图录1】</t>
  </si>
  <si>
    <t>和之国甚平·图录1</t>
  </si>
  <si>
    <t>使用后可以解锁【和之国甚平·图录1】</t>
  </si>
  <si>
    <t>和之国弗兰奇·图录1</t>
  </si>
  <si>
    <t>使用后可以解锁【和之国弗兰奇·图录1】</t>
  </si>
  <si>
    <t>黑色玛利亚·图录1</t>
  </si>
  <si>
    <t>使用后可以解锁【黑色玛利亚·图录1】</t>
  </si>
  <si>
    <t>和之国佐罗·图录1</t>
  </si>
  <si>
    <t>使用后可以解锁【和之国佐罗·图录1】</t>
  </si>
  <si>
    <t>大口真神大和·图录1</t>
  </si>
  <si>
    <t>使用后可以解锁【大口真神大和·图录1】</t>
  </si>
  <si>
    <t>萨波·图录1</t>
  </si>
  <si>
    <t>使用后可以解锁【萨波·图录1】</t>
  </si>
  <si>
    <t>黑胡子·图录1</t>
  </si>
  <si>
    <t>使用后可以解锁【黑胡子·图录1】</t>
  </si>
  <si>
    <t>多弗拉门戈·图录1</t>
  </si>
  <si>
    <t>使用后可以解锁【多弗拉门戈·图录1】</t>
  </si>
  <si>
    <t>卡塔库栗·图录1</t>
  </si>
  <si>
    <t>使用后可以解锁【卡塔库栗·图录1】</t>
  </si>
  <si>
    <t>使用后可以在“起源套装任选箱”和“限时铸造券*10”中自选一种。</t>
  </si>
  <si>
    <t>1:1001,931030,1;1001,215015,10</t>
  </si>
  <si>
    <t>起源套装任选箱</t>
  </si>
  <si>
    <t>可以从起源套装4件装备中任选1件获得。</t>
  </si>
  <si>
    <t>1:1200,3002801,1;1200,3002802,1;1200,3002803,1;1200,3002804,1</t>
  </si>
  <si>
    <t>称号：圣诞守护者</t>
  </si>
  <si>
    <t>使用后获得称号：圣诞守护者</t>
  </si>
  <si>
    <t>强者宝库钥匙</t>
  </si>
  <si>
    <t>使用后可开启强者宝库，开启后可在30天内通过连续登录获得总计 强者招募券*30</t>
  </si>
  <si>
    <t>重铸宝库钥匙</t>
  </si>
  <si>
    <t>使用后可开启重铸宝库，开启后可在10天内通过连续登录获得总计 重铸符文石*120</t>
  </si>
  <si>
    <t>炼魂石宝库钥匙</t>
  </si>
  <si>
    <t>使用后可开启炼魂石宝库，开启后可在7天内通过连续登录获得总计 初级炼魂石*126</t>
  </si>
  <si>
    <t>进阶宝石宝库钥匙</t>
  </si>
  <si>
    <t>使用后可开启进阶宝石宝库，开启后可在7天内通过连续登录获得总计 七彩原石*280</t>
  </si>
  <si>
    <t>惊喜周卡宝库钥匙</t>
  </si>
  <si>
    <t>使用后可开启惊喜周卡宝库，开启后可在7天内通过连续登录获得总计 彩钻*1500</t>
  </si>
  <si>
    <t>信物宝库钥匙</t>
  </si>
  <si>
    <t>使用后可开启信物宝库，开启后可在14天内通过连续登录获得总计 彩钻*800和船团纪念徽章·金*28以及强者招募券*10</t>
  </si>
  <si>
    <t>七天信物宝库钥匙</t>
  </si>
  <si>
    <t>使用后可开启七天信物宝库，开启后可在7天内通过连续登录获得总计 彩钻*800和船团纪念徽章·金*28以及强者招募券*10</t>
  </si>
  <si>
    <t>海岛宝藏宝库钥匙</t>
  </si>
  <si>
    <t>（该商品将在8月28日下架！）使用后可开启海岛宝藏宝库，开启后可在45天内通过连续登录获得总计 争霸币*27000</t>
  </si>
  <si>
    <t>附魂宝库钥匙</t>
  </si>
  <si>
    <t>使用后可开启附魂宝库，开启后可在15天内通过连续登录获得总计 搜魂券*60。</t>
  </si>
  <si>
    <t>打开后可从以下3个时装中任意选择一个(和之国山智（山五郎）,和之国撒谎布（撒谎八），润媞（肿头龙））</t>
  </si>
  <si>
    <t>1:1001,713104,1;1001,713107,1;1001,713094,1</t>
  </si>
  <si>
    <t>航海令</t>
  </si>
  <si>
    <t>纵横天下玩法中使用，向据点宣战时消耗</t>
  </si>
  <si>
    <t>item_seatoken</t>
  </si>
  <si>
    <t>海事日志</t>
  </si>
  <si>
    <t>可在纵横天下玩法中升级个人海事等级</t>
  </si>
  <si>
    <t>item_sealog</t>
  </si>
  <si>
    <t>海事手册</t>
  </si>
  <si>
    <t>可在纵横天下玩法中升级公会海事等级</t>
  </si>
  <si>
    <t>item_seahandbook</t>
  </si>
  <si>
    <t>称号：破阵摧坚</t>
  </si>
  <si>
    <t>使用后获得称号：破阵摧坚</t>
  </si>
  <si>
    <t>称号：身经百战</t>
  </si>
  <si>
    <t>使用后获得称号：身经百战</t>
  </si>
  <si>
    <t>称号：力挽狂澜</t>
  </si>
  <si>
    <t>使用后获得称号：力挽狂澜</t>
  </si>
  <si>
    <t>称号：万夫莫开</t>
  </si>
  <si>
    <t>使用后获得称号：万夫莫开</t>
  </si>
  <si>
    <t>称号：瀚海雄师</t>
  </si>
  <si>
    <t>使用后获得称号：瀚海雄师</t>
  </si>
  <si>
    <t>称号：万象更新</t>
  </si>
  <si>
    <t>使用后获得称号：万象更新</t>
  </si>
  <si>
    <t>称号：一元复始</t>
  </si>
  <si>
    <t>使用后获得称号：一元复始</t>
  </si>
  <si>
    <t>白星之约</t>
  </si>
  <si>
    <t>使用后可以在码头看到白星</t>
  </si>
  <si>
    <t>item_baixing</t>
  </si>
  <si>
    <t>称号：春节之星</t>
  </si>
  <si>
    <t>使用后获得称号：春节之星</t>
  </si>
  <si>
    <t>称号：万事胜意</t>
  </si>
  <si>
    <t>使用后获得称号：万事胜意</t>
  </si>
  <si>
    <t>称号：难忘今宵</t>
  </si>
  <si>
    <t>使用后获得称号：难忘今宵</t>
  </si>
  <si>
    <t>称号：神州王者</t>
  </si>
  <si>
    <t>使用后获得称号：神州王者</t>
  </si>
  <si>
    <t>称号：元宵大使</t>
  </si>
  <si>
    <t>使用后获得称号：元宵大使</t>
  </si>
  <si>
    <t>称号：元宵之星</t>
  </si>
  <si>
    <t>使用后获得称号：元宵之星</t>
  </si>
  <si>
    <t>称号：祥云瑞气</t>
  </si>
  <si>
    <t>使用后获得称号：祥云瑞气</t>
  </si>
  <si>
    <t>打开后可从以下时装中任意选择一个(和之国路飞（路飞太郎）,杰克（猛犸形态），和之国撒谎布（撒谎八），凯文迪修（法鲁鲁））</t>
  </si>
  <si>
    <t>1:1001,713102,1;1001,713089,1;1001,713107,1;1001,713074,1</t>
  </si>
  <si>
    <t>春日风筝</t>
  </si>
  <si>
    <t>打开后可从以下时装中任意选择一个(大口真神大和（兽形态）,和之国乔巴（乔巴卫门））</t>
  </si>
  <si>
    <t>1:1001,713117,1;1001,713106,1</t>
  </si>
  <si>
    <t>称号：春樱绮梦</t>
  </si>
  <si>
    <t>使用后获得称号：春樱绮梦</t>
  </si>
  <si>
    <t>打开后可从以下时装中任意选择一个(霍金斯（狛鹿）,烬（无齿翼龙形态）,阿菊（大铠））</t>
  </si>
  <si>
    <t>1:1001,713084,1;1001,713095,1;1001,713078,1</t>
  </si>
  <si>
    <t>打开后可从以下6级阵法中任意选择一个(速击之阵、破杀之阵）</t>
  </si>
  <si>
    <t>1:1001,233054,1;1001,233057,1</t>
  </si>
  <si>
    <t>称号：至高之人</t>
  </si>
  <si>
    <t>称号：海岛贵族</t>
  </si>
  <si>
    <t>称号：海岛领主</t>
  </si>
  <si>
    <t>称号：海岛传奇</t>
  </si>
  <si>
    <t>海岛礼盒</t>
  </si>
  <si>
    <t>打开后可以获得:藏宝币*5、争霸币*200</t>
  </si>
  <si>
    <t>打开后可从以下时装中任意选择一个：新世界乔巴(圣诞节),罗杰(大海盗)</t>
  </si>
  <si>
    <t>1:1001,713113,1;1001,713068,1</t>
  </si>
  <si>
    <t>称号：燕归万物苏</t>
  </si>
  <si>
    <t>使用后获得称号：燕归万物苏</t>
  </si>
  <si>
    <t>称号：好运启程</t>
  </si>
  <si>
    <t>使用后获得称号：好运启程</t>
  </si>
  <si>
    <t>称号：水润成春</t>
  </si>
  <si>
    <t>使用后获得称号：水润成春</t>
  </si>
  <si>
    <t>称号：万木竞秀</t>
  </si>
  <si>
    <t>使用后获得称号：万木竞秀</t>
  </si>
  <si>
    <t>称号：寒木春华</t>
  </si>
  <si>
    <t>使用后获得称号：寒木春华</t>
  </si>
  <si>
    <t>称号：燃意春醒</t>
  </si>
  <si>
    <t>使用后获得称号：燃意春醒</t>
  </si>
  <si>
    <t>称号：胜日寻芳</t>
  </si>
  <si>
    <t>使用后获得称号：胜日寻芳</t>
  </si>
  <si>
    <t>打开后可从以下时装中任意选择一个：罗杰（大海盗）、绿牛（飞行）、推进城汉库珂（和服）、新世界罗（万圣节）</t>
  </si>
  <si>
    <t>1:1001,713113,1;1001,713116,1;1001,713071,1;1001,713059,1</t>
  </si>
  <si>
    <t>可以从以下道具中选择获得一项：昆因（腕龙形态）、和之国奈美（阿奈美）、凯罗特（和服）、糖糖(泳装)</t>
  </si>
  <si>
    <t>1:1001,713090,1;1001,713108,1;1001,713077,1;1001,713075,1</t>
  </si>
  <si>
    <t>可以从以下道具中选择获得一项：昆因（腕龙形态）、和之国布鲁克（骨吉）、新世界佐罗（黑色西服）、新世界佐罗（激战）、新世界佐罗（万圣节）</t>
  </si>
  <si>
    <t>1:1001,713090,1;1001,713110,1;1001,713030,1;1001,713031,1;1001,713062,1</t>
  </si>
  <si>
    <t>可以从以下道具中选择获得一项：大口真神大和（兽形态）、和之国罗宾（阿罗宾）、布玲（婚纱）、布玲（飞毯）、布玲婚纱（飞毯）</t>
  </si>
  <si>
    <t>1:1001,713117,1;1001,713103,1;1001,713081,1;1001,713082,1;1001,713083,1</t>
  </si>
  <si>
    <t>可以从以下道具中选择获得一项：邦妮（常服）*1、绿牛（飞行）*1</t>
  </si>
  <si>
    <t>1:1001,713119,1;1001,713116,1</t>
  </si>
  <si>
    <t>无双赠礼</t>
  </si>
  <si>
    <t>可以从以下道具中选择获得一项：樱落图纸*1、时装兑换币*360、称号兑换币*200</t>
  </si>
  <si>
    <t>1:1001,16010011,1;1001,619360,360;1001,619442,200</t>
  </si>
  <si>
    <t>纪念称号任选箱</t>
  </si>
  <si>
    <t>可以从以下称号中选择获得一项：抽卡好手*1、不离不弃*1、春节之星*1、圣诞守护者*1、一元复始*1</t>
  </si>
  <si>
    <t>1:1001,931012,1;1001,931011,1;1001,931035,1;1001,931031,1;1001,931034,1</t>
  </si>
  <si>
    <t>无双好礼I</t>
  </si>
  <si>
    <t>打开后可以获得强者招募券*2、蓝钻*200、黄金战魂*10、金块*50w</t>
  </si>
  <si>
    <t>1001,215011,2;3,0,200;1001,215005,10;5,0,500000</t>
  </si>
  <si>
    <t>无双好礼II</t>
  </si>
  <si>
    <t>1001,619360,30;1001,215011,8;1001,215015,5;1001,215005,20</t>
  </si>
  <si>
    <t>无双好礼III</t>
  </si>
  <si>
    <t>打开后可以获得时装兑换币*40、战船拆解自选物资（洗练材料）*20、限时铸造券*10、战船拆解自选材料（升级材料）*30、精粹石*25</t>
  </si>
  <si>
    <t>1001,619360,40;1001,215015,10;1001,931023,20;1001,931025,30;1001,218004,25</t>
  </si>
  <si>
    <t>无双好礼IV</t>
  </si>
  <si>
    <t>打开后可以获得时装兑换币*50、战船拆解自选物资（洗练材料）*20、限时铸造券*10、战船拆解自选材料（升级材料）*50、重铸符文石*50</t>
  </si>
  <si>
    <t>1001,619360,50;1001,215015,10;1001,931023,20;1001,931025,50;1001,216002,50</t>
  </si>
  <si>
    <t>无双好礼V</t>
  </si>
  <si>
    <t>打开后可以获得时装兑换币*60、战船拆解自选物资（洗练材料）*50、限时铸造券*20、战船拆解自选材料（升级材料）*80、无双赠礼*1</t>
  </si>
  <si>
    <t>1001,619360,60;1001,215015,20;1001,931025,80;1001,931023,50;1001,931066,1</t>
  </si>
  <si>
    <t>可以从以下道具中选择获得一项：和之国奈美（阿奈美）*1、绿牛（飞行）*1、大和（面具）*1、新世界奈美（泳装）*1、昆因（腕龙形态）*1</t>
  </si>
  <si>
    <t>1:1001,713108,1;1001,713116,1;1001,713092,1;1001,713042,1;1001,713090,1</t>
  </si>
  <si>
    <t>白星战船任选箱</t>
  </si>
  <si>
    <t>可以从以下道具中选择获得一项：战船白星*1、符文重铸石*60、装备铸造券*15</t>
  </si>
  <si>
    <t>1:1001,122036,1;1001,216002,60;1001,215015,15</t>
  </si>
  <si>
    <t>神秘豪华任选箱</t>
  </si>
  <si>
    <t>可以从以下道具中选择获得一项：速击之阵*1、破杀之阵*1、重铸符文石*350、强者招募券*35</t>
  </si>
  <si>
    <t>1:1001,233054,1;1001,233057,1;1001,216002,350;1001,215011,35</t>
  </si>
  <si>
    <t>家园币宝箱</t>
  </si>
  <si>
    <t>最高级建筑将额外产出家园币。</t>
  </si>
  <si>
    <t>1001,511361,1;20001,0,7</t>
  </si>
  <si>
    <t>1001,511345,5;20001,0,10</t>
  </si>
  <si>
    <t>1001,511350,1;20001,0,30</t>
  </si>
  <si>
    <t>1001,212014,5;20001,0,3</t>
  </si>
  <si>
    <t>1001,213014,1;20001,0,3</t>
  </si>
  <si>
    <t>1001,214014,1;20001,0,121</t>
  </si>
  <si>
    <t>1001,214003,1;20001,0,14</t>
  </si>
  <si>
    <t>1001,511355,1;20001,0,27</t>
  </si>
  <si>
    <t>1001,720001,1;20001,0,23</t>
  </si>
  <si>
    <t>可以从残忍套装任选箱、毁灭套装任选箱、谈判套装任选箱中任选1个获得。</t>
  </si>
  <si>
    <t>1:1001,932011,1;1001,619084,1;1001,619086,1</t>
  </si>
  <si>
    <t>残忍套装任选箱</t>
  </si>
  <si>
    <t>可以从残忍套装4件装备中任选1件获得。</t>
  </si>
  <si>
    <t>1:1200,3000201,1;1200,3000202,1;1200,3000203,1;1200,3000204,1</t>
  </si>
  <si>
    <t>可以从落樱套装任选箱、利刃套装任选箱、大将军套装任选箱中任选1个获得。</t>
  </si>
  <si>
    <t>1:1001,932013,1;1001,932014,1;1001,932015,1</t>
  </si>
  <si>
    <t>落樱套装任选箱</t>
  </si>
  <si>
    <t>可以从落樱套装4件装备中任选1件获得。</t>
  </si>
  <si>
    <t>1:1200,3004701,1;1200,3004702,1;1200,3004703,1;1200,3004704,1</t>
  </si>
  <si>
    <t>利刃套装任选箱</t>
  </si>
  <si>
    <t>可以从利刃套装4件装备中任选1件获得。</t>
  </si>
  <si>
    <t>1:1200,3004801,1;1200,3004802,1;1200,3004803,1;1200,3004804,1</t>
  </si>
  <si>
    <t>大将军套装任选箱</t>
  </si>
  <si>
    <t>可以从大将军套装4件装备中任选1件获得。</t>
  </si>
  <si>
    <t>1:1200,3004901,1;1200,3004902,1;1200,3004903,1;1200,3004904,1</t>
  </si>
  <si>
    <t>白星之礼</t>
  </si>
  <si>
    <t>打开后随机获得一个白星的礼物</t>
  </si>
  <si>
    <t>item_932016</t>
  </si>
  <si>
    <t>战力提升礼包</t>
  </si>
  <si>
    <t>使用后获得金魂宝库钥匙*1和月卡宝库钥匙*1</t>
  </si>
  <si>
    <t>1001,910001,1;1001,910003,1</t>
  </si>
  <si>
    <t>统治者套装任选箱</t>
  </si>
  <si>
    <t>可以从统治者套装4件装备中任选1件获得。</t>
  </si>
  <si>
    <t>1:1200,3005201,1;1200,3005202,1;1200,3005203,1;1200,3005204,1</t>
  </si>
  <si>
    <t>船团纪念徽章·金</t>
  </si>
  <si>
    <t>直接使用可在大船团活动中获得1积分，或者可以转增给其他玩家，对方会收到1个船团纪念徽章·银</t>
  </si>
  <si>
    <t>UI_cthz_gold</t>
  </si>
  <si>
    <t>船团纪念徽章·银</t>
  </si>
  <si>
    <t>直接使用可在大船团活动中获得1积分</t>
  </si>
  <si>
    <t>UI_cthz_sliver</t>
  </si>
  <si>
    <t>名字框：船团之王</t>
  </si>
  <si>
    <t>使用后获得名字框：船团之王（限时时间90天）</t>
  </si>
  <si>
    <t>UI_mingzikuang_guanjun_pic</t>
  </si>
  <si>
    <t>名字框：船团之星</t>
  </si>
  <si>
    <t>使用后获得名字框：船团之星（限时时间90天）</t>
  </si>
  <si>
    <t>UI_mingzikuang_yajun_pic</t>
  </si>
  <si>
    <t>称号：船团启航</t>
  </si>
  <si>
    <t>使用后获得称号：船团启航（该道具对应的称号已于8-31过期，请回收该道具）</t>
  </si>
  <si>
    <t>称号：逐浪共行</t>
  </si>
  <si>
    <t>使用后获得称号：逐浪共行（该道具对应的称号已于8-31过期，请回收该道具）</t>
  </si>
  <si>
    <t>称号：海上传奇</t>
  </si>
  <si>
    <t>使用后获得称号：海上传奇（该道具对应的称号已于8-31过期，请回收该道具）</t>
  </si>
  <si>
    <t>使用后获得称号：船团启航（背包中限时时间30天，称号有效期至2025-11-30）</t>
  </si>
  <si>
    <t>使用后获得称号：逐浪共行（背包中限时时间30天，称号有效期至2025-11-30）</t>
  </si>
  <si>
    <t>使用后获得称号：海上传奇（背包中限时时间30天，称号有效期至2025-11-30）</t>
  </si>
  <si>
    <t>装有宝石的小袋子，打开后可以获得有几率开出不同等级宝石。</t>
  </si>
  <si>
    <t>使用后可以在“嗜血套装任选箱”和“限时铸造券*10”中自选一种。</t>
  </si>
  <si>
    <t>1:1001,932021,1;1001,215015,10</t>
  </si>
  <si>
    <t>嗜血套装任选箱</t>
  </si>
  <si>
    <t>可以从嗜血套装4件装备中任选1件获得。</t>
  </si>
  <si>
    <t>1:1200,3003101,1;1200,3003102,1;1200,3003103,1;1200,3003104,1</t>
  </si>
  <si>
    <t>暗焰套装任选箱</t>
  </si>
  <si>
    <t>可以从暗焰套装4件装备中任选1件获得。</t>
  </si>
  <si>
    <t>1:1200,3005301,1;1200,3005302,1;1200,3005303,1;1200,3005304,1</t>
  </si>
  <si>
    <t>致命套装任选箱</t>
  </si>
  <si>
    <t>可以从致命套装4件装备中任选1件获得。</t>
  </si>
  <si>
    <t>1:1200,3003701,1;1200,3003702,1;1200,3003703,1;1200,3003704,1</t>
  </si>
  <si>
    <t>重装套装任选箱</t>
  </si>
  <si>
    <t>可以从重装套装4件装备中任选1件获得。</t>
  </si>
  <si>
    <t>1:1200,3005401,1;1200,3005402,1;1200,3005403,1;1200,3005404,1</t>
  </si>
  <si>
    <t>周年之约礼盒</t>
  </si>
  <si>
    <t>打开后可以获得彩钻*777、UR招募券*7、时尚币*777、奥义经验卷轴*77</t>
  </si>
  <si>
    <t>1001,221011,7;1,0,777;20012,0,777;1001,216001,77</t>
  </si>
  <si>
    <t>冲刺动作包</t>
  </si>
  <si>
    <t>打开后可以获得：5档路飞（奔跑）*1、5档路飞（上衣奔跑）*1、5档路飞（眼镜奔跑）*1</t>
  </si>
  <si>
    <t>1001,713129,1;1001,713130,1;1001,713131,1</t>
  </si>
  <si>
    <t>百兽团SSR任选箱</t>
  </si>
  <si>
    <t>可以从以下SSR中任选一个获得：大和碎片*50、烬碎片*50、昆因碎片*50、杰克碎片*50、润媞碎片*50、佩吉旺碎片*50、德雷克碎片*50、黑色玛利亚碎片*50、霍金斯碎片*50</t>
  </si>
  <si>
    <t>1:1001,630080,50;1001,630083,50;1001,630079,50;1001,630078,50;1001,630082,50;1001,630084,50;1001,630072,50;1001,630099,50;1001,630071,50</t>
  </si>
  <si>
    <t>三灾皮肤礼盒</t>
  </si>
  <si>
    <t>打开后可以获得：烬（人兽型）*1、昆因（人兽型）*1、杰克（人兽型）*1</t>
  </si>
  <si>
    <t>1001,713132,1;1001,713133,1;1001,713134,1</t>
  </si>
  <si>
    <t>7周年庆典银宝箱</t>
  </si>
  <si>
    <t>打开后有概率获得：彩钻*77、彩钻*177、彩钻*477、彩钻*777、极小概率获得彩钻*7777。如现在不开启宝箱,可在后续周年庆活动按一定比例兑换更高级别宝箱，获取更高级别奖励。</t>
  </si>
  <si>
    <t>7周年庆典金宝箱</t>
  </si>
  <si>
    <t>可以从以下奖励中任选一种获得：彩钻*2025、时装任选箱（唐装版）*1、SSR任选箱*1、10级七彩宝石*1</t>
  </si>
  <si>
    <t>1:1001,932031,1;1001,932032,1;1,0,2025;1001,619419,1</t>
  </si>
  <si>
    <t>时装任选箱（唐装版）</t>
  </si>
  <si>
    <t>可以从以下奖励中任选一种获得：新世界佐罗（唐装）*1、新世界奈美（唐装）*1、新世界撒谎布（唐装）*1、新世界罗宾（唐装）*1、新世界路飞（唐装）*1、新世界山智（唐装）*1、新世界布鲁克（唐装）*1</t>
  </si>
  <si>
    <t>1:1001,713033,1;1001,713034,1;1001,713035,1;1001,713036,1;1001,713037,1;1001,713038,1;1001,713045,1</t>
  </si>
  <si>
    <t>可以从以下奖励中任选一种获得：新世界基德碎片*50、和之国罗碎片*50、和之国路飞碎片*50、和之国罗宾碎片*50、和之国山智碎片*50、和之国佐罗碎片*50、和之国乔巴碎片*50、和之国撒谎布碎片*50、和之国娜美碎片*50、和之国弗兰奇碎片*50、和之国甚平碎片*50、和之国布鲁克碎片*50、荞麦假面碎片*50、绿牛碎片*50、大口真神大和碎片*50</t>
  </si>
  <si>
    <t>1:1001,630086,50;1001,630087,50;1001,630089,50;1001,630090,50;1001,630091,50;1001,630092,50;1001,630093,50;1001,630094,50;1001,630095,50;1001,630096,50;1001,630098,50;1001,630097,50;1001,630102,50;1001,630103,50;1001,630104,50</t>
  </si>
  <si>
    <t>草帽团员礼包</t>
  </si>
  <si>
    <t>打开后可以获得：新世界撒谎布碎片*50、新世界佐罗碎片*50、新世界奈美碎片*50、新世界罗宾碎片*50、新世界路飞碎片*50、新世界弗兰奇碎片*50、新世界布鲁克碎片*50、新世界山智碎片*50、新世界乔巴碎片*50</t>
  </si>
  <si>
    <t>1001,630025,50;1001,630026,50;1001,630028,50;1001,630029,50;1001,630031,50;1001,630035,50;1001,630036,50;1001,630037,50;1001,630038,50</t>
  </si>
  <si>
    <t>草帽团时装任选箱</t>
  </si>
  <si>
    <t>可以从以下奖励中任选一种获得：新世界佐罗（黑色西服）*1、新世界佐罗（激战）*1、新世界撒谎布（德雷斯罗萨）*1、新世界佐罗（唐装）*1、新世界奈美（唐装）*1、新世界撒谎布（唐装）*1、新世界罗宾（唐装）*1、新世界路飞（唐装）*1、新世界山智（唐装）*1、新世界弗兰奇（黑犀牛FR）*1、新世界路飞（皇者披风）*1、新世界奈美（泳装）*1、新世界布鲁克（唐装）*1、新世界罗宾（泳装）*1、新世界路飞（路西时装）*1、新世界路飞（皇冠时装）*1、新世界路飞（万圣节时装）*1、新世界罗宾（万圣节）*1、新世界山智（万圣节）*1、新世界佐罗（万圣节）*1、新世界奈美（万圣节）*1、新世界奈美（圣诞节）*1、新世界罗宾（圣诞节）*1、新世界乔巴（圣诞节）*1、新世界山智（王子服）*1</t>
  </si>
  <si>
    <t>1:1001,713030,1;1001,713031,1;1001,713032,1;1001,713033,1;1001,713034,1;1001,713035,1;1001,713036,1;1001,713037,1;1001,713038,1;1001,713039,1;1001,713040,1;1001,713042,1;1001,713045,1;1001,713046,1;1001,713050,1;1001,713051,1;1001,713057,1;1001,713060,1;1001,713061,1;1001,713062,1;1001,713063,1;1001,713066,1;1001,713067,1;1001,713068,1;1001,713088,1</t>
  </si>
  <si>
    <t>可以从以下奖励中任选一种获得：龙人凯多碎片*80、花魁阿玲*80、罗杰*80</t>
  </si>
  <si>
    <t>1:1001,640001,80;1001,640002,80;1001,630100,80</t>
  </si>
  <si>
    <t>7周年庆典礼盒</t>
  </si>
  <si>
    <t>7周年庆典气球</t>
  </si>
  <si>
    <t>7周年庆礼袋</t>
  </si>
  <si>
    <t>勋章兑换币</t>
  </si>
  <si>
    <t>可用于七周年庆典活动中兑换限时勋章</t>
  </si>
  <si>
    <t>bulin_jin</t>
  </si>
  <si>
    <t>和之国SSR任选箱</t>
  </si>
  <si>
    <t>可以从以下奖励中任选一种获得：和之国布鲁克碎片*50、和之国弗兰奇碎片*50、和之国乔巴碎片*50、和之国佐罗碎片*50、和之国山智碎片*50、和之国罗宾碎片*50、和之国路飞碎片*50、和之国罗碎片*50、新世界基德碎片*50、猫蝮蛇碎片*50、犬岚碎片*50、阿菊碎片*50、凯罗特碎片*50、光月御殿碎片*50、荞麦假面碎片*50、和之国甚平碎片*50、和之国奈美碎片*50、和之国撒谎布碎片*50</t>
  </si>
  <si>
    <t>1:1001,630086,1;1001,630087,1;1001,630089,1;1001,630090,1;1001,630091,1;1001,630092,1;1001,630093,1;1001,630094,1;1001,630095,1;1001,630096,1;1001,630098,1;1001,630097,1;1001,630102,1;1001,630069,1;1001,630068,1;1001,630062,1;1001,630061,1;1001,630059,1</t>
  </si>
  <si>
    <t>庆典五级阵法任选箱</t>
  </si>
  <si>
    <t>可以从以下奖励中任选一种获得：毁灭之阵*1、勇士之阵*1、魔力之阵*1、幻想之阵*1、极伤之阵*1、群免之阵*1、抗敌之阵*1、远投之阵*1、蔑视之阵*1、必杀之阵*1</t>
  </si>
  <si>
    <t>1:1001,233041,1;1001,233042,1;1001,233043,1;1001,233044,1;1001,233046,1;1001,233045,1;1001,233047,1;1001,233051,1;1001,233052,1;1001,233053,1</t>
  </si>
  <si>
    <t>毁灭套装/限时铸造券任选箱</t>
  </si>
  <si>
    <t>可以从以下奖励中任选一种获得：毁灭套装任选箱*1、限时铸造券*5</t>
  </si>
  <si>
    <t>1:1001,619084,1;1001,215015,5</t>
  </si>
  <si>
    <t>8星UR任选箱</t>
  </si>
  <si>
    <t>可以从以下奖励中任选一种获得：龙人凯多碎片*560、花魁阿玲碎片*560、罗杰碎片*560、5档路飞碎片*560</t>
  </si>
  <si>
    <t>1:1001,640001,560;1001,640002,560;1001,630100,560;1001,630110,560</t>
  </si>
  <si>
    <t>庆典网页好礼箱I</t>
  </si>
  <si>
    <t>打开后可以获得：8级七彩宝石任选箱*1、七彩炫光*1</t>
  </si>
  <si>
    <t>1001,511588,1;1001,1200001,1</t>
  </si>
  <si>
    <t>庆典网页好礼箱II</t>
  </si>
  <si>
    <t>打开后可以获得：限时铸造券*10、勋章兑换币*10、冲刺训练书*40</t>
  </si>
  <si>
    <t>1001,215015,10;1001,932039,10;1001,210121,40</t>
  </si>
  <si>
    <t>庆典网页好礼箱III</t>
  </si>
  <si>
    <t>打开后可以获得：领航者（称号）*1、和之国SSR任选箱*1</t>
  </si>
  <si>
    <t>1001,931105,1;1001,932032,1</t>
  </si>
  <si>
    <t>庆典网页好礼箱IV</t>
  </si>
  <si>
    <t>打开后可以获得：冲刺训练书*20、搜魂券*10</t>
  </si>
  <si>
    <t>1001,210121,20;1001,720001,10</t>
  </si>
  <si>
    <t>尼卡时装礼包</t>
  </si>
  <si>
    <t>打开后可以获得符文重铸石*15或战船洗练石*15以及时装兑换币10-15枚，有0.5%几率直接获得5档路飞（眼镜）</t>
  </si>
  <si>
    <t>1001,619434,1;1001,932049,1</t>
  </si>
  <si>
    <t>庆典网页好礼箱V</t>
  </si>
  <si>
    <t>打开后可以获得：搜魂券*30、初级炼魂石*200</t>
  </si>
  <si>
    <t>1001,720001,30;1001,720002,200</t>
  </si>
  <si>
    <t>可以从以下奖励中任选一种获得：和之国布鲁克（骨吉）*1、阿菊（大铠）*1、凯文迪修（法鲁鲁）*1、奶昔（泳装）*1</t>
  </si>
  <si>
    <t>1:1001,713110,1;1001,713078,1;1001,713074,1;1001,713064,1</t>
  </si>
  <si>
    <t>可以从以下奖励中任选一种获得：邦妮（常服）*1、糖糖（泳装）*1、夏洛特玲玲（睡衣）*1、阿菊（大铠）*1</t>
  </si>
  <si>
    <t>1:1001,713119,1;1001,713075,1;1001,713056,1;1001,713078,1</t>
  </si>
  <si>
    <t>个性形象-莉香</t>
  </si>
  <si>
    <t>使用后，可以解锁个性形象-莉香</t>
  </si>
  <si>
    <t>item_710001</t>
  </si>
  <si>
    <t>个性形象-嘉雅</t>
  </si>
  <si>
    <t>使用后，可以解锁个性形象-嘉雅</t>
  </si>
  <si>
    <t>个性形象-Miss.星期一</t>
  </si>
  <si>
    <t>使用后，可以解锁个性形象-Miss.星期一</t>
  </si>
  <si>
    <t>苍翠石</t>
  </si>
  <si>
    <t>稀有的绿色矿石，可以用于提高装备晋升等级。</t>
  </si>
  <si>
    <t>item_933001</t>
  </si>
  <si>
    <t>琥珀石</t>
  </si>
  <si>
    <t>稀有的金属矿石，可以用于解锁装备共鸣。</t>
  </si>
  <si>
    <t>item_933002</t>
  </si>
  <si>
    <t>使用后获得称号：荣耀新星（该道具已在6月26日作废）</t>
  </si>
  <si>
    <t>使用后获得称号：荣耀强者（该道具已在6月26日作废）</t>
  </si>
  <si>
    <t>使用后获得称号：荣耀大师（该道具已在6月26日作废）</t>
  </si>
  <si>
    <t>使用后获得称号：荣耀之王（该道具已在6月26日作废）</t>
  </si>
  <si>
    <t>称号：海域先锋</t>
  </si>
  <si>
    <t>使用后获得称号：海域先锋（该道具已在6月26日作废）</t>
  </si>
  <si>
    <t>勋章：百兽团挑战征服者·金</t>
  </si>
  <si>
    <t>使用后可激活勋章“百兽团挑战者·金”，具体可在个性化界面中查看</t>
  </si>
  <si>
    <t>medal_baishoujin</t>
  </si>
  <si>
    <t>使用后获得称号：海域先锋（该道具将在7月17日作废）</t>
  </si>
  <si>
    <t>可以从以下道具中选择获得一项：邦妮（常服）*1、润媞（肿头龙）*1、罗杰（大海盗）*1、昆因（腕龙形态）*1、光月御殿（皇冠）*1</t>
  </si>
  <si>
    <t>1:1001,713119,1;1001,713094,1;1001,713113,1;1001,713090,1;1001,713076,1</t>
  </si>
  <si>
    <t>纵横天下称号任选箱（第1名）</t>
  </si>
  <si>
    <t>可从破阵摧坚、身经百战、力挽狂澜、万夫莫开四个称号选择1个获得，称号会在2026/03/01 23:59:59过期，请尽快使用</t>
  </si>
  <si>
    <t>1:1001,940004,1;1001,940005,1;1001,940006,1;1001,940007,1</t>
  </si>
  <si>
    <t>纵横天下称号任选箱（第2-3名）</t>
  </si>
  <si>
    <t>可从破阵摧坚、身经百战、力挽狂澜三个称号选择1个获得，称号会在2026/03/01 23:59:59过期，请尽快使用</t>
  </si>
  <si>
    <t>1:1001,940004,1;1001,940005,1;1001,940006,1</t>
  </si>
  <si>
    <t>纵横天下称号任选箱（第4--20名）</t>
  </si>
  <si>
    <t>可从破阵摧坚、身经百战两个称号选择1个获得，称号会在2026/03/01 23:59:59过期，请尽快使用</t>
  </si>
  <si>
    <t>1:1001,940004,1;1001,940005,1</t>
  </si>
  <si>
    <t>启航抽奖券</t>
  </si>
  <si>
    <t>用于在启航转盘活动中抽奖</t>
  </si>
  <si>
    <t>自由战令</t>
  </si>
  <si>
    <t>使用后可激活自由战令</t>
  </si>
  <si>
    <t>自由战令等级</t>
  </si>
  <si>
    <t>使用后可提升自由战令等级1级</t>
  </si>
  <si>
    <t>百兽团挑战券</t>
  </si>
  <si>
    <t>勋章：百兽团挑战征服者·银</t>
  </si>
  <si>
    <t>使用后可激活勋章“百兽团挑战者·银”，具体可在个性化界面中查看</t>
  </si>
  <si>
    <t>medal_baishouyin</t>
  </si>
  <si>
    <t>勋章：百兽团挑战征服者·铜</t>
  </si>
  <si>
    <t>使用后可激活勋章“百兽团挑战者·铜”，具体可在个性化界面中查看</t>
  </si>
  <si>
    <t>medal_baishoutong</t>
  </si>
  <si>
    <t>勋章：破浪</t>
  </si>
  <si>
    <t>使用后可激活勋章“破浪”，具体可在个性化界面中查看</t>
  </si>
  <si>
    <t>medal_polang</t>
  </si>
  <si>
    <t>勋章：无畏</t>
  </si>
  <si>
    <t>使用后可激活勋章“无畏”，具体可在个性化界面中查看</t>
  </si>
  <si>
    <t>medal_wuwei</t>
  </si>
  <si>
    <t>称号：初心未改</t>
  </si>
  <si>
    <t>使用后获得称号：初心未改</t>
  </si>
  <si>
    <t>称号：领航者</t>
  </si>
  <si>
    <t>使用后获得称号：领航者</t>
  </si>
  <si>
    <t>称号：燃梦者</t>
  </si>
  <si>
    <t>使用后获得称号：燃梦者</t>
  </si>
  <si>
    <t>称号：七载相随</t>
  </si>
  <si>
    <t>使用后获得称号：七载相随</t>
  </si>
  <si>
    <t>称号：七待有你</t>
  </si>
  <si>
    <t>使用后获得称号：七待有你</t>
  </si>
  <si>
    <t>称号：盛情引宴</t>
  </si>
  <si>
    <t>使用后获得称号：盛情引宴</t>
  </si>
  <si>
    <t>称号：历久弥燃</t>
  </si>
  <si>
    <t>使用后获得称号：历久弥燃</t>
  </si>
  <si>
    <t>称号：启明见证</t>
  </si>
  <si>
    <t>使用后获得称号：启明见证</t>
  </si>
  <si>
    <t>称号：星火不熄</t>
  </si>
  <si>
    <t>使用后获得称号：星火不熄</t>
  </si>
  <si>
    <t>称号：再聚一堂</t>
  </si>
  <si>
    <t>使用后获得称号：再聚一堂</t>
  </si>
  <si>
    <t>名字框：七周年庆</t>
  </si>
  <si>
    <t>使用后获得名字框：七周年庆</t>
  </si>
  <si>
    <t>Ui_name_7zn_item</t>
  </si>
  <si>
    <t>百兽团高阶通行证</t>
  </si>
  <si>
    <t>百兽团高阶通行证战令</t>
  </si>
  <si>
    <t>使用后可激活百兽团高阶通行证</t>
  </si>
  <si>
    <t>决斗信</t>
  </si>
  <si>
    <t>可从天梯对战历史中点击对方头像来送于曾在天梯对战过的对手，申请再次挑战。</t>
  </si>
  <si>
    <t>UI_tiantifuchou_icon_juedouxin</t>
  </si>
  <si>
    <t>百兽团征服之证</t>
  </si>
  <si>
    <t>战胜敌人的证明，可以用于捐献</t>
  </si>
  <si>
    <t>bulin_yin</t>
  </si>
  <si>
    <t>决战征服之证</t>
  </si>
  <si>
    <t>战胜强敌的证明，可以用于捐献</t>
  </si>
  <si>
    <t>决战挑战券</t>
  </si>
  <si>
    <t>决战挑战券，用于挑战百兽团挑战的最终敌人</t>
  </si>
  <si>
    <t>珍藏称号任选箱</t>
  </si>
  <si>
    <t>可从寻梦·三周年、燃情三周年、超越·三周年、梦想永不终结、激斗达人、不离不弃一元复始、祥云瑞气、燕归万物苏称号中选择1个获得</t>
  </si>
  <si>
    <t>1:1001,511567,1;1001,511568,1;1001,511566,1;1001,616009,1;1001,931034,1;1001,616013,1;1001,931011,1;1001,931041,1;1001,931054,1</t>
  </si>
  <si>
    <t>十一预热惊喜宝箱</t>
  </si>
  <si>
    <t>可从勋章兑换币*10、时尚币*777、称号兑换币*77、UR招募券*17中选择1个获得</t>
  </si>
  <si>
    <t>1:1001,932039,10;20012,0,777;1001,619442,77;1001,221011,17</t>
  </si>
  <si>
    <t>个人对决之证</t>
  </si>
  <si>
    <t>在狂热对决活动中使用，可向其他玩家发起对决</t>
  </si>
  <si>
    <t>UI_Kuangreduijue_gerenduijueling</t>
  </si>
  <si>
    <t>公会对决之证</t>
  </si>
  <si>
    <t>在狂热对决活动中使用，可向其他公会发起对决</t>
  </si>
  <si>
    <t>UI_Kuangreduijue_gonghuiduijueling</t>
  </si>
  <si>
    <t>测试第五阶段</t>
  </si>
  <si>
    <t>称号：风雨同行</t>
  </si>
  <si>
    <t>称号：携舟与共</t>
  </si>
  <si>
    <t>空岛遗珍匣</t>
  </si>
  <si>
    <t>在空岛活动中使用，可直接开启或使用钥匙开启</t>
  </si>
  <si>
    <t>天空之钥</t>
  </si>
  <si>
    <t>在空岛活动中使用，可用于在活动界面开启宝箱</t>
  </si>
  <si>
    <t>item_24008</t>
  </si>
  <si>
    <t>竞技狂欢宝箱</t>
  </si>
  <si>
    <t>可从邦妮（未来服·小孩子）、500时尚币中选择1个获得</t>
  </si>
  <si>
    <t>1:1001,713120,1;20012,0,500</t>
  </si>
  <si>
    <t>竞技狂欢宝箱A</t>
  </si>
  <si>
    <t>使用后获得黄金战魂*2、空岛遗珍匣*1、天空之钥*1</t>
  </si>
  <si>
    <t>1001,215005,2;1001,931125,1;1001,931126,1</t>
  </si>
  <si>
    <t>竞技狂欢宝箱B</t>
  </si>
  <si>
    <t>使用后获得黄金战魂*4、空岛遗珍匣*1、天空之钥*1</t>
  </si>
  <si>
    <t>1001,215005,4;1001,931125,1;1001,931126,1</t>
  </si>
  <si>
    <t>竞技狂欢宝箱C</t>
  </si>
  <si>
    <t>使用后获得强者招募券*1、空岛遗珍匣*1、天空之钥*1</t>
  </si>
  <si>
    <t>1001,215011,1;1001,931125,1;1001,931126,1</t>
  </si>
  <si>
    <t>竞技狂欢宝箱D</t>
  </si>
  <si>
    <t>使用后获得黄金战魂*4、空岛遗珍匣*2、天空之钥*2</t>
  </si>
  <si>
    <t>1001,215005,4;1001,931125,2;1001,931126,2</t>
  </si>
  <si>
    <t>竞技狂欢宝箱E</t>
  </si>
  <si>
    <t>使用后获得强者招募券*1、空岛遗珍匣*5、天空之钥*5</t>
  </si>
  <si>
    <t>1001,215011,1;1001,931125,5;1001,931126,5</t>
  </si>
  <si>
    <t>竞技狂欢宝箱F</t>
  </si>
  <si>
    <t>使用后获得竞技狂欢宝箱*1（可从邦妮（未来服·小孩子）、500时尚币中选择1个获得）、空岛遗珍匣*5、天空之钥*5</t>
  </si>
  <si>
    <t>1001,931127,1;1001,931125,5;1001,931126,5</t>
  </si>
  <si>
    <t>霸气修炼沙漏</t>
  </si>
  <si>
    <t>在霸气修炼系统中使用，可立即获得当前修炼速度1小时的修炼产出</t>
  </si>
  <si>
    <t>UI_spxitong_icon_shalou</t>
  </si>
  <si>
    <t>霸气修炼沙漏（未来岛黑胡子）</t>
  </si>
  <si>
    <t>在霸气修炼系统中使用，可立即获得当前修炼速度1小时的修炼产出（仅限未来岛黑胡子使用）</t>
  </si>
  <si>
    <t>武装色之证（未来岛黑胡子）</t>
  </si>
  <si>
    <t>可解锁未来岛黑胡子--武装色霸气</t>
  </si>
  <si>
    <t>UI_spxitong_icon_baqi2</t>
  </si>
  <si>
    <t>见闻色之证（未来岛黑胡子）</t>
  </si>
  <si>
    <t>可解锁未来岛黑胡子--见闻色霸气</t>
  </si>
  <si>
    <t>UI_spxitong_icon_baqi3</t>
  </si>
  <si>
    <t>技能书：暗水·灭杀</t>
  </si>
  <si>
    <t>可在未来岛黑胡子霸气修炼中解锁特写攻击节点：暗水·灭杀</t>
  </si>
  <si>
    <t>UI_spxitong_icon_shu1</t>
  </si>
  <si>
    <t>技能书：震碎</t>
  </si>
  <si>
    <t>可在未来岛黑胡子霸气修炼中解锁追击技节点：震碎</t>
  </si>
  <si>
    <t>UI_spxitong_icon_shu2</t>
  </si>
  <si>
    <t>技能书：连携</t>
  </si>
  <si>
    <t>可在未来岛黑胡子霸气修炼中解锁连携技节点</t>
  </si>
  <si>
    <t>UI_spxitong_icon_shu3</t>
  </si>
  <si>
    <t>暗色书页</t>
  </si>
  <si>
    <t>可在未来岛黑胡子霸气修炼中提升技能等级</t>
  </si>
  <si>
    <t>UI_spxitong_icon_jinengshengji</t>
  </si>
  <si>
    <t>神秘道具</t>
  </si>
  <si>
    <t>解锁未来岛黑胡子霸气特殊强化道具（该道具目前无法获得，敬请期待）</t>
  </si>
  <si>
    <t>黑胡子秘宝</t>
  </si>
  <si>
    <t>在黑胡子秘宝活动中使用，可直接开启或使用钥匙开启</t>
  </si>
  <si>
    <t>极暗之钥</t>
  </si>
  <si>
    <t>在黑胡子秘宝活动中使用，可用于在活动界面开启宝箱</t>
  </si>
  <si>
    <t>勋章：骐骥启新春·冬去</t>
  </si>
  <si>
    <t>使用后可激活勋章“骐骥启新春·冬去”，具体可在个性化界面中查看</t>
  </si>
  <si>
    <t>medal_matong</t>
  </si>
  <si>
    <t>勋章：黑暗的野心</t>
  </si>
  <si>
    <t>使用后可激活勋章“黑暗的野心”，具体可在个性化界面中查看</t>
  </si>
  <si>
    <t>medal_heihuzi</t>
  </si>
  <si>
    <t>勋章：骐骥启新春·守岁</t>
  </si>
  <si>
    <t>使用后可激活勋章“骐骥启新春·守岁”，具体可在个性化界面中查看</t>
  </si>
  <si>
    <t>medal_mayin</t>
  </si>
  <si>
    <t>勋章：骐骥启新春·望新春</t>
  </si>
  <si>
    <t>使用后可激活勋章“骐骥启新春·望新春”，具体可在个性化界面中查看</t>
  </si>
  <si>
    <t>medal_majin</t>
  </si>
  <si>
    <t>1级独家礼包</t>
  </si>
  <si>
    <t>使用后可以获得200彩钻、30级独家礼包</t>
  </si>
  <si>
    <t>1,0,200;1001,931137,1</t>
  </si>
  <si>
    <t>30级独家礼包</t>
  </si>
  <si>
    <t>使用后可以获得300彩钻、强者招募券*2、60级独家礼包</t>
  </si>
  <si>
    <t>1,0,300;1001,215011,2;1001,931138,1</t>
  </si>
  <si>
    <t>60级独家礼包</t>
  </si>
  <si>
    <t>使用后可以获得300彩钻、强者招募券*2、90级独家礼包</t>
  </si>
  <si>
    <t>1,0,300;1001,215011,2;1001,931139,1</t>
  </si>
  <si>
    <t>90级独家礼包</t>
  </si>
  <si>
    <t>使用后可以获得400彩钻、强者招募券*2、120级独家礼包</t>
  </si>
  <si>
    <t>1,0,400;1001,215011,2;1001,931140,1</t>
  </si>
  <si>
    <t>120级独家礼包</t>
  </si>
  <si>
    <t>使用后可以获得400彩钻、强者招募券*2、150级独家礼包</t>
  </si>
  <si>
    <t>1,0,400;1001,215011,2;1001,931141,1</t>
  </si>
  <si>
    <t>150级独家礼包</t>
  </si>
  <si>
    <t>使用后可以获得400彩钻、强者招募券*2</t>
  </si>
  <si>
    <t>1,0,400;1001,215011,2</t>
  </si>
  <si>
    <t>称号：马上有福</t>
  </si>
  <si>
    <t>称号：马到成功</t>
  </si>
  <si>
    <t>称号：一骑当先</t>
  </si>
  <si>
    <t>称号：天选之人</t>
  </si>
  <si>
    <t>称号：春风策骏马</t>
  </si>
  <si>
    <t>称号：蹄花绽新程</t>
  </si>
  <si>
    <t>称号：诸事顺遂</t>
  </si>
  <si>
    <t>战至巅峰秘宝</t>
  </si>
  <si>
    <t>战利品幸运宝箱</t>
  </si>
  <si>
    <t>打开后有概率获得：6级宝石随机*1、强者招募券*1、时尚币*88、雷鳞矿*1、彩钻*50、重铸符文石*5、高级精炼石*5、奥义秘传书*2、金块*50000、蓝钻*66</t>
  </si>
  <si>
    <t>战至巅峰珍藏秘宝</t>
  </si>
  <si>
    <t>使用后可以获得30彩钻、冲刺训练书一本</t>
  </si>
  <si>
    <t>1,0,30;1001,210121,1</t>
  </si>
  <si>
    <t>采集值任选箱</t>
  </si>
  <si>
    <t>可以从各等级物料箱和草药花中任选一种获得3个。</t>
  </si>
  <si>
    <t>1:1001,400001,3;1001,400002,3;1001,400003,3;1001,400004,3;1001,400005,3;1001,511000,3;1001,512000,3;1001,513000,3;1001,514000,3;1001,515000,3;1001,516000,3</t>
  </si>
  <si>
    <t xml:space="preserve">category 1  时 ，function 不要增加资源 </t>
  </si>
  <si>
    <t>itemType定义</t>
  </si>
  <si>
    <t>category定义</t>
  </si>
  <si>
    <t>function定义</t>
  </si>
  <si>
    <t>说明</t>
  </si>
  <si>
    <t>格式</t>
  </si>
  <si>
    <t>钻石</t>
  </si>
  <si>
    <t>材料-不可在背包使用</t>
  </si>
  <si>
    <t>增加资源（针对玩家）</t>
  </si>
  <si>
    <t>type,id,num;type,id,num</t>
  </si>
  <si>
    <t>主动使用，增加资源</t>
  </si>
  <si>
    <t>增加阵容上英雄血量（百分比）</t>
  </si>
  <si>
    <t>金币</t>
  </si>
  <si>
    <t>英雄碎片</t>
  </si>
  <si>
    <t>增加阵容上英雄血量（具体值）</t>
  </si>
  <si>
    <t>sjwq_0002</t>
  </si>
  <si>
    <t>可用来合成</t>
  </si>
  <si>
    <t>增加玩家体力（具体值）</t>
  </si>
  <si>
    <t>sjfj_0002</t>
  </si>
  <si>
    <t>体力</t>
  </si>
  <si>
    <t>英雄碎片合成</t>
  </si>
  <si>
    <t>英雄id，数量</t>
  </si>
  <si>
    <t>sjjz_0002</t>
  </si>
  <si>
    <t>玩家经验</t>
  </si>
  <si>
    <t>重置英雄的技能点</t>
  </si>
  <si>
    <t>英雄id，英雄guid</t>
  </si>
  <si>
    <t>sjxl_0002</t>
  </si>
  <si>
    <t>装备合成</t>
  </si>
  <si>
    <t>装备id，数量</t>
  </si>
  <si>
    <t>增加道具属性</t>
  </si>
  <si>
    <t>装备id，属性值，数量</t>
  </si>
  <si>
    <t>道具-材料</t>
  </si>
  <si>
    <t>使用电话虫发跑马灯(category 2)</t>
  </si>
  <si>
    <t>道具-宝石</t>
  </si>
  <si>
    <t>递减消除红名</t>
  </si>
  <si>
    <t>战魂</t>
  </si>
  <si>
    <t>一次消除红名</t>
  </si>
  <si>
    <t>sjwq_0003</t>
  </si>
  <si>
    <t>声望</t>
  </si>
  <si>
    <t>增加buff</t>
  </si>
  <si>
    <t>buffId,buffId,buffId</t>
  </si>
  <si>
    <t>英雄</t>
  </si>
  <si>
    <t>永久增加属性</t>
  </si>
  <si>
    <t>属性类型,值;属性类型,值;…</t>
  </si>
  <si>
    <t>技能点</t>
  </si>
  <si>
    <t>增加经验</t>
  </si>
  <si>
    <t>英雄经验</t>
  </si>
  <si>
    <t>增加技能点数</t>
  </si>
  <si>
    <t>技能点数</t>
  </si>
  <si>
    <t>装备</t>
  </si>
  <si>
    <t>获得固定装备、道具、角色</t>
  </si>
  <si>
    <t>装备箱子</t>
  </si>
  <si>
    <t>随机获得1个装备、道具、角色</t>
  </si>
  <si>
    <t>掉落组id</t>
  </si>
  <si>
    <t>天梯币</t>
  </si>
  <si>
    <t>从N个道具中选择M个</t>
  </si>
  <si>
    <t>活力</t>
  </si>
  <si>
    <t>增加玩家活力值（具体值）</t>
  </si>
  <si>
    <t>sjwq_0004</t>
  </si>
  <si>
    <t>船</t>
  </si>
  <si>
    <t xml:space="preserve">恢复势气 </t>
  </si>
  <si>
    <t>sjfj_0004</t>
  </si>
  <si>
    <t>增加某些玩法的次数</t>
  </si>
  <si>
    <t>sjjz_0004</t>
  </si>
  <si>
    <t>永久增加属性buff</t>
  </si>
  <si>
    <t>FightbuffId,FightbuffId,FightbuffId</t>
  </si>
  <si>
    <t>sjxl_0004</t>
  </si>
  <si>
    <t>减少海航贸易需要的时间（毫秒）</t>
  </si>
  <si>
    <t>值</t>
  </si>
  <si>
    <t>增加航海贸易的刷新次数</t>
  </si>
  <si>
    <t>激活某个自走棋地图</t>
  </si>
  <si>
    <t>mapId</t>
  </si>
  <si>
    <t>船只</t>
  </si>
  <si>
    <t>特殊宝箱</t>
  </si>
  <si>
    <t>自走棋地图道具</t>
  </si>
  <si>
    <t>精炼加成道具</t>
  </si>
  <si>
    <t>x</t>
  </si>
  <si>
    <t>编号</t>
  </si>
  <si>
    <t>sjwq_0001</t>
  </si>
  <si>
    <t>1-999</t>
  </si>
  <si>
    <t>sjfj_0001</t>
  </si>
  <si>
    <t>家园加速道具</t>
  </si>
  <si>
    <t>[second]秒</t>
  </si>
  <si>
    <t>sjjz_0001</t>
  </si>
  <si>
    <t>sjxl_0001</t>
  </si>
  <si>
    <t>ID排序规则</t>
  </si>
  <si>
    <t>加成值</t>
  </si>
  <si>
    <t>ID共6位</t>
  </si>
  <si>
    <t>范例：111001  为白色卡牌角色</t>
  </si>
  <si>
    <t>第一位</t>
  </si>
  <si>
    <t>第二位-展示类</t>
  </si>
  <si>
    <t>第三位-角色</t>
  </si>
  <si>
    <t>角色 展示</t>
  </si>
  <si>
    <t>道具</t>
  </si>
  <si>
    <t>R</t>
  </si>
  <si>
    <t>物品</t>
  </si>
  <si>
    <t>货币资源</t>
  </si>
  <si>
    <t>SR</t>
  </si>
  <si>
    <t>SSR</t>
  </si>
  <si>
    <t>材料</t>
  </si>
  <si>
    <t>船坞道具</t>
  </si>
  <si>
    <t>第三位-物品</t>
  </si>
  <si>
    <t>角色碎片</t>
  </si>
  <si>
    <t>白</t>
  </si>
  <si>
    <t>特殊道具</t>
  </si>
  <si>
    <t>第二位-物品类</t>
  </si>
  <si>
    <t>绿</t>
  </si>
  <si>
    <t>新宝石</t>
  </si>
  <si>
    <t>可使用</t>
  </si>
  <si>
    <t>蓝</t>
  </si>
  <si>
    <t>测试使用道具</t>
  </si>
  <si>
    <t>不可使用</t>
  </si>
  <si>
    <t>紫</t>
  </si>
  <si>
    <t>药剂</t>
  </si>
  <si>
    <t>阵法书</t>
  </si>
  <si>
    <t>橙</t>
  </si>
  <si>
    <t>任务采集品</t>
  </si>
  <si>
    <t>红</t>
  </si>
  <si>
    <t>装备箱和展示用的装备item</t>
  </si>
  <si>
    <t>第三位-装备</t>
  </si>
  <si>
    <t>低级套装</t>
  </si>
  <si>
    <t>高级套装</t>
  </si>
  <si>
    <t>低级散件</t>
  </si>
  <si>
    <t>第二位-装备类</t>
  </si>
  <si>
    <t>高级散件</t>
  </si>
  <si>
    <t>武器</t>
  </si>
  <si>
    <t>衣服</t>
  </si>
  <si>
    <t>第三位-材料</t>
  </si>
  <si>
    <t>戒指</t>
  </si>
  <si>
    <t>项链</t>
  </si>
  <si>
    <t>第二位-材料类</t>
  </si>
  <si>
    <t>药材</t>
  </si>
  <si>
    <t>第三位-任务类</t>
  </si>
  <si>
    <t>食材</t>
  </si>
  <si>
    <t>无分类</t>
  </si>
  <si>
    <t>矿材</t>
  </si>
  <si>
    <t>5、6、7、8</t>
  </si>
  <si>
    <t>产出</t>
  </si>
  <si>
    <t>第二位-任务类</t>
  </si>
  <si>
    <t>第三位-角色碎片</t>
  </si>
  <si>
    <t>后三位-角色碎片</t>
  </si>
  <si>
    <t>消耗品</t>
  </si>
  <si>
    <t>角色ID</t>
  </si>
  <si>
    <t>非消耗品</t>
  </si>
  <si>
    <t>第二位-角色碎片</t>
  </si>
  <si>
    <t>第三位-宝石等级</t>
  </si>
  <si>
    <t>第二位-宝石</t>
  </si>
  <si>
    <t>红宝石</t>
  </si>
  <si>
    <t>绿宝石</t>
  </si>
  <si>
    <t>蓝宝石</t>
  </si>
  <si>
    <t>橙宝石</t>
  </si>
  <si>
    <t>第二位——新宝石</t>
  </si>
  <si>
    <t>红色宝石</t>
  </si>
  <si>
    <t>蓝色宝石</t>
  </si>
  <si>
    <t>绿色宝石</t>
  </si>
  <si>
    <t>青色宝石</t>
  </si>
  <si>
    <t>白色宝石</t>
  </si>
  <si>
    <t>黑色宝石</t>
  </si>
  <si>
    <t>黄色宝石</t>
  </si>
  <si>
    <t>粉色宝石</t>
  </si>
  <si>
    <t>橙色宝石</t>
  </si>
  <si>
    <t>恢复宝石</t>
  </si>
  <si>
    <t>回春宝石</t>
  </si>
  <si>
    <t>击杀回血宝石</t>
  </si>
  <si>
    <t>击杀回怒宝石</t>
  </si>
  <si>
    <t>混沌宝石</t>
  </si>
  <si>
    <t>久战宝石</t>
  </si>
  <si>
    <t>第二位——药剂</t>
  </si>
  <si>
    <t>小型恢复药剂</t>
  </si>
  <si>
    <t>中型恢复药剂</t>
  </si>
  <si>
    <t>大型恢复药剂</t>
  </si>
  <si>
    <t>完美恢复药剂</t>
  </si>
  <si>
    <t>卓越恢复药剂</t>
  </si>
  <si>
    <t>毒抗药丸</t>
  </si>
  <si>
    <t>水抗药丸</t>
  </si>
  <si>
    <t>火抗药丸</t>
  </si>
  <si>
    <t>冰抗药丸</t>
  </si>
  <si>
    <t>风抗药丸</t>
  </si>
  <si>
    <t>雷抗药丸</t>
  </si>
  <si>
    <t>光抗药丸</t>
  </si>
  <si>
    <t>暗抗药丸</t>
  </si>
  <si>
    <t>获取途径</t>
  </si>
  <si>
    <t>copy|1</t>
  </si>
  <si>
    <t>从副本ID1回刷可获得</t>
  </si>
  <si>
    <t>mallshop|1</t>
  </si>
  <si>
    <t>商城获得</t>
  </si>
  <si>
    <t>npcshop|1</t>
  </si>
  <si>
    <t>NPC商店获得</t>
  </si>
  <si>
    <t>活动副本获得</t>
  </si>
  <si>
    <t>collect|1</t>
  </si>
  <si>
    <t>采集获得。1是采集药品，2是伐木，3是钓鱼，4是挖矿。</t>
  </si>
  <si>
    <t>makegem</t>
  </si>
  <si>
    <t>宝石屋获得</t>
  </si>
  <si>
    <t>makemedi</t>
  </si>
  <si>
    <t>制药屋获得</t>
  </si>
  <si>
    <t>makecook</t>
  </si>
  <si>
    <t>料理屋获得</t>
  </si>
  <si>
    <t>makeboat</t>
  </si>
  <si>
    <t>造船厂获得</t>
  </si>
  <si>
    <t>itemcombine|itemid</t>
  </si>
  <si>
    <t>物品合成</t>
  </si>
  <si>
    <t>抽卡</t>
  </si>
  <si>
    <t>ID第一位</t>
  </si>
  <si>
    <t>序号</t>
  </si>
  <si>
    <t>特殊id（训练道具）</t>
  </si>
  <si>
    <t>001</t>
  </si>
  <si>
    <t>211017</t>
  </si>
  <si>
    <t>训练道具箱子</t>
  </si>
  <si>
    <t>002</t>
  </si>
  <si>
    <t>003</t>
  </si>
  <si>
    <t>英雄装备精炼石</t>
  </si>
  <si>
    <t>004</t>
  </si>
  <si>
    <t>打孔道具</t>
  </si>
  <si>
    <t>005</t>
  </si>
  <si>
    <t>体力恢复</t>
  </si>
  <si>
    <t>006</t>
  </si>
  <si>
    <t>亲密度</t>
  </si>
  <si>
    <t>金币袋</t>
  </si>
  <si>
    <t>007</t>
  </si>
  <si>
    <t>技能点书</t>
  </si>
  <si>
    <t>008</t>
  </si>
  <si>
    <t>技能点重置</t>
  </si>
  <si>
    <t>009</t>
  </si>
  <si>
    <t>突破道具</t>
  </si>
  <si>
    <t>突破材料01</t>
  </si>
  <si>
    <t>010</t>
  </si>
  <si>
    <t>011</t>
  </si>
  <si>
    <t>抽卡券</t>
  </si>
  <si>
    <t>012</t>
  </si>
  <si>
    <t>013</t>
  </si>
  <si>
    <t>宝箱（精炼石、打孔道具）</t>
  </si>
  <si>
    <t>014</t>
  </si>
  <si>
    <t>普通装备宝箱</t>
  </si>
  <si>
    <t>015</t>
  </si>
  <si>
    <t>套装装备宝箱</t>
  </si>
  <si>
    <t>016</t>
  </si>
  <si>
    <t>角色宝箱</t>
  </si>
  <si>
    <t>017</t>
  </si>
  <si>
    <t>018</t>
  </si>
  <si>
    <t>哑铃</t>
  </si>
  <si>
    <t>019</t>
  </si>
  <si>
    <t>沙袋</t>
  </si>
  <si>
    <t>020</t>
  </si>
  <si>
    <t>沙包</t>
  </si>
  <si>
    <t>100</t>
  </si>
  <si>
    <t>药</t>
  </si>
  <si>
    <t>101</t>
  </si>
  <si>
    <t>料理</t>
  </si>
  <si>
    <t>111</t>
  </si>
  <si>
    <t>突破之石</t>
  </si>
  <si>
    <t>突破材料02</t>
  </si>
  <si>
    <t>112</t>
  </si>
  <si>
    <t>突破水晶</t>
  </si>
  <si>
    <t>突破材料03</t>
  </si>
  <si>
    <t>113</t>
  </si>
  <si>
    <t>突破彩晶</t>
  </si>
  <si>
    <t>突破材料04</t>
  </si>
  <si>
    <t>114</t>
  </si>
  <si>
    <t>突破彩玉</t>
  </si>
  <si>
    <t>突破材料05</t>
  </si>
  <si>
    <t>115</t>
  </si>
  <si>
    <t>突破魂玉</t>
  </si>
  <si>
    <t>突破材料06</t>
  </si>
  <si>
    <t>116</t>
  </si>
  <si>
    <t>突破材料07</t>
  </si>
  <si>
    <t>117</t>
  </si>
  <si>
    <t>突破材料08</t>
  </si>
  <si>
    <t>118</t>
  </si>
  <si>
    <t>突破材料09</t>
  </si>
  <si>
    <t>119</t>
  </si>
  <si>
    <t>突破材料10</t>
  </si>
  <si>
    <t>120</t>
  </si>
  <si>
    <t>突破材料11</t>
  </si>
  <si>
    <t>121</t>
  </si>
  <si>
    <t>突破材料12</t>
  </si>
  <si>
    <t>122</t>
  </si>
  <si>
    <t>突破材料13</t>
  </si>
  <si>
    <t>123</t>
  </si>
  <si>
    <t>突破材料14</t>
  </si>
  <si>
    <t>124</t>
  </si>
  <si>
    <t>突破材料15</t>
  </si>
  <si>
    <t>125</t>
  </si>
  <si>
    <t>突破材料16</t>
  </si>
  <si>
    <t>126</t>
  </si>
  <si>
    <t>突破材料17</t>
  </si>
  <si>
    <t>127</t>
  </si>
  <si>
    <t>突破材料18</t>
  </si>
  <si>
    <t>128</t>
  </si>
  <si>
    <t>突破材料19</t>
  </si>
  <si>
    <t>129</t>
  </si>
  <si>
    <t>突破材料20</t>
  </si>
  <si>
    <t>COMMON_NORMAL_BAG  = 1;</t>
  </si>
  <si>
    <t>//公共库-普通背包</t>
  </si>
  <si>
    <t>COMMON_RECYCLING   = 2;</t>
  </si>
  <si>
    <t>//公共库-回收箱</t>
  </si>
  <si>
    <t>COMMON_TASK_BAG = 3;</t>
  </si>
  <si>
    <t>//公共库-任务背包</t>
  </si>
  <si>
    <t>COMMON_STORAGE_ONE = 11;</t>
  </si>
  <si>
    <t>//公共库-仓库1</t>
  </si>
  <si>
    <t>COMMON_STORAGE_TWO = 12;</t>
  </si>
  <si>
    <t>//公共库-仓库2</t>
  </si>
  <si>
    <t>COMMON_STORAGE_THREE = 13;</t>
  </si>
  <si>
    <t>//公共库-仓库3</t>
  </si>
  <si>
    <t>COMMON_STORAGE_FOUR = 14;</t>
  </si>
  <si>
    <t>//公共库-仓库4</t>
  </si>
  <si>
    <t>COMMON_STORAGE_FIVE = 15;</t>
  </si>
  <si>
    <t>//公共库-仓库5</t>
  </si>
  <si>
    <t>CUSTOM_SHIP_BAG = 21;</t>
  </si>
  <si>
    <t>//船只</t>
  </si>
  <si>
    <t>CUSTOM_ITEM_BAG = 1001;         //海贼--道具背包</t>
  </si>
  <si>
    <t>CUSTOM_EQUIP_BAG = 1002;        //海贼--装备背包</t>
  </si>
  <si>
    <t>CUSTOM_GEM_BAG = 1003;          //海贼--宝石背包</t>
  </si>
  <si>
    <t>CUSTOM_MATERIAL_BAG = 1004;     //海贼--材料背包</t>
  </si>
  <si>
    <t>CUSTOM_TATTER_BAG = 1005;       //海贼--碎片背包</t>
  </si>
  <si>
    <t>,</t>
  </si>
  <si>
    <t>;</t>
  </si>
  <si>
    <t>1:</t>
  </si>
  <si>
    <t>1.道具</t>
  </si>
  <si>
    <t>2.材料</t>
  </si>
  <si>
    <t>3.药品</t>
  </si>
  <si>
    <t>4.食物</t>
  </si>
  <si>
    <t>5.宝石</t>
  </si>
  <si>
    <t>6.礼包</t>
  </si>
  <si>
    <t>7.碎片</t>
  </si>
  <si>
    <t>8.精炼石</t>
  </si>
  <si>
    <t>普通的木材，近期似乎有人在回收这写东西。活动期间内参与每日任务和剧情回顾有几率获得，可用于兑换特殊道具。</t>
  </si>
  <si>
    <t>9.英雄石</t>
  </si>
  <si>
    <t>10.复活物品</t>
  </si>
  <si>
    <t>11突破材料</t>
  </si>
  <si>
    <t>12.动物系技能书</t>
  </si>
  <si>
    <t>13.自然系技能书</t>
  </si>
  <si>
    <t>14.超人系技能书</t>
  </si>
  <si>
    <t>15.剑道技能书</t>
  </si>
  <si>
    <t>16.格斗技能</t>
  </si>
  <si>
    <t>17.射击技能书</t>
  </si>
  <si>
    <t>18.普通技能书</t>
  </si>
  <si>
    <t>19.打孔石</t>
  </si>
  <si>
    <t>20.家园加速</t>
  </si>
  <si>
    <t>21.友好值道具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</si>
</sst>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64">
    <font>
      <sz val="11"/>
      <color theme="1"/>
      <name val="宋体"/>
      <charset val="134"/>
      <scheme val="minor"/>
    </font>
    <font>
      <strike/>
      <sz val="11"/>
      <color theme="1"/>
      <name val="宋体"/>
      <charset val="134"/>
      <scheme val="minor"/>
    </font>
    <font>
      <sz val="11"/>
      <color indexed="8"/>
      <name val="宋体"/>
      <charset val="134"/>
    </font>
    <font>
      <b/>
      <sz val="11"/>
      <color theme="1"/>
      <name val="宋体"/>
      <charset val="134"/>
      <scheme val="minor"/>
    </font>
    <font>
      <sz val="11"/>
      <color rgb="FF006100"/>
      <name val="宋体"/>
      <charset val="134"/>
      <scheme val="minor"/>
    </font>
    <font>
      <sz val="11"/>
      <color theme="0"/>
      <name val="宋体"/>
      <charset val="134"/>
      <scheme val="minor"/>
    </font>
    <font>
      <sz val="9"/>
      <color theme="1"/>
      <name val="微软雅黑"/>
      <charset val="134"/>
    </font>
    <font>
      <sz val="10"/>
      <color theme="1"/>
      <name val="微软雅黑"/>
      <charset val="134"/>
    </font>
    <font>
      <sz val="11"/>
      <name val="宋体"/>
      <charset val="134"/>
      <scheme val="minor"/>
    </font>
    <font>
      <b/>
      <sz val="11"/>
      <name val="宋体"/>
      <charset val="134"/>
      <scheme val="minor"/>
    </font>
    <font>
      <sz val="11"/>
      <color rgb="FFFF0000"/>
      <name val="宋体"/>
      <charset val="134"/>
      <scheme val="minor"/>
    </font>
    <font>
      <b/>
      <sz val="11"/>
      <color rgb="FFFF0000"/>
      <name val="宋体"/>
      <charset val="134"/>
      <scheme val="minor"/>
    </font>
    <font>
      <sz val="11"/>
      <name val="宋体"/>
      <charset val="134"/>
    </font>
    <font>
      <b/>
      <sz val="11"/>
      <color indexed="8"/>
      <name val="宋体"/>
      <charset val="134"/>
    </font>
    <font>
      <b/>
      <sz val="11"/>
      <name val="宋体"/>
      <charset val="134"/>
    </font>
    <font>
      <sz val="9.75"/>
      <color rgb="FF333333"/>
      <name val="Helvetica"/>
      <charset val="134"/>
    </font>
    <font>
      <sz val="12"/>
      <name val="宋体"/>
      <charset val="134"/>
    </font>
    <font>
      <sz val="11"/>
      <color theme="1"/>
      <name val="宋体"/>
      <charset val="134"/>
    </font>
    <font>
      <sz val="11"/>
      <color theme="0"/>
      <name val="宋体"/>
      <charset val="134"/>
    </font>
    <font>
      <sz val="11"/>
      <color rgb="FFFF0000"/>
      <name val="宋体"/>
      <charset val="134"/>
    </font>
    <font>
      <sz val="11"/>
      <color rgb="FF000000"/>
      <name val="宋体"/>
      <charset val="134"/>
    </font>
    <font>
      <sz val="10"/>
      <color rgb="FF333333"/>
      <name val="宋体"/>
      <charset val="134"/>
    </font>
    <font>
      <sz val="10"/>
      <color rgb="FFFF0000"/>
      <name val="宋体"/>
      <charset val="134"/>
    </font>
    <font>
      <sz val="10"/>
      <color rgb="FF000000"/>
      <name val="宋体"/>
      <charset val="134"/>
    </font>
    <font>
      <sz val="11"/>
      <color theme="1"/>
      <name val="微软雅黑"/>
      <charset val="134"/>
    </font>
    <font>
      <sz val="10"/>
      <color theme="1"/>
      <name val="宋体"/>
      <charset val="134"/>
      <scheme val="minor"/>
    </font>
    <font>
      <sz val="11"/>
      <color theme="1"/>
      <name val="等线"/>
      <charset val="134"/>
    </font>
    <font>
      <b/>
      <sz val="10"/>
      <name val="宋体"/>
      <charset val="134"/>
      <scheme val="minor"/>
    </font>
    <font>
      <sz val="10.5"/>
      <color rgb="FF171A1D"/>
      <name val="Segoe UI"/>
      <charset val="134"/>
    </font>
    <font>
      <sz val="10.5"/>
      <color rgb="FF171A1D"/>
      <name val="宋体"/>
      <charset val="134"/>
    </font>
    <font>
      <sz val="10.5"/>
      <color rgb="FF191F25"/>
      <name val="Segoe UI"/>
      <charset val="134"/>
    </font>
    <font>
      <sz val="10.5"/>
      <color rgb="FF191F25"/>
      <name val="宋体"/>
      <charset val="134"/>
    </font>
    <font>
      <b/>
      <sz val="11"/>
      <color rgb="FFFF0000"/>
      <name val="宋体"/>
      <charset val="134"/>
    </font>
    <font>
      <sz val="10.5"/>
      <color rgb="FF182B50"/>
      <name val="宋体"/>
      <charset val="134"/>
    </font>
    <font>
      <sz val="10.5"/>
      <color rgb="FF182B5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0006"/>
      <name val="宋体"/>
      <charset val="0"/>
      <scheme val="minor"/>
    </font>
    <font>
      <sz val="11"/>
      <color rgb="FF9C6500"/>
      <name val="宋体"/>
      <charset val="0"/>
      <scheme val="minor"/>
    </font>
    <font>
      <sz val="11"/>
      <color theme="1"/>
      <name val="宋体"/>
      <charset val="0"/>
      <scheme val="minor"/>
    </font>
    <font>
      <sz val="11"/>
      <color theme="0"/>
      <name val="宋体"/>
      <charset val="0"/>
      <scheme val="minor"/>
    </font>
    <font>
      <sz val="12"/>
      <color indexed="8"/>
      <name val="宋体"/>
      <charset val="134"/>
    </font>
    <font>
      <sz val="11"/>
      <color theme="1"/>
      <name val="Tahoma"/>
      <charset val="134"/>
    </font>
    <font>
      <sz val="12"/>
      <color indexed="9"/>
      <name val="宋体"/>
      <charset val="134"/>
    </font>
    <font>
      <b/>
      <sz val="18"/>
      <color indexed="62"/>
      <name val="宋体"/>
      <charset val="134"/>
    </font>
    <font>
      <b/>
      <sz val="15"/>
      <color indexed="62"/>
      <name val="宋体"/>
      <charset val="134"/>
    </font>
    <font>
      <sz val="12"/>
      <color indexed="14"/>
      <name val="宋体"/>
      <charset val="134"/>
    </font>
    <font>
      <b/>
      <sz val="11"/>
      <color indexed="62"/>
      <name val="宋体"/>
      <charset val="134"/>
    </font>
    <font>
      <b/>
      <sz val="13"/>
      <color indexed="62"/>
      <name val="宋体"/>
      <charset val="134"/>
    </font>
    <font>
      <sz val="11"/>
      <color indexed="20"/>
      <name val="宋体"/>
      <charset val="134"/>
    </font>
    <font>
      <u/>
      <sz val="12"/>
      <color indexed="12"/>
      <name val="宋体"/>
      <charset val="134"/>
    </font>
    <font>
      <sz val="10"/>
      <name val="宋体"/>
      <charset val="134"/>
    </font>
  </fonts>
  <fills count="85">
    <fill>
      <patternFill patternType="none"/>
    </fill>
    <fill>
      <patternFill patternType="gray125"/>
    </fill>
    <fill>
      <patternFill patternType="solid">
        <fgColor rgb="FFFFFF00"/>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rgb="FF92D050"/>
        <bgColor indexed="64"/>
      </patternFill>
    </fill>
    <fill>
      <patternFill patternType="solid">
        <fgColor rgb="FFE1A0E8"/>
        <bgColor indexed="64"/>
      </patternFill>
    </fill>
    <fill>
      <patternFill patternType="solid">
        <fgColor rgb="FF7030A0"/>
        <bgColor indexed="64"/>
      </patternFill>
    </fill>
    <fill>
      <patternFill patternType="solid">
        <fgColor theme="9" tint="0.599993896298105"/>
        <bgColor indexed="64"/>
      </patternFill>
    </fill>
    <fill>
      <patternFill patternType="solid">
        <fgColor rgb="FFFF0000"/>
        <bgColor indexed="64"/>
      </patternFill>
    </fill>
    <fill>
      <patternFill patternType="solid">
        <fgColor rgb="FFCAFBBD"/>
        <bgColor indexed="64"/>
      </patternFill>
    </fill>
    <fill>
      <patternFill patternType="solid">
        <fgColor theme="3" tint="0.6"/>
        <bgColor indexed="64"/>
      </patternFill>
    </fill>
    <fill>
      <patternFill patternType="solid">
        <fgColor theme="9" tint="0.799432355723746"/>
        <bgColor indexed="64"/>
      </patternFill>
    </fill>
    <fill>
      <patternFill patternType="solid">
        <fgColor rgb="FFFFC000"/>
        <bgColor indexed="64"/>
      </patternFill>
    </fill>
    <fill>
      <patternFill patternType="solid">
        <fgColor theme="4" tint="0.799340800195319"/>
        <bgColor indexed="64"/>
      </patternFill>
    </fill>
    <fill>
      <patternFill patternType="solid">
        <fgColor theme="6" tint="0.599993896298105"/>
        <bgColor indexed="64"/>
      </patternFill>
    </fill>
    <fill>
      <patternFill patternType="solid">
        <fgColor theme="9" tint="0.799340800195319"/>
        <bgColor indexed="64"/>
      </patternFill>
    </fill>
    <fill>
      <patternFill patternType="solid">
        <fgColor theme="0" tint="-0.5"/>
        <bgColor indexed="64"/>
      </patternFill>
    </fill>
    <fill>
      <patternFill patternType="solid">
        <fgColor rgb="FF03EAED"/>
        <bgColor indexed="64"/>
      </patternFill>
    </fill>
    <fill>
      <patternFill patternType="solid">
        <fgColor theme="9" tint="0.8"/>
        <bgColor indexed="64"/>
      </patternFill>
    </fill>
    <fill>
      <patternFill patternType="solid">
        <fgColor rgb="FF00B0F0"/>
        <bgColor indexed="64"/>
      </patternFill>
    </fill>
    <fill>
      <patternFill patternType="solid">
        <fgColor theme="9" tint="0.4"/>
        <bgColor indexed="64"/>
      </patternFill>
    </fill>
    <fill>
      <patternFill patternType="solid">
        <fgColor theme="8" tint="0.4"/>
        <bgColor indexed="64"/>
      </patternFill>
    </fill>
    <fill>
      <patternFill patternType="solid">
        <fgColor theme="7" tint="0.4"/>
        <bgColor indexed="64"/>
      </patternFill>
    </fill>
    <fill>
      <patternFill patternType="solid">
        <fgColor rgb="FFF3FD95"/>
        <bgColor indexed="64"/>
      </patternFill>
    </fill>
    <fill>
      <patternFill patternType="solid">
        <fgColor theme="7" tint="0.8"/>
        <bgColor indexed="64"/>
      </patternFill>
    </fill>
    <fill>
      <patternFill patternType="solid">
        <fgColor theme="0"/>
        <bgColor indexed="64"/>
      </patternFill>
    </fill>
    <fill>
      <patternFill patternType="solid">
        <fgColor rgb="FFED4533"/>
        <bgColor indexed="64"/>
      </patternFill>
    </fill>
    <fill>
      <patternFill patternType="solid">
        <fgColor theme="9" tint="-0.249977111117893"/>
        <bgColor indexed="64"/>
      </patternFill>
    </fill>
    <fill>
      <patternFill patternType="solid">
        <fgColor rgb="FFC6EFCE"/>
        <bgColor rgb="FFC6EFCE"/>
      </patternFill>
    </fill>
    <fill>
      <patternFill patternType="solid">
        <fgColor rgb="FFFFC7CE"/>
        <bgColor rgb="FFFFC7CE"/>
      </patternFill>
    </fill>
    <fill>
      <patternFill patternType="solid">
        <fgColor rgb="FF93C9FB"/>
        <bgColor indexed="64"/>
      </patternFill>
    </fill>
    <fill>
      <patternFill patternType="solid">
        <fgColor theme="5" tint="0.398480178228095"/>
        <bgColor indexed="64"/>
      </patternFill>
    </fill>
    <fill>
      <patternFill patternType="solid">
        <fgColor theme="5" tint="0.599993896298105"/>
        <bgColor indexed="64"/>
      </patternFill>
    </fill>
    <fill>
      <patternFill patternType="solid">
        <fgColor theme="3" tint="0.599993896298105"/>
        <bgColor indexed="64"/>
      </patternFill>
    </fill>
    <fill>
      <patternFill patternType="solid">
        <fgColor theme="7" tint="0.799340800195319"/>
        <bgColor indexed="64"/>
      </patternFill>
    </fill>
    <fill>
      <patternFill patternType="solid">
        <fgColor theme="7" tint="0.398632770775475"/>
        <bgColor indexed="64"/>
      </patternFill>
    </fill>
    <fill>
      <patternFill patternType="solid">
        <fgColor rgb="FFA4B0FB"/>
        <bgColor indexed="64"/>
      </patternFill>
    </fill>
    <fill>
      <patternFill patternType="solid">
        <fgColor rgb="FFFCAAEA"/>
        <bgColor indexed="64"/>
      </patternFill>
    </fill>
    <fill>
      <patternFill patternType="solid">
        <fgColor theme="3" tint="0.398449659718619"/>
        <bgColor indexed="64"/>
      </patternFill>
    </fill>
    <fill>
      <patternFill patternType="solid">
        <fgColor theme="6" tint="0.398449659718619"/>
        <bgColor indexed="64"/>
      </patternFill>
    </fill>
    <fill>
      <patternFill patternType="solid">
        <fgColor theme="9" tint="0.398449659718619"/>
        <bgColor indexed="64"/>
      </patternFill>
    </fill>
    <fill>
      <patternFill patternType="solid">
        <fgColor theme="0" tint="-0.148503067110202"/>
        <bgColor indexed="64"/>
      </patternFill>
    </fill>
    <fill>
      <patternFill patternType="solid">
        <fgColor theme="8" tint="0.6"/>
        <bgColor indexed="64"/>
      </patternFill>
    </fill>
    <fill>
      <patternFill patternType="solid">
        <fgColor theme="7" tint="0.599993896298105"/>
        <bgColor indexed="64"/>
      </patternFill>
    </fill>
    <fill>
      <patternFill patternType="solid">
        <fgColor theme="1" tint="0.149998474074526"/>
        <bgColor indexed="64"/>
      </patternFill>
    </fill>
    <fill>
      <patternFill patternType="solid">
        <fgColor theme="6" tint="0.8"/>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solid">
        <fgColor indexed="29"/>
        <bgColor indexed="64"/>
      </patternFill>
    </fill>
    <fill>
      <patternFill patternType="solid">
        <fgColor indexed="43"/>
        <bgColor indexed="64"/>
      </patternFill>
    </fill>
    <fill>
      <patternFill patternType="solid">
        <fgColor indexed="31"/>
        <bgColor indexed="64"/>
      </patternFill>
    </fill>
    <fill>
      <patternFill patternType="solid">
        <fgColor indexed="49"/>
        <bgColor indexed="64"/>
      </patternFill>
    </fill>
    <fill>
      <patternFill patternType="solid">
        <fgColor indexed="45"/>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2" tint="-0.0994598223822749"/>
      </left>
      <right style="thin">
        <color theme="2" tint="-0.0994598223822749"/>
      </right>
      <top style="thin">
        <color theme="2" tint="-0.0994598223822749"/>
      </top>
      <bottom style="thin">
        <color theme="2" tint="-0.099459822382274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22"/>
      </bottom>
      <diagonal/>
    </border>
    <border>
      <left/>
      <right/>
      <top/>
      <bottom style="medium">
        <color indexed="49"/>
      </bottom>
      <diagonal/>
    </border>
  </borders>
  <cellStyleXfs count="7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5" fillId="0" borderId="0">
      <alignment vertical="center"/>
    </xf>
    <xf numFmtId="0" fontId="36" fillId="0" borderId="0">
      <alignment vertical="center"/>
    </xf>
    <xf numFmtId="0" fontId="0" fillId="52" borderId="8">
      <alignment vertical="center"/>
    </xf>
    <xf numFmtId="0" fontId="37" fillId="0" borderId="0">
      <alignment vertical="center"/>
    </xf>
    <xf numFmtId="0" fontId="38" fillId="0" borderId="0">
      <alignment vertical="center"/>
    </xf>
    <xf numFmtId="0" fontId="39" fillId="0" borderId="0">
      <alignment vertical="center"/>
    </xf>
    <xf numFmtId="0" fontId="40" fillId="0" borderId="9">
      <alignment vertical="center"/>
    </xf>
    <xf numFmtId="0" fontId="41" fillId="0" borderId="9">
      <alignment vertical="center"/>
    </xf>
    <xf numFmtId="0" fontId="42" fillId="0" borderId="10">
      <alignment vertical="center"/>
    </xf>
    <xf numFmtId="0" fontId="42" fillId="0" borderId="0">
      <alignment vertical="center"/>
    </xf>
    <xf numFmtId="0" fontId="43" fillId="53" borderId="11">
      <alignment vertical="center"/>
    </xf>
    <xf numFmtId="0" fontId="44" fillId="54" borderId="12">
      <alignment vertical="center"/>
    </xf>
    <xf numFmtId="0" fontId="45" fillId="54" borderId="11">
      <alignment vertical="center"/>
    </xf>
    <xf numFmtId="0" fontId="46" fillId="55" borderId="13">
      <alignment vertical="center"/>
    </xf>
    <xf numFmtId="0" fontId="47" fillId="0" borderId="14">
      <alignment vertical="center"/>
    </xf>
    <xf numFmtId="0" fontId="48" fillId="0" borderId="15">
      <alignment vertical="center"/>
    </xf>
    <xf numFmtId="0" fontId="4" fillId="3" borderId="0">
      <alignment vertical="center"/>
    </xf>
    <xf numFmtId="0" fontId="49" fillId="56" borderId="0">
      <alignment vertical="center"/>
    </xf>
    <xf numFmtId="0" fontId="50" fillId="57" borderId="0">
      <alignment vertical="center"/>
    </xf>
    <xf numFmtId="0" fontId="5" fillId="5" borderId="0">
      <alignment vertical="center"/>
    </xf>
    <xf numFmtId="0" fontId="51" fillId="58" borderId="0">
      <alignment vertical="center"/>
    </xf>
    <xf numFmtId="0" fontId="51" fillId="59" borderId="0">
      <alignment vertical="center"/>
    </xf>
    <xf numFmtId="0" fontId="52" fillId="60" borderId="0">
      <alignment vertical="center"/>
    </xf>
    <xf numFmtId="0" fontId="5" fillId="8" borderId="0">
      <alignment vertical="center"/>
    </xf>
    <xf numFmtId="0" fontId="51" fillId="61" borderId="0">
      <alignment vertical="center"/>
    </xf>
    <xf numFmtId="0" fontId="51" fillId="37" borderId="0">
      <alignment vertical="center"/>
    </xf>
    <xf numFmtId="0" fontId="52" fillId="62" borderId="0">
      <alignment vertical="center"/>
    </xf>
    <xf numFmtId="0" fontId="5" fillId="4" borderId="0">
      <alignment vertical="center"/>
    </xf>
    <xf numFmtId="0" fontId="51" fillId="63" borderId="0">
      <alignment vertical="center"/>
    </xf>
    <xf numFmtId="0" fontId="51" fillId="19" borderId="0">
      <alignment vertical="center"/>
    </xf>
    <xf numFmtId="0" fontId="52" fillId="64" borderId="0">
      <alignment vertical="center"/>
    </xf>
    <xf numFmtId="0" fontId="5" fillId="6" borderId="0">
      <alignment vertical="center"/>
    </xf>
    <xf numFmtId="0" fontId="51" fillId="65" borderId="0">
      <alignment vertical="center"/>
    </xf>
    <xf numFmtId="0" fontId="51" fillId="48" borderId="0">
      <alignment vertical="center"/>
    </xf>
    <xf numFmtId="0" fontId="52" fillId="66" borderId="0">
      <alignment vertical="center"/>
    </xf>
    <xf numFmtId="0" fontId="52" fillId="67" borderId="0">
      <alignment vertical="center"/>
    </xf>
    <xf numFmtId="0" fontId="51" fillId="68" borderId="0">
      <alignment vertical="center"/>
    </xf>
    <xf numFmtId="0" fontId="51" fillId="69" borderId="0">
      <alignment vertical="center"/>
    </xf>
    <xf numFmtId="0" fontId="52" fillId="70" borderId="0">
      <alignment vertical="center"/>
    </xf>
    <xf numFmtId="0" fontId="5" fillId="7" borderId="0">
      <alignment vertical="center"/>
    </xf>
    <xf numFmtId="0" fontId="51" fillId="71" borderId="0">
      <alignment vertical="center"/>
    </xf>
    <xf numFmtId="0" fontId="51" fillId="12" borderId="0">
      <alignment vertical="center"/>
    </xf>
    <xf numFmtId="0" fontId="52" fillId="72" borderId="0">
      <alignment vertical="center"/>
    </xf>
    <xf numFmtId="0" fontId="16" fillId="0" borderId="0">
      <alignment vertical="center"/>
    </xf>
    <xf numFmtId="0" fontId="53" fillId="73" borderId="0"/>
    <xf numFmtId="0" fontId="53" fillId="74" borderId="0"/>
    <xf numFmtId="0" fontId="53" fillId="75" borderId="0"/>
    <xf numFmtId="0" fontId="53" fillId="76" borderId="0"/>
    <xf numFmtId="0" fontId="53" fillId="77" borderId="0"/>
    <xf numFmtId="0" fontId="53" fillId="78" borderId="0"/>
    <xf numFmtId="0" fontId="54" fillId="0" borderId="0"/>
    <xf numFmtId="0" fontId="17" fillId="0" borderId="0">
      <alignment vertical="center"/>
    </xf>
    <xf numFmtId="0" fontId="53" fillId="79" borderId="0"/>
    <xf numFmtId="0" fontId="55" fillId="80" borderId="0"/>
    <xf numFmtId="0" fontId="56" fillId="0" borderId="0"/>
    <xf numFmtId="0" fontId="55" fillId="77" borderId="0"/>
    <xf numFmtId="0" fontId="57" fillId="0" borderId="16"/>
    <xf numFmtId="0" fontId="58" fillId="81" borderId="0"/>
    <xf numFmtId="0" fontId="53" fillId="82" borderId="0"/>
    <xf numFmtId="0" fontId="55" fillId="78" borderId="0"/>
    <xf numFmtId="0" fontId="59" fillId="0" borderId="0"/>
    <xf numFmtId="0" fontId="53" fillId="83" borderId="0"/>
    <xf numFmtId="0" fontId="55" fillId="74" borderId="0"/>
    <xf numFmtId="0" fontId="55" fillId="75" borderId="0"/>
    <xf numFmtId="0" fontId="60" fillId="0" borderId="17"/>
    <xf numFmtId="0" fontId="59" fillId="0" borderId="18"/>
    <xf numFmtId="0" fontId="55" fillId="79" borderId="0"/>
    <xf numFmtId="0" fontId="53" fillId="84" borderId="0"/>
    <xf numFmtId="0" fontId="61" fillId="81" borderId="0">
      <alignment vertical="center"/>
    </xf>
    <xf numFmtId="0" fontId="53" fillId="0" borderId="0"/>
    <xf numFmtId="0" fontId="2" fillId="0" borderId="0">
      <alignment vertical="center"/>
    </xf>
    <xf numFmtId="0" fontId="0" fillId="0" borderId="0"/>
    <xf numFmtId="0" fontId="62" fillId="0" borderId="0">
      <alignment vertical="top"/>
      <protection locked="0"/>
    </xf>
  </cellStyleXfs>
  <cellXfs count="583">
    <xf numFmtId="0" fontId="0" fillId="0" borderId="0" xfId="0" applyAlignment="1">
      <alignment vertical="center"/>
    </xf>
    <xf numFmtId="0" fontId="0" fillId="0" borderId="0" xfId="0" applyAlignment="1"/>
    <xf numFmtId="0" fontId="0" fillId="0" borderId="0" xfId="0" applyAlignment="1">
      <alignment horizontal="left" vertical="center"/>
    </xf>
    <xf numFmtId="0" fontId="0" fillId="2" borderId="0" xfId="0" applyFill="1" applyAlignment="1">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1" fillId="0" borderId="0" xfId="0" applyFont="1" applyAlignment="1">
      <alignment horizontal="center" vertical="center"/>
    </xf>
    <xf numFmtId="0" fontId="0" fillId="0" borderId="0" xfId="0" applyAlignment="1">
      <alignment horizontal="center"/>
    </xf>
    <xf numFmtId="0" fontId="2" fillId="0" borderId="0" xfId="76" applyAlignment="1"/>
    <xf numFmtId="0" fontId="3" fillId="0" borderId="0" xfId="0" applyFont="1" applyAlignment="1">
      <alignment vertical="center"/>
    </xf>
    <xf numFmtId="0" fontId="0" fillId="0" borderId="0" xfId="0" applyAlignment="1">
      <alignment horizontal="left" vertical="top"/>
    </xf>
    <xf numFmtId="0" fontId="3" fillId="0" borderId="1" xfId="0" applyFont="1" applyBorder="1" applyAlignment="1">
      <alignment vertical="center"/>
    </xf>
    <xf numFmtId="0" fontId="0" fillId="0" borderId="1" xfId="0" applyBorder="1" applyAlignment="1">
      <alignment vertical="center"/>
    </xf>
    <xf numFmtId="0" fontId="2" fillId="0" borderId="0" xfId="76" applyAlignment="1">
      <alignment vertical="center"/>
    </xf>
    <xf numFmtId="0" fontId="0" fillId="0" borderId="2" xfId="0" applyBorder="1" applyAlignment="1">
      <alignment vertical="center"/>
    </xf>
    <xf numFmtId="0" fontId="1" fillId="0" borderId="1" xfId="0" applyFont="1" applyBorder="1" applyAlignment="1">
      <alignment vertical="center"/>
    </xf>
    <xf numFmtId="0" fontId="4" fillId="3" borderId="1" xfId="22" applyBorder="1" applyAlignment="1">
      <alignment horizontal="center" vertical="center"/>
    </xf>
    <xf numFmtId="0" fontId="0" fillId="0" borderId="3" xfId="0" applyBorder="1" applyAlignment="1"/>
    <xf numFmtId="0" fontId="0" fillId="0" borderId="1" xfId="0" applyBorder="1" applyAlignment="1">
      <alignment horizontal="center" vertical="center"/>
    </xf>
    <xf numFmtId="0" fontId="0" fillId="0" borderId="4" xfId="0" applyBorder="1" applyAlignment="1"/>
    <xf numFmtId="0" fontId="0" fillId="0" borderId="5" xfId="0" applyBorder="1" applyAlignment="1">
      <alignment horizontal="center" vertical="center"/>
    </xf>
    <xf numFmtId="0" fontId="1" fillId="0" borderId="1" xfId="0" applyFont="1" applyBorder="1" applyAlignment="1">
      <alignment horizontal="center" vertical="center"/>
    </xf>
    <xf numFmtId="0" fontId="0" fillId="0" borderId="2" xfId="0" applyBorder="1" applyAlignment="1">
      <alignment horizontal="center" vertical="center"/>
    </xf>
    <xf numFmtId="0" fontId="5" fillId="4" borderId="1" xfId="33" applyBorder="1" applyAlignment="1">
      <alignment horizontal="center" vertical="center"/>
    </xf>
    <xf numFmtId="0" fontId="5" fillId="5" borderId="1" xfId="25" applyBorder="1" applyAlignment="1">
      <alignment horizontal="center" vertical="center"/>
    </xf>
    <xf numFmtId="0" fontId="5" fillId="6" borderId="1" xfId="37" applyBorder="1" applyAlignment="1">
      <alignment horizontal="center" vertical="center"/>
    </xf>
    <xf numFmtId="0" fontId="5" fillId="7" borderId="1" xfId="45" applyBorder="1" applyAlignment="1">
      <alignment horizontal="center" vertical="center"/>
    </xf>
    <xf numFmtId="0" fontId="5" fillId="8" borderId="1" xfId="29" applyBorder="1" applyAlignment="1">
      <alignment horizontal="center" vertical="center"/>
    </xf>
    <xf numFmtId="0" fontId="0" fillId="0" borderId="1" xfId="0" applyBorder="1" applyAlignment="1">
      <alignment horizontal="left" vertical="center"/>
    </xf>
    <xf numFmtId="0" fontId="4" fillId="0" borderId="1" xfId="22" applyFill="1" applyBorder="1" applyAlignment="1">
      <alignment vertical="center"/>
    </xf>
    <xf numFmtId="0" fontId="0" fillId="0" borderId="6" xfId="0" applyBorder="1" applyAlignment="1">
      <alignment horizontal="center" vertical="center"/>
    </xf>
    <xf numFmtId="0" fontId="6" fillId="0" borderId="1" xfId="0" applyFont="1" applyBorder="1" applyAlignment="1"/>
    <xf numFmtId="0" fontId="7" fillId="0" borderId="1" xfId="0" applyFont="1" applyBorder="1"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5" fillId="11" borderId="0" xfId="0" applyFont="1" applyFill="1" applyAlignment="1">
      <alignment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8" fillId="15" borderId="0" xfId="0" applyFont="1" applyFill="1" applyAlignment="1">
      <alignment vertical="center"/>
    </xf>
    <xf numFmtId="0" fontId="0" fillId="16" borderId="0" xfId="0" applyFill="1" applyAlignment="1">
      <alignment vertical="center"/>
    </xf>
    <xf numFmtId="0" fontId="0" fillId="17"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7" borderId="0" xfId="0" applyFill="1" applyAlignment="1">
      <alignment vertical="center"/>
    </xf>
    <xf numFmtId="0" fontId="0" fillId="20" borderId="0" xfId="0" applyFill="1" applyAlignment="1">
      <alignment vertical="center"/>
    </xf>
    <xf numFmtId="0" fontId="9" fillId="2" borderId="0" xfId="0" applyFont="1"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0" fontId="0" fillId="24" borderId="0" xfId="0" applyFill="1" applyAlignment="1">
      <alignment vertical="center"/>
    </xf>
    <xf numFmtId="0" fontId="10" fillId="0" borderId="0" xfId="0" applyFont="1" applyAlignment="1">
      <alignment vertical="center"/>
    </xf>
    <xf numFmtId="0" fontId="11" fillId="0" borderId="0" xfId="0" applyFont="1" applyAlignment="1">
      <alignment vertical="center"/>
    </xf>
    <xf numFmtId="0" fontId="0" fillId="25" borderId="0" xfId="0" applyFill="1" applyAlignment="1">
      <alignment vertical="center"/>
    </xf>
    <xf numFmtId="0" fontId="0" fillId="26" borderId="0" xfId="0" applyFill="1" applyAlignment="1">
      <alignment vertical="center"/>
    </xf>
    <xf numFmtId="0" fontId="0" fillId="27" borderId="0" xfId="0" applyFill="1" applyAlignment="1">
      <alignment vertical="center"/>
    </xf>
    <xf numFmtId="0" fontId="0" fillId="28" borderId="0" xfId="0" applyFill="1" applyAlignment="1">
      <alignment vertical="center"/>
    </xf>
    <xf numFmtId="0" fontId="0" fillId="29" borderId="0" xfId="0" applyFill="1" applyAlignment="1">
      <alignment vertical="center"/>
    </xf>
    <xf numFmtId="0" fontId="8" fillId="0" borderId="0" xfId="0" applyFont="1" applyAlignment="1">
      <alignment vertical="center"/>
    </xf>
    <xf numFmtId="0" fontId="10" fillId="2" borderId="0" xfId="0" applyFont="1" applyFill="1" applyAlignment="1">
      <alignment vertical="center"/>
    </xf>
    <xf numFmtId="0" fontId="8" fillId="2" borderId="0" xfId="0" applyFont="1" applyFill="1" applyAlignment="1">
      <alignment vertical="center"/>
    </xf>
    <xf numFmtId="0" fontId="0" fillId="5" borderId="0" xfId="0" applyFill="1" applyAlignment="1">
      <alignment vertical="center"/>
    </xf>
    <xf numFmtId="0" fontId="0" fillId="30" borderId="1" xfId="0" applyFill="1" applyBorder="1" applyAlignment="1">
      <alignment vertical="center"/>
    </xf>
    <xf numFmtId="0" fontId="8" fillId="30" borderId="1" xfId="0" applyFont="1" applyFill="1" applyBorder="1" applyAlignment="1">
      <alignment horizontal="center" vertical="center"/>
    </xf>
    <xf numFmtId="0" fontId="8" fillId="30" borderId="0" xfId="0" applyFont="1" applyFill="1" applyAlignment="1">
      <alignment horizontal="center" vertical="center"/>
    </xf>
    <xf numFmtId="0" fontId="8" fillId="30" borderId="0" xfId="0" applyFont="1" applyFill="1" applyAlignment="1">
      <alignment horizontal="left" vertical="center"/>
    </xf>
    <xf numFmtId="0" fontId="2" fillId="9" borderId="0" xfId="76" applyFill="1" applyAlignment="1">
      <alignment wrapText="1"/>
    </xf>
    <xf numFmtId="0" fontId="2" fillId="0" borderId="0" xfId="76" applyAlignment="1">
      <alignment wrapText="1"/>
    </xf>
    <xf numFmtId="0" fontId="2" fillId="0" borderId="0" xfId="76" applyAlignment="1">
      <alignment horizontal="left" wrapText="1"/>
    </xf>
    <xf numFmtId="0" fontId="0" fillId="0" borderId="0" xfId="0" applyAlignment="1">
      <alignment vertical="center" wrapText="1"/>
    </xf>
    <xf numFmtId="0" fontId="0" fillId="9" borderId="0" xfId="0" applyFill="1" applyAlignment="1">
      <alignment vertical="center" wrapText="1"/>
    </xf>
    <xf numFmtId="0" fontId="2" fillId="30" borderId="1" xfId="76" applyFill="1" applyBorder="1" applyAlignment="1">
      <alignment wrapText="1"/>
    </xf>
    <xf numFmtId="0" fontId="12" fillId="30" borderId="1" xfId="76" applyFont="1" applyFill="1" applyBorder="1" applyAlignment="1">
      <alignment horizontal="center" vertical="center" wrapText="1"/>
    </xf>
    <xf numFmtId="0" fontId="12" fillId="30" borderId="0" xfId="76" applyFont="1" applyFill="1" applyAlignment="1">
      <alignment horizontal="center" vertical="center" wrapText="1"/>
    </xf>
    <xf numFmtId="0" fontId="12" fillId="30" borderId="0" xfId="76" applyFont="1" applyFill="1" applyAlignment="1">
      <alignment horizontal="left" vertical="center" wrapText="1"/>
    </xf>
    <xf numFmtId="0" fontId="13" fillId="0" borderId="0" xfId="76" applyFont="1" applyAlignment="1"/>
    <xf numFmtId="0" fontId="13" fillId="9" borderId="0" xfId="76" applyFont="1" applyFill="1" applyAlignment="1"/>
    <xf numFmtId="0" fontId="13" fillId="0" borderId="0" xfId="76" applyFont="1" applyAlignment="1">
      <alignment horizontal="left"/>
    </xf>
    <xf numFmtId="0" fontId="3" fillId="9" borderId="0" xfId="0" applyFont="1" applyFill="1" applyAlignment="1">
      <alignment vertical="center"/>
    </xf>
    <xf numFmtId="0" fontId="3" fillId="30" borderId="1" xfId="0" applyFont="1" applyFill="1" applyBorder="1" applyAlignment="1">
      <alignment vertical="center"/>
    </xf>
    <xf numFmtId="0" fontId="13" fillId="30" borderId="1" xfId="76" applyFont="1" applyFill="1" applyBorder="1" applyAlignment="1"/>
    <xf numFmtId="0" fontId="14" fillId="30" borderId="1" xfId="76" applyFont="1" applyFill="1" applyBorder="1" applyAlignment="1">
      <alignment horizontal="center" vertical="center"/>
    </xf>
    <xf numFmtId="0" fontId="14" fillId="30" borderId="0" xfId="76" applyFont="1" applyFill="1" applyAlignment="1">
      <alignment horizontal="center" vertical="center"/>
    </xf>
    <xf numFmtId="0" fontId="14" fillId="30" borderId="0" xfId="76" applyFont="1" applyFill="1" applyAlignment="1">
      <alignment horizontal="left" vertical="center"/>
    </xf>
    <xf numFmtId="0" fontId="15" fillId="0" borderId="0" xfId="0" applyFont="1" applyAlignment="1">
      <alignment vertical="center"/>
    </xf>
    <xf numFmtId="0" fontId="3" fillId="0" borderId="0" xfId="0" applyFont="1" applyAlignment="1">
      <alignment horizontal="left" vertical="center"/>
    </xf>
    <xf numFmtId="0" fontId="16" fillId="0" borderId="0" xfId="0" applyFont="1" applyAlignment="1">
      <alignment vertical="center"/>
    </xf>
    <xf numFmtId="0" fontId="2" fillId="9" borderId="0" xfId="76" applyFill="1" applyAlignment="1"/>
    <xf numFmtId="0" fontId="2" fillId="0" borderId="0" xfId="76" applyAlignment="1">
      <alignment horizontal="left"/>
    </xf>
    <xf numFmtId="0" fontId="2" fillId="10" borderId="0" xfId="76" applyFill="1" applyAlignment="1"/>
    <xf numFmtId="0" fontId="2" fillId="30" borderId="1" xfId="76" applyFill="1" applyBorder="1" applyAlignment="1"/>
    <xf numFmtId="0" fontId="12" fillId="30" borderId="1" xfId="76" applyFont="1" applyFill="1" applyBorder="1" applyAlignment="1">
      <alignment horizontal="center" vertical="center"/>
    </xf>
    <xf numFmtId="0" fontId="12" fillId="30" borderId="0" xfId="76" applyFont="1" applyFill="1" applyAlignment="1">
      <alignment horizontal="center" vertical="center"/>
    </xf>
    <xf numFmtId="0" fontId="12" fillId="30" borderId="0" xfId="76" applyFont="1" applyFill="1" applyAlignment="1">
      <alignment horizontal="left" vertical="center"/>
    </xf>
    <xf numFmtId="0" fontId="0" fillId="9" borderId="0" xfId="0" applyFill="1" applyAlignment="1">
      <alignment horizontal="left" vertical="center"/>
    </xf>
    <xf numFmtId="0" fontId="0" fillId="9" borderId="1" xfId="0" applyFill="1" applyBorder="1" applyAlignment="1">
      <alignment vertical="center"/>
    </xf>
    <xf numFmtId="0" fontId="2" fillId="9" borderId="1" xfId="76" applyFill="1" applyBorder="1" applyAlignment="1"/>
    <xf numFmtId="0" fontId="12" fillId="9" borderId="1" xfId="76" applyFont="1" applyFill="1" applyBorder="1" applyAlignment="1">
      <alignment horizontal="center" vertical="center"/>
    </xf>
    <xf numFmtId="0" fontId="12" fillId="9" borderId="0" xfId="76" applyFont="1" applyFill="1" applyAlignment="1">
      <alignment horizontal="center" vertical="center"/>
    </xf>
    <xf numFmtId="0" fontId="12" fillId="9" borderId="0" xfId="76" applyFont="1" applyFill="1" applyAlignment="1">
      <alignment horizontal="left" vertical="center"/>
    </xf>
    <xf numFmtId="0" fontId="16" fillId="9" borderId="0" xfId="0" applyFont="1" applyFill="1" applyAlignment="1">
      <alignment vertical="center"/>
    </xf>
    <xf numFmtId="0" fontId="17" fillId="10" borderId="0" xfId="0" applyFont="1" applyFill="1" applyAlignment="1">
      <alignment vertical="center"/>
    </xf>
    <xf numFmtId="0" fontId="0" fillId="10" borderId="0" xfId="0" applyFill="1" applyAlignment="1">
      <alignment vertical="center" wrapText="1"/>
    </xf>
    <xf numFmtId="0" fontId="2" fillId="10" borderId="0" xfId="76" applyFill="1" applyAlignment="1">
      <alignment horizontal="left"/>
    </xf>
    <xf numFmtId="0" fontId="0" fillId="10" borderId="1" xfId="0" applyFill="1" applyBorder="1" applyAlignment="1">
      <alignment vertical="center"/>
    </xf>
    <xf numFmtId="0" fontId="2" fillId="10" borderId="1" xfId="76" applyFill="1" applyBorder="1" applyAlignment="1"/>
    <xf numFmtId="0" fontId="12" fillId="10" borderId="1" xfId="76" applyFont="1" applyFill="1" applyBorder="1" applyAlignment="1">
      <alignment horizontal="center" vertical="center"/>
    </xf>
    <xf numFmtId="0" fontId="12" fillId="10" borderId="0" xfId="76" applyFont="1" applyFill="1" applyAlignment="1">
      <alignment horizontal="center" vertical="center"/>
    </xf>
    <xf numFmtId="0" fontId="16" fillId="10" borderId="0" xfId="0" applyFont="1" applyFill="1" applyAlignment="1">
      <alignment vertical="center"/>
    </xf>
    <xf numFmtId="0" fontId="2" fillId="13" borderId="0" xfId="76" applyFill="1" applyAlignment="1"/>
    <xf numFmtId="0" fontId="5" fillId="11" borderId="0" xfId="0" applyFont="1" applyFill="1" applyAlignment="1">
      <alignment horizontal="left" vertical="center"/>
    </xf>
    <xf numFmtId="0" fontId="18" fillId="11" borderId="0" xfId="76" applyFont="1" applyFill="1" applyAlignment="1"/>
    <xf numFmtId="0" fontId="5" fillId="11" borderId="1" xfId="0" applyFont="1" applyFill="1" applyBorder="1" applyAlignment="1">
      <alignment vertical="center"/>
    </xf>
    <xf numFmtId="0" fontId="5" fillId="11" borderId="1" xfId="0" applyFont="1" applyFill="1" applyBorder="1" applyAlignment="1">
      <alignment horizontal="center" vertical="center"/>
    </xf>
    <xf numFmtId="0" fontId="5" fillId="11" borderId="0" xfId="0" applyFont="1" applyFill="1" applyAlignment="1">
      <alignment horizontal="center" vertical="center"/>
    </xf>
    <xf numFmtId="0" fontId="18" fillId="11" borderId="0" xfId="76" applyFont="1" applyFill="1" applyAlignment="1">
      <alignment horizontal="left" vertical="center"/>
    </xf>
    <xf numFmtId="0" fontId="18" fillId="11" borderId="0" xfId="76" applyFont="1" applyFill="1" applyAlignment="1">
      <alignment horizontal="center" vertical="center"/>
    </xf>
    <xf numFmtId="0" fontId="17" fillId="0" borderId="0" xfId="0" applyFont="1" applyAlignment="1">
      <alignment vertical="center"/>
    </xf>
    <xf numFmtId="0" fontId="2" fillId="12" borderId="0" xfId="76" applyFill="1" applyAlignment="1"/>
    <xf numFmtId="0" fontId="17" fillId="12" borderId="0" xfId="0" applyFont="1" applyFill="1" applyAlignment="1">
      <alignment vertical="center"/>
    </xf>
    <xf numFmtId="0" fontId="0" fillId="12" borderId="0" xfId="0" applyFill="1" applyAlignment="1">
      <alignment vertical="center" wrapText="1"/>
    </xf>
    <xf numFmtId="0" fontId="2" fillId="12" borderId="0" xfId="76" applyFill="1" applyAlignment="1">
      <alignment horizontal="left"/>
    </xf>
    <xf numFmtId="0" fontId="0" fillId="12" borderId="1" xfId="0" applyFill="1" applyBorder="1" applyAlignment="1">
      <alignment vertical="center"/>
    </xf>
    <xf numFmtId="0" fontId="2" fillId="12" borderId="1" xfId="76" applyFill="1" applyBorder="1" applyAlignment="1"/>
    <xf numFmtId="0" fontId="12" fillId="12" borderId="1" xfId="76" applyFont="1" applyFill="1" applyBorder="1" applyAlignment="1">
      <alignment horizontal="center" vertical="center"/>
    </xf>
    <xf numFmtId="0" fontId="12" fillId="12" borderId="0" xfId="76" applyFont="1" applyFill="1" applyAlignment="1">
      <alignment horizontal="center" vertical="center"/>
    </xf>
    <xf numFmtId="0" fontId="12" fillId="12" borderId="0" xfId="76" applyFont="1" applyFill="1" applyAlignment="1">
      <alignment horizontal="left" vertical="center"/>
    </xf>
    <xf numFmtId="0" fontId="16" fillId="12" borderId="0" xfId="0" applyFont="1" applyFill="1" applyAlignment="1">
      <alignment vertical="center"/>
    </xf>
    <xf numFmtId="0" fontId="2" fillId="2" borderId="0" xfId="76" applyFill="1" applyAlignment="1"/>
    <xf numFmtId="0" fontId="2" fillId="13" borderId="0" xfId="76" applyFill="1" applyAlignment="1">
      <alignment vertical="center"/>
    </xf>
    <xf numFmtId="0" fontId="0" fillId="13" borderId="0" xfId="0" applyFill="1" applyAlignment="1">
      <alignment vertical="center" wrapText="1"/>
    </xf>
    <xf numFmtId="0" fontId="0" fillId="13" borderId="0" xfId="0" applyFill="1" applyAlignment="1">
      <alignment horizontal="left" vertical="center"/>
    </xf>
    <xf numFmtId="0" fontId="0" fillId="13" borderId="1" xfId="0" applyFill="1" applyBorder="1" applyAlignment="1">
      <alignment vertical="center"/>
    </xf>
    <xf numFmtId="0" fontId="2" fillId="13" borderId="1" xfId="76" applyFill="1" applyBorder="1" applyAlignment="1"/>
    <xf numFmtId="0" fontId="12" fillId="13" borderId="1" xfId="76" applyFont="1" applyFill="1" applyBorder="1" applyAlignment="1">
      <alignment horizontal="center" vertical="center"/>
    </xf>
    <xf numFmtId="0" fontId="12" fillId="13" borderId="0" xfId="76" applyFont="1" applyFill="1" applyAlignment="1">
      <alignment horizontal="center" vertical="center"/>
    </xf>
    <xf numFmtId="0" fontId="12" fillId="13" borderId="0" xfId="76" applyFont="1" applyFill="1" applyAlignment="1">
      <alignment horizontal="left" vertical="center"/>
    </xf>
    <xf numFmtId="0" fontId="16" fillId="13" borderId="0" xfId="0" applyFont="1" applyFill="1" applyAlignment="1">
      <alignment vertical="center"/>
    </xf>
    <xf numFmtId="0" fontId="2" fillId="14" borderId="0" xfId="76" applyFill="1" applyAlignment="1"/>
    <xf numFmtId="0" fontId="0" fillId="14" borderId="0" xfId="0" applyFill="1" applyAlignment="1">
      <alignment vertical="center" wrapText="1"/>
    </xf>
    <xf numFmtId="0" fontId="2" fillId="14" borderId="0" xfId="76" applyFill="1" applyAlignment="1">
      <alignment horizontal="left"/>
    </xf>
    <xf numFmtId="0" fontId="0" fillId="14" borderId="1" xfId="0" applyFill="1" applyBorder="1" applyAlignment="1">
      <alignment vertical="center"/>
    </xf>
    <xf numFmtId="0" fontId="2" fillId="14" borderId="1" xfId="76" applyFill="1" applyBorder="1" applyAlignment="1"/>
    <xf numFmtId="0" fontId="12" fillId="14" borderId="1" xfId="76" applyFont="1" applyFill="1" applyBorder="1" applyAlignment="1">
      <alignment horizontal="center" vertical="center"/>
    </xf>
    <xf numFmtId="0" fontId="12" fillId="14" borderId="0" xfId="76" applyFont="1" applyFill="1" applyAlignment="1">
      <alignment horizontal="center" vertical="center"/>
    </xf>
    <xf numFmtId="0" fontId="12" fillId="14" borderId="0" xfId="76" applyFont="1" applyFill="1" applyAlignment="1">
      <alignment horizontal="left" vertical="center"/>
    </xf>
    <xf numFmtId="0" fontId="16" fillId="14" borderId="0" xfId="0" applyFont="1" applyFill="1" applyAlignment="1">
      <alignment vertical="center"/>
    </xf>
    <xf numFmtId="49" fontId="2" fillId="0" borderId="0" xfId="76" applyNumberFormat="1" applyAlignment="1"/>
    <xf numFmtId="0" fontId="0" fillId="31" borderId="0" xfId="0" applyFill="1" applyAlignment="1"/>
    <xf numFmtId="0" fontId="16" fillId="32" borderId="0" xfId="0" applyFont="1" applyFill="1" applyAlignment="1">
      <alignment vertical="center"/>
    </xf>
    <xf numFmtId="0" fontId="16" fillId="2" borderId="0" xfId="0" applyFont="1" applyFill="1" applyAlignment="1">
      <alignment vertical="center"/>
    </xf>
    <xf numFmtId="0" fontId="0" fillId="2" borderId="0" xfId="0" applyFill="1" applyAlignment="1">
      <alignment vertical="center" wrapText="1"/>
    </xf>
    <xf numFmtId="0" fontId="2" fillId="2" borderId="0" xfId="76" applyFill="1" applyAlignment="1">
      <alignment horizontal="left"/>
    </xf>
    <xf numFmtId="0" fontId="0" fillId="2" borderId="1" xfId="0" applyFill="1" applyBorder="1" applyAlignment="1">
      <alignment vertical="center"/>
    </xf>
    <xf numFmtId="0" fontId="2" fillId="2" borderId="1" xfId="76" applyFill="1" applyBorder="1" applyAlignment="1"/>
    <xf numFmtId="0" fontId="12" fillId="2" borderId="1" xfId="76" applyFont="1" applyFill="1" applyBorder="1" applyAlignment="1">
      <alignment horizontal="center" vertical="center"/>
    </xf>
    <xf numFmtId="0" fontId="12" fillId="2" borderId="0" xfId="76" applyFont="1" applyFill="1" applyAlignment="1">
      <alignment horizontal="center" vertical="center"/>
    </xf>
    <xf numFmtId="0" fontId="12" fillId="2" borderId="0" xfId="76" applyFont="1" applyFill="1" applyAlignment="1">
      <alignment horizontal="left" vertical="center"/>
    </xf>
    <xf numFmtId="49" fontId="2" fillId="2" borderId="0" xfId="76" applyNumberFormat="1" applyFill="1" applyAlignment="1"/>
    <xf numFmtId="0" fontId="2" fillId="0" borderId="1" xfId="76" applyBorder="1" applyAlignment="1"/>
    <xf numFmtId="0" fontId="12" fillId="0" borderId="1" xfId="76" applyFont="1" applyBorder="1" applyAlignment="1">
      <alignment horizontal="center" vertical="center"/>
    </xf>
    <xf numFmtId="0" fontId="12" fillId="0" borderId="0" xfId="76" applyFont="1" applyAlignment="1">
      <alignment horizontal="center" vertical="center"/>
    </xf>
    <xf numFmtId="0" fontId="12" fillId="0" borderId="0" xfId="76" applyFont="1" applyAlignment="1">
      <alignment horizontal="left" vertical="center"/>
    </xf>
    <xf numFmtId="0" fontId="12" fillId="15" borderId="0" xfId="76" applyFont="1" applyFill="1" applyAlignment="1"/>
    <xf numFmtId="0" fontId="12" fillId="15" borderId="0" xfId="0" applyFont="1" applyFill="1" applyAlignment="1">
      <alignment vertical="center"/>
    </xf>
    <xf numFmtId="0" fontId="8" fillId="15" borderId="0" xfId="0" applyFont="1" applyFill="1" applyAlignment="1">
      <alignment vertical="center" wrapText="1"/>
    </xf>
    <xf numFmtId="0" fontId="12" fillId="15" borderId="0" xfId="76" applyFont="1" applyFill="1" applyAlignment="1">
      <alignment horizontal="left"/>
    </xf>
    <xf numFmtId="0" fontId="8" fillId="15" borderId="1" xfId="0" applyFont="1" applyFill="1" applyBorder="1" applyAlignment="1">
      <alignment vertical="center"/>
    </xf>
    <xf numFmtId="0" fontId="12" fillId="15" borderId="1" xfId="76" applyFont="1" applyFill="1" applyBorder="1" applyAlignment="1"/>
    <xf numFmtId="0" fontId="12" fillId="15" borderId="1" xfId="76" applyFont="1" applyFill="1" applyBorder="1" applyAlignment="1">
      <alignment horizontal="center" vertical="center"/>
    </xf>
    <xf numFmtId="0" fontId="12" fillId="15" borderId="0" xfId="76" applyFont="1" applyFill="1" applyAlignment="1">
      <alignment horizontal="center" vertical="center"/>
    </xf>
    <xf numFmtId="0" fontId="12" fillId="15" borderId="0" xfId="76" applyFont="1" applyFill="1" applyAlignment="1">
      <alignment horizontal="left" vertical="center"/>
    </xf>
    <xf numFmtId="49" fontId="12" fillId="15" borderId="0" xfId="76" applyNumberFormat="1" applyFont="1" applyFill="1" applyAlignment="1"/>
    <xf numFmtId="0" fontId="19" fillId="33" borderId="0" xfId="0" applyFont="1" applyFill="1" applyAlignment="1"/>
    <xf numFmtId="0" fontId="20" fillId="33" borderId="0" xfId="0" applyFont="1" applyFill="1" applyAlignment="1"/>
    <xf numFmtId="0" fontId="19" fillId="33" borderId="0" xfId="0" applyFont="1" applyFill="1" applyAlignment="1">
      <alignment vertical="center"/>
    </xf>
    <xf numFmtId="0" fontId="19" fillId="34" borderId="0" xfId="0" applyFont="1" applyFill="1" applyAlignment="1">
      <alignment vertical="center"/>
    </xf>
    <xf numFmtId="0" fontId="20" fillId="33" borderId="0" xfId="0" applyFont="1" applyFill="1" applyAlignment="1">
      <alignment vertical="center"/>
    </xf>
    <xf numFmtId="0" fontId="20" fillId="33" borderId="0" xfId="0" applyFont="1" applyFill="1" applyAlignment="1">
      <alignment vertical="center" wrapText="1"/>
    </xf>
    <xf numFmtId="0" fontId="20" fillId="33" borderId="0" xfId="0" applyFont="1" applyFill="1" applyAlignment="1">
      <alignment horizontal="left"/>
    </xf>
    <xf numFmtId="0" fontId="0" fillId="33" borderId="0" xfId="0" applyFill="1" applyAlignment="1"/>
    <xf numFmtId="0" fontId="20" fillId="33" borderId="1" xfId="0" applyFont="1" applyFill="1" applyBorder="1" applyAlignment="1">
      <alignment vertical="center"/>
    </xf>
    <xf numFmtId="0" fontId="20" fillId="33" borderId="1" xfId="0" applyFont="1" applyFill="1" applyBorder="1" applyAlignment="1"/>
    <xf numFmtId="0" fontId="20" fillId="33" borderId="1" xfId="0" applyFont="1" applyFill="1" applyBorder="1" applyAlignment="1">
      <alignment horizontal="center" vertical="center"/>
    </xf>
    <xf numFmtId="0" fontId="20" fillId="33" borderId="0" xfId="0" applyFont="1" applyFill="1" applyAlignment="1">
      <alignment horizontal="center" vertical="center"/>
    </xf>
    <xf numFmtId="0" fontId="20" fillId="33" borderId="0" xfId="0" applyFont="1" applyFill="1" applyAlignment="1">
      <alignment horizontal="left" vertical="center"/>
    </xf>
    <xf numFmtId="49" fontId="20" fillId="33" borderId="0" xfId="0" applyNumberFormat="1" applyFont="1" applyFill="1" applyAlignment="1"/>
    <xf numFmtId="0" fontId="17" fillId="13" borderId="0" xfId="0" applyFont="1" applyFill="1" applyAlignment="1">
      <alignment vertical="center"/>
    </xf>
    <xf numFmtId="0" fontId="2" fillId="13" borderId="0" xfId="76" applyFill="1" applyAlignment="1">
      <alignment horizontal="left"/>
    </xf>
    <xf numFmtId="49" fontId="2" fillId="13" borderId="0" xfId="76" applyNumberFormat="1" applyFill="1" applyAlignment="1"/>
    <xf numFmtId="0" fontId="21" fillId="0" borderId="0" xfId="0" applyFont="1" applyAlignment="1">
      <alignment vertical="center"/>
    </xf>
    <xf numFmtId="0" fontId="19" fillId="33" borderId="0" xfId="76" applyFont="1" applyFill="1" applyAlignment="1"/>
    <xf numFmtId="0" fontId="20" fillId="33" borderId="0" xfId="76" applyFont="1" applyFill="1" applyAlignment="1"/>
    <xf numFmtId="0" fontId="22" fillId="33" borderId="0" xfId="76" applyFont="1" applyFill="1" applyAlignment="1">
      <alignment vertical="center"/>
    </xf>
    <xf numFmtId="0" fontId="23" fillId="33" borderId="0" xfId="76" applyFont="1" applyFill="1" applyAlignment="1">
      <alignment vertical="center"/>
    </xf>
    <xf numFmtId="49" fontId="19" fillId="33" borderId="0" xfId="0" applyNumberFormat="1" applyFont="1" applyFill="1" applyAlignment="1"/>
    <xf numFmtId="0" fontId="20" fillId="33" borderId="1" xfId="76" applyFont="1" applyFill="1" applyBorder="1" applyAlignment="1"/>
    <xf numFmtId="0" fontId="20" fillId="33" borderId="1" xfId="76" applyFont="1" applyFill="1" applyBorder="1" applyAlignment="1">
      <alignment horizontal="center" vertical="center"/>
    </xf>
    <xf numFmtId="0" fontId="20" fillId="33" borderId="0" xfId="76" applyFont="1" applyFill="1" applyAlignment="1">
      <alignment horizontal="center" vertical="center"/>
    </xf>
    <xf numFmtId="0" fontId="20" fillId="33" borderId="0" xfId="76" applyFont="1" applyFill="1" applyAlignment="1">
      <alignment horizontal="left" vertical="center"/>
    </xf>
    <xf numFmtId="0" fontId="20" fillId="33" borderId="0" xfId="76" applyFont="1" applyFill="1" applyAlignment="1">
      <alignment vertical="center"/>
    </xf>
    <xf numFmtId="0" fontId="2" fillId="16" borderId="0" xfId="76" applyFill="1" applyAlignment="1"/>
    <xf numFmtId="49" fontId="2" fillId="16" borderId="0" xfId="76" applyNumberFormat="1" applyFill="1" applyAlignment="1"/>
    <xf numFmtId="0" fontId="2" fillId="16" borderId="0" xfId="76" applyFill="1" applyAlignment="1">
      <alignment vertical="center"/>
    </xf>
    <xf numFmtId="0" fontId="0" fillId="16" borderId="0" xfId="0" applyFill="1" applyAlignment="1">
      <alignment vertical="center" wrapText="1"/>
    </xf>
    <xf numFmtId="0" fontId="0" fillId="16" borderId="0" xfId="0" applyFill="1" applyAlignment="1">
      <alignment horizontal="left" vertical="center"/>
    </xf>
    <xf numFmtId="0" fontId="0" fillId="16" borderId="1" xfId="0" applyFill="1" applyBorder="1" applyAlignment="1">
      <alignment vertical="center"/>
    </xf>
    <xf numFmtId="0" fontId="2" fillId="16" borderId="1" xfId="76" applyFill="1" applyBorder="1" applyAlignment="1"/>
    <xf numFmtId="0" fontId="12" fillId="16" borderId="1" xfId="76" applyFont="1" applyFill="1" applyBorder="1" applyAlignment="1">
      <alignment horizontal="center" vertical="center"/>
    </xf>
    <xf numFmtId="0" fontId="12" fillId="16" borderId="0" xfId="76" applyFont="1" applyFill="1" applyAlignment="1">
      <alignment horizontal="center" vertical="center"/>
    </xf>
    <xf numFmtId="0" fontId="2" fillId="16" borderId="0" xfId="76" applyFill="1" applyAlignment="1">
      <alignment horizontal="center"/>
    </xf>
    <xf numFmtId="0" fontId="12" fillId="16" borderId="0" xfId="76" applyFont="1" applyFill="1" applyAlignment="1">
      <alignment horizontal="left" vertical="center"/>
    </xf>
    <xf numFmtId="0" fontId="8" fillId="16" borderId="0" xfId="0" applyFont="1" applyFill="1" applyAlignment="1">
      <alignment horizontal="center" vertical="center"/>
    </xf>
    <xf numFmtId="0" fontId="2" fillId="0" borderId="0" xfId="76" applyAlignment="1">
      <alignment horizontal="center"/>
    </xf>
    <xf numFmtId="0" fontId="8" fillId="0" borderId="0" xfId="0" applyFont="1" applyAlignment="1">
      <alignment horizontal="center" vertical="center"/>
    </xf>
    <xf numFmtId="0" fontId="12" fillId="16" borderId="1" xfId="76" applyFont="1" applyFill="1" applyBorder="1" applyAlignment="1">
      <alignment horizontal="right" vertical="center"/>
    </xf>
    <xf numFmtId="0" fontId="0" fillId="8" borderId="0" xfId="0" applyFill="1" applyAlignment="1">
      <alignment vertical="center"/>
    </xf>
    <xf numFmtId="0" fontId="12" fillId="30" borderId="1" xfId="76" applyFont="1" applyFill="1" applyBorder="1" applyAlignment="1">
      <alignment horizontal="right" vertical="center"/>
    </xf>
    <xf numFmtId="0" fontId="0" fillId="17" borderId="0" xfId="0" applyFill="1" applyAlignment="1">
      <alignment horizontal="left" vertical="center"/>
    </xf>
    <xf numFmtId="0" fontId="8" fillId="17" borderId="0" xfId="0" applyFont="1" applyFill="1" applyAlignment="1">
      <alignment horizontal="center" vertical="center"/>
    </xf>
    <xf numFmtId="0" fontId="2" fillId="17" borderId="0" xfId="76" applyFill="1" applyAlignment="1"/>
    <xf numFmtId="49" fontId="2" fillId="17" borderId="0" xfId="76" applyNumberFormat="1" applyFill="1" applyAlignment="1"/>
    <xf numFmtId="0" fontId="2" fillId="17" borderId="0" xfId="76" applyFill="1" applyAlignment="1">
      <alignment vertical="center"/>
    </xf>
    <xf numFmtId="0" fontId="0" fillId="17" borderId="0" xfId="0" applyFill="1" applyAlignment="1">
      <alignment vertical="center" wrapText="1"/>
    </xf>
    <xf numFmtId="0" fontId="0" fillId="17" borderId="1" xfId="0" applyFill="1" applyBorder="1" applyAlignment="1">
      <alignment vertical="center"/>
    </xf>
    <xf numFmtId="0" fontId="2" fillId="17" borderId="1" xfId="76" applyFill="1" applyBorder="1" applyAlignment="1"/>
    <xf numFmtId="0" fontId="12" fillId="17" borderId="1" xfId="76" applyFont="1" applyFill="1" applyBorder="1" applyAlignment="1">
      <alignment horizontal="center" vertical="center"/>
    </xf>
    <xf numFmtId="0" fontId="12" fillId="17" borderId="1" xfId="76" applyFont="1" applyFill="1" applyBorder="1" applyAlignment="1">
      <alignment horizontal="right" vertical="center"/>
    </xf>
    <xf numFmtId="0" fontId="2" fillId="17" borderId="0" xfId="76" applyFill="1" applyAlignment="1">
      <alignment horizontal="center"/>
    </xf>
    <xf numFmtId="0" fontId="12" fillId="17" borderId="0" xfId="76" applyFont="1" applyFill="1" applyAlignment="1">
      <alignment horizontal="left" vertical="center"/>
    </xf>
    <xf numFmtId="0" fontId="12" fillId="17" borderId="0" xfId="76" applyFont="1" applyFill="1" applyAlignment="1">
      <alignment horizontal="center" vertical="center"/>
    </xf>
    <xf numFmtId="0" fontId="0" fillId="2" borderId="0" xfId="0" applyFill="1" applyAlignment="1">
      <alignment horizontal="left" vertical="center"/>
    </xf>
    <xf numFmtId="0" fontId="2" fillId="2" borderId="0" xfId="76" applyFill="1" applyAlignment="1">
      <alignment vertical="center"/>
    </xf>
    <xf numFmtId="0" fontId="2" fillId="2" borderId="0" xfId="76" applyFill="1" applyAlignment="1">
      <alignment horizontal="center"/>
    </xf>
    <xf numFmtId="0" fontId="8" fillId="2" borderId="0" xfId="0" applyFont="1" applyFill="1" applyAlignment="1">
      <alignment horizontal="center" vertical="center"/>
    </xf>
    <xf numFmtId="49" fontId="2" fillId="0" borderId="0" xfId="0" applyNumberFormat="1" applyFont="1" applyAlignment="1"/>
    <xf numFmtId="0" fontId="2" fillId="0" borderId="0" xfId="0" applyFont="1" applyAlignment="1"/>
    <xf numFmtId="0" fontId="0" fillId="35" borderId="0" xfId="0" applyFill="1" applyAlignment="1">
      <alignment vertical="center"/>
    </xf>
    <xf numFmtId="0" fontId="0" fillId="0" borderId="0" xfId="76" applyFont="1" applyAlignment="1">
      <alignment vertical="center"/>
    </xf>
    <xf numFmtId="0" fontId="0" fillId="18" borderId="0" xfId="0" applyFill="1" applyAlignment="1">
      <alignment horizontal="left" vertical="center"/>
    </xf>
    <xf numFmtId="0" fontId="2" fillId="18" borderId="0" xfId="76" applyFill="1" applyAlignment="1"/>
    <xf numFmtId="0" fontId="0" fillId="18" borderId="0" xfId="0" applyFill="1" applyAlignment="1"/>
    <xf numFmtId="0" fontId="0" fillId="18" borderId="0" xfId="0" applyFill="1" applyAlignment="1">
      <alignment vertical="center" wrapText="1"/>
    </xf>
    <xf numFmtId="0" fontId="0" fillId="18" borderId="1" xfId="0" applyFill="1" applyBorder="1" applyAlignment="1">
      <alignment vertical="center"/>
    </xf>
    <xf numFmtId="0" fontId="2" fillId="18" borderId="1" xfId="76" applyFill="1" applyBorder="1" applyAlignment="1"/>
    <xf numFmtId="0" fontId="12" fillId="18" borderId="1" xfId="76" applyFont="1" applyFill="1" applyBorder="1" applyAlignment="1">
      <alignment horizontal="center" vertical="center"/>
    </xf>
    <xf numFmtId="0" fontId="12" fillId="18" borderId="0" xfId="76" applyFont="1" applyFill="1" applyAlignment="1">
      <alignment horizontal="center" vertical="center"/>
    </xf>
    <xf numFmtId="0" fontId="0" fillId="17" borderId="0" xfId="0" applyFill="1" applyAlignment="1"/>
    <xf numFmtId="0" fontId="2" fillId="9" borderId="0" xfId="0" applyFont="1" applyFill="1" applyAlignment="1"/>
    <xf numFmtId="0" fontId="0" fillId="0" borderId="0" xfId="0" applyAlignment="1">
      <alignment horizontal="left"/>
    </xf>
    <xf numFmtId="0" fontId="2" fillId="30" borderId="1" xfId="0" applyFont="1" applyFill="1" applyBorder="1" applyAlignment="1"/>
    <xf numFmtId="0" fontId="12" fillId="30" borderId="1" xfId="0" applyFont="1" applyFill="1" applyBorder="1" applyAlignment="1">
      <alignment horizontal="center" vertical="center"/>
    </xf>
    <xf numFmtId="0" fontId="12" fillId="30" borderId="0" xfId="0" applyFont="1" applyFill="1" applyAlignment="1">
      <alignment horizontal="center" vertical="center"/>
    </xf>
    <xf numFmtId="0" fontId="2" fillId="0" borderId="0" xfId="0" applyFont="1" applyAlignment="1">
      <alignment vertical="center"/>
    </xf>
    <xf numFmtId="0" fontId="0" fillId="9" borderId="0" xfId="76" applyFont="1" applyFill="1" applyAlignment="1">
      <alignment vertical="center"/>
    </xf>
    <xf numFmtId="0" fontId="0" fillId="30" borderId="1" xfId="76" applyFont="1" applyFill="1" applyBorder="1" applyAlignment="1">
      <alignment vertical="center"/>
    </xf>
    <xf numFmtId="0" fontId="8" fillId="30" borderId="0" xfId="76" applyFont="1" applyFill="1" applyAlignment="1">
      <alignment horizontal="center" vertical="center"/>
    </xf>
    <xf numFmtId="0" fontId="2" fillId="0" borderId="0" xfId="0" applyFont="1" applyAlignment="1">
      <alignment horizontal="left"/>
    </xf>
    <xf numFmtId="0" fontId="0" fillId="0" borderId="0" xfId="76" applyFont="1" applyAlignment="1">
      <alignment horizontal="left" vertical="center"/>
    </xf>
    <xf numFmtId="49" fontId="0" fillId="0" borderId="0" xfId="0" applyNumberFormat="1" applyAlignment="1">
      <alignment horizontal="left"/>
    </xf>
    <xf numFmtId="0" fontId="0" fillId="0" borderId="0" xfId="76" applyFont="1" applyAlignment="1">
      <alignment horizontal="left"/>
    </xf>
    <xf numFmtId="0" fontId="0" fillId="36" borderId="0" xfId="0" applyFill="1" applyAlignment="1">
      <alignment vertical="center"/>
    </xf>
    <xf numFmtId="0" fontId="0" fillId="36" borderId="0" xfId="0" applyFill="1" applyAlignment="1">
      <alignment horizontal="left" vertical="center"/>
    </xf>
    <xf numFmtId="0" fontId="0" fillId="37" borderId="0" xfId="0" applyFill="1" applyAlignment="1">
      <alignment vertical="center"/>
    </xf>
    <xf numFmtId="0" fontId="0" fillId="38" borderId="0" xfId="0" applyFill="1" applyAlignment="1">
      <alignment horizontal="left"/>
    </xf>
    <xf numFmtId="0" fontId="0" fillId="39" borderId="0" xfId="0" applyFill="1" applyAlignment="1">
      <alignment horizontal="left"/>
    </xf>
    <xf numFmtId="0" fontId="0" fillId="37" borderId="0" xfId="0" applyFill="1" applyAlignment="1">
      <alignment horizontal="left"/>
    </xf>
    <xf numFmtId="0" fontId="0" fillId="37" borderId="0" xfId="76" applyFont="1" applyFill="1" applyAlignment="1">
      <alignment vertical="center"/>
    </xf>
    <xf numFmtId="0" fontId="0" fillId="20" borderId="0" xfId="0" applyFill="1" applyAlignment="1">
      <alignment horizontal="left"/>
    </xf>
    <xf numFmtId="49" fontId="10" fillId="0" borderId="0" xfId="0" applyNumberFormat="1" applyFont="1" applyAlignment="1">
      <alignment horizontal="left"/>
    </xf>
    <xf numFmtId="0" fontId="10" fillId="0" borderId="0" xfId="0" applyFont="1" applyAlignment="1">
      <alignment horizontal="left"/>
    </xf>
    <xf numFmtId="49" fontId="0" fillId="0" borderId="0" xfId="0" applyNumberFormat="1" applyAlignment="1">
      <alignment horizontal="left" vertical="center"/>
    </xf>
    <xf numFmtId="0" fontId="2" fillId="19" borderId="0" xfId="76" applyFill="1" applyAlignment="1"/>
    <xf numFmtId="0" fontId="0" fillId="19" borderId="0" xfId="0" applyFill="1" applyAlignment="1">
      <alignment horizontal="left" vertical="center"/>
    </xf>
    <xf numFmtId="0" fontId="8" fillId="19" borderId="1" xfId="0" applyFont="1" applyFill="1" applyBorder="1" applyAlignment="1">
      <alignment horizontal="center" vertical="center"/>
    </xf>
    <xf numFmtId="0" fontId="8" fillId="19" borderId="0" xfId="0" applyFont="1" applyFill="1" applyAlignment="1">
      <alignment horizontal="center" vertical="center"/>
    </xf>
    <xf numFmtId="0" fontId="0" fillId="19" borderId="0" xfId="0" applyFill="1" applyAlignment="1">
      <alignment horizontal="center" vertical="center"/>
    </xf>
    <xf numFmtId="0" fontId="2" fillId="19" borderId="0" xfId="0" applyFont="1" applyFill="1" applyAlignment="1"/>
    <xf numFmtId="0" fontId="0" fillId="19" borderId="0" xfId="76" applyFont="1" applyFill="1" applyAlignment="1">
      <alignment vertical="center"/>
    </xf>
    <xf numFmtId="0" fontId="8" fillId="19" borderId="1" xfId="76" applyFont="1" applyFill="1" applyBorder="1" applyAlignment="1">
      <alignment horizontal="center" vertical="center"/>
    </xf>
    <xf numFmtId="0" fontId="8" fillId="19" borderId="0" xfId="76" applyFont="1" applyFill="1" applyAlignment="1">
      <alignment horizontal="center" vertical="center"/>
    </xf>
    <xf numFmtId="0" fontId="0" fillId="19" borderId="0" xfId="76" applyFont="1" applyFill="1" applyAlignment="1">
      <alignment horizontal="center" vertical="center"/>
    </xf>
    <xf numFmtId="0" fontId="2" fillId="40" borderId="0" xfId="76" applyFill="1" applyAlignment="1"/>
    <xf numFmtId="0" fontId="2" fillId="41" borderId="0" xfId="76" applyFill="1" applyAlignment="1"/>
    <xf numFmtId="0" fontId="0" fillId="2" borderId="0" xfId="0" applyFill="1" applyAlignment="1">
      <alignment horizontal="left"/>
    </xf>
    <xf numFmtId="0" fontId="24" fillId="0" borderId="0" xfId="0" applyFont="1" applyAlignment="1"/>
    <xf numFmtId="0" fontId="24" fillId="0" borderId="0" xfId="76" applyFont="1" applyAlignment="1"/>
    <xf numFmtId="0" fontId="0" fillId="7" borderId="1" xfId="0" applyFill="1" applyBorder="1" applyAlignment="1">
      <alignment vertical="center"/>
    </xf>
    <xf numFmtId="0" fontId="2" fillId="7" borderId="0" xfId="76" applyFill="1" applyAlignment="1"/>
    <xf numFmtId="0" fontId="2" fillId="7" borderId="0" xfId="76" applyFill="1" applyAlignment="1">
      <alignment vertical="center"/>
    </xf>
    <xf numFmtId="0" fontId="0" fillId="7" borderId="0" xfId="0" applyFill="1" applyAlignment="1">
      <alignment horizontal="left" vertical="center"/>
    </xf>
    <xf numFmtId="0" fontId="2" fillId="7" borderId="1" xfId="76" applyFill="1" applyBorder="1" applyAlignment="1"/>
    <xf numFmtId="0" fontId="12" fillId="7" borderId="1" xfId="76" applyFont="1" applyFill="1" applyBorder="1" applyAlignment="1">
      <alignment horizontal="center" vertical="center"/>
    </xf>
    <xf numFmtId="0" fontId="12" fillId="7" borderId="0" xfId="76" applyFont="1" applyFill="1" applyAlignment="1">
      <alignment horizontal="center" vertical="center"/>
    </xf>
    <xf numFmtId="0" fontId="12" fillId="7" borderId="0" xfId="76" applyFont="1" applyFill="1" applyAlignment="1">
      <alignment horizontal="left" vertical="center"/>
    </xf>
    <xf numFmtId="0" fontId="2" fillId="7" borderId="0" xfId="0" applyFont="1" applyFill="1" applyAlignment="1"/>
    <xf numFmtId="0" fontId="2" fillId="7" borderId="1" xfId="0" applyFont="1" applyFill="1" applyBorder="1" applyAlignment="1"/>
    <xf numFmtId="0" fontId="12" fillId="7" borderId="1" xfId="0" applyFont="1" applyFill="1" applyBorder="1" applyAlignment="1">
      <alignment horizontal="center" vertical="center"/>
    </xf>
    <xf numFmtId="0" fontId="12" fillId="7" borderId="0" xfId="0" applyFont="1" applyFill="1" applyAlignment="1">
      <alignment horizontal="center" vertical="center"/>
    </xf>
    <xf numFmtId="0" fontId="8" fillId="7" borderId="0" xfId="0" applyFont="1" applyFill="1" applyAlignment="1">
      <alignment horizontal="center" vertical="center"/>
    </xf>
    <xf numFmtId="0" fontId="0" fillId="7" borderId="0" xfId="76" applyFont="1" applyFill="1" applyAlignment="1">
      <alignment vertical="center"/>
    </xf>
    <xf numFmtId="0" fontId="0" fillId="7" borderId="1" xfId="76" applyFont="1" applyFill="1" applyBorder="1" applyAlignment="1">
      <alignment vertical="center"/>
    </xf>
    <xf numFmtId="0" fontId="8" fillId="7" borderId="1" xfId="76" applyFont="1" applyFill="1" applyBorder="1" applyAlignment="1">
      <alignment horizontal="center" vertical="center"/>
    </xf>
    <xf numFmtId="0" fontId="8" fillId="7" borderId="0" xfId="76" applyFont="1" applyFill="1" applyAlignment="1">
      <alignment horizontal="center" vertical="center"/>
    </xf>
    <xf numFmtId="0" fontId="2" fillId="7" borderId="0" xfId="0" applyFont="1" applyFill="1" applyAlignment="1">
      <alignment vertical="center"/>
    </xf>
    <xf numFmtId="0" fontId="25" fillId="0" borderId="0" xfId="0" applyFont="1" applyAlignment="1">
      <alignment horizontal="center" vertical="center"/>
    </xf>
    <xf numFmtId="0" fontId="26" fillId="17" borderId="7" xfId="0" applyFont="1" applyFill="1" applyBorder="1" applyAlignment="1">
      <alignment horizontal="left" vertical="center"/>
    </xf>
    <xf numFmtId="0" fontId="8" fillId="20" borderId="0" xfId="0" applyFont="1" applyFill="1" applyAlignment="1">
      <alignment horizontal="center" vertical="center"/>
    </xf>
    <xf numFmtId="0" fontId="2" fillId="20" borderId="0" xfId="76" applyFill="1" applyAlignment="1"/>
    <xf numFmtId="0" fontId="0" fillId="42" borderId="0" xfId="0" applyFill="1" applyAlignment="1">
      <alignment horizontal="left" vertical="center"/>
    </xf>
    <xf numFmtId="0" fontId="0" fillId="20" borderId="1" xfId="0" applyFill="1" applyBorder="1" applyAlignment="1">
      <alignment vertical="center"/>
    </xf>
    <xf numFmtId="0" fontId="12" fillId="20" borderId="1" xfId="76" applyFont="1" applyFill="1" applyBorder="1" applyAlignment="1">
      <alignment horizontal="center" vertical="center"/>
    </xf>
    <xf numFmtId="0" fontId="12" fillId="20" borderId="0" xfId="76" applyFont="1" applyFill="1" applyAlignment="1">
      <alignment horizontal="center" vertical="center"/>
    </xf>
    <xf numFmtId="0" fontId="12" fillId="20" borderId="0" xfId="76" applyFont="1" applyFill="1" applyAlignment="1">
      <alignment horizontal="left" vertical="center"/>
    </xf>
    <xf numFmtId="0" fontId="14" fillId="2" borderId="0" xfId="76" applyFont="1" applyFill="1" applyAlignment="1">
      <alignment vertical="center"/>
    </xf>
    <xf numFmtId="0" fontId="14" fillId="2" borderId="0" xfId="76" applyFont="1" applyFill="1" applyAlignment="1"/>
    <xf numFmtId="0" fontId="9" fillId="2" borderId="0" xfId="0" applyFont="1" applyFill="1" applyAlignment="1">
      <alignment horizontal="left" vertical="center"/>
    </xf>
    <xf numFmtId="0" fontId="9" fillId="2" borderId="1" xfId="0" applyFont="1" applyFill="1" applyBorder="1" applyAlignment="1">
      <alignment vertical="center"/>
    </xf>
    <xf numFmtId="0" fontId="14" fillId="2" borderId="1" xfId="76" applyFont="1" applyFill="1" applyBorder="1" applyAlignment="1">
      <alignment horizontal="center" vertical="center"/>
    </xf>
    <xf numFmtId="0" fontId="14" fillId="2" borderId="0" xfId="76" applyFont="1" applyFill="1" applyAlignment="1">
      <alignment horizontal="center" vertical="center"/>
    </xf>
    <xf numFmtId="0" fontId="14" fillId="2" borderId="0" xfId="76" applyFont="1" applyFill="1" applyAlignment="1">
      <alignment horizontal="left" vertical="center"/>
    </xf>
    <xf numFmtId="0" fontId="27" fillId="2" borderId="0" xfId="0" applyFont="1" applyFill="1" applyAlignment="1">
      <alignment horizontal="center" vertical="center"/>
    </xf>
    <xf numFmtId="0" fontId="0" fillId="38" borderId="0" xfId="0" applyFill="1" applyAlignment="1">
      <alignment vertical="center"/>
    </xf>
    <xf numFmtId="0" fontId="0" fillId="42" borderId="0" xfId="0" applyFill="1" applyAlignment="1">
      <alignment vertical="center"/>
    </xf>
    <xf numFmtId="0" fontId="0" fillId="43" borderId="0" xfId="0" applyFill="1" applyAlignment="1">
      <alignment vertical="center"/>
    </xf>
    <xf numFmtId="0" fontId="0" fillId="44" borderId="0" xfId="0" applyFill="1" applyAlignment="1">
      <alignment vertical="center"/>
    </xf>
    <xf numFmtId="0" fontId="0" fillId="45" borderId="0" xfId="0" applyFill="1" applyAlignment="1">
      <alignment vertical="center"/>
    </xf>
    <xf numFmtId="0" fontId="0" fillId="21" borderId="0" xfId="0" applyFill="1" applyAlignment="1">
      <alignment horizontal="left" vertical="center"/>
    </xf>
    <xf numFmtId="0" fontId="0" fillId="21" borderId="1" xfId="0" applyFill="1" applyBorder="1" applyAlignment="1">
      <alignment vertical="center"/>
    </xf>
    <xf numFmtId="0" fontId="8" fillId="21" borderId="1" xfId="0" applyFont="1" applyFill="1" applyBorder="1" applyAlignment="1">
      <alignment horizontal="center" vertical="center"/>
    </xf>
    <xf numFmtId="0" fontId="0" fillId="21" borderId="0" xfId="0" applyFill="1" applyAlignment="1">
      <alignment horizontal="center" vertical="center"/>
    </xf>
    <xf numFmtId="0" fontId="8" fillId="21" borderId="0" xfId="0" applyFont="1" applyFill="1" applyAlignment="1">
      <alignment horizontal="center" vertical="center"/>
    </xf>
    <xf numFmtId="0" fontId="2" fillId="21" borderId="0" xfId="76" applyFill="1" applyAlignment="1"/>
    <xf numFmtId="0" fontId="2" fillId="21" borderId="0" xfId="76" applyFill="1" applyAlignment="1">
      <alignment vertical="center"/>
    </xf>
    <xf numFmtId="0" fontId="12" fillId="21" borderId="0" xfId="76" applyFont="1" applyFill="1" applyAlignment="1">
      <alignment horizontal="left" vertical="center"/>
    </xf>
    <xf numFmtId="0" fontId="12" fillId="21" borderId="0" xfId="76" applyFont="1" applyFill="1" applyAlignment="1">
      <alignment horizontal="center" vertical="center"/>
    </xf>
    <xf numFmtId="0" fontId="2" fillId="10" borderId="0" xfId="0" applyFont="1" applyFill="1" applyAlignment="1"/>
    <xf numFmtId="0" fontId="8" fillId="2" borderId="1" xfId="0" applyFont="1" applyFill="1" applyBorder="1" applyAlignment="1">
      <alignment horizontal="center" vertical="center"/>
    </xf>
    <xf numFmtId="0" fontId="12" fillId="30" borderId="0" xfId="0" applyFont="1" applyFill="1" applyAlignment="1">
      <alignment horizontal="left" vertical="center"/>
    </xf>
    <xf numFmtId="0" fontId="0" fillId="2" borderId="0" xfId="76" applyFont="1" applyFill="1" applyAlignment="1">
      <alignment vertical="center"/>
    </xf>
    <xf numFmtId="0" fontId="0" fillId="10" borderId="0" xfId="76" applyFont="1" applyFill="1" applyAlignment="1">
      <alignment vertical="center"/>
    </xf>
    <xf numFmtId="0" fontId="8" fillId="2" borderId="0" xfId="76" applyFont="1" applyFill="1" applyAlignment="1">
      <alignment horizontal="center" vertical="center"/>
    </xf>
    <xf numFmtId="0" fontId="12" fillId="2" borderId="0" xfId="0" applyFont="1" applyFill="1" applyAlignment="1">
      <alignment horizontal="center" vertical="center"/>
    </xf>
    <xf numFmtId="0" fontId="0" fillId="2" borderId="0" xfId="0" applyFill="1" applyAlignment="1"/>
    <xf numFmtId="0" fontId="0" fillId="9" borderId="0" xfId="0" applyFill="1" applyAlignment="1"/>
    <xf numFmtId="0" fontId="0" fillId="9" borderId="0" xfId="0" applyFill="1" applyAlignment="1">
      <alignment horizontal="left"/>
    </xf>
    <xf numFmtId="0" fontId="8" fillId="9" borderId="1" xfId="0" applyFont="1" applyFill="1" applyBorder="1" applyAlignment="1">
      <alignment horizontal="center" vertical="center"/>
    </xf>
    <xf numFmtId="0" fontId="8" fillId="9" borderId="0" xfId="0" applyFont="1" applyFill="1" applyAlignment="1">
      <alignment horizontal="center" vertical="center"/>
    </xf>
    <xf numFmtId="0" fontId="28" fillId="0" borderId="0" xfId="0" applyFont="1" applyAlignment="1">
      <alignment vertical="center"/>
    </xf>
    <xf numFmtId="0" fontId="29" fillId="0" borderId="0" xfId="0" applyFont="1" applyAlignment="1">
      <alignment vertical="center"/>
    </xf>
    <xf numFmtId="0" fontId="12" fillId="9" borderId="0" xfId="0" applyFont="1" applyFill="1" applyAlignment="1">
      <alignment horizontal="left" vertical="center"/>
    </xf>
    <xf numFmtId="0" fontId="8" fillId="9" borderId="0" xfId="76" applyFont="1" applyFill="1" applyAlignment="1">
      <alignment horizontal="center" vertical="center"/>
    </xf>
    <xf numFmtId="0" fontId="8" fillId="15" borderId="1" xfId="0" applyFont="1" applyFill="1" applyBorder="1" applyAlignment="1">
      <alignment horizontal="center" vertical="center"/>
    </xf>
    <xf numFmtId="0" fontId="8" fillId="15" borderId="0" xfId="0" applyFont="1" applyFill="1" applyAlignment="1">
      <alignment horizontal="center" vertical="center"/>
    </xf>
    <xf numFmtId="0" fontId="8" fillId="15" borderId="0" xfId="0" applyFont="1" applyFill="1" applyAlignment="1">
      <alignment horizontal="left"/>
    </xf>
    <xf numFmtId="0" fontId="12" fillId="2" borderId="0" xfId="76" applyFont="1" applyFill="1" applyAlignment="1"/>
    <xf numFmtId="0" fontId="8" fillId="2" borderId="0" xfId="0" applyFont="1" applyFill="1" applyAlignment="1">
      <alignment vertical="center" wrapText="1"/>
    </xf>
    <xf numFmtId="0" fontId="8" fillId="2" borderId="0" xfId="0" applyFont="1" applyFill="1" applyAlignment="1">
      <alignment horizontal="left"/>
    </xf>
    <xf numFmtId="0" fontId="8" fillId="2" borderId="1" xfId="0" applyFont="1" applyFill="1" applyBorder="1" applyAlignment="1">
      <alignment vertical="center"/>
    </xf>
    <xf numFmtId="0" fontId="2" fillId="22" borderId="0" xfId="76" applyFill="1" applyAlignment="1"/>
    <xf numFmtId="0" fontId="12" fillId="22" borderId="0" xfId="76" applyFont="1" applyFill="1" applyAlignment="1"/>
    <xf numFmtId="0" fontId="8" fillId="22" borderId="0" xfId="0" applyFont="1" applyFill="1" applyAlignment="1">
      <alignment vertical="center"/>
    </xf>
    <xf numFmtId="0" fontId="8" fillId="22" borderId="0" xfId="0" applyFont="1" applyFill="1" applyAlignment="1">
      <alignment vertical="center" wrapText="1"/>
    </xf>
    <xf numFmtId="0" fontId="8" fillId="22" borderId="0" xfId="0" applyFont="1" applyFill="1" applyAlignment="1">
      <alignment horizontal="left"/>
    </xf>
    <xf numFmtId="0" fontId="0" fillId="22" borderId="1" xfId="0" applyFill="1" applyBorder="1" applyAlignment="1">
      <alignment vertical="center"/>
    </xf>
    <xf numFmtId="0" fontId="8" fillId="22" borderId="1" xfId="0" applyFont="1" applyFill="1" applyBorder="1" applyAlignment="1">
      <alignment vertical="center"/>
    </xf>
    <xf numFmtId="0" fontId="8" fillId="22" borderId="1" xfId="0" applyFont="1" applyFill="1" applyBorder="1" applyAlignment="1">
      <alignment horizontal="center" vertical="center"/>
    </xf>
    <xf numFmtId="0" fontId="8" fillId="22" borderId="0" xfId="0" applyFont="1" applyFill="1" applyAlignment="1">
      <alignment horizontal="center" vertical="center"/>
    </xf>
    <xf numFmtId="0" fontId="12" fillId="22" borderId="0" xfId="76" applyFont="1" applyFill="1" applyAlignment="1">
      <alignment horizontal="left" vertical="center"/>
    </xf>
    <xf numFmtId="0" fontId="12" fillId="22" borderId="0" xfId="76" applyFont="1" applyFill="1" applyAlignment="1">
      <alignment horizontal="center" vertical="center"/>
    </xf>
    <xf numFmtId="0" fontId="2" fillId="23" borderId="0" xfId="76" applyFill="1" applyAlignment="1"/>
    <xf numFmtId="0" fontId="12" fillId="23" borderId="0" xfId="76" applyFont="1" applyFill="1" applyAlignment="1"/>
    <xf numFmtId="0" fontId="8" fillId="23" borderId="0" xfId="0" applyFont="1" applyFill="1" applyAlignment="1">
      <alignment vertical="center"/>
    </xf>
    <xf numFmtId="0" fontId="8" fillId="23" borderId="0" xfId="0" applyFont="1" applyFill="1" applyAlignment="1">
      <alignment vertical="center" wrapText="1"/>
    </xf>
    <xf numFmtId="0" fontId="8" fillId="23" borderId="0" xfId="0" applyFont="1" applyFill="1" applyAlignment="1">
      <alignment horizontal="left"/>
    </xf>
    <xf numFmtId="0" fontId="0" fillId="23" borderId="1" xfId="0" applyFill="1" applyBorder="1" applyAlignment="1">
      <alignment vertical="center"/>
    </xf>
    <xf numFmtId="0" fontId="8" fillId="23" borderId="1" xfId="0" applyFont="1" applyFill="1" applyBorder="1" applyAlignment="1">
      <alignment vertical="center"/>
    </xf>
    <xf numFmtId="0" fontId="8" fillId="23" borderId="1" xfId="0" applyFont="1" applyFill="1" applyBorder="1" applyAlignment="1">
      <alignment horizontal="center" vertical="center"/>
    </xf>
    <xf numFmtId="0" fontId="8" fillId="23" borderId="0" xfId="0" applyFont="1" applyFill="1" applyAlignment="1">
      <alignment horizontal="center" vertical="center"/>
    </xf>
    <xf numFmtId="0" fontId="12" fillId="23" borderId="0" xfId="76" applyFont="1" applyFill="1" applyAlignment="1">
      <alignment horizontal="left" vertical="center"/>
    </xf>
    <xf numFmtId="0" fontId="12" fillId="23" borderId="0" xfId="76" applyFont="1" applyFill="1" applyAlignment="1">
      <alignment horizontal="center" vertical="center"/>
    </xf>
    <xf numFmtId="0" fontId="0" fillId="25" borderId="0" xfId="0" applyFill="1" applyAlignment="1"/>
    <xf numFmtId="0" fontId="2" fillId="24" borderId="0" xfId="76" applyFill="1" applyAlignment="1"/>
    <xf numFmtId="0" fontId="12" fillId="24" borderId="0" xfId="76" applyFont="1" applyFill="1" applyAlignment="1"/>
    <xf numFmtId="0" fontId="0" fillId="24" borderId="0" xfId="0" applyFill="1" applyAlignment="1"/>
    <xf numFmtId="0" fontId="8" fillId="24" borderId="0" xfId="0" applyFont="1" applyFill="1" applyAlignment="1">
      <alignment vertical="center"/>
    </xf>
    <xf numFmtId="0" fontId="8" fillId="24" borderId="0" xfId="0" applyFont="1" applyFill="1" applyAlignment="1">
      <alignment vertical="center" wrapText="1"/>
    </xf>
    <xf numFmtId="0" fontId="8" fillId="24" borderId="0" xfId="0" applyFont="1" applyFill="1" applyAlignment="1">
      <alignment horizontal="left"/>
    </xf>
    <xf numFmtId="0" fontId="0" fillId="24" borderId="1" xfId="0" applyFill="1" applyBorder="1" applyAlignment="1">
      <alignment vertical="center"/>
    </xf>
    <xf numFmtId="0" fontId="8" fillId="24" borderId="1" xfId="0" applyFont="1" applyFill="1" applyBorder="1" applyAlignment="1">
      <alignment vertical="center"/>
    </xf>
    <xf numFmtId="0" fontId="8" fillId="24" borderId="1" xfId="0" applyFont="1" applyFill="1" applyBorder="1" applyAlignment="1">
      <alignment horizontal="center" vertical="center"/>
    </xf>
    <xf numFmtId="0" fontId="8" fillId="24" borderId="0" xfId="0" applyFont="1" applyFill="1" applyAlignment="1">
      <alignment horizontal="center" vertical="center"/>
    </xf>
    <xf numFmtId="0" fontId="12" fillId="24" borderId="0" xfId="76" applyFont="1" applyFill="1" applyAlignment="1">
      <alignment horizontal="left" vertical="center"/>
    </xf>
    <xf numFmtId="0" fontId="12" fillId="24" borderId="0" xfId="76" applyFont="1" applyFill="1" applyAlignment="1">
      <alignment horizontal="center" vertical="center"/>
    </xf>
    <xf numFmtId="0" fontId="0" fillId="2" borderId="0" xfId="76" applyFont="1" applyFill="1" applyAlignment="1"/>
    <xf numFmtId="0" fontId="2" fillId="2" borderId="0" xfId="0" applyFont="1" applyFill="1" applyAlignment="1"/>
    <xf numFmtId="0" fontId="12" fillId="2" borderId="0" xfId="0" applyFont="1" applyFill="1" applyAlignment="1">
      <alignment horizontal="left" vertical="center"/>
    </xf>
    <xf numFmtId="0" fontId="0" fillId="46" borderId="0" xfId="0" applyFill="1" applyAlignment="1">
      <alignment vertical="center"/>
    </xf>
    <xf numFmtId="0" fontId="16" fillId="0" borderId="0" xfId="76" applyFont="1" applyAlignment="1">
      <alignment vertical="center"/>
    </xf>
    <xf numFmtId="0" fontId="0" fillId="30" borderId="1" xfId="0" applyFill="1" applyBorder="1" applyAlignment="1">
      <alignment horizontal="left" vertical="center"/>
    </xf>
    <xf numFmtId="3" fontId="0" fillId="0" borderId="0" xfId="0" applyNumberFormat="1" applyAlignment="1">
      <alignment horizontal="left" vertical="center"/>
    </xf>
    <xf numFmtId="0" fontId="2" fillId="37" borderId="0" xfId="76" applyFill="1" applyAlignment="1">
      <alignment vertical="center"/>
    </xf>
    <xf numFmtId="0" fontId="17" fillId="30" borderId="0" xfId="76" applyFont="1" applyFill="1" applyAlignment="1">
      <alignment vertical="center"/>
    </xf>
    <xf numFmtId="0" fontId="17" fillId="30" borderId="0" xfId="0" applyFont="1" applyFill="1" applyAlignment="1">
      <alignment vertical="center"/>
    </xf>
    <xf numFmtId="0" fontId="19" fillId="30" borderId="1" xfId="76" applyFont="1" applyFill="1" applyBorder="1" applyAlignment="1"/>
    <xf numFmtId="0" fontId="19" fillId="30" borderId="1" xfId="76" applyFont="1" applyFill="1" applyBorder="1" applyAlignment="1">
      <alignment horizontal="center" vertical="center"/>
    </xf>
    <xf numFmtId="0" fontId="19" fillId="30" borderId="0" xfId="76" applyFont="1" applyFill="1" applyAlignment="1">
      <alignment horizontal="center" vertical="center"/>
    </xf>
    <xf numFmtId="0" fontId="12" fillId="0" borderId="0" xfId="0" applyFont="1" applyAlignment="1"/>
    <xf numFmtId="0" fontId="8" fillId="0" borderId="0" xfId="0" applyFont="1" applyAlignment="1"/>
    <xf numFmtId="0" fontId="10" fillId="0" borderId="0" xfId="0" applyFont="1" applyAlignment="1">
      <alignment vertical="center" wrapText="1"/>
    </xf>
    <xf numFmtId="0" fontId="19" fillId="9" borderId="0" xfId="0" applyFont="1" applyFill="1" applyAlignment="1"/>
    <xf numFmtId="0" fontId="19" fillId="0" borderId="0" xfId="0" applyFont="1" applyAlignment="1"/>
    <xf numFmtId="0" fontId="10" fillId="0" borderId="0" xfId="0" applyFont="1" applyAlignment="1">
      <alignment horizontal="left" vertical="center"/>
    </xf>
    <xf numFmtId="0" fontId="19" fillId="10" borderId="0" xfId="0" applyFont="1" applyFill="1" applyAlignment="1"/>
    <xf numFmtId="0" fontId="10" fillId="9" borderId="0" xfId="0" applyFont="1" applyFill="1" applyAlignment="1">
      <alignment vertical="center"/>
    </xf>
    <xf numFmtId="0" fontId="10" fillId="10" borderId="0" xfId="0" applyFont="1" applyFill="1" applyAlignment="1">
      <alignment vertical="center"/>
    </xf>
    <xf numFmtId="0" fontId="10" fillId="30" borderId="1" xfId="0" applyFont="1" applyFill="1" applyBorder="1" applyAlignment="1">
      <alignment vertical="center"/>
    </xf>
    <xf numFmtId="0" fontId="19" fillId="30" borderId="1" xfId="0" applyFont="1" applyFill="1" applyBorder="1" applyAlignment="1"/>
    <xf numFmtId="0" fontId="19" fillId="30" borderId="1" xfId="0" applyFont="1" applyFill="1" applyBorder="1" applyAlignment="1">
      <alignment horizontal="center" vertical="center"/>
    </xf>
    <xf numFmtId="0" fontId="19" fillId="30" borderId="0" xfId="0" applyFont="1" applyFill="1" applyAlignment="1">
      <alignment horizontal="center" vertical="center"/>
    </xf>
    <xf numFmtId="0" fontId="19" fillId="30" borderId="0" xfId="0" applyFont="1" applyFill="1" applyAlignment="1">
      <alignment horizontal="left" vertical="center"/>
    </xf>
    <xf numFmtId="0" fontId="10" fillId="0" borderId="0" xfId="0" applyFont="1" applyAlignment="1"/>
    <xf numFmtId="0" fontId="19" fillId="0" borderId="0" xfId="76" applyFont="1" applyAlignment="1"/>
    <xf numFmtId="0" fontId="8" fillId="30" borderId="1" xfId="76" applyFont="1" applyFill="1" applyBorder="1" applyAlignment="1">
      <alignment horizontal="center" vertical="center"/>
    </xf>
    <xf numFmtId="0" fontId="8" fillId="30" borderId="0" xfId="76" applyFont="1" applyFill="1" applyAlignment="1">
      <alignment horizontal="left" vertical="center"/>
    </xf>
    <xf numFmtId="0" fontId="12" fillId="0" borderId="0" xfId="76" applyFont="1" applyAlignment="1"/>
    <xf numFmtId="0" fontId="19" fillId="10" borderId="0" xfId="76" applyFont="1" applyFill="1" applyAlignment="1"/>
    <xf numFmtId="0" fontId="19" fillId="9" borderId="0" xfId="76" applyFont="1" applyFill="1" applyAlignment="1"/>
    <xf numFmtId="0" fontId="10" fillId="0" borderId="0" xfId="76" applyFont="1" applyAlignment="1">
      <alignment vertical="center"/>
    </xf>
    <xf numFmtId="0" fontId="19" fillId="30" borderId="0" xfId="76" applyFont="1" applyFill="1" applyAlignment="1">
      <alignment horizontal="left" vertical="center"/>
    </xf>
    <xf numFmtId="0" fontId="8" fillId="0" borderId="1" xfId="0" applyFont="1" applyBorder="1" applyAlignment="1">
      <alignment horizontal="center" vertical="center"/>
    </xf>
    <xf numFmtId="0" fontId="8" fillId="0" borderId="0" xfId="0" applyFont="1" applyAlignment="1">
      <alignment horizontal="left" vertical="center"/>
    </xf>
    <xf numFmtId="0" fontId="0" fillId="0" borderId="1" xfId="76" applyFont="1" applyBorder="1" applyAlignment="1">
      <alignment vertical="center"/>
    </xf>
    <xf numFmtId="0" fontId="8" fillId="0" borderId="1" xfId="76" applyFont="1" applyBorder="1" applyAlignment="1">
      <alignment horizontal="center" vertical="center"/>
    </xf>
    <xf numFmtId="0" fontId="8" fillId="0" borderId="0" xfId="76" applyFont="1" applyAlignment="1">
      <alignment horizontal="center" vertical="center"/>
    </xf>
    <xf numFmtId="0" fontId="8" fillId="0" borderId="0" xfId="76" applyFont="1" applyAlignment="1">
      <alignment horizontal="left" vertical="center"/>
    </xf>
    <xf numFmtId="0" fontId="2" fillId="12" borderId="0" xfId="0" applyFont="1" applyFill="1" applyAlignment="1"/>
    <xf numFmtId="0" fontId="2" fillId="37" borderId="0" xfId="0" applyFont="1" applyFill="1" applyAlignment="1">
      <alignment vertical="center"/>
    </xf>
    <xf numFmtId="0" fontId="30" fillId="0" borderId="0" xfId="0" applyFont="1" applyAlignment="1">
      <alignment vertical="center"/>
    </xf>
    <xf numFmtId="0" fontId="31" fillId="0" borderId="0" xfId="0" applyFont="1" applyAlignment="1">
      <alignment vertical="center"/>
    </xf>
    <xf numFmtId="0" fontId="0" fillId="0" borderId="0" xfId="76" applyFont="1" applyAlignment="1">
      <alignment horizontal="center" vertical="center"/>
    </xf>
    <xf numFmtId="0" fontId="2" fillId="10" borderId="0" xfId="0" applyFont="1" applyFill="1" applyAlignment="1">
      <alignment horizontal="left"/>
    </xf>
    <xf numFmtId="0" fontId="2" fillId="10" borderId="1" xfId="0" applyFont="1" applyFill="1" applyBorder="1" applyAlignment="1"/>
    <xf numFmtId="0" fontId="12" fillId="10" borderId="1" xfId="0" applyFont="1" applyFill="1" applyBorder="1" applyAlignment="1">
      <alignment horizontal="center" vertical="center"/>
    </xf>
    <xf numFmtId="0" fontId="12" fillId="10" borderId="0" xfId="0" applyFont="1" applyFill="1" applyAlignment="1">
      <alignment horizontal="center" vertical="center"/>
    </xf>
    <xf numFmtId="0" fontId="0" fillId="30" borderId="0" xfId="0" applyFill="1" applyAlignment="1">
      <alignment vertical="center"/>
    </xf>
    <xf numFmtId="49" fontId="0" fillId="0" borderId="0" xfId="0" applyNumberFormat="1" applyAlignment="1"/>
    <xf numFmtId="0" fontId="10" fillId="30" borderId="0" xfId="0" applyFont="1" applyFill="1" applyAlignment="1">
      <alignment horizontal="center" vertical="center"/>
    </xf>
    <xf numFmtId="0" fontId="10" fillId="30" borderId="0" xfId="0" applyFont="1" applyFill="1" applyAlignment="1">
      <alignment horizontal="left" vertical="center"/>
    </xf>
    <xf numFmtId="0" fontId="10" fillId="12" borderId="0" xfId="0" applyFont="1" applyFill="1" applyAlignment="1">
      <alignment vertical="center"/>
    </xf>
    <xf numFmtId="0" fontId="19" fillId="12" borderId="0" xfId="76" applyFont="1" applyFill="1" applyAlignment="1"/>
    <xf numFmtId="0" fontId="19" fillId="12" borderId="0" xfId="0" applyFont="1" applyFill="1" applyAlignment="1"/>
    <xf numFmtId="0" fontId="10" fillId="9" borderId="0" xfId="76" applyFont="1" applyFill="1" applyAlignment="1">
      <alignment vertical="center"/>
    </xf>
    <xf numFmtId="0" fontId="10" fillId="30" borderId="1" xfId="76" applyFont="1" applyFill="1" applyBorder="1" applyAlignment="1">
      <alignment vertical="center"/>
    </xf>
    <xf numFmtId="0" fontId="10" fillId="30" borderId="1" xfId="76" applyFont="1" applyFill="1" applyBorder="1" applyAlignment="1">
      <alignment horizontal="center" vertical="center"/>
    </xf>
    <xf numFmtId="0" fontId="10" fillId="30" borderId="0" xfId="76" applyFont="1" applyFill="1" applyAlignment="1">
      <alignment horizontal="center" vertical="center"/>
    </xf>
    <xf numFmtId="0" fontId="2" fillId="0" borderId="1" xfId="0" applyFont="1" applyBorder="1" applyAlignment="1"/>
    <xf numFmtId="0" fontId="11" fillId="0" borderId="0" xfId="0" applyFont="1" applyAlignment="1">
      <alignment horizontal="left" vertical="center"/>
    </xf>
    <xf numFmtId="0" fontId="11" fillId="0" borderId="0" xfId="76" applyFont="1" applyAlignment="1">
      <alignment vertical="center"/>
    </xf>
    <xf numFmtId="0" fontId="11" fillId="30" borderId="1" xfId="0" applyFont="1" applyFill="1" applyBorder="1" applyAlignment="1">
      <alignment horizontal="center" vertical="center"/>
    </xf>
    <xf numFmtId="0" fontId="11" fillId="30" borderId="0" xfId="0" applyFont="1" applyFill="1" applyAlignment="1">
      <alignment horizontal="center" vertical="center"/>
    </xf>
    <xf numFmtId="0" fontId="11" fillId="30" borderId="0" xfId="0" applyFont="1" applyFill="1" applyAlignment="1">
      <alignment horizontal="left" vertical="center"/>
    </xf>
    <xf numFmtId="0" fontId="11" fillId="9" borderId="0" xfId="0" applyFont="1" applyFill="1" applyAlignment="1">
      <alignment vertical="center"/>
    </xf>
    <xf numFmtId="0" fontId="32" fillId="2" borderId="0" xfId="76" applyFont="1" applyFill="1" applyAlignment="1"/>
    <xf numFmtId="0" fontId="11" fillId="30" borderId="1" xfId="0" applyFont="1" applyFill="1" applyBorder="1" applyAlignment="1">
      <alignment vertical="center"/>
    </xf>
    <xf numFmtId="0" fontId="32" fillId="2" borderId="0" xfId="0" applyFont="1" applyFill="1" applyAlignment="1"/>
    <xf numFmtId="0" fontId="2" fillId="30" borderId="0" xfId="76" applyFill="1" applyAlignment="1"/>
    <xf numFmtId="0" fontId="0" fillId="0" borderId="0" xfId="76" applyFont="1" applyAlignment="1">
      <alignment vertical="center" wrapText="1"/>
    </xf>
    <xf numFmtId="0" fontId="0" fillId="30" borderId="0" xfId="76" applyFont="1" applyFill="1" applyAlignment="1">
      <alignment vertical="center"/>
    </xf>
    <xf numFmtId="0" fontId="2" fillId="30" borderId="0" xfId="0" applyFont="1" applyFill="1" applyAlignment="1"/>
    <xf numFmtId="0" fontId="0" fillId="0" borderId="0" xfId="0" applyAlignment="1">
      <alignment horizontal="left" vertical="center" wrapText="1"/>
    </xf>
    <xf numFmtId="0" fontId="24" fillId="0" borderId="0" xfId="0" applyFont="1" applyAlignment="1">
      <alignment horizontal="center" vertical="center"/>
    </xf>
    <xf numFmtId="0" fontId="28" fillId="0" borderId="0" xfId="76" applyFont="1" applyAlignment="1">
      <alignment vertical="center"/>
    </xf>
    <xf numFmtId="0" fontId="24" fillId="0" borderId="0" xfId="76" applyFont="1" applyAlignment="1">
      <alignment horizontal="center" vertical="center"/>
    </xf>
    <xf numFmtId="0" fontId="0" fillId="0" borderId="0" xfId="76" applyFont="1" applyAlignment="1">
      <alignment horizontal="left" vertical="center" wrapText="1"/>
    </xf>
    <xf numFmtId="0" fontId="2" fillId="2" borderId="1" xfId="0" applyFont="1" applyFill="1" applyBorder="1" applyAlignment="1"/>
    <xf numFmtId="0" fontId="8" fillId="2" borderId="0" xfId="0" applyFont="1" applyFill="1" applyAlignment="1">
      <alignment horizontal="left" vertical="center"/>
    </xf>
    <xf numFmtId="0" fontId="0" fillId="2" borderId="1" xfId="76" applyFont="1" applyFill="1" applyBorder="1" applyAlignment="1">
      <alignment vertical="center"/>
    </xf>
    <xf numFmtId="0" fontId="8" fillId="2" borderId="1" xfId="76" applyFont="1" applyFill="1" applyBorder="1" applyAlignment="1">
      <alignment horizontal="center" vertical="center"/>
    </xf>
    <xf numFmtId="0" fontId="8" fillId="2" borderId="0" xfId="76" applyFont="1" applyFill="1" applyAlignment="1">
      <alignment horizontal="left" vertical="center"/>
    </xf>
    <xf numFmtId="49" fontId="0" fillId="0" borderId="0" xfId="76" applyNumberFormat="1" applyFont="1" applyAlignment="1">
      <alignment horizontal="left" vertical="center"/>
    </xf>
    <xf numFmtId="0" fontId="12" fillId="0" borderId="0" xfId="0" applyFont="1" applyAlignment="1">
      <alignment horizontal="left" vertical="center"/>
    </xf>
    <xf numFmtId="0" fontId="12" fillId="0" borderId="0" xfId="0" applyFont="1" applyAlignment="1">
      <alignment horizontal="center" vertical="center"/>
    </xf>
    <xf numFmtId="0" fontId="24" fillId="0" borderId="0" xfId="0" applyFont="1" applyAlignment="1">
      <alignment horizontal="left" vertical="center"/>
    </xf>
    <xf numFmtId="0" fontId="12" fillId="0" borderId="1" xfId="0" applyFont="1" applyBorder="1" applyAlignment="1">
      <alignment horizontal="center" vertical="center"/>
    </xf>
    <xf numFmtId="0" fontId="0" fillId="2" borderId="0" xfId="0" applyFill="1" applyAlignment="1">
      <alignment horizontal="center" vertical="center"/>
    </xf>
    <xf numFmtId="0" fontId="0" fillId="47" borderId="0" xfId="0" applyFill="1" applyAlignment="1">
      <alignment vertical="center"/>
    </xf>
    <xf numFmtId="0" fontId="0" fillId="25" borderId="0" xfId="0" applyFill="1" applyAlignment="1">
      <alignment horizontal="left" vertical="center" wrapText="1"/>
    </xf>
    <xf numFmtId="0" fontId="8" fillId="25" borderId="1" xfId="0" applyFont="1" applyFill="1" applyBorder="1" applyAlignment="1">
      <alignment horizontal="center" vertical="center"/>
    </xf>
    <xf numFmtId="0" fontId="8" fillId="25" borderId="0" xfId="0" applyFont="1" applyFill="1" applyAlignment="1">
      <alignment horizontal="center" vertical="center"/>
    </xf>
    <xf numFmtId="0" fontId="8" fillId="25" borderId="0" xfId="0" applyFont="1" applyFill="1" applyAlignment="1">
      <alignment horizontal="left" vertical="center"/>
    </xf>
    <xf numFmtId="0" fontId="31" fillId="25" borderId="0" xfId="0" applyFont="1" applyFill="1" applyAlignment="1">
      <alignment vertical="center"/>
    </xf>
    <xf numFmtId="0" fontId="0" fillId="25" borderId="1" xfId="0" applyFill="1" applyBorder="1" applyAlignment="1">
      <alignment vertical="center"/>
    </xf>
    <xf numFmtId="0" fontId="31" fillId="25" borderId="0" xfId="0" applyFont="1" applyFill="1" applyAlignment="1">
      <alignment vertical="center" wrapText="1"/>
    </xf>
    <xf numFmtId="0" fontId="0" fillId="23" borderId="0" xfId="0" applyFill="1" applyAlignment="1">
      <alignment horizontal="left" vertical="center"/>
    </xf>
    <xf numFmtId="0" fontId="0" fillId="23" borderId="0" xfId="76" applyFont="1" applyFill="1" applyAlignment="1">
      <alignment vertical="center"/>
    </xf>
    <xf numFmtId="0" fontId="0" fillId="13" borderId="0" xfId="76" applyFont="1" applyFill="1" applyAlignment="1">
      <alignment vertical="center"/>
    </xf>
    <xf numFmtId="0" fontId="8" fillId="13" borderId="1" xfId="0" applyFont="1" applyFill="1" applyBorder="1" applyAlignment="1">
      <alignment horizontal="center" vertical="center"/>
    </xf>
    <xf numFmtId="0" fontId="8" fillId="13" borderId="0" xfId="0" applyFont="1" applyFill="1" applyAlignment="1">
      <alignment horizontal="center" vertical="center"/>
    </xf>
    <xf numFmtId="0" fontId="0" fillId="23" borderId="0" xfId="0" applyFill="1" applyAlignment="1">
      <alignment horizontal="center" vertical="center"/>
    </xf>
    <xf numFmtId="0" fontId="2" fillId="26" borderId="0" xfId="76" applyFill="1" applyAlignment="1"/>
    <xf numFmtId="0" fontId="0" fillId="26" borderId="0" xfId="0" applyFill="1" applyAlignment="1">
      <alignment horizontal="left" vertical="center"/>
    </xf>
    <xf numFmtId="0" fontId="0" fillId="26" borderId="1" xfId="0" applyFill="1" applyBorder="1" applyAlignment="1">
      <alignment vertical="center"/>
    </xf>
    <xf numFmtId="0" fontId="8" fillId="26" borderId="1" xfId="0" applyFont="1" applyFill="1" applyBorder="1" applyAlignment="1">
      <alignment horizontal="center" vertical="center"/>
    </xf>
    <xf numFmtId="0" fontId="8" fillId="26" borderId="0" xfId="0" applyFont="1" applyFill="1" applyAlignment="1">
      <alignment horizontal="center" vertical="center"/>
    </xf>
    <xf numFmtId="0" fontId="0" fillId="26" borderId="0" xfId="0" applyFill="1" applyAlignment="1">
      <alignment horizontal="center" vertical="center"/>
    </xf>
    <xf numFmtId="0" fontId="12" fillId="26" borderId="0" xfId="76" applyFont="1" applyFill="1" applyAlignment="1">
      <alignment horizontal="left" vertical="center"/>
    </xf>
    <xf numFmtId="0" fontId="12" fillId="26" borderId="0" xfId="76" applyFont="1" applyFill="1" applyAlignment="1">
      <alignment horizontal="center" vertical="center"/>
    </xf>
    <xf numFmtId="0" fontId="2" fillId="23" borderId="0" xfId="0" applyFont="1" applyFill="1" applyAlignment="1"/>
    <xf numFmtId="0" fontId="2" fillId="25" borderId="0" xfId="0" applyFont="1" applyFill="1" applyAlignment="1"/>
    <xf numFmtId="0" fontId="0" fillId="25" borderId="0" xfId="0" applyFill="1" applyAlignment="1">
      <alignment horizontal="left"/>
    </xf>
    <xf numFmtId="0" fontId="8" fillId="27" borderId="1" xfId="0" applyFont="1" applyFill="1" applyBorder="1" applyAlignment="1">
      <alignment horizontal="center" vertical="center"/>
    </xf>
    <xf numFmtId="0" fontId="8" fillId="27" borderId="0" xfId="0" applyFont="1" applyFill="1" applyAlignment="1">
      <alignment horizontal="center" vertical="center"/>
    </xf>
    <xf numFmtId="0" fontId="8" fillId="27" borderId="0" xfId="0" applyFont="1" applyFill="1" applyAlignment="1">
      <alignment horizontal="left" vertical="center"/>
    </xf>
    <xf numFmtId="0" fontId="8" fillId="26" borderId="0" xfId="0" applyFont="1" applyFill="1" applyAlignment="1">
      <alignment horizontal="left" vertical="center"/>
    </xf>
    <xf numFmtId="0" fontId="0" fillId="26" borderId="0" xfId="0" applyFill="1" applyAlignment="1">
      <alignment vertical="center" wrapText="1"/>
    </xf>
    <xf numFmtId="0" fontId="0" fillId="26" borderId="0" xfId="76" applyFont="1" applyFill="1" applyAlignment="1">
      <alignment vertical="center"/>
    </xf>
    <xf numFmtId="0" fontId="0" fillId="26" borderId="0" xfId="76" applyFont="1" applyFill="1" applyAlignment="1">
      <alignment horizontal="left" vertical="center"/>
    </xf>
    <xf numFmtId="0" fontId="0" fillId="26" borderId="1" xfId="76" applyFont="1" applyFill="1" applyBorder="1" applyAlignment="1">
      <alignment vertical="center"/>
    </xf>
    <xf numFmtId="0" fontId="8" fillId="26" borderId="1" xfId="76" applyFont="1" applyFill="1" applyBorder="1" applyAlignment="1">
      <alignment horizontal="center" vertical="center"/>
    </xf>
    <xf numFmtId="0" fontId="8" fillId="26" borderId="0" xfId="76" applyFont="1" applyFill="1" applyAlignment="1">
      <alignment horizontal="center" vertical="center"/>
    </xf>
    <xf numFmtId="0" fontId="8" fillId="26" borderId="0" xfId="76" applyFont="1" applyFill="1" applyAlignment="1">
      <alignment horizontal="left" vertical="center"/>
    </xf>
    <xf numFmtId="0" fontId="2" fillId="26" borderId="0" xfId="0" applyFont="1" applyFill="1" applyAlignment="1"/>
    <xf numFmtId="0" fontId="12" fillId="26" borderId="0" xfId="0" applyFont="1" applyFill="1" applyAlignment="1">
      <alignment horizontal="left" vertical="center"/>
    </xf>
    <xf numFmtId="0" fontId="12" fillId="26" borderId="0" xfId="0" applyFont="1" applyFill="1" applyAlignment="1">
      <alignment horizontal="center" vertical="center"/>
    </xf>
    <xf numFmtId="0" fontId="2" fillId="48" borderId="0" xfId="76" applyFill="1" applyAlignment="1">
      <alignment vertical="center"/>
    </xf>
    <xf numFmtId="0" fontId="2" fillId="48" borderId="0" xfId="0" applyFont="1" applyFill="1" applyAlignment="1">
      <alignment vertical="center"/>
    </xf>
    <xf numFmtId="0" fontId="24" fillId="0" borderId="0" xfId="0" applyFont="1" applyAlignment="1">
      <alignment vertical="center"/>
    </xf>
    <xf numFmtId="0" fontId="0" fillId="2" borderId="0" xfId="76" applyFont="1" applyFill="1" applyAlignment="1">
      <alignment horizontal="center" vertical="center"/>
    </xf>
    <xf numFmtId="0" fontId="12" fillId="2" borderId="0" xfId="0" applyFont="1" applyFill="1" applyAlignment="1"/>
    <xf numFmtId="0" fontId="12" fillId="2" borderId="1" xfId="0" applyFont="1" applyFill="1" applyBorder="1" applyAlignment="1">
      <alignment horizontal="center" vertical="center"/>
    </xf>
    <xf numFmtId="0" fontId="8" fillId="9" borderId="0" xfId="0" applyFont="1" applyFill="1" applyAlignment="1">
      <alignment horizontal="left" vertical="center"/>
    </xf>
    <xf numFmtId="0" fontId="8" fillId="9" borderId="0" xfId="76" applyFont="1" applyFill="1" applyAlignment="1">
      <alignment horizontal="left" vertical="center"/>
    </xf>
    <xf numFmtId="0" fontId="18" fillId="11" borderId="0" xfId="0" applyFont="1" applyFill="1" applyAlignment="1"/>
    <xf numFmtId="0" fontId="18" fillId="11" borderId="0" xfId="0" applyFont="1" applyFill="1" applyAlignment="1">
      <alignment horizontal="left" vertical="center"/>
    </xf>
    <xf numFmtId="0" fontId="18" fillId="11" borderId="0" xfId="0" applyFont="1" applyFill="1" applyAlignment="1">
      <alignment horizontal="center" vertical="center"/>
    </xf>
    <xf numFmtId="0" fontId="8" fillId="24" borderId="0" xfId="0" applyFont="1" applyFill="1" applyAlignment="1">
      <alignment horizontal="left" vertical="center"/>
    </xf>
    <xf numFmtId="0" fontId="0" fillId="24" borderId="0" xfId="0" applyFill="1" applyAlignment="1">
      <alignment horizontal="left" vertical="center"/>
    </xf>
    <xf numFmtId="0" fontId="0" fillId="28" borderId="0" xfId="0" applyFill="1" applyAlignment="1">
      <alignment horizontal="left" vertical="center"/>
    </xf>
    <xf numFmtId="0" fontId="0" fillId="28" borderId="1" xfId="0" applyFill="1" applyBorder="1" applyAlignment="1">
      <alignment vertical="center"/>
    </xf>
    <xf numFmtId="0" fontId="8" fillId="28" borderId="1" xfId="0" applyFont="1" applyFill="1" applyBorder="1" applyAlignment="1">
      <alignment horizontal="center" vertical="center"/>
    </xf>
    <xf numFmtId="0" fontId="8" fillId="28" borderId="0" xfId="0" applyFont="1" applyFill="1" applyAlignment="1">
      <alignment horizontal="center" vertical="center"/>
    </xf>
    <xf numFmtId="0" fontId="8" fillId="28" borderId="0" xfId="0" applyFont="1" applyFill="1" applyAlignment="1">
      <alignment horizontal="left" vertical="center"/>
    </xf>
    <xf numFmtId="0" fontId="0" fillId="28" borderId="0" xfId="76" applyFont="1" applyFill="1" applyAlignment="1">
      <alignment vertical="center"/>
    </xf>
    <xf numFmtId="0" fontId="12" fillId="29" borderId="0" xfId="76" applyFont="1" applyFill="1" applyAlignment="1"/>
    <xf numFmtId="0" fontId="2" fillId="29" borderId="0" xfId="76" applyFill="1" applyAlignment="1"/>
    <xf numFmtId="0" fontId="0" fillId="29" borderId="0" xfId="0" applyFill="1" applyAlignment="1">
      <alignment vertical="center" wrapText="1"/>
    </xf>
    <xf numFmtId="0" fontId="0" fillId="29" borderId="0" xfId="0" applyFill="1" applyAlignment="1">
      <alignment horizontal="left" vertical="center"/>
    </xf>
    <xf numFmtId="0" fontId="0" fillId="29" borderId="1" xfId="0" applyFill="1" applyBorder="1" applyAlignment="1">
      <alignment vertical="center"/>
    </xf>
    <xf numFmtId="0" fontId="8" fillId="29" borderId="1" xfId="0" applyFont="1" applyFill="1" applyBorder="1" applyAlignment="1">
      <alignment horizontal="center" vertical="center"/>
    </xf>
    <xf numFmtId="0" fontId="8" fillId="29" borderId="0" xfId="0" applyFont="1" applyFill="1" applyAlignment="1">
      <alignment horizontal="center" vertical="center"/>
    </xf>
    <xf numFmtId="0" fontId="8" fillId="29" borderId="0" xfId="0" applyFont="1" applyFill="1" applyAlignment="1">
      <alignment horizontal="left" vertical="center"/>
    </xf>
    <xf numFmtId="0" fontId="0" fillId="29" borderId="0" xfId="76" applyFont="1" applyFill="1" applyAlignment="1">
      <alignment vertical="center"/>
    </xf>
    <xf numFmtId="0" fontId="0" fillId="29" borderId="0" xfId="76" applyFont="1" applyFill="1" applyAlignment="1">
      <alignment vertical="center" wrapText="1"/>
    </xf>
    <xf numFmtId="0" fontId="0" fillId="29" borderId="1" xfId="76" applyFont="1" applyFill="1" applyBorder="1" applyAlignment="1">
      <alignment vertical="center"/>
    </xf>
    <xf numFmtId="0" fontId="8" fillId="29" borderId="1" xfId="76" applyFont="1" applyFill="1" applyBorder="1" applyAlignment="1">
      <alignment horizontal="center" vertical="center"/>
    </xf>
    <xf numFmtId="0" fontId="8" fillId="29" borderId="0" xfId="76" applyFont="1" applyFill="1" applyAlignment="1">
      <alignment horizontal="center" vertical="center"/>
    </xf>
    <xf numFmtId="0" fontId="8" fillId="29" borderId="0" xfId="76" applyFont="1" applyFill="1" applyAlignment="1">
      <alignment horizontal="left" vertical="center"/>
    </xf>
    <xf numFmtId="0" fontId="5" fillId="49" borderId="0" xfId="0" applyFont="1" applyFill="1" applyAlignment="1"/>
    <xf numFmtId="0" fontId="24" fillId="0" borderId="1" xfId="0" applyFont="1" applyBorder="1" applyAlignment="1">
      <alignment horizontal="center" vertical="center"/>
    </xf>
    <xf numFmtId="0" fontId="0" fillId="50" borderId="0" xfId="0" applyFill="1" applyAlignment="1">
      <alignment vertical="center"/>
    </xf>
    <xf numFmtId="0" fontId="0" fillId="0" borderId="0" xfId="0" applyAlignment="1">
      <alignment horizontal="right" vertical="center"/>
    </xf>
    <xf numFmtId="0" fontId="8" fillId="0" borderId="1" xfId="0" applyFont="1" applyBorder="1" applyAlignment="1">
      <alignment vertical="center"/>
    </xf>
    <xf numFmtId="0" fontId="10" fillId="2" borderId="0" xfId="0" applyFont="1" applyFill="1" applyAlignment="1">
      <alignment horizontal="left" vertical="center"/>
    </xf>
    <xf numFmtId="0" fontId="10" fillId="2" borderId="1" xfId="0" applyFont="1" applyFill="1" applyBorder="1" applyAlignment="1">
      <alignment vertical="center"/>
    </xf>
    <xf numFmtId="0" fontId="10" fillId="2" borderId="1" xfId="0" applyFont="1" applyFill="1" applyBorder="1" applyAlignment="1">
      <alignment horizontal="center" vertical="center"/>
    </xf>
    <xf numFmtId="0" fontId="10" fillId="2" borderId="0" xfId="0" applyFont="1" applyFill="1" applyAlignment="1">
      <alignment horizontal="center" vertical="center"/>
    </xf>
    <xf numFmtId="0" fontId="10" fillId="2" borderId="0" xfId="76" applyFont="1" applyFill="1" applyAlignment="1">
      <alignment vertical="center"/>
    </xf>
    <xf numFmtId="0" fontId="10" fillId="2" borderId="0" xfId="76" applyFont="1" applyFill="1" applyAlignment="1">
      <alignment horizontal="left" vertical="center"/>
    </xf>
    <xf numFmtId="0" fontId="10" fillId="2" borderId="0" xfId="76" applyFont="1" applyFill="1" applyAlignment="1">
      <alignment horizontal="center" vertical="center"/>
    </xf>
    <xf numFmtId="0" fontId="0" fillId="51" borderId="0" xfId="0" applyFill="1" applyAlignment="1">
      <alignment vertical="center"/>
    </xf>
    <xf numFmtId="0" fontId="0" fillId="5" borderId="0" xfId="0" applyFill="1" applyAlignment="1">
      <alignment horizontal="left" vertical="center"/>
    </xf>
    <xf numFmtId="0" fontId="8" fillId="5" borderId="0" xfId="0" applyFont="1" applyFill="1" applyAlignment="1">
      <alignment horizontal="center" vertical="center"/>
    </xf>
    <xf numFmtId="0" fontId="0" fillId="2" borderId="0" xfId="76" applyFont="1" applyFill="1" applyAlignment="1">
      <alignment vertical="center" wrapText="1"/>
    </xf>
    <xf numFmtId="0" fontId="24" fillId="0" borderId="0" xfId="76" applyFont="1" applyAlignment="1">
      <alignment vertical="center"/>
    </xf>
    <xf numFmtId="0" fontId="0" fillId="5" borderId="0" xfId="76" applyFont="1" applyFill="1" applyAlignment="1">
      <alignment vertical="center"/>
    </xf>
    <xf numFmtId="0" fontId="8" fillId="5" borderId="0" xfId="76" applyFont="1" applyFill="1" applyAlignment="1">
      <alignment horizontal="center" vertical="center"/>
    </xf>
    <xf numFmtId="176" fontId="0" fillId="0" borderId="0" xfId="0" applyNumberFormat="1" applyAlignment="1">
      <alignment vertical="center"/>
    </xf>
    <xf numFmtId="0" fontId="10" fillId="2" borderId="1" xfId="76" applyFont="1" applyFill="1" applyBorder="1" applyAlignment="1">
      <alignment vertical="center"/>
    </xf>
    <xf numFmtId="0" fontId="10" fillId="2" borderId="1" xfId="76" applyFont="1" applyFill="1" applyBorder="1" applyAlignment="1">
      <alignment horizontal="center" vertical="center"/>
    </xf>
    <xf numFmtId="49" fontId="0" fillId="0" borderId="0" xfId="0" applyNumberFormat="1" applyAlignment="1">
      <alignment vertical="center"/>
    </xf>
    <xf numFmtId="0" fontId="33" fillId="0" borderId="0" xfId="0" applyFont="1" applyAlignment="1"/>
    <xf numFmtId="0" fontId="34" fillId="0" borderId="0" xfId="0" applyFont="1" applyAlignment="1"/>
  </cellXfs>
  <cellStyles count="7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5 3 2" xfId="49"/>
    <cellStyle name="20% - 强调文字颜色 5 6 2 6" xfId="50"/>
    <cellStyle name="20% - 强调文字颜色 2 4 2 3" xfId="51"/>
    <cellStyle name="40% - 强调文字颜色 4 5 2 6" xfId="52"/>
    <cellStyle name="20% - 强调文字颜色 1 2" xfId="53"/>
    <cellStyle name="40% - 强调文字颜色 2 2 3 2 2" xfId="54"/>
    <cellStyle name="40% - 强调文字颜色 3 3 3 2" xfId="55"/>
    <cellStyle name="常规 26 2" xfId="56"/>
    <cellStyle name="常规 31 2" xfId="57"/>
    <cellStyle name="20% - 强调文字颜色 3 6 2 2" xfId="58"/>
    <cellStyle name="60% - 强调文字颜色 1 4 2 2" xfId="59"/>
    <cellStyle name="标题 8 2 3" xfId="60"/>
    <cellStyle name="60% - 强调文字颜色 2 3" xfId="61"/>
    <cellStyle name="标题 1 5 2 2 2" xfId="62"/>
    <cellStyle name="差 5 2 6" xfId="63"/>
    <cellStyle name="20% - 强调文字颜色 5 3 2 2 6" xfId="64"/>
    <cellStyle name="60% - 强调文字颜色 3 2 2 2 2 2 2" xfId="65"/>
    <cellStyle name="标题 4 2 4 2" xfId="66"/>
    <cellStyle name="20% - 强调文字颜色 3 5 2 2 2" xfId="67"/>
    <cellStyle name="60% - 强调文字颜色 6 5 2" xfId="68"/>
    <cellStyle name="60% - 强调文字颜色 4 2 4 3 2" xfId="69"/>
    <cellStyle name="标题 2 2 2 2 2 3" xfId="70"/>
    <cellStyle name="标题 3 5" xfId="71"/>
    <cellStyle name="60% - 强调文字颜色 3 6" xfId="72"/>
    <cellStyle name="40% - 强调文字颜色 5 2 2 2 2 6" xfId="73"/>
    <cellStyle name="差_FightBuilding 2 3" xfId="74"/>
    <cellStyle name="常规 11 2 3" xfId="75"/>
    <cellStyle name="常规 106" xfId="76"/>
    <cellStyle name="常规 2 11" xfId="77"/>
    <cellStyle name="超链接 2" xfId="78"/>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736"/>
  <sheetViews>
    <sheetView tabSelected="1" workbookViewId="0">
      <pane xSplit="5" ySplit="7" topLeftCell="K3005" activePane="bottomRight" state="frozen"/>
      <selection/>
      <selection pane="topRight"/>
      <selection pane="bottomLeft"/>
      <selection pane="bottomRight" activeCell="B4" sqref="B4"/>
    </sheetView>
  </sheetViews>
  <sheetFormatPr defaultColWidth="9" defaultRowHeight="13.5"/>
  <cols>
    <col min="1" max="2" width="12.625" style="1" customWidth="1"/>
    <col min="3" max="3" width="13.125" style="1" customWidth="1"/>
    <col min="4" max="4" width="12.625" style="1" customWidth="1"/>
    <col min="5" max="5" width="22.9083333333333" style="1" customWidth="1"/>
    <col min="6" max="6" width="34.375" style="1" customWidth="1"/>
    <col min="7" max="7" width="108.125" style="1" customWidth="1"/>
    <col min="8" max="10" width="37.325" style="1" customWidth="1"/>
    <col min="11" max="11" width="37.325" style="33" customWidth="1"/>
    <col min="12" max="14" width="37.325" style="1" customWidth="1"/>
    <col min="15" max="15" width="37.325" style="2" customWidth="1"/>
    <col min="16" max="16" width="18.875" style="1" customWidth="1"/>
    <col min="17" max="17" width="25.125" style="1" customWidth="1"/>
    <col min="18" max="18" width="34.2583333333333" style="1" customWidth="1"/>
    <col min="19" max="19" width="12.375" style="33" customWidth="1"/>
    <col min="20" max="21" width="12" style="1" customWidth="1"/>
    <col min="22" max="22" width="12.375" style="33" customWidth="1"/>
    <col min="23" max="23" width="13.2583333333333" style="1" customWidth="1"/>
    <col min="24" max="24" width="17.2583333333333" style="1" customWidth="1"/>
    <col min="25" max="25" width="15.125" style="1" customWidth="1"/>
    <col min="26" max="26" width="15.125" style="33" customWidth="1"/>
    <col min="27" max="27" width="16.875" style="1" customWidth="1"/>
    <col min="28" max="28" width="14.5083333333333" style="1" customWidth="1"/>
    <col min="29" max="29" width="15.375" style="1" customWidth="1"/>
    <col min="30" max="30" width="13.125" style="62" customWidth="1"/>
    <col min="31" max="31" width="14" style="62" customWidth="1"/>
    <col min="32" max="32" width="16.7583333333333" style="62" customWidth="1"/>
    <col min="33" max="34" width="17.625" style="63" customWidth="1"/>
    <col min="35" max="35" width="22.125" style="63" customWidth="1"/>
    <col min="36" max="37" width="17.625" style="63" customWidth="1"/>
    <col min="38" max="39" width="17.625" style="64" customWidth="1"/>
    <col min="40" max="40" width="17.625" style="65" customWidth="1"/>
    <col min="41" max="42" width="17.625" style="64" customWidth="1"/>
    <col min="43" max="43" width="17" style="1" customWidth="1"/>
    <col min="44" max="44" width="36.625" style="1" customWidth="1"/>
    <col min="45" max="45" width="12" style="1" customWidth="1"/>
  </cols>
  <sheetData>
    <row r="1" spans="1:45">
      <c r="A1" t="s">
        <v>0</v>
      </c>
      <c r="B1">
        <v>1</v>
      </c>
      <c r="C1">
        <v>9999</v>
      </c>
      <c r="D1">
        <v>45</v>
      </c>
      <c r="AC1" t="s">
        <v>1</v>
      </c>
    </row>
    <row r="2" ht="42.95" customHeight="1" spans="1:45">
      <c r="A2" s="8" t="s">
        <v>2</v>
      </c>
      <c r="B2" s="8" t="s">
        <v>3</v>
      </c>
      <c r="C2" s="8" t="s">
        <v>4</v>
      </c>
      <c r="D2" s="8" t="s">
        <v>5</v>
      </c>
      <c r="E2" s="8" t="s">
        <v>6</v>
      </c>
      <c r="F2" s="8" t="s">
        <v>7</v>
      </c>
      <c r="G2" s="8" t="s">
        <v>8</v>
      </c>
      <c r="H2" s="8" t="s">
        <v>9</v>
      </c>
      <c r="I2" s="8" t="s">
        <v>10</v>
      </c>
      <c r="J2" t="s">
        <v>11</v>
      </c>
      <c r="K2" s="66" t="s">
        <v>12</v>
      </c>
      <c r="L2" s="67" t="s">
        <v>13</v>
      </c>
      <c r="M2" s="67" t="s">
        <v>14</v>
      </c>
      <c r="N2" s="67" t="s">
        <v>15</v>
      </c>
      <c r="O2" s="68" t="s">
        <v>16</v>
      </c>
      <c r="P2" s="8" t="s">
        <v>17</v>
      </c>
      <c r="Q2" s="8" t="s">
        <v>18</v>
      </c>
      <c r="R2" s="8" t="s">
        <v>19</v>
      </c>
      <c r="S2" s="66" t="s">
        <v>20</v>
      </c>
      <c r="T2" s="67" t="s">
        <v>21</v>
      </c>
      <c r="U2" s="67" t="s">
        <v>22</v>
      </c>
      <c r="V2" s="66" t="s">
        <v>23</v>
      </c>
      <c r="W2" s="69" t="s">
        <v>24</v>
      </c>
      <c r="X2" t="s">
        <v>25</v>
      </c>
      <c r="Y2" s="51" t="s">
        <v>26</v>
      </c>
      <c r="Z2" s="70" t="s">
        <v>27</v>
      </c>
      <c r="AA2" t="s">
        <v>28</v>
      </c>
      <c r="AB2" t="s">
        <v>29</v>
      </c>
      <c r="AC2" t="s">
        <v>30</v>
      </c>
      <c r="AD2" s="62" t="s">
        <v>31</v>
      </c>
      <c r="AE2" s="71" t="s">
        <v>32</v>
      </c>
      <c r="AF2" s="71" t="s">
        <v>33</v>
      </c>
      <c r="AG2" s="72" t="s">
        <v>34</v>
      </c>
      <c r="AH2" s="72" t="s">
        <v>35</v>
      </c>
      <c r="AI2" s="72" t="s">
        <v>36</v>
      </c>
      <c r="AJ2" s="72" t="s">
        <v>37</v>
      </c>
      <c r="AK2" s="72" t="s">
        <v>38</v>
      </c>
      <c r="AL2" s="73" t="s">
        <v>39</v>
      </c>
      <c r="AM2" s="73" t="s">
        <v>40</v>
      </c>
      <c r="AN2" s="74" t="s">
        <v>41</v>
      </c>
      <c r="AO2" s="73" t="s">
        <v>42</v>
      </c>
      <c r="AP2" s="73" t="s">
        <v>43</v>
      </c>
      <c r="AQ2" s="8" t="s">
        <v>44</v>
      </c>
      <c r="AR2" s="73" t="s">
        <v>45</v>
      </c>
      <c r="AS2" s="73" t="s">
        <v>46</v>
      </c>
    </row>
    <row r="3" s="9" customFormat="1" spans="1:45">
      <c r="A3" s="75" t="s">
        <v>47</v>
      </c>
      <c r="B3" s="75" t="s">
        <v>48</v>
      </c>
      <c r="C3" s="75" t="s">
        <v>49</v>
      </c>
      <c r="D3" s="75" t="s">
        <v>50</v>
      </c>
      <c r="E3" s="75"/>
      <c r="F3" s="75" t="s">
        <v>51</v>
      </c>
      <c r="G3" s="75" t="s">
        <v>52</v>
      </c>
      <c r="H3" s="75"/>
      <c r="I3" s="75" t="s">
        <v>53</v>
      </c>
      <c r="J3" s="9" t="s">
        <v>54</v>
      </c>
      <c r="K3" s="76" t="s">
        <v>55</v>
      </c>
      <c r="L3" s="75" t="s">
        <v>56</v>
      </c>
      <c r="M3" s="75" t="s">
        <v>57</v>
      </c>
      <c r="N3" s="75" t="s">
        <v>58</v>
      </c>
      <c r="O3" s="77" t="s">
        <v>59</v>
      </c>
      <c r="P3" s="75" t="s">
        <v>60</v>
      </c>
      <c r="Q3" s="75"/>
      <c r="R3" s="75" t="s">
        <v>61</v>
      </c>
      <c r="S3" s="76" t="s">
        <v>62</v>
      </c>
      <c r="T3" s="75" t="s">
        <v>63</v>
      </c>
      <c r="U3" s="75" t="s">
        <v>64</v>
      </c>
      <c r="V3" s="76" t="s">
        <v>65</v>
      </c>
      <c r="W3" s="9" t="s">
        <v>66</v>
      </c>
      <c r="X3" s="9" t="s">
        <v>67</v>
      </c>
      <c r="Y3" s="9" t="s">
        <v>68</v>
      </c>
      <c r="Z3" s="78" t="s">
        <v>69</v>
      </c>
      <c r="AA3" s="9" t="s">
        <v>70</v>
      </c>
      <c r="AB3" s="9" t="s">
        <v>71</v>
      </c>
      <c r="AC3" s="9" t="s">
        <v>72</v>
      </c>
      <c r="AD3" s="79"/>
      <c r="AE3" s="80"/>
      <c r="AF3" s="80"/>
      <c r="AG3" s="81" t="s">
        <v>73</v>
      </c>
      <c r="AH3" s="81" t="s">
        <v>74</v>
      </c>
      <c r="AI3" s="81" t="s">
        <v>75</v>
      </c>
      <c r="AJ3" s="81" t="s">
        <v>76</v>
      </c>
      <c r="AK3" s="81" t="s">
        <v>77</v>
      </c>
      <c r="AL3" s="82"/>
      <c r="AM3" s="82"/>
      <c r="AN3" s="83"/>
      <c r="AO3" s="82"/>
      <c r="AP3" s="82" t="s">
        <v>78</v>
      </c>
      <c r="AQ3" s="75"/>
      <c r="AR3" s="9" t="s">
        <v>79</v>
      </c>
      <c r="AS3" s="84" t="s">
        <v>80</v>
      </c>
    </row>
    <row r="4" s="9" customFormat="1" spans="1:45">
      <c r="A4" s="75" t="s">
        <v>81</v>
      </c>
      <c r="B4" s="75" t="s">
        <v>81</v>
      </c>
      <c r="C4" s="75" t="s">
        <v>81</v>
      </c>
      <c r="D4" s="75" t="s">
        <v>81</v>
      </c>
      <c r="E4" s="75"/>
      <c r="F4" s="75" t="s">
        <v>82</v>
      </c>
      <c r="G4" s="75" t="s">
        <v>82</v>
      </c>
      <c r="H4" s="75" t="s">
        <v>82</v>
      </c>
      <c r="I4" s="75" t="s">
        <v>81</v>
      </c>
      <c r="J4" s="75" t="s">
        <v>81</v>
      </c>
      <c r="K4" s="76" t="s">
        <v>81</v>
      </c>
      <c r="L4" s="75" t="s">
        <v>81</v>
      </c>
      <c r="M4" s="75" t="s">
        <v>81</v>
      </c>
      <c r="N4" s="75" t="s">
        <v>81</v>
      </c>
      <c r="O4" s="85" t="s">
        <v>83</v>
      </c>
      <c r="P4" s="9" t="s">
        <v>82</v>
      </c>
      <c r="Q4" s="9" t="s">
        <v>83</v>
      </c>
      <c r="R4" s="9" t="s">
        <v>82</v>
      </c>
      <c r="S4" s="76" t="s">
        <v>81</v>
      </c>
      <c r="T4" s="75" t="s">
        <v>81</v>
      </c>
      <c r="U4" s="75" t="s">
        <v>81</v>
      </c>
      <c r="V4" s="76" t="s">
        <v>81</v>
      </c>
      <c r="W4" s="9" t="s">
        <v>81</v>
      </c>
      <c r="X4" s="9" t="s">
        <v>81</v>
      </c>
      <c r="Y4" s="9" t="s">
        <v>81</v>
      </c>
      <c r="Z4" s="78" t="s">
        <v>81</v>
      </c>
      <c r="AA4" s="9" t="s">
        <v>81</v>
      </c>
      <c r="AB4" s="9" t="s">
        <v>81</v>
      </c>
      <c r="AC4" s="9" t="s">
        <v>81</v>
      </c>
      <c r="AD4" s="79" t="s">
        <v>81</v>
      </c>
      <c r="AE4" s="80" t="s">
        <v>81</v>
      </c>
      <c r="AF4" s="80" t="s">
        <v>81</v>
      </c>
      <c r="AG4" s="81" t="s">
        <v>81</v>
      </c>
      <c r="AH4" s="81" t="s">
        <v>81</v>
      </c>
      <c r="AI4" s="81" t="s">
        <v>83</v>
      </c>
      <c r="AJ4" s="81" t="s">
        <v>81</v>
      </c>
      <c r="AK4" s="81" t="s">
        <v>81</v>
      </c>
      <c r="AL4" s="82" t="s">
        <v>81</v>
      </c>
      <c r="AM4" s="82" t="s">
        <v>81</v>
      </c>
      <c r="AN4" s="83" t="s">
        <v>82</v>
      </c>
      <c r="AO4" s="82" t="s">
        <v>82</v>
      </c>
      <c r="AP4" s="82" t="s">
        <v>81</v>
      </c>
      <c r="AQ4" s="75"/>
      <c r="AR4" s="9" t="s">
        <v>81</v>
      </c>
      <c r="AS4" s="82" t="s">
        <v>81</v>
      </c>
    </row>
    <row r="5" s="9" customFormat="1" spans="1:45">
      <c r="A5" s="75" t="s">
        <v>84</v>
      </c>
      <c r="B5" s="75" t="s">
        <v>85</v>
      </c>
      <c r="C5" s="75" t="s">
        <v>86</v>
      </c>
      <c r="D5" s="75" t="s">
        <v>85</v>
      </c>
      <c r="E5" s="75"/>
      <c r="F5" s="75" t="s">
        <v>85</v>
      </c>
      <c r="G5" s="75" t="s">
        <v>85</v>
      </c>
      <c r="H5" s="75" t="s">
        <v>85</v>
      </c>
      <c r="I5" s="75" t="s">
        <v>85</v>
      </c>
      <c r="J5" s="75" t="s">
        <v>85</v>
      </c>
      <c r="K5" s="76" t="s">
        <v>85</v>
      </c>
      <c r="L5" s="75" t="s">
        <v>85</v>
      </c>
      <c r="M5" s="75" t="s">
        <v>85</v>
      </c>
      <c r="N5" s="75" t="s">
        <v>85</v>
      </c>
      <c r="O5" s="77" t="s">
        <v>85</v>
      </c>
      <c r="P5" s="9" t="s">
        <v>85</v>
      </c>
      <c r="Q5" s="9" t="s">
        <v>85</v>
      </c>
      <c r="R5" s="9" t="s">
        <v>85</v>
      </c>
      <c r="S5" s="76" t="s">
        <v>85</v>
      </c>
      <c r="T5" s="75" t="s">
        <v>85</v>
      </c>
      <c r="U5" s="75" t="s">
        <v>85</v>
      </c>
      <c r="V5" s="76" t="s">
        <v>85</v>
      </c>
      <c r="W5" s="9" t="s">
        <v>85</v>
      </c>
      <c r="X5" s="9" t="s">
        <v>85</v>
      </c>
      <c r="Y5" s="9" t="s">
        <v>85</v>
      </c>
      <c r="Z5" s="78" t="s">
        <v>85</v>
      </c>
      <c r="AA5" s="9" t="s">
        <v>85</v>
      </c>
      <c r="AB5" s="9" t="s">
        <v>85</v>
      </c>
      <c r="AC5" s="9" t="s">
        <v>85</v>
      </c>
      <c r="AD5" s="79" t="s">
        <v>85</v>
      </c>
      <c r="AE5" s="80" t="s">
        <v>85</v>
      </c>
      <c r="AF5" s="80" t="s">
        <v>85</v>
      </c>
      <c r="AG5" s="81" t="s">
        <v>85</v>
      </c>
      <c r="AH5" s="81" t="s">
        <v>85</v>
      </c>
      <c r="AI5" s="81" t="s">
        <v>85</v>
      </c>
      <c r="AJ5" s="81" t="s">
        <v>85</v>
      </c>
      <c r="AK5" s="81" t="s">
        <v>85</v>
      </c>
      <c r="AL5" s="82" t="s">
        <v>85</v>
      </c>
      <c r="AM5" s="82" t="s">
        <v>85</v>
      </c>
      <c r="AN5" s="83" t="s">
        <v>85</v>
      </c>
      <c r="AO5" s="82" t="s">
        <v>85</v>
      </c>
      <c r="AP5" s="82" t="s">
        <v>85</v>
      </c>
      <c r="AQ5" s="75"/>
      <c r="AR5" s="9" t="s">
        <v>85</v>
      </c>
      <c r="AS5" s="82" t="s">
        <v>85</v>
      </c>
    </row>
    <row r="6" s="9" customFormat="1" spans="1:45">
      <c r="A6" s="75" t="s">
        <v>47</v>
      </c>
      <c r="B6" s="75" t="s">
        <v>48</v>
      </c>
      <c r="C6" s="75" t="s">
        <v>49</v>
      </c>
      <c r="D6" s="75" t="s">
        <v>50</v>
      </c>
      <c r="E6" s="75"/>
      <c r="F6" s="75" t="s">
        <v>51</v>
      </c>
      <c r="G6" s="75" t="s">
        <v>52</v>
      </c>
      <c r="H6" s="75"/>
      <c r="I6" s="75" t="s">
        <v>53</v>
      </c>
      <c r="J6" s="9" t="s">
        <v>54</v>
      </c>
      <c r="K6" s="76" t="s">
        <v>55</v>
      </c>
      <c r="L6" s="75" t="s">
        <v>56</v>
      </c>
      <c r="M6" s="75" t="s">
        <v>57</v>
      </c>
      <c r="N6" s="75" t="s">
        <v>58</v>
      </c>
      <c r="O6" s="77" t="s">
        <v>59</v>
      </c>
      <c r="P6" s="75" t="s">
        <v>60</v>
      </c>
      <c r="Q6" s="75"/>
      <c r="R6" s="75" t="s">
        <v>61</v>
      </c>
      <c r="S6" s="76" t="s">
        <v>62</v>
      </c>
      <c r="T6" s="75" t="s">
        <v>63</v>
      </c>
      <c r="U6" s="75" t="s">
        <v>64</v>
      </c>
      <c r="V6" s="76" t="s">
        <v>65</v>
      </c>
      <c r="W6" s="9" t="s">
        <v>66</v>
      </c>
      <c r="X6" s="9" t="s">
        <v>67</v>
      </c>
      <c r="Y6" s="9" t="s">
        <v>68</v>
      </c>
      <c r="Z6" s="78" t="s">
        <v>69</v>
      </c>
      <c r="AA6" s="9" t="s">
        <v>70</v>
      </c>
      <c r="AB6" s="9" t="s">
        <v>71</v>
      </c>
      <c r="AC6" s="9" t="s">
        <v>72</v>
      </c>
      <c r="AD6" s="79"/>
      <c r="AE6" s="80"/>
      <c r="AF6" s="80"/>
      <c r="AG6" s="81" t="s">
        <v>73</v>
      </c>
      <c r="AH6" s="81" t="s">
        <v>74</v>
      </c>
      <c r="AI6" s="81" t="s">
        <v>75</v>
      </c>
      <c r="AJ6" s="81" t="s">
        <v>76</v>
      </c>
      <c r="AK6" s="81" t="s">
        <v>77</v>
      </c>
      <c r="AL6" s="82"/>
      <c r="AM6" s="82"/>
      <c r="AN6" s="83"/>
      <c r="AO6" s="82"/>
      <c r="AP6" s="82" t="s">
        <v>78</v>
      </c>
      <c r="AQ6" s="75"/>
      <c r="AR6" s="9" t="s">
        <v>79</v>
      </c>
      <c r="AS6" s="84" t="s">
        <v>80</v>
      </c>
    </row>
    <row r="7" s="9" customFormat="1" ht="15.95" customHeight="1" spans="1:45">
      <c r="A7" s="8" t="s">
        <v>87</v>
      </c>
      <c r="B7" s="8">
        <v>1001</v>
      </c>
      <c r="C7" s="8">
        <v>1</v>
      </c>
      <c r="D7" s="8">
        <v>1001</v>
      </c>
      <c r="E7" t="s">
        <v>88</v>
      </c>
      <c r="F7" s="13" t="s">
        <v>88</v>
      </c>
      <c r="G7" t="s">
        <v>89</v>
      </c>
      <c r="H7" s="86" t="s">
        <v>90</v>
      </c>
      <c r="I7">
        <v>1</v>
      </c>
      <c r="J7" s="69">
        <v>4</v>
      </c>
      <c r="K7" s="87">
        <v>1</v>
      </c>
      <c r="L7" s="8">
        <v>999</v>
      </c>
      <c r="M7" s="8"/>
      <c r="N7" s="8"/>
      <c r="O7" s="88"/>
      <c r="R7" s="8"/>
      <c r="S7" s="89">
        <v>0</v>
      </c>
      <c r="T7" s="8">
        <v>5</v>
      </c>
      <c r="U7" s="89">
        <v>10</v>
      </c>
      <c r="V7" s="87">
        <v>1</v>
      </c>
      <c r="W7">
        <v>0</v>
      </c>
      <c r="X7" s="8">
        <v>0</v>
      </c>
      <c r="Y7">
        <v>0</v>
      </c>
      <c r="Z7" s="33">
        <v>0</v>
      </c>
      <c r="AA7">
        <v>5</v>
      </c>
      <c r="AB7" s="34">
        <v>20</v>
      </c>
      <c r="AC7" s="87">
        <v>999</v>
      </c>
      <c r="AE7" s="90"/>
      <c r="AF7" s="90"/>
      <c r="AG7" s="91"/>
      <c r="AH7" s="91"/>
      <c r="AI7" s="91"/>
      <c r="AJ7" s="91"/>
      <c r="AK7" s="91"/>
      <c r="AL7" s="92"/>
      <c r="AM7" s="92"/>
      <c r="AN7" s="93"/>
      <c r="AO7" s="92"/>
      <c r="AP7" s="86"/>
      <c r="AS7">
        <v>1</v>
      </c>
    </row>
    <row r="8" ht="14.25" customHeight="1" spans="1:45">
      <c r="A8" s="8">
        <v>112002</v>
      </c>
      <c r="B8" s="8">
        <v>1001</v>
      </c>
      <c r="C8" s="8">
        <v>1</v>
      </c>
      <c r="D8" s="8">
        <v>1001</v>
      </c>
      <c r="E8" t="s">
        <v>91</v>
      </c>
      <c r="F8" s="13" t="s">
        <v>91</v>
      </c>
      <c r="G8" t="s">
        <v>92</v>
      </c>
      <c r="H8" s="86" t="s">
        <v>93</v>
      </c>
      <c r="I8">
        <v>1</v>
      </c>
      <c r="J8" s="69">
        <v>4</v>
      </c>
      <c r="K8" s="87">
        <v>1</v>
      </c>
      <c r="L8" s="8">
        <v>999</v>
      </c>
      <c r="M8" s="8"/>
      <c r="N8" s="8"/>
      <c r="O8" s="88"/>
      <c r="R8" s="8"/>
      <c r="S8" s="89">
        <v>1</v>
      </c>
      <c r="T8" s="8">
        <v>5</v>
      </c>
      <c r="U8" s="89">
        <v>10</v>
      </c>
      <c r="V8" s="87">
        <v>1</v>
      </c>
      <c r="W8">
        <v>0</v>
      </c>
      <c r="X8" s="8">
        <v>0</v>
      </c>
      <c r="Y8">
        <v>0</v>
      </c>
      <c r="Z8" s="33">
        <v>0</v>
      </c>
      <c r="AA8">
        <v>5</v>
      </c>
      <c r="AB8" s="34">
        <v>200</v>
      </c>
      <c r="AC8" s="87">
        <v>999</v>
      </c>
      <c r="AE8" s="90"/>
      <c r="AF8" s="90"/>
      <c r="AG8" s="91"/>
      <c r="AH8" s="91"/>
      <c r="AI8" s="91"/>
      <c r="AJ8" s="91"/>
      <c r="AK8" s="91"/>
      <c r="AL8" s="92"/>
      <c r="AM8" s="92"/>
      <c r="AN8" s="93"/>
      <c r="AO8" s="92"/>
      <c r="AP8" s="86"/>
      <c r="AS8">
        <v>1</v>
      </c>
    </row>
    <row r="9" ht="14.25" customHeight="1" spans="1:45">
      <c r="A9" s="8">
        <v>112003</v>
      </c>
      <c r="B9" s="8">
        <v>1001</v>
      </c>
      <c r="C9" s="8">
        <v>1</v>
      </c>
      <c r="D9" s="8">
        <v>1001</v>
      </c>
      <c r="E9" t="s">
        <v>94</v>
      </c>
      <c r="F9" s="13" t="s">
        <v>94</v>
      </c>
      <c r="G9" t="s">
        <v>95</v>
      </c>
      <c r="H9" s="86" t="s">
        <v>96</v>
      </c>
      <c r="I9">
        <v>1</v>
      </c>
      <c r="J9" s="69">
        <v>4</v>
      </c>
      <c r="K9" s="87">
        <v>1</v>
      </c>
      <c r="L9" s="8">
        <v>999</v>
      </c>
      <c r="M9" s="8"/>
      <c r="N9" s="8"/>
      <c r="O9" s="88"/>
      <c r="R9" s="8"/>
      <c r="S9" s="89">
        <v>0</v>
      </c>
      <c r="T9" s="8">
        <v>5</v>
      </c>
      <c r="U9" s="89">
        <v>10</v>
      </c>
      <c r="V9" s="87">
        <v>1</v>
      </c>
      <c r="W9">
        <v>0</v>
      </c>
      <c r="X9" s="8">
        <v>0</v>
      </c>
      <c r="Y9">
        <v>0</v>
      </c>
      <c r="Z9" s="33">
        <v>0</v>
      </c>
      <c r="AA9">
        <v>5</v>
      </c>
      <c r="AB9" s="34">
        <v>20</v>
      </c>
      <c r="AC9" s="87">
        <v>999</v>
      </c>
      <c r="AE9" s="90"/>
      <c r="AF9" s="90"/>
      <c r="AG9" s="91"/>
      <c r="AH9" s="91"/>
      <c r="AI9" s="91"/>
      <c r="AJ9" s="91"/>
      <c r="AK9" s="91"/>
      <c r="AL9" s="92"/>
      <c r="AM9" s="92"/>
      <c r="AN9" s="93"/>
      <c r="AO9" s="92"/>
      <c r="AP9" s="86"/>
      <c r="AS9">
        <v>1</v>
      </c>
    </row>
    <row r="10" ht="14.25" customHeight="1" spans="1:45">
      <c r="A10" s="8">
        <v>112004</v>
      </c>
      <c r="B10" s="8">
        <v>1001</v>
      </c>
      <c r="C10" s="8">
        <v>1</v>
      </c>
      <c r="D10" s="8">
        <v>1001</v>
      </c>
      <c r="E10" t="s">
        <v>97</v>
      </c>
      <c r="F10" s="13" t="s">
        <v>97</v>
      </c>
      <c r="G10" t="s">
        <v>98</v>
      </c>
      <c r="H10" s="86" t="s">
        <v>99</v>
      </c>
      <c r="I10">
        <v>1</v>
      </c>
      <c r="J10" s="69">
        <v>4</v>
      </c>
      <c r="K10" s="87">
        <v>1</v>
      </c>
      <c r="L10" s="8">
        <v>999</v>
      </c>
      <c r="M10" s="8"/>
      <c r="N10" s="8"/>
      <c r="O10" s="88"/>
      <c r="R10" s="8"/>
      <c r="S10" s="89">
        <v>0</v>
      </c>
      <c r="T10" s="8">
        <v>5</v>
      </c>
      <c r="U10" s="89">
        <v>10</v>
      </c>
      <c r="V10" s="87">
        <v>1</v>
      </c>
      <c r="W10">
        <v>0</v>
      </c>
      <c r="X10" s="8">
        <v>0</v>
      </c>
      <c r="Y10">
        <v>0</v>
      </c>
      <c r="Z10" s="33">
        <v>0</v>
      </c>
      <c r="AA10">
        <v>5</v>
      </c>
      <c r="AB10" s="34">
        <v>20</v>
      </c>
      <c r="AC10" s="87">
        <v>999</v>
      </c>
      <c r="AE10" s="90"/>
      <c r="AF10" s="90"/>
      <c r="AG10" s="91"/>
      <c r="AH10" s="91"/>
      <c r="AI10" s="91"/>
      <c r="AJ10" s="91"/>
      <c r="AK10" s="91"/>
      <c r="AL10" s="92"/>
      <c r="AM10" s="92"/>
      <c r="AN10" s="93"/>
      <c r="AO10" s="92"/>
      <c r="AP10" s="86"/>
      <c r="AS10">
        <v>1</v>
      </c>
    </row>
    <row r="11" ht="14.25" customHeight="1" spans="1:45">
      <c r="A11" s="8">
        <v>122001</v>
      </c>
      <c r="B11" s="8">
        <v>1001</v>
      </c>
      <c r="C11" s="8">
        <v>1</v>
      </c>
      <c r="D11" s="8">
        <v>1001</v>
      </c>
      <c r="E11" t="s">
        <v>100</v>
      </c>
      <c r="F11" s="13" t="s">
        <v>100</v>
      </c>
      <c r="G11" t="s">
        <v>101</v>
      </c>
      <c r="H11" s="86" t="s">
        <v>102</v>
      </c>
      <c r="I11">
        <v>1</v>
      </c>
      <c r="J11" s="69">
        <v>4</v>
      </c>
      <c r="K11" s="87">
        <v>1</v>
      </c>
      <c r="L11" s="8">
        <v>999</v>
      </c>
      <c r="M11" s="8"/>
      <c r="N11" s="8"/>
      <c r="O11" s="88"/>
      <c r="R11" s="8"/>
      <c r="S11" s="89">
        <v>0</v>
      </c>
      <c r="T11" s="8">
        <v>5</v>
      </c>
      <c r="U11" s="89">
        <v>10</v>
      </c>
      <c r="V11" s="87">
        <v>1</v>
      </c>
      <c r="W11">
        <v>0</v>
      </c>
      <c r="X11" s="8">
        <v>0</v>
      </c>
      <c r="Y11">
        <v>0</v>
      </c>
      <c r="Z11" s="33">
        <v>0</v>
      </c>
      <c r="AA11">
        <v>5</v>
      </c>
      <c r="AB11" s="34">
        <v>20</v>
      </c>
      <c r="AC11" s="87">
        <v>999</v>
      </c>
      <c r="AE11" s="90"/>
      <c r="AF11" s="90"/>
      <c r="AG11" s="91"/>
      <c r="AH11" s="91"/>
      <c r="AI11" s="91"/>
      <c r="AJ11" s="91"/>
      <c r="AK11" s="91"/>
      <c r="AL11" s="92"/>
      <c r="AM11" s="92"/>
      <c r="AN11" s="93"/>
      <c r="AO11" s="92"/>
      <c r="AP11" s="86">
        <v>1</v>
      </c>
      <c r="AS11">
        <v>1</v>
      </c>
    </row>
    <row r="12" ht="14.25" customHeight="1" spans="1:45">
      <c r="A12" s="8">
        <v>122002</v>
      </c>
      <c r="B12" s="8">
        <v>1001</v>
      </c>
      <c r="C12" s="8">
        <v>1</v>
      </c>
      <c r="D12" s="8">
        <v>1001</v>
      </c>
      <c r="E12" t="s">
        <v>103</v>
      </c>
      <c r="F12" s="13" t="s">
        <v>103</v>
      </c>
      <c r="G12" t="s">
        <v>104</v>
      </c>
      <c r="H12" s="86" t="s">
        <v>105</v>
      </c>
      <c r="I12">
        <v>1</v>
      </c>
      <c r="J12" s="69">
        <v>4</v>
      </c>
      <c r="K12" s="87">
        <v>1</v>
      </c>
      <c r="L12" s="8">
        <v>999</v>
      </c>
      <c r="M12" s="8"/>
      <c r="N12" s="8"/>
      <c r="O12" s="88"/>
      <c r="R12" s="8"/>
      <c r="S12" s="89">
        <v>0</v>
      </c>
      <c r="T12" s="8">
        <v>5</v>
      </c>
      <c r="U12" s="89">
        <v>10</v>
      </c>
      <c r="V12" s="87">
        <v>1</v>
      </c>
      <c r="W12">
        <v>0</v>
      </c>
      <c r="X12" s="8">
        <v>0</v>
      </c>
      <c r="Y12">
        <v>0</v>
      </c>
      <c r="Z12" s="33">
        <v>0</v>
      </c>
      <c r="AA12">
        <v>5</v>
      </c>
      <c r="AB12" s="34">
        <v>20</v>
      </c>
      <c r="AC12" s="87">
        <v>999</v>
      </c>
      <c r="AE12" s="90"/>
      <c r="AF12" s="90"/>
      <c r="AG12" s="91"/>
      <c r="AH12" s="91"/>
      <c r="AI12" s="91"/>
      <c r="AJ12" s="91"/>
      <c r="AK12" s="91"/>
      <c r="AL12" s="92"/>
      <c r="AM12" s="92"/>
      <c r="AN12" s="93"/>
      <c r="AO12" s="92"/>
      <c r="AP12" s="86"/>
      <c r="AS12">
        <v>1</v>
      </c>
    </row>
    <row r="13" ht="14.25" customHeight="1" spans="1:45">
      <c r="A13" s="8">
        <v>122003</v>
      </c>
      <c r="B13" s="8">
        <v>1001</v>
      </c>
      <c r="C13" s="8">
        <v>1</v>
      </c>
      <c r="D13" s="8">
        <v>1001</v>
      </c>
      <c r="E13" t="s">
        <v>106</v>
      </c>
      <c r="F13" s="13" t="s">
        <v>106</v>
      </c>
      <c r="G13" t="s">
        <v>107</v>
      </c>
      <c r="H13" s="86" t="s">
        <v>108</v>
      </c>
      <c r="I13">
        <v>1</v>
      </c>
      <c r="J13" s="69">
        <v>4</v>
      </c>
      <c r="K13" s="87">
        <v>1</v>
      </c>
      <c r="L13" s="8">
        <v>999</v>
      </c>
      <c r="M13" s="8"/>
      <c r="N13" s="8"/>
      <c r="O13" s="88"/>
      <c r="R13" s="8"/>
      <c r="S13" s="89">
        <v>0</v>
      </c>
      <c r="T13" s="8">
        <v>5</v>
      </c>
      <c r="U13" s="89">
        <v>10</v>
      </c>
      <c r="V13" s="87">
        <v>1</v>
      </c>
      <c r="W13">
        <v>0</v>
      </c>
      <c r="X13" s="8">
        <v>0</v>
      </c>
      <c r="Y13">
        <v>0</v>
      </c>
      <c r="Z13" s="33">
        <v>0</v>
      </c>
      <c r="AA13">
        <v>5</v>
      </c>
      <c r="AB13" s="34">
        <v>20</v>
      </c>
      <c r="AC13" s="87">
        <v>999</v>
      </c>
      <c r="AE13" s="90"/>
      <c r="AF13" s="90"/>
      <c r="AG13" s="91"/>
      <c r="AH13" s="91"/>
      <c r="AI13" s="91"/>
      <c r="AJ13" s="91"/>
      <c r="AK13" s="91"/>
      <c r="AL13" s="92"/>
      <c r="AM13" s="92"/>
      <c r="AN13" s="93"/>
      <c r="AO13" s="92"/>
      <c r="AP13" s="86"/>
      <c r="AS13">
        <v>1</v>
      </c>
    </row>
    <row r="14" ht="14.25" customHeight="1" spans="1:45">
      <c r="A14" s="8">
        <v>122004</v>
      </c>
      <c r="B14" s="8">
        <v>1001</v>
      </c>
      <c r="C14" s="8">
        <v>1</v>
      </c>
      <c r="D14" s="8">
        <v>1001</v>
      </c>
      <c r="E14" t="s">
        <v>109</v>
      </c>
      <c r="F14" s="13" t="s">
        <v>109</v>
      </c>
      <c r="G14" t="s">
        <v>110</v>
      </c>
      <c r="H14" s="86" t="s">
        <v>111</v>
      </c>
      <c r="I14">
        <v>1</v>
      </c>
      <c r="J14" s="69">
        <v>2</v>
      </c>
      <c r="K14" s="87">
        <v>2</v>
      </c>
      <c r="L14" s="8">
        <v>999</v>
      </c>
      <c r="M14" s="8"/>
      <c r="N14" s="8">
        <v>1026</v>
      </c>
      <c r="O14" s="88">
        <v>130006</v>
      </c>
      <c r="R14" s="8"/>
      <c r="S14" s="89">
        <v>0</v>
      </c>
      <c r="T14" s="8">
        <v>5</v>
      </c>
      <c r="U14" s="89">
        <v>10</v>
      </c>
      <c r="V14" s="87">
        <v>0</v>
      </c>
      <c r="W14">
        <v>0</v>
      </c>
      <c r="X14" s="8">
        <v>1</v>
      </c>
      <c r="Y14">
        <v>0</v>
      </c>
      <c r="Z14" s="33">
        <v>0</v>
      </c>
      <c r="AA14">
        <v>5</v>
      </c>
      <c r="AB14" s="34">
        <v>20</v>
      </c>
      <c r="AC14" s="87">
        <v>300</v>
      </c>
      <c r="AE14" s="90">
        <v>1</v>
      </c>
      <c r="AF14" s="90">
        <v>2</v>
      </c>
      <c r="AG14" s="91"/>
      <c r="AH14" s="91"/>
      <c r="AI14" s="91"/>
      <c r="AJ14" s="91"/>
      <c r="AK14" s="91"/>
      <c r="AL14" s="92"/>
      <c r="AM14" s="92"/>
      <c r="AN14" s="93"/>
      <c r="AO14" s="92"/>
      <c r="AP14" s="86"/>
      <c r="AS14">
        <v>1</v>
      </c>
    </row>
    <row r="15" ht="14.25" customHeight="1" spans="1:45">
      <c r="A15" s="8">
        <v>122005</v>
      </c>
      <c r="B15" s="8">
        <v>1001</v>
      </c>
      <c r="C15" s="8">
        <v>1</v>
      </c>
      <c r="D15" s="8">
        <v>1001</v>
      </c>
      <c r="E15" t="s">
        <v>112</v>
      </c>
      <c r="F15" s="13" t="s">
        <v>112</v>
      </c>
      <c r="G15" t="s">
        <v>113</v>
      </c>
      <c r="H15" s="86" t="s">
        <v>114</v>
      </c>
      <c r="I15">
        <v>1</v>
      </c>
      <c r="J15" s="69">
        <v>3</v>
      </c>
      <c r="K15" s="87">
        <v>2</v>
      </c>
      <c r="L15" s="8">
        <v>999</v>
      </c>
      <c r="M15" s="8"/>
      <c r="N15" s="8">
        <v>1026</v>
      </c>
      <c r="O15" s="88">
        <v>130009</v>
      </c>
      <c r="R15" s="8"/>
      <c r="S15" s="89">
        <v>0</v>
      </c>
      <c r="T15" s="8">
        <v>5</v>
      </c>
      <c r="U15" s="89">
        <v>10</v>
      </c>
      <c r="V15" s="87">
        <v>0</v>
      </c>
      <c r="W15">
        <v>0</v>
      </c>
      <c r="X15" s="8">
        <v>1</v>
      </c>
      <c r="Y15">
        <v>0</v>
      </c>
      <c r="Z15" s="33">
        <v>0</v>
      </c>
      <c r="AA15">
        <v>5</v>
      </c>
      <c r="AB15" s="34">
        <v>200</v>
      </c>
      <c r="AC15" s="87">
        <v>300</v>
      </c>
      <c r="AE15" s="90">
        <v>1</v>
      </c>
      <c r="AF15" s="90">
        <v>2</v>
      </c>
      <c r="AG15" s="91"/>
      <c r="AH15" s="91"/>
      <c r="AI15" s="91"/>
      <c r="AJ15" s="91"/>
      <c r="AK15" s="91"/>
      <c r="AL15" s="92"/>
      <c r="AM15" s="92"/>
      <c r="AN15" s="93"/>
      <c r="AO15" s="92"/>
      <c r="AP15" s="86"/>
      <c r="AS15">
        <v>1</v>
      </c>
    </row>
    <row r="16" ht="14.25" customHeight="1" spans="1:45">
      <c r="A16" s="8">
        <v>122006</v>
      </c>
      <c r="B16" s="8">
        <v>1001</v>
      </c>
      <c r="C16" s="8">
        <v>1</v>
      </c>
      <c r="D16" s="8">
        <v>1001</v>
      </c>
      <c r="E16" t="s">
        <v>115</v>
      </c>
      <c r="F16" s="13" t="s">
        <v>115</v>
      </c>
      <c r="G16" t="s">
        <v>116</v>
      </c>
      <c r="H16" t="s">
        <v>117</v>
      </c>
      <c r="I16">
        <v>1</v>
      </c>
      <c r="J16" s="69">
        <v>1</v>
      </c>
      <c r="K16" s="87">
        <v>2</v>
      </c>
      <c r="L16" s="8">
        <v>999</v>
      </c>
      <c r="M16" s="8"/>
      <c r="N16" s="8">
        <v>1026</v>
      </c>
      <c r="O16" s="2">
        <v>130002</v>
      </c>
      <c r="R16" s="8"/>
      <c r="S16" s="89">
        <v>0</v>
      </c>
      <c r="T16" s="8">
        <v>5</v>
      </c>
      <c r="U16" s="89">
        <v>10</v>
      </c>
      <c r="V16" s="87">
        <v>0</v>
      </c>
      <c r="W16">
        <v>0</v>
      </c>
      <c r="X16" s="8">
        <v>1</v>
      </c>
      <c r="Y16">
        <v>0</v>
      </c>
      <c r="Z16" s="33">
        <v>0</v>
      </c>
      <c r="AA16">
        <v>5</v>
      </c>
      <c r="AB16" s="34">
        <v>200</v>
      </c>
      <c r="AC16" s="87">
        <v>300</v>
      </c>
      <c r="AE16" s="90">
        <v>1</v>
      </c>
      <c r="AF16" s="90">
        <v>2</v>
      </c>
      <c r="AG16" s="91"/>
      <c r="AH16" s="91"/>
      <c r="AI16" s="91"/>
      <c r="AJ16" s="91"/>
      <c r="AK16" s="91"/>
      <c r="AL16" s="92"/>
      <c r="AM16" s="92"/>
      <c r="AN16" s="93"/>
      <c r="AO16" s="92"/>
      <c r="AP16" s="86"/>
      <c r="AS16">
        <v>1</v>
      </c>
    </row>
    <row r="17" ht="14.25" customHeight="1" spans="1:45">
      <c r="A17" s="8">
        <v>122007</v>
      </c>
      <c r="B17" s="8">
        <v>1001</v>
      </c>
      <c r="C17" s="8">
        <v>1</v>
      </c>
      <c r="D17" s="8">
        <v>1001</v>
      </c>
      <c r="E17" t="s">
        <v>118</v>
      </c>
      <c r="F17" s="13" t="s">
        <v>118</v>
      </c>
      <c r="G17" t="s">
        <v>119</v>
      </c>
      <c r="H17" t="s">
        <v>120</v>
      </c>
      <c r="I17">
        <v>1</v>
      </c>
      <c r="J17" s="69">
        <v>1</v>
      </c>
      <c r="K17" s="87">
        <v>2</v>
      </c>
      <c r="L17" s="8">
        <v>999</v>
      </c>
      <c r="M17" s="8"/>
      <c r="N17" s="8">
        <v>1026</v>
      </c>
      <c r="O17" s="2">
        <v>130003</v>
      </c>
      <c r="R17" s="8"/>
      <c r="S17" s="89">
        <v>0</v>
      </c>
      <c r="T17" s="8">
        <v>5</v>
      </c>
      <c r="U17" s="89">
        <v>10</v>
      </c>
      <c r="V17" s="87">
        <v>0</v>
      </c>
      <c r="W17">
        <v>0</v>
      </c>
      <c r="X17" s="8">
        <v>1</v>
      </c>
      <c r="Y17">
        <v>0</v>
      </c>
      <c r="Z17" s="33">
        <v>0</v>
      </c>
      <c r="AA17">
        <v>5</v>
      </c>
      <c r="AB17" s="34">
        <v>200</v>
      </c>
      <c r="AC17" s="87">
        <v>300</v>
      </c>
      <c r="AE17" s="90">
        <v>1</v>
      </c>
      <c r="AF17" s="90">
        <v>2</v>
      </c>
      <c r="AG17" s="91"/>
      <c r="AH17" s="91"/>
      <c r="AI17" s="91"/>
      <c r="AJ17" s="91"/>
      <c r="AK17" s="91"/>
      <c r="AL17" s="92"/>
      <c r="AM17" s="92"/>
      <c r="AN17" s="93"/>
      <c r="AO17" s="92"/>
      <c r="AP17" s="86"/>
      <c r="AS17">
        <v>1</v>
      </c>
    </row>
    <row r="18" ht="14.25" customHeight="1" spans="1:45">
      <c r="A18" s="8">
        <v>122008</v>
      </c>
      <c r="B18" s="8">
        <v>1001</v>
      </c>
      <c r="C18" s="8">
        <v>1</v>
      </c>
      <c r="D18" s="8">
        <v>1001</v>
      </c>
      <c r="E18" t="s">
        <v>121</v>
      </c>
      <c r="F18" s="13" t="s">
        <v>121</v>
      </c>
      <c r="G18" t="s">
        <v>122</v>
      </c>
      <c r="H18" t="s">
        <v>123</v>
      </c>
      <c r="I18">
        <v>1</v>
      </c>
      <c r="J18" s="69">
        <v>1</v>
      </c>
      <c r="K18" s="87">
        <v>2</v>
      </c>
      <c r="L18" s="8">
        <v>999</v>
      </c>
      <c r="M18" s="8"/>
      <c r="N18" s="8">
        <v>1026</v>
      </c>
      <c r="O18" s="2">
        <v>130004</v>
      </c>
      <c r="R18" s="8"/>
      <c r="S18" s="89">
        <v>0</v>
      </c>
      <c r="T18" s="8">
        <v>5</v>
      </c>
      <c r="U18" s="89">
        <v>10</v>
      </c>
      <c r="V18" s="87">
        <v>0</v>
      </c>
      <c r="W18">
        <v>0</v>
      </c>
      <c r="X18" s="8">
        <v>1</v>
      </c>
      <c r="Y18">
        <v>0</v>
      </c>
      <c r="Z18" s="33">
        <v>0</v>
      </c>
      <c r="AA18">
        <v>5</v>
      </c>
      <c r="AB18" s="34">
        <v>200</v>
      </c>
      <c r="AC18" s="87">
        <v>300</v>
      </c>
      <c r="AE18" s="90">
        <v>1</v>
      </c>
      <c r="AF18" s="90">
        <v>2</v>
      </c>
      <c r="AG18" s="91"/>
      <c r="AH18" s="91"/>
      <c r="AI18" s="91"/>
      <c r="AJ18" s="91"/>
      <c r="AK18" s="91"/>
      <c r="AL18" s="92"/>
      <c r="AM18" s="92"/>
      <c r="AN18" s="93"/>
      <c r="AO18" s="92"/>
      <c r="AP18" s="86"/>
      <c r="AS18">
        <v>1</v>
      </c>
    </row>
    <row r="19" ht="14.25" customHeight="1" spans="1:45">
      <c r="A19" s="8">
        <v>122009</v>
      </c>
      <c r="B19" s="8">
        <v>1001</v>
      </c>
      <c r="C19" s="8">
        <v>1</v>
      </c>
      <c r="D19" s="8">
        <v>1001</v>
      </c>
      <c r="E19" t="s">
        <v>124</v>
      </c>
      <c r="F19" s="13" t="s">
        <v>124</v>
      </c>
      <c r="G19" t="s">
        <v>125</v>
      </c>
      <c r="H19" t="s">
        <v>126</v>
      </c>
      <c r="I19">
        <v>1</v>
      </c>
      <c r="J19" s="69">
        <v>2</v>
      </c>
      <c r="K19" s="87">
        <v>2</v>
      </c>
      <c r="L19" s="8">
        <v>999</v>
      </c>
      <c r="M19" s="8"/>
      <c r="N19" s="8">
        <v>1026</v>
      </c>
      <c r="O19" s="2">
        <v>130005</v>
      </c>
      <c r="R19" s="8"/>
      <c r="S19" s="89">
        <v>0</v>
      </c>
      <c r="T19" s="8">
        <v>5</v>
      </c>
      <c r="U19" s="89">
        <v>10</v>
      </c>
      <c r="V19" s="87">
        <v>0</v>
      </c>
      <c r="W19">
        <v>0</v>
      </c>
      <c r="X19" s="8">
        <v>1</v>
      </c>
      <c r="Y19">
        <v>0</v>
      </c>
      <c r="Z19" s="33">
        <v>0</v>
      </c>
      <c r="AA19">
        <v>5</v>
      </c>
      <c r="AB19" s="34">
        <v>200</v>
      </c>
      <c r="AC19" s="87">
        <v>300</v>
      </c>
      <c r="AE19" s="90">
        <v>1</v>
      </c>
      <c r="AF19" s="90">
        <v>2</v>
      </c>
      <c r="AG19" s="91"/>
      <c r="AH19" s="91"/>
      <c r="AI19" s="91"/>
      <c r="AJ19" s="91"/>
      <c r="AK19" s="91"/>
      <c r="AL19" s="92"/>
      <c r="AM19" s="92"/>
      <c r="AN19" s="93"/>
      <c r="AO19" s="92"/>
      <c r="AP19" s="86"/>
      <c r="AS19">
        <v>1</v>
      </c>
    </row>
    <row r="20" ht="14.25" customHeight="1" spans="1:45">
      <c r="A20" s="8">
        <v>122010</v>
      </c>
      <c r="B20" s="8">
        <v>1001</v>
      </c>
      <c r="C20" s="8">
        <v>1</v>
      </c>
      <c r="D20" s="8">
        <v>1001</v>
      </c>
      <c r="E20" t="s">
        <v>127</v>
      </c>
      <c r="F20" s="13" t="s">
        <v>127</v>
      </c>
      <c r="G20" t="s">
        <v>128</v>
      </c>
      <c r="H20" t="s">
        <v>129</v>
      </c>
      <c r="I20">
        <v>1</v>
      </c>
      <c r="J20" s="69">
        <v>2</v>
      </c>
      <c r="K20" s="87">
        <v>2</v>
      </c>
      <c r="L20" s="8">
        <v>999</v>
      </c>
      <c r="M20" s="8"/>
      <c r="N20" s="8">
        <v>1026</v>
      </c>
      <c r="O20" s="2">
        <v>130007</v>
      </c>
      <c r="R20" s="8"/>
      <c r="S20" s="89">
        <v>0</v>
      </c>
      <c r="T20" s="8">
        <v>5</v>
      </c>
      <c r="U20" s="89">
        <v>10</v>
      </c>
      <c r="V20" s="87">
        <v>0</v>
      </c>
      <c r="W20">
        <v>0</v>
      </c>
      <c r="X20" s="8">
        <v>1</v>
      </c>
      <c r="Y20">
        <v>0</v>
      </c>
      <c r="Z20" s="33">
        <v>0</v>
      </c>
      <c r="AA20">
        <v>5</v>
      </c>
      <c r="AB20" s="34">
        <v>200</v>
      </c>
      <c r="AC20" s="87">
        <v>300</v>
      </c>
      <c r="AE20" s="90">
        <v>1</v>
      </c>
      <c r="AF20" s="90">
        <v>2</v>
      </c>
      <c r="AG20" s="91"/>
      <c r="AH20" s="91"/>
      <c r="AI20" s="91"/>
      <c r="AJ20" s="91"/>
      <c r="AK20" s="91"/>
      <c r="AL20" s="92"/>
      <c r="AM20" s="92"/>
      <c r="AN20" s="93"/>
      <c r="AO20" s="92"/>
      <c r="AP20" s="86"/>
      <c r="AS20">
        <v>1</v>
      </c>
    </row>
    <row r="21" ht="14.25" customHeight="1" spans="1:45">
      <c r="A21" s="8">
        <v>122011</v>
      </c>
      <c r="B21" s="8">
        <v>1001</v>
      </c>
      <c r="C21" s="8">
        <v>1</v>
      </c>
      <c r="D21" s="8">
        <v>1001</v>
      </c>
      <c r="E21" t="s">
        <v>130</v>
      </c>
      <c r="F21" s="13" t="s">
        <v>130</v>
      </c>
      <c r="G21" t="s">
        <v>131</v>
      </c>
      <c r="H21" t="s">
        <v>132</v>
      </c>
      <c r="I21">
        <v>1</v>
      </c>
      <c r="J21" s="69">
        <v>3</v>
      </c>
      <c r="K21" s="87">
        <v>2</v>
      </c>
      <c r="L21" s="8">
        <v>999</v>
      </c>
      <c r="M21" s="8"/>
      <c r="N21" s="8">
        <v>1026</v>
      </c>
      <c r="O21" s="2">
        <v>130008</v>
      </c>
      <c r="R21" s="8"/>
      <c r="S21" s="89">
        <v>0</v>
      </c>
      <c r="T21" s="8">
        <v>5</v>
      </c>
      <c r="U21" s="89">
        <v>10</v>
      </c>
      <c r="V21" s="87">
        <v>0</v>
      </c>
      <c r="W21">
        <v>0</v>
      </c>
      <c r="X21" s="8">
        <v>1</v>
      </c>
      <c r="Y21">
        <v>0</v>
      </c>
      <c r="Z21" s="33">
        <v>0</v>
      </c>
      <c r="AA21">
        <v>5</v>
      </c>
      <c r="AB21" s="34">
        <v>200</v>
      </c>
      <c r="AC21" s="87">
        <v>300</v>
      </c>
      <c r="AE21" s="90">
        <v>1</v>
      </c>
      <c r="AF21" s="90">
        <v>2</v>
      </c>
      <c r="AG21" s="91"/>
      <c r="AH21" s="91"/>
      <c r="AI21" s="91"/>
      <c r="AJ21" s="91"/>
      <c r="AK21" s="91"/>
      <c r="AL21" s="92"/>
      <c r="AM21" s="92"/>
      <c r="AN21" s="93"/>
      <c r="AO21" s="92"/>
      <c r="AP21" s="86"/>
      <c r="AS21">
        <v>1</v>
      </c>
    </row>
    <row r="22" ht="14.25" customHeight="1" spans="1:45">
      <c r="A22" s="8">
        <v>122012</v>
      </c>
      <c r="B22" s="8">
        <v>1001</v>
      </c>
      <c r="C22" s="8">
        <v>1</v>
      </c>
      <c r="D22" s="8">
        <v>1001</v>
      </c>
      <c r="E22" t="s">
        <v>133</v>
      </c>
      <c r="F22" s="13" t="s">
        <v>133</v>
      </c>
      <c r="G22" t="s">
        <v>134</v>
      </c>
      <c r="H22" t="s">
        <v>135</v>
      </c>
      <c r="I22">
        <v>1</v>
      </c>
      <c r="J22" s="69">
        <v>5</v>
      </c>
      <c r="K22" s="87">
        <v>2</v>
      </c>
      <c r="L22" s="8">
        <v>999</v>
      </c>
      <c r="M22" s="8"/>
      <c r="N22" s="8">
        <v>1026</v>
      </c>
      <c r="O22" s="2">
        <v>130010</v>
      </c>
      <c r="R22" s="8"/>
      <c r="S22" s="89">
        <v>0</v>
      </c>
      <c r="T22" s="8">
        <v>5</v>
      </c>
      <c r="U22" s="89">
        <v>10</v>
      </c>
      <c r="V22" s="87">
        <v>0</v>
      </c>
      <c r="W22">
        <v>0</v>
      </c>
      <c r="X22" s="8">
        <v>1</v>
      </c>
      <c r="Y22">
        <v>0</v>
      </c>
      <c r="Z22" s="33">
        <v>0</v>
      </c>
      <c r="AA22">
        <v>5</v>
      </c>
      <c r="AB22" s="34">
        <v>200</v>
      </c>
      <c r="AC22" s="87">
        <v>300</v>
      </c>
      <c r="AE22" s="90">
        <v>1</v>
      </c>
      <c r="AF22" s="90">
        <v>2</v>
      </c>
      <c r="AG22" s="91"/>
      <c r="AH22" s="91"/>
      <c r="AI22" s="91"/>
      <c r="AJ22" s="91"/>
      <c r="AK22" s="91"/>
      <c r="AL22" s="92"/>
      <c r="AM22" s="92"/>
      <c r="AN22" s="93"/>
      <c r="AO22" s="92"/>
      <c r="AP22" s="86"/>
      <c r="AS22">
        <v>1</v>
      </c>
    </row>
    <row r="23" ht="14.25" customHeight="1" spans="1:45">
      <c r="A23" s="8">
        <v>122013</v>
      </c>
      <c r="B23" s="8">
        <v>1001</v>
      </c>
      <c r="C23" s="8">
        <v>1</v>
      </c>
      <c r="D23" s="8">
        <v>1001</v>
      </c>
      <c r="E23" t="s">
        <v>136</v>
      </c>
      <c r="F23" s="13" t="s">
        <v>136</v>
      </c>
      <c r="G23" t="s">
        <v>137</v>
      </c>
      <c r="H23" t="s">
        <v>138</v>
      </c>
      <c r="I23">
        <v>1</v>
      </c>
      <c r="J23" s="69">
        <v>5</v>
      </c>
      <c r="K23" s="87">
        <v>2</v>
      </c>
      <c r="L23" s="8">
        <v>999</v>
      </c>
      <c r="M23" s="8"/>
      <c r="N23" s="8">
        <v>1026</v>
      </c>
      <c r="O23" s="2">
        <v>130011</v>
      </c>
      <c r="R23" s="8"/>
      <c r="S23" s="89">
        <v>0</v>
      </c>
      <c r="T23" s="8">
        <v>5</v>
      </c>
      <c r="U23" s="89">
        <v>10</v>
      </c>
      <c r="V23" s="87">
        <v>0</v>
      </c>
      <c r="W23">
        <v>0</v>
      </c>
      <c r="X23" s="8">
        <v>1</v>
      </c>
      <c r="Y23">
        <v>0</v>
      </c>
      <c r="Z23" s="33">
        <v>0</v>
      </c>
      <c r="AA23">
        <v>5</v>
      </c>
      <c r="AB23" s="34">
        <v>200</v>
      </c>
      <c r="AC23" s="87">
        <v>300</v>
      </c>
      <c r="AE23" s="90">
        <v>1</v>
      </c>
      <c r="AF23" s="90">
        <v>2</v>
      </c>
      <c r="AG23" s="91"/>
      <c r="AH23" s="91"/>
      <c r="AI23" s="91"/>
      <c r="AJ23" s="91"/>
      <c r="AK23" s="91"/>
      <c r="AL23" s="92"/>
      <c r="AM23" s="92"/>
      <c r="AN23" s="93"/>
      <c r="AO23" s="92"/>
      <c r="AP23" s="86"/>
      <c r="AS23">
        <v>1</v>
      </c>
    </row>
    <row r="24" ht="14.25" customHeight="1" spans="1:45">
      <c r="A24" s="8">
        <v>122014</v>
      </c>
      <c r="B24" s="8">
        <v>1001</v>
      </c>
      <c r="C24" s="8">
        <v>1</v>
      </c>
      <c r="D24" s="8">
        <v>1001</v>
      </c>
      <c r="E24" t="s">
        <v>139</v>
      </c>
      <c r="F24" s="13" t="s">
        <v>139</v>
      </c>
      <c r="G24" t="s">
        <v>140</v>
      </c>
      <c r="H24" t="s">
        <v>141</v>
      </c>
      <c r="I24">
        <v>1</v>
      </c>
      <c r="J24" s="69">
        <v>3</v>
      </c>
      <c r="K24" s="87">
        <v>2</v>
      </c>
      <c r="L24" s="8">
        <v>999</v>
      </c>
      <c r="M24" s="8"/>
      <c r="N24" s="8">
        <v>1026</v>
      </c>
      <c r="O24" s="2">
        <v>130012</v>
      </c>
      <c r="R24" s="8"/>
      <c r="S24" s="89">
        <v>0</v>
      </c>
      <c r="T24" s="8">
        <v>5</v>
      </c>
      <c r="U24" s="89">
        <v>10</v>
      </c>
      <c r="V24" s="87">
        <v>0</v>
      </c>
      <c r="W24">
        <v>0</v>
      </c>
      <c r="X24" s="8">
        <v>1</v>
      </c>
      <c r="Y24">
        <v>0</v>
      </c>
      <c r="Z24" s="33">
        <v>0</v>
      </c>
      <c r="AA24">
        <v>5</v>
      </c>
      <c r="AB24" s="34">
        <v>200</v>
      </c>
      <c r="AC24" s="87">
        <v>300</v>
      </c>
      <c r="AE24" s="90">
        <v>1</v>
      </c>
      <c r="AF24" s="90">
        <v>2</v>
      </c>
      <c r="AG24" s="91"/>
      <c r="AH24" s="91"/>
      <c r="AI24" s="91"/>
      <c r="AJ24" s="91"/>
      <c r="AK24" s="91"/>
      <c r="AL24" s="92"/>
      <c r="AM24" s="92"/>
      <c r="AN24" s="93"/>
      <c r="AO24" s="92"/>
      <c r="AP24" s="86"/>
      <c r="AS24">
        <v>1</v>
      </c>
    </row>
    <row r="25" ht="14.25" customHeight="1" spans="1:45">
      <c r="A25" s="8">
        <v>122015</v>
      </c>
      <c r="B25" s="8">
        <v>1001</v>
      </c>
      <c r="C25" s="8">
        <v>1</v>
      </c>
      <c r="D25" s="8">
        <v>1001</v>
      </c>
      <c r="E25" t="s">
        <v>142</v>
      </c>
      <c r="F25" s="13" t="s">
        <v>143</v>
      </c>
      <c r="G25" t="s">
        <v>144</v>
      </c>
      <c r="H25" t="s">
        <v>145</v>
      </c>
      <c r="I25">
        <v>1</v>
      </c>
      <c r="J25" s="69">
        <v>5</v>
      </c>
      <c r="K25" s="87">
        <v>2</v>
      </c>
      <c r="L25" s="8">
        <v>999</v>
      </c>
      <c r="M25" s="8"/>
      <c r="N25" s="8">
        <v>1026</v>
      </c>
      <c r="O25" s="2">
        <v>130013</v>
      </c>
      <c r="R25" s="8"/>
      <c r="S25" s="89">
        <v>0</v>
      </c>
      <c r="T25" s="8">
        <v>5</v>
      </c>
      <c r="U25" s="89">
        <v>10</v>
      </c>
      <c r="V25" s="87">
        <v>0</v>
      </c>
      <c r="W25">
        <v>0</v>
      </c>
      <c r="X25" s="8">
        <v>1</v>
      </c>
      <c r="Y25">
        <v>0</v>
      </c>
      <c r="Z25" s="33">
        <v>0</v>
      </c>
      <c r="AA25">
        <v>5</v>
      </c>
      <c r="AB25" s="34">
        <v>200</v>
      </c>
      <c r="AC25" s="87">
        <v>300</v>
      </c>
      <c r="AE25" s="90">
        <v>1</v>
      </c>
      <c r="AF25" s="90">
        <v>2</v>
      </c>
      <c r="AG25" s="91"/>
      <c r="AH25" s="91"/>
      <c r="AI25" s="91"/>
      <c r="AJ25" s="91"/>
      <c r="AK25" s="91"/>
      <c r="AL25" s="92"/>
      <c r="AM25" s="92"/>
      <c r="AN25" s="93"/>
      <c r="AO25" s="92"/>
      <c r="AP25" s="86"/>
      <c r="AS25">
        <v>1</v>
      </c>
    </row>
    <row r="26" ht="14.25" customHeight="1" spans="1:45">
      <c r="A26" s="8">
        <v>122016</v>
      </c>
      <c r="B26" s="8">
        <v>1001</v>
      </c>
      <c r="C26" s="8">
        <v>1</v>
      </c>
      <c r="D26" s="8">
        <v>1001</v>
      </c>
      <c r="E26" t="s">
        <v>146</v>
      </c>
      <c r="F26" s="13" t="s">
        <v>146</v>
      </c>
      <c r="G26" t="s">
        <v>147</v>
      </c>
      <c r="H26" t="s">
        <v>148</v>
      </c>
      <c r="I26">
        <v>1</v>
      </c>
      <c r="J26" s="69">
        <v>3</v>
      </c>
      <c r="K26" s="87">
        <v>2</v>
      </c>
      <c r="L26" s="8">
        <v>999</v>
      </c>
      <c r="M26" s="8"/>
      <c r="N26" s="8">
        <v>1026</v>
      </c>
      <c r="O26" s="2">
        <v>130014</v>
      </c>
      <c r="R26" s="8"/>
      <c r="S26" s="89">
        <v>0</v>
      </c>
      <c r="T26" s="8">
        <v>5</v>
      </c>
      <c r="U26" s="89">
        <v>10</v>
      </c>
      <c r="V26" s="87">
        <v>0</v>
      </c>
      <c r="W26">
        <v>0</v>
      </c>
      <c r="X26" s="8">
        <v>1</v>
      </c>
      <c r="Y26">
        <v>0</v>
      </c>
      <c r="Z26" s="33">
        <v>0</v>
      </c>
      <c r="AA26">
        <v>5</v>
      </c>
      <c r="AB26" s="34">
        <v>200</v>
      </c>
      <c r="AC26" s="87">
        <v>300</v>
      </c>
      <c r="AE26" s="90">
        <v>1</v>
      </c>
      <c r="AF26" s="90">
        <v>2</v>
      </c>
      <c r="AG26" s="91"/>
      <c r="AH26" s="91"/>
      <c r="AI26" s="91"/>
      <c r="AJ26" s="91"/>
      <c r="AK26" s="91"/>
      <c r="AL26" s="92"/>
      <c r="AM26" s="92"/>
      <c r="AN26" s="93"/>
      <c r="AO26" s="92"/>
      <c r="AP26" s="86"/>
      <c r="AS26">
        <v>1</v>
      </c>
    </row>
    <row r="27" ht="14.25" customHeight="1" spans="1:45">
      <c r="A27" s="8">
        <v>122017</v>
      </c>
      <c r="B27" s="8">
        <v>1001</v>
      </c>
      <c r="C27" s="8">
        <v>1</v>
      </c>
      <c r="D27" s="8">
        <v>1001</v>
      </c>
      <c r="E27" t="s">
        <v>149</v>
      </c>
      <c r="F27" s="13" t="s">
        <v>149</v>
      </c>
      <c r="G27" t="s">
        <v>150</v>
      </c>
      <c r="H27" t="s">
        <v>151</v>
      </c>
      <c r="I27">
        <v>1</v>
      </c>
      <c r="J27" s="69">
        <v>3</v>
      </c>
      <c r="K27" s="87">
        <v>2</v>
      </c>
      <c r="L27" s="8">
        <v>999</v>
      </c>
      <c r="M27" s="8"/>
      <c r="N27" s="8">
        <v>1026</v>
      </c>
      <c r="O27" s="2">
        <v>130015</v>
      </c>
      <c r="R27" s="8"/>
      <c r="S27" s="89">
        <v>0</v>
      </c>
      <c r="T27" s="8">
        <v>5</v>
      </c>
      <c r="U27" s="89">
        <v>10</v>
      </c>
      <c r="V27" s="87">
        <v>0</v>
      </c>
      <c r="W27">
        <v>0</v>
      </c>
      <c r="X27" s="8">
        <v>1</v>
      </c>
      <c r="Y27">
        <v>0</v>
      </c>
      <c r="Z27" s="33">
        <v>0</v>
      </c>
      <c r="AA27">
        <v>5</v>
      </c>
      <c r="AB27" s="34">
        <v>200</v>
      </c>
      <c r="AC27" s="87">
        <v>300</v>
      </c>
      <c r="AE27" s="90">
        <v>1</v>
      </c>
      <c r="AF27" s="90">
        <v>2</v>
      </c>
      <c r="AG27" s="91"/>
      <c r="AH27" s="91"/>
      <c r="AI27" s="91"/>
      <c r="AJ27" s="91"/>
      <c r="AK27" s="91"/>
      <c r="AL27" s="92"/>
      <c r="AM27" s="92"/>
      <c r="AN27" s="93"/>
      <c r="AO27" s="92"/>
      <c r="AP27" s="86"/>
      <c r="AS27">
        <v>1</v>
      </c>
    </row>
    <row r="28" ht="14.25" customHeight="1" spans="1:45">
      <c r="A28" s="8">
        <v>122018</v>
      </c>
      <c r="B28" s="8">
        <v>1001</v>
      </c>
      <c r="C28" s="8">
        <v>1</v>
      </c>
      <c r="D28" s="8">
        <v>1001</v>
      </c>
      <c r="E28" t="s">
        <v>152</v>
      </c>
      <c r="F28" s="13" t="s">
        <v>153</v>
      </c>
      <c r="G28" t="s">
        <v>154</v>
      </c>
      <c r="H28" t="s">
        <v>155</v>
      </c>
      <c r="I28">
        <v>1</v>
      </c>
      <c r="J28" s="69">
        <v>4</v>
      </c>
      <c r="K28" s="87">
        <v>2</v>
      </c>
      <c r="L28" s="8">
        <v>999</v>
      </c>
      <c r="M28" s="8"/>
      <c r="N28" s="8">
        <v>1026</v>
      </c>
      <c r="O28" s="2">
        <v>130016</v>
      </c>
      <c r="R28" s="8"/>
      <c r="S28" s="89">
        <v>0</v>
      </c>
      <c r="T28" s="8">
        <v>5</v>
      </c>
      <c r="U28" s="89">
        <v>10</v>
      </c>
      <c r="V28" s="87">
        <v>0</v>
      </c>
      <c r="W28">
        <v>0</v>
      </c>
      <c r="X28" s="8">
        <v>1</v>
      </c>
      <c r="Y28">
        <v>0</v>
      </c>
      <c r="Z28" s="33">
        <v>0</v>
      </c>
      <c r="AA28">
        <v>5</v>
      </c>
      <c r="AB28" s="34">
        <v>200</v>
      </c>
      <c r="AC28" s="87">
        <v>300</v>
      </c>
      <c r="AE28" s="90">
        <v>1</v>
      </c>
      <c r="AF28" s="90">
        <v>2</v>
      </c>
      <c r="AG28" s="91"/>
      <c r="AH28" s="91"/>
      <c r="AI28" s="91"/>
      <c r="AJ28" s="91"/>
      <c r="AK28" s="91"/>
      <c r="AL28" s="92"/>
      <c r="AM28" s="92"/>
      <c r="AN28" s="93"/>
      <c r="AO28" s="92"/>
      <c r="AP28" s="86"/>
      <c r="AS28">
        <v>1</v>
      </c>
    </row>
    <row r="29" ht="14.25" customHeight="1" spans="1:45">
      <c r="A29" s="8">
        <v>122019</v>
      </c>
      <c r="B29" s="8">
        <v>1001</v>
      </c>
      <c r="C29" s="8">
        <v>1</v>
      </c>
      <c r="D29" s="8">
        <v>1001</v>
      </c>
      <c r="E29" t="s">
        <v>156</v>
      </c>
      <c r="F29" s="13" t="s">
        <v>156</v>
      </c>
      <c r="G29" t="s">
        <v>157</v>
      </c>
      <c r="H29" t="s">
        <v>158</v>
      </c>
      <c r="I29">
        <v>1</v>
      </c>
      <c r="J29" s="69">
        <v>5</v>
      </c>
      <c r="K29" s="87">
        <v>2</v>
      </c>
      <c r="L29" s="8">
        <v>999</v>
      </c>
      <c r="M29" s="8"/>
      <c r="N29" s="8">
        <v>1026</v>
      </c>
      <c r="O29" s="2">
        <v>130017</v>
      </c>
      <c r="R29" s="8"/>
      <c r="S29" s="89">
        <v>0</v>
      </c>
      <c r="T29" s="8">
        <v>5</v>
      </c>
      <c r="U29" s="89">
        <v>10</v>
      </c>
      <c r="V29" s="87">
        <v>0</v>
      </c>
      <c r="W29">
        <v>0</v>
      </c>
      <c r="X29" s="8">
        <v>1</v>
      </c>
      <c r="Y29">
        <v>0</v>
      </c>
      <c r="Z29" s="33">
        <v>0</v>
      </c>
      <c r="AA29">
        <v>5</v>
      </c>
      <c r="AB29" s="34">
        <v>200</v>
      </c>
      <c r="AC29" s="87">
        <v>300</v>
      </c>
      <c r="AE29" s="90">
        <v>1</v>
      </c>
      <c r="AF29" s="90">
        <v>2</v>
      </c>
      <c r="AG29" s="91"/>
      <c r="AH29" s="91"/>
      <c r="AI29" s="91"/>
      <c r="AJ29" s="91"/>
      <c r="AK29" s="91"/>
      <c r="AL29" s="92"/>
      <c r="AM29" s="92"/>
      <c r="AN29" s="93"/>
      <c r="AO29" s="92"/>
      <c r="AP29" s="86"/>
      <c r="AS29">
        <v>1</v>
      </c>
    </row>
    <row r="30" ht="14.25" customHeight="1" spans="1:45">
      <c r="A30" s="8">
        <v>122020</v>
      </c>
      <c r="B30" s="8">
        <v>1001</v>
      </c>
      <c r="C30" s="8">
        <v>1</v>
      </c>
      <c r="D30" s="8">
        <v>1001</v>
      </c>
      <c r="E30" t="s">
        <v>159</v>
      </c>
      <c r="F30" t="s">
        <v>159</v>
      </c>
      <c r="G30" t="s">
        <v>160</v>
      </c>
      <c r="H30" t="s">
        <v>161</v>
      </c>
      <c r="I30">
        <v>1</v>
      </c>
      <c r="J30" s="69">
        <v>5</v>
      </c>
      <c r="K30" s="87">
        <v>2</v>
      </c>
      <c r="L30" s="8">
        <v>999</v>
      </c>
      <c r="M30" s="8"/>
      <c r="N30" s="8">
        <v>1026</v>
      </c>
      <c r="O30" s="2">
        <v>130018</v>
      </c>
      <c r="R30" s="8"/>
      <c r="S30" s="89">
        <v>0</v>
      </c>
      <c r="T30" s="8">
        <v>5</v>
      </c>
      <c r="U30" s="89">
        <v>10</v>
      </c>
      <c r="V30" s="87">
        <v>0</v>
      </c>
      <c r="W30">
        <v>0</v>
      </c>
      <c r="X30" s="8">
        <v>1</v>
      </c>
      <c r="Y30">
        <v>0</v>
      </c>
      <c r="Z30" s="33">
        <v>0</v>
      </c>
      <c r="AA30">
        <v>5</v>
      </c>
      <c r="AB30" s="34">
        <v>200</v>
      </c>
      <c r="AC30" s="87">
        <v>300</v>
      </c>
      <c r="AE30" s="90">
        <v>1</v>
      </c>
      <c r="AF30" s="90">
        <v>2</v>
      </c>
      <c r="AG30" s="91"/>
      <c r="AH30" s="91"/>
      <c r="AI30" s="91"/>
      <c r="AJ30" s="91"/>
      <c r="AK30" s="91"/>
      <c r="AL30" s="92"/>
      <c r="AM30" s="92"/>
      <c r="AN30" s="93"/>
      <c r="AO30" s="92"/>
      <c r="AP30" s="86"/>
      <c r="AS30">
        <v>1</v>
      </c>
    </row>
    <row r="31" ht="14.25" customHeight="1" spans="1:45">
      <c r="A31" s="8">
        <v>122021</v>
      </c>
      <c r="B31" s="8">
        <v>1001</v>
      </c>
      <c r="C31" s="8">
        <v>1</v>
      </c>
      <c r="D31" s="8">
        <v>1001</v>
      </c>
      <c r="E31" t="s">
        <v>162</v>
      </c>
      <c r="F31" t="s">
        <v>162</v>
      </c>
      <c r="G31" t="s">
        <v>163</v>
      </c>
      <c r="H31" t="s">
        <v>164</v>
      </c>
      <c r="I31">
        <v>1</v>
      </c>
      <c r="J31" s="69">
        <v>5</v>
      </c>
      <c r="K31" s="87">
        <v>2</v>
      </c>
      <c r="L31" s="8">
        <v>999</v>
      </c>
      <c r="M31" s="8"/>
      <c r="N31" s="8">
        <v>1026</v>
      </c>
      <c r="O31" s="2">
        <v>130019</v>
      </c>
      <c r="R31" s="8"/>
      <c r="S31" s="89">
        <v>0</v>
      </c>
      <c r="T31" s="8">
        <v>5</v>
      </c>
      <c r="U31" s="89">
        <v>10</v>
      </c>
      <c r="V31" s="87">
        <v>0</v>
      </c>
      <c r="W31">
        <v>0</v>
      </c>
      <c r="X31" s="8">
        <v>1</v>
      </c>
      <c r="Y31">
        <v>0</v>
      </c>
      <c r="Z31" s="33">
        <v>0</v>
      </c>
      <c r="AA31">
        <v>5</v>
      </c>
      <c r="AB31" s="34">
        <v>200</v>
      </c>
      <c r="AC31" s="87">
        <v>300</v>
      </c>
      <c r="AE31" s="90">
        <v>1</v>
      </c>
      <c r="AF31" s="90">
        <v>2</v>
      </c>
      <c r="AG31" s="91"/>
      <c r="AH31" s="91"/>
      <c r="AI31" s="91"/>
      <c r="AJ31" s="91"/>
      <c r="AK31" s="91"/>
      <c r="AL31" s="92"/>
      <c r="AM31" s="92"/>
      <c r="AN31" s="93"/>
      <c r="AO31" s="92"/>
      <c r="AP31" s="86"/>
      <c r="AS31">
        <v>1</v>
      </c>
    </row>
    <row r="32" ht="14.25" customHeight="1" spans="1:45">
      <c r="A32" s="8">
        <v>122022</v>
      </c>
      <c r="B32" s="8">
        <v>1001</v>
      </c>
      <c r="C32" s="8">
        <v>1</v>
      </c>
      <c r="D32" s="8">
        <v>1001</v>
      </c>
      <c r="E32" t="s">
        <v>165</v>
      </c>
      <c r="F32" t="s">
        <v>165</v>
      </c>
      <c r="G32" t="s">
        <v>166</v>
      </c>
      <c r="H32" t="s">
        <v>167</v>
      </c>
      <c r="I32">
        <v>1</v>
      </c>
      <c r="J32" s="69">
        <v>5</v>
      </c>
      <c r="K32" s="87">
        <v>2</v>
      </c>
      <c r="L32" s="8">
        <v>999</v>
      </c>
      <c r="M32" s="8"/>
      <c r="N32" s="8">
        <v>1026</v>
      </c>
      <c r="O32" s="2">
        <v>130020</v>
      </c>
      <c r="R32" s="8"/>
      <c r="S32" s="89">
        <v>0</v>
      </c>
      <c r="T32" s="8">
        <v>5</v>
      </c>
      <c r="U32" s="89">
        <v>10</v>
      </c>
      <c r="V32" s="87">
        <v>0</v>
      </c>
      <c r="W32">
        <v>0</v>
      </c>
      <c r="X32" s="8">
        <v>1</v>
      </c>
      <c r="Y32">
        <v>0</v>
      </c>
      <c r="Z32" s="33">
        <v>0</v>
      </c>
      <c r="AA32">
        <v>5</v>
      </c>
      <c r="AB32" s="34">
        <v>200</v>
      </c>
      <c r="AC32" s="87">
        <v>300</v>
      </c>
      <c r="AE32" s="90">
        <v>1</v>
      </c>
      <c r="AF32" s="90">
        <v>2</v>
      </c>
      <c r="AG32" s="91"/>
      <c r="AH32" s="91"/>
      <c r="AI32" s="91"/>
      <c r="AJ32" s="91"/>
      <c r="AK32" s="91"/>
      <c r="AL32" s="92"/>
      <c r="AM32" s="92"/>
      <c r="AN32" s="93"/>
      <c r="AO32" s="92"/>
      <c r="AP32" s="86"/>
      <c r="AS32">
        <v>1</v>
      </c>
    </row>
    <row r="33" ht="14.25" customHeight="1" spans="1:45">
      <c r="A33" s="8">
        <v>122023</v>
      </c>
      <c r="B33" s="8">
        <v>1001</v>
      </c>
      <c r="C33" s="8">
        <v>1</v>
      </c>
      <c r="D33" s="8">
        <v>1001</v>
      </c>
      <c r="E33" t="s">
        <v>168</v>
      </c>
      <c r="F33" t="s">
        <v>168</v>
      </c>
      <c r="G33" t="s">
        <v>169</v>
      </c>
      <c r="H33" t="s">
        <v>170</v>
      </c>
      <c r="I33">
        <v>1</v>
      </c>
      <c r="J33" s="69">
        <v>5</v>
      </c>
      <c r="K33" s="87">
        <v>2</v>
      </c>
      <c r="L33" s="8">
        <v>999</v>
      </c>
      <c r="M33" s="8"/>
      <c r="N33" s="8">
        <v>1026</v>
      </c>
      <c r="O33" s="2">
        <v>130021</v>
      </c>
      <c r="R33" s="8"/>
      <c r="S33" s="89">
        <v>0</v>
      </c>
      <c r="T33" s="8">
        <v>5</v>
      </c>
      <c r="U33" s="89">
        <v>10</v>
      </c>
      <c r="V33" s="87">
        <v>0</v>
      </c>
      <c r="W33">
        <v>0</v>
      </c>
      <c r="X33" s="8">
        <v>1</v>
      </c>
      <c r="Y33">
        <v>0</v>
      </c>
      <c r="Z33" s="33">
        <v>0</v>
      </c>
      <c r="AA33">
        <v>5</v>
      </c>
      <c r="AB33" s="34">
        <v>200</v>
      </c>
      <c r="AC33" s="87">
        <v>300</v>
      </c>
      <c r="AE33" s="90">
        <v>1</v>
      </c>
      <c r="AF33" s="90">
        <v>2</v>
      </c>
      <c r="AG33" s="91"/>
      <c r="AH33" s="91"/>
      <c r="AI33" s="91"/>
      <c r="AJ33" s="91"/>
      <c r="AK33" s="91"/>
      <c r="AL33" s="92"/>
      <c r="AM33" s="92"/>
      <c r="AN33" s="93"/>
      <c r="AO33" s="92"/>
      <c r="AP33" s="86"/>
      <c r="AS33">
        <v>1</v>
      </c>
    </row>
    <row r="34" ht="14.25" customHeight="1" spans="1:45">
      <c r="A34" s="8">
        <v>122028</v>
      </c>
      <c r="B34" s="8">
        <v>1001</v>
      </c>
      <c r="C34" s="8">
        <v>1</v>
      </c>
      <c r="D34" s="8">
        <v>1001</v>
      </c>
      <c r="E34" t="s">
        <v>171</v>
      </c>
      <c r="F34" t="s">
        <v>171</v>
      </c>
      <c r="G34" t="s">
        <v>172</v>
      </c>
      <c r="H34" t="s">
        <v>173</v>
      </c>
      <c r="I34">
        <v>1</v>
      </c>
      <c r="J34" s="69">
        <v>5</v>
      </c>
      <c r="K34" s="87">
        <v>2</v>
      </c>
      <c r="L34" s="8">
        <v>999</v>
      </c>
      <c r="M34" s="8"/>
      <c r="N34" s="8">
        <v>1026</v>
      </c>
      <c r="O34" s="2">
        <v>130028</v>
      </c>
      <c r="R34" s="8"/>
      <c r="S34" s="89">
        <v>0</v>
      </c>
      <c r="T34" s="8">
        <v>5</v>
      </c>
      <c r="U34" s="89">
        <v>10</v>
      </c>
      <c r="V34" s="87">
        <v>0</v>
      </c>
      <c r="W34">
        <v>0</v>
      </c>
      <c r="X34" s="8">
        <v>1</v>
      </c>
      <c r="Y34">
        <v>0</v>
      </c>
      <c r="Z34" s="33">
        <v>0</v>
      </c>
      <c r="AA34">
        <v>5</v>
      </c>
      <c r="AB34" s="34">
        <v>200</v>
      </c>
      <c r="AC34" s="87">
        <v>300</v>
      </c>
      <c r="AE34" s="90">
        <v>1</v>
      </c>
      <c r="AF34" s="90">
        <v>2</v>
      </c>
      <c r="AG34" s="91"/>
      <c r="AH34" s="91"/>
      <c r="AI34" s="91"/>
      <c r="AJ34" s="91"/>
      <c r="AK34" s="91"/>
      <c r="AL34" s="92"/>
      <c r="AM34" s="92"/>
      <c r="AN34" s="93"/>
      <c r="AO34" s="92"/>
      <c r="AP34" s="86"/>
      <c r="AS34">
        <v>1</v>
      </c>
    </row>
    <row r="35" ht="14.25" customHeight="1" spans="1:45">
      <c r="A35" s="8">
        <v>122029</v>
      </c>
      <c r="B35" s="8">
        <v>1001</v>
      </c>
      <c r="C35" s="8">
        <v>1</v>
      </c>
      <c r="D35" s="8">
        <v>1001</v>
      </c>
      <c r="E35" t="s">
        <v>174</v>
      </c>
      <c r="F35" t="s">
        <v>174</v>
      </c>
      <c r="G35" t="s">
        <v>175</v>
      </c>
      <c r="H35" t="s">
        <v>176</v>
      </c>
      <c r="I35">
        <v>1</v>
      </c>
      <c r="J35" s="69">
        <v>5</v>
      </c>
      <c r="K35" s="87">
        <v>2</v>
      </c>
      <c r="L35" s="8">
        <v>999</v>
      </c>
      <c r="M35" s="8"/>
      <c r="N35" s="8">
        <v>1026</v>
      </c>
      <c r="O35" s="2">
        <v>130029</v>
      </c>
      <c r="R35" s="8"/>
      <c r="S35" s="89">
        <v>0</v>
      </c>
      <c r="T35" s="8">
        <v>5</v>
      </c>
      <c r="U35" s="89">
        <v>10</v>
      </c>
      <c r="V35" s="87">
        <v>0</v>
      </c>
      <c r="W35">
        <v>0</v>
      </c>
      <c r="X35" s="8">
        <v>1</v>
      </c>
      <c r="Y35">
        <v>0</v>
      </c>
      <c r="Z35" s="33">
        <v>0</v>
      </c>
      <c r="AA35">
        <v>5</v>
      </c>
      <c r="AB35" s="34">
        <v>200</v>
      </c>
      <c r="AC35" s="87">
        <v>300</v>
      </c>
      <c r="AE35" s="90">
        <v>1</v>
      </c>
      <c r="AF35" s="90">
        <v>2</v>
      </c>
      <c r="AG35" s="91"/>
      <c r="AH35" s="91"/>
      <c r="AI35" s="91"/>
      <c r="AJ35" s="91"/>
      <c r="AK35" s="91"/>
      <c r="AL35" s="92"/>
      <c r="AM35" s="92"/>
      <c r="AN35" s="93"/>
      <c r="AO35" s="92"/>
      <c r="AP35" s="86"/>
      <c r="AS35">
        <v>1</v>
      </c>
    </row>
    <row r="36" ht="14.25" customHeight="1" spans="1:45">
      <c r="A36" s="8">
        <v>122030</v>
      </c>
      <c r="B36" s="8">
        <v>1001</v>
      </c>
      <c r="C36" s="8">
        <v>1</v>
      </c>
      <c r="D36" s="8">
        <v>1001</v>
      </c>
      <c r="E36" t="s">
        <v>177</v>
      </c>
      <c r="F36" t="s">
        <v>177</v>
      </c>
      <c r="G36" t="s">
        <v>178</v>
      </c>
      <c r="H36" t="s">
        <v>179</v>
      </c>
      <c r="I36">
        <v>1</v>
      </c>
      <c r="J36" s="69">
        <v>5</v>
      </c>
      <c r="K36" s="87">
        <v>2</v>
      </c>
      <c r="L36" s="8">
        <v>999</v>
      </c>
      <c r="M36" s="8"/>
      <c r="N36" s="8">
        <v>1026</v>
      </c>
      <c r="O36" s="2">
        <v>130030</v>
      </c>
      <c r="R36" s="8"/>
      <c r="S36" s="89">
        <v>0</v>
      </c>
      <c r="T36" s="8">
        <v>5</v>
      </c>
      <c r="U36" s="89">
        <v>10</v>
      </c>
      <c r="V36" s="87">
        <v>0</v>
      </c>
      <c r="W36">
        <v>0</v>
      </c>
      <c r="X36" s="8">
        <v>1</v>
      </c>
      <c r="Y36">
        <v>0</v>
      </c>
      <c r="Z36" s="33">
        <v>0</v>
      </c>
      <c r="AA36">
        <v>5</v>
      </c>
      <c r="AB36" s="34">
        <v>200</v>
      </c>
      <c r="AC36" s="87">
        <v>300</v>
      </c>
      <c r="AE36" s="90">
        <v>1</v>
      </c>
      <c r="AF36" s="90">
        <v>2</v>
      </c>
      <c r="AG36" s="91"/>
      <c r="AH36" s="91"/>
      <c r="AI36" s="91"/>
      <c r="AJ36" s="91"/>
      <c r="AK36" s="91"/>
      <c r="AL36" s="92"/>
      <c r="AM36" s="92"/>
      <c r="AN36" s="93"/>
      <c r="AO36" s="92"/>
      <c r="AP36" s="86"/>
      <c r="AS36">
        <v>1</v>
      </c>
    </row>
    <row r="37" ht="14.25" customHeight="1" spans="1:45">
      <c r="A37" s="8">
        <v>122031</v>
      </c>
      <c r="B37" s="8">
        <v>1001</v>
      </c>
      <c r="C37" s="8">
        <v>1</v>
      </c>
      <c r="D37" s="8">
        <v>1001</v>
      </c>
      <c r="E37" t="s">
        <v>180</v>
      </c>
      <c r="F37" t="s">
        <v>180</v>
      </c>
      <c r="G37" t="s">
        <v>181</v>
      </c>
      <c r="H37" t="s">
        <v>182</v>
      </c>
      <c r="I37">
        <v>1</v>
      </c>
      <c r="J37" s="69">
        <v>5</v>
      </c>
      <c r="K37" s="87">
        <v>2</v>
      </c>
      <c r="L37" s="8">
        <v>999</v>
      </c>
      <c r="M37" s="8"/>
      <c r="N37" s="8">
        <v>1026</v>
      </c>
      <c r="O37" s="2">
        <v>130031</v>
      </c>
      <c r="R37" s="8"/>
      <c r="S37" s="89">
        <v>0</v>
      </c>
      <c r="T37" s="8">
        <v>5</v>
      </c>
      <c r="U37" s="89">
        <v>10</v>
      </c>
      <c r="V37" s="87">
        <v>0</v>
      </c>
      <c r="W37">
        <v>0</v>
      </c>
      <c r="X37" s="8">
        <v>1</v>
      </c>
      <c r="Y37">
        <v>0</v>
      </c>
      <c r="Z37" s="33">
        <v>0</v>
      </c>
      <c r="AA37">
        <v>5</v>
      </c>
      <c r="AB37" s="34">
        <v>200</v>
      </c>
      <c r="AC37" s="87">
        <v>300</v>
      </c>
      <c r="AE37" s="90">
        <v>1</v>
      </c>
      <c r="AF37" s="90">
        <v>2</v>
      </c>
      <c r="AG37" s="91"/>
      <c r="AH37" s="91"/>
      <c r="AI37" s="91"/>
      <c r="AJ37" s="91"/>
      <c r="AK37" s="91"/>
      <c r="AL37" s="92"/>
      <c r="AM37" s="92"/>
      <c r="AN37" s="93"/>
      <c r="AO37" s="92"/>
      <c r="AP37" s="86"/>
      <c r="AS37">
        <v>1</v>
      </c>
    </row>
    <row r="38" ht="14.25" customHeight="1" spans="1:45">
      <c r="A38" s="8">
        <v>122032</v>
      </c>
      <c r="B38" s="8">
        <v>1001</v>
      </c>
      <c r="C38" s="8">
        <v>1</v>
      </c>
      <c r="D38" s="8">
        <v>1001</v>
      </c>
      <c r="E38" t="s">
        <v>183</v>
      </c>
      <c r="F38" t="s">
        <v>183</v>
      </c>
      <c r="G38" t="s">
        <v>184</v>
      </c>
      <c r="H38" t="s">
        <v>185</v>
      </c>
      <c r="I38">
        <v>1</v>
      </c>
      <c r="J38" s="69">
        <v>5</v>
      </c>
      <c r="K38" s="87">
        <v>2</v>
      </c>
      <c r="L38" s="8">
        <v>999</v>
      </c>
      <c r="M38" s="8"/>
      <c r="N38" s="8">
        <v>1026</v>
      </c>
      <c r="O38" s="2">
        <v>130024</v>
      </c>
      <c r="Q38" s="8"/>
      <c r="R38" s="8"/>
      <c r="S38" s="89">
        <v>0</v>
      </c>
      <c r="T38" s="8">
        <v>5</v>
      </c>
      <c r="U38" s="89">
        <v>10</v>
      </c>
      <c r="V38" s="87">
        <v>0</v>
      </c>
      <c r="W38">
        <v>0</v>
      </c>
      <c r="X38" s="8">
        <v>1</v>
      </c>
      <c r="Y38">
        <v>0</v>
      </c>
      <c r="Z38" s="33">
        <v>0</v>
      </c>
      <c r="AA38">
        <v>5</v>
      </c>
      <c r="AB38" s="34">
        <v>200</v>
      </c>
      <c r="AC38" s="87">
        <v>300</v>
      </c>
      <c r="AE38" s="90">
        <v>1</v>
      </c>
      <c r="AF38" s="90">
        <v>2</v>
      </c>
      <c r="AG38" s="91"/>
      <c r="AH38" s="91"/>
      <c r="AI38" s="91"/>
      <c r="AJ38" s="91"/>
      <c r="AK38" s="91"/>
      <c r="AL38" s="92"/>
      <c r="AM38" s="92"/>
      <c r="AN38" s="93"/>
      <c r="AO38" s="92"/>
      <c r="AP38" s="86"/>
      <c r="AS38">
        <v>1</v>
      </c>
    </row>
    <row r="39" ht="14.25" customHeight="1" spans="1:45">
      <c r="A39" s="8">
        <v>122033</v>
      </c>
      <c r="B39" s="8">
        <v>1001</v>
      </c>
      <c r="C39" s="8">
        <v>1</v>
      </c>
      <c r="D39" s="8">
        <v>1001</v>
      </c>
      <c r="E39" t="s">
        <v>186</v>
      </c>
      <c r="F39" t="s">
        <v>186</v>
      </c>
      <c r="G39" t="s">
        <v>187</v>
      </c>
      <c r="H39" t="s">
        <v>188</v>
      </c>
      <c r="I39">
        <v>1</v>
      </c>
      <c r="J39" s="69">
        <v>5</v>
      </c>
      <c r="K39" s="87">
        <v>2</v>
      </c>
      <c r="L39" s="8">
        <v>999</v>
      </c>
      <c r="M39" s="8"/>
      <c r="N39" s="8">
        <v>1026</v>
      </c>
      <c r="O39" s="2">
        <v>130023</v>
      </c>
      <c r="Q39" s="8"/>
      <c r="R39" s="8"/>
      <c r="S39" s="89">
        <v>0</v>
      </c>
      <c r="T39" s="8">
        <v>5</v>
      </c>
      <c r="U39" s="89">
        <v>10</v>
      </c>
      <c r="V39" s="87">
        <v>0</v>
      </c>
      <c r="W39">
        <v>0</v>
      </c>
      <c r="X39" s="8">
        <v>1</v>
      </c>
      <c r="Y39">
        <v>0</v>
      </c>
      <c r="Z39" s="33">
        <v>0</v>
      </c>
      <c r="AA39">
        <v>5</v>
      </c>
      <c r="AB39" s="34">
        <v>200</v>
      </c>
      <c r="AC39" s="87">
        <v>300</v>
      </c>
      <c r="AE39" s="90">
        <v>1</v>
      </c>
      <c r="AF39" s="90">
        <v>2</v>
      </c>
      <c r="AG39" s="91"/>
      <c r="AH39" s="91"/>
      <c r="AI39" s="91"/>
      <c r="AJ39" s="91"/>
      <c r="AK39" s="91"/>
      <c r="AL39" s="92"/>
      <c r="AM39" s="92"/>
      <c r="AN39" s="93"/>
      <c r="AO39" s="92"/>
      <c r="AP39" s="86"/>
      <c r="AS39">
        <v>1</v>
      </c>
    </row>
    <row r="40" ht="14.25" customHeight="1" spans="1:45">
      <c r="A40" s="8">
        <v>122034</v>
      </c>
      <c r="B40" s="8">
        <v>1001</v>
      </c>
      <c r="C40" s="8">
        <v>1</v>
      </c>
      <c r="D40" s="8">
        <v>1001</v>
      </c>
      <c r="E40" t="s">
        <v>189</v>
      </c>
      <c r="F40" t="s">
        <v>189</v>
      </c>
      <c r="G40" t="s">
        <v>190</v>
      </c>
      <c r="H40" t="s">
        <v>191</v>
      </c>
      <c r="I40">
        <v>1</v>
      </c>
      <c r="J40" s="69">
        <v>5</v>
      </c>
      <c r="K40" s="87">
        <v>2</v>
      </c>
      <c r="L40" s="8">
        <v>999</v>
      </c>
      <c r="M40" s="8"/>
      <c r="N40" s="8">
        <v>1026</v>
      </c>
      <c r="O40" s="2">
        <v>130026</v>
      </c>
      <c r="Q40" s="8"/>
      <c r="R40" s="8"/>
      <c r="S40" s="89">
        <v>0</v>
      </c>
      <c r="T40" s="8">
        <v>5</v>
      </c>
      <c r="U40" s="89">
        <v>10</v>
      </c>
      <c r="V40" s="87">
        <v>0</v>
      </c>
      <c r="W40">
        <v>0</v>
      </c>
      <c r="X40" s="8">
        <v>1</v>
      </c>
      <c r="Y40">
        <v>0</v>
      </c>
      <c r="Z40" s="33">
        <v>0</v>
      </c>
      <c r="AA40">
        <v>5</v>
      </c>
      <c r="AB40" s="34">
        <v>200</v>
      </c>
      <c r="AC40" s="87">
        <v>300</v>
      </c>
      <c r="AE40" s="90">
        <v>1</v>
      </c>
      <c r="AF40" s="90">
        <v>2</v>
      </c>
      <c r="AG40" s="91"/>
      <c r="AH40" s="91"/>
      <c r="AI40" s="91"/>
      <c r="AJ40" s="91"/>
      <c r="AK40" s="91"/>
      <c r="AL40" s="92"/>
      <c r="AM40" s="92"/>
      <c r="AN40" s="93"/>
      <c r="AO40" s="92"/>
      <c r="AP40" s="86"/>
      <c r="AS40">
        <v>1</v>
      </c>
    </row>
    <row r="41" ht="14.25" customHeight="1" spans="1:45">
      <c r="A41" s="8">
        <v>122035</v>
      </c>
      <c r="B41" s="8">
        <v>1001</v>
      </c>
      <c r="C41" s="8">
        <v>1</v>
      </c>
      <c r="D41" s="8">
        <v>1001</v>
      </c>
      <c r="E41" t="s">
        <v>192</v>
      </c>
      <c r="F41" t="s">
        <v>192</v>
      </c>
      <c r="G41" t="s">
        <v>193</v>
      </c>
      <c r="H41" t="s">
        <v>194</v>
      </c>
      <c r="I41">
        <v>1</v>
      </c>
      <c r="J41" s="69">
        <v>5</v>
      </c>
      <c r="K41" s="87">
        <v>2</v>
      </c>
      <c r="L41" s="8">
        <v>999</v>
      </c>
      <c r="M41" s="8"/>
      <c r="N41" s="8">
        <v>1026</v>
      </c>
      <c r="O41" s="2">
        <v>130027</v>
      </c>
      <c r="Q41" s="8"/>
      <c r="R41" s="8"/>
      <c r="S41" s="89">
        <v>0</v>
      </c>
      <c r="T41" s="8">
        <v>5</v>
      </c>
      <c r="U41" s="89">
        <v>10</v>
      </c>
      <c r="V41" s="87">
        <v>0</v>
      </c>
      <c r="W41">
        <v>0</v>
      </c>
      <c r="X41" s="8">
        <v>1</v>
      </c>
      <c r="Y41">
        <v>0</v>
      </c>
      <c r="Z41" s="33">
        <v>0</v>
      </c>
      <c r="AA41">
        <v>5</v>
      </c>
      <c r="AB41" s="34">
        <v>200</v>
      </c>
      <c r="AC41" s="87">
        <v>300</v>
      </c>
      <c r="AE41" s="90">
        <v>1</v>
      </c>
      <c r="AF41" s="90">
        <v>2</v>
      </c>
      <c r="AG41" s="91"/>
      <c r="AH41" s="91"/>
      <c r="AI41" s="91"/>
      <c r="AJ41" s="91"/>
      <c r="AK41" s="91"/>
      <c r="AL41" s="92"/>
      <c r="AM41" s="92"/>
      <c r="AN41" s="93"/>
      <c r="AO41" s="92"/>
      <c r="AP41" s="86"/>
      <c r="AS41">
        <v>1</v>
      </c>
    </row>
    <row r="42" ht="14.25" customHeight="1" spans="1:45">
      <c r="A42" s="87">
        <v>122037</v>
      </c>
      <c r="B42" s="87">
        <v>1001</v>
      </c>
      <c r="C42" s="87">
        <v>1</v>
      </c>
      <c r="D42" s="87">
        <v>1001</v>
      </c>
      <c r="E42" s="33" t="s">
        <v>195</v>
      </c>
      <c r="F42" s="33" t="s">
        <v>195</v>
      </c>
      <c r="G42" s="33" t="s">
        <v>196</v>
      </c>
      <c r="H42" s="33" t="s">
        <v>197</v>
      </c>
      <c r="I42" s="33">
        <v>1</v>
      </c>
      <c r="J42" s="70">
        <v>5</v>
      </c>
      <c r="K42" s="87">
        <v>2</v>
      </c>
      <c r="L42" s="87">
        <v>999</v>
      </c>
      <c r="M42" s="87"/>
      <c r="N42" s="87">
        <v>1026</v>
      </c>
      <c r="O42" s="94">
        <v>130033</v>
      </c>
      <c r="Q42" s="87"/>
      <c r="R42" s="87"/>
      <c r="S42" s="87">
        <v>0</v>
      </c>
      <c r="T42" s="87">
        <v>5</v>
      </c>
      <c r="U42" s="87">
        <v>10</v>
      </c>
      <c r="V42" s="87">
        <v>0</v>
      </c>
      <c r="W42" s="33">
        <v>0</v>
      </c>
      <c r="X42" s="87">
        <v>1</v>
      </c>
      <c r="Y42" s="33">
        <v>0</v>
      </c>
      <c r="Z42" s="33">
        <v>0</v>
      </c>
      <c r="AA42" s="33">
        <v>5</v>
      </c>
      <c r="AB42" s="33">
        <v>200</v>
      </c>
      <c r="AC42" s="87">
        <v>300</v>
      </c>
      <c r="AD42" s="95"/>
      <c r="AE42" s="96">
        <v>1</v>
      </c>
      <c r="AF42" s="96">
        <v>2</v>
      </c>
      <c r="AG42" s="97"/>
      <c r="AH42" s="97"/>
      <c r="AI42" s="97"/>
      <c r="AJ42" s="97"/>
      <c r="AK42" s="97"/>
      <c r="AL42" s="98"/>
      <c r="AM42" s="98"/>
      <c r="AN42" s="99"/>
      <c r="AO42" s="98"/>
      <c r="AP42" s="100"/>
      <c r="AS42" s="33">
        <v>1</v>
      </c>
    </row>
    <row r="43" s="33" customFormat="1" ht="14.25" customHeight="1" spans="1:45">
      <c r="A43" s="87">
        <v>122038</v>
      </c>
      <c r="B43" s="87">
        <v>1001</v>
      </c>
      <c r="C43" s="87">
        <v>1</v>
      </c>
      <c r="D43" s="87">
        <v>1001</v>
      </c>
      <c r="E43" s="33" t="s">
        <v>198</v>
      </c>
      <c r="F43" s="33" t="s">
        <v>198</v>
      </c>
      <c r="G43" s="33" t="s">
        <v>199</v>
      </c>
      <c r="H43" s="33" t="s">
        <v>200</v>
      </c>
      <c r="I43" s="33">
        <v>1</v>
      </c>
      <c r="J43" s="70">
        <v>5</v>
      </c>
      <c r="K43" s="87">
        <v>2</v>
      </c>
      <c r="L43" s="87">
        <v>999</v>
      </c>
      <c r="M43" s="87"/>
      <c r="N43" s="87">
        <v>1026</v>
      </c>
      <c r="O43" s="94">
        <v>130034</v>
      </c>
      <c r="Q43" s="87"/>
      <c r="R43" s="87"/>
      <c r="S43" s="87">
        <v>0</v>
      </c>
      <c r="T43" s="87">
        <v>5</v>
      </c>
      <c r="U43" s="87">
        <v>10</v>
      </c>
      <c r="V43" s="87">
        <v>0</v>
      </c>
      <c r="W43" s="33">
        <v>0</v>
      </c>
      <c r="X43" s="87">
        <v>1</v>
      </c>
      <c r="Y43" s="33">
        <v>0</v>
      </c>
      <c r="Z43" s="33">
        <v>0</v>
      </c>
      <c r="AA43" s="33">
        <v>5</v>
      </c>
      <c r="AB43" s="33">
        <v>200</v>
      </c>
      <c r="AC43" s="87">
        <v>300</v>
      </c>
      <c r="AD43" s="95"/>
      <c r="AE43" s="96">
        <v>1</v>
      </c>
      <c r="AF43" s="96">
        <v>2</v>
      </c>
      <c r="AG43" s="97"/>
      <c r="AH43" s="97"/>
      <c r="AI43" s="97"/>
      <c r="AJ43" s="97"/>
      <c r="AK43" s="97"/>
      <c r="AL43" s="98"/>
      <c r="AM43" s="98"/>
      <c r="AN43" s="99"/>
      <c r="AO43" s="98"/>
      <c r="AP43" s="100"/>
      <c r="AS43" s="33">
        <v>1</v>
      </c>
    </row>
    <row r="44" s="33" customFormat="1" ht="14.25" customHeight="1" spans="1:45">
      <c r="A44" s="8">
        <v>123001</v>
      </c>
      <c r="B44" s="8">
        <v>1001</v>
      </c>
      <c r="C44" s="8">
        <v>6</v>
      </c>
      <c r="D44" s="8">
        <v>1001</v>
      </c>
      <c r="E44" t="s">
        <v>201</v>
      </c>
      <c r="F44" t="s">
        <v>202</v>
      </c>
      <c r="G44" t="s">
        <v>203</v>
      </c>
      <c r="H44" t="s">
        <v>204</v>
      </c>
      <c r="I44">
        <v>1</v>
      </c>
      <c r="J44" s="69">
        <v>5</v>
      </c>
      <c r="K44" s="87">
        <v>2</v>
      </c>
      <c r="L44" s="8">
        <v>999</v>
      </c>
      <c r="M44" s="8">
        <v>0</v>
      </c>
      <c r="N44" s="8">
        <v>1018</v>
      </c>
      <c r="O44" s="2" t="s">
        <v>205</v>
      </c>
      <c r="R44" s="8"/>
      <c r="S44" s="89">
        <v>0</v>
      </c>
      <c r="T44" s="8">
        <v>5</v>
      </c>
      <c r="U44" s="89">
        <v>10</v>
      </c>
      <c r="V44" s="87">
        <v>0</v>
      </c>
      <c r="W44">
        <v>0</v>
      </c>
      <c r="X44" s="8">
        <v>1</v>
      </c>
      <c r="Y44">
        <v>0</v>
      </c>
      <c r="Z44" s="33">
        <v>0</v>
      </c>
      <c r="AA44">
        <v>5</v>
      </c>
      <c r="AB44" s="34">
        <v>200</v>
      </c>
      <c r="AC44" s="87">
        <v>56</v>
      </c>
      <c r="AD44" s="62">
        <v>0</v>
      </c>
      <c r="AE44" s="90">
        <v>5</v>
      </c>
      <c r="AF44" s="90">
        <v>2</v>
      </c>
      <c r="AG44" s="91"/>
      <c r="AH44" s="91"/>
      <c r="AI44" s="91"/>
      <c r="AJ44" s="91"/>
      <c r="AK44" s="91"/>
      <c r="AL44" s="92"/>
      <c r="AM44" s="92"/>
      <c r="AN44" s="93"/>
      <c r="AO44" s="92"/>
      <c r="AP44" s="86"/>
      <c r="AS44">
        <v>1</v>
      </c>
    </row>
    <row r="45" ht="14.25" customHeight="1" spans="1:45">
      <c r="A45" s="8">
        <v>123002</v>
      </c>
      <c r="B45" s="8">
        <v>1001</v>
      </c>
      <c r="C45" s="8">
        <v>6</v>
      </c>
      <c r="D45" s="8">
        <v>1001</v>
      </c>
      <c r="E45" t="s">
        <v>206</v>
      </c>
      <c r="F45" t="s">
        <v>207</v>
      </c>
      <c r="G45" t="s">
        <v>208</v>
      </c>
      <c r="H45" t="s">
        <v>204</v>
      </c>
      <c r="I45">
        <v>1</v>
      </c>
      <c r="J45" s="69">
        <v>5</v>
      </c>
      <c r="K45" s="87">
        <v>2</v>
      </c>
      <c r="L45" s="8">
        <v>999</v>
      </c>
      <c r="M45" s="8">
        <v>0</v>
      </c>
      <c r="N45" s="8">
        <v>1018</v>
      </c>
      <c r="O45" s="2" t="s">
        <v>209</v>
      </c>
      <c r="R45" s="8"/>
      <c r="S45" s="89">
        <v>0</v>
      </c>
      <c r="T45" s="8">
        <v>5</v>
      </c>
      <c r="U45" s="89">
        <v>10</v>
      </c>
      <c r="V45" s="87">
        <v>0</v>
      </c>
      <c r="W45">
        <v>0</v>
      </c>
      <c r="X45" s="8">
        <v>1</v>
      </c>
      <c r="Y45">
        <v>0</v>
      </c>
      <c r="Z45" s="33">
        <v>0</v>
      </c>
      <c r="AA45">
        <v>5</v>
      </c>
      <c r="AB45" s="34">
        <v>200</v>
      </c>
      <c r="AC45" s="87">
        <v>56</v>
      </c>
      <c r="AD45" s="62">
        <v>0</v>
      </c>
      <c r="AE45" s="90">
        <v>5</v>
      </c>
      <c r="AF45" s="90">
        <v>2</v>
      </c>
      <c r="AG45" s="91"/>
      <c r="AH45" s="91"/>
      <c r="AI45" s="91"/>
      <c r="AJ45" s="91"/>
      <c r="AK45" s="91"/>
      <c r="AL45" s="92"/>
      <c r="AM45" s="92"/>
      <c r="AN45" s="93"/>
      <c r="AO45" s="92"/>
      <c r="AP45" s="86"/>
      <c r="AS45">
        <v>1</v>
      </c>
    </row>
    <row r="46" ht="14.25" customHeight="1" spans="1:45">
      <c r="A46" s="89">
        <v>212001</v>
      </c>
      <c r="B46" s="89">
        <v>1001</v>
      </c>
      <c r="C46" s="89">
        <v>1</v>
      </c>
      <c r="D46" s="8">
        <v>1001</v>
      </c>
      <c r="E46" s="34" t="s">
        <v>210</v>
      </c>
      <c r="F46" s="13" t="s">
        <v>210</v>
      </c>
      <c r="G46" s="34" t="s">
        <v>211</v>
      </c>
      <c r="H46" s="101" t="s">
        <v>212</v>
      </c>
      <c r="I46" s="34">
        <v>1</v>
      </c>
      <c r="J46" s="102">
        <v>2</v>
      </c>
      <c r="K46" s="89">
        <v>1</v>
      </c>
      <c r="L46" s="89">
        <v>9999</v>
      </c>
      <c r="M46" s="89">
        <v>0</v>
      </c>
      <c r="N46" s="89">
        <v>1013</v>
      </c>
      <c r="O46" s="103">
        <v>500</v>
      </c>
      <c r="P46" s="89" t="s">
        <v>213</v>
      </c>
      <c r="Q46" s="89" t="s">
        <v>214</v>
      </c>
      <c r="R46" s="89" t="s">
        <v>215</v>
      </c>
      <c r="S46" s="89">
        <v>1</v>
      </c>
      <c r="T46" s="89">
        <v>5</v>
      </c>
      <c r="U46" s="89">
        <v>110</v>
      </c>
      <c r="V46" s="89">
        <v>1</v>
      </c>
      <c r="W46" s="34">
        <v>1</v>
      </c>
      <c r="X46" s="89">
        <v>1</v>
      </c>
      <c r="Y46" s="34">
        <v>0</v>
      </c>
      <c r="Z46" s="34">
        <v>0</v>
      </c>
      <c r="AA46" s="34">
        <v>5</v>
      </c>
      <c r="AB46" s="34">
        <v>4180</v>
      </c>
      <c r="AC46" s="89">
        <v>830</v>
      </c>
      <c r="AD46" s="104"/>
      <c r="AE46" s="105">
        <v>0</v>
      </c>
      <c r="AF46" s="105">
        <v>0</v>
      </c>
      <c r="AG46" s="106"/>
      <c r="AH46" s="106">
        <v>1</v>
      </c>
      <c r="AI46" s="106"/>
      <c r="AJ46" s="106"/>
      <c r="AK46" s="106"/>
      <c r="AL46" s="107">
        <v>1</v>
      </c>
      <c r="AM46" s="107"/>
      <c r="AN46" s="93" t="s">
        <v>216</v>
      </c>
      <c r="AO46" s="92"/>
      <c r="AP46" s="108"/>
      <c r="AQ46" s="34" t="s">
        <v>210</v>
      </c>
      <c r="AS46" s="34">
        <v>1</v>
      </c>
    </row>
    <row r="47" s="34" customFormat="1" ht="14.25" customHeight="1" spans="1:45">
      <c r="A47" s="89">
        <v>213001</v>
      </c>
      <c r="B47" s="89">
        <v>1001</v>
      </c>
      <c r="C47" s="89">
        <v>1</v>
      </c>
      <c r="D47" s="8">
        <v>1001</v>
      </c>
      <c r="E47" s="34" t="s">
        <v>217</v>
      </c>
      <c r="F47" s="13" t="s">
        <v>217</v>
      </c>
      <c r="G47" s="34" t="s">
        <v>218</v>
      </c>
      <c r="H47" s="101" t="s">
        <v>219</v>
      </c>
      <c r="I47" s="34">
        <v>1</v>
      </c>
      <c r="J47" s="102">
        <v>3</v>
      </c>
      <c r="K47" s="89">
        <v>1</v>
      </c>
      <c r="L47" s="89">
        <v>9999</v>
      </c>
      <c r="M47" s="89">
        <v>0</v>
      </c>
      <c r="N47" s="89">
        <v>1013</v>
      </c>
      <c r="O47" s="103">
        <v>1500</v>
      </c>
      <c r="P47" s="89" t="s">
        <v>213</v>
      </c>
      <c r="Q47" s="89" t="s">
        <v>214</v>
      </c>
      <c r="R47" s="89" t="s">
        <v>215</v>
      </c>
      <c r="S47" s="89">
        <v>1</v>
      </c>
      <c r="T47" s="89">
        <v>5</v>
      </c>
      <c r="U47" s="89">
        <v>140</v>
      </c>
      <c r="V47" s="89">
        <v>1</v>
      </c>
      <c r="W47" s="34">
        <v>1</v>
      </c>
      <c r="X47" s="89">
        <v>1</v>
      </c>
      <c r="Y47" s="34">
        <v>0</v>
      </c>
      <c r="Z47" s="34">
        <v>0</v>
      </c>
      <c r="AA47" s="34">
        <v>5</v>
      </c>
      <c r="AB47" s="34">
        <v>5320</v>
      </c>
      <c r="AC47" s="89">
        <v>830</v>
      </c>
      <c r="AD47" s="104"/>
      <c r="AE47" s="105">
        <v>0</v>
      </c>
      <c r="AF47" s="105">
        <v>0</v>
      </c>
      <c r="AG47" s="106"/>
      <c r="AH47" s="106">
        <v>1</v>
      </c>
      <c r="AI47" s="106"/>
      <c r="AJ47" s="106"/>
      <c r="AK47" s="106"/>
      <c r="AL47" s="107">
        <v>1</v>
      </c>
      <c r="AM47" s="107"/>
      <c r="AN47" s="93" t="s">
        <v>216</v>
      </c>
      <c r="AO47" s="92"/>
      <c r="AP47" s="108"/>
      <c r="AQ47" s="34" t="s">
        <v>217</v>
      </c>
      <c r="AS47" s="34">
        <v>1</v>
      </c>
    </row>
    <row r="48" s="34" customFormat="1" ht="14.25" customHeight="1" spans="1:45">
      <c r="A48" s="89">
        <v>214001</v>
      </c>
      <c r="B48" s="89">
        <v>1001</v>
      </c>
      <c r="C48" s="89">
        <v>1</v>
      </c>
      <c r="D48" s="8">
        <v>1001</v>
      </c>
      <c r="E48" s="34" t="s">
        <v>220</v>
      </c>
      <c r="F48" s="13" t="s">
        <v>220</v>
      </c>
      <c r="G48" s="34" t="s">
        <v>221</v>
      </c>
      <c r="H48" s="101" t="s">
        <v>222</v>
      </c>
      <c r="I48" s="34">
        <v>1</v>
      </c>
      <c r="J48" s="102">
        <v>4</v>
      </c>
      <c r="K48" s="89">
        <v>1</v>
      </c>
      <c r="L48" s="89">
        <v>9999</v>
      </c>
      <c r="M48" s="89">
        <v>0</v>
      </c>
      <c r="N48" s="89">
        <v>1013</v>
      </c>
      <c r="O48" s="103">
        <v>3000</v>
      </c>
      <c r="P48" s="89" t="s">
        <v>213</v>
      </c>
      <c r="Q48" s="89" t="s">
        <v>214</v>
      </c>
      <c r="R48" s="89" t="s">
        <v>215</v>
      </c>
      <c r="S48" s="89">
        <v>1</v>
      </c>
      <c r="T48" s="89">
        <v>5</v>
      </c>
      <c r="U48" s="89">
        <v>170</v>
      </c>
      <c r="V48" s="89">
        <v>1</v>
      </c>
      <c r="W48" s="34">
        <v>1</v>
      </c>
      <c r="X48" s="89">
        <v>1</v>
      </c>
      <c r="Y48" s="34">
        <v>0</v>
      </c>
      <c r="Z48" s="34">
        <v>0</v>
      </c>
      <c r="AA48" s="34">
        <v>5</v>
      </c>
      <c r="AB48" s="34">
        <v>6460</v>
      </c>
      <c r="AC48" s="89">
        <v>830</v>
      </c>
      <c r="AD48" s="104"/>
      <c r="AE48" s="105">
        <v>0</v>
      </c>
      <c r="AF48" s="105">
        <v>0</v>
      </c>
      <c r="AG48" s="106"/>
      <c r="AH48" s="106">
        <v>1</v>
      </c>
      <c r="AI48" s="106"/>
      <c r="AJ48" s="106"/>
      <c r="AK48" s="106"/>
      <c r="AL48" s="107">
        <v>1</v>
      </c>
      <c r="AM48" s="107"/>
      <c r="AN48" s="93" t="s">
        <v>223</v>
      </c>
      <c r="AO48" s="92"/>
      <c r="AP48" s="108"/>
      <c r="AQ48" s="34" t="s">
        <v>220</v>
      </c>
      <c r="AS48" s="34">
        <v>1</v>
      </c>
    </row>
    <row r="49" s="34" customFormat="1" ht="14.25" customHeight="1" spans="1:45">
      <c r="A49" s="89">
        <v>215001</v>
      </c>
      <c r="B49" s="89">
        <v>1001</v>
      </c>
      <c r="C49" s="89">
        <v>1</v>
      </c>
      <c r="D49" s="8">
        <v>1001</v>
      </c>
      <c r="E49" s="34" t="s">
        <v>224</v>
      </c>
      <c r="F49" s="13" t="s">
        <v>224</v>
      </c>
      <c r="G49" s="34" t="s">
        <v>225</v>
      </c>
      <c r="H49" s="101" t="s">
        <v>226</v>
      </c>
      <c r="I49" s="34">
        <v>1</v>
      </c>
      <c r="J49" s="102">
        <v>5</v>
      </c>
      <c r="K49" s="89">
        <v>1</v>
      </c>
      <c r="L49" s="89">
        <v>9999</v>
      </c>
      <c r="M49" s="89">
        <v>0</v>
      </c>
      <c r="N49" s="89">
        <v>1013</v>
      </c>
      <c r="O49" s="103">
        <v>10000</v>
      </c>
      <c r="P49" s="89" t="s">
        <v>213</v>
      </c>
      <c r="Q49" s="89" t="s">
        <v>214</v>
      </c>
      <c r="R49" s="89" t="s">
        <v>215</v>
      </c>
      <c r="S49" s="89">
        <v>1</v>
      </c>
      <c r="T49" s="89">
        <v>5</v>
      </c>
      <c r="U49" s="89">
        <v>200</v>
      </c>
      <c r="V49" s="89">
        <v>1</v>
      </c>
      <c r="W49" s="34">
        <v>1</v>
      </c>
      <c r="X49" s="89">
        <v>1</v>
      </c>
      <c r="Y49" s="34">
        <v>0</v>
      </c>
      <c r="Z49" s="34">
        <v>0</v>
      </c>
      <c r="AA49" s="34">
        <v>5</v>
      </c>
      <c r="AB49" s="34">
        <v>7600</v>
      </c>
      <c r="AC49" s="89">
        <v>830</v>
      </c>
      <c r="AD49" s="104"/>
      <c r="AE49" s="105">
        <v>0</v>
      </c>
      <c r="AF49" s="105">
        <v>0</v>
      </c>
      <c r="AG49" s="106"/>
      <c r="AH49" s="106">
        <v>1</v>
      </c>
      <c r="AI49" s="106"/>
      <c r="AJ49" s="106"/>
      <c r="AK49" s="106"/>
      <c r="AL49" s="107">
        <v>1</v>
      </c>
      <c r="AM49" s="107"/>
      <c r="AN49" s="93" t="s">
        <v>223</v>
      </c>
      <c r="AO49" s="92"/>
      <c r="AP49" s="108"/>
      <c r="AQ49" s="34" t="s">
        <v>224</v>
      </c>
      <c r="AS49" s="34">
        <v>1</v>
      </c>
    </row>
    <row r="50" s="34" customFormat="1" ht="14.25" customHeight="1" spans="1:45">
      <c r="A50" s="89">
        <v>216001</v>
      </c>
      <c r="B50" s="89">
        <v>1001</v>
      </c>
      <c r="C50" s="89">
        <v>1</v>
      </c>
      <c r="D50" s="8">
        <v>1001</v>
      </c>
      <c r="E50" s="34" t="s">
        <v>227</v>
      </c>
      <c r="F50" s="13" t="s">
        <v>227</v>
      </c>
      <c r="G50" s="34" t="s">
        <v>228</v>
      </c>
      <c r="H50" s="108" t="s">
        <v>229</v>
      </c>
      <c r="I50" s="34">
        <v>1</v>
      </c>
      <c r="J50" s="102">
        <v>5</v>
      </c>
      <c r="K50" s="89">
        <v>1</v>
      </c>
      <c r="L50" s="89">
        <v>9999</v>
      </c>
      <c r="M50" s="89">
        <v>0</v>
      </c>
      <c r="N50" s="89">
        <v>1013</v>
      </c>
      <c r="O50" s="103">
        <v>30000</v>
      </c>
      <c r="P50" s="89" t="s">
        <v>213</v>
      </c>
      <c r="Q50" s="89" t="s">
        <v>214</v>
      </c>
      <c r="R50" s="89" t="s">
        <v>215</v>
      </c>
      <c r="S50" s="89">
        <v>1</v>
      </c>
      <c r="T50" s="89">
        <v>5</v>
      </c>
      <c r="U50" s="89">
        <v>200</v>
      </c>
      <c r="V50" s="89">
        <v>1</v>
      </c>
      <c r="W50" s="34">
        <v>1</v>
      </c>
      <c r="X50" s="89">
        <v>1</v>
      </c>
      <c r="Y50" s="34">
        <v>0</v>
      </c>
      <c r="Z50" s="34">
        <v>0</v>
      </c>
      <c r="AA50" s="34">
        <v>5</v>
      </c>
      <c r="AB50" s="34">
        <v>7600</v>
      </c>
      <c r="AC50" s="89">
        <v>830</v>
      </c>
      <c r="AD50" s="104"/>
      <c r="AE50" s="105">
        <v>0</v>
      </c>
      <c r="AF50" s="105">
        <v>0</v>
      </c>
      <c r="AG50" s="106"/>
      <c r="AH50" s="106">
        <v>1</v>
      </c>
      <c r="AI50" s="106"/>
      <c r="AJ50" s="106"/>
      <c r="AK50" s="106"/>
      <c r="AL50" s="107">
        <v>1</v>
      </c>
      <c r="AM50" s="107"/>
      <c r="AN50" s="93"/>
      <c r="AO50" s="92"/>
      <c r="AP50" s="108"/>
      <c r="AQ50" s="34" t="s">
        <v>227</v>
      </c>
      <c r="AS50" s="34">
        <v>1</v>
      </c>
    </row>
    <row r="51" s="34" customFormat="1" ht="14.25" customHeight="1" spans="1:45">
      <c r="A51" s="89">
        <v>217001</v>
      </c>
      <c r="B51" s="89">
        <v>1001</v>
      </c>
      <c r="C51" s="89">
        <v>1</v>
      </c>
      <c r="D51" s="8">
        <v>1001</v>
      </c>
      <c r="E51" s="34">
        <v>1</v>
      </c>
      <c r="F51" s="13">
        <v>1</v>
      </c>
      <c r="G51" s="34">
        <v>1</v>
      </c>
      <c r="H51" s="108" t="s">
        <v>230</v>
      </c>
      <c r="I51" s="34">
        <v>1</v>
      </c>
      <c r="J51" s="102">
        <v>5</v>
      </c>
      <c r="K51" s="89">
        <v>1</v>
      </c>
      <c r="L51" s="89">
        <v>999</v>
      </c>
      <c r="M51" s="89">
        <v>0</v>
      </c>
      <c r="N51" s="89"/>
      <c r="O51" s="103">
        <v>1</v>
      </c>
      <c r="P51" s="89"/>
      <c r="Q51" s="89"/>
      <c r="R51" s="89"/>
      <c r="S51" s="89">
        <v>1</v>
      </c>
      <c r="T51" s="89">
        <v>5</v>
      </c>
      <c r="U51" s="89">
        <v>200</v>
      </c>
      <c r="V51" s="89">
        <v>1</v>
      </c>
      <c r="W51" s="34">
        <v>1</v>
      </c>
      <c r="X51" s="89">
        <v>1</v>
      </c>
      <c r="Y51" s="34">
        <v>0</v>
      </c>
      <c r="Z51" s="34">
        <v>0</v>
      </c>
      <c r="AA51" s="34">
        <v>5</v>
      </c>
      <c r="AB51" s="34">
        <v>7600</v>
      </c>
      <c r="AC51" s="89">
        <v>830</v>
      </c>
      <c r="AD51" s="104"/>
      <c r="AE51" s="105">
        <v>0</v>
      </c>
      <c r="AF51" s="105">
        <v>0</v>
      </c>
      <c r="AG51" s="106"/>
      <c r="AH51" s="106">
        <v>1</v>
      </c>
      <c r="AI51" s="106"/>
      <c r="AJ51" s="106"/>
      <c r="AK51" s="106"/>
      <c r="AL51" s="107">
        <v>1</v>
      </c>
      <c r="AM51" s="107"/>
      <c r="AN51" s="93"/>
      <c r="AO51" s="92"/>
      <c r="AP51" s="108"/>
      <c r="AQ51" s="34" t="s">
        <v>227</v>
      </c>
      <c r="AS51" s="34">
        <v>1</v>
      </c>
    </row>
    <row r="52" s="34" customFormat="1" ht="14.25" customHeight="1" spans="1:45">
      <c r="A52" s="89">
        <v>212002</v>
      </c>
      <c r="B52" s="89">
        <v>1001</v>
      </c>
      <c r="C52" s="89">
        <v>8</v>
      </c>
      <c r="D52" s="8">
        <v>1001</v>
      </c>
      <c r="E52" s="34" t="s">
        <v>231</v>
      </c>
      <c r="F52" s="13" t="s">
        <v>232</v>
      </c>
      <c r="G52" s="34" t="s">
        <v>233</v>
      </c>
      <c r="H52" s="101" t="s">
        <v>234</v>
      </c>
      <c r="I52" s="34">
        <v>1</v>
      </c>
      <c r="J52" s="102">
        <v>2</v>
      </c>
      <c r="K52" s="89">
        <v>4</v>
      </c>
      <c r="L52" s="89">
        <v>9999</v>
      </c>
      <c r="M52" s="89">
        <v>0</v>
      </c>
      <c r="N52" s="89"/>
      <c r="O52" s="103"/>
      <c r="P52" s="89" t="s">
        <v>213</v>
      </c>
      <c r="Q52" s="89" t="s">
        <v>235</v>
      </c>
      <c r="R52" s="89" t="s">
        <v>215</v>
      </c>
      <c r="S52" s="89">
        <v>1</v>
      </c>
      <c r="T52" s="89">
        <v>5</v>
      </c>
      <c r="U52" s="89">
        <v>110</v>
      </c>
      <c r="V52" s="89">
        <v>1</v>
      </c>
      <c r="W52" s="34">
        <v>1</v>
      </c>
      <c r="X52" s="89">
        <v>1</v>
      </c>
      <c r="Y52" s="34">
        <v>0</v>
      </c>
      <c r="Z52" s="34">
        <v>0</v>
      </c>
      <c r="AA52" s="34">
        <v>5</v>
      </c>
      <c r="AB52" s="34">
        <v>4180</v>
      </c>
      <c r="AC52" s="89">
        <v>830</v>
      </c>
      <c r="AD52" s="104"/>
      <c r="AE52" s="105">
        <v>0</v>
      </c>
      <c r="AF52" s="105">
        <v>0</v>
      </c>
      <c r="AG52" s="106"/>
      <c r="AH52" s="106">
        <v>1</v>
      </c>
      <c r="AI52" s="106"/>
      <c r="AJ52" s="106">
        <v>213002</v>
      </c>
      <c r="AK52" s="106"/>
      <c r="AL52" s="107">
        <v>1</v>
      </c>
      <c r="AM52" s="107"/>
      <c r="AN52" s="93" t="s">
        <v>236</v>
      </c>
      <c r="AO52" s="92"/>
      <c r="AP52" s="108"/>
      <c r="AQ52" s="34" t="s">
        <v>231</v>
      </c>
      <c r="AS52" s="34">
        <v>1</v>
      </c>
    </row>
    <row r="53" s="34" customFormat="1" ht="14.25" customHeight="1" spans="1:45">
      <c r="A53" s="89">
        <v>213002</v>
      </c>
      <c r="B53" s="89">
        <v>1001</v>
      </c>
      <c r="C53" s="89">
        <v>8</v>
      </c>
      <c r="D53" s="8">
        <v>1001</v>
      </c>
      <c r="E53" s="34" t="s">
        <v>237</v>
      </c>
      <c r="F53" s="13" t="s">
        <v>237</v>
      </c>
      <c r="G53" s="34" t="s">
        <v>233</v>
      </c>
      <c r="H53" s="101" t="s">
        <v>238</v>
      </c>
      <c r="I53" s="34">
        <v>1</v>
      </c>
      <c r="J53" s="102">
        <v>3</v>
      </c>
      <c r="K53" s="89">
        <v>4</v>
      </c>
      <c r="L53" s="89">
        <v>9999</v>
      </c>
      <c r="M53" s="89">
        <v>0</v>
      </c>
      <c r="N53" s="89"/>
      <c r="O53" s="103"/>
      <c r="P53" s="89" t="s">
        <v>213</v>
      </c>
      <c r="Q53" s="89" t="s">
        <v>235</v>
      </c>
      <c r="R53" s="89" t="s">
        <v>215</v>
      </c>
      <c r="S53" s="89">
        <v>1</v>
      </c>
      <c r="T53" s="89">
        <v>5</v>
      </c>
      <c r="U53" s="89">
        <v>140</v>
      </c>
      <c r="V53" s="89">
        <v>1</v>
      </c>
      <c r="W53" s="34">
        <v>1</v>
      </c>
      <c r="X53" s="89">
        <v>1</v>
      </c>
      <c r="Y53" s="34">
        <v>0</v>
      </c>
      <c r="Z53" s="34">
        <v>0</v>
      </c>
      <c r="AA53" s="34">
        <v>5</v>
      </c>
      <c r="AB53" s="34">
        <v>5320</v>
      </c>
      <c r="AC53" s="89">
        <v>830</v>
      </c>
      <c r="AD53" s="104"/>
      <c r="AE53" s="105">
        <v>0</v>
      </c>
      <c r="AF53" s="105">
        <v>0</v>
      </c>
      <c r="AG53" s="106"/>
      <c r="AH53" s="106">
        <v>1</v>
      </c>
      <c r="AI53" s="106"/>
      <c r="AJ53" s="106">
        <v>214002</v>
      </c>
      <c r="AK53" s="106"/>
      <c r="AL53" s="107">
        <v>1</v>
      </c>
      <c r="AM53" s="107"/>
      <c r="AN53" s="93" t="s">
        <v>236</v>
      </c>
      <c r="AO53" s="92"/>
      <c r="AP53" s="108"/>
      <c r="AQ53" s="34" t="s">
        <v>237</v>
      </c>
      <c r="AS53" s="34">
        <v>1</v>
      </c>
    </row>
    <row r="54" s="34" customFormat="1" ht="14.25" customHeight="1" spans="1:45">
      <c r="A54" s="89">
        <v>214002</v>
      </c>
      <c r="B54" s="89">
        <v>1001</v>
      </c>
      <c r="C54" s="89">
        <v>8</v>
      </c>
      <c r="D54" s="8">
        <v>1001</v>
      </c>
      <c r="E54" s="34" t="s">
        <v>239</v>
      </c>
      <c r="F54" s="13" t="s">
        <v>239</v>
      </c>
      <c r="G54" s="34" t="s">
        <v>233</v>
      </c>
      <c r="H54" s="101" t="s">
        <v>240</v>
      </c>
      <c r="I54" s="34">
        <v>1</v>
      </c>
      <c r="J54" s="102">
        <v>4</v>
      </c>
      <c r="K54" s="89">
        <v>4</v>
      </c>
      <c r="L54" s="89">
        <v>9999</v>
      </c>
      <c r="M54" s="89">
        <v>0</v>
      </c>
      <c r="N54" s="89"/>
      <c r="O54" s="103"/>
      <c r="P54" s="89" t="s">
        <v>213</v>
      </c>
      <c r="Q54" s="89" t="s">
        <v>235</v>
      </c>
      <c r="R54" s="89" t="s">
        <v>215</v>
      </c>
      <c r="S54" s="89">
        <v>1</v>
      </c>
      <c r="T54" s="89">
        <v>5</v>
      </c>
      <c r="U54" s="89">
        <v>170</v>
      </c>
      <c r="V54" s="89">
        <v>1</v>
      </c>
      <c r="W54" s="34">
        <v>1</v>
      </c>
      <c r="X54" s="89">
        <v>1</v>
      </c>
      <c r="Y54" s="34">
        <v>0</v>
      </c>
      <c r="Z54" s="34">
        <v>0</v>
      </c>
      <c r="AA54" s="34">
        <v>5</v>
      </c>
      <c r="AB54" s="34">
        <v>6460</v>
      </c>
      <c r="AC54" s="89">
        <v>830</v>
      </c>
      <c r="AD54" s="104">
        <v>0</v>
      </c>
      <c r="AE54" s="105">
        <v>0</v>
      </c>
      <c r="AF54" s="105">
        <v>0</v>
      </c>
      <c r="AG54" s="106"/>
      <c r="AH54" s="106">
        <v>1</v>
      </c>
      <c r="AI54" s="106"/>
      <c r="AJ54" s="106">
        <v>215002</v>
      </c>
      <c r="AK54" s="106"/>
      <c r="AL54" s="107">
        <v>1</v>
      </c>
      <c r="AM54" s="107"/>
      <c r="AN54" s="93"/>
      <c r="AO54" s="92"/>
      <c r="AP54" s="108"/>
      <c r="AQ54" s="34" t="s">
        <v>239</v>
      </c>
      <c r="AS54" s="34">
        <v>1</v>
      </c>
    </row>
    <row r="55" s="34" customFormat="1" ht="14.25" customHeight="1" spans="1:45">
      <c r="A55" s="89">
        <v>215002</v>
      </c>
      <c r="B55" s="89">
        <v>1001</v>
      </c>
      <c r="C55" s="89">
        <v>8</v>
      </c>
      <c r="D55" s="8">
        <v>1001</v>
      </c>
      <c r="E55" s="34" t="s">
        <v>241</v>
      </c>
      <c r="F55" s="13" t="s">
        <v>241</v>
      </c>
      <c r="G55" s="34" t="s">
        <v>233</v>
      </c>
      <c r="H55" s="101" t="s">
        <v>242</v>
      </c>
      <c r="I55" s="34">
        <v>1</v>
      </c>
      <c r="J55" s="102">
        <v>5</v>
      </c>
      <c r="K55" s="89">
        <v>1</v>
      </c>
      <c r="L55" s="89">
        <v>9999</v>
      </c>
      <c r="M55" s="89">
        <v>0</v>
      </c>
      <c r="N55" s="89"/>
      <c r="O55" s="103"/>
      <c r="P55" s="89" t="s">
        <v>213</v>
      </c>
      <c r="Q55" s="89" t="s">
        <v>235</v>
      </c>
      <c r="R55" s="89" t="s">
        <v>215</v>
      </c>
      <c r="S55" s="89">
        <v>1</v>
      </c>
      <c r="T55" s="89">
        <v>5</v>
      </c>
      <c r="U55" s="89">
        <v>200</v>
      </c>
      <c r="V55" s="89">
        <v>1</v>
      </c>
      <c r="W55" s="34">
        <v>1</v>
      </c>
      <c r="X55" s="89">
        <v>1</v>
      </c>
      <c r="Y55" s="34">
        <v>0</v>
      </c>
      <c r="Z55" s="34">
        <v>0</v>
      </c>
      <c r="AA55" s="34">
        <v>5</v>
      </c>
      <c r="AB55" s="34">
        <v>7600</v>
      </c>
      <c r="AC55" s="89">
        <v>830</v>
      </c>
      <c r="AD55" s="104">
        <v>0</v>
      </c>
      <c r="AE55" s="105">
        <v>0</v>
      </c>
      <c r="AF55" s="105">
        <v>0</v>
      </c>
      <c r="AG55" s="106"/>
      <c r="AH55" s="106">
        <v>1</v>
      </c>
      <c r="AI55" s="106"/>
      <c r="AJ55" s="106"/>
      <c r="AK55" s="106"/>
      <c r="AL55" s="107">
        <v>1</v>
      </c>
      <c r="AM55" s="107"/>
      <c r="AN55" s="93"/>
      <c r="AO55" s="92"/>
      <c r="AP55" s="108"/>
      <c r="AQ55" s="34" t="s">
        <v>241</v>
      </c>
      <c r="AS55" s="34">
        <v>1</v>
      </c>
    </row>
    <row r="56" s="34" customFormat="1" ht="14.25" customHeight="1" spans="1:45">
      <c r="A56" s="89">
        <v>216002</v>
      </c>
      <c r="B56" s="89">
        <v>1001</v>
      </c>
      <c r="C56" s="89">
        <v>2</v>
      </c>
      <c r="D56" s="8">
        <v>1001</v>
      </c>
      <c r="E56" s="34" t="s">
        <v>243</v>
      </c>
      <c r="F56" s="34" t="s">
        <v>243</v>
      </c>
      <c r="G56" s="34" t="s">
        <v>244</v>
      </c>
      <c r="H56" s="101" t="s">
        <v>245</v>
      </c>
      <c r="I56" s="34">
        <v>1</v>
      </c>
      <c r="J56" s="102">
        <v>5</v>
      </c>
      <c r="K56" s="89">
        <v>1</v>
      </c>
      <c r="L56" s="89">
        <v>9999</v>
      </c>
      <c r="M56" s="89">
        <v>0</v>
      </c>
      <c r="N56" s="89"/>
      <c r="O56" s="103"/>
      <c r="Q56" s="89" t="s">
        <v>246</v>
      </c>
      <c r="R56" s="89" t="s">
        <v>247</v>
      </c>
      <c r="S56" s="89">
        <v>1</v>
      </c>
      <c r="T56" s="89">
        <v>5</v>
      </c>
      <c r="U56" s="89">
        <v>1000</v>
      </c>
      <c r="V56" s="89">
        <v>1</v>
      </c>
      <c r="W56" s="34">
        <v>1</v>
      </c>
      <c r="X56" s="89">
        <v>1</v>
      </c>
      <c r="Y56" s="34">
        <v>0</v>
      </c>
      <c r="Z56" s="34">
        <v>0</v>
      </c>
      <c r="AA56" s="34">
        <v>5</v>
      </c>
      <c r="AB56" s="34">
        <v>1000</v>
      </c>
      <c r="AC56" s="109">
        <v>830</v>
      </c>
      <c r="AD56" s="104"/>
      <c r="AE56" s="105"/>
      <c r="AF56" s="105"/>
      <c r="AG56" s="106"/>
      <c r="AH56" s="106">
        <v>1</v>
      </c>
      <c r="AI56" s="106"/>
      <c r="AJ56" s="106"/>
      <c r="AK56" s="106"/>
      <c r="AL56" s="107">
        <v>1</v>
      </c>
      <c r="AM56" s="107"/>
      <c r="AN56" s="93"/>
      <c r="AO56" s="92"/>
      <c r="AP56" s="108"/>
      <c r="AS56" s="34">
        <v>1</v>
      </c>
    </row>
    <row r="57" s="34" customFormat="1" ht="14.25" customHeight="1" spans="1:45">
      <c r="A57" s="35">
        <v>216003</v>
      </c>
      <c r="B57" s="35">
        <v>1001</v>
      </c>
      <c r="C57" s="35">
        <v>2</v>
      </c>
      <c r="D57" s="35">
        <v>1001</v>
      </c>
      <c r="E57" s="35" t="s">
        <v>248</v>
      </c>
      <c r="F57" s="35" t="s">
        <v>248</v>
      </c>
      <c r="G57" s="35" t="s">
        <v>249</v>
      </c>
      <c r="H57" s="35" t="s">
        <v>250</v>
      </c>
      <c r="I57" s="35">
        <v>1</v>
      </c>
      <c r="J57" s="35">
        <v>2</v>
      </c>
      <c r="K57" s="35">
        <v>1</v>
      </c>
      <c r="L57" s="35">
        <v>999</v>
      </c>
      <c r="M57" s="35">
        <v>0</v>
      </c>
      <c r="N57" s="35">
        <v>1053</v>
      </c>
      <c r="O57" s="110">
        <v>3000</v>
      </c>
      <c r="S57" s="35">
        <v>1</v>
      </c>
      <c r="T57" s="35">
        <v>5</v>
      </c>
      <c r="U57" s="35">
        <v>5</v>
      </c>
      <c r="V57" s="111">
        <v>1</v>
      </c>
      <c r="W57" s="35">
        <v>1</v>
      </c>
      <c r="X57" s="35">
        <v>1</v>
      </c>
      <c r="Y57" s="35">
        <v>0</v>
      </c>
      <c r="Z57" s="35">
        <v>0</v>
      </c>
      <c r="AA57" s="35">
        <v>5</v>
      </c>
      <c r="AB57" s="35">
        <v>500</v>
      </c>
      <c r="AC57" s="35">
        <v>830</v>
      </c>
      <c r="AD57" s="112"/>
      <c r="AE57" s="112"/>
      <c r="AF57" s="112"/>
      <c r="AG57" s="113"/>
      <c r="AH57" s="113"/>
      <c r="AI57" s="113"/>
      <c r="AJ57" s="113"/>
      <c r="AK57" s="113"/>
      <c r="AL57" s="114">
        <v>1</v>
      </c>
      <c r="AM57" s="114"/>
      <c r="AN57" s="115"/>
      <c r="AO57" s="116"/>
      <c r="AP57" s="114"/>
      <c r="AQ57" s="35" t="s">
        <v>248</v>
      </c>
      <c r="AS57" s="35">
        <v>1</v>
      </c>
    </row>
    <row r="58" s="35" customFormat="1" spans="1:45">
      <c r="A58" s="35">
        <v>216004</v>
      </c>
      <c r="B58" s="35">
        <v>1001</v>
      </c>
      <c r="C58" s="35">
        <v>2</v>
      </c>
      <c r="D58" s="35">
        <v>1001</v>
      </c>
      <c r="E58" s="35" t="s">
        <v>251</v>
      </c>
      <c r="F58" s="35" t="s">
        <v>251</v>
      </c>
      <c r="G58" s="35" t="s">
        <v>252</v>
      </c>
      <c r="H58" s="35" t="s">
        <v>253</v>
      </c>
      <c r="I58" s="35">
        <v>1</v>
      </c>
      <c r="J58" s="35">
        <v>3</v>
      </c>
      <c r="K58" s="35">
        <v>1</v>
      </c>
      <c r="L58" s="35">
        <v>999</v>
      </c>
      <c r="M58" s="35">
        <v>0</v>
      </c>
      <c r="N58" s="35">
        <v>1053</v>
      </c>
      <c r="O58" s="110">
        <v>5000</v>
      </c>
      <c r="S58" s="35">
        <v>1</v>
      </c>
      <c r="T58" s="35">
        <v>5</v>
      </c>
      <c r="U58" s="35">
        <v>5</v>
      </c>
      <c r="V58" s="111">
        <v>1</v>
      </c>
      <c r="W58" s="35">
        <v>1</v>
      </c>
      <c r="X58" s="35">
        <v>1</v>
      </c>
      <c r="Y58" s="35">
        <v>0</v>
      </c>
      <c r="Z58" s="35">
        <v>0</v>
      </c>
      <c r="AA58" s="35">
        <v>5</v>
      </c>
      <c r="AB58" s="35">
        <v>500</v>
      </c>
      <c r="AC58" s="35">
        <v>830</v>
      </c>
      <c r="AD58" s="112"/>
      <c r="AE58" s="112"/>
      <c r="AF58" s="112"/>
      <c r="AG58" s="113"/>
      <c r="AH58" s="113"/>
      <c r="AI58" s="113"/>
      <c r="AJ58" s="113"/>
      <c r="AK58" s="113"/>
      <c r="AL58" s="114">
        <v>1</v>
      </c>
      <c r="AM58" s="114"/>
      <c r="AN58" s="115"/>
      <c r="AO58" s="116"/>
      <c r="AP58" s="114"/>
      <c r="AQ58" s="35" t="s">
        <v>251</v>
      </c>
      <c r="AS58" s="35">
        <v>1</v>
      </c>
    </row>
    <row r="59" s="35" customFormat="1" spans="1:45">
      <c r="A59" s="35">
        <v>216005</v>
      </c>
      <c r="B59" s="35">
        <v>1001</v>
      </c>
      <c r="C59" s="35">
        <v>2</v>
      </c>
      <c r="D59" s="35">
        <v>1001</v>
      </c>
      <c r="E59" s="35" t="s">
        <v>254</v>
      </c>
      <c r="F59" s="35" t="s">
        <v>254</v>
      </c>
      <c r="G59" s="35" t="s">
        <v>255</v>
      </c>
      <c r="H59" s="35" t="s">
        <v>256</v>
      </c>
      <c r="I59" s="35">
        <v>1</v>
      </c>
      <c r="J59" s="35">
        <v>5</v>
      </c>
      <c r="K59" s="35">
        <v>1</v>
      </c>
      <c r="L59" s="35">
        <v>999</v>
      </c>
      <c r="M59" s="35">
        <v>0</v>
      </c>
      <c r="N59" s="35">
        <v>1053</v>
      </c>
      <c r="O59" s="110">
        <v>8000</v>
      </c>
      <c r="S59" s="35">
        <v>1</v>
      </c>
      <c r="T59" s="35">
        <v>5</v>
      </c>
      <c r="U59" s="35">
        <v>5</v>
      </c>
      <c r="V59" s="111">
        <v>1</v>
      </c>
      <c r="W59" s="35">
        <v>1</v>
      </c>
      <c r="X59" s="35">
        <v>1</v>
      </c>
      <c r="Y59" s="35">
        <v>0</v>
      </c>
      <c r="Z59" s="35">
        <v>0</v>
      </c>
      <c r="AA59" s="35">
        <v>5</v>
      </c>
      <c r="AB59" s="35">
        <v>500</v>
      </c>
      <c r="AC59" s="35">
        <v>830</v>
      </c>
      <c r="AD59" s="112"/>
      <c r="AE59" s="112"/>
      <c r="AF59" s="112"/>
      <c r="AG59" s="113"/>
      <c r="AH59" s="113"/>
      <c r="AI59" s="113"/>
      <c r="AJ59" s="113"/>
      <c r="AK59" s="113"/>
      <c r="AL59" s="114">
        <v>1</v>
      </c>
      <c r="AM59" s="114"/>
      <c r="AN59" s="115"/>
      <c r="AO59" s="116"/>
      <c r="AP59" s="114"/>
      <c r="AQ59" s="35" t="s">
        <v>254</v>
      </c>
      <c r="AS59" s="35">
        <v>1</v>
      </c>
    </row>
    <row r="60" s="35" customFormat="1" ht="14.25" customHeight="1" spans="1:45">
      <c r="A60" s="89">
        <v>212004</v>
      </c>
      <c r="B60" s="89">
        <v>1001</v>
      </c>
      <c r="C60" s="89">
        <v>19</v>
      </c>
      <c r="D60" s="8">
        <v>1001</v>
      </c>
      <c r="E60" s="34" t="s">
        <v>257</v>
      </c>
      <c r="F60" s="13" t="s">
        <v>257</v>
      </c>
      <c r="G60" s="34" t="s">
        <v>258</v>
      </c>
      <c r="H60" s="101" t="s">
        <v>259</v>
      </c>
      <c r="I60" s="34">
        <v>1</v>
      </c>
      <c r="J60" s="102">
        <v>2</v>
      </c>
      <c r="K60" s="89">
        <v>4</v>
      </c>
      <c r="L60" s="89">
        <v>999</v>
      </c>
      <c r="M60" s="89">
        <v>0</v>
      </c>
      <c r="N60" s="89"/>
      <c r="O60" s="103"/>
      <c r="Q60" s="34" t="s">
        <v>260</v>
      </c>
      <c r="R60" s="89"/>
      <c r="S60" s="89">
        <v>1</v>
      </c>
      <c r="T60" s="89">
        <v>5</v>
      </c>
      <c r="U60" s="89">
        <v>110</v>
      </c>
      <c r="V60" s="89">
        <v>1</v>
      </c>
      <c r="W60" s="34">
        <v>1</v>
      </c>
      <c r="X60" s="89">
        <v>1</v>
      </c>
      <c r="Y60" s="34">
        <v>0</v>
      </c>
      <c r="Z60" s="34">
        <v>0</v>
      </c>
      <c r="AA60" s="34">
        <v>5</v>
      </c>
      <c r="AB60" s="34">
        <v>4180</v>
      </c>
      <c r="AC60" s="89">
        <v>830</v>
      </c>
      <c r="AD60" s="104">
        <v>0</v>
      </c>
      <c r="AE60" s="105">
        <v>0</v>
      </c>
      <c r="AF60" s="105">
        <v>0</v>
      </c>
      <c r="AG60" s="106"/>
      <c r="AH60" s="106">
        <v>1</v>
      </c>
      <c r="AI60" s="106"/>
      <c r="AJ60" s="106">
        <v>213004</v>
      </c>
      <c r="AK60" s="106"/>
      <c r="AL60" s="107">
        <v>1</v>
      </c>
      <c r="AM60" s="107"/>
      <c r="AN60" s="93" t="s">
        <v>261</v>
      </c>
      <c r="AO60" s="92"/>
      <c r="AP60" s="108"/>
      <c r="AQ60" s="34" t="s">
        <v>257</v>
      </c>
      <c r="AS60" s="34">
        <v>1</v>
      </c>
    </row>
    <row r="61" s="34" customFormat="1" ht="14.25" customHeight="1" spans="1:45">
      <c r="A61" s="89">
        <v>213004</v>
      </c>
      <c r="B61" s="89">
        <v>1001</v>
      </c>
      <c r="C61" s="89">
        <v>19</v>
      </c>
      <c r="D61" s="8">
        <v>1001</v>
      </c>
      <c r="E61" s="34" t="s">
        <v>262</v>
      </c>
      <c r="F61" s="13" t="s">
        <v>262</v>
      </c>
      <c r="G61" s="34" t="s">
        <v>263</v>
      </c>
      <c r="H61" s="101" t="s">
        <v>264</v>
      </c>
      <c r="I61" s="34">
        <v>1</v>
      </c>
      <c r="J61" s="102">
        <v>3</v>
      </c>
      <c r="K61" s="89">
        <v>4</v>
      </c>
      <c r="L61" s="89">
        <v>999</v>
      </c>
      <c r="M61" s="89">
        <v>0</v>
      </c>
      <c r="N61" s="89"/>
      <c r="O61" s="103"/>
      <c r="Q61" s="34" t="s">
        <v>260</v>
      </c>
      <c r="R61" s="89"/>
      <c r="S61" s="89">
        <v>1</v>
      </c>
      <c r="T61" s="89">
        <v>5</v>
      </c>
      <c r="U61" s="89">
        <v>140</v>
      </c>
      <c r="V61" s="89">
        <v>1</v>
      </c>
      <c r="W61" s="34">
        <v>1</v>
      </c>
      <c r="X61" s="89">
        <v>1</v>
      </c>
      <c r="Y61" s="34">
        <v>0</v>
      </c>
      <c r="Z61" s="34">
        <v>0</v>
      </c>
      <c r="AA61" s="34">
        <v>5</v>
      </c>
      <c r="AB61" s="34">
        <v>5320</v>
      </c>
      <c r="AC61" s="89">
        <v>830</v>
      </c>
      <c r="AD61" s="104">
        <v>0</v>
      </c>
      <c r="AE61" s="105">
        <v>0</v>
      </c>
      <c r="AF61" s="105">
        <v>0</v>
      </c>
      <c r="AG61" s="106"/>
      <c r="AH61" s="106">
        <v>1</v>
      </c>
      <c r="AI61" s="106"/>
      <c r="AJ61" s="106">
        <v>214004</v>
      </c>
      <c r="AK61" s="106"/>
      <c r="AL61" s="107">
        <v>1</v>
      </c>
      <c r="AM61" s="107"/>
      <c r="AN61" s="93"/>
      <c r="AO61" s="92"/>
      <c r="AP61" s="108"/>
      <c r="AQ61" s="34" t="s">
        <v>262</v>
      </c>
      <c r="AS61" s="34">
        <v>1</v>
      </c>
    </row>
    <row r="62" s="34" customFormat="1" ht="14.25" customHeight="1" spans="1:45">
      <c r="A62" s="89">
        <v>214004</v>
      </c>
      <c r="B62" s="89">
        <v>1001</v>
      </c>
      <c r="C62" s="89">
        <v>19</v>
      </c>
      <c r="D62" s="8">
        <v>1001</v>
      </c>
      <c r="E62" s="34" t="s">
        <v>265</v>
      </c>
      <c r="F62" s="13" t="s">
        <v>265</v>
      </c>
      <c r="G62" s="34" t="s">
        <v>266</v>
      </c>
      <c r="H62" s="101" t="s">
        <v>267</v>
      </c>
      <c r="I62" s="34">
        <v>1</v>
      </c>
      <c r="J62" s="102">
        <v>4</v>
      </c>
      <c r="K62" s="89">
        <v>4</v>
      </c>
      <c r="L62" s="89">
        <v>999</v>
      </c>
      <c r="M62" s="89">
        <v>0</v>
      </c>
      <c r="N62" s="89"/>
      <c r="O62" s="103"/>
      <c r="Q62" s="34" t="s">
        <v>260</v>
      </c>
      <c r="R62" s="89"/>
      <c r="S62" s="89">
        <v>1</v>
      </c>
      <c r="T62" s="89">
        <v>5</v>
      </c>
      <c r="U62" s="89">
        <v>170</v>
      </c>
      <c r="V62" s="89">
        <v>1</v>
      </c>
      <c r="W62" s="34">
        <v>1</v>
      </c>
      <c r="X62" s="89">
        <v>1</v>
      </c>
      <c r="Y62" s="34">
        <v>0</v>
      </c>
      <c r="Z62" s="34">
        <v>0</v>
      </c>
      <c r="AA62" s="34">
        <v>5</v>
      </c>
      <c r="AB62" s="34">
        <v>6460</v>
      </c>
      <c r="AC62" s="89">
        <v>830</v>
      </c>
      <c r="AD62" s="104">
        <v>0</v>
      </c>
      <c r="AE62" s="105">
        <v>0</v>
      </c>
      <c r="AF62" s="105">
        <v>0</v>
      </c>
      <c r="AG62" s="106"/>
      <c r="AH62" s="106">
        <v>1</v>
      </c>
      <c r="AI62" s="106"/>
      <c r="AJ62" s="106">
        <v>215004</v>
      </c>
      <c r="AK62" s="106"/>
      <c r="AL62" s="107">
        <v>1</v>
      </c>
      <c r="AM62" s="107"/>
      <c r="AN62" s="93"/>
      <c r="AO62" s="92"/>
      <c r="AP62" s="108"/>
      <c r="AQ62" s="34" t="s">
        <v>265</v>
      </c>
      <c r="AS62" s="34">
        <v>1</v>
      </c>
    </row>
    <row r="63" s="34" customFormat="1" ht="14.25" customHeight="1" spans="1:45">
      <c r="A63" s="89">
        <v>215004</v>
      </c>
      <c r="B63" s="89">
        <v>1001</v>
      </c>
      <c r="C63" s="89">
        <v>19</v>
      </c>
      <c r="D63" s="8">
        <v>1001</v>
      </c>
      <c r="E63" s="34" t="s">
        <v>268</v>
      </c>
      <c r="F63" s="13" t="s">
        <v>268</v>
      </c>
      <c r="G63" s="34" t="s">
        <v>269</v>
      </c>
      <c r="H63" s="101" t="s">
        <v>270</v>
      </c>
      <c r="I63" s="34">
        <v>1</v>
      </c>
      <c r="J63" s="102">
        <v>5</v>
      </c>
      <c r="K63" s="89">
        <v>1</v>
      </c>
      <c r="L63" s="89">
        <v>999</v>
      </c>
      <c r="M63" s="89">
        <v>0</v>
      </c>
      <c r="N63" s="89"/>
      <c r="O63" s="103"/>
      <c r="Q63" s="34" t="s">
        <v>260</v>
      </c>
      <c r="R63" s="89"/>
      <c r="S63" s="89">
        <v>1</v>
      </c>
      <c r="T63" s="89">
        <v>5</v>
      </c>
      <c r="U63" s="89">
        <v>200</v>
      </c>
      <c r="V63" s="89">
        <v>1</v>
      </c>
      <c r="W63" s="34">
        <v>1</v>
      </c>
      <c r="X63" s="89">
        <v>1</v>
      </c>
      <c r="Y63" s="34">
        <v>0</v>
      </c>
      <c r="Z63" s="34">
        <v>0</v>
      </c>
      <c r="AA63" s="34">
        <v>5</v>
      </c>
      <c r="AB63" s="34">
        <v>7600</v>
      </c>
      <c r="AC63" s="89">
        <v>830</v>
      </c>
      <c r="AD63" s="104">
        <v>0</v>
      </c>
      <c r="AE63" s="105">
        <v>0</v>
      </c>
      <c r="AF63" s="105">
        <v>0</v>
      </c>
      <c r="AG63" s="106"/>
      <c r="AH63" s="106">
        <v>1</v>
      </c>
      <c r="AI63" s="106"/>
      <c r="AJ63" s="106"/>
      <c r="AK63" s="106"/>
      <c r="AL63" s="107">
        <v>1</v>
      </c>
      <c r="AM63" s="107"/>
      <c r="AN63" s="93"/>
      <c r="AO63" s="92"/>
      <c r="AP63" s="108"/>
      <c r="AQ63" s="34" t="s">
        <v>268</v>
      </c>
      <c r="AS63" s="34">
        <v>1</v>
      </c>
    </row>
    <row r="64" s="34" customFormat="1" ht="14.25" customHeight="1" spans="1:45">
      <c r="A64" s="89">
        <v>218004</v>
      </c>
      <c r="B64" s="89">
        <v>1001</v>
      </c>
      <c r="C64" s="89">
        <v>2</v>
      </c>
      <c r="D64" s="8">
        <v>1001</v>
      </c>
      <c r="E64" s="34" t="s">
        <v>271</v>
      </c>
      <c r="F64" s="13" t="s">
        <v>271</v>
      </c>
      <c r="G64" s="34" t="s">
        <v>272</v>
      </c>
      <c r="H64" s="101" t="s">
        <v>273</v>
      </c>
      <c r="I64" s="34">
        <v>1</v>
      </c>
      <c r="J64" s="102">
        <v>4</v>
      </c>
      <c r="K64" s="89">
        <v>1</v>
      </c>
      <c r="L64" s="89">
        <v>9999</v>
      </c>
      <c r="M64" s="89">
        <v>0</v>
      </c>
      <c r="N64" s="89"/>
      <c r="O64" s="103"/>
      <c r="R64" s="89"/>
      <c r="S64" s="89">
        <v>1</v>
      </c>
      <c r="T64" s="89">
        <v>5</v>
      </c>
      <c r="U64" s="89">
        <v>200</v>
      </c>
      <c r="V64" s="89">
        <v>1</v>
      </c>
      <c r="W64" s="34">
        <v>1</v>
      </c>
      <c r="X64" s="89">
        <v>1</v>
      </c>
      <c r="Y64" s="34">
        <v>0</v>
      </c>
      <c r="Z64" s="34">
        <v>0</v>
      </c>
      <c r="AA64" s="34">
        <v>5</v>
      </c>
      <c r="AB64" s="34">
        <v>7600</v>
      </c>
      <c r="AC64" s="89">
        <v>830</v>
      </c>
      <c r="AD64" s="104">
        <v>0</v>
      </c>
      <c r="AE64" s="105">
        <v>0</v>
      </c>
      <c r="AF64" s="105">
        <v>0</v>
      </c>
      <c r="AG64" s="106"/>
      <c r="AH64" s="106">
        <v>1</v>
      </c>
      <c r="AI64" s="106"/>
      <c r="AJ64" s="106"/>
      <c r="AK64" s="106"/>
      <c r="AL64" s="107">
        <v>1</v>
      </c>
      <c r="AM64" s="107"/>
      <c r="AN64" s="93"/>
      <c r="AO64" s="92"/>
      <c r="AP64" s="108"/>
      <c r="AS64" s="34">
        <v>1</v>
      </c>
    </row>
    <row r="65" s="34" customFormat="1" ht="14.25" customHeight="1" spans="1:45">
      <c r="A65" s="8">
        <v>214005</v>
      </c>
      <c r="B65" s="8">
        <v>1001</v>
      </c>
      <c r="C65" s="8">
        <v>1</v>
      </c>
      <c r="D65" s="8">
        <v>1001</v>
      </c>
      <c r="E65" t="s">
        <v>274</v>
      </c>
      <c r="F65" s="13" t="s">
        <v>274</v>
      </c>
      <c r="G65" t="s">
        <v>275</v>
      </c>
      <c r="H65" s="117" t="s">
        <v>276</v>
      </c>
      <c r="I65">
        <v>1</v>
      </c>
      <c r="J65" s="69">
        <v>4</v>
      </c>
      <c r="K65" s="87">
        <v>1</v>
      </c>
      <c r="L65" s="8">
        <v>9999</v>
      </c>
      <c r="M65" s="8">
        <v>0</v>
      </c>
      <c r="N65" s="8"/>
      <c r="O65" s="88"/>
      <c r="R65" s="8"/>
      <c r="S65" s="89">
        <v>1</v>
      </c>
      <c r="T65" s="8">
        <v>5</v>
      </c>
      <c r="U65" s="89">
        <v>170</v>
      </c>
      <c r="V65" s="87">
        <v>1</v>
      </c>
      <c r="W65">
        <v>1</v>
      </c>
      <c r="X65" s="8">
        <v>1</v>
      </c>
      <c r="Y65">
        <v>0</v>
      </c>
      <c r="Z65" s="33">
        <v>0</v>
      </c>
      <c r="AA65">
        <v>5</v>
      </c>
      <c r="AB65" s="34">
        <v>6460</v>
      </c>
      <c r="AC65" s="87">
        <v>830</v>
      </c>
      <c r="AD65" s="62">
        <v>0</v>
      </c>
      <c r="AE65" s="90">
        <v>0</v>
      </c>
      <c r="AF65" s="90">
        <v>0</v>
      </c>
      <c r="AG65" s="91"/>
      <c r="AH65" s="91">
        <v>1</v>
      </c>
      <c r="AI65" s="91"/>
      <c r="AJ65" s="91"/>
      <c r="AK65" s="91"/>
      <c r="AL65" s="92">
        <v>1</v>
      </c>
      <c r="AM65" s="92"/>
      <c r="AN65" s="93" t="s">
        <v>277</v>
      </c>
      <c r="AO65" s="92"/>
      <c r="AP65" s="86"/>
      <c r="AQ65" t="s">
        <v>274</v>
      </c>
      <c r="AS65">
        <v>1</v>
      </c>
    </row>
    <row r="66" ht="14.25" customHeight="1" spans="1:45">
      <c r="A66" s="8">
        <v>215005</v>
      </c>
      <c r="B66" s="8">
        <v>1001</v>
      </c>
      <c r="C66" s="8">
        <v>1</v>
      </c>
      <c r="D66" s="8">
        <v>1001</v>
      </c>
      <c r="E66" t="s">
        <v>278</v>
      </c>
      <c r="F66" s="13" t="s">
        <v>278</v>
      </c>
      <c r="G66" t="s">
        <v>279</v>
      </c>
      <c r="H66" s="117" t="s">
        <v>280</v>
      </c>
      <c r="I66">
        <v>1</v>
      </c>
      <c r="J66" s="69">
        <v>5</v>
      </c>
      <c r="K66" s="87">
        <v>1</v>
      </c>
      <c r="L66" s="8">
        <v>9999</v>
      </c>
      <c r="M66" s="8">
        <v>0</v>
      </c>
      <c r="N66" s="8"/>
      <c r="O66" s="88"/>
      <c r="R66" s="8"/>
      <c r="S66" s="89">
        <v>1</v>
      </c>
      <c r="T66" s="8">
        <v>5</v>
      </c>
      <c r="U66" s="89">
        <v>200</v>
      </c>
      <c r="V66" s="87">
        <v>1</v>
      </c>
      <c r="W66">
        <v>1</v>
      </c>
      <c r="X66" s="8">
        <v>1</v>
      </c>
      <c r="Y66">
        <v>0</v>
      </c>
      <c r="Z66" s="33">
        <v>0</v>
      </c>
      <c r="AA66">
        <v>5</v>
      </c>
      <c r="AB66" s="34">
        <v>7600</v>
      </c>
      <c r="AC66" s="87">
        <v>830</v>
      </c>
      <c r="AD66" s="62">
        <v>0</v>
      </c>
      <c r="AE66" s="90">
        <v>0</v>
      </c>
      <c r="AF66" s="90">
        <v>0</v>
      </c>
      <c r="AG66" s="91"/>
      <c r="AH66" s="91">
        <v>1</v>
      </c>
      <c r="AI66" s="91"/>
      <c r="AJ66" s="91"/>
      <c r="AK66" s="91"/>
      <c r="AL66" s="92">
        <v>1</v>
      </c>
      <c r="AM66" s="92"/>
      <c r="AN66" s="93" t="s">
        <v>281</v>
      </c>
      <c r="AO66" s="92"/>
      <c r="AP66" s="86"/>
      <c r="AQ66" t="s">
        <v>278</v>
      </c>
      <c r="AS66">
        <v>1</v>
      </c>
    </row>
    <row r="67" ht="14.25" customHeight="1" spans="1:45">
      <c r="A67" s="118">
        <v>215008</v>
      </c>
      <c r="B67" s="118">
        <v>1001</v>
      </c>
      <c r="C67" s="118">
        <v>1</v>
      </c>
      <c r="D67" s="118">
        <v>1001</v>
      </c>
      <c r="E67" s="36" t="s">
        <v>282</v>
      </c>
      <c r="F67" s="36" t="s">
        <v>282</v>
      </c>
      <c r="G67" s="36" t="s">
        <v>283</v>
      </c>
      <c r="H67" s="119" t="s">
        <v>284</v>
      </c>
      <c r="I67" s="36">
        <v>1</v>
      </c>
      <c r="J67" s="120">
        <v>5</v>
      </c>
      <c r="K67" s="118">
        <v>1</v>
      </c>
      <c r="L67" s="118">
        <v>999</v>
      </c>
      <c r="M67" s="118">
        <v>0</v>
      </c>
      <c r="N67" s="118"/>
      <c r="O67" s="121"/>
      <c r="R67" s="118"/>
      <c r="S67" s="118">
        <v>1</v>
      </c>
      <c r="T67" s="118">
        <v>5</v>
      </c>
      <c r="U67" s="118">
        <v>200</v>
      </c>
      <c r="V67" s="118">
        <v>1</v>
      </c>
      <c r="W67" s="36">
        <v>1</v>
      </c>
      <c r="X67" s="118">
        <v>1</v>
      </c>
      <c r="Y67" s="36">
        <v>0</v>
      </c>
      <c r="Z67" s="36">
        <v>0</v>
      </c>
      <c r="AA67" s="36">
        <v>5</v>
      </c>
      <c r="AB67" s="36">
        <v>1000</v>
      </c>
      <c r="AC67" s="118">
        <v>830</v>
      </c>
      <c r="AD67" s="122">
        <v>0</v>
      </c>
      <c r="AE67" s="123">
        <v>0</v>
      </c>
      <c r="AF67" s="123">
        <v>0</v>
      </c>
      <c r="AG67" s="124"/>
      <c r="AH67" s="124">
        <v>1</v>
      </c>
      <c r="AI67" s="124"/>
      <c r="AJ67" s="124"/>
      <c r="AK67" s="124"/>
      <c r="AL67" s="125">
        <v>1</v>
      </c>
      <c r="AM67" s="125"/>
      <c r="AN67" s="126"/>
      <c r="AO67" s="125"/>
      <c r="AP67" s="127"/>
      <c r="AQ67" s="36" t="s">
        <v>282</v>
      </c>
      <c r="AS67" s="36">
        <v>1</v>
      </c>
    </row>
    <row r="68" s="36" customFormat="1" ht="14.25" customHeight="1" spans="1:45">
      <c r="A68" s="118">
        <v>214017</v>
      </c>
      <c r="B68" s="118">
        <v>1001</v>
      </c>
      <c r="C68" s="118">
        <v>1</v>
      </c>
      <c r="D68" s="118">
        <v>1001</v>
      </c>
      <c r="E68" s="36" t="s">
        <v>285</v>
      </c>
      <c r="F68" s="36" t="s">
        <v>285</v>
      </c>
      <c r="G68" s="36" t="s">
        <v>286</v>
      </c>
      <c r="H68" s="119" t="s">
        <v>287</v>
      </c>
      <c r="J68" s="120">
        <v>4</v>
      </c>
      <c r="K68" s="118">
        <v>1</v>
      </c>
      <c r="L68" s="118">
        <v>999</v>
      </c>
      <c r="M68" s="118">
        <v>0</v>
      </c>
      <c r="N68" s="118"/>
      <c r="O68" s="121"/>
      <c r="R68" s="118"/>
      <c r="S68" s="118">
        <v>1</v>
      </c>
      <c r="T68" s="118">
        <v>5</v>
      </c>
      <c r="U68" s="118">
        <v>50</v>
      </c>
      <c r="V68" s="118">
        <v>1</v>
      </c>
      <c r="W68" s="36">
        <v>1</v>
      </c>
      <c r="X68" s="118">
        <v>1</v>
      </c>
      <c r="Y68" s="36">
        <v>0</v>
      </c>
      <c r="Z68" s="36">
        <v>0</v>
      </c>
      <c r="AA68" s="36">
        <v>5</v>
      </c>
      <c r="AB68" s="36">
        <v>1000</v>
      </c>
      <c r="AC68" s="118">
        <v>830</v>
      </c>
      <c r="AD68" s="122">
        <v>0</v>
      </c>
      <c r="AE68" s="123">
        <v>0</v>
      </c>
      <c r="AF68" s="123">
        <v>0</v>
      </c>
      <c r="AG68" s="124"/>
      <c r="AH68" s="124">
        <v>1</v>
      </c>
      <c r="AI68" s="124"/>
      <c r="AJ68" s="124"/>
      <c r="AK68" s="124"/>
      <c r="AL68" s="125">
        <v>1</v>
      </c>
      <c r="AM68" s="125"/>
      <c r="AN68" s="126"/>
      <c r="AO68" s="125"/>
      <c r="AP68" s="127"/>
      <c r="AQ68" s="36" t="s">
        <v>285</v>
      </c>
      <c r="AS68" s="36">
        <v>1</v>
      </c>
    </row>
    <row r="69" s="36" customFormat="1" ht="14.25" customHeight="1" spans="1:45">
      <c r="A69" s="8">
        <v>212006</v>
      </c>
      <c r="B69" s="8">
        <v>1001</v>
      </c>
      <c r="C69" s="8">
        <v>6</v>
      </c>
      <c r="D69" s="8">
        <v>1001</v>
      </c>
      <c r="E69" t="s">
        <v>288</v>
      </c>
      <c r="F69" s="13" t="s">
        <v>288</v>
      </c>
      <c r="G69" t="s">
        <v>289</v>
      </c>
      <c r="H69" s="117" t="s">
        <v>290</v>
      </c>
      <c r="I69">
        <v>1</v>
      </c>
      <c r="J69" s="69">
        <v>2</v>
      </c>
      <c r="K69" s="87">
        <v>2</v>
      </c>
      <c r="L69" s="8">
        <v>999</v>
      </c>
      <c r="M69" s="8">
        <v>0</v>
      </c>
      <c r="N69" s="8">
        <v>1</v>
      </c>
      <c r="O69" s="88" t="s">
        <v>291</v>
      </c>
      <c r="R69" s="8"/>
      <c r="S69" s="89">
        <v>1</v>
      </c>
      <c r="T69" s="8">
        <v>5</v>
      </c>
      <c r="U69" s="89">
        <v>110</v>
      </c>
      <c r="V69" s="87">
        <v>1</v>
      </c>
      <c r="W69">
        <v>1</v>
      </c>
      <c r="X69" s="8">
        <v>1</v>
      </c>
      <c r="Y69">
        <v>0</v>
      </c>
      <c r="Z69" s="33">
        <v>0</v>
      </c>
      <c r="AA69">
        <v>5</v>
      </c>
      <c r="AB69" s="34">
        <v>4180</v>
      </c>
      <c r="AC69" s="87">
        <v>55</v>
      </c>
      <c r="AE69" s="90">
        <v>4</v>
      </c>
      <c r="AF69" s="90">
        <v>2</v>
      </c>
      <c r="AG69" s="91"/>
      <c r="AH69" s="91"/>
      <c r="AI69" s="91"/>
      <c r="AJ69" s="91"/>
      <c r="AK69" s="91"/>
      <c r="AL69" s="92">
        <v>1</v>
      </c>
      <c r="AM69" s="92"/>
      <c r="AN69" s="93"/>
      <c r="AO69" s="92"/>
      <c r="AP69" s="86"/>
      <c r="AQ69" t="s">
        <v>288</v>
      </c>
      <c r="AS69">
        <v>1</v>
      </c>
    </row>
    <row r="70" ht="14.25" customHeight="1" spans="1:45">
      <c r="A70" s="8">
        <v>213006</v>
      </c>
      <c r="B70" s="8">
        <v>1001</v>
      </c>
      <c r="C70" s="8">
        <v>6</v>
      </c>
      <c r="D70" s="8">
        <v>1001</v>
      </c>
      <c r="E70" t="s">
        <v>288</v>
      </c>
      <c r="F70" s="13" t="s">
        <v>288</v>
      </c>
      <c r="G70" t="s">
        <v>292</v>
      </c>
      <c r="H70" s="117" t="s">
        <v>290</v>
      </c>
      <c r="I70">
        <v>1</v>
      </c>
      <c r="J70" s="69">
        <v>3</v>
      </c>
      <c r="K70" s="87">
        <v>2</v>
      </c>
      <c r="L70" s="8">
        <v>999</v>
      </c>
      <c r="M70" s="8">
        <v>0</v>
      </c>
      <c r="N70" s="8">
        <v>1</v>
      </c>
      <c r="O70" s="88" t="s">
        <v>293</v>
      </c>
      <c r="R70" s="8"/>
      <c r="S70" s="89">
        <v>1</v>
      </c>
      <c r="T70" s="8">
        <v>5</v>
      </c>
      <c r="U70" s="89">
        <v>140</v>
      </c>
      <c r="V70" s="87">
        <v>1</v>
      </c>
      <c r="W70">
        <v>1</v>
      </c>
      <c r="X70" s="8">
        <v>1</v>
      </c>
      <c r="Y70">
        <v>0</v>
      </c>
      <c r="Z70" s="33">
        <v>0</v>
      </c>
      <c r="AA70">
        <v>5</v>
      </c>
      <c r="AB70" s="34">
        <v>5320</v>
      </c>
      <c r="AC70" s="87">
        <v>55</v>
      </c>
      <c r="AE70" s="90">
        <v>4</v>
      </c>
      <c r="AF70" s="90">
        <v>2</v>
      </c>
      <c r="AG70" s="91"/>
      <c r="AH70" s="91"/>
      <c r="AI70" s="91"/>
      <c r="AJ70" s="91"/>
      <c r="AK70" s="91"/>
      <c r="AL70" s="92">
        <v>1</v>
      </c>
      <c r="AM70" s="92"/>
      <c r="AN70" s="93"/>
      <c r="AO70" s="92"/>
      <c r="AP70" s="86"/>
      <c r="AQ70" t="s">
        <v>288</v>
      </c>
      <c r="AS70">
        <v>1</v>
      </c>
    </row>
    <row r="71" ht="14.25" customHeight="1" spans="1:45">
      <c r="A71" s="8">
        <v>214006</v>
      </c>
      <c r="B71" s="8">
        <v>1001</v>
      </c>
      <c r="C71" s="8">
        <v>6</v>
      </c>
      <c r="D71" s="8">
        <v>1001</v>
      </c>
      <c r="E71" t="s">
        <v>288</v>
      </c>
      <c r="F71" s="13" t="s">
        <v>288</v>
      </c>
      <c r="G71" t="s">
        <v>294</v>
      </c>
      <c r="H71" s="117" t="s">
        <v>290</v>
      </c>
      <c r="I71">
        <v>1</v>
      </c>
      <c r="J71" s="69">
        <v>4</v>
      </c>
      <c r="K71" s="87">
        <v>2</v>
      </c>
      <c r="L71" s="8">
        <v>999</v>
      </c>
      <c r="M71" s="8">
        <v>0</v>
      </c>
      <c r="N71" s="8">
        <v>1</v>
      </c>
      <c r="O71" s="88" t="s">
        <v>295</v>
      </c>
      <c r="R71" s="8"/>
      <c r="S71" s="89">
        <v>1</v>
      </c>
      <c r="T71" s="8">
        <v>5</v>
      </c>
      <c r="U71" s="89">
        <v>170</v>
      </c>
      <c r="V71" s="87">
        <v>1</v>
      </c>
      <c r="W71">
        <v>1</v>
      </c>
      <c r="X71" s="8">
        <v>1</v>
      </c>
      <c r="Y71">
        <v>0</v>
      </c>
      <c r="Z71" s="33">
        <v>0</v>
      </c>
      <c r="AA71">
        <v>5</v>
      </c>
      <c r="AB71" s="34">
        <v>6460</v>
      </c>
      <c r="AC71" s="87">
        <v>55</v>
      </c>
      <c r="AE71" s="90">
        <v>4</v>
      </c>
      <c r="AF71" s="90">
        <v>2</v>
      </c>
      <c r="AG71" s="91"/>
      <c r="AH71" s="91"/>
      <c r="AI71" s="91"/>
      <c r="AJ71" s="91"/>
      <c r="AK71" s="91"/>
      <c r="AL71" s="92">
        <v>1</v>
      </c>
      <c r="AM71" s="92"/>
      <c r="AN71" s="93"/>
      <c r="AO71" s="92"/>
      <c r="AP71" s="86"/>
      <c r="AQ71" t="s">
        <v>288</v>
      </c>
      <c r="AS71">
        <v>1</v>
      </c>
    </row>
    <row r="72" ht="14.25" customHeight="1" spans="1:45">
      <c r="A72" s="8">
        <v>215006</v>
      </c>
      <c r="B72" s="8">
        <v>1001</v>
      </c>
      <c r="C72" s="8">
        <v>6</v>
      </c>
      <c r="D72" s="8">
        <v>1001</v>
      </c>
      <c r="E72" t="s">
        <v>288</v>
      </c>
      <c r="F72" s="13" t="s">
        <v>288</v>
      </c>
      <c r="G72" t="s">
        <v>296</v>
      </c>
      <c r="H72" s="117" t="s">
        <v>290</v>
      </c>
      <c r="I72">
        <v>1</v>
      </c>
      <c r="J72" s="69">
        <v>5</v>
      </c>
      <c r="K72" s="87">
        <v>2</v>
      </c>
      <c r="L72" s="8">
        <v>999</v>
      </c>
      <c r="M72" s="8">
        <v>0</v>
      </c>
      <c r="N72" s="8">
        <v>1</v>
      </c>
      <c r="O72" s="88" t="s">
        <v>297</v>
      </c>
      <c r="R72" s="8"/>
      <c r="S72" s="89">
        <v>1</v>
      </c>
      <c r="T72" s="8">
        <v>5</v>
      </c>
      <c r="U72" s="89">
        <v>200</v>
      </c>
      <c r="V72" s="87">
        <v>1</v>
      </c>
      <c r="W72">
        <v>1</v>
      </c>
      <c r="X72" s="8">
        <v>1</v>
      </c>
      <c r="Y72">
        <v>0</v>
      </c>
      <c r="Z72" s="33">
        <v>0</v>
      </c>
      <c r="AA72">
        <v>5</v>
      </c>
      <c r="AB72" s="34">
        <v>7600</v>
      </c>
      <c r="AC72" s="87">
        <v>55</v>
      </c>
      <c r="AE72" s="90">
        <v>4</v>
      </c>
      <c r="AF72" s="90">
        <v>2</v>
      </c>
      <c r="AG72" s="91"/>
      <c r="AH72" s="91"/>
      <c r="AI72" s="91"/>
      <c r="AJ72" s="91"/>
      <c r="AK72" s="91"/>
      <c r="AL72" s="92">
        <v>1</v>
      </c>
      <c r="AM72" s="92"/>
      <c r="AN72" s="93"/>
      <c r="AO72" s="92"/>
      <c r="AP72" s="86"/>
      <c r="AQ72" t="s">
        <v>288</v>
      </c>
      <c r="AS72">
        <v>1</v>
      </c>
    </row>
    <row r="73" ht="14.25" customHeight="1" spans="1:45">
      <c r="A73" s="8">
        <v>211006</v>
      </c>
      <c r="B73" s="8">
        <v>1001</v>
      </c>
      <c r="C73" s="8">
        <v>6</v>
      </c>
      <c r="D73" s="8">
        <v>1001</v>
      </c>
      <c r="E73" t="s">
        <v>298</v>
      </c>
      <c r="F73" s="13" t="s">
        <v>298</v>
      </c>
      <c r="G73" t="s">
        <v>299</v>
      </c>
      <c r="H73" s="117" t="s">
        <v>300</v>
      </c>
      <c r="I73">
        <v>1</v>
      </c>
      <c r="J73" s="69">
        <v>3</v>
      </c>
      <c r="K73" s="87">
        <v>2</v>
      </c>
      <c r="L73" s="8">
        <v>999</v>
      </c>
      <c r="M73" s="8">
        <v>0</v>
      </c>
      <c r="N73" s="8">
        <v>1</v>
      </c>
      <c r="O73" s="88" t="s">
        <v>301</v>
      </c>
      <c r="R73" s="8"/>
      <c r="S73" s="89">
        <v>1</v>
      </c>
      <c r="T73" s="8">
        <v>5</v>
      </c>
      <c r="U73" s="89">
        <v>140</v>
      </c>
      <c r="V73" s="87">
        <v>1</v>
      </c>
      <c r="W73">
        <v>1</v>
      </c>
      <c r="X73" s="8">
        <v>1</v>
      </c>
      <c r="Y73">
        <v>0</v>
      </c>
      <c r="Z73" s="33">
        <v>0</v>
      </c>
      <c r="AA73">
        <v>5</v>
      </c>
      <c r="AB73" s="34">
        <v>5320</v>
      </c>
      <c r="AC73" s="87">
        <v>51</v>
      </c>
      <c r="AE73" s="90">
        <v>4</v>
      </c>
      <c r="AF73" s="90">
        <v>2</v>
      </c>
      <c r="AG73" s="91"/>
      <c r="AH73" s="91"/>
      <c r="AI73" s="91"/>
      <c r="AJ73" s="91"/>
      <c r="AK73" s="91"/>
      <c r="AL73" s="92">
        <v>1</v>
      </c>
      <c r="AM73" s="92"/>
      <c r="AN73" s="93"/>
      <c r="AO73" s="92"/>
      <c r="AP73" s="86"/>
      <c r="AQ73" t="s">
        <v>298</v>
      </c>
      <c r="AS73">
        <v>1</v>
      </c>
    </row>
    <row r="74" ht="14.25" customHeight="1" spans="1:45">
      <c r="A74" s="8">
        <v>216006</v>
      </c>
      <c r="B74" s="8">
        <v>1001</v>
      </c>
      <c r="C74" s="8">
        <v>6</v>
      </c>
      <c r="D74" s="8">
        <v>1001</v>
      </c>
      <c r="E74" t="s">
        <v>302</v>
      </c>
      <c r="F74" s="13" t="s">
        <v>302</v>
      </c>
      <c r="G74" t="s">
        <v>303</v>
      </c>
      <c r="H74" s="117" t="s">
        <v>304</v>
      </c>
      <c r="I74">
        <v>1</v>
      </c>
      <c r="J74" s="69">
        <v>4</v>
      </c>
      <c r="K74" s="87">
        <v>2</v>
      </c>
      <c r="L74" s="8">
        <v>999</v>
      </c>
      <c r="M74" s="8">
        <v>0</v>
      </c>
      <c r="N74" s="8">
        <v>1</v>
      </c>
      <c r="O74" s="88" t="s">
        <v>305</v>
      </c>
      <c r="R74" s="8"/>
      <c r="S74" s="89">
        <v>1</v>
      </c>
      <c r="T74" s="8">
        <v>5</v>
      </c>
      <c r="U74" s="89">
        <v>170</v>
      </c>
      <c r="V74" s="87">
        <v>1</v>
      </c>
      <c r="W74">
        <v>1</v>
      </c>
      <c r="X74" s="8">
        <v>1</v>
      </c>
      <c r="Y74">
        <v>0</v>
      </c>
      <c r="Z74" s="33">
        <v>0</v>
      </c>
      <c r="AA74">
        <v>5</v>
      </c>
      <c r="AB74" s="34">
        <v>6460</v>
      </c>
      <c r="AC74" s="87">
        <v>56</v>
      </c>
      <c r="AE74" s="90">
        <v>4</v>
      </c>
      <c r="AF74" s="90">
        <v>2</v>
      </c>
      <c r="AG74" s="91"/>
      <c r="AH74" s="91"/>
      <c r="AI74" s="91"/>
      <c r="AJ74" s="91"/>
      <c r="AK74" s="91"/>
      <c r="AL74" s="92">
        <v>1</v>
      </c>
      <c r="AM74" s="92"/>
      <c r="AN74" s="93"/>
      <c r="AO74" s="92"/>
      <c r="AP74" s="86"/>
      <c r="AQ74" t="s">
        <v>302</v>
      </c>
      <c r="AS74">
        <v>1</v>
      </c>
    </row>
    <row r="75" ht="14.25" customHeight="1" spans="1:45">
      <c r="A75" s="8">
        <v>217006</v>
      </c>
      <c r="B75" s="8">
        <v>1001</v>
      </c>
      <c r="C75" s="8">
        <v>6</v>
      </c>
      <c r="D75" s="8">
        <v>1001</v>
      </c>
      <c r="E75" t="s">
        <v>298</v>
      </c>
      <c r="F75" s="13" t="s">
        <v>298</v>
      </c>
      <c r="G75" t="s">
        <v>306</v>
      </c>
      <c r="H75" s="117" t="s">
        <v>300</v>
      </c>
      <c r="I75">
        <v>1</v>
      </c>
      <c r="J75" s="69">
        <v>4</v>
      </c>
      <c r="K75" s="87">
        <v>2</v>
      </c>
      <c r="L75" s="8">
        <v>999</v>
      </c>
      <c r="M75" s="8">
        <v>0</v>
      </c>
      <c r="N75" s="8">
        <v>1</v>
      </c>
      <c r="O75" s="88" t="s">
        <v>307</v>
      </c>
      <c r="R75" s="8"/>
      <c r="S75" s="89">
        <v>1</v>
      </c>
      <c r="T75" s="8">
        <v>5</v>
      </c>
      <c r="U75" s="89">
        <v>170</v>
      </c>
      <c r="V75" s="87">
        <v>1</v>
      </c>
      <c r="W75">
        <v>1</v>
      </c>
      <c r="X75" s="8">
        <v>1</v>
      </c>
      <c r="Y75">
        <v>0</v>
      </c>
      <c r="Z75" s="33">
        <v>0</v>
      </c>
      <c r="AA75">
        <v>5</v>
      </c>
      <c r="AB75" s="34">
        <v>6460</v>
      </c>
      <c r="AC75" s="87">
        <v>51</v>
      </c>
      <c r="AE75" s="90">
        <v>4</v>
      </c>
      <c r="AF75" s="90">
        <v>2</v>
      </c>
      <c r="AG75" s="91"/>
      <c r="AH75" s="91"/>
      <c r="AI75" s="91"/>
      <c r="AJ75" s="91"/>
      <c r="AK75" s="91"/>
      <c r="AL75" s="92">
        <v>1</v>
      </c>
      <c r="AM75" s="92"/>
      <c r="AN75" s="93"/>
      <c r="AO75" s="92"/>
      <c r="AP75" s="86"/>
      <c r="AQ75" t="s">
        <v>298</v>
      </c>
      <c r="AS75">
        <v>1</v>
      </c>
    </row>
    <row r="76" ht="14.25" customHeight="1" spans="1:45">
      <c r="A76" s="8">
        <v>218006</v>
      </c>
      <c r="B76" s="8">
        <v>1001</v>
      </c>
      <c r="C76" s="8">
        <v>6</v>
      </c>
      <c r="D76" s="8">
        <v>1001</v>
      </c>
      <c r="E76" t="s">
        <v>302</v>
      </c>
      <c r="F76" s="13" t="s">
        <v>302</v>
      </c>
      <c r="G76" t="s">
        <v>308</v>
      </c>
      <c r="H76" s="117" t="s">
        <v>304</v>
      </c>
      <c r="I76">
        <v>1</v>
      </c>
      <c r="J76" s="69">
        <v>4</v>
      </c>
      <c r="K76" s="87">
        <v>2</v>
      </c>
      <c r="L76" s="8">
        <v>999</v>
      </c>
      <c r="M76" s="8">
        <v>0</v>
      </c>
      <c r="N76" s="8">
        <v>1</v>
      </c>
      <c r="O76" s="88" t="s">
        <v>309</v>
      </c>
      <c r="R76" s="8"/>
      <c r="S76" s="89">
        <v>1</v>
      </c>
      <c r="T76" s="8">
        <v>5</v>
      </c>
      <c r="U76" s="89">
        <v>170</v>
      </c>
      <c r="V76" s="87">
        <v>1</v>
      </c>
      <c r="W76">
        <v>1</v>
      </c>
      <c r="X76" s="8">
        <v>1</v>
      </c>
      <c r="Y76">
        <v>0</v>
      </c>
      <c r="Z76" s="33">
        <v>0</v>
      </c>
      <c r="AA76">
        <v>5</v>
      </c>
      <c r="AB76" s="34">
        <v>6460</v>
      </c>
      <c r="AC76" s="87">
        <v>51</v>
      </c>
      <c r="AE76" s="90">
        <v>4</v>
      </c>
      <c r="AF76" s="90">
        <v>2</v>
      </c>
      <c r="AG76" s="91"/>
      <c r="AH76" s="91"/>
      <c r="AI76" s="91"/>
      <c r="AJ76" s="91"/>
      <c r="AK76" s="91"/>
      <c r="AL76" s="92">
        <v>1</v>
      </c>
      <c r="AM76" s="92"/>
      <c r="AN76" s="93"/>
      <c r="AO76" s="92"/>
      <c r="AP76" s="86"/>
      <c r="AQ76" t="s">
        <v>302</v>
      </c>
      <c r="AS76">
        <v>1</v>
      </c>
    </row>
    <row r="77" ht="14.25" customHeight="1" spans="1:45">
      <c r="A77" s="8">
        <v>219006</v>
      </c>
      <c r="B77" s="8">
        <v>1001</v>
      </c>
      <c r="C77" s="8">
        <v>6</v>
      </c>
      <c r="D77" s="8">
        <v>1001</v>
      </c>
      <c r="E77" t="s">
        <v>298</v>
      </c>
      <c r="F77" s="13" t="s">
        <v>298</v>
      </c>
      <c r="G77" t="s">
        <v>310</v>
      </c>
      <c r="H77" s="117" t="s">
        <v>300</v>
      </c>
      <c r="I77">
        <v>1</v>
      </c>
      <c r="J77" s="69">
        <v>4</v>
      </c>
      <c r="K77" s="87">
        <v>2</v>
      </c>
      <c r="L77" s="8">
        <v>999</v>
      </c>
      <c r="M77" s="8">
        <v>0</v>
      </c>
      <c r="N77" s="8">
        <v>1</v>
      </c>
      <c r="O77" s="88" t="s">
        <v>311</v>
      </c>
      <c r="R77" s="8"/>
      <c r="S77" s="89">
        <v>1</v>
      </c>
      <c r="T77" s="8">
        <v>5</v>
      </c>
      <c r="U77" s="89">
        <v>170</v>
      </c>
      <c r="V77" s="87">
        <v>1</v>
      </c>
      <c r="W77">
        <v>1</v>
      </c>
      <c r="X77" s="8">
        <v>1</v>
      </c>
      <c r="Y77">
        <v>0</v>
      </c>
      <c r="Z77" s="33">
        <v>0</v>
      </c>
      <c r="AA77">
        <v>5</v>
      </c>
      <c r="AB77" s="34">
        <v>6460</v>
      </c>
      <c r="AC77" s="87">
        <v>51</v>
      </c>
      <c r="AE77" s="90">
        <v>4</v>
      </c>
      <c r="AF77" s="90">
        <v>2</v>
      </c>
      <c r="AG77" s="91"/>
      <c r="AH77" s="91"/>
      <c r="AI77" s="91"/>
      <c r="AJ77" s="91"/>
      <c r="AK77" s="91"/>
      <c r="AL77" s="92">
        <v>1</v>
      </c>
      <c r="AM77" s="92"/>
      <c r="AN77" s="93"/>
      <c r="AO77" s="92"/>
      <c r="AP77" s="86"/>
      <c r="AQ77" t="s">
        <v>298</v>
      </c>
      <c r="AS77">
        <v>1</v>
      </c>
    </row>
    <row r="78" ht="14.25" customHeight="1" spans="1:45">
      <c r="A78" s="8">
        <v>214107</v>
      </c>
      <c r="B78" s="8">
        <v>1001</v>
      </c>
      <c r="C78" s="8">
        <v>6</v>
      </c>
      <c r="D78" s="8">
        <v>1001</v>
      </c>
      <c r="F78" s="13"/>
      <c r="H78" s="117" t="s">
        <v>312</v>
      </c>
      <c r="I78">
        <v>1</v>
      </c>
      <c r="J78" s="69">
        <v>4</v>
      </c>
      <c r="K78" s="87">
        <v>2</v>
      </c>
      <c r="L78" s="8">
        <v>999</v>
      </c>
      <c r="M78" s="8">
        <v>0</v>
      </c>
      <c r="N78" s="8">
        <v>1</v>
      </c>
      <c r="O78" s="88" t="s">
        <v>313</v>
      </c>
      <c r="R78" s="8"/>
      <c r="S78" s="89">
        <v>1</v>
      </c>
      <c r="T78" s="8">
        <v>5</v>
      </c>
      <c r="U78" s="89">
        <v>170</v>
      </c>
      <c r="V78" s="87">
        <v>1</v>
      </c>
      <c r="W78">
        <v>1</v>
      </c>
      <c r="X78" s="8">
        <v>1</v>
      </c>
      <c r="Y78">
        <v>0</v>
      </c>
      <c r="Z78" s="33">
        <v>0</v>
      </c>
      <c r="AA78">
        <v>5</v>
      </c>
      <c r="AB78" s="34">
        <v>6460</v>
      </c>
      <c r="AC78" s="87">
        <v>51</v>
      </c>
      <c r="AE78" s="90">
        <v>4</v>
      </c>
      <c r="AF78" s="90">
        <v>2</v>
      </c>
      <c r="AG78" s="91"/>
      <c r="AH78" s="91"/>
      <c r="AI78" s="91"/>
      <c r="AJ78" s="91"/>
      <c r="AK78" s="91"/>
      <c r="AL78" s="92">
        <v>1</v>
      </c>
      <c r="AM78" s="92"/>
      <c r="AN78" s="93"/>
      <c r="AO78" s="92"/>
      <c r="AP78" s="86"/>
      <c r="AS78">
        <v>1</v>
      </c>
    </row>
    <row r="79" ht="14.25" customHeight="1" spans="1:45">
      <c r="A79" s="89">
        <v>212007</v>
      </c>
      <c r="B79" s="89">
        <v>1001</v>
      </c>
      <c r="C79" s="89">
        <v>18</v>
      </c>
      <c r="D79" s="8">
        <v>1001</v>
      </c>
      <c r="E79" s="3" t="s">
        <v>314</v>
      </c>
      <c r="F79" s="13" t="s">
        <v>314</v>
      </c>
      <c r="G79" s="34" t="s">
        <v>315</v>
      </c>
      <c r="H79" s="34" t="s">
        <v>316</v>
      </c>
      <c r="I79" s="34">
        <v>1</v>
      </c>
      <c r="J79" s="102">
        <v>2</v>
      </c>
      <c r="K79" s="89">
        <v>1</v>
      </c>
      <c r="L79" s="128">
        <v>9999</v>
      </c>
      <c r="M79" s="89">
        <v>0</v>
      </c>
      <c r="N79" s="89">
        <v>1014</v>
      </c>
      <c r="O79" s="103">
        <v>2</v>
      </c>
      <c r="P79" s="34" t="s">
        <v>317</v>
      </c>
      <c r="Q79" s="34" t="s">
        <v>318</v>
      </c>
      <c r="R79" s="89" t="s">
        <v>319</v>
      </c>
      <c r="S79" s="89">
        <v>1</v>
      </c>
      <c r="T79" s="89">
        <v>5</v>
      </c>
      <c r="U79" s="89">
        <v>110</v>
      </c>
      <c r="V79" s="89">
        <v>1</v>
      </c>
      <c r="W79" s="34">
        <v>1</v>
      </c>
      <c r="X79" s="89">
        <v>1</v>
      </c>
      <c r="Y79" s="34">
        <v>0</v>
      </c>
      <c r="Z79" s="34">
        <v>0</v>
      </c>
      <c r="AA79" s="34">
        <v>5</v>
      </c>
      <c r="AB79" s="34">
        <v>4180</v>
      </c>
      <c r="AC79" s="89">
        <v>830</v>
      </c>
      <c r="AD79" s="104">
        <v>0</v>
      </c>
      <c r="AE79" s="105">
        <v>0</v>
      </c>
      <c r="AF79" s="105">
        <v>0</v>
      </c>
      <c r="AG79" s="106"/>
      <c r="AH79" s="106">
        <v>1</v>
      </c>
      <c r="AI79" s="106"/>
      <c r="AJ79" s="106"/>
      <c r="AK79" s="106"/>
      <c r="AL79" s="107">
        <v>1</v>
      </c>
      <c r="AM79" s="107"/>
      <c r="AN79" s="93" t="s">
        <v>320</v>
      </c>
      <c r="AO79" s="92"/>
      <c r="AP79" s="108"/>
      <c r="AQ79" s="34" t="s">
        <v>314</v>
      </c>
      <c r="AS79" s="34">
        <v>1</v>
      </c>
    </row>
    <row r="80" s="34" customFormat="1" ht="14.25" customHeight="1" spans="1:45">
      <c r="A80" s="89">
        <v>213007</v>
      </c>
      <c r="B80" s="89">
        <v>1001</v>
      </c>
      <c r="C80" s="89">
        <v>18</v>
      </c>
      <c r="D80" s="8">
        <v>1001</v>
      </c>
      <c r="E80" s="3" t="s">
        <v>321</v>
      </c>
      <c r="F80" s="13" t="s">
        <v>321</v>
      </c>
      <c r="G80" s="34" t="s">
        <v>322</v>
      </c>
      <c r="H80" s="34" t="s">
        <v>323</v>
      </c>
      <c r="I80" s="34">
        <v>1</v>
      </c>
      <c r="J80" s="102">
        <v>3</v>
      </c>
      <c r="K80" s="89">
        <v>1</v>
      </c>
      <c r="L80" s="128">
        <v>9999</v>
      </c>
      <c r="M80" s="89">
        <v>0</v>
      </c>
      <c r="N80" s="89">
        <v>1014</v>
      </c>
      <c r="O80" s="103">
        <v>4</v>
      </c>
      <c r="P80" s="34" t="s">
        <v>317</v>
      </c>
      <c r="Q80" s="34" t="s">
        <v>318</v>
      </c>
      <c r="R80" s="89" t="s">
        <v>319</v>
      </c>
      <c r="S80" s="89">
        <v>1</v>
      </c>
      <c r="T80" s="89">
        <v>5</v>
      </c>
      <c r="U80" s="89">
        <v>140</v>
      </c>
      <c r="V80" s="89">
        <v>1</v>
      </c>
      <c r="W80" s="34">
        <v>1</v>
      </c>
      <c r="X80" s="89">
        <v>1</v>
      </c>
      <c r="Y80" s="34">
        <v>0</v>
      </c>
      <c r="Z80" s="34">
        <v>0</v>
      </c>
      <c r="AA80" s="34">
        <v>5</v>
      </c>
      <c r="AB80" s="34">
        <v>5320</v>
      </c>
      <c r="AC80" s="89">
        <v>830</v>
      </c>
      <c r="AD80" s="104">
        <v>0</v>
      </c>
      <c r="AE80" s="105">
        <v>0</v>
      </c>
      <c r="AF80" s="105">
        <v>0</v>
      </c>
      <c r="AG80" s="106"/>
      <c r="AH80" s="106">
        <v>1</v>
      </c>
      <c r="AI80" s="106"/>
      <c r="AJ80" s="106"/>
      <c r="AK80" s="106"/>
      <c r="AL80" s="107">
        <v>1</v>
      </c>
      <c r="AM80" s="107"/>
      <c r="AN80" s="93" t="s">
        <v>324</v>
      </c>
      <c r="AO80" s="92"/>
      <c r="AP80" s="108"/>
      <c r="AQ80" s="34" t="s">
        <v>321</v>
      </c>
      <c r="AS80" s="34">
        <v>1</v>
      </c>
    </row>
    <row r="81" s="34" customFormat="1" ht="14.25" customHeight="1" spans="1:45">
      <c r="A81" s="89">
        <v>214007</v>
      </c>
      <c r="B81" s="89">
        <v>1001</v>
      </c>
      <c r="C81" s="89">
        <v>18</v>
      </c>
      <c r="D81" s="8">
        <v>1001</v>
      </c>
      <c r="E81" s="3" t="s">
        <v>325</v>
      </c>
      <c r="F81" s="13" t="s">
        <v>325</v>
      </c>
      <c r="G81" s="34" t="s">
        <v>326</v>
      </c>
      <c r="H81" s="34" t="s">
        <v>327</v>
      </c>
      <c r="I81" s="34">
        <v>1</v>
      </c>
      <c r="J81" s="102">
        <v>4</v>
      </c>
      <c r="K81" s="89">
        <v>1</v>
      </c>
      <c r="L81" s="128">
        <v>9999</v>
      </c>
      <c r="M81" s="89">
        <v>0</v>
      </c>
      <c r="N81" s="89">
        <v>1014</v>
      </c>
      <c r="O81" s="103">
        <v>6</v>
      </c>
      <c r="P81" s="34" t="s">
        <v>317</v>
      </c>
      <c r="Q81" s="34" t="s">
        <v>318</v>
      </c>
      <c r="R81" s="89" t="s">
        <v>319</v>
      </c>
      <c r="S81" s="89">
        <v>1</v>
      </c>
      <c r="T81" s="89">
        <v>5</v>
      </c>
      <c r="U81" s="89">
        <v>170</v>
      </c>
      <c r="V81" s="89">
        <v>1</v>
      </c>
      <c r="W81" s="34">
        <v>1</v>
      </c>
      <c r="X81" s="89">
        <v>1</v>
      </c>
      <c r="Y81" s="34">
        <v>0</v>
      </c>
      <c r="Z81" s="34">
        <v>0</v>
      </c>
      <c r="AA81" s="34">
        <v>5</v>
      </c>
      <c r="AB81" s="34">
        <v>6460</v>
      </c>
      <c r="AC81" s="89">
        <v>830</v>
      </c>
      <c r="AD81" s="104">
        <v>0</v>
      </c>
      <c r="AE81" s="105">
        <v>0</v>
      </c>
      <c r="AF81" s="105">
        <v>0</v>
      </c>
      <c r="AG81" s="106"/>
      <c r="AH81" s="106">
        <v>1</v>
      </c>
      <c r="AI81" s="106"/>
      <c r="AJ81" s="106"/>
      <c r="AK81" s="106"/>
      <c r="AL81" s="107">
        <v>1</v>
      </c>
      <c r="AM81" s="107"/>
      <c r="AN81" s="93" t="s">
        <v>324</v>
      </c>
      <c r="AO81" s="92"/>
      <c r="AP81" s="108"/>
      <c r="AQ81" s="34" t="s">
        <v>325</v>
      </c>
      <c r="AS81" s="34">
        <v>1</v>
      </c>
    </row>
    <row r="82" s="34" customFormat="1" ht="14.25" customHeight="1" spans="1:45">
      <c r="A82" s="89">
        <v>215007</v>
      </c>
      <c r="B82" s="89">
        <v>1001</v>
      </c>
      <c r="C82" s="89">
        <v>18</v>
      </c>
      <c r="D82" s="8">
        <v>1001</v>
      </c>
      <c r="E82" s="3" t="s">
        <v>328</v>
      </c>
      <c r="F82" s="13" t="s">
        <v>328</v>
      </c>
      <c r="G82" s="34" t="s">
        <v>329</v>
      </c>
      <c r="H82" s="34" t="s">
        <v>330</v>
      </c>
      <c r="I82" s="34">
        <v>1</v>
      </c>
      <c r="J82" s="102">
        <v>5</v>
      </c>
      <c r="K82" s="89">
        <v>1</v>
      </c>
      <c r="L82" s="128">
        <v>9999</v>
      </c>
      <c r="M82" s="89">
        <v>0</v>
      </c>
      <c r="N82" s="89">
        <v>1014</v>
      </c>
      <c r="O82" s="103">
        <v>8</v>
      </c>
      <c r="P82" s="34" t="s">
        <v>317</v>
      </c>
      <c r="Q82" s="34" t="s">
        <v>318</v>
      </c>
      <c r="R82" s="89" t="s">
        <v>319</v>
      </c>
      <c r="S82" s="89">
        <v>1</v>
      </c>
      <c r="T82" s="89">
        <v>5</v>
      </c>
      <c r="U82" s="89">
        <v>200</v>
      </c>
      <c r="V82" s="89">
        <v>1</v>
      </c>
      <c r="W82" s="34">
        <v>1</v>
      </c>
      <c r="X82" s="89">
        <v>1</v>
      </c>
      <c r="Y82" s="34">
        <v>0</v>
      </c>
      <c r="Z82" s="34">
        <v>0</v>
      </c>
      <c r="AA82" s="34">
        <v>5</v>
      </c>
      <c r="AB82" s="34">
        <v>7600</v>
      </c>
      <c r="AC82" s="89">
        <v>830</v>
      </c>
      <c r="AD82" s="104">
        <v>0</v>
      </c>
      <c r="AE82" s="105">
        <v>0</v>
      </c>
      <c r="AF82" s="105">
        <v>0</v>
      </c>
      <c r="AG82" s="106"/>
      <c r="AH82" s="106">
        <v>1</v>
      </c>
      <c r="AI82" s="106"/>
      <c r="AJ82" s="106"/>
      <c r="AK82" s="106"/>
      <c r="AL82" s="107">
        <v>1</v>
      </c>
      <c r="AM82" s="107"/>
      <c r="AN82" s="93" t="s">
        <v>320</v>
      </c>
      <c r="AO82" s="92"/>
      <c r="AP82" s="108"/>
      <c r="AQ82" s="34" t="s">
        <v>328</v>
      </c>
      <c r="AS82" s="34">
        <v>1</v>
      </c>
    </row>
    <row r="83" s="34" customFormat="1" ht="14.25" customHeight="1" spans="1:45">
      <c r="A83" s="89">
        <v>216007</v>
      </c>
      <c r="B83" s="89">
        <v>1001</v>
      </c>
      <c r="C83" s="89"/>
      <c r="D83" s="8">
        <v>1001</v>
      </c>
      <c r="E83" s="34" t="s">
        <v>331</v>
      </c>
      <c r="F83" s="13" t="s">
        <v>331</v>
      </c>
      <c r="G83" s="34" t="s">
        <v>332</v>
      </c>
      <c r="H83" s="34" t="s">
        <v>333</v>
      </c>
      <c r="I83" s="34">
        <v>1</v>
      </c>
      <c r="J83" s="102">
        <v>5</v>
      </c>
      <c r="K83" s="89">
        <v>1</v>
      </c>
      <c r="L83" s="89">
        <v>999</v>
      </c>
      <c r="M83" s="89">
        <v>0</v>
      </c>
      <c r="N83" s="89">
        <v>1014</v>
      </c>
      <c r="O83" s="103">
        <v>10</v>
      </c>
      <c r="R83" s="89" t="s">
        <v>334</v>
      </c>
      <c r="S83" s="89">
        <v>1</v>
      </c>
      <c r="T83" s="89">
        <v>5</v>
      </c>
      <c r="U83" s="89">
        <v>200</v>
      </c>
      <c r="V83" s="89">
        <v>1</v>
      </c>
      <c r="W83" s="34">
        <v>1</v>
      </c>
      <c r="X83" s="89"/>
      <c r="Y83" s="34">
        <v>0</v>
      </c>
      <c r="Z83" s="34">
        <v>0</v>
      </c>
      <c r="AA83" s="34">
        <v>5</v>
      </c>
      <c r="AB83" s="34">
        <v>7600</v>
      </c>
      <c r="AC83" s="89">
        <v>830</v>
      </c>
      <c r="AD83" s="104">
        <v>0</v>
      </c>
      <c r="AE83" s="105">
        <v>0</v>
      </c>
      <c r="AF83" s="105">
        <v>0</v>
      </c>
      <c r="AG83" s="106"/>
      <c r="AH83" s="106">
        <v>1</v>
      </c>
      <c r="AI83" s="106"/>
      <c r="AJ83" s="106"/>
      <c r="AK83" s="106"/>
      <c r="AL83" s="107">
        <v>1</v>
      </c>
      <c r="AM83" s="107"/>
      <c r="AN83" s="93"/>
      <c r="AO83" s="92"/>
      <c r="AP83" s="108"/>
      <c r="AQ83" s="34" t="s">
        <v>331</v>
      </c>
      <c r="AS83" s="34">
        <v>1</v>
      </c>
    </row>
    <row r="84" s="34" customFormat="1" ht="14.25" customHeight="1" spans="1:45">
      <c r="A84" s="89">
        <v>217007</v>
      </c>
      <c r="B84" s="89">
        <v>1001</v>
      </c>
      <c r="C84" s="89">
        <v>18</v>
      </c>
      <c r="D84" s="8">
        <v>1001</v>
      </c>
      <c r="E84" s="34" t="s">
        <v>335</v>
      </c>
      <c r="F84" s="13" t="s">
        <v>335</v>
      </c>
      <c r="G84" s="34" t="s">
        <v>336</v>
      </c>
      <c r="H84" s="34" t="s">
        <v>337</v>
      </c>
      <c r="I84" s="34">
        <v>1</v>
      </c>
      <c r="J84" s="102">
        <v>6</v>
      </c>
      <c r="K84" s="89">
        <v>1</v>
      </c>
      <c r="L84" s="89">
        <v>999</v>
      </c>
      <c r="M84" s="89">
        <v>0</v>
      </c>
      <c r="N84" s="89">
        <v>1014</v>
      </c>
      <c r="O84" s="103">
        <v>2</v>
      </c>
      <c r="P84" s="34" t="s">
        <v>317</v>
      </c>
      <c r="Q84" s="34" t="s">
        <v>318</v>
      </c>
      <c r="R84" s="89" t="s">
        <v>319</v>
      </c>
      <c r="S84" s="89">
        <v>1</v>
      </c>
      <c r="T84" s="89">
        <v>5</v>
      </c>
      <c r="U84" s="89">
        <v>200</v>
      </c>
      <c r="V84" s="89">
        <v>1</v>
      </c>
      <c r="W84" s="34">
        <v>1</v>
      </c>
      <c r="X84" s="89">
        <v>1</v>
      </c>
      <c r="Y84" s="34">
        <v>0</v>
      </c>
      <c r="Z84" s="34">
        <v>0</v>
      </c>
      <c r="AA84" s="34">
        <v>5</v>
      </c>
      <c r="AB84" s="34">
        <v>7600</v>
      </c>
      <c r="AC84" s="89">
        <v>830</v>
      </c>
      <c r="AD84" s="104">
        <v>0</v>
      </c>
      <c r="AE84" s="105">
        <v>0</v>
      </c>
      <c r="AF84" s="105">
        <v>0</v>
      </c>
      <c r="AG84" s="106"/>
      <c r="AH84" s="106">
        <v>1</v>
      </c>
      <c r="AI84" s="106"/>
      <c r="AJ84" s="106"/>
      <c r="AK84" s="106"/>
      <c r="AL84" s="107">
        <v>1</v>
      </c>
      <c r="AM84" s="107"/>
      <c r="AN84" s="93" t="s">
        <v>320</v>
      </c>
      <c r="AO84" s="92"/>
      <c r="AP84" s="108"/>
      <c r="AQ84" s="34" t="s">
        <v>335</v>
      </c>
      <c r="AS84" s="34">
        <v>1</v>
      </c>
    </row>
    <row r="85" s="34" customFormat="1" ht="14.25" customHeight="1" spans="1:45">
      <c r="A85" s="8">
        <v>214003</v>
      </c>
      <c r="B85" s="8">
        <v>1001</v>
      </c>
      <c r="C85" s="8">
        <v>9</v>
      </c>
      <c r="D85" s="8">
        <v>1001</v>
      </c>
      <c r="E85" t="s">
        <v>338</v>
      </c>
      <c r="F85" s="13" t="s">
        <v>338</v>
      </c>
      <c r="G85" t="s">
        <v>339</v>
      </c>
      <c r="H85" s="117" t="s">
        <v>340</v>
      </c>
      <c r="I85">
        <v>1</v>
      </c>
      <c r="J85" s="69">
        <v>4</v>
      </c>
      <c r="K85" s="87">
        <v>1</v>
      </c>
      <c r="L85" s="8">
        <v>999</v>
      </c>
      <c r="M85" s="8">
        <v>0</v>
      </c>
      <c r="N85" s="8"/>
      <c r="O85" s="88"/>
      <c r="P85" t="s">
        <v>341</v>
      </c>
      <c r="Q85" t="s">
        <v>342</v>
      </c>
      <c r="R85" s="8" t="s">
        <v>343</v>
      </c>
      <c r="S85" s="89">
        <v>1</v>
      </c>
      <c r="T85" s="8">
        <v>5</v>
      </c>
      <c r="U85" s="89">
        <v>170</v>
      </c>
      <c r="V85" s="87">
        <v>1</v>
      </c>
      <c r="W85">
        <v>1</v>
      </c>
      <c r="X85" s="8">
        <v>1</v>
      </c>
      <c r="Y85">
        <v>0</v>
      </c>
      <c r="Z85" s="33">
        <v>0</v>
      </c>
      <c r="AA85">
        <v>5</v>
      </c>
      <c r="AB85" s="34">
        <v>6460</v>
      </c>
      <c r="AC85" s="87">
        <v>830</v>
      </c>
      <c r="AD85" s="62">
        <v>0</v>
      </c>
      <c r="AE85" s="90">
        <v>0</v>
      </c>
      <c r="AF85" s="90">
        <v>0</v>
      </c>
      <c r="AG85" s="91"/>
      <c r="AH85" s="91">
        <v>1</v>
      </c>
      <c r="AI85" s="91"/>
      <c r="AJ85" s="91"/>
      <c r="AK85" s="91"/>
      <c r="AL85" s="92">
        <v>1</v>
      </c>
      <c r="AM85" s="92"/>
      <c r="AN85" s="93" t="s">
        <v>344</v>
      </c>
      <c r="AO85" s="92"/>
      <c r="AP85" s="86"/>
      <c r="AQ85" t="s">
        <v>338</v>
      </c>
      <c r="AS85">
        <v>1</v>
      </c>
    </row>
    <row r="86" ht="14.25" customHeight="1" spans="1:45">
      <c r="A86" s="8">
        <v>214008</v>
      </c>
      <c r="B86" s="8">
        <v>1001</v>
      </c>
      <c r="C86" s="8">
        <v>1</v>
      </c>
      <c r="D86" s="8">
        <v>1001</v>
      </c>
      <c r="E86" t="s">
        <v>345</v>
      </c>
      <c r="F86" s="13" t="s">
        <v>345</v>
      </c>
      <c r="G86" t="s">
        <v>346</v>
      </c>
      <c r="H86" t="s">
        <v>347</v>
      </c>
      <c r="I86">
        <v>1</v>
      </c>
      <c r="J86" s="69">
        <v>4</v>
      </c>
      <c r="K86" s="87">
        <v>1</v>
      </c>
      <c r="L86" s="8">
        <v>999</v>
      </c>
      <c r="M86" s="8">
        <v>0</v>
      </c>
      <c r="N86" s="8"/>
      <c r="S86" s="89">
        <v>1</v>
      </c>
      <c r="T86" s="8">
        <v>5</v>
      </c>
      <c r="U86" s="89">
        <v>170</v>
      </c>
      <c r="V86" s="87">
        <v>1</v>
      </c>
      <c r="W86">
        <v>1</v>
      </c>
      <c r="X86" s="8">
        <v>1</v>
      </c>
      <c r="Y86">
        <v>0</v>
      </c>
      <c r="Z86" s="33">
        <v>0</v>
      </c>
      <c r="AA86">
        <v>5</v>
      </c>
      <c r="AB86" s="34">
        <v>6460</v>
      </c>
      <c r="AC86" s="87">
        <v>830</v>
      </c>
      <c r="AD86" s="62">
        <v>0</v>
      </c>
      <c r="AE86" s="90">
        <v>0</v>
      </c>
      <c r="AF86" s="90">
        <v>0</v>
      </c>
      <c r="AG86" s="91"/>
      <c r="AH86" s="91">
        <v>1</v>
      </c>
      <c r="AI86" s="91"/>
      <c r="AJ86" s="91"/>
      <c r="AK86" s="91"/>
      <c r="AL86" s="92">
        <v>1</v>
      </c>
      <c r="AM86" s="92"/>
      <c r="AN86" s="93" t="s">
        <v>348</v>
      </c>
      <c r="AO86" s="92"/>
      <c r="AP86" s="86"/>
      <c r="AQ86" t="s">
        <v>349</v>
      </c>
      <c r="AS86">
        <v>1</v>
      </c>
    </row>
    <row r="87" ht="14.25" customHeight="1" spans="1:45">
      <c r="A87" s="8">
        <v>214010</v>
      </c>
      <c r="B87" s="8">
        <v>1001</v>
      </c>
      <c r="C87" s="8">
        <v>1</v>
      </c>
      <c r="D87" s="8">
        <v>1001</v>
      </c>
      <c r="E87" t="s">
        <v>350</v>
      </c>
      <c r="F87" s="13" t="s">
        <v>350</v>
      </c>
      <c r="G87" t="s">
        <v>351</v>
      </c>
      <c r="H87" t="s">
        <v>352</v>
      </c>
      <c r="I87">
        <v>1</v>
      </c>
      <c r="J87" s="69">
        <v>4</v>
      </c>
      <c r="K87" s="87">
        <v>1</v>
      </c>
      <c r="L87" s="8">
        <v>999</v>
      </c>
      <c r="M87" s="8">
        <v>0</v>
      </c>
      <c r="N87" s="8"/>
      <c r="P87" s="8"/>
      <c r="Q87" s="8"/>
      <c r="S87" s="89">
        <v>1</v>
      </c>
      <c r="T87" s="8">
        <v>5</v>
      </c>
      <c r="U87" s="89">
        <v>170</v>
      </c>
      <c r="V87" s="87">
        <v>1</v>
      </c>
      <c r="W87">
        <v>1</v>
      </c>
      <c r="X87" s="8">
        <v>1</v>
      </c>
      <c r="Y87">
        <v>0</v>
      </c>
      <c r="Z87" s="33">
        <v>0</v>
      </c>
      <c r="AA87">
        <v>5</v>
      </c>
      <c r="AB87" s="34">
        <v>6460</v>
      </c>
      <c r="AC87" s="87">
        <v>830</v>
      </c>
      <c r="AD87" s="62">
        <v>0</v>
      </c>
      <c r="AE87" s="90">
        <v>0</v>
      </c>
      <c r="AF87" s="90">
        <v>0</v>
      </c>
      <c r="AG87" s="91"/>
      <c r="AH87" s="91">
        <v>1</v>
      </c>
      <c r="AI87" s="91"/>
      <c r="AJ87" s="91"/>
      <c r="AK87" s="91"/>
      <c r="AL87" s="92">
        <v>1</v>
      </c>
      <c r="AM87" s="92"/>
      <c r="AN87" s="93" t="s">
        <v>348</v>
      </c>
      <c r="AO87" s="92"/>
      <c r="AP87" s="86"/>
      <c r="AQ87" t="s">
        <v>353</v>
      </c>
      <c r="AS87">
        <v>1</v>
      </c>
    </row>
    <row r="88" ht="14.25" customHeight="1" spans="1:45">
      <c r="A88" s="8">
        <v>214011</v>
      </c>
      <c r="B88" s="8">
        <v>1001</v>
      </c>
      <c r="C88" s="8">
        <v>1</v>
      </c>
      <c r="D88" s="8">
        <v>1001</v>
      </c>
      <c r="E88" t="s">
        <v>354</v>
      </c>
      <c r="F88" s="13" t="s">
        <v>354</v>
      </c>
      <c r="G88" t="s">
        <v>355</v>
      </c>
      <c r="H88" t="s">
        <v>356</v>
      </c>
      <c r="I88">
        <v>1</v>
      </c>
      <c r="J88" s="69">
        <v>4</v>
      </c>
      <c r="K88" s="87">
        <v>1</v>
      </c>
      <c r="L88" s="8">
        <v>999</v>
      </c>
      <c r="M88" s="8">
        <v>0</v>
      </c>
      <c r="N88" s="8"/>
      <c r="P88" s="8"/>
      <c r="Q88" s="8"/>
      <c r="S88" s="89">
        <v>0</v>
      </c>
      <c r="T88" s="8">
        <v>5</v>
      </c>
      <c r="U88" s="89">
        <v>170</v>
      </c>
      <c r="V88" s="87">
        <v>1</v>
      </c>
      <c r="W88" s="8">
        <v>1</v>
      </c>
      <c r="X88" s="8">
        <v>1</v>
      </c>
      <c r="Y88">
        <v>0</v>
      </c>
      <c r="Z88" s="33">
        <v>0</v>
      </c>
      <c r="AA88">
        <v>5</v>
      </c>
      <c r="AB88" s="34">
        <v>6460</v>
      </c>
      <c r="AC88" s="87">
        <v>830</v>
      </c>
      <c r="AD88" s="62">
        <v>0</v>
      </c>
      <c r="AE88" s="90">
        <v>0</v>
      </c>
      <c r="AF88" s="90">
        <v>0</v>
      </c>
      <c r="AG88" s="91"/>
      <c r="AH88" s="91">
        <v>1</v>
      </c>
      <c r="AI88" s="91"/>
      <c r="AJ88" s="91"/>
      <c r="AK88" s="91"/>
      <c r="AL88" s="92">
        <v>1</v>
      </c>
      <c r="AM88" s="92"/>
      <c r="AN88" s="93" t="s">
        <v>357</v>
      </c>
      <c r="AO88" s="92"/>
      <c r="AP88" s="86"/>
      <c r="AQ88" t="s">
        <v>358</v>
      </c>
      <c r="AS88">
        <v>1</v>
      </c>
    </row>
    <row r="89" ht="14.25" customHeight="1" spans="1:45">
      <c r="A89" s="8">
        <v>215011</v>
      </c>
      <c r="B89" s="8">
        <v>1001</v>
      </c>
      <c r="C89" s="8">
        <v>1</v>
      </c>
      <c r="D89" s="8">
        <v>1001</v>
      </c>
      <c r="E89" t="s">
        <v>359</v>
      </c>
      <c r="F89" s="13" t="s">
        <v>359</v>
      </c>
      <c r="G89" t="s">
        <v>360</v>
      </c>
      <c r="H89" t="s">
        <v>361</v>
      </c>
      <c r="I89">
        <v>1</v>
      </c>
      <c r="J89" s="69">
        <v>5</v>
      </c>
      <c r="K89" s="87">
        <v>1</v>
      </c>
      <c r="L89" s="8">
        <v>9999</v>
      </c>
      <c r="M89" s="8">
        <v>0</v>
      </c>
      <c r="N89" s="8"/>
      <c r="P89" s="8"/>
      <c r="Q89" s="8" t="s">
        <v>362</v>
      </c>
      <c r="S89" s="89">
        <v>0</v>
      </c>
      <c r="T89" s="8">
        <v>5</v>
      </c>
      <c r="U89" s="89">
        <v>200</v>
      </c>
      <c r="V89" s="87">
        <v>1</v>
      </c>
      <c r="W89" s="8">
        <v>1</v>
      </c>
      <c r="X89" s="8">
        <v>1</v>
      </c>
      <c r="Y89">
        <v>0</v>
      </c>
      <c r="Z89" s="33">
        <v>0</v>
      </c>
      <c r="AA89">
        <v>5</v>
      </c>
      <c r="AB89" s="34">
        <v>7600</v>
      </c>
      <c r="AC89" s="87">
        <v>830</v>
      </c>
      <c r="AD89" s="62">
        <v>0</v>
      </c>
      <c r="AE89" s="90">
        <v>0</v>
      </c>
      <c r="AF89" s="90">
        <v>0</v>
      </c>
      <c r="AG89" s="91"/>
      <c r="AH89" s="91">
        <v>1</v>
      </c>
      <c r="AI89" s="91"/>
      <c r="AJ89" s="91"/>
      <c r="AK89" s="91"/>
      <c r="AL89" s="92">
        <v>1</v>
      </c>
      <c r="AM89" s="92"/>
      <c r="AN89" s="93" t="s">
        <v>357</v>
      </c>
      <c r="AO89" s="92"/>
      <c r="AP89" s="86"/>
      <c r="AQ89" t="s">
        <v>363</v>
      </c>
      <c r="AS89">
        <v>1</v>
      </c>
    </row>
    <row r="90" ht="12.95" customHeight="1" spans="1:45">
      <c r="A90" s="8">
        <v>216011</v>
      </c>
      <c r="B90" s="8">
        <v>1001</v>
      </c>
      <c r="C90" s="8">
        <v>1</v>
      </c>
      <c r="D90" s="8">
        <v>1001</v>
      </c>
      <c r="E90" t="s">
        <v>364</v>
      </c>
      <c r="F90" s="13" t="s">
        <v>364</v>
      </c>
      <c r="G90" t="s">
        <v>365</v>
      </c>
      <c r="H90" t="s">
        <v>366</v>
      </c>
      <c r="I90">
        <v>1</v>
      </c>
      <c r="J90" s="69">
        <v>5</v>
      </c>
      <c r="K90" s="87">
        <v>1</v>
      </c>
      <c r="L90" s="8">
        <v>999</v>
      </c>
      <c r="M90" s="8">
        <v>0</v>
      </c>
      <c r="N90" s="8"/>
      <c r="P90" s="8"/>
      <c r="Q90" s="8"/>
      <c r="S90" s="89">
        <v>0</v>
      </c>
      <c r="T90" s="8">
        <v>5</v>
      </c>
      <c r="U90" s="89">
        <v>200</v>
      </c>
      <c r="V90" s="87">
        <v>1</v>
      </c>
      <c r="W90" s="8">
        <v>1</v>
      </c>
      <c r="X90" s="8">
        <v>1</v>
      </c>
      <c r="Y90">
        <v>0</v>
      </c>
      <c r="Z90" s="33">
        <v>0</v>
      </c>
      <c r="AA90">
        <v>5</v>
      </c>
      <c r="AB90" s="34">
        <v>7600</v>
      </c>
      <c r="AC90" s="87">
        <v>830</v>
      </c>
      <c r="AD90" s="62">
        <v>0</v>
      </c>
      <c r="AE90" s="90">
        <v>0</v>
      </c>
      <c r="AF90" s="90">
        <v>0</v>
      </c>
      <c r="AG90" s="91"/>
      <c r="AH90" s="91">
        <v>1</v>
      </c>
      <c r="AI90" s="91"/>
      <c r="AJ90" s="91"/>
      <c r="AK90" s="91"/>
      <c r="AL90" s="92">
        <v>1</v>
      </c>
      <c r="AM90" s="92"/>
      <c r="AN90" s="93"/>
      <c r="AO90" s="92"/>
      <c r="AP90" s="86"/>
      <c r="AQ90" t="s">
        <v>364</v>
      </c>
      <c r="AS90">
        <v>1</v>
      </c>
    </row>
    <row r="91" ht="12.95" customHeight="1" spans="1:45">
      <c r="A91" s="8">
        <v>217011</v>
      </c>
      <c r="B91" s="8">
        <v>1001</v>
      </c>
      <c r="C91" s="8">
        <v>1</v>
      </c>
      <c r="D91" s="8">
        <v>1001</v>
      </c>
      <c r="E91" t="s">
        <v>367</v>
      </c>
      <c r="F91" t="s">
        <v>367</v>
      </c>
      <c r="G91" t="s">
        <v>368</v>
      </c>
      <c r="H91" t="s">
        <v>369</v>
      </c>
      <c r="I91">
        <v>1</v>
      </c>
      <c r="J91" s="69">
        <v>5</v>
      </c>
      <c r="K91" s="87">
        <v>1</v>
      </c>
      <c r="L91" s="8">
        <v>999</v>
      </c>
      <c r="M91" s="8">
        <v>0</v>
      </c>
      <c r="N91" s="8"/>
      <c r="P91" s="8"/>
      <c r="Q91" s="8"/>
      <c r="S91" s="89">
        <v>0</v>
      </c>
      <c r="T91" s="8">
        <v>5</v>
      </c>
      <c r="U91" s="89">
        <v>200</v>
      </c>
      <c r="V91" s="87">
        <v>1</v>
      </c>
      <c r="W91" s="8">
        <v>1</v>
      </c>
      <c r="X91" s="8">
        <v>1</v>
      </c>
      <c r="Y91">
        <v>0</v>
      </c>
      <c r="Z91" s="33">
        <v>0</v>
      </c>
      <c r="AA91">
        <v>5</v>
      </c>
      <c r="AB91" s="34">
        <v>7600</v>
      </c>
      <c r="AC91" s="87">
        <v>830</v>
      </c>
      <c r="AD91" s="62">
        <v>0</v>
      </c>
      <c r="AE91" s="90">
        <v>0</v>
      </c>
      <c r="AF91" s="90">
        <v>0</v>
      </c>
      <c r="AG91" s="91"/>
      <c r="AH91" s="91">
        <v>1</v>
      </c>
      <c r="AI91" s="91"/>
      <c r="AJ91" s="91"/>
      <c r="AK91" s="91"/>
      <c r="AL91" s="92">
        <v>1</v>
      </c>
      <c r="AM91" s="92"/>
      <c r="AN91" s="93"/>
      <c r="AO91" s="92"/>
      <c r="AP91" s="86"/>
      <c r="AQ91" t="s">
        <v>367</v>
      </c>
      <c r="AS91">
        <v>1</v>
      </c>
    </row>
    <row r="92" ht="12.95" customHeight="1" spans="1:45">
      <c r="A92" s="8">
        <v>218011</v>
      </c>
      <c r="B92" s="8">
        <v>1001</v>
      </c>
      <c r="C92" s="8">
        <v>1</v>
      </c>
      <c r="D92" s="8">
        <v>1001</v>
      </c>
      <c r="E92" t="s">
        <v>370</v>
      </c>
      <c r="F92" s="13" t="s">
        <v>370</v>
      </c>
      <c r="G92" t="s">
        <v>371</v>
      </c>
      <c r="H92" t="s">
        <v>372</v>
      </c>
      <c r="I92">
        <v>1</v>
      </c>
      <c r="J92" s="69">
        <v>5</v>
      </c>
      <c r="K92" s="87">
        <v>1</v>
      </c>
      <c r="L92" s="8">
        <v>999</v>
      </c>
      <c r="M92" s="8">
        <v>0</v>
      </c>
      <c r="N92" s="8"/>
      <c r="P92" s="8"/>
      <c r="Q92" s="8"/>
      <c r="S92" s="89">
        <v>0</v>
      </c>
      <c r="T92" s="8">
        <v>5</v>
      </c>
      <c r="U92" s="89">
        <v>200</v>
      </c>
      <c r="V92" s="87">
        <v>1</v>
      </c>
      <c r="W92" s="8">
        <v>1</v>
      </c>
      <c r="X92" s="8">
        <v>1</v>
      </c>
      <c r="Y92">
        <v>0</v>
      </c>
      <c r="Z92" s="33">
        <v>0</v>
      </c>
      <c r="AA92">
        <v>5</v>
      </c>
      <c r="AB92" s="34">
        <v>7600</v>
      </c>
      <c r="AC92" s="87">
        <v>830</v>
      </c>
      <c r="AD92" s="62">
        <v>0</v>
      </c>
      <c r="AE92" s="90">
        <v>0</v>
      </c>
      <c r="AF92" s="90">
        <v>0</v>
      </c>
      <c r="AG92" s="91"/>
      <c r="AH92" s="91">
        <v>1</v>
      </c>
      <c r="AI92" s="91"/>
      <c r="AJ92" s="91"/>
      <c r="AK92" s="91"/>
      <c r="AL92" s="92">
        <v>1</v>
      </c>
      <c r="AM92" s="92"/>
      <c r="AN92" s="93"/>
      <c r="AO92" s="92"/>
      <c r="AP92" s="86"/>
      <c r="AQ92" t="s">
        <v>370</v>
      </c>
      <c r="AS92">
        <v>1</v>
      </c>
    </row>
    <row r="93" ht="12.95" customHeight="1" spans="1:45">
      <c r="A93" s="109">
        <v>219011</v>
      </c>
      <c r="B93" s="109">
        <v>1001</v>
      </c>
      <c r="C93" s="109">
        <v>1</v>
      </c>
      <c r="D93" s="109">
        <v>1001</v>
      </c>
      <c r="E93" s="37" t="s">
        <v>373</v>
      </c>
      <c r="F93" s="129" t="s">
        <v>373</v>
      </c>
      <c r="G93" s="37" t="s">
        <v>374</v>
      </c>
      <c r="H93" s="37" t="s">
        <v>375</v>
      </c>
      <c r="I93" s="37">
        <v>1</v>
      </c>
      <c r="J93" s="130">
        <v>5</v>
      </c>
      <c r="K93" s="109">
        <v>1</v>
      </c>
      <c r="L93" s="109">
        <v>999</v>
      </c>
      <c r="M93" s="109">
        <v>0</v>
      </c>
      <c r="N93" s="109"/>
      <c r="O93" s="131"/>
      <c r="P93" s="109"/>
      <c r="Q93" s="109"/>
      <c r="S93" s="109">
        <v>0</v>
      </c>
      <c r="T93" s="109">
        <v>5</v>
      </c>
      <c r="U93" s="109">
        <v>200</v>
      </c>
      <c r="V93" s="109">
        <v>1</v>
      </c>
      <c r="W93" s="109">
        <v>1</v>
      </c>
      <c r="X93" s="109">
        <v>1</v>
      </c>
      <c r="Y93" s="37">
        <v>0</v>
      </c>
      <c r="Z93" s="37">
        <v>0</v>
      </c>
      <c r="AA93" s="37">
        <v>5</v>
      </c>
      <c r="AB93" s="37">
        <v>7600</v>
      </c>
      <c r="AC93" s="109">
        <v>830</v>
      </c>
      <c r="AD93" s="132">
        <v>0</v>
      </c>
      <c r="AE93" s="133">
        <v>0</v>
      </c>
      <c r="AF93" s="133">
        <v>0</v>
      </c>
      <c r="AG93" s="134"/>
      <c r="AH93" s="134">
        <v>1</v>
      </c>
      <c r="AI93" s="134"/>
      <c r="AJ93" s="134"/>
      <c r="AK93" s="134"/>
      <c r="AL93" s="135">
        <v>1</v>
      </c>
      <c r="AM93" s="135"/>
      <c r="AN93" s="136"/>
      <c r="AO93" s="135"/>
      <c r="AP93" s="137"/>
      <c r="AQ93" s="37" t="s">
        <v>373</v>
      </c>
      <c r="AS93" s="37">
        <v>1</v>
      </c>
    </row>
    <row r="94" s="37" customFormat="1" ht="12.95" customHeight="1" spans="1:45">
      <c r="A94" s="8">
        <v>220011</v>
      </c>
      <c r="B94" s="8">
        <v>1001</v>
      </c>
      <c r="C94" s="8">
        <v>1</v>
      </c>
      <c r="D94" s="8">
        <v>1001</v>
      </c>
      <c r="E94" t="s">
        <v>376</v>
      </c>
      <c r="F94" s="13" t="s">
        <v>376</v>
      </c>
      <c r="G94" t="s">
        <v>377</v>
      </c>
      <c r="H94" s="117" t="s">
        <v>378</v>
      </c>
      <c r="I94">
        <v>1</v>
      </c>
      <c r="J94" s="69">
        <v>5</v>
      </c>
      <c r="K94" s="87">
        <v>1</v>
      </c>
      <c r="L94" s="8">
        <v>999</v>
      </c>
      <c r="M94" s="8">
        <v>0</v>
      </c>
      <c r="N94" s="8"/>
      <c r="P94" s="8"/>
      <c r="Q94" s="8"/>
      <c r="S94" s="89">
        <v>0</v>
      </c>
      <c r="T94" s="8">
        <v>5</v>
      </c>
      <c r="U94" s="89">
        <v>200</v>
      </c>
      <c r="V94" s="87">
        <v>1</v>
      </c>
      <c r="W94" s="8">
        <v>1</v>
      </c>
      <c r="X94" s="8">
        <v>1</v>
      </c>
      <c r="Y94">
        <v>0</v>
      </c>
      <c r="Z94" s="33">
        <v>0</v>
      </c>
      <c r="AA94">
        <v>5</v>
      </c>
      <c r="AB94" s="34">
        <v>7600</v>
      </c>
      <c r="AC94" s="87">
        <v>830</v>
      </c>
      <c r="AD94" s="62">
        <v>0</v>
      </c>
      <c r="AE94" s="90">
        <v>0</v>
      </c>
      <c r="AF94" s="90">
        <v>0</v>
      </c>
      <c r="AG94" s="91"/>
      <c r="AH94" s="91">
        <v>1</v>
      </c>
      <c r="AI94" s="91"/>
      <c r="AJ94" s="91"/>
      <c r="AK94" s="91"/>
      <c r="AL94" s="92">
        <v>1</v>
      </c>
      <c r="AM94" s="92"/>
      <c r="AN94" s="93" t="s">
        <v>379</v>
      </c>
      <c r="AO94" s="92"/>
      <c r="AP94" s="86"/>
      <c r="AQ94" t="s">
        <v>363</v>
      </c>
      <c r="AS94">
        <v>1</v>
      </c>
    </row>
    <row r="95" ht="12.95" customHeight="1" spans="1:45">
      <c r="A95" s="8">
        <v>221011</v>
      </c>
      <c r="B95" s="8">
        <v>1001</v>
      </c>
      <c r="C95" s="8">
        <v>1</v>
      </c>
      <c r="D95" s="8">
        <v>1001</v>
      </c>
      <c r="E95" t="s">
        <v>380</v>
      </c>
      <c r="F95" s="13" t="s">
        <v>380</v>
      </c>
      <c r="G95" t="s">
        <v>381</v>
      </c>
      <c r="H95" s="117" t="s">
        <v>382</v>
      </c>
      <c r="I95">
        <v>1</v>
      </c>
      <c r="J95" s="69">
        <v>6</v>
      </c>
      <c r="K95" s="87">
        <v>1</v>
      </c>
      <c r="L95" s="8">
        <v>999</v>
      </c>
      <c r="M95" s="8">
        <v>0</v>
      </c>
      <c r="N95" s="8"/>
      <c r="P95" s="8"/>
      <c r="Q95" s="8"/>
      <c r="S95" s="89">
        <v>0</v>
      </c>
      <c r="T95" s="8">
        <v>5</v>
      </c>
      <c r="U95" s="89">
        <v>200</v>
      </c>
      <c r="V95" s="87">
        <v>1</v>
      </c>
      <c r="W95" s="8">
        <v>1</v>
      </c>
      <c r="X95" s="8">
        <v>1</v>
      </c>
      <c r="Y95">
        <v>0</v>
      </c>
      <c r="Z95" s="33">
        <v>0</v>
      </c>
      <c r="AA95">
        <v>5</v>
      </c>
      <c r="AB95" s="34">
        <v>7600</v>
      </c>
      <c r="AC95" s="87">
        <v>830</v>
      </c>
      <c r="AD95" s="62">
        <v>0</v>
      </c>
      <c r="AE95" s="90">
        <v>0</v>
      </c>
      <c r="AF95" s="90">
        <v>0</v>
      </c>
      <c r="AG95" s="91"/>
      <c r="AH95" s="91">
        <v>1</v>
      </c>
      <c r="AI95" s="91"/>
      <c r="AJ95" s="91"/>
      <c r="AK95" s="91"/>
      <c r="AL95" s="92">
        <v>1</v>
      </c>
      <c r="AM95" s="92"/>
      <c r="AN95" s="93" t="s">
        <v>348</v>
      </c>
      <c r="AO95" s="92"/>
      <c r="AP95" s="86"/>
      <c r="AQ95" t="s">
        <v>380</v>
      </c>
      <c r="AS95">
        <v>1</v>
      </c>
    </row>
    <row r="96" ht="12.95" customHeight="1" spans="1:45">
      <c r="A96" s="8">
        <v>214012</v>
      </c>
      <c r="B96" s="8">
        <v>1001</v>
      </c>
      <c r="C96" s="8">
        <v>1</v>
      </c>
      <c r="D96" s="8">
        <v>1001</v>
      </c>
      <c r="E96" t="s">
        <v>383</v>
      </c>
      <c r="F96" s="13" t="s">
        <v>383</v>
      </c>
      <c r="G96" t="s">
        <v>384</v>
      </c>
      <c r="H96" t="s">
        <v>385</v>
      </c>
      <c r="I96">
        <v>1</v>
      </c>
      <c r="J96" s="69">
        <v>4</v>
      </c>
      <c r="K96" s="87">
        <v>2</v>
      </c>
      <c r="L96" s="8">
        <v>999</v>
      </c>
      <c r="M96" s="8">
        <v>0</v>
      </c>
      <c r="N96" s="8">
        <v>1008</v>
      </c>
      <c r="P96" s="8"/>
      <c r="Q96" s="8"/>
      <c r="S96" s="89">
        <v>1</v>
      </c>
      <c r="T96" s="8">
        <v>5</v>
      </c>
      <c r="U96" s="89">
        <v>170</v>
      </c>
      <c r="V96" s="87">
        <v>1</v>
      </c>
      <c r="W96" s="8">
        <v>1</v>
      </c>
      <c r="X96" s="8">
        <v>1</v>
      </c>
      <c r="Y96">
        <v>0</v>
      </c>
      <c r="Z96" s="33">
        <v>0</v>
      </c>
      <c r="AA96">
        <v>5</v>
      </c>
      <c r="AB96" s="34">
        <v>6460</v>
      </c>
      <c r="AC96" s="87">
        <v>60</v>
      </c>
      <c r="AD96" s="62">
        <v>0</v>
      </c>
      <c r="AE96" s="90">
        <v>3</v>
      </c>
      <c r="AF96" s="90">
        <v>2</v>
      </c>
      <c r="AG96" s="91"/>
      <c r="AH96" s="91">
        <v>1</v>
      </c>
      <c r="AI96" s="91"/>
      <c r="AJ96" s="91"/>
      <c r="AK96" s="91"/>
      <c r="AL96" s="92">
        <v>1</v>
      </c>
      <c r="AM96" s="92"/>
      <c r="AN96" s="93" t="s">
        <v>348</v>
      </c>
      <c r="AO96" s="92"/>
      <c r="AQ96" t="s">
        <v>383</v>
      </c>
      <c r="AS96">
        <v>1</v>
      </c>
    </row>
    <row r="97" spans="1:45">
      <c r="A97" s="8">
        <v>212013</v>
      </c>
      <c r="B97" s="8">
        <v>1001</v>
      </c>
      <c r="C97" s="8">
        <v>1</v>
      </c>
      <c r="D97" s="8">
        <v>1001</v>
      </c>
      <c r="E97" t="s">
        <v>386</v>
      </c>
      <c r="F97" s="13" t="s">
        <v>386</v>
      </c>
      <c r="G97" t="s">
        <v>387</v>
      </c>
      <c r="H97" s="117" t="s">
        <v>388</v>
      </c>
      <c r="I97">
        <v>1</v>
      </c>
      <c r="J97" s="69">
        <v>2</v>
      </c>
      <c r="K97" s="87">
        <v>1</v>
      </c>
      <c r="L97" s="8">
        <v>999</v>
      </c>
      <c r="M97" s="8">
        <v>0</v>
      </c>
      <c r="N97" s="8">
        <v>1025</v>
      </c>
      <c r="O97" s="2">
        <v>100</v>
      </c>
      <c r="P97" s="8"/>
      <c r="Q97" s="8"/>
      <c r="S97" s="89">
        <v>1</v>
      </c>
      <c r="T97" s="8">
        <v>5</v>
      </c>
      <c r="U97" s="89">
        <v>170</v>
      </c>
      <c r="V97" s="87">
        <v>1</v>
      </c>
      <c r="W97" s="8">
        <v>1</v>
      </c>
      <c r="X97" s="8">
        <v>1</v>
      </c>
      <c r="Y97">
        <v>0</v>
      </c>
      <c r="Z97" s="33">
        <v>0</v>
      </c>
      <c r="AA97">
        <v>5</v>
      </c>
      <c r="AB97" s="34">
        <v>6460</v>
      </c>
      <c r="AC97" s="87">
        <v>830</v>
      </c>
      <c r="AD97" s="62">
        <v>0</v>
      </c>
      <c r="AE97" s="90"/>
      <c r="AF97" s="90"/>
      <c r="AG97" s="91"/>
      <c r="AH97" s="91"/>
      <c r="AI97" s="91"/>
      <c r="AJ97" s="91"/>
      <c r="AK97" s="91"/>
      <c r="AL97" s="92">
        <v>1</v>
      </c>
      <c r="AM97" s="92"/>
      <c r="AN97" s="93"/>
      <c r="AO97" s="92"/>
      <c r="AS97">
        <v>1</v>
      </c>
    </row>
    <row r="98" spans="1:45">
      <c r="A98" s="8">
        <v>213013</v>
      </c>
      <c r="B98" s="8">
        <v>1001</v>
      </c>
      <c r="C98" s="8">
        <v>1</v>
      </c>
      <c r="D98" s="8">
        <v>1001</v>
      </c>
      <c r="E98" t="s">
        <v>389</v>
      </c>
      <c r="F98" s="13" t="s">
        <v>389</v>
      </c>
      <c r="G98" t="s">
        <v>390</v>
      </c>
      <c r="H98" s="117" t="s">
        <v>391</v>
      </c>
      <c r="I98">
        <v>1</v>
      </c>
      <c r="J98" s="69">
        <v>3</v>
      </c>
      <c r="K98" s="87">
        <v>1</v>
      </c>
      <c r="L98" s="8">
        <v>999</v>
      </c>
      <c r="M98" s="8">
        <v>0</v>
      </c>
      <c r="N98" s="8">
        <v>1025</v>
      </c>
      <c r="O98" s="2">
        <v>150</v>
      </c>
      <c r="P98" s="8"/>
      <c r="Q98" s="8"/>
      <c r="S98" s="89">
        <v>1</v>
      </c>
      <c r="T98" s="8">
        <v>5</v>
      </c>
      <c r="U98" s="89">
        <v>170</v>
      </c>
      <c r="V98" s="87">
        <v>1</v>
      </c>
      <c r="W98" s="8">
        <v>1</v>
      </c>
      <c r="X98" s="8">
        <v>1</v>
      </c>
      <c r="Y98">
        <v>0</v>
      </c>
      <c r="Z98" s="33">
        <v>0</v>
      </c>
      <c r="AA98">
        <v>5</v>
      </c>
      <c r="AB98" s="34">
        <v>6460</v>
      </c>
      <c r="AC98" s="87">
        <v>830</v>
      </c>
      <c r="AD98" s="62">
        <v>0</v>
      </c>
      <c r="AE98" s="90"/>
      <c r="AF98" s="90"/>
      <c r="AG98" s="91"/>
      <c r="AH98" s="91"/>
      <c r="AI98" s="91"/>
      <c r="AJ98" s="91"/>
      <c r="AK98" s="91"/>
      <c r="AL98" s="92">
        <v>1</v>
      </c>
      <c r="AM98" s="92"/>
      <c r="AN98" s="93"/>
      <c r="AO98" s="92"/>
      <c r="AS98">
        <v>1</v>
      </c>
    </row>
    <row r="99" spans="1:45">
      <c r="A99" s="8">
        <v>214013</v>
      </c>
      <c r="B99" s="8">
        <v>1001</v>
      </c>
      <c r="C99" s="8">
        <v>1</v>
      </c>
      <c r="D99" s="8">
        <v>1001</v>
      </c>
      <c r="E99" t="s">
        <v>392</v>
      </c>
      <c r="F99" s="13" t="s">
        <v>392</v>
      </c>
      <c r="G99" t="s">
        <v>393</v>
      </c>
      <c r="H99" s="117" t="s">
        <v>394</v>
      </c>
      <c r="I99">
        <v>1</v>
      </c>
      <c r="J99" s="69">
        <v>4</v>
      </c>
      <c r="K99" s="87">
        <v>1</v>
      </c>
      <c r="L99" s="8">
        <v>999</v>
      </c>
      <c r="M99" s="8">
        <v>0</v>
      </c>
      <c r="N99" s="8">
        <v>1025</v>
      </c>
      <c r="O99" s="2">
        <v>200</v>
      </c>
      <c r="P99" s="8"/>
      <c r="Q99" s="8"/>
      <c r="S99" s="89">
        <v>1</v>
      </c>
      <c r="T99" s="8">
        <v>5</v>
      </c>
      <c r="U99" s="89">
        <v>170</v>
      </c>
      <c r="V99" s="87">
        <v>1</v>
      </c>
      <c r="W99" s="8">
        <v>1</v>
      </c>
      <c r="X99" s="8">
        <v>1</v>
      </c>
      <c r="Y99">
        <v>0</v>
      </c>
      <c r="Z99" s="33">
        <v>0</v>
      </c>
      <c r="AA99">
        <v>5</v>
      </c>
      <c r="AB99" s="34">
        <v>6460</v>
      </c>
      <c r="AC99" s="87">
        <v>830</v>
      </c>
      <c r="AD99" s="62">
        <v>0</v>
      </c>
      <c r="AE99" s="90"/>
      <c r="AF99" s="90"/>
      <c r="AG99" s="91"/>
      <c r="AH99" s="91"/>
      <c r="AI99" s="91"/>
      <c r="AJ99" s="91"/>
      <c r="AK99" s="91"/>
      <c r="AL99" s="92">
        <v>1</v>
      </c>
      <c r="AM99" s="92"/>
      <c r="AN99" s="93"/>
      <c r="AO99" s="92"/>
      <c r="AS99">
        <v>1</v>
      </c>
    </row>
    <row r="100" spans="1:45">
      <c r="A100" s="8">
        <v>215013</v>
      </c>
      <c r="B100" s="8">
        <v>1001</v>
      </c>
      <c r="C100" s="8">
        <v>1</v>
      </c>
      <c r="D100" s="8">
        <v>1001</v>
      </c>
      <c r="E100" t="s">
        <v>395</v>
      </c>
      <c r="F100" s="13" t="s">
        <v>395</v>
      </c>
      <c r="G100" t="s">
        <v>396</v>
      </c>
      <c r="H100" s="117" t="s">
        <v>397</v>
      </c>
      <c r="I100">
        <v>1</v>
      </c>
      <c r="J100" s="69">
        <v>5</v>
      </c>
      <c r="K100" s="87">
        <v>1</v>
      </c>
      <c r="L100" s="8">
        <v>999</v>
      </c>
      <c r="M100" s="8">
        <v>0</v>
      </c>
      <c r="N100" s="8">
        <v>1025</v>
      </c>
      <c r="O100" s="2">
        <v>400</v>
      </c>
      <c r="P100" s="8"/>
      <c r="Q100" s="8"/>
      <c r="S100" s="89">
        <v>1</v>
      </c>
      <c r="T100" s="8">
        <v>5</v>
      </c>
      <c r="U100" s="89">
        <v>170</v>
      </c>
      <c r="V100" s="87">
        <v>1</v>
      </c>
      <c r="W100" s="8">
        <v>1</v>
      </c>
      <c r="X100" s="8">
        <v>1</v>
      </c>
      <c r="Y100">
        <v>0</v>
      </c>
      <c r="Z100" s="33">
        <v>0</v>
      </c>
      <c r="AA100">
        <v>5</v>
      </c>
      <c r="AB100" s="34">
        <v>6460</v>
      </c>
      <c r="AC100" s="87">
        <v>830</v>
      </c>
      <c r="AD100" s="62">
        <v>0</v>
      </c>
      <c r="AE100" s="90"/>
      <c r="AF100" s="90"/>
      <c r="AG100" s="91"/>
      <c r="AH100" s="91"/>
      <c r="AI100" s="91"/>
      <c r="AJ100" s="91"/>
      <c r="AK100" s="91"/>
      <c r="AL100" s="92">
        <v>1</v>
      </c>
      <c r="AM100" s="92"/>
      <c r="AN100" s="93"/>
      <c r="AO100" s="92"/>
      <c r="AS100">
        <v>1</v>
      </c>
    </row>
    <row r="101" ht="14.25" customHeight="1" spans="1:45">
      <c r="A101" s="8">
        <v>214050</v>
      </c>
      <c r="B101" s="8">
        <v>1001</v>
      </c>
      <c r="C101" s="8">
        <v>1</v>
      </c>
      <c r="D101" s="8">
        <v>1001</v>
      </c>
      <c r="E101" t="s">
        <v>398</v>
      </c>
      <c r="F101" s="13" t="s">
        <v>398</v>
      </c>
      <c r="G101" t="s">
        <v>399</v>
      </c>
      <c r="H101" s="117" t="s">
        <v>400</v>
      </c>
      <c r="I101">
        <v>1</v>
      </c>
      <c r="J101" s="69">
        <v>4</v>
      </c>
      <c r="K101" s="87">
        <v>1</v>
      </c>
      <c r="L101" s="8">
        <v>999</v>
      </c>
      <c r="M101" s="8">
        <v>0</v>
      </c>
      <c r="N101" s="8"/>
      <c r="P101" s="8"/>
      <c r="Q101" s="8"/>
      <c r="S101" s="89">
        <v>1</v>
      </c>
      <c r="T101" s="8">
        <v>5</v>
      </c>
      <c r="U101" s="89">
        <v>170</v>
      </c>
      <c r="V101" s="87">
        <v>1</v>
      </c>
      <c r="W101">
        <v>1</v>
      </c>
      <c r="X101" s="8">
        <v>1</v>
      </c>
      <c r="Y101">
        <v>0</v>
      </c>
      <c r="Z101" s="33">
        <v>0</v>
      </c>
      <c r="AA101">
        <v>5</v>
      </c>
      <c r="AB101" s="34">
        <v>6460</v>
      </c>
      <c r="AC101" s="87">
        <v>830</v>
      </c>
      <c r="AD101" s="62">
        <v>0</v>
      </c>
      <c r="AE101" s="90">
        <v>0</v>
      </c>
      <c r="AF101" s="90">
        <v>0</v>
      </c>
      <c r="AG101" s="91"/>
      <c r="AH101" s="91">
        <v>1</v>
      </c>
      <c r="AI101" s="91"/>
      <c r="AJ101" s="91"/>
      <c r="AK101" s="91"/>
      <c r="AL101" s="92">
        <v>1</v>
      </c>
      <c r="AM101" s="92"/>
      <c r="AN101" s="93" t="s">
        <v>348</v>
      </c>
      <c r="AO101" s="92"/>
      <c r="AP101" s="86"/>
      <c r="AQ101" t="s">
        <v>353</v>
      </c>
      <c r="AS101">
        <v>1</v>
      </c>
    </row>
    <row r="102" ht="14.25" customHeight="1" spans="1:45">
      <c r="A102" s="8">
        <v>212014</v>
      </c>
      <c r="B102" s="8">
        <v>1001</v>
      </c>
      <c r="C102" s="8">
        <v>1</v>
      </c>
      <c r="D102" s="8">
        <v>1001</v>
      </c>
      <c r="E102" t="s">
        <v>401</v>
      </c>
      <c r="F102" t="s">
        <v>402</v>
      </c>
      <c r="G102" t="s">
        <v>403</v>
      </c>
      <c r="H102" s="117" t="s">
        <v>404</v>
      </c>
      <c r="I102">
        <v>1</v>
      </c>
      <c r="J102" s="69">
        <v>2</v>
      </c>
      <c r="K102" s="87">
        <v>1</v>
      </c>
      <c r="L102" s="8">
        <v>999</v>
      </c>
      <c r="M102" s="8">
        <v>0</v>
      </c>
      <c r="N102" s="8">
        <v>1029</v>
      </c>
      <c r="P102" s="8"/>
      <c r="Q102" s="8"/>
      <c r="S102" s="89">
        <v>1</v>
      </c>
      <c r="T102" s="8">
        <v>5</v>
      </c>
      <c r="U102" s="89">
        <v>170</v>
      </c>
      <c r="V102" s="87">
        <v>1</v>
      </c>
      <c r="W102" s="8">
        <v>1</v>
      </c>
      <c r="X102" s="8">
        <v>1</v>
      </c>
      <c r="Y102">
        <v>0</v>
      </c>
      <c r="Z102" s="33">
        <v>0</v>
      </c>
      <c r="AA102">
        <v>5</v>
      </c>
      <c r="AB102" s="34">
        <v>6460</v>
      </c>
      <c r="AC102" s="87">
        <v>830</v>
      </c>
      <c r="AD102" s="62">
        <v>0</v>
      </c>
      <c r="AE102" s="90"/>
      <c r="AF102" s="90"/>
      <c r="AG102" s="91"/>
      <c r="AH102" s="91"/>
      <c r="AI102" s="91"/>
      <c r="AJ102" s="91"/>
      <c r="AK102" s="91"/>
      <c r="AL102" s="92">
        <v>1</v>
      </c>
      <c r="AM102" s="92"/>
      <c r="AN102" s="93"/>
      <c r="AO102" s="92"/>
      <c r="AP102" s="86"/>
      <c r="AQ102" t="s">
        <v>401</v>
      </c>
      <c r="AS102">
        <v>1</v>
      </c>
    </row>
    <row r="103" ht="14.25" customHeight="1" spans="1:45">
      <c r="A103" s="8">
        <v>213014</v>
      </c>
      <c r="B103" s="8">
        <v>1001</v>
      </c>
      <c r="C103" s="8">
        <v>1</v>
      </c>
      <c r="D103" s="8">
        <v>1001</v>
      </c>
      <c r="E103" t="s">
        <v>401</v>
      </c>
      <c r="F103" t="s">
        <v>405</v>
      </c>
      <c r="G103" t="s">
        <v>406</v>
      </c>
      <c r="H103" s="117" t="s">
        <v>407</v>
      </c>
      <c r="I103">
        <v>1</v>
      </c>
      <c r="J103" s="69">
        <v>3</v>
      </c>
      <c r="K103" s="87">
        <v>1</v>
      </c>
      <c r="L103" s="8">
        <v>999</v>
      </c>
      <c r="M103" s="8">
        <v>0</v>
      </c>
      <c r="N103" s="8">
        <v>1029</v>
      </c>
      <c r="P103" s="8"/>
      <c r="Q103" s="8"/>
      <c r="S103" s="89">
        <v>1</v>
      </c>
      <c r="T103" s="8">
        <v>5</v>
      </c>
      <c r="U103" s="89">
        <v>170</v>
      </c>
      <c r="V103" s="87">
        <v>1</v>
      </c>
      <c r="W103" s="8">
        <v>1</v>
      </c>
      <c r="X103" s="8">
        <v>1</v>
      </c>
      <c r="Y103">
        <v>0</v>
      </c>
      <c r="Z103" s="33">
        <v>0</v>
      </c>
      <c r="AA103">
        <v>5</v>
      </c>
      <c r="AB103" s="34">
        <v>6460</v>
      </c>
      <c r="AC103" s="87">
        <v>830</v>
      </c>
      <c r="AD103" s="62">
        <v>0</v>
      </c>
      <c r="AE103" s="90"/>
      <c r="AF103" s="90"/>
      <c r="AG103" s="91"/>
      <c r="AH103" s="91"/>
      <c r="AI103" s="91"/>
      <c r="AJ103" s="91"/>
      <c r="AK103" s="91"/>
      <c r="AL103" s="92">
        <v>1</v>
      </c>
      <c r="AM103" s="92"/>
      <c r="AN103" s="93"/>
      <c r="AO103" s="92"/>
      <c r="AP103" s="86"/>
      <c r="AQ103" t="s">
        <v>401</v>
      </c>
      <c r="AS103">
        <v>1</v>
      </c>
    </row>
    <row r="104" ht="14.25" customHeight="1" spans="1:45">
      <c r="A104" s="8">
        <v>214014</v>
      </c>
      <c r="B104" s="8">
        <v>1001</v>
      </c>
      <c r="C104" s="8">
        <v>1</v>
      </c>
      <c r="D104" s="8">
        <v>1001</v>
      </c>
      <c r="E104" t="s">
        <v>401</v>
      </c>
      <c r="F104" t="s">
        <v>408</v>
      </c>
      <c r="G104" t="s">
        <v>409</v>
      </c>
      <c r="H104" s="117" t="s">
        <v>410</v>
      </c>
      <c r="I104">
        <v>1</v>
      </c>
      <c r="J104" s="69">
        <v>4</v>
      </c>
      <c r="K104" s="87">
        <v>1</v>
      </c>
      <c r="L104" s="8">
        <v>999</v>
      </c>
      <c r="M104" s="8">
        <v>0</v>
      </c>
      <c r="N104" s="8">
        <v>1029</v>
      </c>
      <c r="P104" s="8"/>
      <c r="Q104" s="8"/>
      <c r="S104" s="89">
        <v>1</v>
      </c>
      <c r="T104" s="8">
        <v>5</v>
      </c>
      <c r="U104" s="89">
        <v>170</v>
      </c>
      <c r="V104" s="87">
        <v>1</v>
      </c>
      <c r="W104">
        <v>1</v>
      </c>
      <c r="X104" s="8">
        <v>1</v>
      </c>
      <c r="Y104">
        <v>0</v>
      </c>
      <c r="Z104" s="33">
        <v>0</v>
      </c>
      <c r="AA104">
        <v>5</v>
      </c>
      <c r="AB104" s="34">
        <v>6460</v>
      </c>
      <c r="AC104" s="87">
        <v>830</v>
      </c>
      <c r="AD104" s="62">
        <v>0</v>
      </c>
      <c r="AE104" s="90"/>
      <c r="AF104" s="90"/>
      <c r="AG104" s="91"/>
      <c r="AH104" s="91"/>
      <c r="AI104" s="91"/>
      <c r="AJ104" s="91"/>
      <c r="AK104" s="91"/>
      <c r="AL104" s="92">
        <v>1</v>
      </c>
      <c r="AM104" s="92"/>
      <c r="AN104" s="93"/>
      <c r="AO104" s="92"/>
      <c r="AP104" s="86"/>
      <c r="AQ104" t="s">
        <v>401</v>
      </c>
      <c r="AS104">
        <v>1</v>
      </c>
    </row>
    <row r="105" ht="14.25" customHeight="1" spans="1:45">
      <c r="A105" s="8">
        <v>215015</v>
      </c>
      <c r="B105" s="8">
        <v>1001</v>
      </c>
      <c r="C105" s="8">
        <v>1</v>
      </c>
      <c r="D105" s="8">
        <v>1001</v>
      </c>
      <c r="E105" t="s">
        <v>411</v>
      </c>
      <c r="F105" t="s">
        <v>411</v>
      </c>
      <c r="G105" t="s">
        <v>412</v>
      </c>
      <c r="H105" s="117" t="s">
        <v>413</v>
      </c>
      <c r="I105">
        <v>1</v>
      </c>
      <c r="J105" s="69">
        <v>5</v>
      </c>
      <c r="K105" s="87">
        <v>1</v>
      </c>
      <c r="L105" s="8">
        <v>999</v>
      </c>
      <c r="M105" s="8">
        <v>0</v>
      </c>
      <c r="N105" s="8"/>
      <c r="P105" s="8"/>
      <c r="Q105" s="8"/>
      <c r="S105" s="89">
        <v>0</v>
      </c>
      <c r="T105" s="8">
        <v>5</v>
      </c>
      <c r="U105" s="89">
        <v>170</v>
      </c>
      <c r="V105" s="87">
        <v>1</v>
      </c>
      <c r="W105" s="8">
        <v>1</v>
      </c>
      <c r="X105" s="8">
        <v>1</v>
      </c>
      <c r="Y105">
        <v>0</v>
      </c>
      <c r="Z105" s="33">
        <v>0</v>
      </c>
      <c r="AA105">
        <v>5</v>
      </c>
      <c r="AB105" s="34">
        <v>6460</v>
      </c>
      <c r="AC105" s="87">
        <v>830</v>
      </c>
      <c r="AD105" s="62">
        <v>0</v>
      </c>
      <c r="AE105" s="90"/>
      <c r="AF105" s="90"/>
      <c r="AG105" s="91"/>
      <c r="AH105" s="91"/>
      <c r="AI105" s="91"/>
      <c r="AJ105" s="91"/>
      <c r="AK105" s="91"/>
      <c r="AL105" s="92">
        <v>1</v>
      </c>
      <c r="AM105" s="92"/>
      <c r="AN105" s="93"/>
      <c r="AO105" s="92"/>
      <c r="AP105" s="86"/>
      <c r="AQ105" t="s">
        <v>414</v>
      </c>
      <c r="AS105">
        <v>1</v>
      </c>
    </row>
    <row r="106" ht="14.25" customHeight="1" spans="1:45">
      <c r="A106" s="138">
        <v>212016</v>
      </c>
      <c r="B106" s="138">
        <v>1001</v>
      </c>
      <c r="C106" s="138">
        <v>1</v>
      </c>
      <c r="D106" s="138">
        <v>1001</v>
      </c>
      <c r="E106" s="38" t="s">
        <v>415</v>
      </c>
      <c r="F106" s="38" t="s">
        <v>416</v>
      </c>
      <c r="G106" s="38" t="s">
        <v>417</v>
      </c>
      <c r="H106" s="38" t="s">
        <v>418</v>
      </c>
      <c r="I106" s="38">
        <v>1</v>
      </c>
      <c r="J106" s="139">
        <v>2</v>
      </c>
      <c r="K106" s="138">
        <v>1</v>
      </c>
      <c r="L106" s="138">
        <v>99</v>
      </c>
      <c r="M106" s="138">
        <v>0</v>
      </c>
      <c r="N106" s="138">
        <v>1032</v>
      </c>
      <c r="O106" s="140">
        <v>1</v>
      </c>
      <c r="R106" s="138"/>
      <c r="S106" s="138">
        <v>1</v>
      </c>
      <c r="T106" s="138">
        <v>5</v>
      </c>
      <c r="U106" s="138">
        <v>1</v>
      </c>
      <c r="V106" s="138">
        <v>1</v>
      </c>
      <c r="W106" s="38">
        <v>1</v>
      </c>
      <c r="X106" s="138">
        <v>1</v>
      </c>
      <c r="Y106" s="38">
        <v>0</v>
      </c>
      <c r="Z106" s="38">
        <v>0</v>
      </c>
      <c r="AA106" s="38">
        <v>5</v>
      </c>
      <c r="AB106" s="38">
        <v>100</v>
      </c>
      <c r="AC106" s="138">
        <v>830</v>
      </c>
      <c r="AD106" s="141">
        <v>0</v>
      </c>
      <c r="AE106" s="142"/>
      <c r="AF106" s="142"/>
      <c r="AG106" s="143"/>
      <c r="AH106" s="143"/>
      <c r="AI106" s="143"/>
      <c r="AJ106" s="143"/>
      <c r="AK106" s="143"/>
      <c r="AL106" s="144">
        <v>1</v>
      </c>
      <c r="AM106" s="144"/>
      <c r="AN106" s="145"/>
      <c r="AO106" s="144"/>
      <c r="AP106" s="146"/>
      <c r="AS106" s="38">
        <v>1</v>
      </c>
    </row>
    <row r="107" s="38" customFormat="1" ht="14.25" customHeight="1" spans="1:45">
      <c r="A107" s="138">
        <v>213016</v>
      </c>
      <c r="B107" s="138">
        <v>1001</v>
      </c>
      <c r="C107" s="138">
        <v>1</v>
      </c>
      <c r="D107" s="138">
        <v>1001</v>
      </c>
      <c r="E107" s="38" t="s">
        <v>415</v>
      </c>
      <c r="F107" s="38" t="s">
        <v>419</v>
      </c>
      <c r="G107" s="38" t="s">
        <v>420</v>
      </c>
      <c r="H107" s="38" t="s">
        <v>421</v>
      </c>
      <c r="I107" s="38">
        <v>1</v>
      </c>
      <c r="J107" s="139">
        <v>3</v>
      </c>
      <c r="K107" s="138">
        <v>1</v>
      </c>
      <c r="L107" s="138">
        <v>99</v>
      </c>
      <c r="M107" s="138">
        <v>0</v>
      </c>
      <c r="N107" s="138">
        <v>1032</v>
      </c>
      <c r="O107" s="140">
        <v>2</v>
      </c>
      <c r="R107" s="138"/>
      <c r="S107" s="138">
        <v>1</v>
      </c>
      <c r="T107" s="138">
        <v>5</v>
      </c>
      <c r="U107" s="138">
        <v>1</v>
      </c>
      <c r="V107" s="138">
        <v>1</v>
      </c>
      <c r="W107" s="38">
        <v>1</v>
      </c>
      <c r="X107" s="138">
        <v>1</v>
      </c>
      <c r="Y107" s="38">
        <v>0</v>
      </c>
      <c r="Z107" s="38">
        <v>0</v>
      </c>
      <c r="AA107" s="38">
        <v>5</v>
      </c>
      <c r="AB107" s="38">
        <v>100</v>
      </c>
      <c r="AC107" s="138">
        <v>830</v>
      </c>
      <c r="AD107" s="141">
        <v>0</v>
      </c>
      <c r="AE107" s="142"/>
      <c r="AF107" s="142"/>
      <c r="AG107" s="143"/>
      <c r="AH107" s="143"/>
      <c r="AI107" s="143"/>
      <c r="AJ107" s="143"/>
      <c r="AK107" s="143"/>
      <c r="AL107" s="144">
        <v>1</v>
      </c>
      <c r="AM107" s="144"/>
      <c r="AN107" s="145"/>
      <c r="AO107" s="144"/>
      <c r="AP107" s="146"/>
      <c r="AS107" s="38">
        <v>1</v>
      </c>
    </row>
    <row r="108" s="38" customFormat="1" ht="14.25" customHeight="1" spans="1:45">
      <c r="A108" s="138">
        <v>214016</v>
      </c>
      <c r="B108" s="138">
        <v>1001</v>
      </c>
      <c r="C108" s="138">
        <v>1</v>
      </c>
      <c r="D108" s="138">
        <v>1001</v>
      </c>
      <c r="E108" s="38" t="s">
        <v>415</v>
      </c>
      <c r="F108" s="38" t="s">
        <v>422</v>
      </c>
      <c r="G108" s="38" t="s">
        <v>423</v>
      </c>
      <c r="H108" s="38" t="s">
        <v>424</v>
      </c>
      <c r="I108" s="38">
        <v>1</v>
      </c>
      <c r="J108" s="139">
        <v>4</v>
      </c>
      <c r="K108" s="138">
        <v>1</v>
      </c>
      <c r="L108" s="138">
        <v>99</v>
      </c>
      <c r="M108" s="138">
        <v>0</v>
      </c>
      <c r="N108" s="138">
        <v>1032</v>
      </c>
      <c r="O108" s="140">
        <v>3</v>
      </c>
      <c r="R108" s="138"/>
      <c r="S108" s="138">
        <v>1</v>
      </c>
      <c r="T108" s="138">
        <v>5</v>
      </c>
      <c r="U108" s="138">
        <v>1</v>
      </c>
      <c r="V108" s="138">
        <v>1</v>
      </c>
      <c r="W108" s="38">
        <v>1</v>
      </c>
      <c r="X108" s="138">
        <v>1</v>
      </c>
      <c r="Y108" s="38">
        <v>0</v>
      </c>
      <c r="Z108" s="38">
        <v>0</v>
      </c>
      <c r="AA108" s="38">
        <v>5</v>
      </c>
      <c r="AB108" s="38">
        <v>100</v>
      </c>
      <c r="AC108" s="138">
        <v>830</v>
      </c>
      <c r="AD108" s="141">
        <v>0</v>
      </c>
      <c r="AE108" s="142"/>
      <c r="AF108" s="142"/>
      <c r="AG108" s="143"/>
      <c r="AH108" s="143"/>
      <c r="AI108" s="143"/>
      <c r="AJ108" s="143"/>
      <c r="AK108" s="143"/>
      <c r="AL108" s="144">
        <v>1</v>
      </c>
      <c r="AM108" s="144"/>
      <c r="AN108" s="145"/>
      <c r="AO108" s="144"/>
      <c r="AP108" s="146"/>
      <c r="AS108" s="38">
        <v>1</v>
      </c>
    </row>
    <row r="109" s="38" customFormat="1" ht="14.25" customHeight="1" spans="1:45">
      <c r="A109" s="138">
        <v>215016</v>
      </c>
      <c r="B109" s="138">
        <v>1001</v>
      </c>
      <c r="C109" s="138">
        <v>1</v>
      </c>
      <c r="D109" s="138">
        <v>1001</v>
      </c>
      <c r="E109" s="38" t="s">
        <v>415</v>
      </c>
      <c r="F109" s="38" t="s">
        <v>425</v>
      </c>
      <c r="G109" s="38" t="s">
        <v>426</v>
      </c>
      <c r="H109" s="38" t="s">
        <v>427</v>
      </c>
      <c r="I109" s="38">
        <v>1</v>
      </c>
      <c r="J109" s="139">
        <v>5</v>
      </c>
      <c r="K109" s="138">
        <v>1</v>
      </c>
      <c r="L109" s="138">
        <v>99</v>
      </c>
      <c r="M109" s="138">
        <v>0</v>
      </c>
      <c r="N109" s="138">
        <v>1032</v>
      </c>
      <c r="O109" s="140">
        <v>5</v>
      </c>
      <c r="R109" s="138"/>
      <c r="S109" s="138">
        <v>1</v>
      </c>
      <c r="T109" s="138">
        <v>5</v>
      </c>
      <c r="U109" s="138">
        <v>1</v>
      </c>
      <c r="V109" s="138">
        <v>1</v>
      </c>
      <c r="W109" s="38">
        <v>1</v>
      </c>
      <c r="X109" s="138">
        <v>1</v>
      </c>
      <c r="Y109" s="38">
        <v>0</v>
      </c>
      <c r="Z109" s="38">
        <v>0</v>
      </c>
      <c r="AA109" s="38">
        <v>5</v>
      </c>
      <c r="AB109" s="38">
        <v>100</v>
      </c>
      <c r="AC109" s="138">
        <v>830</v>
      </c>
      <c r="AD109" s="141">
        <v>0</v>
      </c>
      <c r="AE109" s="142"/>
      <c r="AF109" s="142"/>
      <c r="AG109" s="143"/>
      <c r="AH109" s="143"/>
      <c r="AI109" s="143"/>
      <c r="AJ109" s="143"/>
      <c r="AK109" s="143"/>
      <c r="AL109" s="144">
        <v>1</v>
      </c>
      <c r="AM109" s="144"/>
      <c r="AN109" s="145"/>
      <c r="AO109" s="144"/>
      <c r="AP109" s="146"/>
      <c r="AS109" s="38">
        <v>1</v>
      </c>
    </row>
    <row r="110" s="38" customFormat="1" ht="14.25" customHeight="1" spans="1:45">
      <c r="A110" s="89">
        <v>225001</v>
      </c>
      <c r="B110" s="89">
        <v>1001</v>
      </c>
      <c r="C110" s="89">
        <v>1</v>
      </c>
      <c r="D110" s="8">
        <v>1001</v>
      </c>
      <c r="E110" s="34" t="s">
        <v>428</v>
      </c>
      <c r="F110" s="13" t="s">
        <v>428</v>
      </c>
      <c r="G110" s="34" t="s">
        <v>429</v>
      </c>
      <c r="H110" s="34" t="s">
        <v>430</v>
      </c>
      <c r="I110" s="34">
        <v>1</v>
      </c>
      <c r="J110" s="102">
        <v>4</v>
      </c>
      <c r="K110" s="89">
        <v>1</v>
      </c>
      <c r="L110" s="89">
        <v>999</v>
      </c>
      <c r="M110" s="89">
        <v>0</v>
      </c>
      <c r="N110" s="89"/>
      <c r="O110" s="103"/>
      <c r="P110" s="89"/>
      <c r="Q110" s="89"/>
      <c r="R110" s="89"/>
      <c r="S110" s="89">
        <v>1</v>
      </c>
      <c r="T110" s="89">
        <v>5</v>
      </c>
      <c r="U110" s="89">
        <v>170</v>
      </c>
      <c r="V110" s="89">
        <v>1</v>
      </c>
      <c r="W110" s="89">
        <v>1</v>
      </c>
      <c r="X110" s="89">
        <v>1</v>
      </c>
      <c r="Y110" s="89">
        <v>0</v>
      </c>
      <c r="Z110" s="34">
        <v>0</v>
      </c>
      <c r="AA110" s="34">
        <v>5</v>
      </c>
      <c r="AB110" s="34">
        <v>6460</v>
      </c>
      <c r="AC110" s="89">
        <v>830</v>
      </c>
      <c r="AD110" s="104">
        <v>0</v>
      </c>
      <c r="AE110" s="105">
        <v>0</v>
      </c>
      <c r="AF110" s="105">
        <v>0</v>
      </c>
      <c r="AG110" s="106"/>
      <c r="AH110" s="106">
        <v>1</v>
      </c>
      <c r="AI110" s="106"/>
      <c r="AJ110" s="106"/>
      <c r="AK110" s="106"/>
      <c r="AL110" s="107">
        <v>1</v>
      </c>
      <c r="AM110" s="107"/>
      <c r="AN110" s="93"/>
      <c r="AO110" s="92"/>
      <c r="AP110" s="108"/>
      <c r="AQ110" s="34" t="s">
        <v>428</v>
      </c>
      <c r="AS110" s="34">
        <v>1</v>
      </c>
    </row>
    <row r="111" s="34" customFormat="1" ht="14.25" customHeight="1" spans="1:45">
      <c r="A111" s="89">
        <v>225002</v>
      </c>
      <c r="B111" s="89">
        <v>1001</v>
      </c>
      <c r="C111" s="89">
        <v>1</v>
      </c>
      <c r="D111" s="8">
        <v>1001</v>
      </c>
      <c r="E111" s="34" t="s">
        <v>431</v>
      </c>
      <c r="F111" s="13" t="s">
        <v>431</v>
      </c>
      <c r="G111" s="34" t="s">
        <v>432</v>
      </c>
      <c r="H111" s="34" t="s">
        <v>433</v>
      </c>
      <c r="I111" s="34">
        <v>1</v>
      </c>
      <c r="J111" s="102">
        <v>4</v>
      </c>
      <c r="K111" s="89">
        <v>1</v>
      </c>
      <c r="L111" s="89">
        <v>999</v>
      </c>
      <c r="M111" s="89">
        <v>0</v>
      </c>
      <c r="N111" s="89"/>
      <c r="O111" s="103"/>
      <c r="P111" s="89"/>
      <c r="Q111" s="89"/>
      <c r="R111" s="89"/>
      <c r="S111" s="89">
        <v>1</v>
      </c>
      <c r="T111" s="89">
        <v>5</v>
      </c>
      <c r="U111" s="89">
        <v>170</v>
      </c>
      <c r="V111" s="89">
        <v>1</v>
      </c>
      <c r="W111" s="89">
        <v>1</v>
      </c>
      <c r="X111" s="89">
        <v>1</v>
      </c>
      <c r="Y111" s="89">
        <v>0</v>
      </c>
      <c r="Z111" s="34">
        <v>0</v>
      </c>
      <c r="AA111" s="34">
        <v>5</v>
      </c>
      <c r="AB111" s="34">
        <v>6460</v>
      </c>
      <c r="AC111" s="89">
        <v>830</v>
      </c>
      <c r="AD111" s="104">
        <v>0</v>
      </c>
      <c r="AE111" s="105">
        <v>0</v>
      </c>
      <c r="AF111" s="105">
        <v>0</v>
      </c>
      <c r="AG111" s="106"/>
      <c r="AH111" s="106">
        <v>1</v>
      </c>
      <c r="AI111" s="106"/>
      <c r="AJ111" s="106"/>
      <c r="AK111" s="106"/>
      <c r="AL111" s="107">
        <v>1</v>
      </c>
      <c r="AM111" s="107"/>
      <c r="AN111" s="93"/>
      <c r="AO111" s="92"/>
      <c r="AP111" s="108"/>
      <c r="AQ111" s="34" t="s">
        <v>431</v>
      </c>
      <c r="AS111" s="34">
        <v>1</v>
      </c>
    </row>
    <row r="112" s="34" customFormat="1" ht="14.25" customHeight="1" spans="1:45">
      <c r="A112" s="8">
        <v>610001</v>
      </c>
      <c r="B112" s="8">
        <v>1001</v>
      </c>
      <c r="C112" s="8">
        <v>7</v>
      </c>
      <c r="D112" s="8">
        <v>1005</v>
      </c>
      <c r="E112" t="s">
        <v>434</v>
      </c>
      <c r="F112" s="13" t="s">
        <v>435</v>
      </c>
      <c r="G112" t="s">
        <v>436</v>
      </c>
      <c r="H112" t="s">
        <v>437</v>
      </c>
      <c r="I112">
        <v>1</v>
      </c>
      <c r="J112" s="69">
        <v>3</v>
      </c>
      <c r="K112" s="87">
        <v>3</v>
      </c>
      <c r="L112" s="8">
        <v>999</v>
      </c>
      <c r="M112" s="8">
        <v>0</v>
      </c>
      <c r="N112" s="8"/>
      <c r="O112" s="88">
        <v>111001</v>
      </c>
      <c r="P112" s="8" t="s">
        <v>438</v>
      </c>
      <c r="Q112" s="8"/>
      <c r="R112" t="s">
        <v>439</v>
      </c>
      <c r="S112" s="89">
        <v>0</v>
      </c>
      <c r="T112" s="8">
        <v>5</v>
      </c>
      <c r="U112" s="89">
        <v>140</v>
      </c>
      <c r="V112" s="87">
        <v>1</v>
      </c>
      <c r="W112">
        <v>1</v>
      </c>
      <c r="X112" s="8">
        <v>1</v>
      </c>
      <c r="Y112">
        <v>0</v>
      </c>
      <c r="Z112" s="33">
        <v>0</v>
      </c>
      <c r="AA112">
        <v>5</v>
      </c>
      <c r="AB112" s="34">
        <v>5320</v>
      </c>
      <c r="AC112" s="87">
        <v>603</v>
      </c>
      <c r="AD112" s="62">
        <v>0</v>
      </c>
      <c r="AE112" s="90">
        <v>0</v>
      </c>
      <c r="AF112" s="90">
        <v>0</v>
      </c>
      <c r="AG112" s="91"/>
      <c r="AH112" s="91">
        <v>1</v>
      </c>
      <c r="AI112" s="91"/>
      <c r="AJ112" s="91"/>
      <c r="AK112" s="91"/>
      <c r="AL112" s="92">
        <v>1</v>
      </c>
      <c r="AM112" s="92"/>
      <c r="AN112" s="93"/>
      <c r="AO112" s="92"/>
      <c r="AP112" s="147"/>
      <c r="AQ112" t="s">
        <v>434</v>
      </c>
      <c r="AS112">
        <v>1</v>
      </c>
    </row>
    <row r="113" spans="1:45">
      <c r="A113" s="8">
        <v>610002</v>
      </c>
      <c r="B113" s="8">
        <v>1001</v>
      </c>
      <c r="C113" s="8">
        <v>7</v>
      </c>
      <c r="D113" s="8">
        <v>1005</v>
      </c>
      <c r="E113" t="s">
        <v>440</v>
      </c>
      <c r="F113" s="13" t="s">
        <v>441</v>
      </c>
      <c r="G113" t="s">
        <v>442</v>
      </c>
      <c r="H113" t="s">
        <v>443</v>
      </c>
      <c r="I113">
        <v>1</v>
      </c>
      <c r="J113" s="69">
        <v>3</v>
      </c>
      <c r="K113" s="87">
        <v>3</v>
      </c>
      <c r="L113" s="8">
        <v>999</v>
      </c>
      <c r="M113" s="8">
        <v>0</v>
      </c>
      <c r="N113" s="8"/>
      <c r="O113" s="88">
        <v>111002</v>
      </c>
      <c r="P113" s="8" t="s">
        <v>438</v>
      </c>
      <c r="Q113" s="8"/>
      <c r="R113" t="s">
        <v>439</v>
      </c>
      <c r="S113" s="89">
        <v>0</v>
      </c>
      <c r="T113" s="8">
        <v>5</v>
      </c>
      <c r="U113" s="89">
        <v>140</v>
      </c>
      <c r="V113" s="87">
        <v>1</v>
      </c>
      <c r="W113">
        <v>1</v>
      </c>
      <c r="X113" s="8">
        <v>1</v>
      </c>
      <c r="Y113">
        <v>0</v>
      </c>
      <c r="Z113" s="33">
        <v>0</v>
      </c>
      <c r="AA113">
        <v>5</v>
      </c>
      <c r="AB113" s="34">
        <v>5320</v>
      </c>
      <c r="AC113" s="87">
        <v>603</v>
      </c>
      <c r="AD113" s="62">
        <v>0</v>
      </c>
      <c r="AE113" s="90">
        <v>0</v>
      </c>
      <c r="AF113" s="90">
        <v>0</v>
      </c>
      <c r="AG113" s="91"/>
      <c r="AH113" s="91">
        <v>1</v>
      </c>
      <c r="AI113" s="91"/>
      <c r="AJ113" s="91"/>
      <c r="AK113" s="91"/>
      <c r="AL113" s="92">
        <v>1</v>
      </c>
      <c r="AM113" s="92"/>
      <c r="AN113" s="93"/>
      <c r="AO113" s="92"/>
      <c r="AP113" s="147"/>
      <c r="AQ113" t="s">
        <v>440</v>
      </c>
      <c r="AS113">
        <v>1</v>
      </c>
    </row>
    <row r="114" spans="1:45">
      <c r="A114" s="8">
        <v>610003</v>
      </c>
      <c r="B114" s="8">
        <v>1001</v>
      </c>
      <c r="C114" s="8">
        <v>7</v>
      </c>
      <c r="D114" s="8">
        <v>1005</v>
      </c>
      <c r="E114" t="s">
        <v>444</v>
      </c>
      <c r="F114" s="13" t="s">
        <v>444</v>
      </c>
      <c r="G114" t="s">
        <v>445</v>
      </c>
      <c r="H114" t="s">
        <v>446</v>
      </c>
      <c r="I114">
        <v>1</v>
      </c>
      <c r="J114" s="69">
        <v>3</v>
      </c>
      <c r="K114" s="87">
        <v>3</v>
      </c>
      <c r="L114" s="8">
        <v>999</v>
      </c>
      <c r="M114" s="8">
        <v>0</v>
      </c>
      <c r="N114" s="8"/>
      <c r="O114" s="88">
        <v>111003</v>
      </c>
      <c r="P114" s="8" t="s">
        <v>438</v>
      </c>
      <c r="Q114" s="8"/>
      <c r="R114" t="s">
        <v>439</v>
      </c>
      <c r="S114" s="89">
        <v>0</v>
      </c>
      <c r="T114" s="8">
        <v>5</v>
      </c>
      <c r="U114" s="89">
        <v>140</v>
      </c>
      <c r="V114" s="87">
        <v>1</v>
      </c>
      <c r="W114">
        <v>1</v>
      </c>
      <c r="X114" s="8">
        <v>1</v>
      </c>
      <c r="Y114">
        <v>0</v>
      </c>
      <c r="Z114" s="33">
        <v>0</v>
      </c>
      <c r="AA114">
        <v>5</v>
      </c>
      <c r="AB114" s="34">
        <v>5320</v>
      </c>
      <c r="AC114" s="87">
        <v>603</v>
      </c>
      <c r="AD114" s="62">
        <v>0</v>
      </c>
      <c r="AE114" s="90">
        <v>0</v>
      </c>
      <c r="AF114" s="90">
        <v>0</v>
      </c>
      <c r="AG114" s="91"/>
      <c r="AH114" s="91">
        <v>1</v>
      </c>
      <c r="AI114" s="91"/>
      <c r="AJ114" s="91"/>
      <c r="AK114" s="91"/>
      <c r="AL114" s="92">
        <v>1</v>
      </c>
      <c r="AM114" s="92"/>
      <c r="AN114" s="93"/>
      <c r="AO114" s="92"/>
      <c r="AP114" s="147"/>
      <c r="AQ114" t="s">
        <v>444</v>
      </c>
      <c r="AS114">
        <v>1</v>
      </c>
    </row>
    <row r="115" spans="1:45">
      <c r="A115" s="8">
        <v>610004</v>
      </c>
      <c r="B115" s="8">
        <v>1001</v>
      </c>
      <c r="C115" s="8">
        <v>7</v>
      </c>
      <c r="D115" s="8">
        <v>1005</v>
      </c>
      <c r="E115" t="s">
        <v>447</v>
      </c>
      <c r="F115" s="13" t="s">
        <v>447</v>
      </c>
      <c r="G115" t="s">
        <v>448</v>
      </c>
      <c r="H115" t="s">
        <v>449</v>
      </c>
      <c r="I115">
        <v>1</v>
      </c>
      <c r="J115" s="69">
        <v>3</v>
      </c>
      <c r="K115" s="87">
        <v>3</v>
      </c>
      <c r="L115" s="8">
        <v>999</v>
      </c>
      <c r="M115" s="8">
        <v>0</v>
      </c>
      <c r="N115" s="8"/>
      <c r="O115" s="88">
        <v>111004</v>
      </c>
      <c r="P115" s="8" t="s">
        <v>438</v>
      </c>
      <c r="Q115" s="8"/>
      <c r="R115" t="s">
        <v>439</v>
      </c>
      <c r="S115" s="89">
        <v>0</v>
      </c>
      <c r="T115" s="8">
        <v>5</v>
      </c>
      <c r="U115" s="89">
        <v>140</v>
      </c>
      <c r="V115" s="87">
        <v>1</v>
      </c>
      <c r="W115">
        <v>1</v>
      </c>
      <c r="X115" s="8">
        <v>1</v>
      </c>
      <c r="Y115">
        <v>0</v>
      </c>
      <c r="Z115" s="33">
        <v>0</v>
      </c>
      <c r="AA115">
        <v>5</v>
      </c>
      <c r="AB115" s="34">
        <v>5320</v>
      </c>
      <c r="AC115" s="87">
        <v>603</v>
      </c>
      <c r="AD115" s="62">
        <v>0</v>
      </c>
      <c r="AE115" s="90">
        <v>0</v>
      </c>
      <c r="AF115" s="90">
        <v>0</v>
      </c>
      <c r="AG115" s="91"/>
      <c r="AH115" s="91">
        <v>1</v>
      </c>
      <c r="AI115" s="91"/>
      <c r="AJ115" s="91"/>
      <c r="AK115" s="91"/>
      <c r="AL115" s="92">
        <v>1</v>
      </c>
      <c r="AM115" s="92"/>
      <c r="AN115" s="93"/>
      <c r="AO115" s="92"/>
      <c r="AP115" s="147"/>
      <c r="AQ115" t="s">
        <v>447</v>
      </c>
      <c r="AS115">
        <v>1</v>
      </c>
    </row>
    <row r="116" spans="1:45">
      <c r="A116" s="8">
        <v>610005</v>
      </c>
      <c r="B116" s="8">
        <v>1001</v>
      </c>
      <c r="C116" s="8">
        <v>7</v>
      </c>
      <c r="D116" s="8">
        <v>1005</v>
      </c>
      <c r="E116" t="s">
        <v>450</v>
      </c>
      <c r="F116" s="13" t="s">
        <v>450</v>
      </c>
      <c r="G116" t="s">
        <v>451</v>
      </c>
      <c r="H116" t="s">
        <v>452</v>
      </c>
      <c r="I116">
        <v>1</v>
      </c>
      <c r="J116" s="69">
        <v>3</v>
      </c>
      <c r="K116" s="87">
        <v>3</v>
      </c>
      <c r="L116" s="8">
        <v>999</v>
      </c>
      <c r="M116" s="8">
        <v>0</v>
      </c>
      <c r="N116" s="8"/>
      <c r="O116" s="88">
        <v>111005</v>
      </c>
      <c r="P116" s="8" t="s">
        <v>438</v>
      </c>
      <c r="Q116" s="8"/>
      <c r="R116" t="s">
        <v>439</v>
      </c>
      <c r="S116" s="89">
        <v>0</v>
      </c>
      <c r="T116" s="8">
        <v>5</v>
      </c>
      <c r="U116" s="89">
        <v>140</v>
      </c>
      <c r="V116" s="87">
        <v>1</v>
      </c>
      <c r="W116">
        <v>1</v>
      </c>
      <c r="X116" s="8">
        <v>1</v>
      </c>
      <c r="Y116">
        <v>0</v>
      </c>
      <c r="Z116" s="33">
        <v>0</v>
      </c>
      <c r="AA116">
        <v>5</v>
      </c>
      <c r="AB116" s="34">
        <v>5320</v>
      </c>
      <c r="AC116" s="87">
        <v>603</v>
      </c>
      <c r="AD116" s="62">
        <v>0</v>
      </c>
      <c r="AE116" s="90">
        <v>0</v>
      </c>
      <c r="AF116" s="90">
        <v>0</v>
      </c>
      <c r="AG116" s="91"/>
      <c r="AH116" s="91">
        <v>1</v>
      </c>
      <c r="AI116" s="91"/>
      <c r="AJ116" s="91"/>
      <c r="AK116" s="91"/>
      <c r="AL116" s="92">
        <v>1</v>
      </c>
      <c r="AM116" s="92"/>
      <c r="AN116" s="93"/>
      <c r="AO116" s="92"/>
      <c r="AP116" s="147"/>
      <c r="AQ116" t="s">
        <v>450</v>
      </c>
      <c r="AS116">
        <v>1</v>
      </c>
    </row>
    <row r="117" spans="1:45">
      <c r="A117" s="8">
        <v>610006</v>
      </c>
      <c r="B117" s="8">
        <v>1001</v>
      </c>
      <c r="C117" s="8">
        <v>7</v>
      </c>
      <c r="D117" s="8">
        <v>1005</v>
      </c>
      <c r="E117" t="s">
        <v>453</v>
      </c>
      <c r="F117" s="13" t="s">
        <v>453</v>
      </c>
      <c r="G117" t="s">
        <v>454</v>
      </c>
      <c r="H117" t="s">
        <v>455</v>
      </c>
      <c r="I117">
        <v>1</v>
      </c>
      <c r="J117" s="69">
        <v>3</v>
      </c>
      <c r="K117" s="87">
        <v>3</v>
      </c>
      <c r="L117" s="8">
        <v>999</v>
      </c>
      <c r="M117" s="8">
        <v>0</v>
      </c>
      <c r="N117" s="8"/>
      <c r="O117" s="88">
        <v>111006</v>
      </c>
      <c r="P117" s="8" t="s">
        <v>438</v>
      </c>
      <c r="Q117" s="8"/>
      <c r="R117" t="s">
        <v>439</v>
      </c>
      <c r="S117" s="89">
        <v>0</v>
      </c>
      <c r="T117" s="8">
        <v>5</v>
      </c>
      <c r="U117" s="89">
        <v>140</v>
      </c>
      <c r="V117" s="87">
        <v>1</v>
      </c>
      <c r="W117">
        <v>1</v>
      </c>
      <c r="X117" s="8">
        <v>1</v>
      </c>
      <c r="Y117">
        <v>0</v>
      </c>
      <c r="Z117" s="33">
        <v>0</v>
      </c>
      <c r="AA117">
        <v>5</v>
      </c>
      <c r="AB117" s="34">
        <v>5320</v>
      </c>
      <c r="AC117" s="87">
        <v>603</v>
      </c>
      <c r="AD117" s="62">
        <v>0</v>
      </c>
      <c r="AE117" s="90">
        <v>0</v>
      </c>
      <c r="AF117" s="90">
        <v>0</v>
      </c>
      <c r="AG117" s="91"/>
      <c r="AH117" s="91">
        <v>1</v>
      </c>
      <c r="AI117" s="91"/>
      <c r="AJ117" s="91"/>
      <c r="AK117" s="91"/>
      <c r="AL117" s="92">
        <v>1</v>
      </c>
      <c r="AM117" s="92"/>
      <c r="AN117" s="93"/>
      <c r="AO117" s="92"/>
      <c r="AP117" s="147"/>
      <c r="AQ117" t="s">
        <v>453</v>
      </c>
      <c r="AS117">
        <v>1</v>
      </c>
    </row>
    <row r="118" spans="1:45">
      <c r="A118" s="8">
        <v>610007</v>
      </c>
      <c r="B118" s="8">
        <v>1001</v>
      </c>
      <c r="C118" s="8">
        <v>7</v>
      </c>
      <c r="D118" s="8">
        <v>1005</v>
      </c>
      <c r="E118" t="s">
        <v>456</v>
      </c>
      <c r="F118" s="13" t="s">
        <v>456</v>
      </c>
      <c r="G118" t="s">
        <v>457</v>
      </c>
      <c r="H118" t="s">
        <v>458</v>
      </c>
      <c r="I118">
        <v>1</v>
      </c>
      <c r="J118" s="69">
        <v>3</v>
      </c>
      <c r="K118" s="87">
        <v>3</v>
      </c>
      <c r="L118" s="8">
        <v>999</v>
      </c>
      <c r="M118" s="8">
        <v>0</v>
      </c>
      <c r="N118" s="8"/>
      <c r="O118" s="88">
        <v>111007</v>
      </c>
      <c r="P118" s="8" t="s">
        <v>438</v>
      </c>
      <c r="Q118" s="8"/>
      <c r="R118" t="s">
        <v>439</v>
      </c>
      <c r="S118" s="89">
        <v>0</v>
      </c>
      <c r="T118" s="8">
        <v>5</v>
      </c>
      <c r="U118" s="89">
        <v>140</v>
      </c>
      <c r="V118" s="87">
        <v>1</v>
      </c>
      <c r="W118">
        <v>1</v>
      </c>
      <c r="X118" s="8">
        <v>1</v>
      </c>
      <c r="Y118">
        <v>0</v>
      </c>
      <c r="Z118" s="33">
        <v>0</v>
      </c>
      <c r="AA118">
        <v>5</v>
      </c>
      <c r="AB118" s="34">
        <v>5320</v>
      </c>
      <c r="AC118" s="87">
        <v>603</v>
      </c>
      <c r="AD118" s="62">
        <v>0</v>
      </c>
      <c r="AE118" s="90">
        <v>0</v>
      </c>
      <c r="AF118" s="90">
        <v>0</v>
      </c>
      <c r="AG118" s="91"/>
      <c r="AH118" s="91">
        <v>1</v>
      </c>
      <c r="AI118" s="91"/>
      <c r="AJ118" s="91"/>
      <c r="AK118" s="91"/>
      <c r="AL118" s="92">
        <v>1</v>
      </c>
      <c r="AM118" s="92"/>
      <c r="AN118" s="93"/>
      <c r="AO118" s="92"/>
      <c r="AP118" s="147"/>
      <c r="AQ118" t="s">
        <v>456</v>
      </c>
      <c r="AS118">
        <v>1</v>
      </c>
    </row>
    <row r="119" spans="1:45">
      <c r="A119" s="8">
        <v>610008</v>
      </c>
      <c r="B119" s="8">
        <v>1001</v>
      </c>
      <c r="C119" s="8">
        <v>7</v>
      </c>
      <c r="D119" s="8">
        <v>1005</v>
      </c>
      <c r="E119" t="s">
        <v>459</v>
      </c>
      <c r="F119" s="13" t="s">
        <v>459</v>
      </c>
      <c r="G119" t="s">
        <v>460</v>
      </c>
      <c r="H119" t="s">
        <v>461</v>
      </c>
      <c r="I119">
        <v>1</v>
      </c>
      <c r="J119" s="69">
        <v>3</v>
      </c>
      <c r="K119" s="87">
        <v>3</v>
      </c>
      <c r="L119" s="8">
        <v>999</v>
      </c>
      <c r="M119" s="8">
        <v>0</v>
      </c>
      <c r="N119" s="8"/>
      <c r="O119" s="88">
        <v>111008</v>
      </c>
      <c r="P119" s="8" t="s">
        <v>438</v>
      </c>
      <c r="Q119" s="8"/>
      <c r="R119" t="s">
        <v>439</v>
      </c>
      <c r="S119" s="89">
        <v>0</v>
      </c>
      <c r="T119" s="8">
        <v>5</v>
      </c>
      <c r="U119" s="89">
        <v>140</v>
      </c>
      <c r="V119" s="87">
        <v>1</v>
      </c>
      <c r="W119">
        <v>1</v>
      </c>
      <c r="X119" s="8">
        <v>1</v>
      </c>
      <c r="Y119">
        <v>0</v>
      </c>
      <c r="Z119" s="33">
        <v>0</v>
      </c>
      <c r="AA119">
        <v>5</v>
      </c>
      <c r="AB119" s="34">
        <v>5320</v>
      </c>
      <c r="AC119" s="87">
        <v>603</v>
      </c>
      <c r="AD119" s="62">
        <v>0</v>
      </c>
      <c r="AE119" s="90">
        <v>0</v>
      </c>
      <c r="AF119" s="90">
        <v>0</v>
      </c>
      <c r="AG119" s="91"/>
      <c r="AH119" s="91">
        <v>1</v>
      </c>
      <c r="AI119" s="91"/>
      <c r="AJ119" s="91"/>
      <c r="AK119" s="91"/>
      <c r="AL119" s="92">
        <v>1</v>
      </c>
      <c r="AM119" s="92"/>
      <c r="AN119" s="93"/>
      <c r="AO119" s="92"/>
      <c r="AP119" s="147"/>
      <c r="AQ119" t="s">
        <v>459</v>
      </c>
      <c r="AS119">
        <v>1</v>
      </c>
    </row>
    <row r="120" spans="1:45">
      <c r="A120" s="8">
        <v>610009</v>
      </c>
      <c r="B120" s="8">
        <v>1001</v>
      </c>
      <c r="C120" s="8">
        <v>7</v>
      </c>
      <c r="D120" s="8">
        <v>1005</v>
      </c>
      <c r="E120" t="s">
        <v>462</v>
      </c>
      <c r="F120" s="13" t="s">
        <v>462</v>
      </c>
      <c r="G120" t="s">
        <v>463</v>
      </c>
      <c r="H120" t="s">
        <v>464</v>
      </c>
      <c r="I120">
        <v>1</v>
      </c>
      <c r="J120" s="69">
        <v>3</v>
      </c>
      <c r="K120" s="87">
        <v>3</v>
      </c>
      <c r="L120" s="8">
        <v>999</v>
      </c>
      <c r="M120" s="8">
        <v>0</v>
      </c>
      <c r="N120" s="8"/>
      <c r="O120" s="88">
        <v>111009</v>
      </c>
      <c r="P120" s="8" t="s">
        <v>438</v>
      </c>
      <c r="Q120" s="8"/>
      <c r="R120" t="s">
        <v>439</v>
      </c>
      <c r="S120" s="89">
        <v>0</v>
      </c>
      <c r="T120" s="8">
        <v>5</v>
      </c>
      <c r="U120" s="89">
        <v>140</v>
      </c>
      <c r="V120" s="87">
        <v>1</v>
      </c>
      <c r="W120">
        <v>1</v>
      </c>
      <c r="X120" s="8">
        <v>1</v>
      </c>
      <c r="Y120">
        <v>0</v>
      </c>
      <c r="Z120" s="33">
        <v>0</v>
      </c>
      <c r="AA120">
        <v>5</v>
      </c>
      <c r="AB120" s="34">
        <v>5320</v>
      </c>
      <c r="AC120" s="87">
        <v>603</v>
      </c>
      <c r="AD120" s="62">
        <v>0</v>
      </c>
      <c r="AE120" s="90">
        <v>0</v>
      </c>
      <c r="AF120" s="90">
        <v>0</v>
      </c>
      <c r="AG120" s="91"/>
      <c r="AH120" s="91">
        <v>1</v>
      </c>
      <c r="AI120" s="91"/>
      <c r="AJ120" s="91"/>
      <c r="AK120" s="91"/>
      <c r="AL120" s="92">
        <v>1</v>
      </c>
      <c r="AM120" s="92"/>
      <c r="AN120" s="93"/>
      <c r="AO120" s="92"/>
      <c r="AP120" s="147"/>
      <c r="AQ120" t="s">
        <v>462</v>
      </c>
      <c r="AS120">
        <v>1</v>
      </c>
    </row>
    <row r="121" spans="1:45">
      <c r="A121" s="8">
        <v>610010</v>
      </c>
      <c r="B121" s="8">
        <v>1001</v>
      </c>
      <c r="C121" s="8">
        <v>7</v>
      </c>
      <c r="D121" s="8">
        <v>1005</v>
      </c>
      <c r="E121" t="s">
        <v>465</v>
      </c>
      <c r="F121" s="13" t="s">
        <v>466</v>
      </c>
      <c r="G121" t="s">
        <v>467</v>
      </c>
      <c r="H121" t="s">
        <v>468</v>
      </c>
      <c r="I121">
        <v>1</v>
      </c>
      <c r="J121" s="69">
        <v>3</v>
      </c>
      <c r="K121" s="87">
        <v>3</v>
      </c>
      <c r="L121" s="8">
        <v>999</v>
      </c>
      <c r="M121" s="8">
        <v>0</v>
      </c>
      <c r="N121" s="8"/>
      <c r="O121" s="88">
        <v>111010</v>
      </c>
      <c r="P121" s="8" t="s">
        <v>438</v>
      </c>
      <c r="Q121" s="8"/>
      <c r="R121" t="s">
        <v>439</v>
      </c>
      <c r="S121" s="89">
        <v>0</v>
      </c>
      <c r="T121" s="8">
        <v>5</v>
      </c>
      <c r="U121" s="89">
        <v>140</v>
      </c>
      <c r="V121" s="87">
        <v>1</v>
      </c>
      <c r="W121">
        <v>1</v>
      </c>
      <c r="X121" s="8">
        <v>1</v>
      </c>
      <c r="Y121">
        <v>0</v>
      </c>
      <c r="Z121" s="33">
        <v>0</v>
      </c>
      <c r="AA121">
        <v>5</v>
      </c>
      <c r="AB121" s="34">
        <v>5320</v>
      </c>
      <c r="AC121" s="87">
        <v>603</v>
      </c>
      <c r="AD121" s="62">
        <v>0</v>
      </c>
      <c r="AE121" s="90">
        <v>0</v>
      </c>
      <c r="AF121" s="90">
        <v>0</v>
      </c>
      <c r="AG121" s="91"/>
      <c r="AH121" s="91">
        <v>1</v>
      </c>
      <c r="AI121" s="91"/>
      <c r="AJ121" s="91"/>
      <c r="AK121" s="91"/>
      <c r="AL121" s="92">
        <v>1</v>
      </c>
      <c r="AM121" s="92"/>
      <c r="AN121" s="93"/>
      <c r="AO121" s="92"/>
      <c r="AP121" s="147"/>
      <c r="AQ121" t="s">
        <v>465</v>
      </c>
      <c r="AS121">
        <v>1</v>
      </c>
    </row>
    <row r="122" spans="1:45">
      <c r="A122" s="8">
        <v>610011</v>
      </c>
      <c r="B122" s="8">
        <v>1001</v>
      </c>
      <c r="C122" s="8">
        <v>7</v>
      </c>
      <c r="D122" s="8">
        <v>1005</v>
      </c>
      <c r="E122" t="s">
        <v>469</v>
      </c>
      <c r="F122" s="13" t="s">
        <v>469</v>
      </c>
      <c r="G122" t="s">
        <v>470</v>
      </c>
      <c r="H122" t="s">
        <v>471</v>
      </c>
      <c r="I122">
        <v>1</v>
      </c>
      <c r="J122" s="69">
        <v>3</v>
      </c>
      <c r="K122" s="87">
        <v>3</v>
      </c>
      <c r="L122" s="8">
        <v>999</v>
      </c>
      <c r="M122" s="8">
        <v>0</v>
      </c>
      <c r="N122" s="8"/>
      <c r="O122" s="88">
        <v>111011</v>
      </c>
      <c r="P122" s="8" t="s">
        <v>438</v>
      </c>
      <c r="Q122" s="8"/>
      <c r="R122" t="s">
        <v>439</v>
      </c>
      <c r="S122" s="89">
        <v>0</v>
      </c>
      <c r="T122" s="8">
        <v>5</v>
      </c>
      <c r="U122" s="89">
        <v>140</v>
      </c>
      <c r="V122" s="87">
        <v>1</v>
      </c>
      <c r="W122">
        <v>1</v>
      </c>
      <c r="X122" s="8">
        <v>1</v>
      </c>
      <c r="Y122">
        <v>0</v>
      </c>
      <c r="Z122" s="33">
        <v>0</v>
      </c>
      <c r="AA122">
        <v>5</v>
      </c>
      <c r="AB122" s="34">
        <v>5320</v>
      </c>
      <c r="AC122" s="87">
        <v>603</v>
      </c>
      <c r="AD122" s="62">
        <v>0</v>
      </c>
      <c r="AE122" s="90">
        <v>0</v>
      </c>
      <c r="AF122" s="90">
        <v>0</v>
      </c>
      <c r="AG122" s="91"/>
      <c r="AH122" s="91">
        <v>1</v>
      </c>
      <c r="AI122" s="91"/>
      <c r="AJ122" s="91"/>
      <c r="AK122" s="91"/>
      <c r="AL122" s="92">
        <v>1</v>
      </c>
      <c r="AM122" s="92"/>
      <c r="AN122" s="93"/>
      <c r="AO122" s="92"/>
      <c r="AP122" s="147"/>
      <c r="AQ122" t="s">
        <v>469</v>
      </c>
      <c r="AS122">
        <v>1</v>
      </c>
    </row>
    <row r="123" spans="1:45">
      <c r="A123" s="8">
        <v>610012</v>
      </c>
      <c r="B123" s="8">
        <v>1001</v>
      </c>
      <c r="C123" s="8">
        <v>7</v>
      </c>
      <c r="D123" s="8">
        <v>1005</v>
      </c>
      <c r="E123" s="117" t="s">
        <v>472</v>
      </c>
      <c r="F123" s="13" t="s">
        <v>472</v>
      </c>
      <c r="G123" t="s">
        <v>473</v>
      </c>
      <c r="H123" t="s">
        <v>474</v>
      </c>
      <c r="I123">
        <v>1</v>
      </c>
      <c r="J123" s="69">
        <v>3</v>
      </c>
      <c r="K123" s="87">
        <v>3</v>
      </c>
      <c r="L123" s="8">
        <v>999</v>
      </c>
      <c r="M123" s="8">
        <v>0</v>
      </c>
      <c r="N123" s="8"/>
      <c r="O123" s="88">
        <v>111012</v>
      </c>
      <c r="P123" s="8" t="s">
        <v>438</v>
      </c>
      <c r="Q123" s="8"/>
      <c r="R123" t="s">
        <v>439</v>
      </c>
      <c r="S123" s="89">
        <v>0</v>
      </c>
      <c r="T123" s="8">
        <v>5</v>
      </c>
      <c r="U123" s="89">
        <v>140</v>
      </c>
      <c r="V123" s="87">
        <v>1</v>
      </c>
      <c r="W123">
        <v>1</v>
      </c>
      <c r="X123" s="8">
        <v>1</v>
      </c>
      <c r="Y123">
        <v>0</v>
      </c>
      <c r="Z123" s="33">
        <v>0</v>
      </c>
      <c r="AA123">
        <v>5</v>
      </c>
      <c r="AB123" s="34">
        <v>5320</v>
      </c>
      <c r="AC123" s="87">
        <v>603</v>
      </c>
      <c r="AD123" s="62">
        <v>0</v>
      </c>
      <c r="AE123" s="90">
        <v>0</v>
      </c>
      <c r="AF123" s="90">
        <v>0</v>
      </c>
      <c r="AG123" s="91"/>
      <c r="AH123" s="91">
        <v>1</v>
      </c>
      <c r="AI123" s="91"/>
      <c r="AJ123" s="91"/>
      <c r="AK123" s="91"/>
      <c r="AL123" s="92">
        <v>1</v>
      </c>
      <c r="AM123" s="92"/>
      <c r="AN123" s="93"/>
      <c r="AO123" s="92"/>
      <c r="AP123" s="147"/>
      <c r="AQ123" s="117" t="s">
        <v>472</v>
      </c>
      <c r="AS123">
        <v>1</v>
      </c>
    </row>
    <row r="124" spans="1:45">
      <c r="A124" s="8">
        <v>610013</v>
      </c>
      <c r="B124" s="8">
        <v>1001</v>
      </c>
      <c r="C124" s="8">
        <v>7</v>
      </c>
      <c r="D124" s="8">
        <v>1005</v>
      </c>
      <c r="E124" t="s">
        <v>475</v>
      </c>
      <c r="F124" s="13" t="s">
        <v>476</v>
      </c>
      <c r="G124" t="s">
        <v>477</v>
      </c>
      <c r="H124" t="s">
        <v>478</v>
      </c>
      <c r="I124">
        <v>1</v>
      </c>
      <c r="J124" s="69">
        <v>3</v>
      </c>
      <c r="K124" s="87">
        <v>3</v>
      </c>
      <c r="L124" s="8">
        <v>999</v>
      </c>
      <c r="M124" s="8">
        <v>0</v>
      </c>
      <c r="N124" s="8"/>
      <c r="O124" s="88">
        <v>111013</v>
      </c>
      <c r="P124" s="8" t="s">
        <v>438</v>
      </c>
      <c r="Q124" s="8"/>
      <c r="R124" t="s">
        <v>439</v>
      </c>
      <c r="S124" s="89">
        <v>0</v>
      </c>
      <c r="T124" s="8">
        <v>5</v>
      </c>
      <c r="U124" s="89">
        <v>140</v>
      </c>
      <c r="V124" s="87">
        <v>1</v>
      </c>
      <c r="W124">
        <v>1</v>
      </c>
      <c r="X124" s="8">
        <v>1</v>
      </c>
      <c r="Y124">
        <v>0</v>
      </c>
      <c r="Z124" s="33">
        <v>0</v>
      </c>
      <c r="AA124">
        <v>5</v>
      </c>
      <c r="AB124" s="34">
        <v>5320</v>
      </c>
      <c r="AC124" s="87">
        <v>603</v>
      </c>
      <c r="AD124" s="62">
        <v>0</v>
      </c>
      <c r="AE124" s="90">
        <v>0</v>
      </c>
      <c r="AF124" s="90">
        <v>0</v>
      </c>
      <c r="AG124" s="91"/>
      <c r="AH124" s="91">
        <v>1</v>
      </c>
      <c r="AI124" s="91"/>
      <c r="AJ124" s="91"/>
      <c r="AK124" s="91"/>
      <c r="AL124" s="92">
        <v>1</v>
      </c>
      <c r="AM124" s="92"/>
      <c r="AN124" s="93"/>
      <c r="AO124" s="92"/>
      <c r="AP124" s="147"/>
      <c r="AQ124" t="s">
        <v>475</v>
      </c>
      <c r="AS124">
        <v>1</v>
      </c>
    </row>
    <row r="125" spans="1:45">
      <c r="A125" s="8">
        <v>610014</v>
      </c>
      <c r="B125" s="8">
        <v>1001</v>
      </c>
      <c r="C125" s="8">
        <v>7</v>
      </c>
      <c r="D125" s="8">
        <v>1005</v>
      </c>
      <c r="E125" t="s">
        <v>479</v>
      </c>
      <c r="F125" s="13" t="s">
        <v>479</v>
      </c>
      <c r="G125" t="s">
        <v>480</v>
      </c>
      <c r="H125" t="s">
        <v>481</v>
      </c>
      <c r="I125">
        <v>1</v>
      </c>
      <c r="J125" s="69">
        <v>3</v>
      </c>
      <c r="K125" s="87">
        <v>3</v>
      </c>
      <c r="L125" s="8">
        <v>999</v>
      </c>
      <c r="M125" s="8">
        <v>0</v>
      </c>
      <c r="N125" s="8"/>
      <c r="O125" s="88">
        <v>111014</v>
      </c>
      <c r="P125" s="8" t="s">
        <v>438</v>
      </c>
      <c r="Q125" s="8"/>
      <c r="R125" t="s">
        <v>439</v>
      </c>
      <c r="S125" s="89">
        <v>0</v>
      </c>
      <c r="T125" s="8">
        <v>5</v>
      </c>
      <c r="U125" s="89">
        <v>140</v>
      </c>
      <c r="V125" s="87">
        <v>1</v>
      </c>
      <c r="W125">
        <v>1</v>
      </c>
      <c r="X125" s="8">
        <v>1</v>
      </c>
      <c r="Y125">
        <v>0</v>
      </c>
      <c r="Z125" s="33">
        <v>0</v>
      </c>
      <c r="AA125">
        <v>5</v>
      </c>
      <c r="AB125" s="34">
        <v>5320</v>
      </c>
      <c r="AC125" s="87">
        <v>603</v>
      </c>
      <c r="AD125" s="62">
        <v>0</v>
      </c>
      <c r="AE125" s="90">
        <v>0</v>
      </c>
      <c r="AF125" s="90">
        <v>0</v>
      </c>
      <c r="AG125" s="91"/>
      <c r="AH125" s="91">
        <v>1</v>
      </c>
      <c r="AI125" s="91"/>
      <c r="AJ125" s="91"/>
      <c r="AK125" s="91"/>
      <c r="AL125" s="92">
        <v>1</v>
      </c>
      <c r="AM125" s="92"/>
      <c r="AN125" s="93"/>
      <c r="AO125" s="92"/>
      <c r="AP125" s="147"/>
      <c r="AQ125" t="s">
        <v>479</v>
      </c>
      <c r="AS125">
        <v>1</v>
      </c>
    </row>
    <row r="126" spans="1:45">
      <c r="A126" s="8">
        <v>610015</v>
      </c>
      <c r="B126" s="8">
        <v>1001</v>
      </c>
      <c r="C126" s="8">
        <v>7</v>
      </c>
      <c r="D126" s="8">
        <v>1005</v>
      </c>
      <c r="E126" s="34" t="s">
        <v>482</v>
      </c>
      <c r="F126" s="13" t="s">
        <v>483</v>
      </c>
      <c r="G126" s="34" t="s">
        <v>484</v>
      </c>
      <c r="H126" s="34" t="s">
        <v>485</v>
      </c>
      <c r="I126" s="34">
        <v>1</v>
      </c>
      <c r="J126" s="69">
        <v>3</v>
      </c>
      <c r="K126" s="87">
        <v>3</v>
      </c>
      <c r="L126" s="8">
        <v>999</v>
      </c>
      <c r="M126" s="8">
        <v>0</v>
      </c>
      <c r="N126" s="8"/>
      <c r="O126" s="88">
        <v>111015</v>
      </c>
      <c r="P126" s="8" t="s">
        <v>438</v>
      </c>
      <c r="Q126" s="8"/>
      <c r="R126" s="34" t="s">
        <v>439</v>
      </c>
      <c r="S126" s="89">
        <v>0</v>
      </c>
      <c r="T126" s="8">
        <v>5</v>
      </c>
      <c r="U126" s="89">
        <v>140</v>
      </c>
      <c r="V126" s="87">
        <v>1</v>
      </c>
      <c r="W126" s="34">
        <v>1</v>
      </c>
      <c r="X126" s="8">
        <v>1</v>
      </c>
      <c r="Y126" s="34">
        <v>0</v>
      </c>
      <c r="Z126" s="33">
        <v>0</v>
      </c>
      <c r="AA126" s="34">
        <v>5</v>
      </c>
      <c r="AB126" s="34">
        <v>5320</v>
      </c>
      <c r="AC126" s="87">
        <v>603</v>
      </c>
      <c r="AD126" s="62">
        <v>0</v>
      </c>
      <c r="AE126" s="90">
        <v>0</v>
      </c>
      <c r="AF126" s="90">
        <v>0</v>
      </c>
      <c r="AG126" s="91"/>
      <c r="AH126" s="91">
        <v>1</v>
      </c>
      <c r="AI126" s="91"/>
      <c r="AJ126" s="91"/>
      <c r="AK126" s="91"/>
      <c r="AL126" s="92">
        <v>1</v>
      </c>
      <c r="AM126" s="92"/>
      <c r="AN126" s="93"/>
      <c r="AO126" s="92"/>
      <c r="AP126" s="147"/>
      <c r="AQ126" s="34" t="s">
        <v>482</v>
      </c>
      <c r="AS126" s="34">
        <v>1</v>
      </c>
    </row>
    <row r="127" s="34" customFormat="1" spans="1:45">
      <c r="A127" s="8">
        <v>610018</v>
      </c>
      <c r="B127" s="8">
        <v>1001</v>
      </c>
      <c r="C127" s="8">
        <v>7</v>
      </c>
      <c r="D127" s="8">
        <v>1005</v>
      </c>
      <c r="E127" s="34" t="s">
        <v>486</v>
      </c>
      <c r="F127" s="13" t="s">
        <v>486</v>
      </c>
      <c r="G127" s="34" t="s">
        <v>487</v>
      </c>
      <c r="H127" s="34" t="s">
        <v>488</v>
      </c>
      <c r="I127" s="34">
        <v>1</v>
      </c>
      <c r="J127" s="69">
        <v>3</v>
      </c>
      <c r="K127" s="87">
        <v>3</v>
      </c>
      <c r="L127" s="8">
        <v>999</v>
      </c>
      <c r="M127" s="8">
        <v>0</v>
      </c>
      <c r="N127" s="8"/>
      <c r="O127" s="88">
        <v>111018</v>
      </c>
      <c r="P127" s="8" t="s">
        <v>438</v>
      </c>
      <c r="Q127" s="8"/>
      <c r="R127" s="34" t="s">
        <v>439</v>
      </c>
      <c r="S127" s="89">
        <v>0</v>
      </c>
      <c r="T127" s="8">
        <v>5</v>
      </c>
      <c r="U127" s="89">
        <v>140</v>
      </c>
      <c r="V127" s="87">
        <v>1</v>
      </c>
      <c r="W127" s="34">
        <v>1</v>
      </c>
      <c r="X127" s="8">
        <v>1</v>
      </c>
      <c r="Y127" s="34">
        <v>0</v>
      </c>
      <c r="Z127" s="33">
        <v>0</v>
      </c>
      <c r="AA127" s="34">
        <v>5</v>
      </c>
      <c r="AB127" s="34">
        <v>5320</v>
      </c>
      <c r="AC127" s="87">
        <v>603</v>
      </c>
      <c r="AD127" s="62">
        <v>0</v>
      </c>
      <c r="AE127" s="90">
        <v>0</v>
      </c>
      <c r="AF127" s="90">
        <v>0</v>
      </c>
      <c r="AG127" s="91"/>
      <c r="AH127" s="91">
        <v>1</v>
      </c>
      <c r="AI127" s="91"/>
      <c r="AJ127" s="91"/>
      <c r="AK127" s="91"/>
      <c r="AL127" s="92">
        <v>1</v>
      </c>
      <c r="AM127" s="92"/>
      <c r="AN127" s="93"/>
      <c r="AO127" s="92"/>
      <c r="AP127" s="147"/>
      <c r="AQ127" s="34" t="s">
        <v>486</v>
      </c>
      <c r="AS127" s="34">
        <v>1</v>
      </c>
    </row>
    <row r="128" s="34" customFormat="1" ht="14.25" customHeight="1" spans="1:45">
      <c r="A128" s="8">
        <v>620001</v>
      </c>
      <c r="B128" s="8">
        <v>1001</v>
      </c>
      <c r="C128" s="8">
        <v>7</v>
      </c>
      <c r="D128" s="8">
        <v>1005</v>
      </c>
      <c r="E128" s="34" t="s">
        <v>489</v>
      </c>
      <c r="F128" s="13" t="s">
        <v>489</v>
      </c>
      <c r="G128" s="34" t="s">
        <v>490</v>
      </c>
      <c r="H128" s="34" t="s">
        <v>491</v>
      </c>
      <c r="I128" s="34">
        <v>1</v>
      </c>
      <c r="J128" s="69">
        <v>4</v>
      </c>
      <c r="K128" s="87">
        <v>3</v>
      </c>
      <c r="L128" s="8">
        <v>999</v>
      </c>
      <c r="M128" s="8">
        <v>0</v>
      </c>
      <c r="N128" s="8"/>
      <c r="O128" s="88">
        <v>112001</v>
      </c>
      <c r="P128" s="8" t="s">
        <v>438</v>
      </c>
      <c r="Q128" s="8"/>
      <c r="R128" s="34" t="s">
        <v>439</v>
      </c>
      <c r="S128" s="89">
        <v>0</v>
      </c>
      <c r="T128" s="8">
        <v>5</v>
      </c>
      <c r="U128" s="89">
        <v>170</v>
      </c>
      <c r="V128" s="87">
        <v>1</v>
      </c>
      <c r="W128" s="34">
        <v>1</v>
      </c>
      <c r="X128" s="8">
        <v>1</v>
      </c>
      <c r="Y128" s="34">
        <v>0</v>
      </c>
      <c r="Z128" s="33">
        <v>0</v>
      </c>
      <c r="AA128" s="34">
        <v>5</v>
      </c>
      <c r="AB128" s="34">
        <v>6460</v>
      </c>
      <c r="AC128" s="87">
        <v>602</v>
      </c>
      <c r="AD128" s="62">
        <v>0</v>
      </c>
      <c r="AE128" s="90">
        <v>0</v>
      </c>
      <c r="AF128" s="90">
        <v>0</v>
      </c>
      <c r="AG128" s="91"/>
      <c r="AH128" s="91">
        <v>1</v>
      </c>
      <c r="AI128" s="91"/>
      <c r="AJ128" s="91"/>
      <c r="AK128" s="91"/>
      <c r="AL128" s="92">
        <v>1</v>
      </c>
      <c r="AM128" s="92"/>
      <c r="AN128" s="93"/>
      <c r="AO128" s="92"/>
      <c r="AP128" s="86"/>
      <c r="AQ128" s="34" t="s">
        <v>489</v>
      </c>
      <c r="AS128" s="34">
        <v>1</v>
      </c>
    </row>
    <row r="129" s="34" customFormat="1" ht="14.25" customHeight="1" spans="1:45">
      <c r="A129" s="8">
        <v>620002</v>
      </c>
      <c r="B129" s="8">
        <v>1001</v>
      </c>
      <c r="C129" s="8">
        <v>7</v>
      </c>
      <c r="D129" s="8">
        <v>1005</v>
      </c>
      <c r="E129" s="34" t="s">
        <v>492</v>
      </c>
      <c r="F129" s="13" t="s">
        <v>492</v>
      </c>
      <c r="G129" s="34" t="s">
        <v>493</v>
      </c>
      <c r="H129" s="34" t="s">
        <v>494</v>
      </c>
      <c r="I129" s="34">
        <v>1</v>
      </c>
      <c r="J129" s="69">
        <v>4</v>
      </c>
      <c r="K129" s="87">
        <v>3</v>
      </c>
      <c r="L129" s="8">
        <v>999</v>
      </c>
      <c r="M129" s="8">
        <v>0</v>
      </c>
      <c r="N129" s="8"/>
      <c r="O129" s="88">
        <v>112002</v>
      </c>
      <c r="P129" s="8" t="s">
        <v>438</v>
      </c>
      <c r="Q129" s="8"/>
      <c r="R129" s="34" t="s">
        <v>439</v>
      </c>
      <c r="S129" s="89">
        <v>0</v>
      </c>
      <c r="T129" s="8">
        <v>5</v>
      </c>
      <c r="U129" s="89">
        <v>170</v>
      </c>
      <c r="V129" s="87">
        <v>1</v>
      </c>
      <c r="W129" s="34">
        <v>1</v>
      </c>
      <c r="X129" s="8">
        <v>1</v>
      </c>
      <c r="Y129" s="34">
        <v>0</v>
      </c>
      <c r="Z129" s="33">
        <v>0</v>
      </c>
      <c r="AA129" s="34">
        <v>5</v>
      </c>
      <c r="AB129" s="34">
        <v>6460</v>
      </c>
      <c r="AC129" s="87">
        <v>602</v>
      </c>
      <c r="AD129" s="62">
        <v>0</v>
      </c>
      <c r="AE129" s="90">
        <v>0</v>
      </c>
      <c r="AF129" s="90">
        <v>0</v>
      </c>
      <c r="AG129" s="91"/>
      <c r="AH129" s="91">
        <v>1</v>
      </c>
      <c r="AI129" s="91"/>
      <c r="AJ129" s="91"/>
      <c r="AK129" s="91"/>
      <c r="AL129" s="92">
        <v>1</v>
      </c>
      <c r="AM129" s="92"/>
      <c r="AN129" s="93"/>
      <c r="AO129" s="92"/>
      <c r="AP129" s="86"/>
      <c r="AQ129" s="34" t="s">
        <v>492</v>
      </c>
      <c r="AS129" s="34">
        <v>1</v>
      </c>
    </row>
    <row r="130" s="34" customFormat="1" ht="14.25" customHeight="1" spans="1:45">
      <c r="A130" s="8">
        <v>620003</v>
      </c>
      <c r="B130" s="8">
        <v>1001</v>
      </c>
      <c r="C130" s="8">
        <v>7</v>
      </c>
      <c r="D130" s="8">
        <v>1005</v>
      </c>
      <c r="E130" s="34" t="s">
        <v>495</v>
      </c>
      <c r="F130" s="13" t="s">
        <v>495</v>
      </c>
      <c r="G130" s="34" t="s">
        <v>496</v>
      </c>
      <c r="H130" s="34" t="s">
        <v>497</v>
      </c>
      <c r="I130" s="34">
        <v>1</v>
      </c>
      <c r="J130" s="69">
        <v>4</v>
      </c>
      <c r="K130" s="87">
        <v>3</v>
      </c>
      <c r="L130" s="8">
        <v>999</v>
      </c>
      <c r="M130" s="8">
        <v>0</v>
      </c>
      <c r="N130" s="8"/>
      <c r="O130" s="88">
        <v>112003</v>
      </c>
      <c r="P130" s="8" t="s">
        <v>438</v>
      </c>
      <c r="Q130" s="8"/>
      <c r="R130" s="34" t="s">
        <v>439</v>
      </c>
      <c r="S130" s="89">
        <v>0</v>
      </c>
      <c r="T130" s="8">
        <v>5</v>
      </c>
      <c r="U130" s="89">
        <v>170</v>
      </c>
      <c r="V130" s="87">
        <v>1</v>
      </c>
      <c r="W130" s="34">
        <v>1</v>
      </c>
      <c r="X130" s="8">
        <v>1</v>
      </c>
      <c r="Y130" s="34">
        <v>0</v>
      </c>
      <c r="Z130" s="33">
        <v>0</v>
      </c>
      <c r="AA130" s="34">
        <v>5</v>
      </c>
      <c r="AB130" s="34">
        <v>6460</v>
      </c>
      <c r="AC130" s="87">
        <v>602</v>
      </c>
      <c r="AD130" s="62">
        <v>0</v>
      </c>
      <c r="AE130" s="90">
        <v>0</v>
      </c>
      <c r="AF130" s="90">
        <v>0</v>
      </c>
      <c r="AG130" s="91"/>
      <c r="AH130" s="91">
        <v>1</v>
      </c>
      <c r="AI130" s="91"/>
      <c r="AJ130" s="91"/>
      <c r="AK130" s="91"/>
      <c r="AL130" s="92">
        <v>1</v>
      </c>
      <c r="AM130" s="92"/>
      <c r="AN130" s="93"/>
      <c r="AO130" s="92"/>
      <c r="AP130" s="86"/>
      <c r="AQ130" s="34" t="s">
        <v>495</v>
      </c>
      <c r="AS130" s="34">
        <v>1</v>
      </c>
    </row>
    <row r="131" s="34" customFormat="1" ht="14.25" customHeight="1" spans="1:45">
      <c r="A131" s="8">
        <v>620004</v>
      </c>
      <c r="B131" s="8">
        <v>1001</v>
      </c>
      <c r="C131" s="8">
        <v>7</v>
      </c>
      <c r="D131" s="8">
        <v>1005</v>
      </c>
      <c r="E131" s="34" t="s">
        <v>498</v>
      </c>
      <c r="F131" s="13" t="s">
        <v>498</v>
      </c>
      <c r="G131" s="34" t="s">
        <v>499</v>
      </c>
      <c r="H131" s="34" t="s">
        <v>500</v>
      </c>
      <c r="I131" s="34">
        <v>1</v>
      </c>
      <c r="J131" s="69">
        <v>4</v>
      </c>
      <c r="K131" s="87">
        <v>3</v>
      </c>
      <c r="L131" s="8">
        <v>999</v>
      </c>
      <c r="M131" s="8">
        <v>0</v>
      </c>
      <c r="N131" s="8"/>
      <c r="O131" s="88">
        <v>112004</v>
      </c>
      <c r="P131" s="8" t="s">
        <v>438</v>
      </c>
      <c r="Q131" s="8"/>
      <c r="R131" s="34" t="s">
        <v>439</v>
      </c>
      <c r="S131" s="89">
        <v>0</v>
      </c>
      <c r="T131" s="8">
        <v>5</v>
      </c>
      <c r="U131" s="89">
        <v>170</v>
      </c>
      <c r="V131" s="87">
        <v>1</v>
      </c>
      <c r="W131" s="34">
        <v>1</v>
      </c>
      <c r="X131" s="8">
        <v>1</v>
      </c>
      <c r="Y131" s="34">
        <v>0</v>
      </c>
      <c r="Z131" s="33">
        <v>0</v>
      </c>
      <c r="AA131" s="34">
        <v>5</v>
      </c>
      <c r="AB131" s="34">
        <v>6460</v>
      </c>
      <c r="AC131" s="87">
        <v>602</v>
      </c>
      <c r="AD131" s="62">
        <v>0</v>
      </c>
      <c r="AE131" s="90">
        <v>0</v>
      </c>
      <c r="AF131" s="90">
        <v>0</v>
      </c>
      <c r="AG131" s="91"/>
      <c r="AH131" s="91">
        <v>1</v>
      </c>
      <c r="AI131" s="91"/>
      <c r="AJ131" s="91"/>
      <c r="AK131" s="91"/>
      <c r="AL131" s="92">
        <v>1</v>
      </c>
      <c r="AM131" s="92"/>
      <c r="AN131" s="93"/>
      <c r="AO131" s="92"/>
      <c r="AP131" s="86"/>
      <c r="AQ131" s="34" t="s">
        <v>498</v>
      </c>
      <c r="AS131" s="34">
        <v>1</v>
      </c>
    </row>
    <row r="132" s="34" customFormat="1" ht="14.25" customHeight="1" spans="1:45">
      <c r="A132" s="8">
        <v>620005</v>
      </c>
      <c r="B132" s="8">
        <v>1001</v>
      </c>
      <c r="C132" s="8">
        <v>7</v>
      </c>
      <c r="D132" s="8">
        <v>1005</v>
      </c>
      <c r="E132" s="34" t="s">
        <v>501</v>
      </c>
      <c r="F132" s="13" t="s">
        <v>501</v>
      </c>
      <c r="G132" s="34" t="s">
        <v>502</v>
      </c>
      <c r="H132" s="117" t="s">
        <v>503</v>
      </c>
      <c r="I132" s="34">
        <v>1</v>
      </c>
      <c r="J132" s="69">
        <v>4</v>
      </c>
      <c r="K132" s="87">
        <v>3</v>
      </c>
      <c r="L132" s="8">
        <v>999</v>
      </c>
      <c r="M132" s="8">
        <v>0</v>
      </c>
      <c r="N132" s="8"/>
      <c r="O132" s="88">
        <v>112005</v>
      </c>
      <c r="P132" s="8" t="s">
        <v>438</v>
      </c>
      <c r="Q132" s="8"/>
      <c r="R132" s="34" t="s">
        <v>439</v>
      </c>
      <c r="S132" s="89">
        <v>0</v>
      </c>
      <c r="T132" s="8">
        <v>5</v>
      </c>
      <c r="U132" s="89">
        <v>170</v>
      </c>
      <c r="V132" s="87">
        <v>1</v>
      </c>
      <c r="W132" s="34">
        <v>1</v>
      </c>
      <c r="X132" s="8">
        <v>1</v>
      </c>
      <c r="Y132" s="34">
        <v>0</v>
      </c>
      <c r="Z132" s="33">
        <v>0</v>
      </c>
      <c r="AA132" s="34">
        <v>5</v>
      </c>
      <c r="AB132" s="34">
        <v>6460</v>
      </c>
      <c r="AC132" s="87">
        <v>602</v>
      </c>
      <c r="AD132" s="62">
        <v>0</v>
      </c>
      <c r="AE132" s="90">
        <v>0</v>
      </c>
      <c r="AF132" s="90">
        <v>0</v>
      </c>
      <c r="AG132" s="91"/>
      <c r="AH132" s="91">
        <v>1</v>
      </c>
      <c r="AI132" s="91"/>
      <c r="AJ132" s="91"/>
      <c r="AK132" s="91"/>
      <c r="AL132" s="92">
        <v>1</v>
      </c>
      <c r="AM132" s="92"/>
      <c r="AN132" s="93"/>
      <c r="AO132" s="92"/>
      <c r="AP132" s="86"/>
      <c r="AQ132" s="34" t="s">
        <v>501</v>
      </c>
      <c r="AS132" s="34">
        <v>1</v>
      </c>
    </row>
    <row r="133" s="34" customFormat="1" ht="14.25" customHeight="1" spans="1:45">
      <c r="A133" s="8">
        <v>620006</v>
      </c>
      <c r="B133" s="8">
        <v>1001</v>
      </c>
      <c r="C133" s="8">
        <v>7</v>
      </c>
      <c r="D133" s="8">
        <v>1005</v>
      </c>
      <c r="E133" s="34" t="s">
        <v>504</v>
      </c>
      <c r="F133" s="13" t="s">
        <v>504</v>
      </c>
      <c r="G133" s="34" t="s">
        <v>505</v>
      </c>
      <c r="H133" s="34" t="s">
        <v>506</v>
      </c>
      <c r="I133" s="34">
        <v>1</v>
      </c>
      <c r="J133" s="69">
        <v>4</v>
      </c>
      <c r="K133" s="87">
        <v>3</v>
      </c>
      <c r="L133" s="8">
        <v>999</v>
      </c>
      <c r="M133" s="8">
        <v>0</v>
      </c>
      <c r="N133" s="8"/>
      <c r="O133" s="88">
        <v>112006</v>
      </c>
      <c r="P133" s="8" t="s">
        <v>438</v>
      </c>
      <c r="Q133" s="8"/>
      <c r="R133" s="34" t="s">
        <v>439</v>
      </c>
      <c r="S133" s="89">
        <v>0</v>
      </c>
      <c r="T133" s="8">
        <v>5</v>
      </c>
      <c r="U133" s="89">
        <v>170</v>
      </c>
      <c r="V133" s="87">
        <v>1</v>
      </c>
      <c r="W133" s="34">
        <v>1</v>
      </c>
      <c r="X133" s="8">
        <v>1</v>
      </c>
      <c r="Y133" s="34">
        <v>0</v>
      </c>
      <c r="Z133" s="33">
        <v>0</v>
      </c>
      <c r="AA133" s="34">
        <v>5</v>
      </c>
      <c r="AB133" s="34">
        <v>6460</v>
      </c>
      <c r="AC133" s="87">
        <v>602</v>
      </c>
      <c r="AD133" s="62">
        <v>0</v>
      </c>
      <c r="AE133" s="90">
        <v>0</v>
      </c>
      <c r="AF133" s="90">
        <v>0</v>
      </c>
      <c r="AG133" s="91"/>
      <c r="AH133" s="91">
        <v>1</v>
      </c>
      <c r="AI133" s="91"/>
      <c r="AJ133" s="91"/>
      <c r="AK133" s="91"/>
      <c r="AL133" s="92">
        <v>1</v>
      </c>
      <c r="AM133" s="92"/>
      <c r="AN133" s="93"/>
      <c r="AO133" s="92"/>
      <c r="AP133" s="86"/>
      <c r="AQ133" s="34" t="s">
        <v>504</v>
      </c>
      <c r="AS133" s="34">
        <v>1</v>
      </c>
    </row>
    <row r="134" s="34" customFormat="1" ht="14.25" customHeight="1" spans="1:45">
      <c r="A134" s="8">
        <v>620007</v>
      </c>
      <c r="B134" s="8">
        <v>1001</v>
      </c>
      <c r="C134" s="8">
        <v>7</v>
      </c>
      <c r="D134" s="8">
        <v>1005</v>
      </c>
      <c r="E134" s="34" t="s">
        <v>507</v>
      </c>
      <c r="F134" s="13" t="s">
        <v>507</v>
      </c>
      <c r="G134" s="34" t="s">
        <v>508</v>
      </c>
      <c r="H134" s="34" t="s">
        <v>509</v>
      </c>
      <c r="I134" s="34">
        <v>1</v>
      </c>
      <c r="J134" s="69">
        <v>4</v>
      </c>
      <c r="K134" s="87">
        <v>3</v>
      </c>
      <c r="L134" s="8">
        <v>999</v>
      </c>
      <c r="M134" s="8">
        <v>0</v>
      </c>
      <c r="N134" s="8"/>
      <c r="O134" s="88">
        <v>112007</v>
      </c>
      <c r="P134" s="8" t="s">
        <v>438</v>
      </c>
      <c r="Q134" s="8"/>
      <c r="R134" s="34" t="s">
        <v>439</v>
      </c>
      <c r="S134" s="89">
        <v>0</v>
      </c>
      <c r="T134" s="8">
        <v>5</v>
      </c>
      <c r="U134" s="89">
        <v>170</v>
      </c>
      <c r="V134" s="87">
        <v>1</v>
      </c>
      <c r="W134" s="34">
        <v>1</v>
      </c>
      <c r="X134" s="8">
        <v>1</v>
      </c>
      <c r="Y134" s="34">
        <v>0</v>
      </c>
      <c r="Z134" s="33">
        <v>0</v>
      </c>
      <c r="AA134" s="34">
        <v>5</v>
      </c>
      <c r="AB134" s="34">
        <v>6460</v>
      </c>
      <c r="AC134" s="87">
        <v>602</v>
      </c>
      <c r="AD134" s="62">
        <v>0</v>
      </c>
      <c r="AE134" s="90">
        <v>0</v>
      </c>
      <c r="AF134" s="90">
        <v>0</v>
      </c>
      <c r="AG134" s="91"/>
      <c r="AH134" s="91">
        <v>1</v>
      </c>
      <c r="AI134" s="91"/>
      <c r="AJ134" s="91"/>
      <c r="AK134" s="91"/>
      <c r="AL134" s="92">
        <v>1</v>
      </c>
      <c r="AM134" s="92"/>
      <c r="AN134" s="93"/>
      <c r="AO134" s="92"/>
      <c r="AP134" s="86"/>
      <c r="AQ134" s="34" t="s">
        <v>507</v>
      </c>
      <c r="AS134" s="34">
        <v>1</v>
      </c>
    </row>
    <row r="135" s="34" customFormat="1" ht="14.25" customHeight="1" spans="1:45">
      <c r="A135" s="8">
        <v>620008</v>
      </c>
      <c r="B135" s="8">
        <v>1001</v>
      </c>
      <c r="C135" s="8">
        <v>7</v>
      </c>
      <c r="D135" s="8">
        <v>1005</v>
      </c>
      <c r="E135" s="34" t="s">
        <v>510</v>
      </c>
      <c r="F135" s="13" t="s">
        <v>510</v>
      </c>
      <c r="G135" s="34" t="s">
        <v>511</v>
      </c>
      <c r="H135" s="34" t="s">
        <v>512</v>
      </c>
      <c r="I135" s="34">
        <v>1</v>
      </c>
      <c r="J135" s="69">
        <v>4</v>
      </c>
      <c r="K135" s="87">
        <v>3</v>
      </c>
      <c r="L135" s="8">
        <v>999</v>
      </c>
      <c r="M135" s="8">
        <v>0</v>
      </c>
      <c r="N135" s="8"/>
      <c r="O135" s="88">
        <v>112008</v>
      </c>
      <c r="P135" s="8" t="s">
        <v>438</v>
      </c>
      <c r="Q135" s="8"/>
      <c r="R135" s="34" t="s">
        <v>439</v>
      </c>
      <c r="S135" s="89">
        <v>0</v>
      </c>
      <c r="T135" s="8">
        <v>5</v>
      </c>
      <c r="U135" s="89">
        <v>170</v>
      </c>
      <c r="V135" s="87">
        <v>1</v>
      </c>
      <c r="W135" s="34">
        <v>1</v>
      </c>
      <c r="X135" s="8">
        <v>1</v>
      </c>
      <c r="Y135" s="34">
        <v>0</v>
      </c>
      <c r="Z135" s="33">
        <v>0</v>
      </c>
      <c r="AA135" s="34">
        <v>5</v>
      </c>
      <c r="AB135" s="34">
        <v>6460</v>
      </c>
      <c r="AC135" s="87">
        <v>602</v>
      </c>
      <c r="AD135" s="62">
        <v>0</v>
      </c>
      <c r="AE135" s="90">
        <v>0</v>
      </c>
      <c r="AF135" s="90">
        <v>0</v>
      </c>
      <c r="AG135" s="91"/>
      <c r="AH135" s="91">
        <v>1</v>
      </c>
      <c r="AI135" s="91"/>
      <c r="AJ135" s="91"/>
      <c r="AK135" s="91"/>
      <c r="AL135" s="92">
        <v>1</v>
      </c>
      <c r="AM135" s="92"/>
      <c r="AN135" s="93"/>
      <c r="AO135" s="92"/>
      <c r="AP135" s="86"/>
      <c r="AQ135" s="34" t="s">
        <v>510</v>
      </c>
      <c r="AS135" s="34">
        <v>1</v>
      </c>
    </row>
    <row r="136" s="34" customFormat="1" ht="14.25" customHeight="1" spans="1:45">
      <c r="A136" s="8">
        <v>620009</v>
      </c>
      <c r="B136" s="8">
        <v>1001</v>
      </c>
      <c r="C136" s="8">
        <v>7</v>
      </c>
      <c r="D136" s="8">
        <v>1005</v>
      </c>
      <c r="E136" s="34" t="s">
        <v>513</v>
      </c>
      <c r="F136" s="13" t="s">
        <v>513</v>
      </c>
      <c r="G136" s="34" t="s">
        <v>514</v>
      </c>
      <c r="H136" s="34" t="s">
        <v>515</v>
      </c>
      <c r="I136" s="34">
        <v>1</v>
      </c>
      <c r="J136" s="69">
        <v>4</v>
      </c>
      <c r="K136" s="87">
        <v>3</v>
      </c>
      <c r="L136" s="8">
        <v>999</v>
      </c>
      <c r="M136" s="8">
        <v>0</v>
      </c>
      <c r="N136" s="8"/>
      <c r="O136" s="88">
        <v>112009</v>
      </c>
      <c r="P136" s="8" t="s">
        <v>438</v>
      </c>
      <c r="Q136" s="8"/>
      <c r="R136" s="34" t="s">
        <v>439</v>
      </c>
      <c r="S136" s="89">
        <v>0</v>
      </c>
      <c r="T136" s="8">
        <v>5</v>
      </c>
      <c r="U136" s="89">
        <v>170</v>
      </c>
      <c r="V136" s="87">
        <v>1</v>
      </c>
      <c r="W136" s="34">
        <v>1</v>
      </c>
      <c r="X136" s="8">
        <v>1</v>
      </c>
      <c r="Y136" s="34">
        <v>0</v>
      </c>
      <c r="Z136" s="33">
        <v>0</v>
      </c>
      <c r="AA136" s="34">
        <v>5</v>
      </c>
      <c r="AB136" s="34">
        <v>6460</v>
      </c>
      <c r="AC136" s="87">
        <v>602</v>
      </c>
      <c r="AD136" s="62">
        <v>0</v>
      </c>
      <c r="AE136" s="90">
        <v>0</v>
      </c>
      <c r="AF136" s="90">
        <v>0</v>
      </c>
      <c r="AG136" s="91"/>
      <c r="AH136" s="91">
        <v>1</v>
      </c>
      <c r="AI136" s="91"/>
      <c r="AJ136" s="91"/>
      <c r="AK136" s="91"/>
      <c r="AL136" s="92">
        <v>1</v>
      </c>
      <c r="AM136" s="92"/>
      <c r="AN136" s="93"/>
      <c r="AO136" s="92"/>
      <c r="AP136" s="86"/>
      <c r="AQ136" s="34" t="s">
        <v>513</v>
      </c>
      <c r="AS136" s="34">
        <v>1</v>
      </c>
    </row>
    <row r="137" s="34" customFormat="1" ht="14.25" customHeight="1" spans="1:45">
      <c r="A137" s="8">
        <v>620010</v>
      </c>
      <c r="B137" s="8">
        <v>1001</v>
      </c>
      <c r="C137" s="8">
        <v>7</v>
      </c>
      <c r="D137" s="8">
        <v>1005</v>
      </c>
      <c r="E137" s="34" t="s">
        <v>516</v>
      </c>
      <c r="F137" s="13" t="s">
        <v>517</v>
      </c>
      <c r="G137" s="34" t="s">
        <v>518</v>
      </c>
      <c r="H137" s="34" t="s">
        <v>519</v>
      </c>
      <c r="I137" s="34">
        <v>1</v>
      </c>
      <c r="J137" s="69">
        <v>4</v>
      </c>
      <c r="K137" s="87">
        <v>3</v>
      </c>
      <c r="L137" s="8">
        <v>999</v>
      </c>
      <c r="M137" s="8">
        <v>0</v>
      </c>
      <c r="N137" s="8"/>
      <c r="O137" s="88">
        <v>112010</v>
      </c>
      <c r="P137" s="8" t="s">
        <v>438</v>
      </c>
      <c r="Q137" s="8"/>
      <c r="R137" s="34" t="s">
        <v>439</v>
      </c>
      <c r="S137" s="89">
        <v>0</v>
      </c>
      <c r="T137" s="8">
        <v>5</v>
      </c>
      <c r="U137" s="89">
        <v>170</v>
      </c>
      <c r="V137" s="87">
        <v>1</v>
      </c>
      <c r="W137" s="34">
        <v>1</v>
      </c>
      <c r="X137" s="8">
        <v>1</v>
      </c>
      <c r="Y137" s="34">
        <v>0</v>
      </c>
      <c r="Z137" s="33">
        <v>0</v>
      </c>
      <c r="AA137" s="34">
        <v>5</v>
      </c>
      <c r="AB137" s="34">
        <v>6460</v>
      </c>
      <c r="AC137" s="87">
        <v>602</v>
      </c>
      <c r="AD137" s="62">
        <v>0</v>
      </c>
      <c r="AE137" s="90">
        <v>0</v>
      </c>
      <c r="AF137" s="90">
        <v>0</v>
      </c>
      <c r="AG137" s="91"/>
      <c r="AH137" s="91">
        <v>1</v>
      </c>
      <c r="AI137" s="91"/>
      <c r="AJ137" s="91"/>
      <c r="AK137" s="91"/>
      <c r="AL137" s="92">
        <v>1</v>
      </c>
      <c r="AM137" s="92"/>
      <c r="AN137" s="93"/>
      <c r="AO137" s="92"/>
      <c r="AP137" s="86"/>
      <c r="AQ137" s="34" t="s">
        <v>516</v>
      </c>
      <c r="AS137" s="34">
        <v>1</v>
      </c>
    </row>
    <row r="138" s="34" customFormat="1" ht="14.25" customHeight="1" spans="1:45">
      <c r="A138" s="8">
        <v>620011</v>
      </c>
      <c r="B138" s="8">
        <v>1001</v>
      </c>
      <c r="C138" s="8">
        <v>7</v>
      </c>
      <c r="D138" s="8">
        <v>1005</v>
      </c>
      <c r="E138" t="s">
        <v>520</v>
      </c>
      <c r="F138" s="13" t="s">
        <v>521</v>
      </c>
      <c r="G138" t="s">
        <v>522</v>
      </c>
      <c r="H138" t="s">
        <v>523</v>
      </c>
      <c r="I138">
        <v>1</v>
      </c>
      <c r="J138" s="69">
        <v>4</v>
      </c>
      <c r="K138" s="87">
        <v>3</v>
      </c>
      <c r="L138" s="8">
        <v>999</v>
      </c>
      <c r="M138" s="8">
        <v>0</v>
      </c>
      <c r="N138" s="8"/>
      <c r="O138" s="88">
        <v>112011</v>
      </c>
      <c r="P138" s="8" t="s">
        <v>438</v>
      </c>
      <c r="Q138" s="8"/>
      <c r="R138" t="s">
        <v>439</v>
      </c>
      <c r="S138" s="89">
        <v>0</v>
      </c>
      <c r="T138" s="8">
        <v>5</v>
      </c>
      <c r="U138" s="89">
        <v>170</v>
      </c>
      <c r="V138" s="87">
        <v>1</v>
      </c>
      <c r="W138">
        <v>1</v>
      </c>
      <c r="X138" s="8">
        <v>1</v>
      </c>
      <c r="Y138">
        <v>0</v>
      </c>
      <c r="Z138" s="33">
        <v>0</v>
      </c>
      <c r="AA138">
        <v>5</v>
      </c>
      <c r="AB138" s="34">
        <v>6460</v>
      </c>
      <c r="AC138" s="87">
        <v>602</v>
      </c>
      <c r="AD138" s="62">
        <v>0</v>
      </c>
      <c r="AE138" s="90">
        <v>0</v>
      </c>
      <c r="AF138" s="90">
        <v>0</v>
      </c>
      <c r="AG138" s="91"/>
      <c r="AH138" s="91">
        <v>1</v>
      </c>
      <c r="AI138" s="91"/>
      <c r="AJ138" s="91"/>
      <c r="AK138" s="91"/>
      <c r="AL138" s="92">
        <v>1</v>
      </c>
      <c r="AM138" s="92"/>
      <c r="AN138" s="93"/>
      <c r="AO138" s="92"/>
      <c r="AP138" s="86"/>
      <c r="AQ138" t="s">
        <v>520</v>
      </c>
      <c r="AS138">
        <v>1</v>
      </c>
    </row>
    <row r="139" ht="14.25" customHeight="1" spans="1:45">
      <c r="A139" s="8">
        <v>620012</v>
      </c>
      <c r="B139" s="8">
        <v>1001</v>
      </c>
      <c r="C139" s="8">
        <v>7</v>
      </c>
      <c r="D139" s="8">
        <v>1005</v>
      </c>
      <c r="E139" t="s">
        <v>524</v>
      </c>
      <c r="F139" s="13" t="s">
        <v>525</v>
      </c>
      <c r="G139" t="s">
        <v>526</v>
      </c>
      <c r="H139" t="s">
        <v>527</v>
      </c>
      <c r="I139">
        <v>1</v>
      </c>
      <c r="J139" s="69">
        <v>4</v>
      </c>
      <c r="K139" s="87">
        <v>3</v>
      </c>
      <c r="L139" s="8">
        <v>999</v>
      </c>
      <c r="M139" s="8">
        <v>0</v>
      </c>
      <c r="N139" s="8"/>
      <c r="O139" s="88">
        <v>112012</v>
      </c>
      <c r="P139" s="8" t="s">
        <v>438</v>
      </c>
      <c r="Q139" s="8"/>
      <c r="R139" t="s">
        <v>439</v>
      </c>
      <c r="S139" s="89">
        <v>0</v>
      </c>
      <c r="T139" s="8">
        <v>5</v>
      </c>
      <c r="U139" s="89">
        <v>170</v>
      </c>
      <c r="V139" s="87">
        <v>1</v>
      </c>
      <c r="W139">
        <v>1</v>
      </c>
      <c r="X139" s="8">
        <v>1</v>
      </c>
      <c r="Y139">
        <v>0</v>
      </c>
      <c r="Z139" s="33">
        <v>0</v>
      </c>
      <c r="AA139">
        <v>5</v>
      </c>
      <c r="AB139" s="34">
        <v>6460</v>
      </c>
      <c r="AC139" s="87">
        <v>602</v>
      </c>
      <c r="AD139" s="62">
        <v>0</v>
      </c>
      <c r="AE139" s="90">
        <v>0</v>
      </c>
      <c r="AF139" s="90">
        <v>0</v>
      </c>
      <c r="AG139" s="91"/>
      <c r="AH139" s="91">
        <v>1</v>
      </c>
      <c r="AI139" s="91"/>
      <c r="AJ139" s="91"/>
      <c r="AK139" s="91"/>
      <c r="AL139" s="92">
        <v>1</v>
      </c>
      <c r="AM139" s="92"/>
      <c r="AN139" s="93"/>
      <c r="AO139" s="92"/>
      <c r="AP139" s="86"/>
      <c r="AQ139" t="s">
        <v>524</v>
      </c>
      <c r="AS139">
        <v>1</v>
      </c>
    </row>
    <row r="140" ht="14.25" customHeight="1" spans="1:45">
      <c r="A140" s="8">
        <v>620013</v>
      </c>
      <c r="B140" s="8">
        <v>1001</v>
      </c>
      <c r="C140" s="8">
        <v>7</v>
      </c>
      <c r="D140" s="8">
        <v>1005</v>
      </c>
      <c r="E140" t="s">
        <v>528</v>
      </c>
      <c r="F140" s="13" t="s">
        <v>528</v>
      </c>
      <c r="G140" t="s">
        <v>529</v>
      </c>
      <c r="H140" t="s">
        <v>530</v>
      </c>
      <c r="I140">
        <v>1</v>
      </c>
      <c r="J140" s="69">
        <v>4</v>
      </c>
      <c r="K140" s="87">
        <v>3</v>
      </c>
      <c r="L140" s="8">
        <v>999</v>
      </c>
      <c r="M140" s="8">
        <v>0</v>
      </c>
      <c r="N140" s="8"/>
      <c r="O140" s="88">
        <v>112013</v>
      </c>
      <c r="P140" s="8" t="s">
        <v>438</v>
      </c>
      <c r="Q140" s="8"/>
      <c r="R140" t="s">
        <v>439</v>
      </c>
      <c r="S140" s="89">
        <v>0</v>
      </c>
      <c r="T140" s="8">
        <v>5</v>
      </c>
      <c r="U140" s="89">
        <v>170</v>
      </c>
      <c r="V140" s="87">
        <v>1</v>
      </c>
      <c r="W140">
        <v>1</v>
      </c>
      <c r="X140" s="8">
        <v>1</v>
      </c>
      <c r="Y140">
        <v>0</v>
      </c>
      <c r="Z140" s="33">
        <v>0</v>
      </c>
      <c r="AA140">
        <v>5</v>
      </c>
      <c r="AB140" s="34">
        <v>6460</v>
      </c>
      <c r="AC140" s="87">
        <v>602</v>
      </c>
      <c r="AD140" s="62">
        <v>0</v>
      </c>
      <c r="AE140" s="90">
        <v>0</v>
      </c>
      <c r="AF140" s="90">
        <v>0</v>
      </c>
      <c r="AG140" s="91"/>
      <c r="AH140" s="91">
        <v>1</v>
      </c>
      <c r="AI140" s="91"/>
      <c r="AJ140" s="91"/>
      <c r="AK140" s="91"/>
      <c r="AL140" s="92">
        <v>1</v>
      </c>
      <c r="AM140" s="92"/>
      <c r="AN140" s="93"/>
      <c r="AO140" s="92"/>
      <c r="AP140" s="86"/>
      <c r="AQ140" t="s">
        <v>528</v>
      </c>
      <c r="AS140">
        <v>1</v>
      </c>
    </row>
    <row r="141" ht="14.25" customHeight="1" spans="1:45">
      <c r="A141" s="8">
        <v>620014</v>
      </c>
      <c r="B141" s="8">
        <v>1001</v>
      </c>
      <c r="C141" s="8">
        <v>7</v>
      </c>
      <c r="D141" s="8">
        <v>1005</v>
      </c>
      <c r="E141" t="s">
        <v>531</v>
      </c>
      <c r="F141" s="13" t="s">
        <v>531</v>
      </c>
      <c r="G141" t="s">
        <v>532</v>
      </c>
      <c r="H141" t="s">
        <v>533</v>
      </c>
      <c r="I141">
        <v>1</v>
      </c>
      <c r="J141" s="69">
        <v>4</v>
      </c>
      <c r="K141" s="87">
        <v>3</v>
      </c>
      <c r="L141" s="8">
        <v>999</v>
      </c>
      <c r="M141" s="8">
        <v>0</v>
      </c>
      <c r="N141" s="8"/>
      <c r="O141" s="88">
        <v>112014</v>
      </c>
      <c r="P141" s="8" t="s">
        <v>438</v>
      </c>
      <c r="Q141" s="8"/>
      <c r="R141" t="s">
        <v>439</v>
      </c>
      <c r="S141" s="89">
        <v>0</v>
      </c>
      <c r="T141" s="8">
        <v>5</v>
      </c>
      <c r="U141" s="89">
        <v>170</v>
      </c>
      <c r="V141" s="87">
        <v>1</v>
      </c>
      <c r="W141">
        <v>1</v>
      </c>
      <c r="X141" s="8">
        <v>1</v>
      </c>
      <c r="Y141">
        <v>0</v>
      </c>
      <c r="Z141" s="33">
        <v>0</v>
      </c>
      <c r="AA141">
        <v>5</v>
      </c>
      <c r="AB141" s="34">
        <v>6460</v>
      </c>
      <c r="AC141" s="87">
        <v>602</v>
      </c>
      <c r="AD141" s="62">
        <v>0</v>
      </c>
      <c r="AE141" s="90">
        <v>0</v>
      </c>
      <c r="AF141" s="90">
        <v>0</v>
      </c>
      <c r="AG141" s="91"/>
      <c r="AH141" s="91">
        <v>1</v>
      </c>
      <c r="AI141" s="91"/>
      <c r="AJ141" s="91"/>
      <c r="AK141" s="91"/>
      <c r="AL141" s="92">
        <v>1</v>
      </c>
      <c r="AM141" s="92"/>
      <c r="AN141" s="93"/>
      <c r="AO141" s="92"/>
      <c r="AP141" s="86"/>
      <c r="AQ141" t="s">
        <v>531</v>
      </c>
      <c r="AS141">
        <v>1</v>
      </c>
    </row>
    <row r="142" ht="14.25" customHeight="1" spans="1:45">
      <c r="A142" s="8">
        <v>620015</v>
      </c>
      <c r="B142" s="8">
        <v>1001</v>
      </c>
      <c r="C142" s="8">
        <v>7</v>
      </c>
      <c r="D142" s="8">
        <v>1005</v>
      </c>
      <c r="E142" t="s">
        <v>534</v>
      </c>
      <c r="F142" s="13" t="s">
        <v>534</v>
      </c>
      <c r="G142" t="s">
        <v>535</v>
      </c>
      <c r="H142" t="s">
        <v>536</v>
      </c>
      <c r="I142">
        <v>1</v>
      </c>
      <c r="J142" s="69">
        <v>4</v>
      </c>
      <c r="K142" s="87">
        <v>3</v>
      </c>
      <c r="L142" s="8">
        <v>999</v>
      </c>
      <c r="M142" s="8">
        <v>0</v>
      </c>
      <c r="N142" s="8"/>
      <c r="O142" s="88">
        <v>112015</v>
      </c>
      <c r="P142" s="8" t="s">
        <v>438</v>
      </c>
      <c r="Q142" s="8"/>
      <c r="R142" t="s">
        <v>439</v>
      </c>
      <c r="S142" s="89">
        <v>0</v>
      </c>
      <c r="T142" s="8">
        <v>5</v>
      </c>
      <c r="U142" s="89">
        <v>170</v>
      </c>
      <c r="V142" s="87">
        <v>1</v>
      </c>
      <c r="W142">
        <v>1</v>
      </c>
      <c r="X142" s="8">
        <v>1</v>
      </c>
      <c r="Y142">
        <v>0</v>
      </c>
      <c r="Z142" s="33">
        <v>0</v>
      </c>
      <c r="AA142">
        <v>5</v>
      </c>
      <c r="AB142" s="34">
        <v>6460</v>
      </c>
      <c r="AC142" s="87">
        <v>602</v>
      </c>
      <c r="AD142" s="62">
        <v>0</v>
      </c>
      <c r="AE142" s="90">
        <v>0</v>
      </c>
      <c r="AF142" s="90">
        <v>0</v>
      </c>
      <c r="AG142" s="91"/>
      <c r="AH142" s="91">
        <v>1</v>
      </c>
      <c r="AI142" s="91"/>
      <c r="AJ142" s="91"/>
      <c r="AK142" s="91"/>
      <c r="AL142" s="92">
        <v>1</v>
      </c>
      <c r="AM142" s="92"/>
      <c r="AN142" s="93"/>
      <c r="AO142" s="92"/>
      <c r="AP142" s="86"/>
      <c r="AQ142" t="s">
        <v>534</v>
      </c>
      <c r="AS142">
        <v>1</v>
      </c>
    </row>
    <row r="143" ht="14.25" customHeight="1" spans="1:45">
      <c r="A143" s="8">
        <v>620016</v>
      </c>
      <c r="B143" s="8">
        <v>1001</v>
      </c>
      <c r="C143" s="8">
        <v>7</v>
      </c>
      <c r="D143" s="8">
        <v>1005</v>
      </c>
      <c r="E143" t="s">
        <v>537</v>
      </c>
      <c r="F143" s="13" t="s">
        <v>538</v>
      </c>
      <c r="G143" t="s">
        <v>539</v>
      </c>
      <c r="H143" t="s">
        <v>540</v>
      </c>
      <c r="I143">
        <v>1</v>
      </c>
      <c r="J143" s="69">
        <v>4</v>
      </c>
      <c r="K143" s="87">
        <v>3</v>
      </c>
      <c r="L143" s="8">
        <v>999</v>
      </c>
      <c r="M143" s="8">
        <v>0</v>
      </c>
      <c r="N143" s="8"/>
      <c r="O143" s="88">
        <v>112016</v>
      </c>
      <c r="P143" s="8" t="s">
        <v>438</v>
      </c>
      <c r="Q143" s="8"/>
      <c r="R143" t="s">
        <v>439</v>
      </c>
      <c r="S143" s="89">
        <v>0</v>
      </c>
      <c r="T143" s="8">
        <v>5</v>
      </c>
      <c r="U143" s="89">
        <v>170</v>
      </c>
      <c r="V143" s="87">
        <v>1</v>
      </c>
      <c r="W143">
        <v>1</v>
      </c>
      <c r="X143" s="8">
        <v>1</v>
      </c>
      <c r="Y143">
        <v>0</v>
      </c>
      <c r="Z143" s="33">
        <v>0</v>
      </c>
      <c r="AA143">
        <v>5</v>
      </c>
      <c r="AB143" s="34">
        <v>6460</v>
      </c>
      <c r="AC143" s="87">
        <v>602</v>
      </c>
      <c r="AD143" s="62">
        <v>0</v>
      </c>
      <c r="AE143" s="90">
        <v>0</v>
      </c>
      <c r="AF143" s="90">
        <v>0</v>
      </c>
      <c r="AG143" s="91"/>
      <c r="AH143" s="91">
        <v>1</v>
      </c>
      <c r="AI143" s="91"/>
      <c r="AJ143" s="91"/>
      <c r="AK143" s="91"/>
      <c r="AL143" s="92">
        <v>1</v>
      </c>
      <c r="AM143" s="92"/>
      <c r="AN143" s="93"/>
      <c r="AO143" s="92"/>
      <c r="AP143" s="86"/>
      <c r="AQ143" t="s">
        <v>537</v>
      </c>
      <c r="AS143">
        <v>1</v>
      </c>
    </row>
    <row r="144" ht="14.25" customHeight="1" spans="1:45">
      <c r="A144" s="8">
        <v>620017</v>
      </c>
      <c r="B144" s="8">
        <v>1001</v>
      </c>
      <c r="C144" s="8">
        <v>7</v>
      </c>
      <c r="D144" s="8">
        <v>1005</v>
      </c>
      <c r="E144" t="s">
        <v>541</v>
      </c>
      <c r="F144" s="13" t="s">
        <v>542</v>
      </c>
      <c r="G144" t="s">
        <v>543</v>
      </c>
      <c r="H144" t="s">
        <v>544</v>
      </c>
      <c r="I144">
        <v>1</v>
      </c>
      <c r="J144" s="69">
        <v>4</v>
      </c>
      <c r="K144" s="87">
        <v>3</v>
      </c>
      <c r="L144" s="8">
        <v>999</v>
      </c>
      <c r="M144" s="8">
        <v>0</v>
      </c>
      <c r="N144" s="8"/>
      <c r="O144" s="88">
        <v>112017</v>
      </c>
      <c r="P144" s="8" t="s">
        <v>438</v>
      </c>
      <c r="Q144" s="8"/>
      <c r="R144" t="s">
        <v>439</v>
      </c>
      <c r="S144" s="89">
        <v>0</v>
      </c>
      <c r="T144" s="8">
        <v>5</v>
      </c>
      <c r="U144" s="89">
        <v>170</v>
      </c>
      <c r="V144" s="87">
        <v>1</v>
      </c>
      <c r="W144">
        <v>1</v>
      </c>
      <c r="X144" s="8">
        <v>1</v>
      </c>
      <c r="Y144">
        <v>0</v>
      </c>
      <c r="Z144" s="33">
        <v>0</v>
      </c>
      <c r="AA144">
        <v>5</v>
      </c>
      <c r="AB144" s="34">
        <v>6460</v>
      </c>
      <c r="AC144" s="87">
        <v>602</v>
      </c>
      <c r="AD144" s="62">
        <v>0</v>
      </c>
      <c r="AE144" s="90">
        <v>0</v>
      </c>
      <c r="AF144" s="90">
        <v>0</v>
      </c>
      <c r="AG144" s="91"/>
      <c r="AH144" s="91">
        <v>1</v>
      </c>
      <c r="AI144" s="91"/>
      <c r="AJ144" s="91"/>
      <c r="AK144" s="91"/>
      <c r="AL144" s="92">
        <v>1</v>
      </c>
      <c r="AM144" s="92"/>
      <c r="AN144" s="93"/>
      <c r="AO144" s="92"/>
      <c r="AP144" s="86"/>
      <c r="AQ144" t="s">
        <v>541</v>
      </c>
      <c r="AS144">
        <v>1</v>
      </c>
    </row>
    <row r="145" ht="14.25" customHeight="1" spans="1:45">
      <c r="A145" s="8">
        <v>620018</v>
      </c>
      <c r="B145" s="8">
        <v>1001</v>
      </c>
      <c r="C145" s="8">
        <v>7</v>
      </c>
      <c r="D145" s="8">
        <v>1005</v>
      </c>
      <c r="E145" t="s">
        <v>545</v>
      </c>
      <c r="F145" s="13" t="s">
        <v>545</v>
      </c>
      <c r="G145" t="s">
        <v>546</v>
      </c>
      <c r="H145" t="s">
        <v>547</v>
      </c>
      <c r="I145">
        <v>1</v>
      </c>
      <c r="J145" s="69">
        <v>4</v>
      </c>
      <c r="K145" s="87">
        <v>3</v>
      </c>
      <c r="L145" s="8">
        <v>999</v>
      </c>
      <c r="M145" s="8">
        <v>0</v>
      </c>
      <c r="N145" s="8"/>
      <c r="O145" s="88">
        <v>112018</v>
      </c>
      <c r="P145" s="8" t="s">
        <v>438</v>
      </c>
      <c r="Q145" s="8"/>
      <c r="R145" t="s">
        <v>439</v>
      </c>
      <c r="S145" s="89">
        <v>0</v>
      </c>
      <c r="T145" s="8">
        <v>5</v>
      </c>
      <c r="U145" s="89">
        <v>170</v>
      </c>
      <c r="V145" s="87">
        <v>1</v>
      </c>
      <c r="W145">
        <v>1</v>
      </c>
      <c r="X145" s="8">
        <v>1</v>
      </c>
      <c r="Y145">
        <v>0</v>
      </c>
      <c r="Z145" s="33">
        <v>0</v>
      </c>
      <c r="AA145">
        <v>5</v>
      </c>
      <c r="AB145" s="34">
        <v>6460</v>
      </c>
      <c r="AC145" s="87">
        <v>602</v>
      </c>
      <c r="AD145" s="62">
        <v>0</v>
      </c>
      <c r="AE145" s="90">
        <v>0</v>
      </c>
      <c r="AF145" s="90">
        <v>0</v>
      </c>
      <c r="AG145" s="91"/>
      <c r="AH145" s="91">
        <v>1</v>
      </c>
      <c r="AI145" s="91"/>
      <c r="AJ145" s="91"/>
      <c r="AK145" s="91"/>
      <c r="AL145" s="92">
        <v>1</v>
      </c>
      <c r="AM145" s="92"/>
      <c r="AN145" s="93"/>
      <c r="AO145" s="92"/>
      <c r="AP145" s="86"/>
      <c r="AQ145" t="s">
        <v>545</v>
      </c>
      <c r="AS145">
        <v>1</v>
      </c>
    </row>
    <row r="146" ht="14.25" customHeight="1" spans="1:45">
      <c r="A146" s="8">
        <v>620019</v>
      </c>
      <c r="B146" s="8">
        <v>1001</v>
      </c>
      <c r="C146" s="8">
        <v>7</v>
      </c>
      <c r="D146" s="8">
        <v>1005</v>
      </c>
      <c r="E146" t="s">
        <v>548</v>
      </c>
      <c r="F146" s="13" t="s">
        <v>548</v>
      </c>
      <c r="G146" t="s">
        <v>549</v>
      </c>
      <c r="H146" t="s">
        <v>550</v>
      </c>
      <c r="I146">
        <v>1</v>
      </c>
      <c r="J146" s="69">
        <v>4</v>
      </c>
      <c r="K146" s="87">
        <v>3</v>
      </c>
      <c r="L146" s="8">
        <v>999</v>
      </c>
      <c r="M146" s="8">
        <v>0</v>
      </c>
      <c r="N146" s="8"/>
      <c r="O146" s="88">
        <v>112019</v>
      </c>
      <c r="P146" s="8" t="s">
        <v>438</v>
      </c>
      <c r="Q146" s="8"/>
      <c r="R146" t="s">
        <v>439</v>
      </c>
      <c r="S146" s="89">
        <v>0</v>
      </c>
      <c r="T146" s="8">
        <v>5</v>
      </c>
      <c r="U146" s="89">
        <v>170</v>
      </c>
      <c r="V146" s="87">
        <v>1</v>
      </c>
      <c r="W146">
        <v>1</v>
      </c>
      <c r="X146" s="8">
        <v>1</v>
      </c>
      <c r="Y146">
        <v>0</v>
      </c>
      <c r="Z146" s="33">
        <v>0</v>
      </c>
      <c r="AA146">
        <v>5</v>
      </c>
      <c r="AB146" s="34">
        <v>6460</v>
      </c>
      <c r="AC146" s="87">
        <v>602</v>
      </c>
      <c r="AD146" s="62">
        <v>0</v>
      </c>
      <c r="AE146" s="90">
        <v>0</v>
      </c>
      <c r="AF146" s="90">
        <v>0</v>
      </c>
      <c r="AG146" s="91"/>
      <c r="AH146" s="91">
        <v>1</v>
      </c>
      <c r="AI146" s="91"/>
      <c r="AJ146" s="91"/>
      <c r="AK146" s="91"/>
      <c r="AL146" s="92">
        <v>1</v>
      </c>
      <c r="AM146" s="92"/>
      <c r="AN146" s="93"/>
      <c r="AO146" s="92"/>
      <c r="AP146" s="86"/>
      <c r="AQ146" t="s">
        <v>548</v>
      </c>
      <c r="AS146">
        <v>1</v>
      </c>
    </row>
    <row r="147" ht="14.25" customHeight="1" spans="1:45">
      <c r="A147" s="8">
        <v>620020</v>
      </c>
      <c r="B147" s="8">
        <v>1001</v>
      </c>
      <c r="C147" s="8">
        <v>7</v>
      </c>
      <c r="D147" s="8">
        <v>1005</v>
      </c>
      <c r="E147" t="s">
        <v>551</v>
      </c>
      <c r="F147" s="13" t="s">
        <v>551</v>
      </c>
      <c r="G147" t="s">
        <v>552</v>
      </c>
      <c r="H147" t="s">
        <v>553</v>
      </c>
      <c r="I147">
        <v>1</v>
      </c>
      <c r="J147" s="69">
        <v>4</v>
      </c>
      <c r="K147" s="87">
        <v>3</v>
      </c>
      <c r="L147" s="8">
        <v>999</v>
      </c>
      <c r="M147" s="8">
        <v>0</v>
      </c>
      <c r="N147" s="8"/>
      <c r="O147" s="88">
        <v>112020</v>
      </c>
      <c r="P147" s="8" t="s">
        <v>438</v>
      </c>
      <c r="Q147" s="8"/>
      <c r="R147" t="s">
        <v>439</v>
      </c>
      <c r="S147" s="89">
        <v>0</v>
      </c>
      <c r="T147" s="8">
        <v>5</v>
      </c>
      <c r="U147" s="89">
        <v>170</v>
      </c>
      <c r="V147" s="87">
        <v>1</v>
      </c>
      <c r="W147">
        <v>1</v>
      </c>
      <c r="X147" s="8">
        <v>1</v>
      </c>
      <c r="Y147">
        <v>0</v>
      </c>
      <c r="Z147" s="33">
        <v>0</v>
      </c>
      <c r="AA147">
        <v>5</v>
      </c>
      <c r="AB147" s="34">
        <v>6460</v>
      </c>
      <c r="AC147" s="87">
        <v>602</v>
      </c>
      <c r="AD147" s="62">
        <v>0</v>
      </c>
      <c r="AE147" s="90">
        <v>0</v>
      </c>
      <c r="AF147" s="90">
        <v>0</v>
      </c>
      <c r="AG147" s="91"/>
      <c r="AH147" s="91">
        <v>1</v>
      </c>
      <c r="AI147" s="91"/>
      <c r="AJ147" s="91"/>
      <c r="AK147" s="91"/>
      <c r="AL147" s="92">
        <v>1</v>
      </c>
      <c r="AM147" s="92"/>
      <c r="AN147" s="93"/>
      <c r="AO147" s="92"/>
      <c r="AP147" s="86"/>
      <c r="AQ147" t="s">
        <v>551</v>
      </c>
      <c r="AS147">
        <v>1</v>
      </c>
    </row>
    <row r="148" ht="14.25" customHeight="1" spans="1:45">
      <c r="A148" s="8">
        <v>620021</v>
      </c>
      <c r="B148" s="8">
        <v>1001</v>
      </c>
      <c r="C148" s="8">
        <v>7</v>
      </c>
      <c r="D148" s="8">
        <v>1005</v>
      </c>
      <c r="E148" t="s">
        <v>554</v>
      </c>
      <c r="F148" s="13" t="s">
        <v>554</v>
      </c>
      <c r="G148" t="s">
        <v>555</v>
      </c>
      <c r="H148" t="s">
        <v>556</v>
      </c>
      <c r="I148">
        <v>1</v>
      </c>
      <c r="J148" s="69">
        <v>4</v>
      </c>
      <c r="K148" s="87">
        <v>3</v>
      </c>
      <c r="L148" s="8">
        <v>999</v>
      </c>
      <c r="M148" s="8">
        <v>0</v>
      </c>
      <c r="N148" s="8"/>
      <c r="O148" s="88">
        <v>112021</v>
      </c>
      <c r="P148" s="8" t="s">
        <v>438</v>
      </c>
      <c r="Q148" s="8"/>
      <c r="R148" t="s">
        <v>439</v>
      </c>
      <c r="S148" s="89">
        <v>0</v>
      </c>
      <c r="T148" s="8">
        <v>5</v>
      </c>
      <c r="U148" s="89">
        <v>170</v>
      </c>
      <c r="V148" s="87">
        <v>1</v>
      </c>
      <c r="W148">
        <v>1</v>
      </c>
      <c r="X148" s="8">
        <v>1</v>
      </c>
      <c r="Y148">
        <v>0</v>
      </c>
      <c r="Z148" s="33">
        <v>0</v>
      </c>
      <c r="AA148">
        <v>5</v>
      </c>
      <c r="AB148" s="34">
        <v>6460</v>
      </c>
      <c r="AC148" s="87">
        <v>602</v>
      </c>
      <c r="AD148" s="62">
        <v>0</v>
      </c>
      <c r="AE148" s="90">
        <v>0</v>
      </c>
      <c r="AF148" s="90">
        <v>0</v>
      </c>
      <c r="AG148" s="91"/>
      <c r="AH148" s="91">
        <v>1</v>
      </c>
      <c r="AI148" s="91"/>
      <c r="AJ148" s="91"/>
      <c r="AK148" s="91"/>
      <c r="AL148" s="92">
        <v>1</v>
      </c>
      <c r="AM148" s="92"/>
      <c r="AN148" s="93"/>
      <c r="AO148" s="92"/>
      <c r="AP148" s="86"/>
      <c r="AQ148" t="s">
        <v>554</v>
      </c>
      <c r="AS148">
        <v>1</v>
      </c>
    </row>
    <row r="149" ht="14.25" customHeight="1" spans="1:45">
      <c r="A149" s="8">
        <v>620022</v>
      </c>
      <c r="B149" s="8">
        <v>1001</v>
      </c>
      <c r="C149" s="8">
        <v>7</v>
      </c>
      <c r="D149" s="8">
        <v>1005</v>
      </c>
      <c r="E149" t="s">
        <v>557</v>
      </c>
      <c r="F149" s="13" t="s">
        <v>558</v>
      </c>
      <c r="G149" t="s">
        <v>559</v>
      </c>
      <c r="H149" t="s">
        <v>560</v>
      </c>
      <c r="I149">
        <v>1</v>
      </c>
      <c r="J149" s="69">
        <v>4</v>
      </c>
      <c r="K149" s="87">
        <v>3</v>
      </c>
      <c r="L149" s="8">
        <v>999</v>
      </c>
      <c r="M149" s="8">
        <v>0</v>
      </c>
      <c r="N149" s="8"/>
      <c r="O149" s="88">
        <v>112022</v>
      </c>
      <c r="P149" s="8" t="s">
        <v>438</v>
      </c>
      <c r="Q149" s="8"/>
      <c r="R149" t="s">
        <v>439</v>
      </c>
      <c r="S149" s="89">
        <v>0</v>
      </c>
      <c r="T149" s="8">
        <v>5</v>
      </c>
      <c r="U149" s="89">
        <v>170</v>
      </c>
      <c r="V149" s="87">
        <v>1</v>
      </c>
      <c r="W149">
        <v>1</v>
      </c>
      <c r="X149" s="8">
        <v>1</v>
      </c>
      <c r="Y149">
        <v>0</v>
      </c>
      <c r="Z149" s="33">
        <v>0</v>
      </c>
      <c r="AA149">
        <v>5</v>
      </c>
      <c r="AB149" s="34">
        <v>6460</v>
      </c>
      <c r="AC149" s="87">
        <v>602</v>
      </c>
      <c r="AD149" s="62">
        <v>0</v>
      </c>
      <c r="AE149" s="90">
        <v>0</v>
      </c>
      <c r="AF149" s="90">
        <v>0</v>
      </c>
      <c r="AG149" s="91"/>
      <c r="AH149" s="91">
        <v>1</v>
      </c>
      <c r="AI149" s="91"/>
      <c r="AJ149" s="91"/>
      <c r="AK149" s="91"/>
      <c r="AL149" s="92">
        <v>1</v>
      </c>
      <c r="AM149" s="92"/>
      <c r="AN149" s="93"/>
      <c r="AO149" s="92"/>
      <c r="AP149" s="86"/>
      <c r="AQ149" t="s">
        <v>557</v>
      </c>
      <c r="AS149">
        <v>1</v>
      </c>
    </row>
    <row r="150" ht="14.25" customHeight="1" spans="1:45">
      <c r="A150" s="8">
        <v>620023</v>
      </c>
      <c r="B150" s="8">
        <v>1001</v>
      </c>
      <c r="C150" s="8">
        <v>7</v>
      </c>
      <c r="D150" s="8">
        <v>1005</v>
      </c>
      <c r="E150" t="s">
        <v>561</v>
      </c>
      <c r="F150" s="13" t="s">
        <v>561</v>
      </c>
      <c r="G150" t="s">
        <v>562</v>
      </c>
      <c r="H150" t="s">
        <v>563</v>
      </c>
      <c r="I150">
        <v>1</v>
      </c>
      <c r="J150" s="69">
        <v>4</v>
      </c>
      <c r="K150" s="87">
        <v>3</v>
      </c>
      <c r="L150" s="8">
        <v>999</v>
      </c>
      <c r="M150" s="8">
        <v>0</v>
      </c>
      <c r="N150" s="8"/>
      <c r="O150" s="88">
        <v>112023</v>
      </c>
      <c r="P150" s="8" t="s">
        <v>438</v>
      </c>
      <c r="Q150" s="8"/>
      <c r="R150" t="s">
        <v>439</v>
      </c>
      <c r="S150" s="89">
        <v>0</v>
      </c>
      <c r="T150" s="8">
        <v>5</v>
      </c>
      <c r="U150" s="89">
        <v>170</v>
      </c>
      <c r="V150" s="87">
        <v>1</v>
      </c>
      <c r="W150">
        <v>1</v>
      </c>
      <c r="X150" s="8">
        <v>1</v>
      </c>
      <c r="Y150">
        <v>0</v>
      </c>
      <c r="Z150" s="33">
        <v>0</v>
      </c>
      <c r="AA150">
        <v>5</v>
      </c>
      <c r="AB150" s="34">
        <v>6460</v>
      </c>
      <c r="AC150" s="87">
        <v>602</v>
      </c>
      <c r="AD150" s="62">
        <v>0</v>
      </c>
      <c r="AE150" s="90">
        <v>0</v>
      </c>
      <c r="AF150" s="90">
        <v>0</v>
      </c>
      <c r="AG150" s="91"/>
      <c r="AH150" s="91">
        <v>1</v>
      </c>
      <c r="AI150" s="91"/>
      <c r="AJ150" s="91"/>
      <c r="AK150" s="91"/>
      <c r="AL150" s="92">
        <v>1</v>
      </c>
      <c r="AM150" s="92"/>
      <c r="AN150" s="93"/>
      <c r="AO150" s="92"/>
      <c r="AP150" s="86"/>
      <c r="AQ150" t="s">
        <v>561</v>
      </c>
      <c r="AS150">
        <v>1</v>
      </c>
    </row>
    <row r="151" ht="14.25" customHeight="1" spans="1:45">
      <c r="A151" s="8">
        <v>620024</v>
      </c>
      <c r="B151" s="8">
        <v>1001</v>
      </c>
      <c r="C151" s="8">
        <v>7</v>
      </c>
      <c r="D151" s="8">
        <v>1005</v>
      </c>
      <c r="E151" t="s">
        <v>564</v>
      </c>
      <c r="F151" s="13" t="s">
        <v>564</v>
      </c>
      <c r="G151" t="s">
        <v>565</v>
      </c>
      <c r="H151" t="s">
        <v>566</v>
      </c>
      <c r="I151">
        <v>1</v>
      </c>
      <c r="J151" s="69">
        <v>4</v>
      </c>
      <c r="K151" s="87">
        <v>3</v>
      </c>
      <c r="L151" s="8">
        <v>999</v>
      </c>
      <c r="M151" s="8">
        <v>0</v>
      </c>
      <c r="N151" s="8"/>
      <c r="O151" s="88">
        <v>112024</v>
      </c>
      <c r="P151" s="8" t="s">
        <v>438</v>
      </c>
      <c r="Q151" s="8"/>
      <c r="R151" t="s">
        <v>439</v>
      </c>
      <c r="S151" s="89">
        <v>0</v>
      </c>
      <c r="T151" s="8">
        <v>5</v>
      </c>
      <c r="U151" s="89">
        <v>170</v>
      </c>
      <c r="V151" s="87">
        <v>1</v>
      </c>
      <c r="W151">
        <v>1</v>
      </c>
      <c r="X151" s="8">
        <v>1</v>
      </c>
      <c r="Y151">
        <v>0</v>
      </c>
      <c r="Z151" s="33">
        <v>0</v>
      </c>
      <c r="AA151">
        <v>5</v>
      </c>
      <c r="AB151" s="34">
        <v>6460</v>
      </c>
      <c r="AC151" s="87">
        <v>602</v>
      </c>
      <c r="AD151" s="62">
        <v>0</v>
      </c>
      <c r="AE151" s="90">
        <v>0</v>
      </c>
      <c r="AF151" s="90">
        <v>0</v>
      </c>
      <c r="AG151" s="91"/>
      <c r="AH151" s="91">
        <v>1</v>
      </c>
      <c r="AI151" s="91"/>
      <c r="AJ151" s="91"/>
      <c r="AK151" s="91"/>
      <c r="AL151" s="92">
        <v>1</v>
      </c>
      <c r="AM151" s="92"/>
      <c r="AN151" s="93"/>
      <c r="AO151" s="92"/>
      <c r="AP151" s="86"/>
      <c r="AQ151" t="s">
        <v>564</v>
      </c>
      <c r="AS151">
        <v>1</v>
      </c>
    </row>
    <row r="152" ht="14.25" customHeight="1" spans="1:45">
      <c r="A152" s="8">
        <v>620025</v>
      </c>
      <c r="B152" s="8">
        <v>1001</v>
      </c>
      <c r="C152" s="8">
        <v>7</v>
      </c>
      <c r="D152" s="8">
        <v>1005</v>
      </c>
      <c r="E152" t="s">
        <v>567</v>
      </c>
      <c r="F152" s="13" t="s">
        <v>567</v>
      </c>
      <c r="G152" t="s">
        <v>568</v>
      </c>
      <c r="H152" t="s">
        <v>569</v>
      </c>
      <c r="I152">
        <v>1</v>
      </c>
      <c r="J152" s="69">
        <v>4</v>
      </c>
      <c r="K152" s="87">
        <v>3</v>
      </c>
      <c r="L152" s="8">
        <v>999</v>
      </c>
      <c r="M152" s="8">
        <v>0</v>
      </c>
      <c r="N152" s="8"/>
      <c r="O152" s="88">
        <v>112025</v>
      </c>
      <c r="P152" s="8" t="s">
        <v>438</v>
      </c>
      <c r="Q152" s="8"/>
      <c r="R152" t="s">
        <v>439</v>
      </c>
      <c r="S152" s="89">
        <v>0</v>
      </c>
      <c r="T152" s="8">
        <v>5</v>
      </c>
      <c r="U152" s="89">
        <v>170</v>
      </c>
      <c r="V152" s="87">
        <v>1</v>
      </c>
      <c r="W152">
        <v>1</v>
      </c>
      <c r="X152" s="8">
        <v>1</v>
      </c>
      <c r="Y152">
        <v>0</v>
      </c>
      <c r="Z152" s="33">
        <v>0</v>
      </c>
      <c r="AA152">
        <v>5</v>
      </c>
      <c r="AB152" s="34">
        <v>6460</v>
      </c>
      <c r="AC152" s="87">
        <v>602</v>
      </c>
      <c r="AD152" s="62">
        <v>0</v>
      </c>
      <c r="AE152" s="90">
        <v>0</v>
      </c>
      <c r="AF152" s="90">
        <v>0</v>
      </c>
      <c r="AG152" s="91"/>
      <c r="AH152" s="91">
        <v>1</v>
      </c>
      <c r="AI152" s="91"/>
      <c r="AJ152" s="91"/>
      <c r="AK152" s="91"/>
      <c r="AL152" s="92">
        <v>1</v>
      </c>
      <c r="AM152" s="92"/>
      <c r="AN152" s="93"/>
      <c r="AO152" s="92"/>
      <c r="AP152" s="86"/>
      <c r="AQ152" t="s">
        <v>567</v>
      </c>
      <c r="AS152">
        <v>1</v>
      </c>
    </row>
    <row r="153" ht="14.25" customHeight="1" spans="1:45">
      <c r="A153" s="8">
        <v>620026</v>
      </c>
      <c r="B153" s="8">
        <v>1001</v>
      </c>
      <c r="C153" s="8">
        <v>7</v>
      </c>
      <c r="D153" s="8">
        <v>1005</v>
      </c>
      <c r="E153" t="s">
        <v>570</v>
      </c>
      <c r="F153" s="13" t="s">
        <v>570</v>
      </c>
      <c r="G153" t="s">
        <v>571</v>
      </c>
      <c r="H153" t="s">
        <v>572</v>
      </c>
      <c r="I153">
        <v>1</v>
      </c>
      <c r="J153" s="69">
        <v>4</v>
      </c>
      <c r="K153" s="87">
        <v>3</v>
      </c>
      <c r="L153" s="8">
        <v>999</v>
      </c>
      <c r="M153" s="8">
        <v>0</v>
      </c>
      <c r="N153" s="8"/>
      <c r="O153" s="88">
        <v>112026</v>
      </c>
      <c r="P153" s="8" t="s">
        <v>438</v>
      </c>
      <c r="Q153" s="8"/>
      <c r="R153" t="s">
        <v>439</v>
      </c>
      <c r="S153" s="89">
        <v>0</v>
      </c>
      <c r="T153" s="8">
        <v>5</v>
      </c>
      <c r="U153" s="89">
        <v>170</v>
      </c>
      <c r="V153" s="87">
        <v>1</v>
      </c>
      <c r="W153">
        <v>1</v>
      </c>
      <c r="X153" s="8">
        <v>1</v>
      </c>
      <c r="Y153">
        <v>0</v>
      </c>
      <c r="Z153" s="33">
        <v>0</v>
      </c>
      <c r="AA153">
        <v>5</v>
      </c>
      <c r="AB153" s="34">
        <v>6460</v>
      </c>
      <c r="AC153" s="87">
        <v>602</v>
      </c>
      <c r="AD153" s="62">
        <v>0</v>
      </c>
      <c r="AE153" s="90">
        <v>0</v>
      </c>
      <c r="AF153" s="90">
        <v>0</v>
      </c>
      <c r="AG153" s="91"/>
      <c r="AH153" s="91">
        <v>1</v>
      </c>
      <c r="AI153" s="91"/>
      <c r="AJ153" s="91"/>
      <c r="AK153" s="91"/>
      <c r="AL153" s="92">
        <v>1</v>
      </c>
      <c r="AM153" s="92"/>
      <c r="AN153" s="93"/>
      <c r="AO153" s="92"/>
      <c r="AP153" s="86"/>
      <c r="AQ153" t="s">
        <v>570</v>
      </c>
      <c r="AS153">
        <v>1</v>
      </c>
    </row>
    <row r="154" ht="14.25" customHeight="1" spans="1:45">
      <c r="A154" s="8">
        <v>620027</v>
      </c>
      <c r="B154" s="8">
        <v>1001</v>
      </c>
      <c r="C154" s="8">
        <v>7</v>
      </c>
      <c r="D154" s="8">
        <v>1005</v>
      </c>
      <c r="E154" t="s">
        <v>573</v>
      </c>
      <c r="F154" s="13" t="s">
        <v>573</v>
      </c>
      <c r="G154" t="s">
        <v>574</v>
      </c>
      <c r="H154" t="s">
        <v>575</v>
      </c>
      <c r="I154">
        <v>1</v>
      </c>
      <c r="J154" s="69">
        <v>4</v>
      </c>
      <c r="K154" s="87">
        <v>3</v>
      </c>
      <c r="L154" s="8">
        <v>999</v>
      </c>
      <c r="M154" s="8">
        <v>0</v>
      </c>
      <c r="N154" s="8"/>
      <c r="O154" s="88">
        <v>112027</v>
      </c>
      <c r="P154" s="8" t="s">
        <v>438</v>
      </c>
      <c r="Q154" s="8"/>
      <c r="R154" t="s">
        <v>439</v>
      </c>
      <c r="S154" s="89">
        <v>0</v>
      </c>
      <c r="T154" s="8">
        <v>5</v>
      </c>
      <c r="U154" s="89">
        <v>170</v>
      </c>
      <c r="V154" s="87">
        <v>1</v>
      </c>
      <c r="W154">
        <v>1</v>
      </c>
      <c r="X154" s="8">
        <v>1</v>
      </c>
      <c r="Y154">
        <v>0</v>
      </c>
      <c r="Z154" s="33">
        <v>0</v>
      </c>
      <c r="AA154">
        <v>5</v>
      </c>
      <c r="AB154" s="34">
        <v>6460</v>
      </c>
      <c r="AC154" s="87">
        <v>602</v>
      </c>
      <c r="AD154" s="62">
        <v>0</v>
      </c>
      <c r="AE154" s="90">
        <v>0</v>
      </c>
      <c r="AF154" s="90">
        <v>0</v>
      </c>
      <c r="AG154" s="91"/>
      <c r="AH154" s="91">
        <v>1</v>
      </c>
      <c r="AI154" s="91"/>
      <c r="AJ154" s="91"/>
      <c r="AK154" s="91"/>
      <c r="AL154" s="92">
        <v>1</v>
      </c>
      <c r="AM154" s="92"/>
      <c r="AN154" s="93"/>
      <c r="AO154" s="92"/>
      <c r="AP154" s="86"/>
      <c r="AS154">
        <v>1</v>
      </c>
    </row>
    <row r="155" ht="14.25" customHeight="1" spans="1:45">
      <c r="A155" s="8">
        <v>620028</v>
      </c>
      <c r="B155" s="8">
        <v>1001</v>
      </c>
      <c r="C155" s="8">
        <v>7</v>
      </c>
      <c r="D155" s="8">
        <v>1005</v>
      </c>
      <c r="E155" t="s">
        <v>576</v>
      </c>
      <c r="F155" s="13" t="s">
        <v>576</v>
      </c>
      <c r="G155" t="s">
        <v>577</v>
      </c>
      <c r="H155" t="s">
        <v>578</v>
      </c>
      <c r="I155">
        <v>1</v>
      </c>
      <c r="J155" s="69">
        <v>5</v>
      </c>
      <c r="K155" s="87">
        <v>3</v>
      </c>
      <c r="L155" s="8">
        <v>999</v>
      </c>
      <c r="M155" s="8">
        <v>0</v>
      </c>
      <c r="N155" s="8"/>
      <c r="O155" s="88">
        <v>112028</v>
      </c>
      <c r="P155" s="8" t="s">
        <v>438</v>
      </c>
      <c r="Q155" s="8"/>
      <c r="R155" t="s">
        <v>439</v>
      </c>
      <c r="S155" s="89">
        <v>0</v>
      </c>
      <c r="T155" s="8">
        <v>5</v>
      </c>
      <c r="U155" s="89">
        <v>200</v>
      </c>
      <c r="V155" s="87">
        <v>1</v>
      </c>
      <c r="W155">
        <v>1</v>
      </c>
      <c r="X155" s="8">
        <v>1</v>
      </c>
      <c r="Y155">
        <v>0</v>
      </c>
      <c r="Z155" s="33">
        <v>0</v>
      </c>
      <c r="AA155">
        <v>5</v>
      </c>
      <c r="AB155" s="34">
        <v>7600</v>
      </c>
      <c r="AC155" s="87">
        <v>601</v>
      </c>
      <c r="AD155" s="62">
        <v>0</v>
      </c>
      <c r="AE155" s="90">
        <v>0</v>
      </c>
      <c r="AF155" s="90">
        <v>0</v>
      </c>
      <c r="AG155" s="91"/>
      <c r="AH155" s="91">
        <v>1</v>
      </c>
      <c r="AI155" s="91"/>
      <c r="AJ155" s="91"/>
      <c r="AK155" s="91"/>
      <c r="AL155" s="92">
        <v>1</v>
      </c>
      <c r="AM155" s="92"/>
      <c r="AN155" s="93"/>
      <c r="AO155" s="92"/>
      <c r="AP155" s="86"/>
      <c r="AS155">
        <v>1</v>
      </c>
    </row>
    <row r="156" ht="14.25" customHeight="1" spans="1:45">
      <c r="A156" s="8">
        <v>630001</v>
      </c>
      <c r="B156" s="8">
        <v>1001</v>
      </c>
      <c r="C156" s="8">
        <v>7</v>
      </c>
      <c r="D156" s="8">
        <v>1005</v>
      </c>
      <c r="E156" t="s">
        <v>579</v>
      </c>
      <c r="F156" s="13" t="s">
        <v>580</v>
      </c>
      <c r="G156" t="s">
        <v>581</v>
      </c>
      <c r="H156" t="s">
        <v>582</v>
      </c>
      <c r="I156">
        <v>1</v>
      </c>
      <c r="J156" s="69">
        <v>5</v>
      </c>
      <c r="K156" s="87">
        <v>3</v>
      </c>
      <c r="L156" s="8">
        <v>999</v>
      </c>
      <c r="M156" s="8">
        <v>0</v>
      </c>
      <c r="N156" s="8"/>
      <c r="O156" s="88">
        <v>113001</v>
      </c>
      <c r="P156" s="8" t="s">
        <v>438</v>
      </c>
      <c r="Q156" s="8"/>
      <c r="R156" t="s">
        <v>439</v>
      </c>
      <c r="S156" s="89">
        <v>0</v>
      </c>
      <c r="T156" s="8">
        <v>5</v>
      </c>
      <c r="U156" s="89">
        <v>200</v>
      </c>
      <c r="V156" s="87">
        <v>1</v>
      </c>
      <c r="W156">
        <v>1</v>
      </c>
      <c r="X156" s="8">
        <v>1</v>
      </c>
      <c r="Y156">
        <v>0</v>
      </c>
      <c r="Z156" s="33">
        <v>0</v>
      </c>
      <c r="AA156">
        <v>5</v>
      </c>
      <c r="AB156" s="34">
        <v>7600</v>
      </c>
      <c r="AC156" s="87">
        <v>601</v>
      </c>
      <c r="AD156" s="62">
        <v>0</v>
      </c>
      <c r="AE156" s="90">
        <v>0</v>
      </c>
      <c r="AF156" s="90">
        <v>0</v>
      </c>
      <c r="AG156" s="91"/>
      <c r="AH156" s="91">
        <v>1</v>
      </c>
      <c r="AI156" s="91"/>
      <c r="AJ156" s="91"/>
      <c r="AK156" s="91"/>
      <c r="AL156" s="92">
        <v>1</v>
      </c>
      <c r="AM156" s="92"/>
      <c r="AN156" s="93"/>
      <c r="AO156" s="92"/>
      <c r="AP156" s="147"/>
      <c r="AQ156" t="s">
        <v>579</v>
      </c>
      <c r="AS156">
        <v>1</v>
      </c>
    </row>
    <row r="157" spans="1:45">
      <c r="A157" s="8">
        <v>630002</v>
      </c>
      <c r="B157" s="8">
        <v>1001</v>
      </c>
      <c r="C157" s="8">
        <v>7</v>
      </c>
      <c r="D157" s="8">
        <v>1005</v>
      </c>
      <c r="E157" t="s">
        <v>583</v>
      </c>
      <c r="F157" s="13" t="s">
        <v>583</v>
      </c>
      <c r="G157" t="s">
        <v>584</v>
      </c>
      <c r="H157" t="s">
        <v>585</v>
      </c>
      <c r="I157">
        <v>1</v>
      </c>
      <c r="J157" s="69">
        <v>5</v>
      </c>
      <c r="K157" s="87">
        <v>3</v>
      </c>
      <c r="L157" s="8">
        <v>999</v>
      </c>
      <c r="M157" s="8">
        <v>0</v>
      </c>
      <c r="N157" s="8"/>
      <c r="O157" s="88">
        <v>113002</v>
      </c>
      <c r="P157" s="8" t="s">
        <v>438</v>
      </c>
      <c r="Q157" s="8"/>
      <c r="R157" t="s">
        <v>439</v>
      </c>
      <c r="S157" s="89">
        <v>0</v>
      </c>
      <c r="T157" s="8">
        <v>5</v>
      </c>
      <c r="U157" s="89">
        <v>200</v>
      </c>
      <c r="V157" s="87">
        <v>1</v>
      </c>
      <c r="W157">
        <v>1</v>
      </c>
      <c r="X157" s="8">
        <v>1</v>
      </c>
      <c r="Y157">
        <v>0</v>
      </c>
      <c r="Z157" s="33">
        <v>0</v>
      </c>
      <c r="AA157">
        <v>5</v>
      </c>
      <c r="AB157" s="34">
        <v>7600</v>
      </c>
      <c r="AC157" s="87">
        <v>601</v>
      </c>
      <c r="AD157" s="62">
        <v>0</v>
      </c>
      <c r="AE157" s="90">
        <v>0</v>
      </c>
      <c r="AF157" s="90">
        <v>0</v>
      </c>
      <c r="AG157" s="91"/>
      <c r="AH157" s="91">
        <v>1</v>
      </c>
      <c r="AI157" s="91"/>
      <c r="AJ157" s="91"/>
      <c r="AK157" s="91"/>
      <c r="AL157" s="92">
        <v>1</v>
      </c>
      <c r="AM157" s="92"/>
      <c r="AN157" s="93"/>
      <c r="AO157" s="92"/>
      <c r="AP157" s="147"/>
      <c r="AQ157" t="s">
        <v>583</v>
      </c>
      <c r="AS157">
        <v>1</v>
      </c>
    </row>
    <row r="158" spans="1:45">
      <c r="A158" s="8">
        <v>630003</v>
      </c>
      <c r="B158" s="8">
        <v>1001</v>
      </c>
      <c r="C158" s="8">
        <v>7</v>
      </c>
      <c r="D158" s="8">
        <v>1005</v>
      </c>
      <c r="E158" t="s">
        <v>586</v>
      </c>
      <c r="F158" s="13" t="s">
        <v>586</v>
      </c>
      <c r="G158" t="s">
        <v>587</v>
      </c>
      <c r="H158" t="s">
        <v>588</v>
      </c>
      <c r="I158">
        <v>1</v>
      </c>
      <c r="J158" s="69">
        <v>5</v>
      </c>
      <c r="K158" s="87">
        <v>3</v>
      </c>
      <c r="L158" s="8">
        <v>999</v>
      </c>
      <c r="M158" s="8">
        <v>0</v>
      </c>
      <c r="N158" s="8"/>
      <c r="O158" s="88">
        <v>113003</v>
      </c>
      <c r="P158" s="8" t="s">
        <v>438</v>
      </c>
      <c r="Q158" s="8"/>
      <c r="R158" t="s">
        <v>439</v>
      </c>
      <c r="S158" s="89">
        <v>0</v>
      </c>
      <c r="T158" s="8">
        <v>5</v>
      </c>
      <c r="U158" s="89">
        <v>200</v>
      </c>
      <c r="V158" s="87">
        <v>1</v>
      </c>
      <c r="W158">
        <v>1</v>
      </c>
      <c r="X158" s="8">
        <v>1</v>
      </c>
      <c r="Y158">
        <v>0</v>
      </c>
      <c r="Z158" s="33">
        <v>0</v>
      </c>
      <c r="AA158">
        <v>5</v>
      </c>
      <c r="AB158" s="34">
        <v>7600</v>
      </c>
      <c r="AC158" s="87">
        <v>601</v>
      </c>
      <c r="AD158" s="62">
        <v>0</v>
      </c>
      <c r="AE158" s="90">
        <v>0</v>
      </c>
      <c r="AF158" s="90">
        <v>0</v>
      </c>
      <c r="AG158" s="91"/>
      <c r="AH158" s="91">
        <v>1</v>
      </c>
      <c r="AI158" s="91"/>
      <c r="AJ158" s="91"/>
      <c r="AK158" s="91"/>
      <c r="AL158" s="92">
        <v>1</v>
      </c>
      <c r="AM158" s="92"/>
      <c r="AN158" s="93"/>
      <c r="AO158" s="92"/>
      <c r="AP158" s="147"/>
      <c r="AQ158" t="s">
        <v>586</v>
      </c>
      <c r="AS158">
        <v>1</v>
      </c>
    </row>
    <row r="159" spans="1:45">
      <c r="A159" s="8">
        <v>630004</v>
      </c>
      <c r="B159" s="8">
        <v>1001</v>
      </c>
      <c r="C159" s="8">
        <v>7</v>
      </c>
      <c r="D159" s="8">
        <v>1005</v>
      </c>
      <c r="E159" t="s">
        <v>589</v>
      </c>
      <c r="F159" s="13" t="s">
        <v>590</v>
      </c>
      <c r="G159" t="s">
        <v>591</v>
      </c>
      <c r="H159" t="s">
        <v>592</v>
      </c>
      <c r="I159">
        <v>1</v>
      </c>
      <c r="J159" s="69">
        <v>5</v>
      </c>
      <c r="K159" s="87">
        <v>3</v>
      </c>
      <c r="L159" s="8">
        <v>999</v>
      </c>
      <c r="M159" s="8">
        <v>0</v>
      </c>
      <c r="N159" s="8"/>
      <c r="O159" s="88">
        <v>113004</v>
      </c>
      <c r="P159" s="8" t="s">
        <v>438</v>
      </c>
      <c r="Q159" s="8"/>
      <c r="R159" t="s">
        <v>439</v>
      </c>
      <c r="S159" s="89">
        <v>0</v>
      </c>
      <c r="T159" s="8">
        <v>5</v>
      </c>
      <c r="U159" s="89">
        <v>200</v>
      </c>
      <c r="V159" s="87">
        <v>1</v>
      </c>
      <c r="W159">
        <v>1</v>
      </c>
      <c r="X159" s="8">
        <v>1</v>
      </c>
      <c r="Y159">
        <v>0</v>
      </c>
      <c r="Z159" s="33">
        <v>0</v>
      </c>
      <c r="AA159">
        <v>5</v>
      </c>
      <c r="AB159" s="34">
        <v>7600</v>
      </c>
      <c r="AC159" s="87">
        <v>601</v>
      </c>
      <c r="AD159" s="62">
        <v>0</v>
      </c>
      <c r="AE159" s="90">
        <v>0</v>
      </c>
      <c r="AF159" s="90">
        <v>0</v>
      </c>
      <c r="AG159" s="91"/>
      <c r="AH159" s="91">
        <v>1</v>
      </c>
      <c r="AI159" s="91"/>
      <c r="AJ159" s="91"/>
      <c r="AK159" s="91"/>
      <c r="AL159" s="92">
        <v>1</v>
      </c>
      <c r="AM159" s="92"/>
      <c r="AN159" s="93"/>
      <c r="AO159" s="92"/>
      <c r="AP159" s="147"/>
      <c r="AQ159" t="s">
        <v>589</v>
      </c>
      <c r="AS159">
        <v>1</v>
      </c>
    </row>
    <row r="160" spans="1:45">
      <c r="A160" s="8">
        <v>630005</v>
      </c>
      <c r="B160" s="8">
        <v>1001</v>
      </c>
      <c r="C160" s="8">
        <v>7</v>
      </c>
      <c r="D160" s="8">
        <v>1005</v>
      </c>
      <c r="E160" t="s">
        <v>593</v>
      </c>
      <c r="F160" s="13" t="s">
        <v>594</v>
      </c>
      <c r="G160" t="s">
        <v>595</v>
      </c>
      <c r="H160" t="s">
        <v>596</v>
      </c>
      <c r="I160">
        <v>1</v>
      </c>
      <c r="J160" s="69">
        <v>5</v>
      </c>
      <c r="K160" s="87">
        <v>3</v>
      </c>
      <c r="L160" s="8">
        <v>999</v>
      </c>
      <c r="M160" s="8">
        <v>0</v>
      </c>
      <c r="N160" s="8"/>
      <c r="O160" s="88">
        <v>113005</v>
      </c>
      <c r="P160" s="8" t="s">
        <v>438</v>
      </c>
      <c r="Q160" s="8"/>
      <c r="R160" t="s">
        <v>439</v>
      </c>
      <c r="S160" s="89">
        <v>0</v>
      </c>
      <c r="T160" s="8">
        <v>5</v>
      </c>
      <c r="U160" s="89">
        <v>200</v>
      </c>
      <c r="V160" s="87">
        <v>1</v>
      </c>
      <c r="W160">
        <v>1</v>
      </c>
      <c r="X160" s="8">
        <v>1</v>
      </c>
      <c r="Y160">
        <v>0</v>
      </c>
      <c r="Z160" s="33">
        <v>0</v>
      </c>
      <c r="AA160">
        <v>5</v>
      </c>
      <c r="AB160" s="34">
        <v>7600</v>
      </c>
      <c r="AC160" s="87">
        <v>601</v>
      </c>
      <c r="AD160" s="62">
        <v>0</v>
      </c>
      <c r="AE160" s="90">
        <v>0</v>
      </c>
      <c r="AF160" s="90">
        <v>0</v>
      </c>
      <c r="AG160" s="91"/>
      <c r="AH160" s="91">
        <v>1</v>
      </c>
      <c r="AI160" s="91"/>
      <c r="AJ160" s="91"/>
      <c r="AK160" s="91"/>
      <c r="AL160" s="92">
        <v>1</v>
      </c>
      <c r="AM160" s="92"/>
      <c r="AN160" s="93"/>
      <c r="AO160" s="92"/>
      <c r="AP160" s="147"/>
      <c r="AQ160" t="s">
        <v>593</v>
      </c>
      <c r="AS160">
        <v>1</v>
      </c>
    </row>
    <row r="161" spans="1:45">
      <c r="A161" s="8">
        <v>630006</v>
      </c>
      <c r="B161" s="8">
        <v>1001</v>
      </c>
      <c r="C161" s="8">
        <v>7</v>
      </c>
      <c r="D161" s="8">
        <v>1005</v>
      </c>
      <c r="E161" t="s">
        <v>597</v>
      </c>
      <c r="F161" s="13" t="s">
        <v>597</v>
      </c>
      <c r="G161" t="s">
        <v>598</v>
      </c>
      <c r="H161" t="s">
        <v>599</v>
      </c>
      <c r="I161">
        <v>1</v>
      </c>
      <c r="J161" s="69">
        <v>5</v>
      </c>
      <c r="K161" s="87">
        <v>3</v>
      </c>
      <c r="L161" s="8">
        <v>999</v>
      </c>
      <c r="M161" s="8">
        <v>0</v>
      </c>
      <c r="N161" s="8"/>
      <c r="O161" s="88">
        <v>113006</v>
      </c>
      <c r="P161" s="8" t="s">
        <v>438</v>
      </c>
      <c r="Q161" s="8"/>
      <c r="R161" t="s">
        <v>439</v>
      </c>
      <c r="S161" s="89">
        <v>0</v>
      </c>
      <c r="T161" s="8">
        <v>5</v>
      </c>
      <c r="U161" s="89">
        <v>200</v>
      </c>
      <c r="V161" s="87">
        <v>1</v>
      </c>
      <c r="W161">
        <v>1</v>
      </c>
      <c r="X161" s="8">
        <v>1</v>
      </c>
      <c r="Y161">
        <v>0</v>
      </c>
      <c r="Z161" s="33">
        <v>0</v>
      </c>
      <c r="AA161">
        <v>5</v>
      </c>
      <c r="AB161" s="34">
        <v>7600</v>
      </c>
      <c r="AC161" s="87">
        <v>601</v>
      </c>
      <c r="AD161" s="62">
        <v>0</v>
      </c>
      <c r="AE161" s="90">
        <v>0</v>
      </c>
      <c r="AF161" s="90">
        <v>0</v>
      </c>
      <c r="AG161" s="91"/>
      <c r="AH161" s="91">
        <v>1</v>
      </c>
      <c r="AI161" s="91"/>
      <c r="AJ161" s="91"/>
      <c r="AK161" s="91"/>
      <c r="AL161" s="92">
        <v>1</v>
      </c>
      <c r="AM161" s="92"/>
      <c r="AN161" s="93"/>
      <c r="AO161" s="92"/>
      <c r="AP161" s="147"/>
      <c r="AQ161" t="s">
        <v>597</v>
      </c>
      <c r="AS161">
        <v>1</v>
      </c>
    </row>
    <row r="162" spans="1:45">
      <c r="A162" s="8">
        <v>630007</v>
      </c>
      <c r="B162" s="8">
        <v>1001</v>
      </c>
      <c r="C162" s="8">
        <v>7</v>
      </c>
      <c r="D162" s="8">
        <v>1005</v>
      </c>
      <c r="E162" t="s">
        <v>600</v>
      </c>
      <c r="F162" s="13" t="s">
        <v>601</v>
      </c>
      <c r="G162" t="s">
        <v>602</v>
      </c>
      <c r="H162" t="s">
        <v>603</v>
      </c>
      <c r="I162">
        <v>1</v>
      </c>
      <c r="J162" s="69">
        <v>5</v>
      </c>
      <c r="K162" s="87">
        <v>3</v>
      </c>
      <c r="L162" s="8">
        <v>999</v>
      </c>
      <c r="M162" s="8">
        <v>0</v>
      </c>
      <c r="N162" s="8"/>
      <c r="O162" s="88">
        <v>113007</v>
      </c>
      <c r="P162" s="8" t="s">
        <v>438</v>
      </c>
      <c r="Q162" s="8"/>
      <c r="R162" t="s">
        <v>439</v>
      </c>
      <c r="S162" s="89">
        <v>0</v>
      </c>
      <c r="T162" s="8">
        <v>5</v>
      </c>
      <c r="U162" s="89">
        <v>200</v>
      </c>
      <c r="V162" s="87">
        <v>1</v>
      </c>
      <c r="W162">
        <v>1</v>
      </c>
      <c r="X162" s="8">
        <v>1</v>
      </c>
      <c r="Y162">
        <v>0</v>
      </c>
      <c r="Z162" s="33">
        <v>0</v>
      </c>
      <c r="AA162">
        <v>5</v>
      </c>
      <c r="AB162" s="34">
        <v>7600</v>
      </c>
      <c r="AC162" s="87">
        <v>601</v>
      </c>
      <c r="AD162" s="62">
        <v>0</v>
      </c>
      <c r="AE162" s="90">
        <v>0</v>
      </c>
      <c r="AF162" s="90">
        <v>0</v>
      </c>
      <c r="AG162" s="91"/>
      <c r="AH162" s="91">
        <v>1</v>
      </c>
      <c r="AI162" s="91"/>
      <c r="AJ162" s="91"/>
      <c r="AK162" s="91"/>
      <c r="AL162" s="92">
        <v>1</v>
      </c>
      <c r="AM162" s="92"/>
      <c r="AN162" s="93"/>
      <c r="AO162" s="92"/>
      <c r="AP162" s="147"/>
      <c r="AQ162" t="s">
        <v>600</v>
      </c>
      <c r="AS162">
        <v>1</v>
      </c>
    </row>
    <row r="163" spans="1:45">
      <c r="A163" s="8">
        <v>630008</v>
      </c>
      <c r="B163" s="8">
        <v>1001</v>
      </c>
      <c r="C163" s="8">
        <v>7</v>
      </c>
      <c r="D163" s="8">
        <v>1005</v>
      </c>
      <c r="E163" t="s">
        <v>604</v>
      </c>
      <c r="F163" s="13" t="s">
        <v>605</v>
      </c>
      <c r="G163" t="s">
        <v>606</v>
      </c>
      <c r="H163" t="s">
        <v>607</v>
      </c>
      <c r="I163">
        <v>1</v>
      </c>
      <c r="J163" s="69">
        <v>5</v>
      </c>
      <c r="K163" s="87">
        <v>3</v>
      </c>
      <c r="L163" s="8">
        <v>999</v>
      </c>
      <c r="M163" s="8">
        <v>0</v>
      </c>
      <c r="N163" s="8"/>
      <c r="O163" s="88">
        <v>113008</v>
      </c>
      <c r="P163" s="8" t="s">
        <v>438</v>
      </c>
      <c r="Q163" s="8"/>
      <c r="R163" t="s">
        <v>439</v>
      </c>
      <c r="S163" s="89">
        <v>0</v>
      </c>
      <c r="T163" s="8">
        <v>5</v>
      </c>
      <c r="U163" s="89">
        <v>200</v>
      </c>
      <c r="V163" s="87">
        <v>1</v>
      </c>
      <c r="W163">
        <v>1</v>
      </c>
      <c r="X163" s="8">
        <v>1</v>
      </c>
      <c r="Y163">
        <v>0</v>
      </c>
      <c r="Z163" s="33">
        <v>0</v>
      </c>
      <c r="AA163">
        <v>5</v>
      </c>
      <c r="AB163" s="34">
        <v>7600</v>
      </c>
      <c r="AC163" s="87">
        <v>601</v>
      </c>
      <c r="AD163" s="62">
        <v>0</v>
      </c>
      <c r="AE163" s="90">
        <v>0</v>
      </c>
      <c r="AF163" s="90">
        <v>0</v>
      </c>
      <c r="AG163" s="91"/>
      <c r="AH163" s="91">
        <v>1</v>
      </c>
      <c r="AI163" s="91"/>
      <c r="AJ163" s="91"/>
      <c r="AK163" s="91"/>
      <c r="AL163" s="92">
        <v>1</v>
      </c>
      <c r="AM163" s="92"/>
      <c r="AN163" s="93"/>
      <c r="AO163" s="92"/>
      <c r="AP163" s="147"/>
      <c r="AQ163" t="s">
        <v>604</v>
      </c>
      <c r="AS163">
        <v>1</v>
      </c>
    </row>
    <row r="164" spans="1:45">
      <c r="A164" s="8">
        <v>630009</v>
      </c>
      <c r="B164" s="8">
        <v>1001</v>
      </c>
      <c r="C164" s="8">
        <v>7</v>
      </c>
      <c r="D164" s="8">
        <v>1005</v>
      </c>
      <c r="E164" t="s">
        <v>608</v>
      </c>
      <c r="F164" s="13" t="s">
        <v>609</v>
      </c>
      <c r="G164" t="s">
        <v>610</v>
      </c>
      <c r="H164" t="s">
        <v>611</v>
      </c>
      <c r="I164">
        <v>1</v>
      </c>
      <c r="J164" s="69">
        <v>5</v>
      </c>
      <c r="K164" s="87">
        <v>3</v>
      </c>
      <c r="L164" s="8">
        <v>999</v>
      </c>
      <c r="M164" s="8">
        <v>0</v>
      </c>
      <c r="N164" s="8"/>
      <c r="O164" s="88">
        <v>113009</v>
      </c>
      <c r="P164" s="8" t="s">
        <v>438</v>
      </c>
      <c r="Q164" s="8"/>
      <c r="R164" t="s">
        <v>439</v>
      </c>
      <c r="S164" s="89">
        <v>0</v>
      </c>
      <c r="T164" s="8">
        <v>5</v>
      </c>
      <c r="U164" s="89">
        <v>200</v>
      </c>
      <c r="V164" s="87">
        <v>1</v>
      </c>
      <c r="W164">
        <v>1</v>
      </c>
      <c r="X164" s="8">
        <v>1</v>
      </c>
      <c r="Y164">
        <v>0</v>
      </c>
      <c r="Z164" s="33">
        <v>0</v>
      </c>
      <c r="AA164">
        <v>5</v>
      </c>
      <c r="AB164" s="34">
        <v>7600</v>
      </c>
      <c r="AC164" s="87">
        <v>601</v>
      </c>
      <c r="AD164" s="62">
        <v>0</v>
      </c>
      <c r="AE164" s="90">
        <v>0</v>
      </c>
      <c r="AF164" s="90">
        <v>0</v>
      </c>
      <c r="AG164" s="91"/>
      <c r="AH164" s="91">
        <v>1</v>
      </c>
      <c r="AI164" s="91"/>
      <c r="AJ164" s="91"/>
      <c r="AK164" s="91"/>
      <c r="AL164" s="92">
        <v>1</v>
      </c>
      <c r="AM164" s="92"/>
      <c r="AN164" s="93"/>
      <c r="AO164" s="92"/>
      <c r="AP164" s="147"/>
      <c r="AQ164" t="s">
        <v>608</v>
      </c>
      <c r="AS164">
        <v>1</v>
      </c>
    </row>
    <row r="165" spans="1:45">
      <c r="A165" s="8">
        <v>630010</v>
      </c>
      <c r="B165" s="8">
        <v>1001</v>
      </c>
      <c r="C165" s="8">
        <v>7</v>
      </c>
      <c r="D165" s="8">
        <v>1005</v>
      </c>
      <c r="E165" t="s">
        <v>612</v>
      </c>
      <c r="F165" s="13" t="s">
        <v>613</v>
      </c>
      <c r="G165" t="s">
        <v>614</v>
      </c>
      <c r="H165" t="s">
        <v>615</v>
      </c>
      <c r="I165">
        <v>1</v>
      </c>
      <c r="J165" s="69">
        <v>5</v>
      </c>
      <c r="K165" s="87">
        <v>3</v>
      </c>
      <c r="L165" s="8">
        <v>999</v>
      </c>
      <c r="M165" s="8">
        <v>0</v>
      </c>
      <c r="N165" s="8"/>
      <c r="O165" s="88">
        <v>113010</v>
      </c>
      <c r="P165" s="8" t="s">
        <v>438</v>
      </c>
      <c r="Q165" s="8"/>
      <c r="R165" t="s">
        <v>439</v>
      </c>
      <c r="S165" s="89">
        <v>0</v>
      </c>
      <c r="T165" s="8">
        <v>5</v>
      </c>
      <c r="U165" s="89">
        <v>200</v>
      </c>
      <c r="V165" s="87">
        <v>1</v>
      </c>
      <c r="W165">
        <v>1</v>
      </c>
      <c r="X165" s="8">
        <v>1</v>
      </c>
      <c r="Y165">
        <v>0</v>
      </c>
      <c r="Z165" s="33">
        <v>0</v>
      </c>
      <c r="AA165">
        <v>5</v>
      </c>
      <c r="AB165" s="34">
        <v>7600</v>
      </c>
      <c r="AC165" s="87">
        <v>601</v>
      </c>
      <c r="AD165" s="62">
        <v>0</v>
      </c>
      <c r="AE165" s="90">
        <v>0</v>
      </c>
      <c r="AF165" s="90">
        <v>0</v>
      </c>
      <c r="AG165" s="91"/>
      <c r="AH165" s="91">
        <v>1</v>
      </c>
      <c r="AI165" s="91"/>
      <c r="AJ165" s="91"/>
      <c r="AK165" s="91"/>
      <c r="AL165" s="92">
        <v>1</v>
      </c>
      <c r="AM165" s="92"/>
      <c r="AN165" s="93"/>
      <c r="AO165" s="92"/>
      <c r="AP165" s="147"/>
      <c r="AQ165" t="s">
        <v>612</v>
      </c>
      <c r="AS165">
        <v>1</v>
      </c>
    </row>
    <row r="166" spans="1:45">
      <c r="A166" s="8">
        <v>630011</v>
      </c>
      <c r="B166" s="8">
        <v>1001</v>
      </c>
      <c r="C166" s="8">
        <v>7</v>
      </c>
      <c r="D166" s="8">
        <v>1005</v>
      </c>
      <c r="E166" t="s">
        <v>616</v>
      </c>
      <c r="F166" s="13" t="s">
        <v>558</v>
      </c>
      <c r="G166" t="s">
        <v>617</v>
      </c>
      <c r="H166" t="s">
        <v>618</v>
      </c>
      <c r="I166">
        <v>1</v>
      </c>
      <c r="J166" s="69">
        <v>5</v>
      </c>
      <c r="K166" s="87">
        <v>3</v>
      </c>
      <c r="L166" s="8">
        <v>999</v>
      </c>
      <c r="M166" s="8">
        <v>0</v>
      </c>
      <c r="N166" s="8"/>
      <c r="O166" s="88">
        <v>113011</v>
      </c>
      <c r="P166" s="8" t="s">
        <v>438</v>
      </c>
      <c r="Q166" s="8"/>
      <c r="R166" t="s">
        <v>439</v>
      </c>
      <c r="S166" s="89">
        <v>0</v>
      </c>
      <c r="T166" s="8">
        <v>5</v>
      </c>
      <c r="U166" s="89">
        <v>200</v>
      </c>
      <c r="V166" s="87">
        <v>1</v>
      </c>
      <c r="W166">
        <v>1</v>
      </c>
      <c r="X166" s="8">
        <v>1</v>
      </c>
      <c r="Y166">
        <v>0</v>
      </c>
      <c r="Z166" s="33">
        <v>0</v>
      </c>
      <c r="AA166">
        <v>5</v>
      </c>
      <c r="AB166" s="34">
        <v>7600</v>
      </c>
      <c r="AC166" s="87">
        <v>601</v>
      </c>
      <c r="AD166" s="62">
        <v>0</v>
      </c>
      <c r="AE166" s="90">
        <v>0</v>
      </c>
      <c r="AF166" s="90">
        <v>0</v>
      </c>
      <c r="AG166" s="91"/>
      <c r="AH166" s="91">
        <v>1</v>
      </c>
      <c r="AI166" s="91"/>
      <c r="AJ166" s="91"/>
      <c r="AK166" s="91"/>
      <c r="AL166" s="92">
        <v>1</v>
      </c>
      <c r="AM166" s="92"/>
      <c r="AN166" s="93"/>
      <c r="AO166" s="92"/>
      <c r="AP166" s="147"/>
      <c r="AQ166" t="s">
        <v>608</v>
      </c>
      <c r="AS166">
        <v>1</v>
      </c>
    </row>
    <row r="167" spans="1:45">
      <c r="A167" s="8">
        <v>630012</v>
      </c>
      <c r="B167" s="8">
        <v>1001</v>
      </c>
      <c r="C167" s="8">
        <v>7</v>
      </c>
      <c r="D167" s="8">
        <v>1005</v>
      </c>
      <c r="E167" t="s">
        <v>619</v>
      </c>
      <c r="F167" s="13" t="s">
        <v>619</v>
      </c>
      <c r="G167" t="s">
        <v>620</v>
      </c>
      <c r="H167" t="s">
        <v>621</v>
      </c>
      <c r="I167">
        <v>1</v>
      </c>
      <c r="J167" s="69">
        <v>5</v>
      </c>
      <c r="K167" s="87">
        <v>3</v>
      </c>
      <c r="L167" s="8">
        <v>999</v>
      </c>
      <c r="M167" s="8">
        <v>0</v>
      </c>
      <c r="N167" s="8"/>
      <c r="O167" s="88">
        <v>113012</v>
      </c>
      <c r="P167" s="8" t="s">
        <v>438</v>
      </c>
      <c r="Q167" s="8"/>
      <c r="R167" t="s">
        <v>439</v>
      </c>
      <c r="S167" s="89">
        <v>0</v>
      </c>
      <c r="T167" s="8">
        <v>5</v>
      </c>
      <c r="U167" s="89">
        <v>200</v>
      </c>
      <c r="V167" s="87">
        <v>1</v>
      </c>
      <c r="W167">
        <v>1</v>
      </c>
      <c r="X167" s="8">
        <v>1</v>
      </c>
      <c r="Y167">
        <v>0</v>
      </c>
      <c r="Z167" s="33">
        <v>0</v>
      </c>
      <c r="AA167">
        <v>5</v>
      </c>
      <c r="AB167" s="34">
        <v>7600</v>
      </c>
      <c r="AC167" s="87">
        <v>601</v>
      </c>
      <c r="AD167" s="62">
        <v>0</v>
      </c>
      <c r="AE167" s="90">
        <v>0</v>
      </c>
      <c r="AF167" s="90">
        <v>0</v>
      </c>
      <c r="AG167" s="91"/>
      <c r="AH167" s="91">
        <v>1</v>
      </c>
      <c r="AI167" s="91"/>
      <c r="AJ167" s="91"/>
      <c r="AK167" s="91"/>
      <c r="AL167" s="92">
        <v>1</v>
      </c>
      <c r="AM167" s="92"/>
      <c r="AN167" s="93"/>
      <c r="AO167" s="92"/>
      <c r="AP167" s="147"/>
      <c r="AS167">
        <v>1</v>
      </c>
    </row>
    <row r="168" spans="1:45">
      <c r="A168" s="8">
        <v>630013</v>
      </c>
      <c r="B168" s="8">
        <v>1001</v>
      </c>
      <c r="C168" s="8">
        <v>7</v>
      </c>
      <c r="D168" s="8">
        <v>1005</v>
      </c>
      <c r="E168" t="s">
        <v>622</v>
      </c>
      <c r="F168" s="13" t="s">
        <v>623</v>
      </c>
      <c r="G168" t="s">
        <v>624</v>
      </c>
      <c r="H168" t="s">
        <v>625</v>
      </c>
      <c r="I168">
        <v>1</v>
      </c>
      <c r="J168" s="69">
        <v>5</v>
      </c>
      <c r="K168" s="87">
        <v>3</v>
      </c>
      <c r="L168" s="8">
        <v>999</v>
      </c>
      <c r="M168" s="8">
        <v>0</v>
      </c>
      <c r="N168" s="8"/>
      <c r="O168" s="88">
        <v>113013</v>
      </c>
      <c r="P168" s="8" t="s">
        <v>438</v>
      </c>
      <c r="Q168" s="8"/>
      <c r="R168" t="s">
        <v>439</v>
      </c>
      <c r="S168" s="89">
        <v>0</v>
      </c>
      <c r="T168" s="8">
        <v>5</v>
      </c>
      <c r="U168" s="89">
        <v>200</v>
      </c>
      <c r="V168" s="87">
        <v>1</v>
      </c>
      <c r="W168">
        <v>1</v>
      </c>
      <c r="X168" s="8">
        <v>1</v>
      </c>
      <c r="Y168">
        <v>0</v>
      </c>
      <c r="Z168" s="33">
        <v>0</v>
      </c>
      <c r="AA168">
        <v>5</v>
      </c>
      <c r="AB168" s="34">
        <v>7600</v>
      </c>
      <c r="AC168" s="87">
        <v>601</v>
      </c>
      <c r="AD168" s="62">
        <v>0</v>
      </c>
      <c r="AE168" s="90">
        <v>0</v>
      </c>
      <c r="AF168" s="90">
        <v>0</v>
      </c>
      <c r="AG168" s="91"/>
      <c r="AH168" s="91">
        <v>1</v>
      </c>
      <c r="AI168" s="91"/>
      <c r="AJ168" s="91"/>
      <c r="AK168" s="91"/>
      <c r="AL168" s="92">
        <v>1</v>
      </c>
      <c r="AM168" s="92"/>
      <c r="AN168" s="93"/>
      <c r="AO168" s="92"/>
      <c r="AP168" s="147"/>
      <c r="AS168">
        <v>1</v>
      </c>
    </row>
    <row r="169" spans="1:45">
      <c r="A169" s="8">
        <v>630014</v>
      </c>
      <c r="B169" s="8">
        <v>1001</v>
      </c>
      <c r="C169" s="8">
        <v>7</v>
      </c>
      <c r="D169" s="8">
        <v>1005</v>
      </c>
      <c r="E169" t="s">
        <v>626</v>
      </c>
      <c r="F169" s="13" t="s">
        <v>626</v>
      </c>
      <c r="G169" t="s">
        <v>627</v>
      </c>
      <c r="H169" t="s">
        <v>628</v>
      </c>
      <c r="I169">
        <v>1</v>
      </c>
      <c r="J169" s="69">
        <v>5</v>
      </c>
      <c r="K169" s="87">
        <v>3</v>
      </c>
      <c r="L169" s="8">
        <v>999</v>
      </c>
      <c r="M169" s="8">
        <v>0</v>
      </c>
      <c r="N169" s="8"/>
      <c r="O169" s="88">
        <v>113014</v>
      </c>
      <c r="P169" s="8" t="s">
        <v>438</v>
      </c>
      <c r="Q169" s="8"/>
      <c r="R169" t="s">
        <v>439</v>
      </c>
      <c r="S169" s="89">
        <v>0</v>
      </c>
      <c r="T169" s="8">
        <v>5</v>
      </c>
      <c r="U169" s="89">
        <v>200</v>
      </c>
      <c r="V169" s="87">
        <v>1</v>
      </c>
      <c r="W169">
        <v>1</v>
      </c>
      <c r="X169" s="8">
        <v>1</v>
      </c>
      <c r="Y169">
        <v>0</v>
      </c>
      <c r="Z169" s="33">
        <v>0</v>
      </c>
      <c r="AA169">
        <v>5</v>
      </c>
      <c r="AB169" s="34">
        <v>7600</v>
      </c>
      <c r="AC169" s="87">
        <v>601</v>
      </c>
      <c r="AD169" s="62">
        <v>0</v>
      </c>
      <c r="AE169" s="90">
        <v>0</v>
      </c>
      <c r="AF169" s="90">
        <v>0</v>
      </c>
      <c r="AG169" s="91"/>
      <c r="AH169" s="91">
        <v>1</v>
      </c>
      <c r="AI169" s="91"/>
      <c r="AJ169" s="91"/>
      <c r="AK169" s="91"/>
      <c r="AL169" s="92">
        <v>1</v>
      </c>
      <c r="AM169" s="92"/>
      <c r="AN169" s="93"/>
      <c r="AO169" s="92"/>
      <c r="AP169" s="147"/>
      <c r="AS169">
        <v>1</v>
      </c>
    </row>
    <row r="170" spans="1:45">
      <c r="A170" s="8">
        <v>630015</v>
      </c>
      <c r="B170" s="8">
        <v>1001</v>
      </c>
      <c r="C170" s="8">
        <v>7</v>
      </c>
      <c r="D170" s="8">
        <v>1005</v>
      </c>
      <c r="E170" t="s">
        <v>629</v>
      </c>
      <c r="F170" s="13" t="s">
        <v>629</v>
      </c>
      <c r="G170" t="s">
        <v>630</v>
      </c>
      <c r="H170" s="117" t="s">
        <v>631</v>
      </c>
      <c r="I170">
        <v>1</v>
      </c>
      <c r="J170" s="69">
        <v>5</v>
      </c>
      <c r="K170" s="87">
        <v>3</v>
      </c>
      <c r="L170" s="8">
        <v>999</v>
      </c>
      <c r="M170" s="8">
        <v>0</v>
      </c>
      <c r="N170" s="8"/>
      <c r="O170" s="88">
        <v>113015</v>
      </c>
      <c r="P170" s="8" t="s">
        <v>438</v>
      </c>
      <c r="Q170" s="8"/>
      <c r="R170" t="s">
        <v>439</v>
      </c>
      <c r="S170" s="89">
        <v>0</v>
      </c>
      <c r="T170" s="8">
        <v>5</v>
      </c>
      <c r="U170" s="89">
        <v>200</v>
      </c>
      <c r="V170" s="87">
        <v>1</v>
      </c>
      <c r="W170">
        <v>1</v>
      </c>
      <c r="X170" s="8">
        <v>1</v>
      </c>
      <c r="Y170">
        <v>0</v>
      </c>
      <c r="Z170" s="33">
        <v>0</v>
      </c>
      <c r="AA170">
        <v>5</v>
      </c>
      <c r="AB170" s="34">
        <v>7600</v>
      </c>
      <c r="AC170" s="87">
        <v>601</v>
      </c>
      <c r="AD170" s="62">
        <v>0</v>
      </c>
      <c r="AE170" s="90">
        <v>0</v>
      </c>
      <c r="AF170" s="90">
        <v>0</v>
      </c>
      <c r="AG170" s="91"/>
      <c r="AH170" s="91">
        <v>1</v>
      </c>
      <c r="AI170" s="91"/>
      <c r="AJ170" s="91"/>
      <c r="AK170" s="91"/>
      <c r="AL170" s="92">
        <v>1</v>
      </c>
      <c r="AM170" s="92"/>
      <c r="AN170" s="93"/>
      <c r="AO170" s="92"/>
      <c r="AP170" s="147"/>
      <c r="AS170">
        <v>1</v>
      </c>
    </row>
    <row r="171" spans="1:45">
      <c r="A171" s="8">
        <v>630016</v>
      </c>
      <c r="B171" s="8">
        <v>1001</v>
      </c>
      <c r="C171" s="8">
        <v>7</v>
      </c>
      <c r="D171" s="8">
        <v>1005</v>
      </c>
      <c r="E171" t="s">
        <v>632</v>
      </c>
      <c r="F171" s="13" t="s">
        <v>632</v>
      </c>
      <c r="G171" t="s">
        <v>633</v>
      </c>
      <c r="H171" s="117" t="s">
        <v>634</v>
      </c>
      <c r="I171">
        <v>1</v>
      </c>
      <c r="J171" s="69">
        <v>5</v>
      </c>
      <c r="K171" s="87">
        <v>3</v>
      </c>
      <c r="L171" s="8">
        <v>999</v>
      </c>
      <c r="M171" s="8">
        <v>0</v>
      </c>
      <c r="N171" s="8"/>
      <c r="O171" s="88">
        <v>113016</v>
      </c>
      <c r="P171" s="8" t="s">
        <v>438</v>
      </c>
      <c r="Q171" s="8"/>
      <c r="R171" t="s">
        <v>439</v>
      </c>
      <c r="S171" s="89">
        <v>0</v>
      </c>
      <c r="T171" s="8">
        <v>5</v>
      </c>
      <c r="U171" s="89">
        <v>200</v>
      </c>
      <c r="V171" s="87">
        <v>1</v>
      </c>
      <c r="W171">
        <v>1</v>
      </c>
      <c r="X171" s="8">
        <v>1</v>
      </c>
      <c r="Y171">
        <v>0</v>
      </c>
      <c r="Z171" s="33">
        <v>0</v>
      </c>
      <c r="AA171">
        <v>5</v>
      </c>
      <c r="AB171" s="34">
        <v>7600</v>
      </c>
      <c r="AC171" s="87">
        <v>601</v>
      </c>
      <c r="AD171" s="62">
        <v>0</v>
      </c>
      <c r="AE171" s="90">
        <v>0</v>
      </c>
      <c r="AF171" s="90">
        <v>0</v>
      </c>
      <c r="AG171" s="91"/>
      <c r="AH171" s="91">
        <v>1</v>
      </c>
      <c r="AI171" s="91"/>
      <c r="AJ171" s="91"/>
      <c r="AK171" s="91"/>
      <c r="AL171" s="92">
        <v>1</v>
      </c>
      <c r="AM171" s="92"/>
      <c r="AN171" s="93"/>
      <c r="AO171" s="92"/>
      <c r="AP171" s="147"/>
      <c r="AS171">
        <v>1</v>
      </c>
    </row>
    <row r="172" spans="1:45">
      <c r="A172" s="8">
        <v>630017</v>
      </c>
      <c r="B172" s="8">
        <v>1001</v>
      </c>
      <c r="C172" s="8">
        <v>7</v>
      </c>
      <c r="D172" s="8">
        <v>1005</v>
      </c>
      <c r="E172" t="s">
        <v>635</v>
      </c>
      <c r="F172" s="13" t="s">
        <v>635</v>
      </c>
      <c r="G172" t="s">
        <v>636</v>
      </c>
      <c r="H172" s="117" t="s">
        <v>637</v>
      </c>
      <c r="I172">
        <v>1</v>
      </c>
      <c r="J172" s="69">
        <v>5</v>
      </c>
      <c r="K172" s="87">
        <v>3</v>
      </c>
      <c r="L172" s="8">
        <v>999</v>
      </c>
      <c r="M172" s="8">
        <v>0</v>
      </c>
      <c r="N172" s="8"/>
      <c r="O172" s="88">
        <v>113017</v>
      </c>
      <c r="P172" s="8" t="s">
        <v>438</v>
      </c>
      <c r="Q172" s="8"/>
      <c r="R172" t="s">
        <v>439</v>
      </c>
      <c r="S172" s="89">
        <v>0</v>
      </c>
      <c r="T172" s="8">
        <v>5</v>
      </c>
      <c r="U172" s="89">
        <v>200</v>
      </c>
      <c r="V172" s="87">
        <v>1</v>
      </c>
      <c r="W172">
        <v>1</v>
      </c>
      <c r="X172" s="8">
        <v>1</v>
      </c>
      <c r="Y172">
        <v>0</v>
      </c>
      <c r="Z172" s="33">
        <v>0</v>
      </c>
      <c r="AA172">
        <v>5</v>
      </c>
      <c r="AB172" s="34">
        <v>7600</v>
      </c>
      <c r="AC172" s="87">
        <v>601</v>
      </c>
      <c r="AD172" s="62">
        <v>0</v>
      </c>
      <c r="AE172" s="90">
        <v>0</v>
      </c>
      <c r="AF172" s="90">
        <v>0</v>
      </c>
      <c r="AG172" s="91"/>
      <c r="AH172" s="91">
        <v>1</v>
      </c>
      <c r="AI172" s="91"/>
      <c r="AJ172" s="91"/>
      <c r="AK172" s="91"/>
      <c r="AL172" s="92">
        <v>1</v>
      </c>
      <c r="AM172" s="92"/>
      <c r="AN172" s="93"/>
      <c r="AO172" s="92"/>
      <c r="AP172" s="147"/>
      <c r="AS172">
        <v>1</v>
      </c>
    </row>
    <row r="173" spans="1:45">
      <c r="A173" s="8">
        <v>630018</v>
      </c>
      <c r="B173" s="8">
        <v>1001</v>
      </c>
      <c r="C173" s="8">
        <v>7</v>
      </c>
      <c r="D173" s="8">
        <v>1005</v>
      </c>
      <c r="E173" t="s">
        <v>638</v>
      </c>
      <c r="F173" s="13" t="s">
        <v>639</v>
      </c>
      <c r="G173" t="s">
        <v>640</v>
      </c>
      <c r="H173" t="s">
        <v>641</v>
      </c>
      <c r="I173">
        <v>1</v>
      </c>
      <c r="J173" s="69">
        <v>5</v>
      </c>
      <c r="K173" s="87">
        <v>3</v>
      </c>
      <c r="L173" s="8">
        <v>999</v>
      </c>
      <c r="M173" s="8">
        <v>0</v>
      </c>
      <c r="N173" s="8"/>
      <c r="O173" s="88">
        <v>113018</v>
      </c>
      <c r="P173" s="8" t="s">
        <v>438</v>
      </c>
      <c r="Q173" s="8"/>
      <c r="R173" t="s">
        <v>439</v>
      </c>
      <c r="S173" s="89">
        <v>0</v>
      </c>
      <c r="T173" s="8">
        <v>5</v>
      </c>
      <c r="U173" s="89">
        <v>200</v>
      </c>
      <c r="V173" s="87">
        <v>1</v>
      </c>
      <c r="W173">
        <v>1</v>
      </c>
      <c r="X173" s="8">
        <v>1</v>
      </c>
      <c r="Y173">
        <v>0</v>
      </c>
      <c r="Z173" s="33">
        <v>0</v>
      </c>
      <c r="AA173">
        <v>5</v>
      </c>
      <c r="AB173" s="34">
        <v>7600</v>
      </c>
      <c r="AC173" s="87">
        <v>601</v>
      </c>
      <c r="AD173" s="62">
        <v>0</v>
      </c>
      <c r="AE173" s="90">
        <v>0</v>
      </c>
      <c r="AF173" s="90">
        <v>0</v>
      </c>
      <c r="AG173" s="91"/>
      <c r="AH173" s="91">
        <v>1</v>
      </c>
      <c r="AI173" s="91"/>
      <c r="AJ173" s="91"/>
      <c r="AK173" s="91"/>
      <c r="AL173" s="92">
        <v>1</v>
      </c>
      <c r="AM173" s="92"/>
      <c r="AN173" s="93"/>
      <c r="AO173" s="92"/>
      <c r="AP173" s="147"/>
      <c r="AS173">
        <v>1</v>
      </c>
    </row>
    <row r="174" spans="1:45">
      <c r="A174" s="8">
        <v>630019</v>
      </c>
      <c r="B174" s="8">
        <v>1001</v>
      </c>
      <c r="C174" s="8">
        <v>7</v>
      </c>
      <c r="D174" s="8">
        <v>1005</v>
      </c>
      <c r="E174" t="s">
        <v>642</v>
      </c>
      <c r="F174" s="13" t="s">
        <v>643</v>
      </c>
      <c r="G174" t="s">
        <v>644</v>
      </c>
      <c r="H174" s="117" t="s">
        <v>645</v>
      </c>
      <c r="I174">
        <v>1</v>
      </c>
      <c r="J174" s="69">
        <v>5</v>
      </c>
      <c r="K174" s="87">
        <v>3</v>
      </c>
      <c r="L174" s="8">
        <v>999</v>
      </c>
      <c r="M174" s="8">
        <v>0</v>
      </c>
      <c r="N174" s="8"/>
      <c r="O174" s="88">
        <v>113019</v>
      </c>
      <c r="P174" s="8" t="s">
        <v>438</v>
      </c>
      <c r="Q174" s="8"/>
      <c r="R174" t="s">
        <v>439</v>
      </c>
      <c r="S174" s="89">
        <v>0</v>
      </c>
      <c r="T174" s="8">
        <v>5</v>
      </c>
      <c r="U174" s="89">
        <v>200</v>
      </c>
      <c r="V174" s="87">
        <v>1</v>
      </c>
      <c r="W174">
        <v>1</v>
      </c>
      <c r="X174" s="8">
        <v>1</v>
      </c>
      <c r="Y174">
        <v>0</v>
      </c>
      <c r="Z174" s="33">
        <v>0</v>
      </c>
      <c r="AA174">
        <v>5</v>
      </c>
      <c r="AB174" s="34">
        <v>7600</v>
      </c>
      <c r="AC174" s="87">
        <v>601</v>
      </c>
      <c r="AD174" s="62">
        <v>0</v>
      </c>
      <c r="AE174" s="90">
        <v>0</v>
      </c>
      <c r="AF174" s="90">
        <v>0</v>
      </c>
      <c r="AG174" s="91"/>
      <c r="AH174" s="91">
        <v>1</v>
      </c>
      <c r="AI174" s="91"/>
      <c r="AJ174" s="91"/>
      <c r="AK174" s="91"/>
      <c r="AL174" s="92">
        <v>1</v>
      </c>
      <c r="AM174" s="92"/>
      <c r="AN174" s="93"/>
      <c r="AO174" s="92"/>
      <c r="AP174" s="147"/>
      <c r="AS174">
        <v>1</v>
      </c>
    </row>
    <row r="175" spans="1:45">
      <c r="A175" s="8">
        <v>630020</v>
      </c>
      <c r="B175" s="8">
        <v>1001</v>
      </c>
      <c r="C175" s="8">
        <v>7</v>
      </c>
      <c r="D175" s="8">
        <v>1005</v>
      </c>
      <c r="E175" t="s">
        <v>646</v>
      </c>
      <c r="F175" t="s">
        <v>646</v>
      </c>
      <c r="G175" t="s">
        <v>647</v>
      </c>
      <c r="H175" s="117" t="s">
        <v>648</v>
      </c>
      <c r="I175">
        <v>1</v>
      </c>
      <c r="J175" s="69">
        <v>5</v>
      </c>
      <c r="K175" s="87">
        <v>3</v>
      </c>
      <c r="L175" s="8">
        <v>999</v>
      </c>
      <c r="M175" s="8">
        <v>0</v>
      </c>
      <c r="N175" s="8"/>
      <c r="O175" s="88">
        <v>113020</v>
      </c>
      <c r="P175" s="8" t="s">
        <v>438</v>
      </c>
      <c r="Q175" s="8"/>
      <c r="R175" t="s">
        <v>439</v>
      </c>
      <c r="S175" s="89">
        <v>0</v>
      </c>
      <c r="T175" s="8">
        <v>5</v>
      </c>
      <c r="U175" s="89">
        <v>200</v>
      </c>
      <c r="V175" s="87">
        <v>1</v>
      </c>
      <c r="W175">
        <v>1</v>
      </c>
      <c r="X175" s="8">
        <v>1</v>
      </c>
      <c r="Y175">
        <v>0</v>
      </c>
      <c r="Z175" s="33">
        <v>0</v>
      </c>
      <c r="AA175">
        <v>5</v>
      </c>
      <c r="AB175" s="34">
        <v>7600</v>
      </c>
      <c r="AC175" s="87">
        <v>601</v>
      </c>
      <c r="AD175" s="62">
        <v>0</v>
      </c>
      <c r="AE175" s="90">
        <v>0</v>
      </c>
      <c r="AF175" s="90">
        <v>0</v>
      </c>
      <c r="AG175" s="91"/>
      <c r="AH175" s="91">
        <v>1</v>
      </c>
      <c r="AI175" s="91"/>
      <c r="AJ175" s="91"/>
      <c r="AK175" s="91"/>
      <c r="AL175" s="92">
        <v>1</v>
      </c>
      <c r="AM175" s="92"/>
      <c r="AN175" s="93"/>
      <c r="AO175" s="92"/>
      <c r="AP175" s="147"/>
      <c r="AS175">
        <v>1</v>
      </c>
    </row>
    <row r="176" spans="1:45">
      <c r="A176" s="8">
        <v>630021</v>
      </c>
      <c r="B176" s="8">
        <v>1001</v>
      </c>
      <c r="C176" s="8">
        <v>7</v>
      </c>
      <c r="D176" s="8">
        <v>1005</v>
      </c>
      <c r="E176" t="s">
        <v>649</v>
      </c>
      <c r="F176" t="s">
        <v>649</v>
      </c>
      <c r="G176" t="s">
        <v>650</v>
      </c>
      <c r="H176" s="117" t="s">
        <v>651</v>
      </c>
      <c r="I176">
        <v>1</v>
      </c>
      <c r="J176" s="69">
        <v>5</v>
      </c>
      <c r="K176" s="87">
        <v>3</v>
      </c>
      <c r="L176" s="8">
        <v>999</v>
      </c>
      <c r="M176" s="8">
        <v>0</v>
      </c>
      <c r="N176" s="8"/>
      <c r="O176" s="88">
        <v>113021</v>
      </c>
      <c r="P176" s="8" t="s">
        <v>438</v>
      </c>
      <c r="Q176" s="8"/>
      <c r="R176" t="s">
        <v>439</v>
      </c>
      <c r="S176" s="89">
        <v>0</v>
      </c>
      <c r="T176" s="8">
        <v>5</v>
      </c>
      <c r="U176" s="89">
        <v>200</v>
      </c>
      <c r="V176" s="87">
        <v>1</v>
      </c>
      <c r="W176">
        <v>1</v>
      </c>
      <c r="X176" s="8">
        <v>1</v>
      </c>
      <c r="Y176">
        <v>0</v>
      </c>
      <c r="Z176" s="33">
        <v>0</v>
      </c>
      <c r="AA176">
        <v>5</v>
      </c>
      <c r="AB176" s="34">
        <v>7600</v>
      </c>
      <c r="AC176" s="87">
        <v>601</v>
      </c>
      <c r="AD176" s="62">
        <v>0</v>
      </c>
      <c r="AE176" s="90">
        <v>0</v>
      </c>
      <c r="AF176" s="90">
        <v>0</v>
      </c>
      <c r="AG176" s="91"/>
      <c r="AH176" s="91">
        <v>1</v>
      </c>
      <c r="AI176" s="91"/>
      <c r="AJ176" s="91"/>
      <c r="AK176" s="91"/>
      <c r="AL176" s="92">
        <v>1</v>
      </c>
      <c r="AM176" s="92"/>
      <c r="AN176" s="93"/>
      <c r="AO176" s="92"/>
      <c r="AP176" s="147"/>
      <c r="AS176">
        <v>1</v>
      </c>
    </row>
    <row r="177" spans="1:45">
      <c r="A177" s="8">
        <v>630022</v>
      </c>
      <c r="B177" s="8">
        <v>1001</v>
      </c>
      <c r="C177" s="8">
        <v>7</v>
      </c>
      <c r="D177" s="8">
        <v>1005</v>
      </c>
      <c r="E177" t="s">
        <v>652</v>
      </c>
      <c r="F177" t="s">
        <v>652</v>
      </c>
      <c r="G177" t="s">
        <v>653</v>
      </c>
      <c r="H177" s="117" t="s">
        <v>654</v>
      </c>
      <c r="I177">
        <v>1</v>
      </c>
      <c r="J177" s="69">
        <v>5</v>
      </c>
      <c r="K177" s="87">
        <v>3</v>
      </c>
      <c r="L177" s="8">
        <v>999</v>
      </c>
      <c r="M177" s="8">
        <v>0</v>
      </c>
      <c r="N177" s="8"/>
      <c r="O177" s="88">
        <v>113022</v>
      </c>
      <c r="P177" s="8" t="s">
        <v>438</v>
      </c>
      <c r="Q177" s="8"/>
      <c r="R177" t="s">
        <v>439</v>
      </c>
      <c r="S177" s="89">
        <v>0</v>
      </c>
      <c r="T177" s="8">
        <v>5</v>
      </c>
      <c r="U177" s="89">
        <v>200</v>
      </c>
      <c r="V177" s="87">
        <v>1</v>
      </c>
      <c r="W177">
        <v>1</v>
      </c>
      <c r="X177" s="8">
        <v>1</v>
      </c>
      <c r="Y177">
        <v>0</v>
      </c>
      <c r="Z177" s="33">
        <v>0</v>
      </c>
      <c r="AA177">
        <v>5</v>
      </c>
      <c r="AB177" s="34">
        <v>7600</v>
      </c>
      <c r="AC177" s="87">
        <v>601</v>
      </c>
      <c r="AD177" s="62">
        <v>0</v>
      </c>
      <c r="AE177" s="90">
        <v>0</v>
      </c>
      <c r="AF177" s="90">
        <v>0</v>
      </c>
      <c r="AG177" s="91"/>
      <c r="AH177" s="91">
        <v>1</v>
      </c>
      <c r="AI177" s="91"/>
      <c r="AJ177" s="91"/>
      <c r="AK177" s="91"/>
      <c r="AL177" s="92">
        <v>1</v>
      </c>
      <c r="AM177" s="92"/>
      <c r="AN177" s="93"/>
      <c r="AO177" s="92"/>
      <c r="AP177" s="147"/>
      <c r="AS177">
        <v>1</v>
      </c>
    </row>
    <row r="178" spans="1:45">
      <c r="A178" s="8">
        <v>630023</v>
      </c>
      <c r="B178" s="8">
        <v>1001</v>
      </c>
      <c r="C178" s="8">
        <v>7</v>
      </c>
      <c r="D178" s="8">
        <v>1005</v>
      </c>
      <c r="E178" t="s">
        <v>655</v>
      </c>
      <c r="F178" t="s">
        <v>655</v>
      </c>
      <c r="G178" t="s">
        <v>656</v>
      </c>
      <c r="H178" s="117" t="s">
        <v>657</v>
      </c>
      <c r="I178">
        <v>1</v>
      </c>
      <c r="J178" s="69">
        <v>5</v>
      </c>
      <c r="K178" s="87">
        <v>3</v>
      </c>
      <c r="L178" s="8">
        <v>999</v>
      </c>
      <c r="M178" s="8">
        <v>0</v>
      </c>
      <c r="N178" s="8"/>
      <c r="O178" s="88">
        <v>113023</v>
      </c>
      <c r="P178" s="8" t="s">
        <v>438</v>
      </c>
      <c r="Q178" s="8"/>
      <c r="R178" t="s">
        <v>439</v>
      </c>
      <c r="S178" s="89">
        <v>0</v>
      </c>
      <c r="T178" s="8">
        <v>5</v>
      </c>
      <c r="U178" s="89">
        <v>200</v>
      </c>
      <c r="V178" s="87">
        <v>1</v>
      </c>
      <c r="W178">
        <v>1</v>
      </c>
      <c r="X178" s="8">
        <v>1</v>
      </c>
      <c r="Y178">
        <v>0</v>
      </c>
      <c r="Z178" s="33">
        <v>0</v>
      </c>
      <c r="AA178">
        <v>5</v>
      </c>
      <c r="AB178" s="34">
        <v>7600</v>
      </c>
      <c r="AC178" s="87">
        <v>601</v>
      </c>
      <c r="AD178" s="62">
        <v>0</v>
      </c>
      <c r="AE178" s="90">
        <v>0</v>
      </c>
      <c r="AF178" s="90">
        <v>0</v>
      </c>
      <c r="AG178" s="91"/>
      <c r="AH178" s="91">
        <v>1</v>
      </c>
      <c r="AI178" s="91"/>
      <c r="AJ178" s="91"/>
      <c r="AK178" s="91"/>
      <c r="AL178" s="92">
        <v>1</v>
      </c>
      <c r="AM178" s="92"/>
      <c r="AN178" s="93"/>
      <c r="AO178" s="92"/>
      <c r="AP178" s="147"/>
      <c r="AS178">
        <v>1</v>
      </c>
    </row>
    <row r="179" spans="1:45">
      <c r="A179" s="8">
        <v>630024</v>
      </c>
      <c r="B179" s="8">
        <v>1001</v>
      </c>
      <c r="C179" s="8">
        <v>7</v>
      </c>
      <c r="D179" s="8">
        <v>1005</v>
      </c>
      <c r="E179" t="s">
        <v>658</v>
      </c>
      <c r="F179" t="s">
        <v>658</v>
      </c>
      <c r="G179" t="s">
        <v>659</v>
      </c>
      <c r="H179" s="117" t="s">
        <v>660</v>
      </c>
      <c r="I179">
        <v>1</v>
      </c>
      <c r="J179" s="69">
        <v>5</v>
      </c>
      <c r="K179" s="87">
        <v>3</v>
      </c>
      <c r="L179" s="8">
        <v>999</v>
      </c>
      <c r="M179" s="8">
        <v>0</v>
      </c>
      <c r="N179" s="8"/>
      <c r="O179" s="88">
        <v>113024</v>
      </c>
      <c r="P179" s="8" t="s">
        <v>438</v>
      </c>
      <c r="Q179" s="8"/>
      <c r="R179" t="s">
        <v>439</v>
      </c>
      <c r="S179" s="89">
        <v>0</v>
      </c>
      <c r="T179" s="8">
        <v>5</v>
      </c>
      <c r="U179" s="89">
        <v>200</v>
      </c>
      <c r="V179" s="87">
        <v>1</v>
      </c>
      <c r="W179">
        <v>1</v>
      </c>
      <c r="X179" s="8">
        <v>1</v>
      </c>
      <c r="Y179">
        <v>0</v>
      </c>
      <c r="Z179" s="33">
        <v>0</v>
      </c>
      <c r="AA179">
        <v>5</v>
      </c>
      <c r="AB179" s="34">
        <v>7600</v>
      </c>
      <c r="AC179" s="87">
        <v>601</v>
      </c>
      <c r="AD179" s="62">
        <v>0</v>
      </c>
      <c r="AE179" s="90">
        <v>0</v>
      </c>
      <c r="AF179" s="90">
        <v>0</v>
      </c>
      <c r="AG179" s="91"/>
      <c r="AH179" s="91">
        <v>1</v>
      </c>
      <c r="AI179" s="91"/>
      <c r="AJ179" s="91"/>
      <c r="AK179" s="91"/>
      <c r="AL179" s="92">
        <v>1</v>
      </c>
      <c r="AM179" s="92"/>
      <c r="AN179" s="93"/>
      <c r="AO179" s="92"/>
      <c r="AP179" s="147"/>
      <c r="AS179">
        <v>1</v>
      </c>
    </row>
    <row r="180" spans="1:45">
      <c r="A180" s="8">
        <v>630025</v>
      </c>
      <c r="B180" s="8">
        <v>1001</v>
      </c>
      <c r="C180" s="8">
        <v>7</v>
      </c>
      <c r="D180" s="8">
        <v>1005</v>
      </c>
      <c r="E180" t="s">
        <v>498</v>
      </c>
      <c r="F180" t="s">
        <v>661</v>
      </c>
      <c r="G180" t="s">
        <v>662</v>
      </c>
      <c r="H180" s="117" t="s">
        <v>663</v>
      </c>
      <c r="I180">
        <v>1</v>
      </c>
      <c r="J180" s="69">
        <v>5</v>
      </c>
      <c r="K180" s="87">
        <v>3</v>
      </c>
      <c r="L180" s="8">
        <v>999</v>
      </c>
      <c r="M180" s="8">
        <v>0</v>
      </c>
      <c r="N180" s="8"/>
      <c r="O180" s="88">
        <v>113025</v>
      </c>
      <c r="P180" s="8" t="s">
        <v>438</v>
      </c>
      <c r="Q180" s="8"/>
      <c r="R180" t="s">
        <v>439</v>
      </c>
      <c r="S180" s="89">
        <v>0</v>
      </c>
      <c r="T180" s="8">
        <v>5</v>
      </c>
      <c r="U180" s="89">
        <v>200</v>
      </c>
      <c r="V180" s="87">
        <v>1</v>
      </c>
      <c r="W180">
        <v>1</v>
      </c>
      <c r="X180" s="8">
        <v>1</v>
      </c>
      <c r="Y180">
        <v>0</v>
      </c>
      <c r="Z180" s="33">
        <v>0</v>
      </c>
      <c r="AA180">
        <v>5</v>
      </c>
      <c r="AB180" s="34">
        <v>7600</v>
      </c>
      <c r="AC180" s="87">
        <v>601</v>
      </c>
      <c r="AD180" s="62">
        <v>0</v>
      </c>
      <c r="AE180" s="90">
        <v>0</v>
      </c>
      <c r="AF180" s="90">
        <v>0</v>
      </c>
      <c r="AG180" s="91"/>
      <c r="AH180" s="91">
        <v>1</v>
      </c>
      <c r="AI180" s="91"/>
      <c r="AJ180" s="91"/>
      <c r="AK180" s="91"/>
      <c r="AL180" s="92">
        <v>1</v>
      </c>
      <c r="AM180" s="92"/>
      <c r="AN180" s="93"/>
      <c r="AO180" s="92"/>
      <c r="AP180" s="147"/>
      <c r="AS180">
        <v>1</v>
      </c>
    </row>
    <row r="181" spans="1:45">
      <c r="A181" s="8">
        <v>630026</v>
      </c>
      <c r="B181" s="8">
        <v>1001</v>
      </c>
      <c r="C181" s="8">
        <v>7</v>
      </c>
      <c r="D181" s="8">
        <v>1005</v>
      </c>
      <c r="E181" t="s">
        <v>664</v>
      </c>
      <c r="F181" t="s">
        <v>664</v>
      </c>
      <c r="G181" t="s">
        <v>665</v>
      </c>
      <c r="H181" s="117" t="s">
        <v>666</v>
      </c>
      <c r="I181">
        <v>1</v>
      </c>
      <c r="J181" s="69">
        <v>5</v>
      </c>
      <c r="K181" s="87">
        <v>3</v>
      </c>
      <c r="L181" s="8">
        <v>999</v>
      </c>
      <c r="M181" s="8">
        <v>0</v>
      </c>
      <c r="N181" s="8"/>
      <c r="O181" s="88">
        <v>113026</v>
      </c>
      <c r="P181" s="8" t="s">
        <v>438</v>
      </c>
      <c r="Q181" s="8"/>
      <c r="R181" t="s">
        <v>439</v>
      </c>
      <c r="S181" s="89">
        <v>0</v>
      </c>
      <c r="T181" s="8">
        <v>5</v>
      </c>
      <c r="U181" s="89">
        <v>200</v>
      </c>
      <c r="V181" s="87">
        <v>1</v>
      </c>
      <c r="W181">
        <v>1</v>
      </c>
      <c r="X181" s="8">
        <v>1</v>
      </c>
      <c r="Y181">
        <v>0</v>
      </c>
      <c r="Z181" s="33">
        <v>0</v>
      </c>
      <c r="AA181">
        <v>5</v>
      </c>
      <c r="AB181" s="34">
        <v>7600</v>
      </c>
      <c r="AC181" s="87">
        <v>601</v>
      </c>
      <c r="AD181" s="62">
        <v>0</v>
      </c>
      <c r="AE181" s="90">
        <v>0</v>
      </c>
      <c r="AF181" s="90">
        <v>0</v>
      </c>
      <c r="AG181" s="91"/>
      <c r="AH181" s="91">
        <v>1</v>
      </c>
      <c r="AI181" s="91"/>
      <c r="AJ181" s="91"/>
      <c r="AK181" s="91"/>
      <c r="AL181" s="92">
        <v>1</v>
      </c>
      <c r="AM181" s="92"/>
      <c r="AN181" s="93"/>
      <c r="AO181" s="92"/>
      <c r="AP181" s="147"/>
      <c r="AS181">
        <v>1</v>
      </c>
    </row>
    <row r="182" spans="1:45">
      <c r="A182" s="8">
        <v>630027</v>
      </c>
      <c r="B182" s="8">
        <v>1001</v>
      </c>
      <c r="C182" s="8">
        <v>7</v>
      </c>
      <c r="D182" s="8">
        <v>1005</v>
      </c>
      <c r="E182" t="s">
        <v>667</v>
      </c>
      <c r="F182" t="s">
        <v>667</v>
      </c>
      <c r="G182" t="s">
        <v>668</v>
      </c>
      <c r="H182" s="117" t="s">
        <v>669</v>
      </c>
      <c r="I182">
        <v>1</v>
      </c>
      <c r="J182" s="69">
        <v>5</v>
      </c>
      <c r="K182" s="87">
        <v>3</v>
      </c>
      <c r="L182" s="8">
        <v>999</v>
      </c>
      <c r="M182" s="8">
        <v>0</v>
      </c>
      <c r="N182" s="8"/>
      <c r="O182" s="88">
        <v>113027</v>
      </c>
      <c r="P182" s="8" t="s">
        <v>438</v>
      </c>
      <c r="Q182" s="8"/>
      <c r="R182" t="s">
        <v>439</v>
      </c>
      <c r="S182" s="89">
        <v>0</v>
      </c>
      <c r="T182" s="8">
        <v>5</v>
      </c>
      <c r="U182" s="89">
        <v>200</v>
      </c>
      <c r="V182" s="87">
        <v>1</v>
      </c>
      <c r="W182">
        <v>1</v>
      </c>
      <c r="X182" s="8">
        <v>1</v>
      </c>
      <c r="Y182">
        <v>0</v>
      </c>
      <c r="Z182" s="33">
        <v>0</v>
      </c>
      <c r="AA182">
        <v>5</v>
      </c>
      <c r="AB182" s="34">
        <v>7600</v>
      </c>
      <c r="AC182" s="87">
        <v>601</v>
      </c>
      <c r="AD182" s="62">
        <v>0</v>
      </c>
      <c r="AE182" s="90">
        <v>0</v>
      </c>
      <c r="AF182" s="90">
        <v>0</v>
      </c>
      <c r="AG182" s="91"/>
      <c r="AH182" s="91">
        <v>1</v>
      </c>
      <c r="AI182" s="91"/>
      <c r="AJ182" s="91"/>
      <c r="AK182" s="91"/>
      <c r="AL182" s="92">
        <v>1</v>
      </c>
      <c r="AM182" s="92"/>
      <c r="AN182" s="93"/>
      <c r="AO182" s="92"/>
      <c r="AP182" s="147"/>
      <c r="AS182">
        <v>1</v>
      </c>
    </row>
    <row r="183" spans="1:45">
      <c r="A183" s="8">
        <v>630028</v>
      </c>
      <c r="B183" s="8">
        <v>1001</v>
      </c>
      <c r="C183" s="8">
        <v>7</v>
      </c>
      <c r="D183" s="8">
        <v>1005</v>
      </c>
      <c r="E183" t="s">
        <v>670</v>
      </c>
      <c r="F183" t="s">
        <v>671</v>
      </c>
      <c r="G183" t="s">
        <v>672</v>
      </c>
      <c r="H183" s="117" t="s">
        <v>673</v>
      </c>
      <c r="I183">
        <v>1</v>
      </c>
      <c r="J183" s="69">
        <v>5</v>
      </c>
      <c r="K183" s="87">
        <v>3</v>
      </c>
      <c r="L183" s="8">
        <v>999</v>
      </c>
      <c r="M183" s="8">
        <v>0</v>
      </c>
      <c r="N183" s="8"/>
      <c r="O183" s="88">
        <v>113028</v>
      </c>
      <c r="P183" s="8" t="s">
        <v>438</v>
      </c>
      <c r="Q183" s="8"/>
      <c r="R183" t="s">
        <v>439</v>
      </c>
      <c r="S183" s="89">
        <v>0</v>
      </c>
      <c r="T183" s="8">
        <v>5</v>
      </c>
      <c r="U183" s="89">
        <v>200</v>
      </c>
      <c r="V183" s="87">
        <v>1</v>
      </c>
      <c r="W183">
        <v>1</v>
      </c>
      <c r="X183" s="8">
        <v>1</v>
      </c>
      <c r="Y183">
        <v>0</v>
      </c>
      <c r="Z183" s="33">
        <v>0</v>
      </c>
      <c r="AA183">
        <v>5</v>
      </c>
      <c r="AB183" s="34">
        <v>7600</v>
      </c>
      <c r="AC183" s="87">
        <v>601</v>
      </c>
      <c r="AD183" s="62">
        <v>0</v>
      </c>
      <c r="AE183" s="90">
        <v>0</v>
      </c>
      <c r="AF183" s="90">
        <v>0</v>
      </c>
      <c r="AG183" s="91"/>
      <c r="AH183" s="91">
        <v>1</v>
      </c>
      <c r="AI183" s="91"/>
      <c r="AJ183" s="91"/>
      <c r="AK183" s="91"/>
      <c r="AL183" s="92">
        <v>1</v>
      </c>
      <c r="AM183" s="92"/>
      <c r="AN183" s="93"/>
      <c r="AO183" s="92"/>
      <c r="AP183" s="147"/>
      <c r="AS183">
        <v>1</v>
      </c>
    </row>
    <row r="184" spans="1:45">
      <c r="A184" s="8">
        <v>630029</v>
      </c>
      <c r="B184" s="8">
        <v>1001</v>
      </c>
      <c r="C184" s="8">
        <v>7</v>
      </c>
      <c r="D184" s="8">
        <v>1005</v>
      </c>
      <c r="E184" t="s">
        <v>674</v>
      </c>
      <c r="F184" t="s">
        <v>675</v>
      </c>
      <c r="G184" t="s">
        <v>676</v>
      </c>
      <c r="H184" s="117" t="s">
        <v>677</v>
      </c>
      <c r="I184">
        <v>1</v>
      </c>
      <c r="J184" s="69">
        <v>5</v>
      </c>
      <c r="K184" s="87">
        <v>3</v>
      </c>
      <c r="L184" s="8">
        <v>999</v>
      </c>
      <c r="M184" s="8">
        <v>0</v>
      </c>
      <c r="N184" s="8"/>
      <c r="O184" s="88">
        <v>113029</v>
      </c>
      <c r="P184" s="8" t="s">
        <v>438</v>
      </c>
      <c r="Q184" s="8"/>
      <c r="R184" t="s">
        <v>439</v>
      </c>
      <c r="S184" s="89">
        <v>0</v>
      </c>
      <c r="T184" s="8">
        <v>5</v>
      </c>
      <c r="U184" s="89">
        <v>200</v>
      </c>
      <c r="V184" s="87">
        <v>1</v>
      </c>
      <c r="W184">
        <v>1</v>
      </c>
      <c r="X184" s="8">
        <v>1</v>
      </c>
      <c r="Y184">
        <v>0</v>
      </c>
      <c r="Z184" s="33">
        <v>0</v>
      </c>
      <c r="AA184">
        <v>5</v>
      </c>
      <c r="AB184" s="34">
        <v>7600</v>
      </c>
      <c r="AC184" s="87">
        <v>601</v>
      </c>
      <c r="AD184" s="62">
        <v>0</v>
      </c>
      <c r="AE184" s="90">
        <v>0</v>
      </c>
      <c r="AF184" s="90">
        <v>0</v>
      </c>
      <c r="AG184" s="91"/>
      <c r="AH184" s="91">
        <v>1</v>
      </c>
      <c r="AI184" s="91"/>
      <c r="AJ184" s="91"/>
      <c r="AK184" s="91"/>
      <c r="AL184" s="92">
        <v>1</v>
      </c>
      <c r="AM184" s="92"/>
      <c r="AN184" s="93"/>
      <c r="AO184" s="92"/>
      <c r="AP184" s="147"/>
      <c r="AS184">
        <v>1</v>
      </c>
    </row>
    <row r="185" spans="1:45">
      <c r="A185" s="8">
        <v>630030</v>
      </c>
      <c r="B185" s="8">
        <v>1001</v>
      </c>
      <c r="C185" s="8">
        <v>7</v>
      </c>
      <c r="D185" s="8">
        <v>1005</v>
      </c>
      <c r="E185" t="s">
        <v>678</v>
      </c>
      <c r="F185" t="s">
        <v>679</v>
      </c>
      <c r="G185" t="s">
        <v>680</v>
      </c>
      <c r="H185" s="117" t="s">
        <v>681</v>
      </c>
      <c r="I185">
        <v>1</v>
      </c>
      <c r="J185" s="69">
        <v>5</v>
      </c>
      <c r="K185" s="87">
        <v>3</v>
      </c>
      <c r="L185" s="8">
        <v>999</v>
      </c>
      <c r="M185" s="8">
        <v>0</v>
      </c>
      <c r="N185" s="8"/>
      <c r="O185" s="88">
        <v>113030</v>
      </c>
      <c r="P185" s="8" t="s">
        <v>438</v>
      </c>
      <c r="Q185" s="8"/>
      <c r="R185" t="s">
        <v>439</v>
      </c>
      <c r="S185" s="89">
        <v>0</v>
      </c>
      <c r="T185" s="8">
        <v>5</v>
      </c>
      <c r="U185" s="89">
        <v>200</v>
      </c>
      <c r="V185" s="87">
        <v>1</v>
      </c>
      <c r="W185">
        <v>1</v>
      </c>
      <c r="X185" s="8">
        <v>1</v>
      </c>
      <c r="Y185">
        <v>0</v>
      </c>
      <c r="Z185" s="33">
        <v>0</v>
      </c>
      <c r="AA185">
        <v>5</v>
      </c>
      <c r="AB185" s="34">
        <v>7600</v>
      </c>
      <c r="AC185" s="87">
        <v>601</v>
      </c>
      <c r="AD185" s="62">
        <v>0</v>
      </c>
      <c r="AE185" s="90">
        <v>0</v>
      </c>
      <c r="AF185" s="90">
        <v>0</v>
      </c>
      <c r="AG185" s="91"/>
      <c r="AH185" s="91">
        <v>1</v>
      </c>
      <c r="AI185" s="91"/>
      <c r="AJ185" s="91"/>
      <c r="AK185" s="91"/>
      <c r="AL185" s="92">
        <v>1</v>
      </c>
      <c r="AM185" s="92"/>
      <c r="AN185" s="93"/>
      <c r="AO185" s="92"/>
      <c r="AP185" s="147"/>
      <c r="AS185">
        <v>1</v>
      </c>
    </row>
    <row r="186" spans="1:45">
      <c r="A186" s="8">
        <v>630031</v>
      </c>
      <c r="B186" s="8">
        <v>1001</v>
      </c>
      <c r="C186" s="8">
        <v>7</v>
      </c>
      <c r="D186" s="8">
        <v>1005</v>
      </c>
      <c r="E186" t="s">
        <v>682</v>
      </c>
      <c r="F186" t="s">
        <v>682</v>
      </c>
      <c r="G186" t="s">
        <v>683</v>
      </c>
      <c r="H186" s="117" t="s">
        <v>684</v>
      </c>
      <c r="I186">
        <v>1</v>
      </c>
      <c r="J186" s="69">
        <v>5</v>
      </c>
      <c r="K186" s="87">
        <v>3</v>
      </c>
      <c r="L186" s="8">
        <v>999</v>
      </c>
      <c r="M186" s="8">
        <v>0</v>
      </c>
      <c r="N186" s="8"/>
      <c r="O186" s="88">
        <v>113031</v>
      </c>
      <c r="P186" s="8" t="s">
        <v>438</v>
      </c>
      <c r="Q186" s="8"/>
      <c r="R186" t="s">
        <v>439</v>
      </c>
      <c r="S186" s="89">
        <v>0</v>
      </c>
      <c r="T186" s="8">
        <v>5</v>
      </c>
      <c r="U186" s="89">
        <v>200</v>
      </c>
      <c r="V186" s="87">
        <v>1</v>
      </c>
      <c r="W186">
        <v>1</v>
      </c>
      <c r="X186" s="8">
        <v>1</v>
      </c>
      <c r="Y186">
        <v>0</v>
      </c>
      <c r="Z186" s="33">
        <v>0</v>
      </c>
      <c r="AA186">
        <v>5</v>
      </c>
      <c r="AB186" s="34">
        <v>7600</v>
      </c>
      <c r="AC186" s="87">
        <v>601</v>
      </c>
      <c r="AD186" s="62">
        <v>0</v>
      </c>
      <c r="AE186" s="90">
        <v>0</v>
      </c>
      <c r="AF186" s="90">
        <v>0</v>
      </c>
      <c r="AG186" s="91"/>
      <c r="AH186" s="91">
        <v>1</v>
      </c>
      <c r="AI186" s="91"/>
      <c r="AJ186" s="91"/>
      <c r="AK186" s="91"/>
      <c r="AL186" s="92">
        <v>1</v>
      </c>
      <c r="AM186" s="92"/>
      <c r="AN186" s="93"/>
      <c r="AO186" s="92"/>
      <c r="AP186" s="147"/>
      <c r="AS186">
        <v>1</v>
      </c>
    </row>
    <row r="187" spans="1:45">
      <c r="A187" s="8">
        <v>630032</v>
      </c>
      <c r="B187" s="8">
        <v>1001</v>
      </c>
      <c r="C187" s="8">
        <v>7</v>
      </c>
      <c r="D187" s="8">
        <v>1005</v>
      </c>
      <c r="E187" t="s">
        <v>685</v>
      </c>
      <c r="F187" t="s">
        <v>686</v>
      </c>
      <c r="G187" t="s">
        <v>687</v>
      </c>
      <c r="H187" s="117" t="s">
        <v>688</v>
      </c>
      <c r="I187">
        <v>1</v>
      </c>
      <c r="J187" s="69">
        <v>5</v>
      </c>
      <c r="K187" s="87">
        <v>3</v>
      </c>
      <c r="L187" s="8">
        <v>999</v>
      </c>
      <c r="M187" s="8">
        <v>0</v>
      </c>
      <c r="N187" s="8"/>
      <c r="O187" s="88">
        <v>113032</v>
      </c>
      <c r="P187" s="8" t="s">
        <v>438</v>
      </c>
      <c r="Q187" s="8"/>
      <c r="R187" t="s">
        <v>439</v>
      </c>
      <c r="S187" s="89">
        <v>0</v>
      </c>
      <c r="T187" s="8">
        <v>5</v>
      </c>
      <c r="U187" s="89">
        <v>200</v>
      </c>
      <c r="V187" s="87">
        <v>1</v>
      </c>
      <c r="W187">
        <v>1</v>
      </c>
      <c r="X187" s="8">
        <v>1</v>
      </c>
      <c r="Y187">
        <v>0</v>
      </c>
      <c r="Z187" s="33">
        <v>0</v>
      </c>
      <c r="AA187">
        <v>5</v>
      </c>
      <c r="AB187" s="34">
        <v>7600</v>
      </c>
      <c r="AC187" s="87">
        <v>601</v>
      </c>
      <c r="AD187" s="62">
        <v>0</v>
      </c>
      <c r="AE187" s="90">
        <v>0</v>
      </c>
      <c r="AF187" s="90">
        <v>0</v>
      </c>
      <c r="AG187" s="91"/>
      <c r="AH187" s="91">
        <v>1</v>
      </c>
      <c r="AI187" s="91"/>
      <c r="AJ187" s="91"/>
      <c r="AK187" s="91"/>
      <c r="AL187" s="92">
        <v>1</v>
      </c>
      <c r="AM187" s="92"/>
      <c r="AN187" s="93"/>
      <c r="AO187" s="92"/>
      <c r="AP187" s="147"/>
      <c r="AS187">
        <v>1</v>
      </c>
    </row>
    <row r="188" spans="1:45">
      <c r="A188" s="8">
        <v>630033</v>
      </c>
      <c r="B188" s="8">
        <v>1001</v>
      </c>
      <c r="C188" s="8">
        <v>7</v>
      </c>
      <c r="D188" s="8">
        <v>1005</v>
      </c>
      <c r="E188" t="s">
        <v>689</v>
      </c>
      <c r="F188" t="s">
        <v>690</v>
      </c>
      <c r="G188" t="s">
        <v>691</v>
      </c>
      <c r="H188" s="117" t="s">
        <v>692</v>
      </c>
      <c r="I188">
        <v>1</v>
      </c>
      <c r="J188" s="69">
        <v>5</v>
      </c>
      <c r="K188" s="87">
        <v>3</v>
      </c>
      <c r="L188" s="8">
        <v>999</v>
      </c>
      <c r="M188" s="8">
        <v>0</v>
      </c>
      <c r="N188" s="8"/>
      <c r="O188" s="88">
        <v>113033</v>
      </c>
      <c r="P188" s="8" t="s">
        <v>438</v>
      </c>
      <c r="Q188" s="8"/>
      <c r="R188" t="s">
        <v>439</v>
      </c>
      <c r="S188" s="89">
        <v>0</v>
      </c>
      <c r="T188" s="8">
        <v>5</v>
      </c>
      <c r="U188" s="89">
        <v>200</v>
      </c>
      <c r="V188" s="87">
        <v>1</v>
      </c>
      <c r="W188">
        <v>1</v>
      </c>
      <c r="X188" s="8">
        <v>1</v>
      </c>
      <c r="Y188">
        <v>0</v>
      </c>
      <c r="Z188" s="33">
        <v>0</v>
      </c>
      <c r="AA188">
        <v>5</v>
      </c>
      <c r="AB188" s="34">
        <v>7600</v>
      </c>
      <c r="AC188" s="87">
        <v>601</v>
      </c>
      <c r="AD188" s="62">
        <v>0</v>
      </c>
      <c r="AE188" s="90">
        <v>0</v>
      </c>
      <c r="AF188" s="90">
        <v>0</v>
      </c>
      <c r="AG188" s="91"/>
      <c r="AH188" s="91">
        <v>1</v>
      </c>
      <c r="AI188" s="91"/>
      <c r="AJ188" s="91"/>
      <c r="AK188" s="91"/>
      <c r="AL188" s="92">
        <v>1</v>
      </c>
      <c r="AM188" s="92"/>
      <c r="AN188" s="93"/>
      <c r="AO188" s="92"/>
      <c r="AP188" s="147"/>
      <c r="AS188">
        <v>1</v>
      </c>
    </row>
    <row r="189" spans="1:45">
      <c r="A189" s="8">
        <v>630034</v>
      </c>
      <c r="B189" s="8">
        <v>1001</v>
      </c>
      <c r="C189" s="8">
        <v>7</v>
      </c>
      <c r="D189" s="8">
        <v>1005</v>
      </c>
      <c r="E189" t="s">
        <v>693</v>
      </c>
      <c r="F189" t="s">
        <v>694</v>
      </c>
      <c r="G189" t="s">
        <v>695</v>
      </c>
      <c r="H189" s="117" t="s">
        <v>696</v>
      </c>
      <c r="I189">
        <v>1</v>
      </c>
      <c r="J189" s="69">
        <v>5</v>
      </c>
      <c r="K189" s="87">
        <v>3</v>
      </c>
      <c r="L189" s="8">
        <v>999</v>
      </c>
      <c r="M189" s="8">
        <v>0</v>
      </c>
      <c r="N189" s="8"/>
      <c r="O189" s="88">
        <v>113034</v>
      </c>
      <c r="P189" s="8" t="s">
        <v>438</v>
      </c>
      <c r="Q189" s="8"/>
      <c r="R189" t="s">
        <v>439</v>
      </c>
      <c r="S189" s="89">
        <v>0</v>
      </c>
      <c r="T189" s="8">
        <v>5</v>
      </c>
      <c r="U189" s="89">
        <v>200</v>
      </c>
      <c r="V189" s="87">
        <v>1</v>
      </c>
      <c r="W189">
        <v>1</v>
      </c>
      <c r="X189" s="8">
        <v>1</v>
      </c>
      <c r="Y189">
        <v>0</v>
      </c>
      <c r="Z189" s="33">
        <v>0</v>
      </c>
      <c r="AA189">
        <v>5</v>
      </c>
      <c r="AB189" s="34">
        <v>7600</v>
      </c>
      <c r="AC189" s="87">
        <v>601</v>
      </c>
      <c r="AD189" s="62">
        <v>0</v>
      </c>
      <c r="AE189" s="90">
        <v>0</v>
      </c>
      <c r="AF189" s="90">
        <v>0</v>
      </c>
      <c r="AG189" s="91"/>
      <c r="AH189" s="91">
        <v>1</v>
      </c>
      <c r="AI189" s="91"/>
      <c r="AJ189" s="91"/>
      <c r="AK189" s="91"/>
      <c r="AL189" s="92">
        <v>1</v>
      </c>
      <c r="AM189" s="92"/>
      <c r="AN189" s="93"/>
      <c r="AO189" s="92"/>
      <c r="AP189" s="147"/>
      <c r="AS189">
        <v>1</v>
      </c>
    </row>
    <row r="190" spans="1:45">
      <c r="A190" s="8">
        <v>630035</v>
      </c>
      <c r="B190" s="8">
        <v>1001</v>
      </c>
      <c r="C190" s="8">
        <v>7</v>
      </c>
      <c r="D190" s="8">
        <v>1005</v>
      </c>
      <c r="E190" t="s">
        <v>697</v>
      </c>
      <c r="F190" t="s">
        <v>698</v>
      </c>
      <c r="G190" t="s">
        <v>699</v>
      </c>
      <c r="H190" s="117" t="s">
        <v>700</v>
      </c>
      <c r="I190">
        <v>1</v>
      </c>
      <c r="J190" s="69">
        <v>5</v>
      </c>
      <c r="K190" s="87">
        <v>3</v>
      </c>
      <c r="L190" s="8">
        <v>999</v>
      </c>
      <c r="M190" s="8">
        <v>0</v>
      </c>
      <c r="N190" s="8"/>
      <c r="O190" s="88">
        <v>113035</v>
      </c>
      <c r="P190" s="8" t="s">
        <v>438</v>
      </c>
      <c r="Q190" s="8"/>
      <c r="R190" t="s">
        <v>439</v>
      </c>
      <c r="S190" s="89">
        <v>0</v>
      </c>
      <c r="T190" s="8">
        <v>5</v>
      </c>
      <c r="U190" s="89">
        <v>200</v>
      </c>
      <c r="V190" s="87">
        <v>1</v>
      </c>
      <c r="W190">
        <v>1</v>
      </c>
      <c r="X190" s="8">
        <v>1</v>
      </c>
      <c r="Y190">
        <v>0</v>
      </c>
      <c r="Z190" s="33">
        <v>0</v>
      </c>
      <c r="AA190">
        <v>5</v>
      </c>
      <c r="AB190" s="34">
        <v>7600</v>
      </c>
      <c r="AC190" s="87">
        <v>601</v>
      </c>
      <c r="AD190" s="62">
        <v>0</v>
      </c>
      <c r="AE190" s="90">
        <v>0</v>
      </c>
      <c r="AF190" s="90">
        <v>0</v>
      </c>
      <c r="AG190" s="91"/>
      <c r="AH190" s="91">
        <v>1</v>
      </c>
      <c r="AI190" s="91"/>
      <c r="AJ190" s="91"/>
      <c r="AK190" s="91"/>
      <c r="AL190" s="92">
        <v>1</v>
      </c>
      <c r="AM190" s="92"/>
      <c r="AN190" s="93"/>
      <c r="AO190" s="92"/>
      <c r="AP190" s="147"/>
      <c r="AS190">
        <v>1</v>
      </c>
    </row>
    <row r="191" spans="1:45">
      <c r="A191" s="8">
        <v>630036</v>
      </c>
      <c r="B191" s="8">
        <v>1001</v>
      </c>
      <c r="C191" s="8">
        <v>7</v>
      </c>
      <c r="D191" s="8">
        <v>1005</v>
      </c>
      <c r="E191" t="s">
        <v>701</v>
      </c>
      <c r="F191" t="s">
        <v>702</v>
      </c>
      <c r="G191" t="s">
        <v>703</v>
      </c>
      <c r="H191" s="117" t="s">
        <v>704</v>
      </c>
      <c r="I191">
        <v>1</v>
      </c>
      <c r="J191" s="69">
        <v>5</v>
      </c>
      <c r="K191" s="87">
        <v>3</v>
      </c>
      <c r="L191" s="8">
        <v>999</v>
      </c>
      <c r="M191" s="8">
        <v>0</v>
      </c>
      <c r="N191" s="8"/>
      <c r="O191" s="88">
        <v>113036</v>
      </c>
      <c r="P191" s="8" t="s">
        <v>438</v>
      </c>
      <c r="Q191" s="8"/>
      <c r="R191" t="s">
        <v>439</v>
      </c>
      <c r="S191" s="89">
        <v>0</v>
      </c>
      <c r="T191" s="8">
        <v>5</v>
      </c>
      <c r="U191" s="89">
        <v>200</v>
      </c>
      <c r="V191" s="87">
        <v>1</v>
      </c>
      <c r="W191">
        <v>1</v>
      </c>
      <c r="X191" s="8">
        <v>1</v>
      </c>
      <c r="Y191">
        <v>0</v>
      </c>
      <c r="Z191" s="33">
        <v>0</v>
      </c>
      <c r="AA191">
        <v>5</v>
      </c>
      <c r="AB191" s="34">
        <v>7600</v>
      </c>
      <c r="AC191" s="87">
        <v>601</v>
      </c>
      <c r="AD191" s="62">
        <v>0</v>
      </c>
      <c r="AE191" s="90">
        <v>0</v>
      </c>
      <c r="AF191" s="90">
        <v>0</v>
      </c>
      <c r="AG191" s="91"/>
      <c r="AH191" s="91">
        <v>1</v>
      </c>
      <c r="AI191" s="91"/>
      <c r="AJ191" s="91"/>
      <c r="AK191" s="91"/>
      <c r="AL191" s="92">
        <v>1</v>
      </c>
      <c r="AM191" s="92"/>
      <c r="AN191" s="93"/>
      <c r="AO191" s="92"/>
      <c r="AP191" s="147"/>
      <c r="AS191">
        <v>1</v>
      </c>
    </row>
    <row r="192" spans="1:45">
      <c r="A192" s="8">
        <v>630037</v>
      </c>
      <c r="B192" s="8">
        <v>1001</v>
      </c>
      <c r="C192" s="8">
        <v>7</v>
      </c>
      <c r="D192" s="8">
        <v>1005</v>
      </c>
      <c r="E192" t="s">
        <v>705</v>
      </c>
      <c r="F192" t="s">
        <v>706</v>
      </c>
      <c r="G192" t="s">
        <v>707</v>
      </c>
      <c r="H192" s="117" t="s">
        <v>708</v>
      </c>
      <c r="I192">
        <v>1</v>
      </c>
      <c r="J192" s="69">
        <v>5</v>
      </c>
      <c r="K192" s="87">
        <v>3</v>
      </c>
      <c r="L192" s="8">
        <v>999</v>
      </c>
      <c r="M192" s="8">
        <v>0</v>
      </c>
      <c r="N192" s="8"/>
      <c r="O192" s="88">
        <v>113037</v>
      </c>
      <c r="P192" s="8" t="s">
        <v>438</v>
      </c>
      <c r="Q192" s="8"/>
      <c r="R192" t="s">
        <v>439</v>
      </c>
      <c r="S192" s="89">
        <v>0</v>
      </c>
      <c r="T192" s="8">
        <v>5</v>
      </c>
      <c r="U192" s="89">
        <v>200</v>
      </c>
      <c r="V192" s="87">
        <v>1</v>
      </c>
      <c r="W192">
        <v>1</v>
      </c>
      <c r="X192" s="8">
        <v>1</v>
      </c>
      <c r="Y192">
        <v>0</v>
      </c>
      <c r="Z192" s="33">
        <v>0</v>
      </c>
      <c r="AA192">
        <v>5</v>
      </c>
      <c r="AB192" s="34">
        <v>7600</v>
      </c>
      <c r="AC192" s="87">
        <v>601</v>
      </c>
      <c r="AD192" s="62">
        <v>0</v>
      </c>
      <c r="AE192" s="90">
        <v>0</v>
      </c>
      <c r="AF192" s="90">
        <v>0</v>
      </c>
      <c r="AG192" s="91"/>
      <c r="AH192" s="91">
        <v>1</v>
      </c>
      <c r="AI192" s="91"/>
      <c r="AJ192" s="91"/>
      <c r="AK192" s="91"/>
      <c r="AL192" s="92">
        <v>1</v>
      </c>
      <c r="AM192" s="92"/>
      <c r="AN192" s="93"/>
      <c r="AO192" s="92"/>
      <c r="AP192" s="147"/>
      <c r="AS192">
        <v>1</v>
      </c>
    </row>
    <row r="193" spans="1:45">
      <c r="A193" s="8">
        <v>630038</v>
      </c>
      <c r="B193" s="8">
        <v>1001</v>
      </c>
      <c r="C193" s="8">
        <v>7</v>
      </c>
      <c r="D193" s="8">
        <v>1005</v>
      </c>
      <c r="E193" t="s">
        <v>709</v>
      </c>
      <c r="F193" t="s">
        <v>710</v>
      </c>
      <c r="G193" t="s">
        <v>711</v>
      </c>
      <c r="H193" s="117" t="s">
        <v>712</v>
      </c>
      <c r="I193">
        <v>1</v>
      </c>
      <c r="J193" s="69">
        <v>5</v>
      </c>
      <c r="K193" s="87">
        <v>3</v>
      </c>
      <c r="L193" s="8">
        <v>999</v>
      </c>
      <c r="M193" s="8">
        <v>0</v>
      </c>
      <c r="N193" s="8"/>
      <c r="O193" s="88">
        <v>113038</v>
      </c>
      <c r="P193" s="8" t="s">
        <v>438</v>
      </c>
      <c r="Q193" s="8"/>
      <c r="R193" t="s">
        <v>439</v>
      </c>
      <c r="S193" s="89">
        <v>0</v>
      </c>
      <c r="T193" s="8">
        <v>5</v>
      </c>
      <c r="U193" s="89">
        <v>200</v>
      </c>
      <c r="V193" s="87">
        <v>1</v>
      </c>
      <c r="W193">
        <v>1</v>
      </c>
      <c r="X193" s="8">
        <v>1</v>
      </c>
      <c r="Y193">
        <v>0</v>
      </c>
      <c r="Z193" s="33">
        <v>0</v>
      </c>
      <c r="AA193">
        <v>5</v>
      </c>
      <c r="AB193" s="34">
        <v>7600</v>
      </c>
      <c r="AC193" s="87">
        <v>601</v>
      </c>
      <c r="AD193" s="62">
        <v>0</v>
      </c>
      <c r="AE193" s="90">
        <v>0</v>
      </c>
      <c r="AF193" s="90">
        <v>0</v>
      </c>
      <c r="AG193" s="91"/>
      <c r="AH193" s="91">
        <v>1</v>
      </c>
      <c r="AI193" s="91"/>
      <c r="AJ193" s="91"/>
      <c r="AK193" s="91"/>
      <c r="AL193" s="92">
        <v>1</v>
      </c>
      <c r="AM193" s="92"/>
      <c r="AN193" s="93"/>
      <c r="AO193" s="92"/>
      <c r="AP193" s="147"/>
      <c r="AS193">
        <v>1</v>
      </c>
    </row>
    <row r="194" spans="1:45">
      <c r="A194" s="8">
        <v>630039</v>
      </c>
      <c r="B194" s="8">
        <v>1001</v>
      </c>
      <c r="C194" s="8">
        <v>7</v>
      </c>
      <c r="D194" s="8">
        <v>1005</v>
      </c>
      <c r="E194" t="s">
        <v>713</v>
      </c>
      <c r="F194" t="s">
        <v>714</v>
      </c>
      <c r="G194" t="s">
        <v>715</v>
      </c>
      <c r="H194" s="117" t="s">
        <v>716</v>
      </c>
      <c r="I194">
        <v>1</v>
      </c>
      <c r="J194" s="69">
        <v>5</v>
      </c>
      <c r="K194" s="87">
        <v>3</v>
      </c>
      <c r="L194" s="8">
        <v>999</v>
      </c>
      <c r="M194" s="8">
        <v>0</v>
      </c>
      <c r="N194" s="8"/>
      <c r="O194" s="88">
        <v>113039</v>
      </c>
      <c r="P194" s="8" t="s">
        <v>438</v>
      </c>
      <c r="Q194" s="8"/>
      <c r="R194" t="s">
        <v>439</v>
      </c>
      <c r="S194" s="89">
        <v>0</v>
      </c>
      <c r="T194" s="8">
        <v>5</v>
      </c>
      <c r="U194" s="89">
        <v>200</v>
      </c>
      <c r="V194" s="87">
        <v>1</v>
      </c>
      <c r="W194">
        <v>1</v>
      </c>
      <c r="X194" s="8">
        <v>1</v>
      </c>
      <c r="Y194">
        <v>0</v>
      </c>
      <c r="Z194" s="33">
        <v>0</v>
      </c>
      <c r="AA194">
        <v>5</v>
      </c>
      <c r="AB194" s="34">
        <v>7600</v>
      </c>
      <c r="AC194" s="87">
        <v>601</v>
      </c>
      <c r="AD194" s="62">
        <v>0</v>
      </c>
      <c r="AE194" s="90">
        <v>0</v>
      </c>
      <c r="AF194" s="90">
        <v>0</v>
      </c>
      <c r="AG194" s="91"/>
      <c r="AH194" s="91">
        <v>1</v>
      </c>
      <c r="AI194" s="91"/>
      <c r="AJ194" s="91"/>
      <c r="AK194" s="91"/>
      <c r="AL194" s="92">
        <v>1</v>
      </c>
      <c r="AM194" s="92"/>
      <c r="AN194" s="93"/>
      <c r="AO194" s="92"/>
      <c r="AP194" s="147"/>
      <c r="AS194">
        <v>1</v>
      </c>
    </row>
    <row r="195" spans="1:45">
      <c r="A195" s="8">
        <v>630043</v>
      </c>
      <c r="B195" s="8">
        <v>1001</v>
      </c>
      <c r="C195" s="8">
        <v>7</v>
      </c>
      <c r="D195" s="8">
        <v>1005</v>
      </c>
      <c r="E195" t="s">
        <v>717</v>
      </c>
      <c r="F195" t="s">
        <v>718</v>
      </c>
      <c r="G195" t="s">
        <v>719</v>
      </c>
      <c r="H195" s="117" t="s">
        <v>720</v>
      </c>
      <c r="I195">
        <v>1</v>
      </c>
      <c r="J195" s="69">
        <v>5</v>
      </c>
      <c r="K195" s="87">
        <v>3</v>
      </c>
      <c r="L195" s="8">
        <v>999</v>
      </c>
      <c r="M195" s="8">
        <v>0</v>
      </c>
      <c r="N195" s="8"/>
      <c r="O195" s="88">
        <v>113043</v>
      </c>
      <c r="P195" s="8" t="s">
        <v>438</v>
      </c>
      <c r="Q195" s="8"/>
      <c r="R195" t="s">
        <v>439</v>
      </c>
      <c r="S195" s="89">
        <v>0</v>
      </c>
      <c r="T195" s="8">
        <v>5</v>
      </c>
      <c r="U195" s="89">
        <v>200</v>
      </c>
      <c r="V195" s="87">
        <v>1</v>
      </c>
      <c r="W195">
        <v>1</v>
      </c>
      <c r="X195" s="8">
        <v>1</v>
      </c>
      <c r="Y195">
        <v>0</v>
      </c>
      <c r="Z195" s="33">
        <v>0</v>
      </c>
      <c r="AA195">
        <v>5</v>
      </c>
      <c r="AB195" s="34">
        <v>7600</v>
      </c>
      <c r="AC195" s="87">
        <v>601</v>
      </c>
      <c r="AD195" s="62">
        <v>0</v>
      </c>
      <c r="AE195" s="90">
        <v>0</v>
      </c>
      <c r="AF195" s="90">
        <v>0</v>
      </c>
      <c r="AG195" s="91"/>
      <c r="AH195" s="91">
        <v>1</v>
      </c>
      <c r="AI195" s="91"/>
      <c r="AJ195" s="91"/>
      <c r="AK195" s="91"/>
      <c r="AL195" s="92">
        <v>1</v>
      </c>
      <c r="AM195" s="92"/>
      <c r="AN195" s="93"/>
      <c r="AO195" s="92"/>
      <c r="AP195" s="147"/>
      <c r="AS195">
        <v>1</v>
      </c>
    </row>
    <row r="196" spans="1:45">
      <c r="A196" s="8">
        <v>630040</v>
      </c>
      <c r="B196" s="8">
        <v>1001</v>
      </c>
      <c r="C196" s="8">
        <v>7</v>
      </c>
      <c r="D196" s="8">
        <v>1005</v>
      </c>
      <c r="E196" t="s">
        <v>721</v>
      </c>
      <c r="F196" t="s">
        <v>722</v>
      </c>
      <c r="G196" t="s">
        <v>723</v>
      </c>
      <c r="H196" s="117" t="s">
        <v>724</v>
      </c>
      <c r="I196">
        <v>1</v>
      </c>
      <c r="J196" s="69">
        <v>5</v>
      </c>
      <c r="K196" s="87">
        <v>3</v>
      </c>
      <c r="L196" s="8">
        <v>999</v>
      </c>
      <c r="M196" s="8">
        <v>0</v>
      </c>
      <c r="N196" s="8"/>
      <c r="O196" s="88">
        <v>113040</v>
      </c>
      <c r="P196" s="8" t="s">
        <v>438</v>
      </c>
      <c r="Q196" s="8"/>
      <c r="R196" t="s">
        <v>439</v>
      </c>
      <c r="S196" s="89">
        <v>0</v>
      </c>
      <c r="T196" s="8">
        <v>5</v>
      </c>
      <c r="U196" s="89">
        <v>200</v>
      </c>
      <c r="V196" s="87">
        <v>1</v>
      </c>
      <c r="W196">
        <v>1</v>
      </c>
      <c r="X196" s="8">
        <v>1</v>
      </c>
      <c r="Y196">
        <v>0</v>
      </c>
      <c r="Z196" s="33">
        <v>0</v>
      </c>
      <c r="AA196">
        <v>5</v>
      </c>
      <c r="AB196" s="34">
        <v>7600</v>
      </c>
      <c r="AC196" s="87">
        <v>601</v>
      </c>
      <c r="AD196" s="62">
        <v>0</v>
      </c>
      <c r="AE196" s="90">
        <v>0</v>
      </c>
      <c r="AF196" s="90">
        <v>0</v>
      </c>
      <c r="AG196" s="91"/>
      <c r="AH196" s="91">
        <v>1</v>
      </c>
      <c r="AI196" s="91"/>
      <c r="AJ196" s="91"/>
      <c r="AK196" s="91"/>
      <c r="AL196" s="92">
        <v>1</v>
      </c>
      <c r="AM196" s="92"/>
      <c r="AN196" s="93"/>
      <c r="AO196" s="92"/>
      <c r="AP196" s="147"/>
      <c r="AS196">
        <v>1</v>
      </c>
    </row>
    <row r="197" spans="1:45">
      <c r="A197" s="8">
        <v>630041</v>
      </c>
      <c r="B197" s="8">
        <v>1001</v>
      </c>
      <c r="C197" s="8">
        <v>7</v>
      </c>
      <c r="D197" s="8">
        <v>1005</v>
      </c>
      <c r="E197" t="s">
        <v>725</v>
      </c>
      <c r="F197" t="s">
        <v>726</v>
      </c>
      <c r="G197" t="s">
        <v>727</v>
      </c>
      <c r="H197" s="117" t="s">
        <v>728</v>
      </c>
      <c r="I197">
        <v>1</v>
      </c>
      <c r="J197" s="69">
        <v>5</v>
      </c>
      <c r="K197" s="87">
        <v>3</v>
      </c>
      <c r="L197" s="8">
        <v>999</v>
      </c>
      <c r="M197" s="8">
        <v>0</v>
      </c>
      <c r="N197" s="8"/>
      <c r="O197" s="88">
        <v>113041</v>
      </c>
      <c r="P197" s="8" t="s">
        <v>438</v>
      </c>
      <c r="Q197" s="8"/>
      <c r="R197" t="s">
        <v>439</v>
      </c>
      <c r="S197" s="89">
        <v>0</v>
      </c>
      <c r="T197" s="8">
        <v>5</v>
      </c>
      <c r="U197" s="89">
        <v>200</v>
      </c>
      <c r="V197" s="87">
        <v>1</v>
      </c>
      <c r="W197">
        <v>1</v>
      </c>
      <c r="X197" s="8">
        <v>1</v>
      </c>
      <c r="Y197">
        <v>0</v>
      </c>
      <c r="Z197" s="33">
        <v>0</v>
      </c>
      <c r="AA197">
        <v>5</v>
      </c>
      <c r="AB197" s="34">
        <v>7600</v>
      </c>
      <c r="AC197" s="87">
        <v>601</v>
      </c>
      <c r="AD197" s="62">
        <v>0</v>
      </c>
      <c r="AE197" s="90">
        <v>0</v>
      </c>
      <c r="AF197" s="90">
        <v>0</v>
      </c>
      <c r="AG197" s="91"/>
      <c r="AH197" s="91">
        <v>1</v>
      </c>
      <c r="AI197" s="91"/>
      <c r="AJ197" s="91"/>
      <c r="AK197" s="91"/>
      <c r="AL197" s="92">
        <v>1</v>
      </c>
      <c r="AM197" s="92"/>
      <c r="AN197" s="93"/>
      <c r="AO197" s="92"/>
      <c r="AP197" s="147"/>
      <c r="AS197">
        <v>1</v>
      </c>
    </row>
    <row r="198" spans="1:45">
      <c r="A198" s="8">
        <v>630042</v>
      </c>
      <c r="B198" s="8">
        <v>1001</v>
      </c>
      <c r="C198" s="8">
        <v>7</v>
      </c>
      <c r="D198" s="8">
        <v>1005</v>
      </c>
      <c r="E198" t="s">
        <v>729</v>
      </c>
      <c r="F198" t="s">
        <v>730</v>
      </c>
      <c r="G198" t="s">
        <v>731</v>
      </c>
      <c r="H198" s="117" t="s">
        <v>732</v>
      </c>
      <c r="I198">
        <v>1</v>
      </c>
      <c r="J198" s="69">
        <v>5</v>
      </c>
      <c r="K198" s="87">
        <v>3</v>
      </c>
      <c r="L198" s="8">
        <v>999</v>
      </c>
      <c r="M198" s="8">
        <v>0</v>
      </c>
      <c r="N198" s="8"/>
      <c r="O198" s="88">
        <v>113042</v>
      </c>
      <c r="P198" s="8" t="s">
        <v>438</v>
      </c>
      <c r="Q198" s="8"/>
      <c r="R198" t="s">
        <v>439</v>
      </c>
      <c r="S198" s="89">
        <v>0</v>
      </c>
      <c r="T198" s="8">
        <v>5</v>
      </c>
      <c r="U198" s="89">
        <v>200</v>
      </c>
      <c r="V198" s="87">
        <v>1</v>
      </c>
      <c r="W198">
        <v>1</v>
      </c>
      <c r="X198" s="8">
        <v>1</v>
      </c>
      <c r="Y198">
        <v>0</v>
      </c>
      <c r="Z198" s="33">
        <v>0</v>
      </c>
      <c r="AA198">
        <v>5</v>
      </c>
      <c r="AB198" s="34">
        <v>7600</v>
      </c>
      <c r="AC198" s="87">
        <v>601</v>
      </c>
      <c r="AD198" s="62">
        <v>0</v>
      </c>
      <c r="AE198" s="90">
        <v>0</v>
      </c>
      <c r="AF198" s="90">
        <v>0</v>
      </c>
      <c r="AG198" s="91"/>
      <c r="AH198" s="91">
        <v>1</v>
      </c>
      <c r="AI198" s="91"/>
      <c r="AJ198" s="91"/>
      <c r="AK198" s="91"/>
      <c r="AL198" s="92">
        <v>1</v>
      </c>
      <c r="AM198" s="92"/>
      <c r="AN198" s="93"/>
      <c r="AO198" s="92"/>
      <c r="AP198" s="147"/>
      <c r="AS198">
        <v>1</v>
      </c>
    </row>
    <row r="199" spans="1:45">
      <c r="A199" s="8">
        <v>630044</v>
      </c>
      <c r="B199" s="8">
        <v>1001</v>
      </c>
      <c r="C199" s="8">
        <v>7</v>
      </c>
      <c r="D199" s="8">
        <v>1005</v>
      </c>
      <c r="E199" t="s">
        <v>733</v>
      </c>
      <c r="F199" t="s">
        <v>734</v>
      </c>
      <c r="G199" t="s">
        <v>735</v>
      </c>
      <c r="H199" s="117" t="s">
        <v>736</v>
      </c>
      <c r="I199">
        <v>1</v>
      </c>
      <c r="J199" s="69">
        <v>5</v>
      </c>
      <c r="K199" s="87">
        <v>3</v>
      </c>
      <c r="L199" s="8">
        <v>999</v>
      </c>
      <c r="M199" s="8">
        <v>0</v>
      </c>
      <c r="N199" s="8"/>
      <c r="O199" s="88">
        <v>113044</v>
      </c>
      <c r="P199" s="8" t="s">
        <v>438</v>
      </c>
      <c r="Q199" s="8"/>
      <c r="R199" t="s">
        <v>439</v>
      </c>
      <c r="S199" s="89">
        <v>0</v>
      </c>
      <c r="T199" s="8">
        <v>5</v>
      </c>
      <c r="U199" s="89">
        <v>200</v>
      </c>
      <c r="V199" s="87">
        <v>1</v>
      </c>
      <c r="W199">
        <v>1</v>
      </c>
      <c r="X199" s="8">
        <v>1</v>
      </c>
      <c r="Y199">
        <v>0</v>
      </c>
      <c r="Z199" s="33">
        <v>0</v>
      </c>
      <c r="AA199">
        <v>5</v>
      </c>
      <c r="AB199" s="34">
        <v>7600</v>
      </c>
      <c r="AC199" s="87">
        <v>601</v>
      </c>
      <c r="AD199" s="62">
        <v>0</v>
      </c>
      <c r="AE199" s="90">
        <v>0</v>
      </c>
      <c r="AF199" s="90">
        <v>0</v>
      </c>
      <c r="AG199" s="91"/>
      <c r="AH199" s="91">
        <v>1</v>
      </c>
      <c r="AI199" s="91"/>
      <c r="AJ199" s="91"/>
      <c r="AK199" s="91"/>
      <c r="AL199" s="92">
        <v>1</v>
      </c>
      <c r="AM199" s="92"/>
      <c r="AN199" s="93"/>
      <c r="AO199" s="92"/>
      <c r="AP199" s="147"/>
      <c r="AS199">
        <v>1</v>
      </c>
    </row>
    <row r="200" spans="1:45">
      <c r="A200" s="8">
        <v>630045</v>
      </c>
      <c r="B200" s="8">
        <v>1001</v>
      </c>
      <c r="C200" s="8">
        <v>7</v>
      </c>
      <c r="D200" s="8">
        <v>1005</v>
      </c>
      <c r="E200" t="s">
        <v>737</v>
      </c>
      <c r="F200" t="s">
        <v>738</v>
      </c>
      <c r="G200" t="s">
        <v>739</v>
      </c>
      <c r="H200" s="117" t="s">
        <v>740</v>
      </c>
      <c r="I200">
        <v>1</v>
      </c>
      <c r="J200" s="69">
        <v>5</v>
      </c>
      <c r="K200" s="87">
        <v>3</v>
      </c>
      <c r="L200" s="8">
        <v>999</v>
      </c>
      <c r="M200" s="8">
        <v>0</v>
      </c>
      <c r="N200" s="8"/>
      <c r="O200" s="88">
        <v>113045</v>
      </c>
      <c r="P200" s="8" t="s">
        <v>438</v>
      </c>
      <c r="Q200" s="8"/>
      <c r="R200" t="s">
        <v>439</v>
      </c>
      <c r="S200" s="89">
        <v>0</v>
      </c>
      <c r="T200" s="8">
        <v>5</v>
      </c>
      <c r="U200" s="89">
        <v>200</v>
      </c>
      <c r="V200" s="87">
        <v>1</v>
      </c>
      <c r="W200">
        <v>1</v>
      </c>
      <c r="X200" s="8">
        <v>1</v>
      </c>
      <c r="Y200">
        <v>0</v>
      </c>
      <c r="Z200" s="33">
        <v>0</v>
      </c>
      <c r="AA200">
        <v>5</v>
      </c>
      <c r="AB200" s="34">
        <v>7600</v>
      </c>
      <c r="AC200" s="87">
        <v>601</v>
      </c>
      <c r="AD200" s="62">
        <v>0</v>
      </c>
      <c r="AE200" s="90">
        <v>0</v>
      </c>
      <c r="AF200" s="90">
        <v>0</v>
      </c>
      <c r="AG200" s="91"/>
      <c r="AH200" s="91">
        <v>1</v>
      </c>
      <c r="AI200" s="91"/>
      <c r="AJ200" s="91"/>
      <c r="AK200" s="91"/>
      <c r="AL200" s="92">
        <v>1</v>
      </c>
      <c r="AM200" s="92"/>
      <c r="AN200" s="93"/>
      <c r="AO200" s="92"/>
      <c r="AP200" s="147"/>
      <c r="AS200">
        <v>1</v>
      </c>
    </row>
    <row r="201" spans="1:45">
      <c r="A201" s="8">
        <v>630046</v>
      </c>
      <c r="B201" s="8">
        <v>1001</v>
      </c>
      <c r="C201" s="8">
        <v>7</v>
      </c>
      <c r="D201" s="8">
        <v>1005</v>
      </c>
      <c r="E201" t="s">
        <v>741</v>
      </c>
      <c r="F201" t="s">
        <v>742</v>
      </c>
      <c r="G201" t="s">
        <v>743</v>
      </c>
      <c r="H201" s="117" t="s">
        <v>744</v>
      </c>
      <c r="I201">
        <v>1</v>
      </c>
      <c r="J201" s="69">
        <v>5</v>
      </c>
      <c r="K201" s="87">
        <v>3</v>
      </c>
      <c r="L201" s="8">
        <v>999</v>
      </c>
      <c r="M201" s="8">
        <v>0</v>
      </c>
      <c r="N201" s="8"/>
      <c r="O201" s="88">
        <v>113046</v>
      </c>
      <c r="P201" s="8" t="s">
        <v>438</v>
      </c>
      <c r="Q201" s="8"/>
      <c r="R201" t="s">
        <v>439</v>
      </c>
      <c r="S201" s="89">
        <v>0</v>
      </c>
      <c r="T201" s="8">
        <v>5</v>
      </c>
      <c r="U201" s="89">
        <v>200</v>
      </c>
      <c r="V201" s="87">
        <v>1</v>
      </c>
      <c r="W201">
        <v>1</v>
      </c>
      <c r="X201" s="8">
        <v>1</v>
      </c>
      <c r="Y201">
        <v>0</v>
      </c>
      <c r="Z201" s="33">
        <v>0</v>
      </c>
      <c r="AA201">
        <v>5</v>
      </c>
      <c r="AB201" s="34">
        <v>7600</v>
      </c>
      <c r="AC201" s="87">
        <v>601</v>
      </c>
      <c r="AD201" s="62">
        <v>0</v>
      </c>
      <c r="AE201" s="90">
        <v>0</v>
      </c>
      <c r="AF201" s="90">
        <v>0</v>
      </c>
      <c r="AG201" s="91"/>
      <c r="AH201" s="91">
        <v>1</v>
      </c>
      <c r="AI201" s="91"/>
      <c r="AJ201" s="91"/>
      <c r="AK201" s="91"/>
      <c r="AL201" s="92">
        <v>1</v>
      </c>
      <c r="AM201" s="92"/>
      <c r="AN201" s="93"/>
      <c r="AO201" s="92"/>
      <c r="AP201" s="147"/>
      <c r="AS201">
        <v>1</v>
      </c>
    </row>
    <row r="202" spans="1:45">
      <c r="A202" s="8">
        <v>630047</v>
      </c>
      <c r="B202" s="8">
        <v>1001</v>
      </c>
      <c r="C202" s="8">
        <v>7</v>
      </c>
      <c r="D202" s="8">
        <v>1005</v>
      </c>
      <c r="E202" t="s">
        <v>745</v>
      </c>
      <c r="F202" t="s">
        <v>746</v>
      </c>
      <c r="G202" t="s">
        <v>747</v>
      </c>
      <c r="H202" s="117" t="s">
        <v>748</v>
      </c>
      <c r="I202">
        <v>1</v>
      </c>
      <c r="J202" s="69">
        <v>5</v>
      </c>
      <c r="K202" s="87">
        <v>3</v>
      </c>
      <c r="L202" s="8">
        <v>999</v>
      </c>
      <c r="M202" s="8">
        <v>0</v>
      </c>
      <c r="N202" s="8"/>
      <c r="O202" s="88">
        <v>113047</v>
      </c>
      <c r="P202" s="8" t="s">
        <v>438</v>
      </c>
      <c r="Q202" s="8"/>
      <c r="R202" t="s">
        <v>439</v>
      </c>
      <c r="S202" s="89">
        <v>0</v>
      </c>
      <c r="T202" s="8">
        <v>5</v>
      </c>
      <c r="U202" s="89">
        <v>200</v>
      </c>
      <c r="V202" s="87">
        <v>1</v>
      </c>
      <c r="W202">
        <v>1</v>
      </c>
      <c r="X202" s="8">
        <v>1</v>
      </c>
      <c r="Y202">
        <v>0</v>
      </c>
      <c r="Z202" s="33">
        <v>0</v>
      </c>
      <c r="AA202">
        <v>5</v>
      </c>
      <c r="AB202" s="34">
        <v>7600</v>
      </c>
      <c r="AC202" s="87">
        <v>601</v>
      </c>
      <c r="AD202" s="62">
        <v>0</v>
      </c>
      <c r="AE202" s="90">
        <v>0</v>
      </c>
      <c r="AF202" s="90">
        <v>0</v>
      </c>
      <c r="AG202" s="91"/>
      <c r="AH202" s="91">
        <v>1</v>
      </c>
      <c r="AI202" s="91"/>
      <c r="AJ202" s="91"/>
      <c r="AK202" s="91"/>
      <c r="AL202" s="92">
        <v>1</v>
      </c>
      <c r="AM202" s="92"/>
      <c r="AN202" s="93"/>
      <c r="AO202" s="92"/>
      <c r="AP202" s="147"/>
      <c r="AS202">
        <v>1</v>
      </c>
    </row>
    <row r="203" spans="1:45">
      <c r="A203" s="8">
        <v>630049</v>
      </c>
      <c r="B203" s="8">
        <v>1001</v>
      </c>
      <c r="C203" s="8">
        <v>7</v>
      </c>
      <c r="D203" s="8">
        <v>1005</v>
      </c>
      <c r="E203" t="s">
        <v>749</v>
      </c>
      <c r="F203" t="s">
        <v>750</v>
      </c>
      <c r="G203" t="s">
        <v>751</v>
      </c>
      <c r="H203" s="117" t="s">
        <v>752</v>
      </c>
      <c r="I203">
        <v>1</v>
      </c>
      <c r="J203" s="69">
        <v>5</v>
      </c>
      <c r="K203" s="87">
        <v>3</v>
      </c>
      <c r="L203" s="8">
        <v>999</v>
      </c>
      <c r="M203" s="8">
        <v>0</v>
      </c>
      <c r="N203" s="8"/>
      <c r="O203" s="88">
        <v>113049</v>
      </c>
      <c r="P203" s="8" t="s">
        <v>438</v>
      </c>
      <c r="Q203" s="8"/>
      <c r="R203" t="s">
        <v>439</v>
      </c>
      <c r="S203" s="89">
        <v>0</v>
      </c>
      <c r="T203" s="8">
        <v>5</v>
      </c>
      <c r="U203" s="89">
        <v>200</v>
      </c>
      <c r="V203" s="87">
        <v>1</v>
      </c>
      <c r="W203">
        <v>1</v>
      </c>
      <c r="X203" s="8">
        <v>1</v>
      </c>
      <c r="Y203">
        <v>0</v>
      </c>
      <c r="Z203" s="33">
        <v>0</v>
      </c>
      <c r="AA203">
        <v>5</v>
      </c>
      <c r="AB203" s="34">
        <v>7600</v>
      </c>
      <c r="AC203" s="87">
        <v>601</v>
      </c>
      <c r="AD203" s="62">
        <v>0</v>
      </c>
      <c r="AE203" s="90">
        <v>0</v>
      </c>
      <c r="AF203" s="90">
        <v>0</v>
      </c>
      <c r="AG203" s="91"/>
      <c r="AH203" s="91">
        <v>1</v>
      </c>
      <c r="AI203" s="91"/>
      <c r="AJ203" s="91"/>
      <c r="AK203" s="91"/>
      <c r="AL203" s="92">
        <v>1</v>
      </c>
      <c r="AM203" s="92"/>
      <c r="AN203" s="93"/>
      <c r="AO203" s="92"/>
      <c r="AP203" s="147"/>
      <c r="AS203">
        <v>1</v>
      </c>
    </row>
    <row r="204" spans="1:45">
      <c r="A204" s="8">
        <v>630050</v>
      </c>
      <c r="B204" s="8">
        <v>1001</v>
      </c>
      <c r="C204" s="8">
        <v>7</v>
      </c>
      <c r="D204" s="8">
        <v>1005</v>
      </c>
      <c r="E204" t="s">
        <v>753</v>
      </c>
      <c r="F204" t="s">
        <v>754</v>
      </c>
      <c r="G204" t="s">
        <v>755</v>
      </c>
      <c r="H204" s="117" t="s">
        <v>756</v>
      </c>
      <c r="I204">
        <v>1</v>
      </c>
      <c r="J204" s="69">
        <v>5</v>
      </c>
      <c r="K204" s="87">
        <v>3</v>
      </c>
      <c r="L204" s="8">
        <v>999</v>
      </c>
      <c r="M204" s="8">
        <v>0</v>
      </c>
      <c r="N204" s="8"/>
      <c r="O204" s="88">
        <v>113050</v>
      </c>
      <c r="P204" s="8" t="s">
        <v>438</v>
      </c>
      <c r="Q204" s="8"/>
      <c r="R204" t="s">
        <v>439</v>
      </c>
      <c r="S204" s="89">
        <v>0</v>
      </c>
      <c r="T204" s="8">
        <v>5</v>
      </c>
      <c r="U204" s="89">
        <v>200</v>
      </c>
      <c r="V204" s="87">
        <v>1</v>
      </c>
      <c r="W204">
        <v>1</v>
      </c>
      <c r="X204" s="8">
        <v>1</v>
      </c>
      <c r="Y204">
        <v>0</v>
      </c>
      <c r="Z204" s="33">
        <v>0</v>
      </c>
      <c r="AA204">
        <v>5</v>
      </c>
      <c r="AB204" s="34">
        <v>7600</v>
      </c>
      <c r="AC204" s="87">
        <v>601</v>
      </c>
      <c r="AD204" s="62">
        <v>0</v>
      </c>
      <c r="AE204" s="90">
        <v>0</v>
      </c>
      <c r="AF204" s="90">
        <v>0</v>
      </c>
      <c r="AG204" s="91"/>
      <c r="AH204" s="91">
        <v>1</v>
      </c>
      <c r="AI204" s="91"/>
      <c r="AJ204" s="91"/>
      <c r="AK204" s="91"/>
      <c r="AL204" s="92">
        <v>1</v>
      </c>
      <c r="AM204" s="92"/>
      <c r="AN204" s="93"/>
      <c r="AO204" s="92"/>
      <c r="AP204" s="147"/>
      <c r="AS204">
        <v>1</v>
      </c>
    </row>
    <row r="205" spans="1:45">
      <c r="A205" s="8">
        <v>630051</v>
      </c>
      <c r="B205" s="8">
        <v>1001</v>
      </c>
      <c r="C205" s="8">
        <v>7</v>
      </c>
      <c r="D205" s="8">
        <v>1005</v>
      </c>
      <c r="E205" t="s">
        <v>757</v>
      </c>
      <c r="F205" t="s">
        <v>758</v>
      </c>
      <c r="G205" t="s">
        <v>759</v>
      </c>
      <c r="H205" s="117" t="s">
        <v>760</v>
      </c>
      <c r="I205">
        <v>1</v>
      </c>
      <c r="J205" s="69">
        <v>5</v>
      </c>
      <c r="K205" s="87">
        <v>3</v>
      </c>
      <c r="L205" s="8">
        <v>999</v>
      </c>
      <c r="M205" s="8">
        <v>0</v>
      </c>
      <c r="N205" s="8"/>
      <c r="O205" s="88">
        <v>113051</v>
      </c>
      <c r="P205" s="8" t="s">
        <v>438</v>
      </c>
      <c r="Q205" s="8"/>
      <c r="R205" t="s">
        <v>439</v>
      </c>
      <c r="S205" s="89">
        <v>0</v>
      </c>
      <c r="T205" s="8">
        <v>5</v>
      </c>
      <c r="U205" s="89">
        <v>200</v>
      </c>
      <c r="V205" s="87">
        <v>1</v>
      </c>
      <c r="W205">
        <v>1</v>
      </c>
      <c r="X205" s="8">
        <v>1</v>
      </c>
      <c r="Y205">
        <v>0</v>
      </c>
      <c r="Z205" s="33">
        <v>0</v>
      </c>
      <c r="AA205">
        <v>5</v>
      </c>
      <c r="AB205" s="34">
        <v>7600</v>
      </c>
      <c r="AC205" s="87">
        <v>601</v>
      </c>
      <c r="AD205" s="62">
        <v>0</v>
      </c>
      <c r="AE205" s="90">
        <v>0</v>
      </c>
      <c r="AF205" s="90">
        <v>0</v>
      </c>
      <c r="AG205" s="91"/>
      <c r="AH205" s="91">
        <v>1</v>
      </c>
      <c r="AI205" s="91"/>
      <c r="AJ205" s="91"/>
      <c r="AK205" s="91"/>
      <c r="AL205" s="92">
        <v>1</v>
      </c>
      <c r="AM205" s="92"/>
      <c r="AN205" s="93"/>
      <c r="AO205" s="92"/>
      <c r="AP205" s="147"/>
      <c r="AS205">
        <v>1</v>
      </c>
    </row>
    <row r="206" spans="1:45">
      <c r="A206" s="8">
        <v>630052</v>
      </c>
      <c r="B206" s="8">
        <v>1001</v>
      </c>
      <c r="C206" s="8">
        <v>7</v>
      </c>
      <c r="D206" s="8">
        <v>1005</v>
      </c>
      <c r="E206" t="s">
        <v>761</v>
      </c>
      <c r="F206" t="s">
        <v>762</v>
      </c>
      <c r="G206" t="s">
        <v>763</v>
      </c>
      <c r="H206" s="117" t="s">
        <v>764</v>
      </c>
      <c r="I206">
        <v>1</v>
      </c>
      <c r="J206" s="69">
        <v>5</v>
      </c>
      <c r="K206" s="87">
        <v>3</v>
      </c>
      <c r="L206" s="8">
        <v>999</v>
      </c>
      <c r="M206" s="8">
        <v>0</v>
      </c>
      <c r="N206" s="8"/>
      <c r="O206" s="88">
        <v>113052</v>
      </c>
      <c r="P206" s="8" t="s">
        <v>438</v>
      </c>
      <c r="Q206" s="8"/>
      <c r="R206" t="s">
        <v>439</v>
      </c>
      <c r="S206" s="89">
        <v>0</v>
      </c>
      <c r="T206" s="8">
        <v>5</v>
      </c>
      <c r="U206" s="89">
        <v>200</v>
      </c>
      <c r="V206" s="87">
        <v>1</v>
      </c>
      <c r="W206">
        <v>1</v>
      </c>
      <c r="X206" s="8">
        <v>1</v>
      </c>
      <c r="Y206">
        <v>0</v>
      </c>
      <c r="Z206" s="33">
        <v>0</v>
      </c>
      <c r="AA206">
        <v>5</v>
      </c>
      <c r="AB206" s="34">
        <v>7600</v>
      </c>
      <c r="AC206" s="87">
        <v>601</v>
      </c>
      <c r="AD206" s="62">
        <v>0</v>
      </c>
      <c r="AE206" s="90">
        <v>0</v>
      </c>
      <c r="AF206" s="90">
        <v>0</v>
      </c>
      <c r="AG206" s="91"/>
      <c r="AH206" s="91">
        <v>1</v>
      </c>
      <c r="AI206" s="91"/>
      <c r="AJ206" s="91"/>
      <c r="AK206" s="91"/>
      <c r="AL206" s="92">
        <v>1</v>
      </c>
      <c r="AM206" s="92"/>
      <c r="AN206" s="93"/>
      <c r="AO206" s="92"/>
      <c r="AP206" s="147"/>
      <c r="AS206">
        <v>1</v>
      </c>
    </row>
    <row r="207" spans="1:45">
      <c r="A207" s="8">
        <v>630053</v>
      </c>
      <c r="B207" s="8">
        <v>1001</v>
      </c>
      <c r="C207" s="8">
        <v>7</v>
      </c>
      <c r="D207" s="8">
        <v>1005</v>
      </c>
      <c r="E207" t="s">
        <v>765</v>
      </c>
      <c r="F207" t="s">
        <v>766</v>
      </c>
      <c r="G207" t="s">
        <v>767</v>
      </c>
      <c r="H207" s="117" t="s">
        <v>768</v>
      </c>
      <c r="I207">
        <v>1</v>
      </c>
      <c r="J207" s="69">
        <v>5</v>
      </c>
      <c r="K207" s="87">
        <v>3</v>
      </c>
      <c r="L207" s="8">
        <v>999</v>
      </c>
      <c r="M207" s="8">
        <v>0</v>
      </c>
      <c r="N207" s="8"/>
      <c r="O207" s="88">
        <v>113053</v>
      </c>
      <c r="P207" s="8" t="s">
        <v>438</v>
      </c>
      <c r="Q207" s="8"/>
      <c r="R207" t="s">
        <v>439</v>
      </c>
      <c r="S207" s="89">
        <v>0</v>
      </c>
      <c r="T207" s="8">
        <v>5</v>
      </c>
      <c r="U207" s="89">
        <v>200</v>
      </c>
      <c r="V207" s="87">
        <v>1</v>
      </c>
      <c r="W207">
        <v>1</v>
      </c>
      <c r="X207" s="8">
        <v>1</v>
      </c>
      <c r="Y207">
        <v>0</v>
      </c>
      <c r="Z207" s="33">
        <v>0</v>
      </c>
      <c r="AA207">
        <v>5</v>
      </c>
      <c r="AB207" s="34">
        <v>7600</v>
      </c>
      <c r="AC207" s="87">
        <v>601</v>
      </c>
      <c r="AD207" s="62">
        <v>0</v>
      </c>
      <c r="AE207" s="90">
        <v>0</v>
      </c>
      <c r="AF207" s="90">
        <v>0</v>
      </c>
      <c r="AG207" s="91"/>
      <c r="AH207" s="91">
        <v>1</v>
      </c>
      <c r="AI207" s="91"/>
      <c r="AJ207" s="91"/>
      <c r="AK207" s="91"/>
      <c r="AL207" s="92">
        <v>1</v>
      </c>
      <c r="AM207" s="92"/>
      <c r="AN207" s="93"/>
      <c r="AO207" s="92"/>
      <c r="AP207" s="147"/>
      <c r="AS207">
        <v>1</v>
      </c>
    </row>
    <row r="208" spans="1:45">
      <c r="A208" s="8">
        <v>630054</v>
      </c>
      <c r="B208" s="8">
        <v>1001</v>
      </c>
      <c r="C208" s="8">
        <v>7</v>
      </c>
      <c r="D208" s="8">
        <v>1005</v>
      </c>
      <c r="E208" t="s">
        <v>769</v>
      </c>
      <c r="F208" t="s">
        <v>770</v>
      </c>
      <c r="G208" t="s">
        <v>771</v>
      </c>
      <c r="H208" s="117" t="s">
        <v>772</v>
      </c>
      <c r="I208">
        <v>1</v>
      </c>
      <c r="J208" s="69">
        <v>5</v>
      </c>
      <c r="K208" s="87">
        <v>3</v>
      </c>
      <c r="L208" s="8">
        <v>999</v>
      </c>
      <c r="M208" s="8">
        <v>0</v>
      </c>
      <c r="N208" s="8"/>
      <c r="O208" s="88">
        <v>113054</v>
      </c>
      <c r="P208" s="8" t="s">
        <v>438</v>
      </c>
      <c r="Q208" s="8"/>
      <c r="R208" t="s">
        <v>439</v>
      </c>
      <c r="S208" s="89">
        <v>0</v>
      </c>
      <c r="T208" s="8">
        <v>5</v>
      </c>
      <c r="U208" s="89">
        <v>200</v>
      </c>
      <c r="V208" s="87">
        <v>1</v>
      </c>
      <c r="W208">
        <v>1</v>
      </c>
      <c r="X208" s="8">
        <v>1</v>
      </c>
      <c r="Y208">
        <v>0</v>
      </c>
      <c r="Z208" s="33">
        <v>0</v>
      </c>
      <c r="AA208">
        <v>5</v>
      </c>
      <c r="AB208" s="34">
        <v>7600</v>
      </c>
      <c r="AC208" s="87">
        <v>601</v>
      </c>
      <c r="AD208" s="62">
        <v>0</v>
      </c>
      <c r="AE208" s="90">
        <v>0</v>
      </c>
      <c r="AF208" s="90">
        <v>0</v>
      </c>
      <c r="AG208" s="91"/>
      <c r="AH208" s="91">
        <v>1</v>
      </c>
      <c r="AI208" s="91"/>
      <c r="AJ208" s="91"/>
      <c r="AK208" s="91"/>
      <c r="AL208" s="92">
        <v>1</v>
      </c>
      <c r="AM208" s="92"/>
      <c r="AN208" s="93"/>
      <c r="AO208" s="92"/>
      <c r="AP208" s="147"/>
      <c r="AS208">
        <v>1</v>
      </c>
    </row>
    <row r="209" spans="1:45">
      <c r="A209" s="8">
        <v>630055</v>
      </c>
      <c r="B209" s="8">
        <v>1001</v>
      </c>
      <c r="C209" s="8">
        <v>7</v>
      </c>
      <c r="D209" s="8">
        <v>1005</v>
      </c>
      <c r="E209" t="s">
        <v>773</v>
      </c>
      <c r="F209" t="s">
        <v>774</v>
      </c>
      <c r="G209" t="s">
        <v>775</v>
      </c>
      <c r="H209" s="117" t="s">
        <v>776</v>
      </c>
      <c r="I209">
        <v>1</v>
      </c>
      <c r="J209" s="69">
        <v>5</v>
      </c>
      <c r="K209" s="87">
        <v>3</v>
      </c>
      <c r="L209" s="8">
        <v>999</v>
      </c>
      <c r="M209" s="8">
        <v>0</v>
      </c>
      <c r="N209" s="8"/>
      <c r="O209" s="88">
        <v>113055</v>
      </c>
      <c r="P209" s="8" t="s">
        <v>438</v>
      </c>
      <c r="Q209" s="8"/>
      <c r="R209" t="s">
        <v>439</v>
      </c>
      <c r="S209" s="89">
        <v>0</v>
      </c>
      <c r="T209" s="8">
        <v>5</v>
      </c>
      <c r="U209" s="89">
        <v>200</v>
      </c>
      <c r="V209" s="87">
        <v>1</v>
      </c>
      <c r="W209">
        <v>1</v>
      </c>
      <c r="X209" s="8">
        <v>1</v>
      </c>
      <c r="Y209">
        <v>0</v>
      </c>
      <c r="Z209" s="33">
        <v>0</v>
      </c>
      <c r="AA209">
        <v>5</v>
      </c>
      <c r="AB209" s="34">
        <v>7600</v>
      </c>
      <c r="AC209" s="87">
        <v>601</v>
      </c>
      <c r="AD209" s="62">
        <v>0</v>
      </c>
      <c r="AE209" s="90">
        <v>0</v>
      </c>
      <c r="AF209" s="90">
        <v>0</v>
      </c>
      <c r="AG209" s="91"/>
      <c r="AH209" s="91">
        <v>1</v>
      </c>
      <c r="AI209" s="91"/>
      <c r="AJ209" s="91"/>
      <c r="AK209" s="91"/>
      <c r="AL209" s="92">
        <v>1</v>
      </c>
      <c r="AM209" s="92"/>
      <c r="AN209" s="93"/>
      <c r="AO209" s="92"/>
      <c r="AP209" s="147"/>
      <c r="AS209">
        <v>1</v>
      </c>
    </row>
    <row r="210" spans="1:45">
      <c r="A210" s="8">
        <v>630056</v>
      </c>
      <c r="B210" s="8">
        <v>1001</v>
      </c>
      <c r="C210" s="8">
        <v>7</v>
      </c>
      <c r="D210" s="8">
        <v>1005</v>
      </c>
      <c r="E210" t="s">
        <v>777</v>
      </c>
      <c r="F210" t="s">
        <v>778</v>
      </c>
      <c r="G210" t="s">
        <v>779</v>
      </c>
      <c r="H210" s="117" t="s">
        <v>780</v>
      </c>
      <c r="I210">
        <v>1</v>
      </c>
      <c r="J210" s="69">
        <v>5</v>
      </c>
      <c r="K210" s="87">
        <v>3</v>
      </c>
      <c r="L210" s="8">
        <v>999</v>
      </c>
      <c r="M210" s="8">
        <v>0</v>
      </c>
      <c r="N210" s="8"/>
      <c r="O210" s="88">
        <v>113056</v>
      </c>
      <c r="P210" s="8" t="s">
        <v>438</v>
      </c>
      <c r="Q210" s="8"/>
      <c r="R210" t="s">
        <v>439</v>
      </c>
      <c r="S210" s="89">
        <v>0</v>
      </c>
      <c r="T210" s="8">
        <v>5</v>
      </c>
      <c r="U210" s="89">
        <v>200</v>
      </c>
      <c r="V210" s="87">
        <v>1</v>
      </c>
      <c r="W210">
        <v>1</v>
      </c>
      <c r="X210" s="8">
        <v>1</v>
      </c>
      <c r="Y210">
        <v>0</v>
      </c>
      <c r="Z210" s="33">
        <v>0</v>
      </c>
      <c r="AA210">
        <v>5</v>
      </c>
      <c r="AB210" s="34">
        <v>7600</v>
      </c>
      <c r="AC210" s="87">
        <v>601</v>
      </c>
      <c r="AD210" s="62">
        <v>0</v>
      </c>
      <c r="AE210" s="90">
        <v>0</v>
      </c>
      <c r="AF210" s="90">
        <v>0</v>
      </c>
      <c r="AG210" s="91"/>
      <c r="AH210" s="91">
        <v>1</v>
      </c>
      <c r="AI210" s="91"/>
      <c r="AJ210" s="91"/>
      <c r="AK210" s="91"/>
      <c r="AL210" s="92">
        <v>1</v>
      </c>
      <c r="AM210" s="92"/>
      <c r="AN210" s="93"/>
      <c r="AO210" s="92"/>
      <c r="AP210" s="147"/>
      <c r="AS210">
        <v>1</v>
      </c>
    </row>
    <row r="211" spans="1:45">
      <c r="A211" s="8">
        <v>630057</v>
      </c>
      <c r="B211" s="8">
        <v>1001</v>
      </c>
      <c r="C211" s="8">
        <v>7</v>
      </c>
      <c r="D211" s="8">
        <v>1005</v>
      </c>
      <c r="E211" t="s">
        <v>781</v>
      </c>
      <c r="F211" t="s">
        <v>782</v>
      </c>
      <c r="G211" t="s">
        <v>783</v>
      </c>
      <c r="H211" s="117" t="s">
        <v>784</v>
      </c>
      <c r="I211">
        <v>1</v>
      </c>
      <c r="J211" s="69">
        <v>5</v>
      </c>
      <c r="K211" s="87">
        <v>3</v>
      </c>
      <c r="L211" s="8">
        <v>999</v>
      </c>
      <c r="M211" s="8">
        <v>0</v>
      </c>
      <c r="N211" s="8"/>
      <c r="O211" s="88">
        <v>113057</v>
      </c>
      <c r="P211" s="8" t="s">
        <v>438</v>
      </c>
      <c r="Q211" s="8"/>
      <c r="R211" t="s">
        <v>439</v>
      </c>
      <c r="S211" s="89">
        <v>0</v>
      </c>
      <c r="T211" s="8">
        <v>5</v>
      </c>
      <c r="U211" s="89">
        <v>200</v>
      </c>
      <c r="V211" s="87">
        <v>1</v>
      </c>
      <c r="W211">
        <v>1</v>
      </c>
      <c r="X211" s="8">
        <v>1</v>
      </c>
      <c r="Y211">
        <v>0</v>
      </c>
      <c r="Z211" s="33">
        <v>0</v>
      </c>
      <c r="AA211">
        <v>5</v>
      </c>
      <c r="AB211" s="34">
        <v>7600</v>
      </c>
      <c r="AC211" s="87">
        <v>601</v>
      </c>
      <c r="AD211" s="62">
        <v>0</v>
      </c>
      <c r="AE211" s="90">
        <v>0</v>
      </c>
      <c r="AF211" s="90">
        <v>0</v>
      </c>
      <c r="AG211" s="91"/>
      <c r="AH211" s="91">
        <v>1</v>
      </c>
      <c r="AI211" s="91"/>
      <c r="AJ211" s="91"/>
      <c r="AK211" s="91"/>
      <c r="AL211" s="92">
        <v>1</v>
      </c>
      <c r="AM211" s="92"/>
      <c r="AN211" s="93"/>
      <c r="AO211" s="92"/>
      <c r="AP211" s="147"/>
      <c r="AS211">
        <v>1</v>
      </c>
    </row>
    <row r="212" spans="1:45">
      <c r="A212" s="8">
        <v>630058</v>
      </c>
      <c r="B212" s="8">
        <v>1001</v>
      </c>
      <c r="C212" s="8">
        <v>7</v>
      </c>
      <c r="D212" s="8">
        <v>1005</v>
      </c>
      <c r="E212" t="s">
        <v>785</v>
      </c>
      <c r="F212" t="s">
        <v>786</v>
      </c>
      <c r="G212" t="s">
        <v>787</v>
      </c>
      <c r="H212" s="117" t="s">
        <v>788</v>
      </c>
      <c r="I212">
        <v>1</v>
      </c>
      <c r="J212" s="69">
        <v>5</v>
      </c>
      <c r="K212" s="87">
        <v>3</v>
      </c>
      <c r="L212" s="8">
        <v>999</v>
      </c>
      <c r="M212" s="8">
        <v>0</v>
      </c>
      <c r="N212" s="8"/>
      <c r="O212" s="88">
        <v>113058</v>
      </c>
      <c r="P212" s="8" t="s">
        <v>438</v>
      </c>
      <c r="Q212" s="8"/>
      <c r="R212" t="s">
        <v>439</v>
      </c>
      <c r="S212" s="89">
        <v>0</v>
      </c>
      <c r="T212" s="8">
        <v>5</v>
      </c>
      <c r="U212" s="89">
        <v>200</v>
      </c>
      <c r="V212" s="87">
        <v>1</v>
      </c>
      <c r="W212">
        <v>1</v>
      </c>
      <c r="X212" s="8">
        <v>1</v>
      </c>
      <c r="Y212">
        <v>0</v>
      </c>
      <c r="Z212" s="33">
        <v>0</v>
      </c>
      <c r="AA212">
        <v>5</v>
      </c>
      <c r="AB212" s="34">
        <v>7600</v>
      </c>
      <c r="AC212" s="87">
        <v>601</v>
      </c>
      <c r="AD212" s="62">
        <v>0</v>
      </c>
      <c r="AE212" s="90">
        <v>0</v>
      </c>
      <c r="AF212" s="90">
        <v>0</v>
      </c>
      <c r="AG212" s="91"/>
      <c r="AH212" s="91">
        <v>1</v>
      </c>
      <c r="AI212" s="91"/>
      <c r="AJ212" s="91"/>
      <c r="AK212" s="91"/>
      <c r="AL212" s="92">
        <v>1</v>
      </c>
      <c r="AM212" s="92"/>
      <c r="AN212" s="93"/>
      <c r="AO212" s="92"/>
      <c r="AP212" s="147"/>
      <c r="AS212">
        <v>1</v>
      </c>
    </row>
    <row r="213" spans="1:45">
      <c r="A213" s="8">
        <v>630059</v>
      </c>
      <c r="B213" s="8">
        <v>1001</v>
      </c>
      <c r="C213" s="8">
        <v>7</v>
      </c>
      <c r="D213" s="8">
        <v>1005</v>
      </c>
      <c r="E213" t="s">
        <v>789</v>
      </c>
      <c r="F213" t="s">
        <v>790</v>
      </c>
      <c r="G213" t="s">
        <v>791</v>
      </c>
      <c r="H213" s="117" t="s">
        <v>792</v>
      </c>
      <c r="I213">
        <v>1</v>
      </c>
      <c r="J213" s="69">
        <v>5</v>
      </c>
      <c r="K213" s="87">
        <v>3</v>
      </c>
      <c r="L213" s="8">
        <v>999</v>
      </c>
      <c r="M213" s="8">
        <v>0</v>
      </c>
      <c r="N213" s="8"/>
      <c r="O213" s="88">
        <v>113059</v>
      </c>
      <c r="P213" s="8" t="s">
        <v>438</v>
      </c>
      <c r="Q213" s="8"/>
      <c r="R213" t="s">
        <v>439</v>
      </c>
      <c r="S213" s="89">
        <v>0</v>
      </c>
      <c r="T213" s="8">
        <v>5</v>
      </c>
      <c r="U213" s="89">
        <v>200</v>
      </c>
      <c r="V213" s="87">
        <v>1</v>
      </c>
      <c r="W213">
        <v>1</v>
      </c>
      <c r="X213" s="8">
        <v>1</v>
      </c>
      <c r="Y213">
        <v>0</v>
      </c>
      <c r="Z213" s="33">
        <v>0</v>
      </c>
      <c r="AA213">
        <v>5</v>
      </c>
      <c r="AB213" s="34">
        <v>7600</v>
      </c>
      <c r="AC213" s="87">
        <v>601</v>
      </c>
      <c r="AD213" s="62">
        <v>0</v>
      </c>
      <c r="AE213" s="90">
        <v>0</v>
      </c>
      <c r="AF213" s="90">
        <v>0</v>
      </c>
      <c r="AG213" s="91"/>
      <c r="AH213" s="91">
        <v>1</v>
      </c>
      <c r="AI213" s="91"/>
      <c r="AJ213" s="91"/>
      <c r="AK213" s="91"/>
      <c r="AL213" s="92">
        <v>1</v>
      </c>
      <c r="AM213" s="92"/>
      <c r="AN213" s="93"/>
      <c r="AO213" s="92"/>
      <c r="AP213" s="147"/>
      <c r="AS213">
        <v>1</v>
      </c>
    </row>
    <row r="214" spans="1:45">
      <c r="A214" s="8">
        <v>630060</v>
      </c>
      <c r="B214" s="8">
        <v>1001</v>
      </c>
      <c r="C214" s="8">
        <v>7</v>
      </c>
      <c r="D214" s="8">
        <v>1005</v>
      </c>
      <c r="E214" t="s">
        <v>793</v>
      </c>
      <c r="F214" t="s">
        <v>794</v>
      </c>
      <c r="G214" t="s">
        <v>795</v>
      </c>
      <c r="H214" s="117" t="s">
        <v>796</v>
      </c>
      <c r="I214">
        <v>1</v>
      </c>
      <c r="J214" s="69">
        <v>5</v>
      </c>
      <c r="K214" s="87">
        <v>3</v>
      </c>
      <c r="L214" s="8">
        <v>999</v>
      </c>
      <c r="M214" s="8">
        <v>0</v>
      </c>
      <c r="N214" s="8"/>
      <c r="O214" s="88">
        <v>113060</v>
      </c>
      <c r="P214" s="8" t="s">
        <v>438</v>
      </c>
      <c r="Q214" s="8"/>
      <c r="R214" t="s">
        <v>439</v>
      </c>
      <c r="S214" s="89">
        <v>0</v>
      </c>
      <c r="T214" s="8">
        <v>5</v>
      </c>
      <c r="U214" s="89">
        <v>200</v>
      </c>
      <c r="V214" s="87">
        <v>1</v>
      </c>
      <c r="W214">
        <v>1</v>
      </c>
      <c r="X214" s="8">
        <v>1</v>
      </c>
      <c r="Y214">
        <v>0</v>
      </c>
      <c r="Z214" s="33">
        <v>0</v>
      </c>
      <c r="AA214">
        <v>5</v>
      </c>
      <c r="AB214" s="34">
        <v>7600</v>
      </c>
      <c r="AC214" s="87">
        <v>601</v>
      </c>
      <c r="AD214" s="62">
        <v>0</v>
      </c>
      <c r="AE214" s="90">
        <v>0</v>
      </c>
      <c r="AF214" s="90">
        <v>0</v>
      </c>
      <c r="AG214" s="91"/>
      <c r="AH214" s="91">
        <v>1</v>
      </c>
      <c r="AI214" s="91"/>
      <c r="AJ214" s="91"/>
      <c r="AK214" s="91"/>
      <c r="AL214" s="92">
        <v>1</v>
      </c>
      <c r="AM214" s="92"/>
      <c r="AN214" s="93"/>
      <c r="AO214" s="92"/>
      <c r="AP214" s="147"/>
      <c r="AS214">
        <v>1</v>
      </c>
    </row>
    <row r="215" spans="1:45">
      <c r="A215" s="8">
        <v>630061</v>
      </c>
      <c r="B215" s="8">
        <v>1001</v>
      </c>
      <c r="C215" s="8">
        <v>7</v>
      </c>
      <c r="D215" s="8">
        <v>1005</v>
      </c>
      <c r="E215" t="s">
        <v>797</v>
      </c>
      <c r="F215" t="s">
        <v>798</v>
      </c>
      <c r="G215" t="s">
        <v>799</v>
      </c>
      <c r="H215" s="148" t="s">
        <v>800</v>
      </c>
      <c r="I215">
        <v>1</v>
      </c>
      <c r="J215" s="69">
        <v>5</v>
      </c>
      <c r="K215" s="87">
        <v>3</v>
      </c>
      <c r="L215" s="8">
        <v>999</v>
      </c>
      <c r="M215" s="8">
        <v>0</v>
      </c>
      <c r="N215" s="8"/>
      <c r="O215" s="88">
        <v>113061</v>
      </c>
      <c r="P215" s="8" t="s">
        <v>438</v>
      </c>
      <c r="Q215" s="8"/>
      <c r="R215" t="s">
        <v>439</v>
      </c>
      <c r="S215" s="89">
        <v>0</v>
      </c>
      <c r="T215" s="8">
        <v>5</v>
      </c>
      <c r="U215" s="89">
        <v>200</v>
      </c>
      <c r="V215" s="87">
        <v>1</v>
      </c>
      <c r="W215">
        <v>1</v>
      </c>
      <c r="X215" s="8">
        <v>1</v>
      </c>
      <c r="Y215">
        <v>0</v>
      </c>
      <c r="Z215" s="33">
        <v>0</v>
      </c>
      <c r="AA215">
        <v>5</v>
      </c>
      <c r="AB215" s="34">
        <v>7600</v>
      </c>
      <c r="AC215" s="87">
        <v>601</v>
      </c>
      <c r="AD215" s="62">
        <v>0</v>
      </c>
      <c r="AE215" s="90">
        <v>0</v>
      </c>
      <c r="AF215" s="90">
        <v>0</v>
      </c>
      <c r="AG215" s="91"/>
      <c r="AH215" s="91">
        <v>1</v>
      </c>
      <c r="AI215" s="91"/>
      <c r="AJ215" s="91"/>
      <c r="AK215" s="91"/>
      <c r="AL215" s="92">
        <v>1</v>
      </c>
      <c r="AM215" s="92"/>
      <c r="AN215" s="93"/>
      <c r="AO215" s="92"/>
      <c r="AP215" s="147"/>
      <c r="AS215">
        <v>1</v>
      </c>
    </row>
    <row r="216" spans="1:45">
      <c r="A216" s="8">
        <v>630062</v>
      </c>
      <c r="B216" s="8">
        <v>1001</v>
      </c>
      <c r="C216" s="8">
        <v>7</v>
      </c>
      <c r="D216" s="8">
        <v>1005</v>
      </c>
      <c r="E216" t="s">
        <v>801</v>
      </c>
      <c r="F216" t="s">
        <v>802</v>
      </c>
      <c r="G216" t="s">
        <v>803</v>
      </c>
      <c r="H216" s="148" t="s">
        <v>804</v>
      </c>
      <c r="I216">
        <v>1</v>
      </c>
      <c r="J216" s="69">
        <v>5</v>
      </c>
      <c r="K216" s="87">
        <v>3</v>
      </c>
      <c r="L216" s="8">
        <v>999</v>
      </c>
      <c r="M216" s="8">
        <v>0</v>
      </c>
      <c r="N216" s="8"/>
      <c r="O216" s="88">
        <v>113062</v>
      </c>
      <c r="P216" s="8" t="s">
        <v>438</v>
      </c>
      <c r="Q216" s="8"/>
      <c r="R216" t="s">
        <v>439</v>
      </c>
      <c r="S216" s="89">
        <v>0</v>
      </c>
      <c r="T216" s="8">
        <v>5</v>
      </c>
      <c r="U216" s="89">
        <v>200</v>
      </c>
      <c r="V216" s="87">
        <v>1</v>
      </c>
      <c r="W216">
        <v>1</v>
      </c>
      <c r="X216" s="8">
        <v>1</v>
      </c>
      <c r="Y216">
        <v>0</v>
      </c>
      <c r="Z216" s="33">
        <v>0</v>
      </c>
      <c r="AA216">
        <v>5</v>
      </c>
      <c r="AB216" s="34">
        <v>7600</v>
      </c>
      <c r="AC216" s="87">
        <v>601</v>
      </c>
      <c r="AD216" s="62">
        <v>0</v>
      </c>
      <c r="AE216" s="90">
        <v>0</v>
      </c>
      <c r="AF216" s="90">
        <v>0</v>
      </c>
      <c r="AG216" s="91"/>
      <c r="AH216" s="91">
        <v>1</v>
      </c>
      <c r="AI216" s="91"/>
      <c r="AJ216" s="91"/>
      <c r="AK216" s="91"/>
      <c r="AL216" s="92">
        <v>1</v>
      </c>
      <c r="AM216" s="92"/>
      <c r="AN216" s="93"/>
      <c r="AO216" s="92"/>
      <c r="AP216" s="147"/>
      <c r="AS216">
        <v>1</v>
      </c>
    </row>
    <row r="217" spans="1:45">
      <c r="A217" s="8">
        <v>630063</v>
      </c>
      <c r="B217" s="8">
        <v>1001</v>
      </c>
      <c r="C217" s="8">
        <v>7</v>
      </c>
      <c r="D217" s="8">
        <v>1005</v>
      </c>
      <c r="E217" t="s">
        <v>805</v>
      </c>
      <c r="F217" t="s">
        <v>806</v>
      </c>
      <c r="G217" t="s">
        <v>807</v>
      </c>
      <c r="H217" s="148" t="s">
        <v>808</v>
      </c>
      <c r="I217">
        <v>1</v>
      </c>
      <c r="J217" s="69">
        <v>5</v>
      </c>
      <c r="K217" s="87">
        <v>3</v>
      </c>
      <c r="L217" s="8">
        <v>999</v>
      </c>
      <c r="M217" s="8">
        <v>0</v>
      </c>
      <c r="N217" s="8"/>
      <c r="O217" s="88">
        <v>113063</v>
      </c>
      <c r="P217" s="8" t="s">
        <v>438</v>
      </c>
      <c r="Q217" s="8"/>
      <c r="R217" t="s">
        <v>439</v>
      </c>
      <c r="S217" s="89">
        <v>0</v>
      </c>
      <c r="T217" s="8">
        <v>5</v>
      </c>
      <c r="U217" s="89">
        <v>200</v>
      </c>
      <c r="V217" s="87">
        <v>1</v>
      </c>
      <c r="W217">
        <v>1</v>
      </c>
      <c r="X217" s="8">
        <v>1</v>
      </c>
      <c r="Y217">
        <v>0</v>
      </c>
      <c r="Z217" s="33">
        <v>0</v>
      </c>
      <c r="AA217">
        <v>5</v>
      </c>
      <c r="AB217" s="34">
        <v>7600</v>
      </c>
      <c r="AC217" s="87">
        <v>601</v>
      </c>
      <c r="AD217" s="62">
        <v>0</v>
      </c>
      <c r="AE217" s="90">
        <v>0</v>
      </c>
      <c r="AF217" s="90">
        <v>0</v>
      </c>
      <c r="AG217" s="91"/>
      <c r="AH217" s="91">
        <v>1</v>
      </c>
      <c r="AI217" s="91"/>
      <c r="AJ217" s="91"/>
      <c r="AK217" s="91"/>
      <c r="AL217" s="92">
        <v>1</v>
      </c>
      <c r="AM217" s="92"/>
      <c r="AN217" s="93"/>
      <c r="AO217" s="92"/>
      <c r="AP217" s="147"/>
      <c r="AS217">
        <v>1</v>
      </c>
    </row>
    <row r="218" spans="1:45">
      <c r="A218" s="8">
        <v>630064</v>
      </c>
      <c r="B218" s="8">
        <v>1001</v>
      </c>
      <c r="C218" s="8">
        <v>7</v>
      </c>
      <c r="D218" s="8">
        <v>1005</v>
      </c>
      <c r="E218" t="s">
        <v>809</v>
      </c>
      <c r="F218" t="s">
        <v>810</v>
      </c>
      <c r="G218" t="s">
        <v>811</v>
      </c>
      <c r="H218" s="148" t="s">
        <v>812</v>
      </c>
      <c r="I218">
        <v>1</v>
      </c>
      <c r="J218" s="69">
        <v>5</v>
      </c>
      <c r="K218" s="87">
        <v>3</v>
      </c>
      <c r="L218" s="8">
        <v>999</v>
      </c>
      <c r="M218" s="8">
        <v>0</v>
      </c>
      <c r="N218" s="8"/>
      <c r="O218" s="88">
        <v>113064</v>
      </c>
      <c r="P218" s="8" t="s">
        <v>438</v>
      </c>
      <c r="Q218" s="8"/>
      <c r="R218" t="s">
        <v>439</v>
      </c>
      <c r="S218" s="89">
        <v>0</v>
      </c>
      <c r="T218" s="8">
        <v>5</v>
      </c>
      <c r="U218" s="89">
        <v>200</v>
      </c>
      <c r="V218" s="87">
        <v>1</v>
      </c>
      <c r="W218">
        <v>1</v>
      </c>
      <c r="X218" s="8">
        <v>1</v>
      </c>
      <c r="Y218">
        <v>0</v>
      </c>
      <c r="Z218" s="33">
        <v>0</v>
      </c>
      <c r="AA218">
        <v>5</v>
      </c>
      <c r="AB218" s="34">
        <v>7600</v>
      </c>
      <c r="AC218" s="87">
        <v>601</v>
      </c>
      <c r="AD218" s="62">
        <v>0</v>
      </c>
      <c r="AE218" s="90">
        <v>0</v>
      </c>
      <c r="AF218" s="90">
        <v>0</v>
      </c>
      <c r="AG218" s="91"/>
      <c r="AH218" s="91">
        <v>1</v>
      </c>
      <c r="AI218" s="91"/>
      <c r="AJ218" s="91"/>
      <c r="AK218" s="91"/>
      <c r="AL218" s="92">
        <v>1</v>
      </c>
      <c r="AM218" s="92"/>
      <c r="AN218" s="93"/>
      <c r="AO218" s="92"/>
      <c r="AP218" s="147"/>
      <c r="AS218">
        <v>1</v>
      </c>
    </row>
    <row r="219" spans="1:45">
      <c r="A219" s="8">
        <v>630065</v>
      </c>
      <c r="B219" s="8">
        <v>1001</v>
      </c>
      <c r="C219" s="8">
        <v>7</v>
      </c>
      <c r="D219" s="8">
        <v>1005</v>
      </c>
      <c r="E219" t="s">
        <v>813</v>
      </c>
      <c r="F219" t="s">
        <v>813</v>
      </c>
      <c r="G219" t="s">
        <v>814</v>
      </c>
      <c r="H219" s="148" t="s">
        <v>815</v>
      </c>
      <c r="I219">
        <v>1</v>
      </c>
      <c r="J219" s="69">
        <v>5</v>
      </c>
      <c r="K219" s="87">
        <v>3</v>
      </c>
      <c r="L219" s="8">
        <v>999</v>
      </c>
      <c r="M219" s="8">
        <v>0</v>
      </c>
      <c r="N219" s="8"/>
      <c r="O219" s="88">
        <v>113065</v>
      </c>
      <c r="P219" s="8" t="s">
        <v>438</v>
      </c>
      <c r="R219" t="s">
        <v>439</v>
      </c>
      <c r="S219" s="89">
        <v>0</v>
      </c>
      <c r="T219" s="8">
        <v>5</v>
      </c>
      <c r="U219" s="89">
        <v>200</v>
      </c>
      <c r="V219" s="87">
        <v>1</v>
      </c>
      <c r="W219">
        <v>1</v>
      </c>
      <c r="X219" s="8">
        <v>1</v>
      </c>
      <c r="Y219">
        <v>0</v>
      </c>
      <c r="Z219" s="33">
        <v>0</v>
      </c>
      <c r="AA219">
        <v>5</v>
      </c>
      <c r="AB219" s="34">
        <v>7600</v>
      </c>
      <c r="AC219" s="87">
        <v>601</v>
      </c>
      <c r="AD219" s="62">
        <v>0</v>
      </c>
      <c r="AE219" s="90">
        <v>0</v>
      </c>
      <c r="AF219" s="90">
        <v>0</v>
      </c>
      <c r="AG219" s="91"/>
      <c r="AH219" s="91">
        <v>1</v>
      </c>
      <c r="AI219" s="91"/>
      <c r="AJ219" s="91"/>
      <c r="AK219" s="91"/>
      <c r="AL219" s="92">
        <v>1</v>
      </c>
      <c r="AM219" s="92"/>
      <c r="AN219" s="93"/>
      <c r="AO219" s="92"/>
      <c r="AP219" s="147"/>
      <c r="AS219">
        <v>1</v>
      </c>
    </row>
    <row r="220" ht="14.25" customHeight="1" spans="1:45">
      <c r="A220" s="8">
        <v>630066</v>
      </c>
      <c r="B220" s="8">
        <v>1001</v>
      </c>
      <c r="C220" s="8">
        <v>7</v>
      </c>
      <c r="D220" s="8">
        <v>1005</v>
      </c>
      <c r="E220" t="s">
        <v>816</v>
      </c>
      <c r="F220" t="s">
        <v>816</v>
      </c>
      <c r="G220" t="s">
        <v>817</v>
      </c>
      <c r="H220" s="149" t="s">
        <v>818</v>
      </c>
      <c r="I220">
        <v>1</v>
      </c>
      <c r="J220" s="69">
        <v>5</v>
      </c>
      <c r="K220" s="87">
        <v>3</v>
      </c>
      <c r="L220" s="8">
        <v>999</v>
      </c>
      <c r="M220" s="8">
        <v>0</v>
      </c>
      <c r="N220" s="8"/>
      <c r="O220" s="88">
        <v>113066</v>
      </c>
      <c r="P220" s="8" t="s">
        <v>438</v>
      </c>
      <c r="R220" t="s">
        <v>439</v>
      </c>
      <c r="S220" s="89">
        <v>0</v>
      </c>
      <c r="T220" s="8">
        <v>5</v>
      </c>
      <c r="U220" s="89">
        <v>200</v>
      </c>
      <c r="V220" s="87">
        <v>1</v>
      </c>
      <c r="W220">
        <v>1</v>
      </c>
      <c r="X220" s="8">
        <v>1</v>
      </c>
      <c r="Y220">
        <v>0</v>
      </c>
      <c r="Z220" s="33">
        <v>0</v>
      </c>
      <c r="AA220">
        <v>5</v>
      </c>
      <c r="AB220" s="34">
        <v>7600</v>
      </c>
      <c r="AC220" s="87">
        <v>601</v>
      </c>
      <c r="AD220" s="62">
        <v>0</v>
      </c>
      <c r="AE220" s="90">
        <v>0</v>
      </c>
      <c r="AF220" s="90">
        <v>0</v>
      </c>
      <c r="AG220" s="91"/>
      <c r="AH220" s="91">
        <v>1</v>
      </c>
      <c r="AI220" s="91"/>
      <c r="AJ220" s="91"/>
      <c r="AK220" s="91"/>
      <c r="AL220" s="92">
        <v>1</v>
      </c>
      <c r="AM220" s="92"/>
      <c r="AN220" s="93"/>
      <c r="AO220" s="92"/>
      <c r="AP220" s="147"/>
      <c r="AS220">
        <v>1</v>
      </c>
    </row>
    <row r="221" ht="14.25" customHeight="1" spans="1:45">
      <c r="A221" s="8">
        <v>630067</v>
      </c>
      <c r="B221" s="8">
        <v>1001</v>
      </c>
      <c r="C221" s="8">
        <v>7</v>
      </c>
      <c r="D221" s="8">
        <v>1005</v>
      </c>
      <c r="E221" t="s">
        <v>819</v>
      </c>
      <c r="F221" t="s">
        <v>819</v>
      </c>
      <c r="G221" t="s">
        <v>820</v>
      </c>
      <c r="H221" s="149" t="s">
        <v>821</v>
      </c>
      <c r="I221">
        <v>1</v>
      </c>
      <c r="J221" s="69">
        <v>5</v>
      </c>
      <c r="K221" s="87">
        <v>3</v>
      </c>
      <c r="L221" s="8">
        <v>999</v>
      </c>
      <c r="M221" s="8">
        <v>0</v>
      </c>
      <c r="N221" s="8"/>
      <c r="O221" s="88">
        <v>113067</v>
      </c>
      <c r="P221" s="8" t="s">
        <v>438</v>
      </c>
      <c r="R221" t="s">
        <v>439</v>
      </c>
      <c r="S221" s="89">
        <v>0</v>
      </c>
      <c r="T221" s="8">
        <v>5</v>
      </c>
      <c r="U221" s="89">
        <v>200</v>
      </c>
      <c r="V221" s="87">
        <v>1</v>
      </c>
      <c r="W221">
        <v>1</v>
      </c>
      <c r="X221" s="8">
        <v>1</v>
      </c>
      <c r="Y221">
        <v>0</v>
      </c>
      <c r="Z221" s="33">
        <v>0</v>
      </c>
      <c r="AA221">
        <v>5</v>
      </c>
      <c r="AB221" s="34">
        <v>7600</v>
      </c>
      <c r="AC221" s="87">
        <v>601</v>
      </c>
      <c r="AD221" s="62">
        <v>0</v>
      </c>
      <c r="AE221" s="90">
        <v>0</v>
      </c>
      <c r="AF221" s="90">
        <v>0</v>
      </c>
      <c r="AG221" s="91"/>
      <c r="AH221" s="91">
        <v>1</v>
      </c>
      <c r="AI221" s="91"/>
      <c r="AJ221" s="91"/>
      <c r="AK221" s="91"/>
      <c r="AL221" s="92">
        <v>1</v>
      </c>
      <c r="AM221" s="92"/>
      <c r="AN221" s="93"/>
      <c r="AO221" s="92"/>
      <c r="AP221" s="147"/>
      <c r="AS221">
        <v>1</v>
      </c>
    </row>
    <row r="222" ht="14.25" customHeight="1" spans="1:45">
      <c r="A222" s="8">
        <v>630068</v>
      </c>
      <c r="B222" s="8">
        <v>1001</v>
      </c>
      <c r="C222" s="8">
        <v>7</v>
      </c>
      <c r="D222" s="8">
        <v>1005</v>
      </c>
      <c r="E222" t="s">
        <v>822</v>
      </c>
      <c r="F222" t="s">
        <v>822</v>
      </c>
      <c r="G222" t="s">
        <v>823</v>
      </c>
      <c r="H222" s="149" t="s">
        <v>824</v>
      </c>
      <c r="I222">
        <v>1</v>
      </c>
      <c r="J222" s="69">
        <v>5</v>
      </c>
      <c r="K222" s="87">
        <v>3</v>
      </c>
      <c r="L222" s="8">
        <v>999</v>
      </c>
      <c r="M222" s="8">
        <v>0</v>
      </c>
      <c r="N222" s="8"/>
      <c r="O222" s="88">
        <v>113068</v>
      </c>
      <c r="P222" s="8" t="s">
        <v>438</v>
      </c>
      <c r="R222" t="s">
        <v>439</v>
      </c>
      <c r="S222" s="89">
        <v>0</v>
      </c>
      <c r="T222" s="8">
        <v>5</v>
      </c>
      <c r="U222" s="89">
        <v>200</v>
      </c>
      <c r="V222" s="87">
        <v>1</v>
      </c>
      <c r="W222">
        <v>1</v>
      </c>
      <c r="X222" s="8">
        <v>1</v>
      </c>
      <c r="Y222">
        <v>0</v>
      </c>
      <c r="Z222" s="33">
        <v>0</v>
      </c>
      <c r="AA222">
        <v>5</v>
      </c>
      <c r="AB222" s="34">
        <v>7600</v>
      </c>
      <c r="AC222" s="87">
        <v>601</v>
      </c>
      <c r="AD222" s="62">
        <v>0</v>
      </c>
      <c r="AE222" s="90">
        <v>0</v>
      </c>
      <c r="AF222" s="90">
        <v>0</v>
      </c>
      <c r="AG222" s="91"/>
      <c r="AH222" s="91">
        <v>1</v>
      </c>
      <c r="AI222" s="91"/>
      <c r="AJ222" s="91"/>
      <c r="AK222" s="91"/>
      <c r="AL222" s="92">
        <v>1</v>
      </c>
      <c r="AM222" s="92"/>
      <c r="AN222" s="93"/>
      <c r="AO222" s="92"/>
      <c r="AP222" s="147"/>
      <c r="AS222">
        <v>1</v>
      </c>
    </row>
    <row r="223" ht="14.25" customHeight="1" spans="1:45">
      <c r="A223" s="8">
        <v>630069</v>
      </c>
      <c r="B223" s="8">
        <v>1001</v>
      </c>
      <c r="C223" s="8">
        <v>7</v>
      </c>
      <c r="D223" s="8">
        <v>1005</v>
      </c>
      <c r="E223" t="s">
        <v>825</v>
      </c>
      <c r="F223" t="s">
        <v>825</v>
      </c>
      <c r="G223" t="s">
        <v>826</v>
      </c>
      <c r="H223" s="149" t="s">
        <v>827</v>
      </c>
      <c r="I223">
        <v>1</v>
      </c>
      <c r="J223" s="69">
        <v>5</v>
      </c>
      <c r="K223" s="87">
        <v>3</v>
      </c>
      <c r="L223" s="8">
        <v>999</v>
      </c>
      <c r="M223" s="8">
        <v>0</v>
      </c>
      <c r="N223" s="8"/>
      <c r="O223" s="88">
        <v>113069</v>
      </c>
      <c r="P223" s="8" t="s">
        <v>438</v>
      </c>
      <c r="R223" t="s">
        <v>439</v>
      </c>
      <c r="S223" s="89">
        <v>0</v>
      </c>
      <c r="T223" s="8">
        <v>5</v>
      </c>
      <c r="U223" s="89">
        <v>200</v>
      </c>
      <c r="V223" s="87">
        <v>1</v>
      </c>
      <c r="W223">
        <v>1</v>
      </c>
      <c r="X223" s="8">
        <v>1</v>
      </c>
      <c r="Y223">
        <v>0</v>
      </c>
      <c r="Z223" s="33">
        <v>0</v>
      </c>
      <c r="AA223">
        <v>5</v>
      </c>
      <c r="AB223" s="34">
        <v>7600</v>
      </c>
      <c r="AC223" s="87">
        <v>601</v>
      </c>
      <c r="AD223" s="62">
        <v>0</v>
      </c>
      <c r="AE223" s="90">
        <v>0</v>
      </c>
      <c r="AF223" s="90">
        <v>0</v>
      </c>
      <c r="AG223" s="91"/>
      <c r="AH223" s="91">
        <v>1</v>
      </c>
      <c r="AI223" s="91"/>
      <c r="AJ223" s="91"/>
      <c r="AK223" s="91"/>
      <c r="AL223" s="92">
        <v>1</v>
      </c>
      <c r="AM223" s="92"/>
      <c r="AN223" s="93"/>
      <c r="AO223" s="92"/>
      <c r="AP223" s="147"/>
      <c r="AS223">
        <v>1</v>
      </c>
    </row>
    <row r="224" ht="14.25" customHeight="1" spans="1:45">
      <c r="A224" s="8">
        <v>630070</v>
      </c>
      <c r="B224" s="8">
        <v>1001</v>
      </c>
      <c r="C224" s="8">
        <v>7</v>
      </c>
      <c r="D224" s="8">
        <v>1005</v>
      </c>
      <c r="E224" t="s">
        <v>828</v>
      </c>
      <c r="F224" t="s">
        <v>828</v>
      </c>
      <c r="G224" t="s">
        <v>829</v>
      </c>
      <c r="H224" s="149" t="s">
        <v>830</v>
      </c>
      <c r="I224">
        <v>1</v>
      </c>
      <c r="J224" s="69">
        <v>5</v>
      </c>
      <c r="K224" s="87">
        <v>3</v>
      </c>
      <c r="L224" s="8">
        <v>999</v>
      </c>
      <c r="M224" s="8">
        <v>0</v>
      </c>
      <c r="N224" s="8"/>
      <c r="O224" s="88">
        <v>113070</v>
      </c>
      <c r="P224" s="8" t="s">
        <v>438</v>
      </c>
      <c r="R224" t="s">
        <v>439</v>
      </c>
      <c r="S224" s="89">
        <v>0</v>
      </c>
      <c r="T224" s="8">
        <v>5</v>
      </c>
      <c r="U224" s="89">
        <v>200</v>
      </c>
      <c r="V224" s="87">
        <v>1</v>
      </c>
      <c r="W224">
        <v>1</v>
      </c>
      <c r="X224" s="8">
        <v>1</v>
      </c>
      <c r="Y224">
        <v>0</v>
      </c>
      <c r="Z224" s="33">
        <v>0</v>
      </c>
      <c r="AA224">
        <v>5</v>
      </c>
      <c r="AB224" s="34">
        <v>7600</v>
      </c>
      <c r="AC224" s="87">
        <v>601</v>
      </c>
      <c r="AD224" s="62">
        <v>0</v>
      </c>
      <c r="AE224" s="90">
        <v>0</v>
      </c>
      <c r="AF224" s="90">
        <v>0</v>
      </c>
      <c r="AG224" s="91"/>
      <c r="AH224" s="91">
        <v>1</v>
      </c>
      <c r="AI224" s="91"/>
      <c r="AJ224" s="91"/>
      <c r="AK224" s="91"/>
      <c r="AL224" s="92">
        <v>1</v>
      </c>
      <c r="AM224" s="92"/>
      <c r="AN224" s="93"/>
      <c r="AO224" s="92"/>
      <c r="AP224" s="147"/>
      <c r="AS224">
        <v>1</v>
      </c>
    </row>
    <row r="225" ht="14.25" customHeight="1" spans="1:45">
      <c r="A225" s="8">
        <v>630071</v>
      </c>
      <c r="B225" s="8">
        <v>1001</v>
      </c>
      <c r="C225" s="8">
        <v>7</v>
      </c>
      <c r="D225" s="8">
        <v>1005</v>
      </c>
      <c r="E225" t="s">
        <v>831</v>
      </c>
      <c r="F225" t="s">
        <v>831</v>
      </c>
      <c r="G225" t="s">
        <v>832</v>
      </c>
      <c r="H225" s="149" t="s">
        <v>833</v>
      </c>
      <c r="I225">
        <v>1</v>
      </c>
      <c r="J225" s="69">
        <v>5</v>
      </c>
      <c r="K225" s="87">
        <v>3</v>
      </c>
      <c r="L225" s="8">
        <v>999</v>
      </c>
      <c r="M225" s="8">
        <v>0</v>
      </c>
      <c r="N225" s="8"/>
      <c r="O225" s="88">
        <v>113071</v>
      </c>
      <c r="P225" s="8" t="s">
        <v>438</v>
      </c>
      <c r="R225" t="s">
        <v>439</v>
      </c>
      <c r="S225" s="89">
        <v>0</v>
      </c>
      <c r="T225" s="8">
        <v>5</v>
      </c>
      <c r="U225" s="89">
        <v>200</v>
      </c>
      <c r="V225" s="87">
        <v>1</v>
      </c>
      <c r="W225">
        <v>1</v>
      </c>
      <c r="X225" s="8">
        <v>1</v>
      </c>
      <c r="Y225">
        <v>0</v>
      </c>
      <c r="Z225" s="33">
        <v>0</v>
      </c>
      <c r="AA225">
        <v>5</v>
      </c>
      <c r="AB225" s="34">
        <v>7600</v>
      </c>
      <c r="AC225" s="87">
        <v>601</v>
      </c>
      <c r="AD225" s="62">
        <v>0</v>
      </c>
      <c r="AE225" s="90">
        <v>0</v>
      </c>
      <c r="AF225" s="90">
        <v>0</v>
      </c>
      <c r="AG225" s="91"/>
      <c r="AH225" s="91">
        <v>1</v>
      </c>
      <c r="AI225" s="91"/>
      <c r="AJ225" s="91"/>
      <c r="AK225" s="91"/>
      <c r="AL225" s="92">
        <v>1</v>
      </c>
      <c r="AM225" s="92"/>
      <c r="AN225" s="93"/>
      <c r="AO225" s="92"/>
      <c r="AP225" s="147"/>
      <c r="AS225">
        <v>1</v>
      </c>
    </row>
    <row r="226" ht="14.25" customHeight="1" spans="1:45">
      <c r="A226" s="8">
        <v>630072</v>
      </c>
      <c r="B226" s="8">
        <v>1001</v>
      </c>
      <c r="C226" s="8">
        <v>7</v>
      </c>
      <c r="D226" s="8">
        <v>1005</v>
      </c>
      <c r="E226" t="s">
        <v>834</v>
      </c>
      <c r="F226" t="s">
        <v>834</v>
      </c>
      <c r="G226" t="s">
        <v>835</v>
      </c>
      <c r="H226" s="149" t="s">
        <v>836</v>
      </c>
      <c r="I226">
        <v>1</v>
      </c>
      <c r="J226" s="69">
        <v>5</v>
      </c>
      <c r="K226" s="87">
        <v>3</v>
      </c>
      <c r="L226" s="8">
        <v>999</v>
      </c>
      <c r="M226" s="8">
        <v>0</v>
      </c>
      <c r="N226" s="8"/>
      <c r="O226" s="88">
        <v>113072</v>
      </c>
      <c r="P226" s="8" t="s">
        <v>438</v>
      </c>
      <c r="R226" t="s">
        <v>439</v>
      </c>
      <c r="S226" s="89">
        <v>0</v>
      </c>
      <c r="T226" s="8">
        <v>5</v>
      </c>
      <c r="U226" s="89">
        <v>200</v>
      </c>
      <c r="V226" s="87">
        <v>1</v>
      </c>
      <c r="W226">
        <v>1</v>
      </c>
      <c r="X226" s="8">
        <v>1</v>
      </c>
      <c r="Y226">
        <v>0</v>
      </c>
      <c r="Z226" s="33">
        <v>0</v>
      </c>
      <c r="AA226">
        <v>5</v>
      </c>
      <c r="AB226" s="34">
        <v>7600</v>
      </c>
      <c r="AC226" s="87">
        <v>601</v>
      </c>
      <c r="AD226" s="62">
        <v>0</v>
      </c>
      <c r="AE226" s="90">
        <v>0</v>
      </c>
      <c r="AF226" s="90">
        <v>0</v>
      </c>
      <c r="AG226" s="91"/>
      <c r="AH226" s="91">
        <v>1</v>
      </c>
      <c r="AI226" s="91"/>
      <c r="AJ226" s="91"/>
      <c r="AK226" s="91"/>
      <c r="AL226" s="92">
        <v>1</v>
      </c>
      <c r="AM226" s="92"/>
      <c r="AN226" s="93"/>
      <c r="AO226" s="92"/>
      <c r="AP226" s="147"/>
      <c r="AS226">
        <v>1</v>
      </c>
    </row>
    <row r="227" ht="14.25" customHeight="1" spans="1:45">
      <c r="A227" s="8">
        <v>630073</v>
      </c>
      <c r="B227" s="8">
        <v>1001</v>
      </c>
      <c r="C227" s="8">
        <v>7</v>
      </c>
      <c r="D227" s="8">
        <v>1005</v>
      </c>
      <c r="E227" t="s">
        <v>837</v>
      </c>
      <c r="F227" t="s">
        <v>837</v>
      </c>
      <c r="G227" t="s">
        <v>838</v>
      </c>
      <c r="H227" s="149" t="s">
        <v>839</v>
      </c>
      <c r="I227">
        <v>1</v>
      </c>
      <c r="J227" s="69">
        <v>5</v>
      </c>
      <c r="K227" s="87">
        <v>3</v>
      </c>
      <c r="L227" s="8">
        <v>999</v>
      </c>
      <c r="M227" s="8">
        <v>0</v>
      </c>
      <c r="N227" s="8"/>
      <c r="O227" s="88">
        <v>113073</v>
      </c>
      <c r="P227" s="8" t="s">
        <v>438</v>
      </c>
      <c r="R227" t="s">
        <v>439</v>
      </c>
      <c r="S227" s="89">
        <v>0</v>
      </c>
      <c r="T227" s="8">
        <v>5</v>
      </c>
      <c r="U227" s="89">
        <v>200</v>
      </c>
      <c r="V227" s="87">
        <v>1</v>
      </c>
      <c r="W227">
        <v>1</v>
      </c>
      <c r="X227" s="8">
        <v>1</v>
      </c>
      <c r="Y227">
        <v>0</v>
      </c>
      <c r="Z227" s="33">
        <v>0</v>
      </c>
      <c r="AA227">
        <v>5</v>
      </c>
      <c r="AB227" s="34">
        <v>7600</v>
      </c>
      <c r="AC227" s="87">
        <v>601</v>
      </c>
      <c r="AD227" s="62">
        <v>0</v>
      </c>
      <c r="AE227" s="90">
        <v>0</v>
      </c>
      <c r="AF227" s="90">
        <v>0</v>
      </c>
      <c r="AG227" s="91"/>
      <c r="AH227" s="91">
        <v>1</v>
      </c>
      <c r="AI227" s="91"/>
      <c r="AJ227" s="91"/>
      <c r="AK227" s="91"/>
      <c r="AL227" s="92">
        <v>1</v>
      </c>
      <c r="AM227" s="92"/>
      <c r="AN227" s="93"/>
      <c r="AO227" s="92"/>
      <c r="AP227" s="147"/>
      <c r="AS227">
        <v>1</v>
      </c>
    </row>
    <row r="228" ht="14.25" customHeight="1" spans="1:45">
      <c r="A228" s="8">
        <v>630076</v>
      </c>
      <c r="B228" s="8">
        <v>1001</v>
      </c>
      <c r="C228" s="8">
        <v>7</v>
      </c>
      <c r="D228" s="8">
        <v>1005</v>
      </c>
      <c r="E228" t="s">
        <v>840</v>
      </c>
      <c r="F228" t="s">
        <v>840</v>
      </c>
      <c r="G228" t="s">
        <v>841</v>
      </c>
      <c r="H228" s="149" t="s">
        <v>842</v>
      </c>
      <c r="I228">
        <v>1</v>
      </c>
      <c r="J228" s="69">
        <v>5</v>
      </c>
      <c r="K228" s="87">
        <v>3</v>
      </c>
      <c r="L228" s="8">
        <v>999</v>
      </c>
      <c r="M228" s="8">
        <v>0</v>
      </c>
      <c r="N228" s="8"/>
      <c r="O228" s="88">
        <v>113076</v>
      </c>
      <c r="P228" s="8" t="s">
        <v>438</v>
      </c>
      <c r="R228" t="s">
        <v>439</v>
      </c>
      <c r="S228" s="89">
        <v>0</v>
      </c>
      <c r="T228" s="8">
        <v>5</v>
      </c>
      <c r="U228" s="89">
        <v>200</v>
      </c>
      <c r="V228" s="87">
        <v>1</v>
      </c>
      <c r="W228">
        <v>1</v>
      </c>
      <c r="X228" s="8">
        <v>1</v>
      </c>
      <c r="Y228">
        <v>0</v>
      </c>
      <c r="Z228" s="33">
        <v>0</v>
      </c>
      <c r="AA228">
        <v>5</v>
      </c>
      <c r="AB228" s="34">
        <v>7600</v>
      </c>
      <c r="AC228" s="87">
        <v>601</v>
      </c>
      <c r="AD228" s="62">
        <v>0</v>
      </c>
      <c r="AE228" s="90">
        <v>0</v>
      </c>
      <c r="AF228" s="90">
        <v>0</v>
      </c>
      <c r="AG228" s="91"/>
      <c r="AH228" s="91">
        <v>1</v>
      </c>
      <c r="AI228" s="91"/>
      <c r="AJ228" s="91"/>
      <c r="AK228" s="91"/>
      <c r="AL228" s="92">
        <v>1</v>
      </c>
      <c r="AM228" s="92"/>
      <c r="AN228" s="93"/>
      <c r="AO228" s="92"/>
      <c r="AP228" s="147"/>
      <c r="AS228">
        <v>1</v>
      </c>
    </row>
    <row r="229" ht="14.25" customHeight="1" spans="1:45">
      <c r="A229" s="128">
        <v>630078</v>
      </c>
      <c r="B229" s="128">
        <v>1001</v>
      </c>
      <c r="C229" s="128">
        <v>7</v>
      </c>
      <c r="D229" s="128">
        <v>1005</v>
      </c>
      <c r="E229" s="3" t="s">
        <v>843</v>
      </c>
      <c r="F229" s="3" t="s">
        <v>843</v>
      </c>
      <c r="G229" s="3" t="s">
        <v>844</v>
      </c>
      <c r="H229" s="150" t="s">
        <v>845</v>
      </c>
      <c r="I229" s="3">
        <v>1</v>
      </c>
      <c r="J229" s="151">
        <v>5</v>
      </c>
      <c r="K229" s="128">
        <v>3</v>
      </c>
      <c r="L229" s="128">
        <v>999</v>
      </c>
      <c r="M229" s="128">
        <v>0</v>
      </c>
      <c r="N229" s="128"/>
      <c r="O229" s="152">
        <v>113078</v>
      </c>
      <c r="P229" s="128" t="s">
        <v>438</v>
      </c>
      <c r="R229" s="3" t="s">
        <v>439</v>
      </c>
      <c r="S229" s="128">
        <v>0</v>
      </c>
      <c r="T229" s="128">
        <v>5</v>
      </c>
      <c r="U229" s="128">
        <v>200</v>
      </c>
      <c r="V229" s="128">
        <v>1</v>
      </c>
      <c r="W229" s="3">
        <v>1</v>
      </c>
      <c r="X229" s="128">
        <v>1</v>
      </c>
      <c r="Y229" s="3">
        <v>0</v>
      </c>
      <c r="Z229" s="3">
        <v>0</v>
      </c>
      <c r="AA229" s="3">
        <v>5</v>
      </c>
      <c r="AB229" s="3">
        <v>7600</v>
      </c>
      <c r="AC229" s="128">
        <v>601</v>
      </c>
      <c r="AD229" s="153">
        <v>0</v>
      </c>
      <c r="AE229" s="154">
        <v>0</v>
      </c>
      <c r="AF229" s="154">
        <v>0</v>
      </c>
      <c r="AG229" s="155"/>
      <c r="AH229" s="155">
        <v>1</v>
      </c>
      <c r="AI229" s="155"/>
      <c r="AJ229" s="155"/>
      <c r="AK229" s="155"/>
      <c r="AL229" s="156">
        <v>1</v>
      </c>
      <c r="AM229" s="156"/>
      <c r="AN229" s="157"/>
      <c r="AO229" s="156"/>
      <c r="AP229" s="158"/>
      <c r="AS229" s="3">
        <v>1</v>
      </c>
    </row>
    <row r="230" s="3" customFormat="1" ht="14.25" customHeight="1" spans="1:45">
      <c r="A230" s="128">
        <v>630079</v>
      </c>
      <c r="B230" s="128">
        <v>1001</v>
      </c>
      <c r="C230" s="128">
        <v>7</v>
      </c>
      <c r="D230" s="128">
        <v>1005</v>
      </c>
      <c r="E230" s="3" t="s">
        <v>846</v>
      </c>
      <c r="F230" s="3" t="s">
        <v>846</v>
      </c>
      <c r="G230" s="3" t="s">
        <v>847</v>
      </c>
      <c r="H230" s="150" t="s">
        <v>848</v>
      </c>
      <c r="I230" s="3">
        <v>1</v>
      </c>
      <c r="J230" s="151">
        <v>5</v>
      </c>
      <c r="K230" s="128">
        <v>3</v>
      </c>
      <c r="L230" s="128">
        <v>999</v>
      </c>
      <c r="M230" s="128">
        <v>0</v>
      </c>
      <c r="N230" s="128"/>
      <c r="O230" s="152">
        <v>113079</v>
      </c>
      <c r="P230" s="128" t="s">
        <v>438</v>
      </c>
      <c r="R230" s="3" t="s">
        <v>439</v>
      </c>
      <c r="S230" s="128">
        <v>0</v>
      </c>
      <c r="T230" s="128">
        <v>5</v>
      </c>
      <c r="U230" s="128">
        <v>200</v>
      </c>
      <c r="V230" s="128">
        <v>1</v>
      </c>
      <c r="W230" s="3">
        <v>1</v>
      </c>
      <c r="X230" s="128">
        <v>1</v>
      </c>
      <c r="Y230" s="3">
        <v>0</v>
      </c>
      <c r="Z230" s="3">
        <v>0</v>
      </c>
      <c r="AA230" s="3">
        <v>5</v>
      </c>
      <c r="AB230" s="3">
        <v>7600</v>
      </c>
      <c r="AC230" s="128">
        <v>601</v>
      </c>
      <c r="AD230" s="153">
        <v>0</v>
      </c>
      <c r="AE230" s="154">
        <v>0</v>
      </c>
      <c r="AF230" s="154">
        <v>0</v>
      </c>
      <c r="AG230" s="155"/>
      <c r="AH230" s="155">
        <v>1</v>
      </c>
      <c r="AI230" s="155"/>
      <c r="AJ230" s="155"/>
      <c r="AK230" s="155"/>
      <c r="AL230" s="156">
        <v>1</v>
      </c>
      <c r="AM230" s="156"/>
      <c r="AN230" s="157"/>
      <c r="AO230" s="156"/>
      <c r="AP230" s="158"/>
      <c r="AS230" s="3">
        <v>1</v>
      </c>
    </row>
    <row r="231" s="3" customFormat="1" ht="14.25" customHeight="1" spans="1:45">
      <c r="A231" s="128">
        <v>630080</v>
      </c>
      <c r="B231" s="128">
        <v>1001</v>
      </c>
      <c r="C231" s="128">
        <v>7</v>
      </c>
      <c r="D231" s="128">
        <v>1005</v>
      </c>
      <c r="E231" s="3" t="s">
        <v>849</v>
      </c>
      <c r="F231" s="3" t="s">
        <v>849</v>
      </c>
      <c r="G231" s="3" t="s">
        <v>850</v>
      </c>
      <c r="H231" s="150" t="s">
        <v>851</v>
      </c>
      <c r="I231" s="3">
        <v>1</v>
      </c>
      <c r="J231" s="151">
        <v>5</v>
      </c>
      <c r="K231" s="128">
        <v>3</v>
      </c>
      <c r="L231" s="128">
        <v>999</v>
      </c>
      <c r="M231" s="128">
        <v>0</v>
      </c>
      <c r="N231" s="128"/>
      <c r="O231" s="152">
        <v>113080</v>
      </c>
      <c r="P231" s="128" t="s">
        <v>438</v>
      </c>
      <c r="R231" s="3" t="s">
        <v>439</v>
      </c>
      <c r="S231" s="128">
        <v>0</v>
      </c>
      <c r="T231" s="128">
        <v>5</v>
      </c>
      <c r="U231" s="128">
        <v>200</v>
      </c>
      <c r="V231" s="128">
        <v>1</v>
      </c>
      <c r="W231" s="3">
        <v>1</v>
      </c>
      <c r="X231" s="128">
        <v>1</v>
      </c>
      <c r="Y231" s="3">
        <v>0</v>
      </c>
      <c r="Z231" s="3">
        <v>0</v>
      </c>
      <c r="AA231" s="3">
        <v>5</v>
      </c>
      <c r="AB231" s="3">
        <v>7600</v>
      </c>
      <c r="AC231" s="128">
        <v>601</v>
      </c>
      <c r="AD231" s="153">
        <v>0</v>
      </c>
      <c r="AE231" s="154">
        <v>0</v>
      </c>
      <c r="AF231" s="154">
        <v>0</v>
      </c>
      <c r="AG231" s="155"/>
      <c r="AH231" s="155">
        <v>1</v>
      </c>
      <c r="AI231" s="155"/>
      <c r="AJ231" s="155"/>
      <c r="AK231" s="155"/>
      <c r="AL231" s="156">
        <v>1</v>
      </c>
      <c r="AM231" s="156"/>
      <c r="AN231" s="157"/>
      <c r="AO231" s="156"/>
      <c r="AP231" s="158"/>
      <c r="AS231" s="3">
        <v>1</v>
      </c>
    </row>
    <row r="232" s="3" customFormat="1" ht="14.25" customHeight="1" spans="1:45">
      <c r="A232" s="128">
        <v>630081</v>
      </c>
      <c r="B232" s="128">
        <v>1001</v>
      </c>
      <c r="C232" s="128">
        <v>7</v>
      </c>
      <c r="D232" s="128">
        <v>1005</v>
      </c>
      <c r="E232" s="3" t="s">
        <v>852</v>
      </c>
      <c r="F232" s="3" t="s">
        <v>852</v>
      </c>
      <c r="G232" s="3" t="s">
        <v>853</v>
      </c>
      <c r="H232" s="150" t="s">
        <v>854</v>
      </c>
      <c r="I232" s="3">
        <v>1</v>
      </c>
      <c r="J232" s="151">
        <v>5</v>
      </c>
      <c r="K232" s="128">
        <v>3</v>
      </c>
      <c r="L232" s="128">
        <v>999</v>
      </c>
      <c r="M232" s="128">
        <v>0</v>
      </c>
      <c r="N232" s="128"/>
      <c r="O232" s="152">
        <v>113081</v>
      </c>
      <c r="P232" s="128" t="s">
        <v>438</v>
      </c>
      <c r="R232" s="3" t="s">
        <v>439</v>
      </c>
      <c r="S232" s="128">
        <v>0</v>
      </c>
      <c r="T232" s="128">
        <v>5</v>
      </c>
      <c r="U232" s="128">
        <v>200</v>
      </c>
      <c r="V232" s="128">
        <v>1</v>
      </c>
      <c r="W232" s="3">
        <v>1</v>
      </c>
      <c r="X232" s="128">
        <v>1</v>
      </c>
      <c r="Y232" s="3">
        <v>0</v>
      </c>
      <c r="Z232" s="3">
        <v>0</v>
      </c>
      <c r="AA232" s="3">
        <v>5</v>
      </c>
      <c r="AB232" s="3">
        <v>7600</v>
      </c>
      <c r="AC232" s="128">
        <v>601</v>
      </c>
      <c r="AD232" s="153">
        <v>0</v>
      </c>
      <c r="AE232" s="154">
        <v>0</v>
      </c>
      <c r="AF232" s="154">
        <v>0</v>
      </c>
      <c r="AG232" s="155"/>
      <c r="AH232" s="155">
        <v>1</v>
      </c>
      <c r="AI232" s="155"/>
      <c r="AJ232" s="155"/>
      <c r="AK232" s="155"/>
      <c r="AL232" s="156">
        <v>1</v>
      </c>
      <c r="AM232" s="156"/>
      <c r="AN232" s="157"/>
      <c r="AO232" s="156"/>
      <c r="AP232" s="158"/>
      <c r="AS232" s="3">
        <v>1</v>
      </c>
    </row>
    <row r="233" s="3" customFormat="1" ht="14.25" customHeight="1" spans="1:45">
      <c r="A233" s="128">
        <v>630082</v>
      </c>
      <c r="B233" s="128">
        <v>1001</v>
      </c>
      <c r="C233" s="128">
        <v>7</v>
      </c>
      <c r="D233" s="128">
        <v>1005</v>
      </c>
      <c r="E233" s="3" t="s">
        <v>855</v>
      </c>
      <c r="F233" s="3" t="s">
        <v>855</v>
      </c>
      <c r="G233" s="3" t="s">
        <v>856</v>
      </c>
      <c r="H233" s="150" t="s">
        <v>857</v>
      </c>
      <c r="I233" s="3">
        <v>1</v>
      </c>
      <c r="J233" s="151">
        <v>5</v>
      </c>
      <c r="K233" s="128">
        <v>3</v>
      </c>
      <c r="L233" s="128">
        <v>999</v>
      </c>
      <c r="M233" s="128">
        <v>0</v>
      </c>
      <c r="N233" s="128"/>
      <c r="O233" s="152">
        <v>113082</v>
      </c>
      <c r="P233" s="128" t="s">
        <v>438</v>
      </c>
      <c r="R233" s="3" t="s">
        <v>439</v>
      </c>
      <c r="S233" s="128">
        <v>0</v>
      </c>
      <c r="T233" s="128">
        <v>5</v>
      </c>
      <c r="U233" s="128">
        <v>200</v>
      </c>
      <c r="V233" s="128">
        <v>1</v>
      </c>
      <c r="W233" s="3">
        <v>1</v>
      </c>
      <c r="X233" s="128">
        <v>1</v>
      </c>
      <c r="Y233" s="3">
        <v>0</v>
      </c>
      <c r="Z233" s="3">
        <v>0</v>
      </c>
      <c r="AA233" s="3">
        <v>5</v>
      </c>
      <c r="AB233" s="3">
        <v>7600</v>
      </c>
      <c r="AC233" s="128">
        <v>601</v>
      </c>
      <c r="AD233" s="153">
        <v>0</v>
      </c>
      <c r="AE233" s="154">
        <v>0</v>
      </c>
      <c r="AF233" s="154">
        <v>0</v>
      </c>
      <c r="AG233" s="155"/>
      <c r="AH233" s="155">
        <v>1</v>
      </c>
      <c r="AI233" s="155"/>
      <c r="AJ233" s="155"/>
      <c r="AK233" s="155"/>
      <c r="AL233" s="156">
        <v>1</v>
      </c>
      <c r="AM233" s="156"/>
      <c r="AN233" s="157"/>
      <c r="AO233" s="156"/>
      <c r="AP233" s="158"/>
      <c r="AS233" s="3">
        <v>1</v>
      </c>
    </row>
    <row r="234" s="3" customFormat="1" ht="14.25" customHeight="1" spans="1:45">
      <c r="A234" s="128">
        <v>630083</v>
      </c>
      <c r="B234" s="128">
        <v>1001</v>
      </c>
      <c r="C234" s="128">
        <v>7</v>
      </c>
      <c r="D234" s="128">
        <v>1005</v>
      </c>
      <c r="E234" s="3" t="s">
        <v>858</v>
      </c>
      <c r="F234" s="3" t="s">
        <v>858</v>
      </c>
      <c r="G234" s="3" t="s">
        <v>859</v>
      </c>
      <c r="H234" s="150" t="s">
        <v>860</v>
      </c>
      <c r="I234" s="3">
        <v>1</v>
      </c>
      <c r="J234" s="151">
        <v>5</v>
      </c>
      <c r="K234" s="128">
        <v>3</v>
      </c>
      <c r="L234" s="128">
        <v>999</v>
      </c>
      <c r="M234" s="128">
        <v>0</v>
      </c>
      <c r="N234" s="128"/>
      <c r="O234" s="152">
        <v>113083</v>
      </c>
      <c r="P234" s="128" t="s">
        <v>438</v>
      </c>
      <c r="R234" s="3" t="s">
        <v>439</v>
      </c>
      <c r="S234" s="128">
        <v>0</v>
      </c>
      <c r="T234" s="128">
        <v>5</v>
      </c>
      <c r="U234" s="128">
        <v>200</v>
      </c>
      <c r="V234" s="128">
        <v>1</v>
      </c>
      <c r="W234" s="3">
        <v>1</v>
      </c>
      <c r="X234" s="128">
        <v>1</v>
      </c>
      <c r="Y234" s="3">
        <v>0</v>
      </c>
      <c r="Z234" s="3">
        <v>0</v>
      </c>
      <c r="AA234" s="3">
        <v>5</v>
      </c>
      <c r="AB234" s="3">
        <v>7600</v>
      </c>
      <c r="AC234" s="128">
        <v>601</v>
      </c>
      <c r="AD234" s="153">
        <v>0</v>
      </c>
      <c r="AE234" s="154">
        <v>0</v>
      </c>
      <c r="AF234" s="154">
        <v>0</v>
      </c>
      <c r="AG234" s="155"/>
      <c r="AH234" s="155">
        <v>1</v>
      </c>
      <c r="AI234" s="155"/>
      <c r="AJ234" s="155"/>
      <c r="AK234" s="155"/>
      <c r="AL234" s="156">
        <v>1</v>
      </c>
      <c r="AM234" s="156"/>
      <c r="AN234" s="157"/>
      <c r="AO234" s="156"/>
      <c r="AP234" s="158"/>
      <c r="AS234" s="3">
        <v>1</v>
      </c>
    </row>
    <row r="235" s="3" customFormat="1" ht="14.25" customHeight="1" spans="1:45">
      <c r="A235" s="128">
        <v>630084</v>
      </c>
      <c r="B235" s="128">
        <v>1001</v>
      </c>
      <c r="C235" s="128">
        <v>7</v>
      </c>
      <c r="D235" s="128">
        <v>1005</v>
      </c>
      <c r="E235" s="3" t="s">
        <v>861</v>
      </c>
      <c r="F235" s="3" t="s">
        <v>861</v>
      </c>
      <c r="G235" s="3" t="s">
        <v>862</v>
      </c>
      <c r="H235" s="150" t="s">
        <v>863</v>
      </c>
      <c r="I235" s="3">
        <v>1</v>
      </c>
      <c r="J235" s="151">
        <v>5</v>
      </c>
      <c r="K235" s="128">
        <v>3</v>
      </c>
      <c r="L235" s="128">
        <v>999</v>
      </c>
      <c r="M235" s="128">
        <v>0</v>
      </c>
      <c r="N235" s="128"/>
      <c r="O235" s="152">
        <v>113084</v>
      </c>
      <c r="P235" s="128" t="s">
        <v>438</v>
      </c>
      <c r="R235" s="3" t="s">
        <v>439</v>
      </c>
      <c r="S235" s="128">
        <v>0</v>
      </c>
      <c r="T235" s="128">
        <v>5</v>
      </c>
      <c r="U235" s="128">
        <v>200</v>
      </c>
      <c r="V235" s="128">
        <v>1</v>
      </c>
      <c r="W235" s="3">
        <v>1</v>
      </c>
      <c r="X235" s="128">
        <v>1</v>
      </c>
      <c r="Y235" s="3">
        <v>0</v>
      </c>
      <c r="Z235" s="3">
        <v>0</v>
      </c>
      <c r="AA235" s="3">
        <v>5</v>
      </c>
      <c r="AB235" s="3">
        <v>7600</v>
      </c>
      <c r="AC235" s="128">
        <v>601</v>
      </c>
      <c r="AD235" s="153">
        <v>0</v>
      </c>
      <c r="AE235" s="154">
        <v>0</v>
      </c>
      <c r="AF235" s="154">
        <v>0</v>
      </c>
      <c r="AG235" s="155"/>
      <c r="AH235" s="155">
        <v>1</v>
      </c>
      <c r="AI235" s="155"/>
      <c r="AJ235" s="155"/>
      <c r="AK235" s="155"/>
      <c r="AL235" s="156">
        <v>1</v>
      </c>
      <c r="AM235" s="156"/>
      <c r="AN235" s="157"/>
      <c r="AO235" s="156"/>
      <c r="AP235" s="158"/>
      <c r="AS235" s="3">
        <v>1</v>
      </c>
    </row>
    <row r="236" s="3" customFormat="1" ht="14.25" customHeight="1" spans="1:45">
      <c r="A236" s="128">
        <v>630085</v>
      </c>
      <c r="B236" s="128">
        <v>1001</v>
      </c>
      <c r="C236" s="128">
        <v>7</v>
      </c>
      <c r="D236" s="128">
        <v>1005</v>
      </c>
      <c r="E236" s="3" t="s">
        <v>864</v>
      </c>
      <c r="F236" s="3" t="s">
        <v>864</v>
      </c>
      <c r="G236" s="3" t="s">
        <v>865</v>
      </c>
      <c r="H236" s="150" t="s">
        <v>866</v>
      </c>
      <c r="I236" s="3">
        <v>1</v>
      </c>
      <c r="J236" s="151">
        <v>5</v>
      </c>
      <c r="K236" s="128">
        <v>3</v>
      </c>
      <c r="L236" s="128">
        <v>999</v>
      </c>
      <c r="M236" s="128">
        <v>0</v>
      </c>
      <c r="N236" s="128"/>
      <c r="O236" s="152">
        <v>113085</v>
      </c>
      <c r="P236" s="128" t="s">
        <v>438</v>
      </c>
      <c r="R236" s="3" t="s">
        <v>439</v>
      </c>
      <c r="S236" s="128">
        <v>0</v>
      </c>
      <c r="T236" s="128">
        <v>5</v>
      </c>
      <c r="U236" s="128">
        <v>200</v>
      </c>
      <c r="V236" s="128">
        <v>1</v>
      </c>
      <c r="W236" s="3">
        <v>1</v>
      </c>
      <c r="X236" s="128">
        <v>1</v>
      </c>
      <c r="Y236" s="3">
        <v>0</v>
      </c>
      <c r="Z236" s="3">
        <v>0</v>
      </c>
      <c r="AA236" s="3">
        <v>5</v>
      </c>
      <c r="AB236" s="3">
        <v>7600</v>
      </c>
      <c r="AC236" s="128">
        <v>601</v>
      </c>
      <c r="AD236" s="153">
        <v>0</v>
      </c>
      <c r="AE236" s="154">
        <v>0</v>
      </c>
      <c r="AF236" s="154">
        <v>0</v>
      </c>
      <c r="AG236" s="155"/>
      <c r="AH236" s="155">
        <v>1</v>
      </c>
      <c r="AI236" s="155"/>
      <c r="AJ236" s="155"/>
      <c r="AK236" s="155"/>
      <c r="AL236" s="156">
        <v>1</v>
      </c>
      <c r="AM236" s="156"/>
      <c r="AN236" s="157"/>
      <c r="AO236" s="156"/>
      <c r="AP236" s="158"/>
      <c r="AS236" s="3">
        <v>1</v>
      </c>
    </row>
    <row r="237" s="3" customFormat="1" ht="14.25" customHeight="1" spans="1:45">
      <c r="A237" s="128">
        <v>630086</v>
      </c>
      <c r="B237" s="128">
        <v>1001</v>
      </c>
      <c r="C237" s="128">
        <v>7</v>
      </c>
      <c r="D237" s="128">
        <v>1005</v>
      </c>
      <c r="E237" s="3" t="s">
        <v>867</v>
      </c>
      <c r="F237" s="3" t="s">
        <v>867</v>
      </c>
      <c r="G237" s="3" t="s">
        <v>868</v>
      </c>
      <c r="H237" s="150" t="s">
        <v>869</v>
      </c>
      <c r="I237" s="3">
        <v>1</v>
      </c>
      <c r="J237" s="151">
        <v>5</v>
      </c>
      <c r="K237" s="128">
        <v>3</v>
      </c>
      <c r="L237" s="128">
        <v>999</v>
      </c>
      <c r="M237" s="128">
        <v>0</v>
      </c>
      <c r="N237" s="128"/>
      <c r="O237" s="152">
        <v>113086</v>
      </c>
      <c r="P237" s="128" t="s">
        <v>438</v>
      </c>
      <c r="R237" s="3" t="s">
        <v>439</v>
      </c>
      <c r="S237" s="128">
        <v>0</v>
      </c>
      <c r="T237" s="128">
        <v>5</v>
      </c>
      <c r="U237" s="128">
        <v>200</v>
      </c>
      <c r="V237" s="128">
        <v>1</v>
      </c>
      <c r="W237" s="3">
        <v>1</v>
      </c>
      <c r="X237" s="128">
        <v>1</v>
      </c>
      <c r="Y237" s="3">
        <v>0</v>
      </c>
      <c r="Z237" s="3">
        <v>0</v>
      </c>
      <c r="AA237" s="3">
        <v>5</v>
      </c>
      <c r="AB237" s="3">
        <v>7600</v>
      </c>
      <c r="AC237" s="128">
        <v>601</v>
      </c>
      <c r="AD237" s="153">
        <v>0</v>
      </c>
      <c r="AE237" s="154">
        <v>0</v>
      </c>
      <c r="AF237" s="154">
        <v>0</v>
      </c>
      <c r="AG237" s="155"/>
      <c r="AH237" s="155">
        <v>1</v>
      </c>
      <c r="AI237" s="155"/>
      <c r="AJ237" s="155"/>
      <c r="AK237" s="155"/>
      <c r="AL237" s="156">
        <v>1</v>
      </c>
      <c r="AM237" s="156"/>
      <c r="AN237" s="157"/>
      <c r="AO237" s="156"/>
      <c r="AP237" s="158"/>
      <c r="AS237" s="3">
        <v>1</v>
      </c>
    </row>
    <row r="238" s="3" customFormat="1" ht="14.25" customHeight="1" spans="1:45">
      <c r="A238" s="128">
        <v>630087</v>
      </c>
      <c r="B238" s="128">
        <v>1001</v>
      </c>
      <c r="C238" s="128">
        <v>7</v>
      </c>
      <c r="D238" s="128">
        <v>1005</v>
      </c>
      <c r="E238" s="3" t="s">
        <v>870</v>
      </c>
      <c r="F238" s="3" t="s">
        <v>870</v>
      </c>
      <c r="G238" s="3" t="s">
        <v>871</v>
      </c>
      <c r="H238" s="150" t="s">
        <v>872</v>
      </c>
      <c r="I238" s="3">
        <v>1</v>
      </c>
      <c r="J238" s="151">
        <v>5</v>
      </c>
      <c r="K238" s="128">
        <v>3</v>
      </c>
      <c r="L238" s="128">
        <v>999</v>
      </c>
      <c r="M238" s="128">
        <v>0</v>
      </c>
      <c r="N238" s="128"/>
      <c r="O238" s="152">
        <v>113087</v>
      </c>
      <c r="P238" s="128" t="s">
        <v>438</v>
      </c>
      <c r="R238" s="3" t="s">
        <v>439</v>
      </c>
      <c r="S238" s="128">
        <v>0</v>
      </c>
      <c r="T238" s="128">
        <v>5</v>
      </c>
      <c r="U238" s="128">
        <v>200</v>
      </c>
      <c r="V238" s="128">
        <v>1</v>
      </c>
      <c r="W238" s="3">
        <v>1</v>
      </c>
      <c r="X238" s="128">
        <v>1</v>
      </c>
      <c r="Y238" s="3">
        <v>0</v>
      </c>
      <c r="Z238" s="3">
        <v>0</v>
      </c>
      <c r="AA238" s="3">
        <v>5</v>
      </c>
      <c r="AB238" s="3">
        <v>7600</v>
      </c>
      <c r="AC238" s="128">
        <v>601</v>
      </c>
      <c r="AD238" s="153">
        <v>0</v>
      </c>
      <c r="AE238" s="154">
        <v>0</v>
      </c>
      <c r="AF238" s="154">
        <v>0</v>
      </c>
      <c r="AG238" s="155"/>
      <c r="AH238" s="155">
        <v>1</v>
      </c>
      <c r="AI238" s="155"/>
      <c r="AJ238" s="155"/>
      <c r="AK238" s="155"/>
      <c r="AL238" s="156">
        <v>1</v>
      </c>
      <c r="AM238" s="156"/>
      <c r="AN238" s="157"/>
      <c r="AO238" s="156"/>
      <c r="AP238" s="158"/>
      <c r="AS238" s="3">
        <v>1</v>
      </c>
    </row>
    <row r="239" s="3" customFormat="1" ht="14.25" customHeight="1" spans="1:45">
      <c r="A239" s="8">
        <v>640001</v>
      </c>
      <c r="B239" s="8">
        <v>1001</v>
      </c>
      <c r="C239" s="8">
        <v>7</v>
      </c>
      <c r="D239" s="8">
        <v>1005</v>
      </c>
      <c r="E239" t="s">
        <v>873</v>
      </c>
      <c r="F239" t="s">
        <v>873</v>
      </c>
      <c r="G239" t="s">
        <v>874</v>
      </c>
      <c r="H239" s="149" t="s">
        <v>875</v>
      </c>
      <c r="I239">
        <v>1</v>
      </c>
      <c r="J239" s="69">
        <v>6</v>
      </c>
      <c r="K239" s="87">
        <v>3</v>
      </c>
      <c r="L239" s="8">
        <v>999</v>
      </c>
      <c r="M239" s="8">
        <v>0</v>
      </c>
      <c r="N239" s="8"/>
      <c r="O239" s="88">
        <v>113077</v>
      </c>
      <c r="P239" s="8" t="s">
        <v>438</v>
      </c>
      <c r="R239" t="s">
        <v>439</v>
      </c>
      <c r="S239" s="89">
        <v>0</v>
      </c>
      <c r="T239" s="8">
        <v>5</v>
      </c>
      <c r="U239" s="89">
        <v>200</v>
      </c>
      <c r="V239" s="87">
        <v>1</v>
      </c>
      <c r="W239">
        <v>1</v>
      </c>
      <c r="X239" s="8">
        <v>1</v>
      </c>
      <c r="Y239">
        <v>0</v>
      </c>
      <c r="Z239" s="33">
        <v>0</v>
      </c>
      <c r="AA239">
        <v>5</v>
      </c>
      <c r="AB239" s="34">
        <v>7600</v>
      </c>
      <c r="AC239" s="87">
        <v>600</v>
      </c>
      <c r="AD239" s="62">
        <v>0</v>
      </c>
      <c r="AE239" s="90">
        <v>0</v>
      </c>
      <c r="AF239" s="90">
        <v>0</v>
      </c>
      <c r="AG239" s="91"/>
      <c r="AH239" s="91">
        <v>1</v>
      </c>
      <c r="AI239" s="91"/>
      <c r="AJ239" s="91"/>
      <c r="AK239" s="91"/>
      <c r="AL239" s="92">
        <v>1</v>
      </c>
      <c r="AM239" s="92"/>
      <c r="AN239" s="93"/>
      <c r="AO239" s="92"/>
      <c r="AP239" s="147"/>
      <c r="AS239">
        <v>1</v>
      </c>
    </row>
    <row r="240" ht="14.25" customHeight="1" spans="1:45">
      <c r="A240" s="8">
        <v>640002</v>
      </c>
      <c r="B240" s="8">
        <v>1001</v>
      </c>
      <c r="C240" s="8">
        <v>7</v>
      </c>
      <c r="D240" s="8">
        <v>1005</v>
      </c>
      <c r="E240" t="s">
        <v>876</v>
      </c>
      <c r="F240" t="s">
        <v>876</v>
      </c>
      <c r="G240" t="s">
        <v>877</v>
      </c>
      <c r="H240" s="149" t="s">
        <v>878</v>
      </c>
      <c r="I240">
        <v>1</v>
      </c>
      <c r="J240" s="69">
        <v>6</v>
      </c>
      <c r="K240" s="87">
        <v>3</v>
      </c>
      <c r="L240" s="8">
        <v>999</v>
      </c>
      <c r="M240" s="8">
        <v>0</v>
      </c>
      <c r="N240" s="8"/>
      <c r="O240" s="88">
        <v>113088</v>
      </c>
      <c r="P240" s="8" t="s">
        <v>438</v>
      </c>
      <c r="R240" t="s">
        <v>439</v>
      </c>
      <c r="S240" s="89">
        <v>0</v>
      </c>
      <c r="T240" s="8">
        <v>5</v>
      </c>
      <c r="U240" s="89">
        <v>200</v>
      </c>
      <c r="V240" s="87">
        <v>1</v>
      </c>
      <c r="W240">
        <v>1</v>
      </c>
      <c r="X240" s="8">
        <v>1</v>
      </c>
      <c r="Y240">
        <v>0</v>
      </c>
      <c r="Z240" s="33">
        <v>0</v>
      </c>
      <c r="AA240">
        <v>5</v>
      </c>
      <c r="AB240" s="34">
        <v>7600</v>
      </c>
      <c r="AC240" s="87">
        <v>600</v>
      </c>
      <c r="AD240" s="62">
        <v>0</v>
      </c>
      <c r="AE240" s="90">
        <v>0</v>
      </c>
      <c r="AF240" s="90">
        <v>0</v>
      </c>
      <c r="AG240" s="91"/>
      <c r="AH240" s="91">
        <v>1</v>
      </c>
      <c r="AI240" s="91"/>
      <c r="AJ240" s="91"/>
      <c r="AK240" s="91"/>
      <c r="AL240" s="92">
        <v>1</v>
      </c>
      <c r="AM240" s="92"/>
      <c r="AN240" s="93"/>
      <c r="AO240" s="92"/>
      <c r="AP240" s="147"/>
      <c r="AS240">
        <v>1</v>
      </c>
    </row>
    <row r="241" ht="14.25" customHeight="1" spans="1:45">
      <c r="A241" s="128">
        <v>630089</v>
      </c>
      <c r="B241" s="128">
        <v>1001</v>
      </c>
      <c r="C241" s="128">
        <v>7</v>
      </c>
      <c r="D241" s="128">
        <v>1005</v>
      </c>
      <c r="E241" s="3" t="s">
        <v>879</v>
      </c>
      <c r="F241" s="3" t="s">
        <v>879</v>
      </c>
      <c r="G241" s="3" t="s">
        <v>880</v>
      </c>
      <c r="H241" s="117" t="s">
        <v>881</v>
      </c>
      <c r="I241" s="3">
        <v>1</v>
      </c>
      <c r="J241" s="151">
        <v>5</v>
      </c>
      <c r="K241" s="128">
        <v>3</v>
      </c>
      <c r="L241" s="128">
        <v>999</v>
      </c>
      <c r="M241" s="128">
        <v>0</v>
      </c>
      <c r="N241" s="128"/>
      <c r="O241" s="152">
        <v>113089</v>
      </c>
      <c r="P241" s="128" t="s">
        <v>438</v>
      </c>
      <c r="R241" s="3" t="s">
        <v>439</v>
      </c>
      <c r="S241" s="128">
        <v>0</v>
      </c>
      <c r="T241" s="128">
        <v>5</v>
      </c>
      <c r="U241" s="128">
        <v>200</v>
      </c>
      <c r="V241" s="128">
        <v>1</v>
      </c>
      <c r="W241" s="3">
        <v>1</v>
      </c>
      <c r="X241" s="128">
        <v>1</v>
      </c>
      <c r="Y241" s="3">
        <v>0</v>
      </c>
      <c r="Z241" s="3">
        <v>0</v>
      </c>
      <c r="AA241" s="3">
        <v>5</v>
      </c>
      <c r="AB241" s="3">
        <v>7600</v>
      </c>
      <c r="AC241" s="128">
        <v>601</v>
      </c>
      <c r="AD241" s="153">
        <v>0</v>
      </c>
      <c r="AE241" s="154">
        <v>0</v>
      </c>
      <c r="AF241" s="154">
        <v>0</v>
      </c>
      <c r="AG241" s="155"/>
      <c r="AH241" s="155">
        <v>1</v>
      </c>
      <c r="AI241" s="155"/>
      <c r="AJ241" s="155"/>
      <c r="AK241" s="155"/>
      <c r="AL241" s="156">
        <v>1</v>
      </c>
      <c r="AM241" s="156"/>
      <c r="AN241" s="157"/>
      <c r="AO241" s="156"/>
      <c r="AP241" s="158"/>
      <c r="AS241" s="3">
        <v>1</v>
      </c>
    </row>
    <row r="242" s="3" customFormat="1" spans="1:45">
      <c r="A242" s="128">
        <v>630090</v>
      </c>
      <c r="B242" s="128">
        <v>1001</v>
      </c>
      <c r="C242" s="128">
        <v>7</v>
      </c>
      <c r="D242" s="128">
        <v>1005</v>
      </c>
      <c r="E242" s="3" t="s">
        <v>882</v>
      </c>
      <c r="F242" s="3" t="s">
        <v>882</v>
      </c>
      <c r="G242" s="3" t="s">
        <v>883</v>
      </c>
      <c r="H242" s="117" t="s">
        <v>884</v>
      </c>
      <c r="I242" s="3">
        <v>1</v>
      </c>
      <c r="J242" s="151">
        <v>5</v>
      </c>
      <c r="K242" s="128">
        <v>3</v>
      </c>
      <c r="L242" s="128">
        <v>999</v>
      </c>
      <c r="M242" s="128">
        <v>0</v>
      </c>
      <c r="N242" s="128"/>
      <c r="O242" s="152">
        <v>113090</v>
      </c>
      <c r="P242" s="128" t="s">
        <v>438</v>
      </c>
      <c r="R242" s="3" t="s">
        <v>439</v>
      </c>
      <c r="S242" s="128">
        <v>0</v>
      </c>
      <c r="T242" s="128">
        <v>5</v>
      </c>
      <c r="U242" s="128">
        <v>200</v>
      </c>
      <c r="V242" s="128">
        <v>1</v>
      </c>
      <c r="W242" s="3">
        <v>1</v>
      </c>
      <c r="X242" s="128">
        <v>1</v>
      </c>
      <c r="Y242" s="3">
        <v>0</v>
      </c>
      <c r="Z242" s="3">
        <v>0</v>
      </c>
      <c r="AA242" s="3">
        <v>5</v>
      </c>
      <c r="AB242" s="3">
        <v>7600</v>
      </c>
      <c r="AC242" s="128">
        <v>601</v>
      </c>
      <c r="AD242" s="153">
        <v>0</v>
      </c>
      <c r="AE242" s="154">
        <v>0</v>
      </c>
      <c r="AF242" s="154">
        <v>0</v>
      </c>
      <c r="AG242" s="155"/>
      <c r="AH242" s="155">
        <v>1</v>
      </c>
      <c r="AI242" s="155"/>
      <c r="AJ242" s="155"/>
      <c r="AK242" s="155"/>
      <c r="AL242" s="156">
        <v>1</v>
      </c>
      <c r="AM242" s="156"/>
      <c r="AN242" s="157"/>
      <c r="AO242" s="156"/>
      <c r="AP242" s="158"/>
      <c r="AS242" s="3">
        <v>1</v>
      </c>
    </row>
    <row r="243" s="3" customFormat="1" spans="1:45">
      <c r="A243" s="8">
        <v>630091</v>
      </c>
      <c r="B243" s="8">
        <v>1001</v>
      </c>
      <c r="C243" s="8">
        <v>7</v>
      </c>
      <c r="D243" s="8">
        <v>1005</v>
      </c>
      <c r="E243" t="s">
        <v>885</v>
      </c>
      <c r="F243" t="s">
        <v>885</v>
      </c>
      <c r="G243" t="s">
        <v>886</v>
      </c>
      <c r="H243" s="117" t="s">
        <v>887</v>
      </c>
      <c r="I243">
        <v>1</v>
      </c>
      <c r="J243" s="69">
        <v>5</v>
      </c>
      <c r="K243" s="8">
        <v>3</v>
      </c>
      <c r="L243" s="8">
        <v>999</v>
      </c>
      <c r="M243" s="8">
        <v>0</v>
      </c>
      <c r="N243" s="8"/>
      <c r="O243" s="88">
        <v>113091</v>
      </c>
      <c r="P243" s="8" t="s">
        <v>438</v>
      </c>
      <c r="R243" t="s">
        <v>439</v>
      </c>
      <c r="S243" s="8">
        <v>0</v>
      </c>
      <c r="T243" s="8">
        <v>5</v>
      </c>
      <c r="U243" s="8">
        <v>200</v>
      </c>
      <c r="V243" s="8">
        <v>1</v>
      </c>
      <c r="W243">
        <v>1</v>
      </c>
      <c r="X243" s="8">
        <v>1</v>
      </c>
      <c r="Y243">
        <v>0</v>
      </c>
      <c r="Z243" s="33">
        <v>0</v>
      </c>
      <c r="AA243">
        <v>5</v>
      </c>
      <c r="AB243">
        <v>7600</v>
      </c>
      <c r="AC243" s="8">
        <v>601</v>
      </c>
      <c r="AD243" s="12">
        <v>0</v>
      </c>
      <c r="AE243" s="159">
        <v>0</v>
      </c>
      <c r="AF243" s="159">
        <v>0</v>
      </c>
      <c r="AG243" s="160"/>
      <c r="AH243" s="160">
        <v>1</v>
      </c>
      <c r="AI243" s="160"/>
      <c r="AJ243" s="160"/>
      <c r="AK243" s="160"/>
      <c r="AL243" s="161">
        <v>1</v>
      </c>
      <c r="AM243" s="161"/>
      <c r="AN243" s="162"/>
      <c r="AO243" s="161"/>
      <c r="AP243" s="147"/>
      <c r="AS243">
        <v>1</v>
      </c>
    </row>
    <row r="244" spans="1:45">
      <c r="A244" s="8">
        <v>630092</v>
      </c>
      <c r="B244" s="8">
        <v>1001</v>
      </c>
      <c r="C244" s="8">
        <v>7</v>
      </c>
      <c r="D244" s="8">
        <v>1005</v>
      </c>
      <c r="E244" t="s">
        <v>888</v>
      </c>
      <c r="F244" t="s">
        <v>888</v>
      </c>
      <c r="G244" t="s">
        <v>889</v>
      </c>
      <c r="H244" s="117" t="s">
        <v>890</v>
      </c>
      <c r="I244">
        <v>1</v>
      </c>
      <c r="J244" s="69">
        <v>5</v>
      </c>
      <c r="K244" s="8">
        <v>3</v>
      </c>
      <c r="L244" s="8">
        <v>999</v>
      </c>
      <c r="M244" s="8">
        <v>0</v>
      </c>
      <c r="N244" s="8"/>
      <c r="O244" s="88">
        <v>113092</v>
      </c>
      <c r="P244" s="8" t="s">
        <v>438</v>
      </c>
      <c r="R244" t="s">
        <v>439</v>
      </c>
      <c r="S244" s="8">
        <v>0</v>
      </c>
      <c r="T244" s="8">
        <v>5</v>
      </c>
      <c r="U244" s="8">
        <v>200</v>
      </c>
      <c r="V244" s="8">
        <v>1</v>
      </c>
      <c r="W244">
        <v>1</v>
      </c>
      <c r="X244" s="8">
        <v>1</v>
      </c>
      <c r="Y244">
        <v>0</v>
      </c>
      <c r="Z244" s="33">
        <v>0</v>
      </c>
      <c r="AA244">
        <v>5</v>
      </c>
      <c r="AB244">
        <v>7600</v>
      </c>
      <c r="AC244" s="8">
        <v>601</v>
      </c>
      <c r="AD244" s="12">
        <v>0</v>
      </c>
      <c r="AE244" s="159">
        <v>0</v>
      </c>
      <c r="AF244" s="159">
        <v>0</v>
      </c>
      <c r="AG244" s="160"/>
      <c r="AH244" s="160">
        <v>1</v>
      </c>
      <c r="AI244" s="160"/>
      <c r="AJ244" s="160"/>
      <c r="AK244" s="160"/>
      <c r="AL244" s="161">
        <v>1</v>
      </c>
      <c r="AM244" s="161"/>
      <c r="AN244" s="162"/>
      <c r="AO244" s="161"/>
      <c r="AP244" s="147"/>
      <c r="AS244">
        <v>1</v>
      </c>
    </row>
    <row r="245" spans="1:45">
      <c r="A245" s="8">
        <v>630093</v>
      </c>
      <c r="B245" s="8">
        <v>1001</v>
      </c>
      <c r="C245" s="8">
        <v>7</v>
      </c>
      <c r="D245" s="8">
        <v>1005</v>
      </c>
      <c r="E245" t="s">
        <v>891</v>
      </c>
      <c r="F245" t="s">
        <v>891</v>
      </c>
      <c r="G245" t="s">
        <v>892</v>
      </c>
      <c r="H245" s="117" t="s">
        <v>893</v>
      </c>
      <c r="I245">
        <v>1</v>
      </c>
      <c r="J245" s="69">
        <v>5</v>
      </c>
      <c r="K245" s="8">
        <v>3</v>
      </c>
      <c r="L245" s="8">
        <v>999</v>
      </c>
      <c r="M245" s="8">
        <v>0</v>
      </c>
      <c r="N245" s="8"/>
      <c r="O245" s="88">
        <v>113093</v>
      </c>
      <c r="P245" s="8" t="s">
        <v>438</v>
      </c>
      <c r="R245" t="s">
        <v>439</v>
      </c>
      <c r="S245" s="8">
        <v>0</v>
      </c>
      <c r="T245" s="8">
        <v>5</v>
      </c>
      <c r="U245" s="8">
        <v>200</v>
      </c>
      <c r="V245" s="8">
        <v>1</v>
      </c>
      <c r="W245">
        <v>1</v>
      </c>
      <c r="X245" s="8">
        <v>1</v>
      </c>
      <c r="Y245">
        <v>0</v>
      </c>
      <c r="Z245" s="33">
        <v>0</v>
      </c>
      <c r="AA245">
        <v>5</v>
      </c>
      <c r="AB245">
        <v>7600</v>
      </c>
      <c r="AC245" s="8">
        <v>601</v>
      </c>
      <c r="AD245" s="12">
        <v>0</v>
      </c>
      <c r="AE245" s="159">
        <v>0</v>
      </c>
      <c r="AF245" s="159">
        <v>0</v>
      </c>
      <c r="AG245" s="160"/>
      <c r="AH245" s="160">
        <v>1</v>
      </c>
      <c r="AI245" s="160"/>
      <c r="AJ245" s="160"/>
      <c r="AK245" s="160"/>
      <c r="AL245" s="161">
        <v>1</v>
      </c>
      <c r="AM245" s="161"/>
      <c r="AN245" s="162"/>
      <c r="AO245" s="161"/>
      <c r="AP245" s="147"/>
      <c r="AS245">
        <v>1</v>
      </c>
    </row>
    <row r="246" spans="1:45">
      <c r="A246" s="8">
        <v>630094</v>
      </c>
      <c r="B246" s="8">
        <v>1001</v>
      </c>
      <c r="C246" s="8">
        <v>7</v>
      </c>
      <c r="D246" s="8">
        <v>1005</v>
      </c>
      <c r="E246" t="s">
        <v>894</v>
      </c>
      <c r="F246" t="s">
        <v>894</v>
      </c>
      <c r="G246" t="s">
        <v>895</v>
      </c>
      <c r="H246" s="117" t="s">
        <v>896</v>
      </c>
      <c r="I246">
        <v>1</v>
      </c>
      <c r="J246" s="69">
        <v>5</v>
      </c>
      <c r="K246" s="8">
        <v>3</v>
      </c>
      <c r="L246" s="8">
        <v>999</v>
      </c>
      <c r="M246" s="8">
        <v>0</v>
      </c>
      <c r="N246" s="8"/>
      <c r="O246" s="88">
        <v>113094</v>
      </c>
      <c r="P246" s="8" t="s">
        <v>438</v>
      </c>
      <c r="R246" t="s">
        <v>439</v>
      </c>
      <c r="S246" s="8">
        <v>0</v>
      </c>
      <c r="T246" s="8">
        <v>5</v>
      </c>
      <c r="U246" s="8">
        <v>200</v>
      </c>
      <c r="V246" s="8">
        <v>1</v>
      </c>
      <c r="W246">
        <v>1</v>
      </c>
      <c r="X246" s="8">
        <v>1</v>
      </c>
      <c r="Y246">
        <v>0</v>
      </c>
      <c r="Z246" s="33">
        <v>0</v>
      </c>
      <c r="AA246">
        <v>5</v>
      </c>
      <c r="AB246">
        <v>7600</v>
      </c>
      <c r="AC246" s="8">
        <v>601</v>
      </c>
      <c r="AD246" s="12">
        <v>0</v>
      </c>
      <c r="AE246" s="159">
        <v>0</v>
      </c>
      <c r="AF246" s="159">
        <v>0</v>
      </c>
      <c r="AG246" s="160"/>
      <c r="AH246" s="160">
        <v>1</v>
      </c>
      <c r="AI246" s="160"/>
      <c r="AJ246" s="160"/>
      <c r="AK246" s="160"/>
      <c r="AL246" s="161">
        <v>1</v>
      </c>
      <c r="AM246" s="161"/>
      <c r="AN246" s="162"/>
      <c r="AO246" s="161"/>
      <c r="AP246" s="147"/>
      <c r="AS246">
        <v>1</v>
      </c>
    </row>
    <row r="247" spans="1:45">
      <c r="A247" s="8">
        <v>630095</v>
      </c>
      <c r="B247" s="8">
        <v>1001</v>
      </c>
      <c r="C247" s="8">
        <v>7</v>
      </c>
      <c r="D247" s="8">
        <v>1005</v>
      </c>
      <c r="E247" t="s">
        <v>897</v>
      </c>
      <c r="F247" t="s">
        <v>897</v>
      </c>
      <c r="G247" t="s">
        <v>898</v>
      </c>
      <c r="H247" s="117" t="s">
        <v>899</v>
      </c>
      <c r="I247">
        <v>1</v>
      </c>
      <c r="J247" s="69">
        <v>5</v>
      </c>
      <c r="K247" s="8">
        <v>3</v>
      </c>
      <c r="L247" s="8">
        <v>999</v>
      </c>
      <c r="M247" s="8">
        <v>0</v>
      </c>
      <c r="N247" s="8"/>
      <c r="O247" s="88">
        <v>113095</v>
      </c>
      <c r="P247" s="8" t="s">
        <v>438</v>
      </c>
      <c r="R247" t="s">
        <v>439</v>
      </c>
      <c r="S247" s="8">
        <v>0</v>
      </c>
      <c r="T247" s="8">
        <v>5</v>
      </c>
      <c r="U247" s="8">
        <v>200</v>
      </c>
      <c r="V247" s="8">
        <v>1</v>
      </c>
      <c r="W247">
        <v>1</v>
      </c>
      <c r="X247" s="8">
        <v>1</v>
      </c>
      <c r="Y247">
        <v>0</v>
      </c>
      <c r="Z247" s="33">
        <v>0</v>
      </c>
      <c r="AA247">
        <v>5</v>
      </c>
      <c r="AB247">
        <v>7600</v>
      </c>
      <c r="AC247" s="8">
        <v>601</v>
      </c>
      <c r="AD247" s="12">
        <v>0</v>
      </c>
      <c r="AE247" s="159">
        <v>0</v>
      </c>
      <c r="AF247" s="159">
        <v>0</v>
      </c>
      <c r="AG247" s="160"/>
      <c r="AH247" s="160">
        <v>1</v>
      </c>
      <c r="AI247" s="160"/>
      <c r="AJ247" s="160"/>
      <c r="AK247" s="160"/>
      <c r="AL247" s="161">
        <v>1</v>
      </c>
      <c r="AM247" s="161"/>
      <c r="AN247" s="162"/>
      <c r="AO247" s="161"/>
      <c r="AP247" s="147"/>
      <c r="AS247">
        <v>1</v>
      </c>
    </row>
    <row r="248" spans="1:45">
      <c r="A248" s="8">
        <v>630096</v>
      </c>
      <c r="B248" s="8">
        <v>1001</v>
      </c>
      <c r="C248" s="8">
        <v>7</v>
      </c>
      <c r="D248" s="8">
        <v>1005</v>
      </c>
      <c r="E248" t="s">
        <v>900</v>
      </c>
      <c r="F248" t="s">
        <v>900</v>
      </c>
      <c r="G248" t="s">
        <v>901</v>
      </c>
      <c r="H248" s="117" t="s">
        <v>902</v>
      </c>
      <c r="I248">
        <v>1</v>
      </c>
      <c r="J248" s="69">
        <v>5</v>
      </c>
      <c r="K248" s="8">
        <v>3</v>
      </c>
      <c r="L248" s="8">
        <v>999</v>
      </c>
      <c r="M248" s="8">
        <v>0</v>
      </c>
      <c r="N248" s="8"/>
      <c r="O248" s="88">
        <v>113096</v>
      </c>
      <c r="P248" s="8" t="s">
        <v>438</v>
      </c>
      <c r="R248" t="s">
        <v>439</v>
      </c>
      <c r="S248" s="8">
        <v>0</v>
      </c>
      <c r="T248" s="8">
        <v>5</v>
      </c>
      <c r="U248" s="8">
        <v>200</v>
      </c>
      <c r="V248" s="8">
        <v>1</v>
      </c>
      <c r="W248">
        <v>1</v>
      </c>
      <c r="X248" s="8">
        <v>1</v>
      </c>
      <c r="Y248">
        <v>0</v>
      </c>
      <c r="Z248" s="33">
        <v>0</v>
      </c>
      <c r="AA248">
        <v>5</v>
      </c>
      <c r="AB248">
        <v>7600</v>
      </c>
      <c r="AC248" s="8">
        <v>601</v>
      </c>
      <c r="AD248" s="12">
        <v>0</v>
      </c>
      <c r="AE248" s="159">
        <v>0</v>
      </c>
      <c r="AF248" s="159">
        <v>0</v>
      </c>
      <c r="AG248" s="160"/>
      <c r="AH248" s="160">
        <v>1</v>
      </c>
      <c r="AI248" s="160"/>
      <c r="AJ248" s="160"/>
      <c r="AK248" s="160"/>
      <c r="AL248" s="161">
        <v>1</v>
      </c>
      <c r="AM248" s="161"/>
      <c r="AN248" s="162"/>
      <c r="AO248" s="161"/>
      <c r="AP248" s="147"/>
      <c r="AS248">
        <v>1</v>
      </c>
    </row>
    <row r="249" spans="1:45">
      <c r="A249" s="8">
        <v>630097</v>
      </c>
      <c r="B249" s="8">
        <v>1001</v>
      </c>
      <c r="C249" s="8">
        <v>7</v>
      </c>
      <c r="D249" s="8">
        <v>1005</v>
      </c>
      <c r="E249" t="s">
        <v>903</v>
      </c>
      <c r="F249" t="s">
        <v>903</v>
      </c>
      <c r="G249" t="s">
        <v>904</v>
      </c>
      <c r="H249" s="117" t="s">
        <v>905</v>
      </c>
      <c r="I249">
        <v>1</v>
      </c>
      <c r="J249" s="69">
        <v>5</v>
      </c>
      <c r="K249" s="8">
        <v>3</v>
      </c>
      <c r="L249" s="8">
        <v>999</v>
      </c>
      <c r="M249" s="8">
        <v>0</v>
      </c>
      <c r="N249" s="8"/>
      <c r="O249" s="88">
        <v>113097</v>
      </c>
      <c r="P249" s="8" t="s">
        <v>438</v>
      </c>
      <c r="R249" t="s">
        <v>439</v>
      </c>
      <c r="S249" s="8">
        <v>0</v>
      </c>
      <c r="T249" s="8">
        <v>5</v>
      </c>
      <c r="U249" s="8">
        <v>200</v>
      </c>
      <c r="V249" s="8">
        <v>1</v>
      </c>
      <c r="W249">
        <v>1</v>
      </c>
      <c r="X249" s="8">
        <v>1</v>
      </c>
      <c r="Y249">
        <v>0</v>
      </c>
      <c r="Z249" s="33">
        <v>0</v>
      </c>
      <c r="AA249">
        <v>5</v>
      </c>
      <c r="AB249">
        <v>7600</v>
      </c>
      <c r="AC249" s="8">
        <v>601</v>
      </c>
      <c r="AD249" s="12">
        <v>0</v>
      </c>
      <c r="AE249" s="159">
        <v>0</v>
      </c>
      <c r="AF249" s="159">
        <v>0</v>
      </c>
      <c r="AG249" s="160"/>
      <c r="AH249" s="160">
        <v>1</v>
      </c>
      <c r="AI249" s="160"/>
      <c r="AJ249" s="160"/>
      <c r="AK249" s="160"/>
      <c r="AL249" s="161">
        <v>1</v>
      </c>
      <c r="AM249" s="161"/>
      <c r="AN249" s="162"/>
      <c r="AO249" s="161"/>
      <c r="AP249" s="147"/>
      <c r="AS249">
        <v>1</v>
      </c>
    </row>
    <row r="250" spans="1:45">
      <c r="A250" s="8">
        <v>630098</v>
      </c>
      <c r="B250" s="8">
        <v>1001</v>
      </c>
      <c r="C250" s="8">
        <v>7</v>
      </c>
      <c r="D250" s="8">
        <v>1005</v>
      </c>
      <c r="E250" t="s">
        <v>906</v>
      </c>
      <c r="F250" t="s">
        <v>906</v>
      </c>
      <c r="G250" t="s">
        <v>907</v>
      </c>
      <c r="H250" s="117" t="s">
        <v>908</v>
      </c>
      <c r="I250">
        <v>1</v>
      </c>
      <c r="J250" s="69">
        <v>5</v>
      </c>
      <c r="K250" s="8">
        <v>3</v>
      </c>
      <c r="L250" s="8">
        <v>999</v>
      </c>
      <c r="M250" s="8">
        <v>0</v>
      </c>
      <c r="N250" s="8"/>
      <c r="O250" s="88">
        <v>113098</v>
      </c>
      <c r="P250" s="8" t="s">
        <v>438</v>
      </c>
      <c r="R250" t="s">
        <v>439</v>
      </c>
      <c r="S250" s="8">
        <v>0</v>
      </c>
      <c r="T250" s="8">
        <v>5</v>
      </c>
      <c r="U250" s="8">
        <v>200</v>
      </c>
      <c r="V250" s="8">
        <v>1</v>
      </c>
      <c r="W250">
        <v>1</v>
      </c>
      <c r="X250" s="8">
        <v>1</v>
      </c>
      <c r="Y250">
        <v>0</v>
      </c>
      <c r="Z250" s="33">
        <v>0</v>
      </c>
      <c r="AA250">
        <v>5</v>
      </c>
      <c r="AB250">
        <v>7600</v>
      </c>
      <c r="AC250" s="8">
        <v>601</v>
      </c>
      <c r="AD250" s="12">
        <v>0</v>
      </c>
      <c r="AE250" s="159">
        <v>0</v>
      </c>
      <c r="AF250" s="159">
        <v>0</v>
      </c>
      <c r="AG250" s="160"/>
      <c r="AH250" s="160">
        <v>1</v>
      </c>
      <c r="AI250" s="160"/>
      <c r="AJ250" s="160"/>
      <c r="AK250" s="160"/>
      <c r="AL250" s="161">
        <v>1</v>
      </c>
      <c r="AM250" s="161"/>
      <c r="AN250" s="162"/>
      <c r="AO250" s="161"/>
      <c r="AP250" s="147"/>
      <c r="AS250">
        <v>1</v>
      </c>
    </row>
    <row r="251" spans="1:45">
      <c r="A251" s="8">
        <v>630099</v>
      </c>
      <c r="B251" s="8">
        <v>1001</v>
      </c>
      <c r="C251" s="8">
        <v>7</v>
      </c>
      <c r="D251" s="8">
        <v>1005</v>
      </c>
      <c r="E251" t="s">
        <v>909</v>
      </c>
      <c r="F251" t="s">
        <v>909</v>
      </c>
      <c r="G251" t="s">
        <v>910</v>
      </c>
      <c r="H251" s="117" t="s">
        <v>911</v>
      </c>
      <c r="I251">
        <v>1</v>
      </c>
      <c r="J251" s="69">
        <v>5</v>
      </c>
      <c r="K251" s="8">
        <v>3</v>
      </c>
      <c r="L251" s="8">
        <v>999</v>
      </c>
      <c r="M251" s="8">
        <v>0</v>
      </c>
      <c r="N251" s="8"/>
      <c r="O251" s="88">
        <v>113099</v>
      </c>
      <c r="P251" s="8" t="s">
        <v>438</v>
      </c>
      <c r="R251" t="s">
        <v>439</v>
      </c>
      <c r="S251" s="8">
        <v>0</v>
      </c>
      <c r="T251" s="8">
        <v>5</v>
      </c>
      <c r="U251" s="8">
        <v>200</v>
      </c>
      <c r="V251" s="8">
        <v>1</v>
      </c>
      <c r="W251">
        <v>1</v>
      </c>
      <c r="X251" s="8">
        <v>1</v>
      </c>
      <c r="Y251">
        <v>0</v>
      </c>
      <c r="Z251" s="33">
        <v>0</v>
      </c>
      <c r="AA251">
        <v>5</v>
      </c>
      <c r="AB251">
        <v>7600</v>
      </c>
      <c r="AC251" s="8">
        <v>601</v>
      </c>
      <c r="AD251" s="12">
        <v>0</v>
      </c>
      <c r="AE251" s="159">
        <v>0</v>
      </c>
      <c r="AF251" s="159">
        <v>0</v>
      </c>
      <c r="AG251" s="160"/>
      <c r="AH251" s="160">
        <v>1</v>
      </c>
      <c r="AI251" s="160"/>
      <c r="AJ251" s="160"/>
      <c r="AK251" s="160"/>
      <c r="AL251" s="161">
        <v>1</v>
      </c>
      <c r="AM251" s="161"/>
      <c r="AN251" s="162"/>
      <c r="AO251" s="161"/>
      <c r="AP251" s="147"/>
      <c r="AS251">
        <v>1</v>
      </c>
    </row>
    <row r="252" spans="1:45">
      <c r="A252" s="8">
        <v>630100</v>
      </c>
      <c r="B252" s="8">
        <v>1001</v>
      </c>
      <c r="C252" s="8">
        <v>7</v>
      </c>
      <c r="D252" s="8">
        <v>1005</v>
      </c>
      <c r="E252" t="s">
        <v>912</v>
      </c>
      <c r="F252" t="s">
        <v>912</v>
      </c>
      <c r="G252" t="s">
        <v>913</v>
      </c>
      <c r="H252" s="117" t="s">
        <v>914</v>
      </c>
      <c r="I252">
        <v>1</v>
      </c>
      <c r="J252" s="69">
        <v>6</v>
      </c>
      <c r="K252" s="87">
        <v>3</v>
      </c>
      <c r="L252" s="8">
        <v>999</v>
      </c>
      <c r="M252" s="8">
        <v>0</v>
      </c>
      <c r="N252" s="8"/>
      <c r="O252" s="88">
        <v>113100</v>
      </c>
      <c r="P252" s="8" t="s">
        <v>438</v>
      </c>
      <c r="R252" t="s">
        <v>439</v>
      </c>
      <c r="S252" s="89">
        <v>0</v>
      </c>
      <c r="T252" s="8">
        <v>5</v>
      </c>
      <c r="U252" s="89">
        <v>200</v>
      </c>
      <c r="V252" s="87">
        <v>1</v>
      </c>
      <c r="W252">
        <v>1</v>
      </c>
      <c r="X252" s="8">
        <v>1</v>
      </c>
      <c r="Y252">
        <v>0</v>
      </c>
      <c r="Z252" s="33">
        <v>0</v>
      </c>
      <c r="AA252">
        <v>5</v>
      </c>
      <c r="AB252" s="34">
        <v>7600</v>
      </c>
      <c r="AC252" s="87">
        <v>600</v>
      </c>
      <c r="AD252" s="62">
        <v>0</v>
      </c>
      <c r="AE252" s="90">
        <v>0</v>
      </c>
      <c r="AF252" s="90">
        <v>0</v>
      </c>
      <c r="AG252" s="91"/>
      <c r="AH252" s="91">
        <v>1</v>
      </c>
      <c r="AI252" s="91"/>
      <c r="AJ252" s="91"/>
      <c r="AK252" s="91"/>
      <c r="AL252" s="92">
        <v>1</v>
      </c>
      <c r="AM252" s="92"/>
      <c r="AN252" s="93"/>
      <c r="AO252" s="92"/>
      <c r="AP252" s="147"/>
      <c r="AS252">
        <v>1</v>
      </c>
    </row>
    <row r="253" spans="1:45">
      <c r="A253" s="8">
        <v>630101</v>
      </c>
      <c r="B253" s="8">
        <v>1001</v>
      </c>
      <c r="C253" s="8">
        <v>7</v>
      </c>
      <c r="D253" s="8">
        <v>1005</v>
      </c>
      <c r="E253" t="s">
        <v>915</v>
      </c>
      <c r="F253" t="s">
        <v>915</v>
      </c>
      <c r="G253" t="s">
        <v>916</v>
      </c>
      <c r="H253" s="117" t="s">
        <v>917</v>
      </c>
      <c r="I253">
        <v>1</v>
      </c>
      <c r="J253" s="69">
        <v>5</v>
      </c>
      <c r="K253" s="87">
        <v>3</v>
      </c>
      <c r="L253" s="8">
        <v>999</v>
      </c>
      <c r="M253" s="8">
        <v>0</v>
      </c>
      <c r="N253" s="8"/>
      <c r="O253" s="88">
        <v>113101</v>
      </c>
      <c r="P253" s="8" t="s">
        <v>438</v>
      </c>
      <c r="R253" t="s">
        <v>439</v>
      </c>
      <c r="S253" s="89">
        <v>0</v>
      </c>
      <c r="T253" s="8">
        <v>5</v>
      </c>
      <c r="U253" s="89">
        <v>200</v>
      </c>
      <c r="V253" s="87">
        <v>1</v>
      </c>
      <c r="W253">
        <v>1</v>
      </c>
      <c r="X253" s="8">
        <v>1</v>
      </c>
      <c r="Y253">
        <v>0</v>
      </c>
      <c r="Z253" s="33">
        <v>0</v>
      </c>
      <c r="AA253">
        <v>5</v>
      </c>
      <c r="AB253" s="34">
        <v>7600</v>
      </c>
      <c r="AC253" s="87">
        <v>601</v>
      </c>
      <c r="AD253" s="62">
        <v>0</v>
      </c>
      <c r="AE253" s="90">
        <v>0</v>
      </c>
      <c r="AF253" s="90">
        <v>0</v>
      </c>
      <c r="AG253" s="91"/>
      <c r="AH253" s="91">
        <v>1</v>
      </c>
      <c r="AI253" s="91"/>
      <c r="AJ253" s="91"/>
      <c r="AK253" s="91"/>
      <c r="AL253" s="92">
        <v>1</v>
      </c>
      <c r="AM253" s="92"/>
      <c r="AN253" s="93"/>
      <c r="AO253" s="92"/>
      <c r="AP253" s="147"/>
      <c r="AS253">
        <v>1</v>
      </c>
    </row>
    <row r="254" spans="1:45">
      <c r="A254" s="8">
        <v>630102</v>
      </c>
      <c r="B254" s="8">
        <v>1001</v>
      </c>
      <c r="C254" s="8">
        <v>7</v>
      </c>
      <c r="D254" s="8">
        <v>1005</v>
      </c>
      <c r="E254" t="s">
        <v>918</v>
      </c>
      <c r="F254" t="s">
        <v>918</v>
      </c>
      <c r="G254" t="s">
        <v>919</v>
      </c>
      <c r="H254" s="117" t="s">
        <v>920</v>
      </c>
      <c r="I254">
        <v>1</v>
      </c>
      <c r="J254" s="69">
        <v>5</v>
      </c>
      <c r="K254" s="87">
        <v>3</v>
      </c>
      <c r="L254" s="8">
        <v>999</v>
      </c>
      <c r="M254" s="8">
        <v>0</v>
      </c>
      <c r="N254" s="8"/>
      <c r="O254" s="88">
        <v>113102</v>
      </c>
      <c r="P254" s="8" t="s">
        <v>438</v>
      </c>
      <c r="R254" t="s">
        <v>439</v>
      </c>
      <c r="S254" s="89">
        <v>0</v>
      </c>
      <c r="T254" s="8">
        <v>5</v>
      </c>
      <c r="U254" s="89">
        <v>200</v>
      </c>
      <c r="V254" s="87">
        <v>1</v>
      </c>
      <c r="W254">
        <v>1</v>
      </c>
      <c r="X254" s="8">
        <v>1</v>
      </c>
      <c r="Y254">
        <v>0</v>
      </c>
      <c r="Z254" s="33">
        <v>0</v>
      </c>
      <c r="AA254">
        <v>5</v>
      </c>
      <c r="AB254" s="34">
        <v>7600</v>
      </c>
      <c r="AC254" s="87">
        <v>601</v>
      </c>
      <c r="AD254" s="62">
        <v>0</v>
      </c>
      <c r="AE254" s="90">
        <v>0</v>
      </c>
      <c r="AF254" s="90">
        <v>0</v>
      </c>
      <c r="AG254" s="91"/>
      <c r="AH254" s="91">
        <v>1</v>
      </c>
      <c r="AI254" s="91"/>
      <c r="AJ254" s="91"/>
      <c r="AK254" s="91"/>
      <c r="AL254" s="92">
        <v>1</v>
      </c>
      <c r="AM254" s="92"/>
      <c r="AN254" s="93"/>
      <c r="AO254" s="92"/>
      <c r="AP254" s="147"/>
      <c r="AS254">
        <v>1</v>
      </c>
    </row>
    <row r="255" spans="1:45">
      <c r="A255" s="8">
        <v>630103</v>
      </c>
      <c r="B255" s="8">
        <v>1001</v>
      </c>
      <c r="C255" s="8">
        <v>7</v>
      </c>
      <c r="D255" s="8">
        <v>1005</v>
      </c>
      <c r="E255" t="s">
        <v>921</v>
      </c>
      <c r="F255" t="s">
        <v>921</v>
      </c>
      <c r="G255" t="s">
        <v>922</v>
      </c>
      <c r="H255" s="117" t="s">
        <v>923</v>
      </c>
      <c r="I255">
        <v>1</v>
      </c>
      <c r="J255" s="69">
        <v>5</v>
      </c>
      <c r="K255" s="87">
        <v>3</v>
      </c>
      <c r="L255" s="8">
        <v>999</v>
      </c>
      <c r="M255" s="8">
        <v>0</v>
      </c>
      <c r="N255" s="8"/>
      <c r="O255" s="88">
        <v>113103</v>
      </c>
      <c r="P255" s="8" t="s">
        <v>438</v>
      </c>
      <c r="R255" t="s">
        <v>439</v>
      </c>
      <c r="S255" s="89">
        <v>0</v>
      </c>
      <c r="T255" s="8">
        <v>5</v>
      </c>
      <c r="U255" s="89">
        <v>200</v>
      </c>
      <c r="V255" s="87">
        <v>1</v>
      </c>
      <c r="W255">
        <v>1</v>
      </c>
      <c r="X255" s="8">
        <v>1</v>
      </c>
      <c r="Y255">
        <v>0</v>
      </c>
      <c r="Z255" s="33">
        <v>0</v>
      </c>
      <c r="AA255">
        <v>5</v>
      </c>
      <c r="AB255" s="34">
        <v>7600</v>
      </c>
      <c r="AC255" s="87">
        <v>601</v>
      </c>
      <c r="AD255" s="62">
        <v>0</v>
      </c>
      <c r="AE255" s="90">
        <v>0</v>
      </c>
      <c r="AF255" s="90">
        <v>0</v>
      </c>
      <c r="AG255" s="91"/>
      <c r="AH255" s="91">
        <v>1</v>
      </c>
      <c r="AI255" s="91"/>
      <c r="AJ255" s="91"/>
      <c r="AK255" s="91"/>
      <c r="AL255" s="92">
        <v>1</v>
      </c>
      <c r="AM255" s="92"/>
      <c r="AN255" s="93"/>
      <c r="AO255" s="92"/>
      <c r="AP255" s="147"/>
      <c r="AS255">
        <v>1</v>
      </c>
    </row>
    <row r="256" spans="1:45">
      <c r="A256" s="8">
        <v>630104</v>
      </c>
      <c r="B256" s="8">
        <v>1001</v>
      </c>
      <c r="C256" s="8">
        <v>7</v>
      </c>
      <c r="D256" s="8">
        <v>1005</v>
      </c>
      <c r="E256" t="s">
        <v>924</v>
      </c>
      <c r="F256" t="s">
        <v>924</v>
      </c>
      <c r="G256" t="s">
        <v>925</v>
      </c>
      <c r="H256" s="117" t="s">
        <v>926</v>
      </c>
      <c r="I256">
        <v>1</v>
      </c>
      <c r="J256" s="69">
        <v>5</v>
      </c>
      <c r="K256" s="87">
        <v>3</v>
      </c>
      <c r="L256" s="8">
        <v>999</v>
      </c>
      <c r="M256" s="8">
        <v>0</v>
      </c>
      <c r="N256" s="8"/>
      <c r="O256" s="88">
        <v>113104</v>
      </c>
      <c r="P256" s="8" t="s">
        <v>438</v>
      </c>
      <c r="R256" t="s">
        <v>439</v>
      </c>
      <c r="S256" s="89">
        <v>0</v>
      </c>
      <c r="T256" s="8">
        <v>5</v>
      </c>
      <c r="U256" s="89">
        <v>200</v>
      </c>
      <c r="V256" s="87">
        <v>1</v>
      </c>
      <c r="W256">
        <v>1</v>
      </c>
      <c r="X256" s="8">
        <v>1</v>
      </c>
      <c r="Y256">
        <v>0</v>
      </c>
      <c r="Z256" s="33">
        <v>0</v>
      </c>
      <c r="AA256">
        <v>5</v>
      </c>
      <c r="AB256" s="34">
        <v>7600</v>
      </c>
      <c r="AC256" s="87">
        <v>601</v>
      </c>
      <c r="AD256" s="62">
        <v>0</v>
      </c>
      <c r="AE256" s="90">
        <v>0</v>
      </c>
      <c r="AF256" s="90">
        <v>0</v>
      </c>
      <c r="AG256" s="91"/>
      <c r="AH256" s="91">
        <v>1</v>
      </c>
      <c r="AI256" s="91"/>
      <c r="AJ256" s="91"/>
      <c r="AK256" s="91"/>
      <c r="AL256" s="92">
        <v>1</v>
      </c>
      <c r="AM256" s="92"/>
      <c r="AN256" s="93"/>
      <c r="AO256" s="92"/>
      <c r="AP256" s="147"/>
      <c r="AS256">
        <v>1</v>
      </c>
    </row>
    <row r="257" spans="1:45">
      <c r="A257" s="8">
        <v>630105</v>
      </c>
      <c r="B257" s="8">
        <v>1001</v>
      </c>
      <c r="C257" s="8">
        <v>7</v>
      </c>
      <c r="D257" s="8">
        <v>1005</v>
      </c>
      <c r="E257" t="s">
        <v>927</v>
      </c>
      <c r="F257" t="s">
        <v>927</v>
      </c>
      <c r="G257" t="s">
        <v>928</v>
      </c>
      <c r="H257" s="117" t="s">
        <v>929</v>
      </c>
      <c r="I257">
        <v>1</v>
      </c>
      <c r="J257" s="69">
        <v>5</v>
      </c>
      <c r="K257" s="87">
        <v>3</v>
      </c>
      <c r="L257" s="8">
        <v>999</v>
      </c>
      <c r="M257" s="8">
        <v>0</v>
      </c>
      <c r="N257" s="8"/>
      <c r="O257" s="88">
        <v>113105</v>
      </c>
      <c r="P257" s="8" t="s">
        <v>438</v>
      </c>
      <c r="R257" t="s">
        <v>439</v>
      </c>
      <c r="S257" s="89">
        <v>0</v>
      </c>
      <c r="T257" s="8">
        <v>5</v>
      </c>
      <c r="U257" s="89">
        <v>200</v>
      </c>
      <c r="V257" s="87">
        <v>1</v>
      </c>
      <c r="W257">
        <v>1</v>
      </c>
      <c r="X257" s="8">
        <v>1</v>
      </c>
      <c r="Y257">
        <v>0</v>
      </c>
      <c r="Z257" s="33">
        <v>0</v>
      </c>
      <c r="AA257">
        <v>5</v>
      </c>
      <c r="AB257" s="34">
        <v>7600</v>
      </c>
      <c r="AC257" s="87">
        <v>601</v>
      </c>
      <c r="AD257" s="62">
        <v>0</v>
      </c>
      <c r="AE257" s="90">
        <v>0</v>
      </c>
      <c r="AF257" s="90">
        <v>0</v>
      </c>
      <c r="AG257" s="91"/>
      <c r="AH257" s="91">
        <v>1</v>
      </c>
      <c r="AI257" s="91"/>
      <c r="AJ257" s="91"/>
      <c r="AK257" s="91"/>
      <c r="AL257" s="92">
        <v>1</v>
      </c>
      <c r="AM257" s="92"/>
      <c r="AN257" s="93"/>
      <c r="AO257" s="92"/>
      <c r="AP257" s="147"/>
      <c r="AS257">
        <v>1</v>
      </c>
    </row>
    <row r="258" spans="1:45">
      <c r="A258" s="8">
        <v>630106</v>
      </c>
      <c r="B258" s="8">
        <v>1001</v>
      </c>
      <c r="C258" s="8">
        <v>7</v>
      </c>
      <c r="D258" s="8">
        <v>1005</v>
      </c>
      <c r="E258" t="s">
        <v>930</v>
      </c>
      <c r="F258" t="s">
        <v>930</v>
      </c>
      <c r="G258" t="s">
        <v>931</v>
      </c>
      <c r="H258" s="117" t="s">
        <v>932</v>
      </c>
      <c r="I258">
        <v>1</v>
      </c>
      <c r="J258" s="69">
        <v>5</v>
      </c>
      <c r="K258" s="87">
        <v>3</v>
      </c>
      <c r="L258" s="8">
        <v>999</v>
      </c>
      <c r="M258" s="8">
        <v>0</v>
      </c>
      <c r="N258" s="8"/>
      <c r="O258" s="88">
        <v>113106</v>
      </c>
      <c r="P258" s="8" t="s">
        <v>438</v>
      </c>
      <c r="R258" t="s">
        <v>439</v>
      </c>
      <c r="S258" s="89">
        <v>0</v>
      </c>
      <c r="T258" s="8">
        <v>5</v>
      </c>
      <c r="U258" s="89">
        <v>200</v>
      </c>
      <c r="V258" s="87">
        <v>1</v>
      </c>
      <c r="W258">
        <v>1</v>
      </c>
      <c r="X258" s="8">
        <v>1</v>
      </c>
      <c r="Y258">
        <v>0</v>
      </c>
      <c r="Z258" s="33">
        <v>0</v>
      </c>
      <c r="AA258">
        <v>5</v>
      </c>
      <c r="AB258" s="34">
        <v>7600</v>
      </c>
      <c r="AC258" s="87">
        <v>601</v>
      </c>
      <c r="AD258" s="62">
        <v>0</v>
      </c>
      <c r="AE258" s="90">
        <v>0</v>
      </c>
      <c r="AF258" s="90">
        <v>0</v>
      </c>
      <c r="AG258" s="91"/>
      <c r="AH258" s="91">
        <v>1</v>
      </c>
      <c r="AI258" s="91"/>
      <c r="AJ258" s="91"/>
      <c r="AK258" s="91"/>
      <c r="AL258" s="92">
        <v>1</v>
      </c>
      <c r="AM258" s="92"/>
      <c r="AN258" s="93"/>
      <c r="AO258" s="92"/>
      <c r="AP258" s="147"/>
      <c r="AS258">
        <v>1</v>
      </c>
    </row>
    <row r="259" spans="1:45">
      <c r="A259" s="8">
        <v>630107</v>
      </c>
      <c r="B259" s="8">
        <v>1001</v>
      </c>
      <c r="C259" s="8">
        <v>7</v>
      </c>
      <c r="D259" s="8">
        <v>1005</v>
      </c>
      <c r="E259" t="s">
        <v>933</v>
      </c>
      <c r="F259" t="s">
        <v>933</v>
      </c>
      <c r="G259" t="s">
        <v>934</v>
      </c>
      <c r="H259" s="117" t="s">
        <v>935</v>
      </c>
      <c r="I259">
        <v>1</v>
      </c>
      <c r="J259" s="69">
        <v>5</v>
      </c>
      <c r="K259" s="87">
        <v>3</v>
      </c>
      <c r="L259" s="8">
        <v>999</v>
      </c>
      <c r="M259" s="8">
        <v>0</v>
      </c>
      <c r="N259" s="8"/>
      <c r="O259" s="88">
        <v>113107</v>
      </c>
      <c r="P259" s="8" t="s">
        <v>438</v>
      </c>
      <c r="R259" t="s">
        <v>439</v>
      </c>
      <c r="S259" s="89">
        <v>0</v>
      </c>
      <c r="T259" s="8">
        <v>5</v>
      </c>
      <c r="U259" s="89">
        <v>200</v>
      </c>
      <c r="V259" s="87">
        <v>1</v>
      </c>
      <c r="W259">
        <v>1</v>
      </c>
      <c r="X259" s="8">
        <v>1</v>
      </c>
      <c r="Y259">
        <v>0</v>
      </c>
      <c r="Z259" s="33">
        <v>0</v>
      </c>
      <c r="AA259">
        <v>5</v>
      </c>
      <c r="AB259" s="34">
        <v>7600</v>
      </c>
      <c r="AC259" s="87">
        <v>601</v>
      </c>
      <c r="AD259" s="62">
        <v>0</v>
      </c>
      <c r="AE259" s="90">
        <v>0</v>
      </c>
      <c r="AF259" s="90">
        <v>0</v>
      </c>
      <c r="AG259" s="91"/>
      <c r="AH259" s="91">
        <v>1</v>
      </c>
      <c r="AI259" s="91"/>
      <c r="AJ259" s="91"/>
      <c r="AK259" s="91"/>
      <c r="AL259" s="92">
        <v>1</v>
      </c>
      <c r="AM259" s="92"/>
      <c r="AN259" s="93"/>
      <c r="AO259" s="92"/>
      <c r="AP259" s="147"/>
      <c r="AS259">
        <v>1</v>
      </c>
    </row>
    <row r="260" spans="1:45">
      <c r="A260" s="163">
        <v>630108</v>
      </c>
      <c r="B260" s="163">
        <v>1001</v>
      </c>
      <c r="C260" s="163">
        <v>7</v>
      </c>
      <c r="D260" s="163">
        <v>1005</v>
      </c>
      <c r="E260" s="39" t="s">
        <v>936</v>
      </c>
      <c r="F260" s="39" t="s">
        <v>936</v>
      </c>
      <c r="G260" s="39" t="s">
        <v>937</v>
      </c>
      <c r="H260" s="164" t="s">
        <v>938</v>
      </c>
      <c r="I260" s="39">
        <v>1</v>
      </c>
      <c r="J260" s="165">
        <v>5</v>
      </c>
      <c r="K260" s="163">
        <v>3</v>
      </c>
      <c r="L260" s="163">
        <v>999</v>
      </c>
      <c r="M260" s="163">
        <v>0</v>
      </c>
      <c r="N260" s="163"/>
      <c r="O260" s="166">
        <v>113108</v>
      </c>
      <c r="P260" s="163" t="s">
        <v>438</v>
      </c>
      <c r="R260" s="39" t="s">
        <v>439</v>
      </c>
      <c r="S260" s="163">
        <v>0</v>
      </c>
      <c r="T260" s="163">
        <v>5</v>
      </c>
      <c r="U260" s="163">
        <v>200</v>
      </c>
      <c r="V260" s="163">
        <v>1</v>
      </c>
      <c r="W260" s="39">
        <v>1</v>
      </c>
      <c r="X260" s="163">
        <v>1</v>
      </c>
      <c r="Y260" s="39">
        <v>0</v>
      </c>
      <c r="Z260" s="39">
        <v>0</v>
      </c>
      <c r="AA260" s="39">
        <v>5</v>
      </c>
      <c r="AB260" s="39">
        <v>7600</v>
      </c>
      <c r="AC260" s="163">
        <v>601</v>
      </c>
      <c r="AD260" s="167">
        <v>0</v>
      </c>
      <c r="AE260" s="168">
        <v>0</v>
      </c>
      <c r="AF260" s="168">
        <v>0</v>
      </c>
      <c r="AG260" s="169"/>
      <c r="AH260" s="169">
        <v>1</v>
      </c>
      <c r="AI260" s="169"/>
      <c r="AJ260" s="169"/>
      <c r="AK260" s="169"/>
      <c r="AL260" s="170">
        <v>1</v>
      </c>
      <c r="AM260" s="170"/>
      <c r="AN260" s="171"/>
      <c r="AO260" s="170"/>
      <c r="AP260" s="172"/>
      <c r="AS260" s="39">
        <v>1</v>
      </c>
    </row>
    <row r="261" s="39" customFormat="1" spans="1:45">
      <c r="A261" s="163">
        <v>630109</v>
      </c>
      <c r="B261" s="163">
        <v>1001</v>
      </c>
      <c r="C261" s="163">
        <v>7</v>
      </c>
      <c r="D261" s="163">
        <v>1005</v>
      </c>
      <c r="E261" s="39" t="s">
        <v>939</v>
      </c>
      <c r="F261" s="39" t="s">
        <v>939</v>
      </c>
      <c r="G261" s="39" t="s">
        <v>940</v>
      </c>
      <c r="H261" s="164" t="s">
        <v>941</v>
      </c>
      <c r="I261" s="39">
        <v>1</v>
      </c>
      <c r="J261" s="165">
        <v>5</v>
      </c>
      <c r="K261" s="163">
        <v>3</v>
      </c>
      <c r="L261" s="163">
        <v>999</v>
      </c>
      <c r="M261" s="163">
        <v>0</v>
      </c>
      <c r="N261" s="163"/>
      <c r="O261" s="166">
        <v>113109</v>
      </c>
      <c r="P261" s="163" t="s">
        <v>438</v>
      </c>
      <c r="R261" s="39" t="s">
        <v>439</v>
      </c>
      <c r="S261" s="163">
        <v>0</v>
      </c>
      <c r="T261" s="163">
        <v>5</v>
      </c>
      <c r="U261" s="163">
        <v>200</v>
      </c>
      <c r="V261" s="163">
        <v>1</v>
      </c>
      <c r="W261" s="39">
        <v>1</v>
      </c>
      <c r="X261" s="163">
        <v>1</v>
      </c>
      <c r="Y261" s="39">
        <v>0</v>
      </c>
      <c r="Z261" s="39">
        <v>0</v>
      </c>
      <c r="AA261" s="39">
        <v>5</v>
      </c>
      <c r="AB261" s="39">
        <v>7600</v>
      </c>
      <c r="AC261" s="163">
        <v>601</v>
      </c>
      <c r="AD261" s="167">
        <v>0</v>
      </c>
      <c r="AE261" s="168">
        <v>0</v>
      </c>
      <c r="AF261" s="168">
        <v>0</v>
      </c>
      <c r="AG261" s="169"/>
      <c r="AH261" s="169">
        <v>1</v>
      </c>
      <c r="AI261" s="169"/>
      <c r="AJ261" s="169"/>
      <c r="AK261" s="169"/>
      <c r="AL261" s="170">
        <v>1</v>
      </c>
      <c r="AM261" s="170"/>
      <c r="AN261" s="171"/>
      <c r="AO261" s="170"/>
      <c r="AP261" s="172"/>
      <c r="AS261" s="39">
        <v>1</v>
      </c>
    </row>
    <row r="262" s="39" customFormat="1" spans="1:45">
      <c r="A262" s="163">
        <v>630110</v>
      </c>
      <c r="B262" s="128">
        <v>1001</v>
      </c>
      <c r="C262" s="128">
        <v>7</v>
      </c>
      <c r="D262" s="128">
        <v>1005</v>
      </c>
      <c r="E262" s="3" t="s">
        <v>942</v>
      </c>
      <c r="F262" s="3" t="s">
        <v>942</v>
      </c>
      <c r="G262" s="3" t="s">
        <v>943</v>
      </c>
      <c r="H262" s="117" t="s">
        <v>944</v>
      </c>
      <c r="I262" s="3">
        <v>1</v>
      </c>
      <c r="J262" s="151">
        <v>6</v>
      </c>
      <c r="K262" s="128">
        <v>3</v>
      </c>
      <c r="L262" s="128">
        <v>999</v>
      </c>
      <c r="M262" s="128">
        <v>0</v>
      </c>
      <c r="N262" s="128"/>
      <c r="O262" s="152">
        <v>113110</v>
      </c>
      <c r="P262" s="128" t="s">
        <v>438</v>
      </c>
      <c r="R262" s="3" t="s">
        <v>439</v>
      </c>
      <c r="S262" s="128">
        <v>0</v>
      </c>
      <c r="T262" s="128">
        <v>5</v>
      </c>
      <c r="U262" s="128">
        <v>200</v>
      </c>
      <c r="V262" s="128">
        <v>1</v>
      </c>
      <c r="W262" s="3">
        <v>1</v>
      </c>
      <c r="X262" s="128">
        <v>1</v>
      </c>
      <c r="Y262" s="3">
        <v>0</v>
      </c>
      <c r="Z262" s="3">
        <v>0</v>
      </c>
      <c r="AA262" s="3">
        <v>5</v>
      </c>
      <c r="AB262" s="3">
        <v>7600</v>
      </c>
      <c r="AC262" s="128">
        <v>600</v>
      </c>
      <c r="AD262" s="153">
        <v>0</v>
      </c>
      <c r="AE262" s="154">
        <v>0</v>
      </c>
      <c r="AF262" s="154">
        <v>0</v>
      </c>
      <c r="AG262" s="155"/>
      <c r="AH262" s="155">
        <v>1</v>
      </c>
      <c r="AI262" s="155"/>
      <c r="AJ262" s="155"/>
      <c r="AK262" s="155"/>
      <c r="AL262" s="156">
        <v>1</v>
      </c>
      <c r="AM262" s="156"/>
      <c r="AN262" s="157"/>
      <c r="AO262" s="156"/>
      <c r="AP262" s="158"/>
      <c r="AS262" s="3">
        <v>1</v>
      </c>
    </row>
    <row r="263" s="3" customFormat="1" spans="1:45">
      <c r="A263" s="163">
        <v>630111</v>
      </c>
      <c r="B263" s="163">
        <v>1001</v>
      </c>
      <c r="C263" s="163">
        <v>7</v>
      </c>
      <c r="D263" s="163">
        <v>1005</v>
      </c>
      <c r="E263" s="39" t="s">
        <v>945</v>
      </c>
      <c r="F263" s="39" t="s">
        <v>945</v>
      </c>
      <c r="G263" s="39" t="s">
        <v>946</v>
      </c>
      <c r="H263" s="164" t="s">
        <v>947</v>
      </c>
      <c r="I263" s="39">
        <v>1</v>
      </c>
      <c r="J263" s="165">
        <v>5</v>
      </c>
      <c r="K263" s="163">
        <v>3</v>
      </c>
      <c r="L263" s="163">
        <v>999</v>
      </c>
      <c r="M263" s="163">
        <v>0</v>
      </c>
      <c r="N263" s="163"/>
      <c r="O263" s="166">
        <v>113111</v>
      </c>
      <c r="P263" s="163" t="s">
        <v>438</v>
      </c>
      <c r="R263" s="39" t="s">
        <v>439</v>
      </c>
      <c r="S263" s="163">
        <v>0</v>
      </c>
      <c r="T263" s="163">
        <v>5</v>
      </c>
      <c r="U263" s="163">
        <v>200</v>
      </c>
      <c r="V263" s="163">
        <v>1</v>
      </c>
      <c r="W263" s="39">
        <v>1</v>
      </c>
      <c r="X263" s="163">
        <v>1</v>
      </c>
      <c r="Y263" s="39">
        <v>0</v>
      </c>
      <c r="Z263" s="39">
        <v>0</v>
      </c>
      <c r="AA263" s="39">
        <v>5</v>
      </c>
      <c r="AB263" s="39">
        <v>7600</v>
      </c>
      <c r="AC263" s="163">
        <v>601</v>
      </c>
      <c r="AD263" s="167">
        <v>0</v>
      </c>
      <c r="AE263" s="168">
        <v>0</v>
      </c>
      <c r="AF263" s="168">
        <v>0</v>
      </c>
      <c r="AG263" s="169"/>
      <c r="AH263" s="169">
        <v>1</v>
      </c>
      <c r="AI263" s="169"/>
      <c r="AJ263" s="169"/>
      <c r="AK263" s="169"/>
      <c r="AL263" s="170">
        <v>1</v>
      </c>
      <c r="AM263" s="170"/>
      <c r="AN263" s="171"/>
      <c r="AO263" s="170"/>
      <c r="AP263" s="172"/>
      <c r="AS263" s="39">
        <v>1</v>
      </c>
    </row>
    <row r="264" s="39" customFormat="1" spans="1:45">
      <c r="A264" s="163">
        <v>630112</v>
      </c>
      <c r="B264" s="163">
        <v>1001</v>
      </c>
      <c r="C264" s="163">
        <v>7</v>
      </c>
      <c r="D264" s="163">
        <v>1005</v>
      </c>
      <c r="E264" s="39" t="s">
        <v>948</v>
      </c>
      <c r="F264" s="39" t="s">
        <v>948</v>
      </c>
      <c r="G264" s="39" t="s">
        <v>949</v>
      </c>
      <c r="H264" s="164" t="s">
        <v>950</v>
      </c>
      <c r="I264" s="39">
        <v>1</v>
      </c>
      <c r="J264" s="165">
        <v>5</v>
      </c>
      <c r="K264" s="163">
        <v>3</v>
      </c>
      <c r="L264" s="163">
        <v>999</v>
      </c>
      <c r="M264" s="163">
        <v>0</v>
      </c>
      <c r="N264" s="163"/>
      <c r="O264" s="166">
        <v>113112</v>
      </c>
      <c r="P264" s="163" t="s">
        <v>438</v>
      </c>
      <c r="R264" s="39" t="s">
        <v>439</v>
      </c>
      <c r="S264" s="163">
        <v>0</v>
      </c>
      <c r="T264" s="163">
        <v>5</v>
      </c>
      <c r="U264" s="163">
        <v>200</v>
      </c>
      <c r="V264" s="163">
        <v>1</v>
      </c>
      <c r="W264" s="39">
        <v>1</v>
      </c>
      <c r="X264" s="163">
        <v>1</v>
      </c>
      <c r="Y264" s="39">
        <v>0</v>
      </c>
      <c r="Z264" s="39">
        <v>0</v>
      </c>
      <c r="AA264" s="39">
        <v>5</v>
      </c>
      <c r="AB264" s="39">
        <v>7600</v>
      </c>
      <c r="AC264" s="163">
        <v>601</v>
      </c>
      <c r="AD264" s="167">
        <v>0</v>
      </c>
      <c r="AE264" s="168">
        <v>0</v>
      </c>
      <c r="AF264" s="168">
        <v>0</v>
      </c>
      <c r="AG264" s="169"/>
      <c r="AH264" s="169">
        <v>1</v>
      </c>
      <c r="AI264" s="169"/>
      <c r="AJ264" s="169"/>
      <c r="AK264" s="169"/>
      <c r="AL264" s="170">
        <v>1</v>
      </c>
      <c r="AM264" s="170"/>
      <c r="AN264" s="171"/>
      <c r="AO264" s="170"/>
      <c r="AP264" s="172"/>
      <c r="AS264" s="39">
        <v>1</v>
      </c>
    </row>
    <row r="265" s="39" customFormat="1" spans="1:45">
      <c r="A265" s="163">
        <v>630113</v>
      </c>
      <c r="B265" s="163">
        <v>1001</v>
      </c>
      <c r="C265" s="163">
        <v>7</v>
      </c>
      <c r="D265" s="163">
        <v>1005</v>
      </c>
      <c r="E265" s="39" t="s">
        <v>951</v>
      </c>
      <c r="F265" s="39" t="s">
        <v>951</v>
      </c>
      <c r="G265" s="39" t="s">
        <v>952</v>
      </c>
      <c r="H265" s="164" t="s">
        <v>953</v>
      </c>
      <c r="I265" s="39">
        <v>1</v>
      </c>
      <c r="J265" s="165">
        <v>5</v>
      </c>
      <c r="K265" s="163">
        <v>3</v>
      </c>
      <c r="L265" s="163">
        <v>999</v>
      </c>
      <c r="M265" s="163">
        <v>0</v>
      </c>
      <c r="N265" s="163"/>
      <c r="O265" s="166">
        <v>113113</v>
      </c>
      <c r="P265" s="163" t="s">
        <v>438</v>
      </c>
      <c r="R265" s="39" t="s">
        <v>439</v>
      </c>
      <c r="S265" s="163">
        <v>0</v>
      </c>
      <c r="T265" s="163">
        <v>5</v>
      </c>
      <c r="U265" s="163">
        <v>200</v>
      </c>
      <c r="V265" s="163">
        <v>1</v>
      </c>
      <c r="W265" s="39">
        <v>1</v>
      </c>
      <c r="X265" s="163">
        <v>1</v>
      </c>
      <c r="Y265" s="39">
        <v>0</v>
      </c>
      <c r="Z265" s="39">
        <v>0</v>
      </c>
      <c r="AA265" s="39">
        <v>5</v>
      </c>
      <c r="AB265" s="39">
        <v>7600</v>
      </c>
      <c r="AC265" s="163">
        <v>601</v>
      </c>
      <c r="AD265" s="167">
        <v>0</v>
      </c>
      <c r="AE265" s="168">
        <v>0</v>
      </c>
      <c r="AF265" s="168">
        <v>0</v>
      </c>
      <c r="AG265" s="169"/>
      <c r="AH265" s="169">
        <v>1</v>
      </c>
      <c r="AI265" s="169"/>
      <c r="AJ265" s="169"/>
      <c r="AK265" s="169"/>
      <c r="AL265" s="170">
        <v>1</v>
      </c>
      <c r="AM265" s="170"/>
      <c r="AN265" s="171"/>
      <c r="AO265" s="170"/>
      <c r="AP265" s="172"/>
      <c r="AS265" s="39">
        <v>1</v>
      </c>
    </row>
    <row r="266" s="39" customFormat="1" spans="1:45">
      <c r="A266" s="163">
        <v>630114</v>
      </c>
      <c r="B266" s="163">
        <v>1001</v>
      </c>
      <c r="C266" s="163">
        <v>7</v>
      </c>
      <c r="D266" s="163">
        <v>1005</v>
      </c>
      <c r="E266" s="39" t="s">
        <v>954</v>
      </c>
      <c r="F266" s="39" t="s">
        <v>954</v>
      </c>
      <c r="G266" s="39" t="s">
        <v>955</v>
      </c>
      <c r="H266" s="164" t="s">
        <v>956</v>
      </c>
      <c r="I266" s="39">
        <v>1</v>
      </c>
      <c r="J266" s="165">
        <v>5</v>
      </c>
      <c r="K266" s="163">
        <v>3</v>
      </c>
      <c r="L266" s="163">
        <v>999</v>
      </c>
      <c r="M266" s="163">
        <v>0</v>
      </c>
      <c r="N266" s="163"/>
      <c r="O266" s="166">
        <v>113114</v>
      </c>
      <c r="P266" s="163" t="s">
        <v>438</v>
      </c>
      <c r="R266" s="39" t="s">
        <v>439</v>
      </c>
      <c r="S266" s="163">
        <v>0</v>
      </c>
      <c r="T266" s="163">
        <v>5</v>
      </c>
      <c r="U266" s="163">
        <v>200</v>
      </c>
      <c r="V266" s="163">
        <v>1</v>
      </c>
      <c r="W266" s="39">
        <v>1</v>
      </c>
      <c r="X266" s="163">
        <v>1</v>
      </c>
      <c r="Y266" s="39">
        <v>0</v>
      </c>
      <c r="Z266" s="39">
        <v>0</v>
      </c>
      <c r="AA266" s="39">
        <v>5</v>
      </c>
      <c r="AB266" s="39">
        <v>7600</v>
      </c>
      <c r="AC266" s="163">
        <v>601</v>
      </c>
      <c r="AD266" s="167">
        <v>0</v>
      </c>
      <c r="AE266" s="168">
        <v>0</v>
      </c>
      <c r="AF266" s="168">
        <v>0</v>
      </c>
      <c r="AG266" s="169"/>
      <c r="AH266" s="169">
        <v>1</v>
      </c>
      <c r="AI266" s="169"/>
      <c r="AJ266" s="169"/>
      <c r="AK266" s="169"/>
      <c r="AL266" s="170">
        <v>1</v>
      </c>
      <c r="AM266" s="170"/>
      <c r="AN266" s="171"/>
      <c r="AO266" s="170"/>
      <c r="AP266" s="172"/>
      <c r="AS266" s="39">
        <v>1</v>
      </c>
    </row>
    <row r="267" s="39" customFormat="1" spans="1:45">
      <c r="A267" s="173">
        <v>630115</v>
      </c>
      <c r="B267" s="174">
        <v>1001</v>
      </c>
      <c r="C267" s="174">
        <v>7</v>
      </c>
      <c r="D267" s="174">
        <v>1005</v>
      </c>
      <c r="E267" s="175" t="s">
        <v>957</v>
      </c>
      <c r="F267" s="176" t="s">
        <v>958</v>
      </c>
      <c r="G267" s="176" t="s">
        <v>958</v>
      </c>
      <c r="H267" s="175" t="s">
        <v>959</v>
      </c>
      <c r="I267" s="177">
        <v>1</v>
      </c>
      <c r="J267" s="178">
        <v>5</v>
      </c>
      <c r="K267" s="174">
        <v>3</v>
      </c>
      <c r="L267" s="174">
        <v>999</v>
      </c>
      <c r="M267" s="174">
        <v>0</v>
      </c>
      <c r="N267" s="174"/>
      <c r="O267" s="179">
        <v>113114</v>
      </c>
      <c r="P267" s="174" t="s">
        <v>438</v>
      </c>
      <c r="Q267" s="180"/>
      <c r="R267" s="177" t="s">
        <v>439</v>
      </c>
      <c r="S267" s="174">
        <v>0</v>
      </c>
      <c r="T267" s="174">
        <v>5</v>
      </c>
      <c r="U267" s="174">
        <v>200</v>
      </c>
      <c r="V267" s="174">
        <v>1</v>
      </c>
      <c r="W267" s="177">
        <v>1</v>
      </c>
      <c r="X267" s="174">
        <v>1</v>
      </c>
      <c r="Y267" s="177">
        <v>0</v>
      </c>
      <c r="Z267" s="177">
        <v>0</v>
      </c>
      <c r="AA267" s="177">
        <v>5</v>
      </c>
      <c r="AB267" s="177">
        <v>7600</v>
      </c>
      <c r="AC267" s="174">
        <v>601</v>
      </c>
      <c r="AD267" s="181">
        <v>0</v>
      </c>
      <c r="AE267" s="182">
        <v>0</v>
      </c>
      <c r="AF267" s="182">
        <v>0</v>
      </c>
      <c r="AG267" s="183"/>
      <c r="AH267" s="183">
        <v>1</v>
      </c>
      <c r="AI267" s="183"/>
      <c r="AJ267" s="183"/>
      <c r="AK267" s="183"/>
      <c r="AL267" s="184">
        <v>1</v>
      </c>
      <c r="AM267" s="184"/>
      <c r="AN267" s="185"/>
      <c r="AO267" s="184"/>
      <c r="AP267" s="186"/>
      <c r="AQ267" s="180"/>
      <c r="AR267" s="180"/>
      <c r="AS267" s="177">
        <v>1</v>
      </c>
    </row>
    <row r="268" s="37" customFormat="1" spans="1:45">
      <c r="A268" s="109">
        <v>615001</v>
      </c>
      <c r="B268" s="109">
        <v>1001</v>
      </c>
      <c r="C268" s="109">
        <v>1</v>
      </c>
      <c r="D268" s="109">
        <v>1001</v>
      </c>
      <c r="E268" s="37" t="s">
        <v>960</v>
      </c>
      <c r="F268" s="37" t="s">
        <v>960</v>
      </c>
      <c r="G268" s="37" t="s">
        <v>961</v>
      </c>
      <c r="H268" s="187" t="s">
        <v>962</v>
      </c>
      <c r="I268" s="37">
        <v>1</v>
      </c>
      <c r="J268" s="130">
        <v>5</v>
      </c>
      <c r="K268" s="109">
        <v>2</v>
      </c>
      <c r="L268" s="109">
        <v>999</v>
      </c>
      <c r="M268" s="109">
        <v>0</v>
      </c>
      <c r="N268" s="109"/>
      <c r="O268" s="188"/>
      <c r="P268" s="109"/>
      <c r="Q268" s="109"/>
      <c r="S268" s="109">
        <v>0</v>
      </c>
      <c r="T268" s="109">
        <v>5</v>
      </c>
      <c r="U268" s="109">
        <v>200</v>
      </c>
      <c r="V268" s="109">
        <v>1</v>
      </c>
      <c r="W268" s="37">
        <v>1</v>
      </c>
      <c r="X268" s="109">
        <v>1</v>
      </c>
      <c r="Y268" s="37">
        <v>0</v>
      </c>
      <c r="Z268" s="37">
        <v>0</v>
      </c>
      <c r="AA268" s="37">
        <v>5</v>
      </c>
      <c r="AB268" s="37">
        <v>1000</v>
      </c>
      <c r="AC268" s="109">
        <v>830</v>
      </c>
      <c r="AD268" s="132">
        <v>0</v>
      </c>
      <c r="AE268" s="133">
        <v>4</v>
      </c>
      <c r="AF268" s="133">
        <v>2</v>
      </c>
      <c r="AG268" s="134"/>
      <c r="AH268" s="134">
        <v>1</v>
      </c>
      <c r="AI268" s="134"/>
      <c r="AJ268" s="134"/>
      <c r="AK268" s="134"/>
      <c r="AL268" s="135">
        <v>1</v>
      </c>
      <c r="AM268" s="135"/>
      <c r="AN268" s="136"/>
      <c r="AO268" s="135"/>
      <c r="AP268" s="189"/>
      <c r="AQ268" s="37" t="s">
        <v>960</v>
      </c>
      <c r="AS268" s="37">
        <v>1</v>
      </c>
    </row>
    <row r="269" s="37" customFormat="1" spans="1:45">
      <c r="A269" s="109">
        <v>615002</v>
      </c>
      <c r="B269" s="109">
        <v>1001</v>
      </c>
      <c r="C269" s="109">
        <v>1</v>
      </c>
      <c r="D269" s="109">
        <v>1001</v>
      </c>
      <c r="E269" s="37" t="s">
        <v>963</v>
      </c>
      <c r="F269" s="37" t="s">
        <v>963</v>
      </c>
      <c r="G269" s="37" t="s">
        <v>964</v>
      </c>
      <c r="H269" s="187" t="s">
        <v>965</v>
      </c>
      <c r="I269" s="37">
        <v>1</v>
      </c>
      <c r="J269" s="130">
        <v>5</v>
      </c>
      <c r="K269" s="109">
        <v>2</v>
      </c>
      <c r="L269" s="109">
        <v>999</v>
      </c>
      <c r="M269" s="109">
        <v>0</v>
      </c>
      <c r="N269" s="109">
        <v>1</v>
      </c>
      <c r="O269" s="188" t="s">
        <v>966</v>
      </c>
      <c r="P269" s="109"/>
      <c r="Q269" s="109"/>
      <c r="S269" s="109">
        <v>0</v>
      </c>
      <c r="T269" s="109">
        <v>5</v>
      </c>
      <c r="U269" s="109">
        <v>200</v>
      </c>
      <c r="V269" s="109">
        <v>1</v>
      </c>
      <c r="W269" s="37">
        <v>1</v>
      </c>
      <c r="X269" s="109">
        <v>1</v>
      </c>
      <c r="Y269" s="37">
        <v>0</v>
      </c>
      <c r="Z269" s="37">
        <v>0</v>
      </c>
      <c r="AA269" s="37">
        <v>5</v>
      </c>
      <c r="AB269" s="37">
        <v>1000</v>
      </c>
      <c r="AC269" s="109">
        <v>830</v>
      </c>
      <c r="AD269" s="132">
        <v>0</v>
      </c>
      <c r="AE269" s="133">
        <v>4</v>
      </c>
      <c r="AF269" s="133">
        <v>2</v>
      </c>
      <c r="AG269" s="134"/>
      <c r="AH269" s="134">
        <v>1</v>
      </c>
      <c r="AI269" s="134"/>
      <c r="AJ269" s="134"/>
      <c r="AK269" s="134"/>
      <c r="AL269" s="135">
        <v>1</v>
      </c>
      <c r="AM269" s="135"/>
      <c r="AN269" s="136"/>
      <c r="AO269" s="135"/>
      <c r="AP269" s="189"/>
      <c r="AQ269" s="37" t="s">
        <v>963</v>
      </c>
      <c r="AS269" s="37">
        <v>1</v>
      </c>
    </row>
    <row r="270" s="37" customFormat="1" spans="1:45">
      <c r="A270" s="109">
        <v>615003</v>
      </c>
      <c r="B270" s="109">
        <v>1001</v>
      </c>
      <c r="C270" s="109">
        <v>1</v>
      </c>
      <c r="D270" s="109">
        <v>1001</v>
      </c>
      <c r="E270" s="37" t="s">
        <v>967</v>
      </c>
      <c r="F270" s="37" t="s">
        <v>967</v>
      </c>
      <c r="G270" s="37" t="s">
        <v>968</v>
      </c>
      <c r="H270" s="187" t="s">
        <v>969</v>
      </c>
      <c r="I270" s="37">
        <v>1</v>
      </c>
      <c r="J270" s="130">
        <v>5</v>
      </c>
      <c r="K270" s="109">
        <v>2</v>
      </c>
      <c r="L270" s="109">
        <v>999</v>
      </c>
      <c r="M270" s="109">
        <v>0</v>
      </c>
      <c r="N270" s="109">
        <v>1</v>
      </c>
      <c r="O270" s="188" t="s">
        <v>970</v>
      </c>
      <c r="P270" s="109"/>
      <c r="Q270" s="109"/>
      <c r="S270" s="109">
        <v>0</v>
      </c>
      <c r="T270" s="109">
        <v>5</v>
      </c>
      <c r="U270" s="109">
        <v>200</v>
      </c>
      <c r="V270" s="109">
        <v>1</v>
      </c>
      <c r="W270" s="37">
        <v>1</v>
      </c>
      <c r="X270" s="109">
        <v>1</v>
      </c>
      <c r="Y270" s="37">
        <v>0</v>
      </c>
      <c r="Z270" s="37">
        <v>0</v>
      </c>
      <c r="AA270" s="37">
        <v>5</v>
      </c>
      <c r="AB270" s="37">
        <v>1000</v>
      </c>
      <c r="AC270" s="109">
        <v>830</v>
      </c>
      <c r="AD270" s="132">
        <v>0</v>
      </c>
      <c r="AE270" s="133">
        <v>4</v>
      </c>
      <c r="AF270" s="133">
        <v>2</v>
      </c>
      <c r="AG270" s="134"/>
      <c r="AH270" s="134">
        <v>1</v>
      </c>
      <c r="AI270" s="134"/>
      <c r="AJ270" s="134"/>
      <c r="AK270" s="134"/>
      <c r="AL270" s="135">
        <v>1</v>
      </c>
      <c r="AM270" s="135"/>
      <c r="AN270" s="136"/>
      <c r="AO270" s="135"/>
      <c r="AP270" s="189"/>
      <c r="AQ270" s="37" t="s">
        <v>967</v>
      </c>
      <c r="AS270" s="37">
        <v>1</v>
      </c>
    </row>
    <row r="271" s="37" customFormat="1" spans="1:45">
      <c r="A271" s="109">
        <v>615004</v>
      </c>
      <c r="B271" s="109">
        <v>1001</v>
      </c>
      <c r="C271" s="109">
        <v>1</v>
      </c>
      <c r="D271" s="109">
        <v>1001</v>
      </c>
      <c r="E271" s="37" t="s">
        <v>971</v>
      </c>
      <c r="F271" s="37" t="s">
        <v>971</v>
      </c>
      <c r="G271" s="37" t="s">
        <v>972</v>
      </c>
      <c r="H271" s="187" t="s">
        <v>973</v>
      </c>
      <c r="I271" s="37">
        <v>1</v>
      </c>
      <c r="J271" s="130">
        <v>5</v>
      </c>
      <c r="K271" s="109">
        <v>2</v>
      </c>
      <c r="L271" s="109">
        <v>999</v>
      </c>
      <c r="M271" s="109">
        <v>0</v>
      </c>
      <c r="N271" s="109">
        <v>1</v>
      </c>
      <c r="O271" s="188" t="s">
        <v>974</v>
      </c>
      <c r="P271" s="109"/>
      <c r="Q271" s="109"/>
      <c r="S271" s="109">
        <v>0</v>
      </c>
      <c r="T271" s="109">
        <v>5</v>
      </c>
      <c r="U271" s="109">
        <v>200</v>
      </c>
      <c r="V271" s="109">
        <v>1</v>
      </c>
      <c r="W271" s="37">
        <v>1</v>
      </c>
      <c r="X271" s="109">
        <v>1</v>
      </c>
      <c r="Y271" s="37">
        <v>0</v>
      </c>
      <c r="Z271" s="37">
        <v>0</v>
      </c>
      <c r="AA271" s="37">
        <v>5</v>
      </c>
      <c r="AB271" s="37">
        <v>1000</v>
      </c>
      <c r="AC271" s="109">
        <v>830</v>
      </c>
      <c r="AD271" s="132">
        <v>0</v>
      </c>
      <c r="AE271" s="133">
        <v>4</v>
      </c>
      <c r="AF271" s="133">
        <v>2</v>
      </c>
      <c r="AG271" s="134"/>
      <c r="AH271" s="134">
        <v>1</v>
      </c>
      <c r="AI271" s="134"/>
      <c r="AJ271" s="134"/>
      <c r="AK271" s="134"/>
      <c r="AL271" s="135">
        <v>1</v>
      </c>
      <c r="AM271" s="135"/>
      <c r="AN271" s="136"/>
      <c r="AO271" s="135"/>
      <c r="AP271" s="189"/>
      <c r="AQ271" s="37" t="s">
        <v>971</v>
      </c>
      <c r="AS271" s="37">
        <v>1</v>
      </c>
    </row>
    <row r="272" spans="1:45">
      <c r="A272" s="8">
        <v>233007</v>
      </c>
      <c r="B272" s="8">
        <v>1001</v>
      </c>
      <c r="C272" s="8">
        <v>1</v>
      </c>
      <c r="D272" s="8">
        <v>1001</v>
      </c>
      <c r="E272" s="147" t="s">
        <v>975</v>
      </c>
      <c r="F272" s="13" t="s">
        <v>975</v>
      </c>
      <c r="G272" t="s">
        <v>976</v>
      </c>
      <c r="H272" s="147" t="s">
        <v>977</v>
      </c>
      <c r="I272">
        <v>1</v>
      </c>
      <c r="J272" s="69">
        <v>1</v>
      </c>
      <c r="K272" s="87">
        <v>1</v>
      </c>
      <c r="L272" s="8">
        <v>999</v>
      </c>
      <c r="M272" s="8">
        <v>0</v>
      </c>
      <c r="N272" s="8"/>
      <c r="P272" s="8"/>
      <c r="Q272" s="8"/>
      <c r="S272" s="89">
        <v>1</v>
      </c>
      <c r="T272" s="8">
        <v>5</v>
      </c>
      <c r="U272" s="89">
        <v>170</v>
      </c>
      <c r="V272" s="87">
        <v>1</v>
      </c>
      <c r="W272" s="8">
        <v>1</v>
      </c>
      <c r="X272" s="8">
        <v>1</v>
      </c>
      <c r="Y272">
        <v>0</v>
      </c>
      <c r="Z272" s="33">
        <v>0</v>
      </c>
      <c r="AA272">
        <v>5</v>
      </c>
      <c r="AB272" s="34">
        <v>6460</v>
      </c>
      <c r="AC272" s="87">
        <v>0</v>
      </c>
      <c r="AD272" s="62">
        <v>0</v>
      </c>
      <c r="AE272" s="90">
        <v>0</v>
      </c>
      <c r="AF272" s="90">
        <v>0</v>
      </c>
      <c r="AG272" s="91"/>
      <c r="AH272" s="91">
        <v>1</v>
      </c>
      <c r="AI272" s="91"/>
      <c r="AJ272" s="91"/>
      <c r="AK272" s="91"/>
      <c r="AL272" s="92">
        <v>1</v>
      </c>
      <c r="AM272" s="92"/>
      <c r="AN272" s="93"/>
      <c r="AO272" s="92"/>
      <c r="AQ272" s="147" t="s">
        <v>975</v>
      </c>
      <c r="AS272">
        <v>1</v>
      </c>
    </row>
    <row r="273" spans="1:45">
      <c r="A273" s="8">
        <v>233008</v>
      </c>
      <c r="B273" s="8">
        <v>1001</v>
      </c>
      <c r="C273" s="8">
        <v>1</v>
      </c>
      <c r="D273" s="8">
        <v>1001</v>
      </c>
      <c r="E273" s="147" t="s">
        <v>978</v>
      </c>
      <c r="F273" s="13" t="s">
        <v>978</v>
      </c>
      <c r="G273" t="s">
        <v>979</v>
      </c>
      <c r="H273" s="147" t="s">
        <v>980</v>
      </c>
      <c r="I273">
        <v>1</v>
      </c>
      <c r="J273" s="69">
        <v>1</v>
      </c>
      <c r="K273" s="87">
        <v>1</v>
      </c>
      <c r="L273" s="8">
        <v>999</v>
      </c>
      <c r="M273" s="8">
        <v>0</v>
      </c>
      <c r="N273" s="8"/>
      <c r="P273" s="8"/>
      <c r="Q273" s="8"/>
      <c r="S273" s="89">
        <v>1</v>
      </c>
      <c r="T273" s="8">
        <v>5</v>
      </c>
      <c r="U273" s="89">
        <v>170</v>
      </c>
      <c r="V273" s="87">
        <v>1</v>
      </c>
      <c r="W273" s="8">
        <v>1</v>
      </c>
      <c r="X273" s="8">
        <v>1</v>
      </c>
      <c r="Y273">
        <v>0</v>
      </c>
      <c r="Z273" s="33">
        <v>0</v>
      </c>
      <c r="AA273">
        <v>5</v>
      </c>
      <c r="AB273" s="34">
        <v>6460</v>
      </c>
      <c r="AC273" s="87">
        <v>0</v>
      </c>
      <c r="AD273" s="62">
        <v>0</v>
      </c>
      <c r="AE273" s="90">
        <v>0</v>
      </c>
      <c r="AF273" s="90">
        <v>0</v>
      </c>
      <c r="AG273" s="91"/>
      <c r="AH273" s="91">
        <v>1</v>
      </c>
      <c r="AI273" s="91"/>
      <c r="AJ273" s="91"/>
      <c r="AK273" s="91"/>
      <c r="AL273" s="92">
        <v>1</v>
      </c>
      <c r="AM273" s="92"/>
      <c r="AN273" s="93"/>
      <c r="AO273" s="92"/>
      <c r="AQ273" s="147" t="s">
        <v>978</v>
      </c>
      <c r="AS273">
        <v>1</v>
      </c>
    </row>
    <row r="274" spans="1:45">
      <c r="A274" s="8">
        <v>233009</v>
      </c>
      <c r="B274" s="8">
        <v>1001</v>
      </c>
      <c r="C274" s="8">
        <v>1</v>
      </c>
      <c r="D274" s="8">
        <v>1001</v>
      </c>
      <c r="E274" s="147" t="s">
        <v>981</v>
      </c>
      <c r="F274" s="13" t="s">
        <v>981</v>
      </c>
      <c r="G274" t="s">
        <v>982</v>
      </c>
      <c r="H274" s="147" t="s">
        <v>983</v>
      </c>
      <c r="I274">
        <v>1</v>
      </c>
      <c r="J274" s="69">
        <v>1</v>
      </c>
      <c r="K274" s="87">
        <v>1</v>
      </c>
      <c r="L274" s="8">
        <v>999</v>
      </c>
      <c r="M274" s="8">
        <v>0</v>
      </c>
      <c r="N274" s="8"/>
      <c r="P274" s="8"/>
      <c r="Q274" s="8"/>
      <c r="S274" s="89">
        <v>1</v>
      </c>
      <c r="T274" s="8">
        <v>5</v>
      </c>
      <c r="U274" s="89">
        <v>170</v>
      </c>
      <c r="V274" s="87">
        <v>1</v>
      </c>
      <c r="W274" s="8">
        <v>1</v>
      </c>
      <c r="X274" s="8">
        <v>1</v>
      </c>
      <c r="Y274">
        <v>0</v>
      </c>
      <c r="Z274" s="33">
        <v>0</v>
      </c>
      <c r="AA274">
        <v>5</v>
      </c>
      <c r="AB274" s="34">
        <v>6460</v>
      </c>
      <c r="AC274" s="87">
        <v>0</v>
      </c>
      <c r="AD274" s="62">
        <v>0</v>
      </c>
      <c r="AE274" s="90">
        <v>0</v>
      </c>
      <c r="AF274" s="90">
        <v>0</v>
      </c>
      <c r="AG274" s="91"/>
      <c r="AH274" s="91">
        <v>1</v>
      </c>
      <c r="AI274" s="91"/>
      <c r="AJ274" s="91"/>
      <c r="AK274" s="91"/>
      <c r="AL274" s="92">
        <v>1</v>
      </c>
      <c r="AM274" s="92"/>
      <c r="AN274" s="93"/>
      <c r="AO274" s="92"/>
      <c r="AQ274" s="147" t="s">
        <v>981</v>
      </c>
      <c r="AS274">
        <v>1</v>
      </c>
    </row>
    <row r="275" spans="1:45">
      <c r="A275" s="8">
        <v>233010</v>
      </c>
      <c r="B275" s="8">
        <v>1001</v>
      </c>
      <c r="C275" s="8">
        <v>1</v>
      </c>
      <c r="D275" s="8">
        <v>1001</v>
      </c>
      <c r="E275" s="147" t="s">
        <v>984</v>
      </c>
      <c r="F275" s="13" t="s">
        <v>984</v>
      </c>
      <c r="G275" t="s">
        <v>985</v>
      </c>
      <c r="H275" s="147" t="s">
        <v>986</v>
      </c>
      <c r="I275">
        <v>1</v>
      </c>
      <c r="J275" s="69">
        <v>1</v>
      </c>
      <c r="K275" s="87">
        <v>1</v>
      </c>
      <c r="L275" s="8">
        <v>999</v>
      </c>
      <c r="M275" s="8">
        <v>0</v>
      </c>
      <c r="N275" s="8"/>
      <c r="P275" s="8"/>
      <c r="Q275" s="8"/>
      <c r="S275" s="89">
        <v>1</v>
      </c>
      <c r="T275" s="8">
        <v>5</v>
      </c>
      <c r="U275" s="89">
        <v>170</v>
      </c>
      <c r="V275" s="87">
        <v>1</v>
      </c>
      <c r="W275" s="8">
        <v>1</v>
      </c>
      <c r="X275" s="8">
        <v>1</v>
      </c>
      <c r="Y275">
        <v>0</v>
      </c>
      <c r="Z275" s="33">
        <v>0</v>
      </c>
      <c r="AA275">
        <v>5</v>
      </c>
      <c r="AB275" s="34">
        <v>6460</v>
      </c>
      <c r="AC275" s="87">
        <v>0</v>
      </c>
      <c r="AD275" s="62">
        <v>0</v>
      </c>
      <c r="AE275" s="90">
        <v>0</v>
      </c>
      <c r="AF275" s="90">
        <v>0</v>
      </c>
      <c r="AG275" s="91"/>
      <c r="AH275" s="91">
        <v>1</v>
      </c>
      <c r="AI275" s="91"/>
      <c r="AJ275" s="91"/>
      <c r="AK275" s="91"/>
      <c r="AL275" s="92">
        <v>1</v>
      </c>
      <c r="AM275" s="92"/>
      <c r="AN275" s="93"/>
      <c r="AO275" s="92"/>
      <c r="AQ275" s="147" t="s">
        <v>984</v>
      </c>
      <c r="AS275">
        <v>1</v>
      </c>
    </row>
    <row r="276" spans="1:45">
      <c r="A276" s="8">
        <v>233011</v>
      </c>
      <c r="B276" s="8">
        <v>1001</v>
      </c>
      <c r="C276" s="8">
        <v>1</v>
      </c>
      <c r="D276" s="8">
        <v>1001</v>
      </c>
      <c r="E276" s="147" t="s">
        <v>987</v>
      </c>
      <c r="F276" s="13" t="s">
        <v>987</v>
      </c>
      <c r="G276" t="s">
        <v>988</v>
      </c>
      <c r="H276" s="147" t="s">
        <v>989</v>
      </c>
      <c r="I276">
        <v>1</v>
      </c>
      <c r="J276" s="69">
        <v>1</v>
      </c>
      <c r="K276" s="87">
        <v>1</v>
      </c>
      <c r="L276" s="8">
        <v>999</v>
      </c>
      <c r="M276" s="8">
        <v>0</v>
      </c>
      <c r="N276" s="8"/>
      <c r="P276" s="8"/>
      <c r="Q276" s="8"/>
      <c r="S276" s="89">
        <v>1</v>
      </c>
      <c r="T276" s="8">
        <v>5</v>
      </c>
      <c r="U276" s="89">
        <v>170</v>
      </c>
      <c r="V276" s="87">
        <v>1</v>
      </c>
      <c r="W276" s="8">
        <v>1</v>
      </c>
      <c r="X276" s="8">
        <v>1</v>
      </c>
      <c r="Y276">
        <v>0</v>
      </c>
      <c r="Z276" s="33">
        <v>0</v>
      </c>
      <c r="AA276">
        <v>5</v>
      </c>
      <c r="AB276" s="34">
        <v>6460</v>
      </c>
      <c r="AC276" s="87">
        <v>0</v>
      </c>
      <c r="AD276" s="62">
        <v>0</v>
      </c>
      <c r="AE276" s="90">
        <v>0</v>
      </c>
      <c r="AF276" s="90">
        <v>0</v>
      </c>
      <c r="AG276" s="91"/>
      <c r="AH276" s="91">
        <v>1</v>
      </c>
      <c r="AI276" s="91"/>
      <c r="AJ276" s="91"/>
      <c r="AK276" s="91"/>
      <c r="AL276" s="92">
        <v>1</v>
      </c>
      <c r="AM276" s="92"/>
      <c r="AN276" s="93"/>
      <c r="AO276" s="92"/>
      <c r="AQ276" s="147" t="s">
        <v>987</v>
      </c>
      <c r="AS276">
        <v>1</v>
      </c>
    </row>
    <row r="277" spans="1:45">
      <c r="A277" s="8">
        <v>233012</v>
      </c>
      <c r="B277" s="8">
        <v>1001</v>
      </c>
      <c r="C277" s="8">
        <v>1</v>
      </c>
      <c r="D277" s="8">
        <v>1001</v>
      </c>
      <c r="E277" s="147" t="s">
        <v>990</v>
      </c>
      <c r="F277" s="13" t="s">
        <v>990</v>
      </c>
      <c r="G277" t="s">
        <v>991</v>
      </c>
      <c r="H277" s="147" t="s">
        <v>992</v>
      </c>
      <c r="I277">
        <v>1</v>
      </c>
      <c r="J277" s="69">
        <v>1</v>
      </c>
      <c r="K277" s="87">
        <v>1</v>
      </c>
      <c r="L277" s="8">
        <v>999</v>
      </c>
      <c r="M277" s="8">
        <v>0</v>
      </c>
      <c r="N277" s="8"/>
      <c r="P277" s="8"/>
      <c r="Q277" s="8"/>
      <c r="S277" s="89">
        <v>1</v>
      </c>
      <c r="T277" s="8">
        <v>5</v>
      </c>
      <c r="U277" s="89">
        <v>200</v>
      </c>
      <c r="V277" s="87">
        <v>1</v>
      </c>
      <c r="W277" s="8">
        <v>1</v>
      </c>
      <c r="X277" s="8">
        <v>1</v>
      </c>
      <c r="Y277">
        <v>0</v>
      </c>
      <c r="Z277" s="33">
        <v>0</v>
      </c>
      <c r="AA277">
        <v>5</v>
      </c>
      <c r="AB277" s="34">
        <v>7600</v>
      </c>
      <c r="AC277" s="87">
        <v>0</v>
      </c>
      <c r="AD277" s="62">
        <v>0</v>
      </c>
      <c r="AE277" s="90">
        <v>0</v>
      </c>
      <c r="AF277" s="90">
        <v>0</v>
      </c>
      <c r="AG277" s="91"/>
      <c r="AH277" s="91">
        <v>1</v>
      </c>
      <c r="AI277" s="91"/>
      <c r="AJ277" s="91"/>
      <c r="AK277" s="91"/>
      <c r="AL277" s="92">
        <v>1</v>
      </c>
      <c r="AM277" s="92"/>
      <c r="AN277" s="93"/>
      <c r="AO277" s="92"/>
      <c r="AQ277" s="147" t="s">
        <v>990</v>
      </c>
      <c r="AS277">
        <v>1</v>
      </c>
    </row>
    <row r="278" spans="1:45">
      <c r="A278" s="8">
        <v>233013</v>
      </c>
      <c r="B278" s="8">
        <v>1001</v>
      </c>
      <c r="C278" s="8">
        <v>1</v>
      </c>
      <c r="D278" s="8">
        <v>1001</v>
      </c>
      <c r="E278" s="147" t="s">
        <v>993</v>
      </c>
      <c r="F278" s="13" t="s">
        <v>993</v>
      </c>
      <c r="G278" t="s">
        <v>994</v>
      </c>
      <c r="H278" s="147" t="s">
        <v>995</v>
      </c>
      <c r="I278">
        <v>1</v>
      </c>
      <c r="J278" s="69">
        <v>2</v>
      </c>
      <c r="K278" s="87">
        <v>1</v>
      </c>
      <c r="L278" s="8">
        <v>999</v>
      </c>
      <c r="M278" s="8">
        <v>0</v>
      </c>
      <c r="N278" s="8"/>
      <c r="P278" s="8"/>
      <c r="Q278" s="8"/>
      <c r="S278" s="89">
        <v>1</v>
      </c>
      <c r="T278" s="8">
        <v>5</v>
      </c>
      <c r="U278" s="89">
        <v>200</v>
      </c>
      <c r="V278" s="87">
        <v>1</v>
      </c>
      <c r="W278" s="8">
        <v>1</v>
      </c>
      <c r="X278" s="8">
        <v>1</v>
      </c>
      <c r="Y278">
        <v>0</v>
      </c>
      <c r="Z278" s="33">
        <v>0</v>
      </c>
      <c r="AA278">
        <v>5</v>
      </c>
      <c r="AB278" s="34">
        <v>7600</v>
      </c>
      <c r="AC278" s="87">
        <v>0</v>
      </c>
      <c r="AD278" s="62">
        <v>0</v>
      </c>
      <c r="AE278" s="90">
        <v>0</v>
      </c>
      <c r="AF278" s="90">
        <v>0</v>
      </c>
      <c r="AG278" s="91"/>
      <c r="AH278" s="91">
        <v>1</v>
      </c>
      <c r="AI278" s="91"/>
      <c r="AJ278" s="91"/>
      <c r="AK278" s="91"/>
      <c r="AL278" s="92">
        <v>1</v>
      </c>
      <c r="AM278" s="92"/>
      <c r="AN278" s="93"/>
      <c r="AO278" s="92"/>
      <c r="AQ278" s="147" t="s">
        <v>993</v>
      </c>
      <c r="AS278">
        <v>1</v>
      </c>
    </row>
    <row r="279" spans="1:45">
      <c r="A279" s="8">
        <v>233014</v>
      </c>
      <c r="B279" s="8">
        <v>1001</v>
      </c>
      <c r="C279" s="8">
        <v>1</v>
      </c>
      <c r="D279" s="8">
        <v>1001</v>
      </c>
      <c r="E279" s="147" t="s">
        <v>996</v>
      </c>
      <c r="F279" s="13" t="s">
        <v>996</v>
      </c>
      <c r="G279" t="s">
        <v>997</v>
      </c>
      <c r="H279" s="147" t="s">
        <v>998</v>
      </c>
      <c r="I279">
        <v>1</v>
      </c>
      <c r="J279" s="69">
        <v>3</v>
      </c>
      <c r="K279" s="87">
        <v>1</v>
      </c>
      <c r="L279" s="8">
        <v>999</v>
      </c>
      <c r="M279" s="8">
        <v>0</v>
      </c>
      <c r="N279" s="8"/>
      <c r="P279" s="8"/>
      <c r="Q279" s="8"/>
      <c r="S279" s="89">
        <v>1</v>
      </c>
      <c r="T279" s="8">
        <v>5</v>
      </c>
      <c r="U279" s="89">
        <v>200</v>
      </c>
      <c r="V279" s="87">
        <v>1</v>
      </c>
      <c r="W279" s="8">
        <v>1</v>
      </c>
      <c r="X279" s="8">
        <v>1</v>
      </c>
      <c r="Y279">
        <v>0</v>
      </c>
      <c r="Z279" s="33">
        <v>0</v>
      </c>
      <c r="AA279">
        <v>5</v>
      </c>
      <c r="AB279" s="34">
        <v>7600</v>
      </c>
      <c r="AC279" s="87">
        <v>0</v>
      </c>
      <c r="AD279" s="62">
        <v>0</v>
      </c>
      <c r="AE279" s="90">
        <v>0</v>
      </c>
      <c r="AF279" s="90">
        <v>0</v>
      </c>
      <c r="AG279" s="91"/>
      <c r="AH279" s="91">
        <v>1</v>
      </c>
      <c r="AI279" s="91"/>
      <c r="AJ279" s="91"/>
      <c r="AK279" s="91"/>
      <c r="AL279" s="92">
        <v>1</v>
      </c>
      <c r="AM279" s="92"/>
      <c r="AN279" s="93"/>
      <c r="AO279" s="92"/>
      <c r="AQ279" s="147" t="s">
        <v>996</v>
      </c>
      <c r="AS279">
        <v>1</v>
      </c>
    </row>
    <row r="280" spans="1:45">
      <c r="A280" s="8">
        <v>233015</v>
      </c>
      <c r="B280" s="8">
        <v>1001</v>
      </c>
      <c r="C280" s="8">
        <v>1</v>
      </c>
      <c r="D280" s="8">
        <v>1001</v>
      </c>
      <c r="E280" s="147" t="s">
        <v>999</v>
      </c>
      <c r="F280" s="13" t="s">
        <v>999</v>
      </c>
      <c r="G280" t="s">
        <v>1000</v>
      </c>
      <c r="H280" s="147" t="s">
        <v>1001</v>
      </c>
      <c r="I280">
        <v>1</v>
      </c>
      <c r="J280" s="69">
        <v>2</v>
      </c>
      <c r="K280" s="87">
        <v>1</v>
      </c>
      <c r="L280" s="8">
        <v>999</v>
      </c>
      <c r="M280" s="8">
        <v>0</v>
      </c>
      <c r="N280" s="8"/>
      <c r="P280" s="8"/>
      <c r="Q280" s="8"/>
      <c r="S280" s="89">
        <v>1</v>
      </c>
      <c r="T280" s="8">
        <v>5</v>
      </c>
      <c r="U280" s="89">
        <v>200</v>
      </c>
      <c r="V280" s="87">
        <v>1</v>
      </c>
      <c r="W280" s="8">
        <v>1</v>
      </c>
      <c r="X280" s="8">
        <v>1</v>
      </c>
      <c r="Y280">
        <v>0</v>
      </c>
      <c r="Z280" s="33">
        <v>0</v>
      </c>
      <c r="AA280">
        <v>5</v>
      </c>
      <c r="AB280" s="34">
        <v>7600</v>
      </c>
      <c r="AC280" s="87">
        <v>0</v>
      </c>
      <c r="AD280" s="62">
        <v>0</v>
      </c>
      <c r="AE280" s="90">
        <v>0</v>
      </c>
      <c r="AF280" s="90">
        <v>0</v>
      </c>
      <c r="AG280" s="91"/>
      <c r="AH280" s="91">
        <v>1</v>
      </c>
      <c r="AI280" s="91"/>
      <c r="AJ280" s="91"/>
      <c r="AK280" s="91"/>
      <c r="AL280" s="92">
        <v>1</v>
      </c>
      <c r="AM280" s="92"/>
      <c r="AN280" s="93"/>
      <c r="AO280" s="92"/>
      <c r="AQ280" s="147" t="s">
        <v>999</v>
      </c>
      <c r="AS280">
        <v>1</v>
      </c>
    </row>
    <row r="281" spans="1:45">
      <c r="A281" s="8">
        <v>233016</v>
      </c>
      <c r="B281" s="8">
        <v>1001</v>
      </c>
      <c r="C281" s="8">
        <v>1</v>
      </c>
      <c r="D281" s="8">
        <v>1001</v>
      </c>
      <c r="E281" s="147" t="s">
        <v>1002</v>
      </c>
      <c r="F281" s="13" t="s">
        <v>1002</v>
      </c>
      <c r="G281" t="s">
        <v>1003</v>
      </c>
      <c r="H281" s="147" t="s">
        <v>1004</v>
      </c>
      <c r="I281">
        <v>1</v>
      </c>
      <c r="J281" s="69">
        <v>2</v>
      </c>
      <c r="K281" s="87">
        <v>1</v>
      </c>
      <c r="L281" s="8">
        <v>999</v>
      </c>
      <c r="M281" s="8">
        <v>0</v>
      </c>
      <c r="N281" s="8"/>
      <c r="P281" s="8"/>
      <c r="Q281" s="8"/>
      <c r="S281" s="89">
        <v>1</v>
      </c>
      <c r="T281" s="8">
        <v>5</v>
      </c>
      <c r="U281" s="89">
        <v>200</v>
      </c>
      <c r="V281" s="87">
        <v>1</v>
      </c>
      <c r="W281" s="8">
        <v>1</v>
      </c>
      <c r="X281" s="8">
        <v>1</v>
      </c>
      <c r="Y281">
        <v>0</v>
      </c>
      <c r="Z281" s="33">
        <v>0</v>
      </c>
      <c r="AA281">
        <v>5</v>
      </c>
      <c r="AB281" s="34">
        <v>7600</v>
      </c>
      <c r="AC281" s="87">
        <v>0</v>
      </c>
      <c r="AD281" s="62">
        <v>0</v>
      </c>
      <c r="AE281" s="90">
        <v>0</v>
      </c>
      <c r="AF281" s="90">
        <v>0</v>
      </c>
      <c r="AG281" s="91"/>
      <c r="AH281" s="91">
        <v>1</v>
      </c>
      <c r="AI281" s="91"/>
      <c r="AJ281" s="91"/>
      <c r="AK281" s="91"/>
      <c r="AL281" s="92">
        <v>1</v>
      </c>
      <c r="AM281" s="92"/>
      <c r="AN281" s="93"/>
      <c r="AO281" s="92"/>
      <c r="AQ281" s="147" t="s">
        <v>1002</v>
      </c>
      <c r="AS281">
        <v>1</v>
      </c>
    </row>
    <row r="282" spans="1:45">
      <c r="A282" s="8">
        <v>233017</v>
      </c>
      <c r="B282" s="8">
        <v>1001</v>
      </c>
      <c r="C282" s="8">
        <v>1</v>
      </c>
      <c r="D282" s="8">
        <v>1001</v>
      </c>
      <c r="E282" s="147" t="s">
        <v>1005</v>
      </c>
      <c r="F282" s="13" t="s">
        <v>1005</v>
      </c>
      <c r="G282" t="s">
        <v>1006</v>
      </c>
      <c r="H282" s="147" t="s">
        <v>1007</v>
      </c>
      <c r="I282">
        <v>1</v>
      </c>
      <c r="J282" s="69">
        <v>3</v>
      </c>
      <c r="K282" s="87">
        <v>1</v>
      </c>
      <c r="L282" s="8">
        <v>999</v>
      </c>
      <c r="M282" s="8">
        <v>0</v>
      </c>
      <c r="N282" s="8"/>
      <c r="P282" s="8"/>
      <c r="Q282" s="8"/>
      <c r="S282" s="89">
        <v>1</v>
      </c>
      <c r="T282" s="8">
        <v>5</v>
      </c>
      <c r="U282" s="89">
        <v>200</v>
      </c>
      <c r="V282" s="87">
        <v>1</v>
      </c>
      <c r="W282" s="8">
        <v>1</v>
      </c>
      <c r="X282" s="8">
        <v>1</v>
      </c>
      <c r="Y282">
        <v>0</v>
      </c>
      <c r="Z282" s="33">
        <v>0</v>
      </c>
      <c r="AA282">
        <v>5</v>
      </c>
      <c r="AB282" s="34">
        <v>7600</v>
      </c>
      <c r="AC282" s="87">
        <v>0</v>
      </c>
      <c r="AD282" s="62">
        <v>0</v>
      </c>
      <c r="AE282" s="90">
        <v>0</v>
      </c>
      <c r="AF282" s="90">
        <v>0</v>
      </c>
      <c r="AG282" s="91"/>
      <c r="AH282" s="91">
        <v>1</v>
      </c>
      <c r="AI282" s="91"/>
      <c r="AJ282" s="91"/>
      <c r="AK282" s="91"/>
      <c r="AL282" s="92">
        <v>1</v>
      </c>
      <c r="AM282" s="92"/>
      <c r="AN282" s="93"/>
      <c r="AO282" s="92"/>
      <c r="AQ282" s="147" t="s">
        <v>1005</v>
      </c>
      <c r="AS282">
        <v>1</v>
      </c>
    </row>
    <row r="283" spans="1:45">
      <c r="A283" s="8">
        <v>233018</v>
      </c>
      <c r="B283" s="8">
        <v>1001</v>
      </c>
      <c r="C283" s="8">
        <v>1</v>
      </c>
      <c r="D283" s="8">
        <v>1001</v>
      </c>
      <c r="E283" s="147" t="s">
        <v>1008</v>
      </c>
      <c r="F283" s="13" t="s">
        <v>1008</v>
      </c>
      <c r="G283" t="s">
        <v>1009</v>
      </c>
      <c r="H283" s="147" t="s">
        <v>1010</v>
      </c>
      <c r="I283">
        <v>1</v>
      </c>
      <c r="J283" s="69">
        <v>3</v>
      </c>
      <c r="K283" s="87">
        <v>1</v>
      </c>
      <c r="L283" s="8">
        <v>999</v>
      </c>
      <c r="M283" s="8">
        <v>0</v>
      </c>
      <c r="N283" s="8"/>
      <c r="P283" s="8"/>
      <c r="Q283" s="8"/>
      <c r="S283" s="89">
        <v>1</v>
      </c>
      <c r="T283" s="8">
        <v>5</v>
      </c>
      <c r="U283" s="89">
        <v>200</v>
      </c>
      <c r="V283" s="87">
        <v>1</v>
      </c>
      <c r="W283" s="8">
        <v>1</v>
      </c>
      <c r="X283" s="8">
        <v>1</v>
      </c>
      <c r="Y283">
        <v>0</v>
      </c>
      <c r="Z283" s="33">
        <v>0</v>
      </c>
      <c r="AA283">
        <v>5</v>
      </c>
      <c r="AB283" s="34">
        <v>7600</v>
      </c>
      <c r="AC283" s="87">
        <v>0</v>
      </c>
      <c r="AD283" s="62">
        <v>0</v>
      </c>
      <c r="AE283" s="90">
        <v>0</v>
      </c>
      <c r="AF283" s="90">
        <v>0</v>
      </c>
      <c r="AG283" s="91"/>
      <c r="AH283" s="91">
        <v>1</v>
      </c>
      <c r="AI283" s="91"/>
      <c r="AJ283" s="91"/>
      <c r="AK283" s="91"/>
      <c r="AL283" s="92">
        <v>1</v>
      </c>
      <c r="AM283" s="92"/>
      <c r="AN283" s="93"/>
      <c r="AO283" s="92"/>
      <c r="AQ283" s="147" t="s">
        <v>1008</v>
      </c>
      <c r="AS283">
        <v>1</v>
      </c>
    </row>
    <row r="284" spans="1:45">
      <c r="A284" s="8">
        <v>233019</v>
      </c>
      <c r="B284" s="8">
        <v>1001</v>
      </c>
      <c r="C284" s="8">
        <v>1</v>
      </c>
      <c r="D284" s="8">
        <v>1001</v>
      </c>
      <c r="E284" s="147" t="s">
        <v>1011</v>
      </c>
      <c r="F284" s="13" t="s">
        <v>1011</v>
      </c>
      <c r="G284" t="s">
        <v>1012</v>
      </c>
      <c r="H284" s="147" t="s">
        <v>1013</v>
      </c>
      <c r="I284">
        <v>1</v>
      </c>
      <c r="J284" s="69">
        <v>3</v>
      </c>
      <c r="K284" s="87">
        <v>1</v>
      </c>
      <c r="L284" s="8">
        <v>999</v>
      </c>
      <c r="M284" s="8">
        <v>0</v>
      </c>
      <c r="N284" s="8"/>
      <c r="P284" s="8"/>
      <c r="Q284" s="8"/>
      <c r="S284" s="89">
        <v>1</v>
      </c>
      <c r="T284" s="8">
        <v>5</v>
      </c>
      <c r="U284" s="89">
        <v>200</v>
      </c>
      <c r="V284" s="87">
        <v>1</v>
      </c>
      <c r="W284" s="8">
        <v>1</v>
      </c>
      <c r="X284" s="8">
        <v>1</v>
      </c>
      <c r="Y284">
        <v>0</v>
      </c>
      <c r="Z284" s="33">
        <v>0</v>
      </c>
      <c r="AA284">
        <v>5</v>
      </c>
      <c r="AB284" s="34">
        <v>7600</v>
      </c>
      <c r="AC284" s="87">
        <v>0</v>
      </c>
      <c r="AD284" s="62">
        <v>0</v>
      </c>
      <c r="AE284" s="90">
        <v>0</v>
      </c>
      <c r="AF284" s="90">
        <v>0</v>
      </c>
      <c r="AG284" s="91"/>
      <c r="AH284" s="91">
        <v>1</v>
      </c>
      <c r="AI284" s="91"/>
      <c r="AJ284" s="91"/>
      <c r="AK284" s="91"/>
      <c r="AL284" s="92">
        <v>1</v>
      </c>
      <c r="AM284" s="92"/>
      <c r="AN284" s="93"/>
      <c r="AO284" s="92"/>
      <c r="AQ284" s="147" t="s">
        <v>1011</v>
      </c>
      <c r="AS284">
        <v>1</v>
      </c>
    </row>
    <row r="285" spans="1:45">
      <c r="A285" s="8">
        <v>233020</v>
      </c>
      <c r="B285" s="8">
        <v>1001</v>
      </c>
      <c r="C285" s="8">
        <v>1</v>
      </c>
      <c r="D285" s="8">
        <v>1001</v>
      </c>
      <c r="E285" s="147" t="s">
        <v>1014</v>
      </c>
      <c r="F285" s="13" t="s">
        <v>1014</v>
      </c>
      <c r="G285" t="s">
        <v>1015</v>
      </c>
      <c r="H285" s="147" t="s">
        <v>1016</v>
      </c>
      <c r="I285">
        <v>1</v>
      </c>
      <c r="J285" s="69">
        <v>3</v>
      </c>
      <c r="K285" s="87">
        <v>1</v>
      </c>
      <c r="L285" s="8">
        <v>999</v>
      </c>
      <c r="M285" s="8">
        <v>0</v>
      </c>
      <c r="N285" s="8"/>
      <c r="P285" s="8"/>
      <c r="Q285" s="8"/>
      <c r="S285" s="89">
        <v>1</v>
      </c>
      <c r="T285" s="8">
        <v>5</v>
      </c>
      <c r="U285" s="89">
        <v>200</v>
      </c>
      <c r="V285" s="87">
        <v>1</v>
      </c>
      <c r="W285" s="8">
        <v>1</v>
      </c>
      <c r="X285" s="8">
        <v>1</v>
      </c>
      <c r="Y285">
        <v>0</v>
      </c>
      <c r="Z285" s="33">
        <v>0</v>
      </c>
      <c r="AA285">
        <v>5</v>
      </c>
      <c r="AB285" s="34">
        <v>7600</v>
      </c>
      <c r="AC285" s="87">
        <v>0</v>
      </c>
      <c r="AD285" s="62">
        <v>0</v>
      </c>
      <c r="AE285" s="90">
        <v>0</v>
      </c>
      <c r="AF285" s="90">
        <v>0</v>
      </c>
      <c r="AG285" s="91"/>
      <c r="AH285" s="91">
        <v>1</v>
      </c>
      <c r="AI285" s="91"/>
      <c r="AJ285" s="91"/>
      <c r="AK285" s="91"/>
      <c r="AL285" s="92">
        <v>1</v>
      </c>
      <c r="AM285" s="92"/>
      <c r="AN285" s="93"/>
      <c r="AO285" s="92"/>
      <c r="AQ285" s="147" t="s">
        <v>1014</v>
      </c>
      <c r="AS285">
        <v>1</v>
      </c>
    </row>
    <row r="286" spans="1:45">
      <c r="A286" s="8">
        <v>233021</v>
      </c>
      <c r="B286" s="8">
        <v>1001</v>
      </c>
      <c r="C286" s="8">
        <v>1</v>
      </c>
      <c r="D286" s="8">
        <v>1001</v>
      </c>
      <c r="E286" s="147" t="s">
        <v>1017</v>
      </c>
      <c r="F286" s="13" t="s">
        <v>1017</v>
      </c>
      <c r="G286" t="s">
        <v>1018</v>
      </c>
      <c r="H286" s="147" t="s">
        <v>1019</v>
      </c>
      <c r="I286">
        <v>1</v>
      </c>
      <c r="J286" s="69">
        <v>3</v>
      </c>
      <c r="K286" s="87">
        <v>1</v>
      </c>
      <c r="L286" s="8">
        <v>999</v>
      </c>
      <c r="M286" s="8">
        <v>0</v>
      </c>
      <c r="N286" s="8"/>
      <c r="P286" s="8"/>
      <c r="Q286" s="8"/>
      <c r="S286" s="89">
        <v>1</v>
      </c>
      <c r="T286" s="8">
        <v>5</v>
      </c>
      <c r="U286" s="89">
        <v>200</v>
      </c>
      <c r="V286" s="87">
        <v>1</v>
      </c>
      <c r="W286" s="8">
        <v>1</v>
      </c>
      <c r="X286" s="8">
        <v>1</v>
      </c>
      <c r="Y286">
        <v>0</v>
      </c>
      <c r="Z286" s="33">
        <v>0</v>
      </c>
      <c r="AA286">
        <v>5</v>
      </c>
      <c r="AB286" s="34">
        <v>7600</v>
      </c>
      <c r="AC286" s="87">
        <v>0</v>
      </c>
      <c r="AD286" s="62">
        <v>0</v>
      </c>
      <c r="AE286" s="90">
        <v>0</v>
      </c>
      <c r="AF286" s="90">
        <v>0</v>
      </c>
      <c r="AG286" s="91"/>
      <c r="AH286" s="91">
        <v>1</v>
      </c>
      <c r="AI286" s="91"/>
      <c r="AJ286" s="91"/>
      <c r="AK286" s="91"/>
      <c r="AL286" s="92">
        <v>1</v>
      </c>
      <c r="AM286" s="92"/>
      <c r="AN286" s="93"/>
      <c r="AO286" s="92"/>
      <c r="AQ286" s="147" t="s">
        <v>1017</v>
      </c>
      <c r="AS286">
        <v>1</v>
      </c>
    </row>
    <row r="287" spans="1:45">
      <c r="A287" s="8">
        <v>233022</v>
      </c>
      <c r="B287" s="8">
        <v>1001</v>
      </c>
      <c r="C287" s="8">
        <v>1</v>
      </c>
      <c r="D287" s="8">
        <v>1001</v>
      </c>
      <c r="E287" s="147" t="s">
        <v>1020</v>
      </c>
      <c r="F287" s="13" t="s">
        <v>1020</v>
      </c>
      <c r="G287" t="s">
        <v>1021</v>
      </c>
      <c r="H287" s="147" t="s">
        <v>1022</v>
      </c>
      <c r="I287">
        <v>1</v>
      </c>
      <c r="J287" s="69">
        <v>1</v>
      </c>
      <c r="K287" s="87">
        <v>1</v>
      </c>
      <c r="L287" s="8">
        <v>999</v>
      </c>
      <c r="M287" s="8">
        <v>0</v>
      </c>
      <c r="N287" s="8"/>
      <c r="P287" s="8"/>
      <c r="Q287" s="8"/>
      <c r="S287" s="89">
        <v>1</v>
      </c>
      <c r="T287" s="8">
        <v>5</v>
      </c>
      <c r="U287" s="89">
        <v>200</v>
      </c>
      <c r="V287" s="87">
        <v>1</v>
      </c>
      <c r="W287" s="8">
        <v>1</v>
      </c>
      <c r="X287" s="8">
        <v>1</v>
      </c>
      <c r="Y287">
        <v>0</v>
      </c>
      <c r="Z287" s="33">
        <v>0</v>
      </c>
      <c r="AA287">
        <v>5</v>
      </c>
      <c r="AB287" s="34">
        <v>7600</v>
      </c>
      <c r="AC287" s="87">
        <v>0</v>
      </c>
      <c r="AD287" s="62">
        <v>0</v>
      </c>
      <c r="AE287" s="90">
        <v>0</v>
      </c>
      <c r="AF287" s="90">
        <v>0</v>
      </c>
      <c r="AG287" s="91"/>
      <c r="AH287" s="91">
        <v>1</v>
      </c>
      <c r="AI287" s="91"/>
      <c r="AJ287" s="91"/>
      <c r="AK287" s="91"/>
      <c r="AL287" s="92">
        <v>1</v>
      </c>
      <c r="AM287" s="92"/>
      <c r="AN287" s="93"/>
      <c r="AO287" s="92"/>
      <c r="AQ287" s="147" t="s">
        <v>1020</v>
      </c>
      <c r="AS287">
        <v>1</v>
      </c>
    </row>
    <row r="288" spans="1:45">
      <c r="A288" s="8">
        <v>233023</v>
      </c>
      <c r="B288" s="8">
        <v>1001</v>
      </c>
      <c r="C288" s="8">
        <v>1</v>
      </c>
      <c r="D288" s="8">
        <v>1001</v>
      </c>
      <c r="E288" s="147" t="s">
        <v>1023</v>
      </c>
      <c r="F288" s="13" t="s">
        <v>1023</v>
      </c>
      <c r="G288" t="s">
        <v>1024</v>
      </c>
      <c r="H288" s="147" t="s">
        <v>1025</v>
      </c>
      <c r="I288">
        <v>1</v>
      </c>
      <c r="J288" s="69">
        <v>2</v>
      </c>
      <c r="K288" s="87">
        <v>1</v>
      </c>
      <c r="L288" s="8">
        <v>999</v>
      </c>
      <c r="M288" s="8">
        <v>0</v>
      </c>
      <c r="N288" s="8"/>
      <c r="P288" s="8"/>
      <c r="Q288" s="8"/>
      <c r="S288" s="89">
        <v>1</v>
      </c>
      <c r="T288" s="8">
        <v>5</v>
      </c>
      <c r="U288" s="89">
        <v>200</v>
      </c>
      <c r="V288" s="87">
        <v>1</v>
      </c>
      <c r="W288" s="8">
        <v>1</v>
      </c>
      <c r="X288" s="8">
        <v>1</v>
      </c>
      <c r="Y288">
        <v>0</v>
      </c>
      <c r="Z288" s="33">
        <v>0</v>
      </c>
      <c r="AA288">
        <v>5</v>
      </c>
      <c r="AB288" s="34">
        <v>7600</v>
      </c>
      <c r="AC288" s="87">
        <v>0</v>
      </c>
      <c r="AD288" s="62">
        <v>0</v>
      </c>
      <c r="AE288" s="90">
        <v>0</v>
      </c>
      <c r="AF288" s="90">
        <v>0</v>
      </c>
      <c r="AG288" s="91"/>
      <c r="AH288" s="91">
        <v>1</v>
      </c>
      <c r="AI288" s="91"/>
      <c r="AJ288" s="91"/>
      <c r="AK288" s="91"/>
      <c r="AL288" s="92">
        <v>1</v>
      </c>
      <c r="AM288" s="92"/>
      <c r="AN288" s="93"/>
      <c r="AO288" s="92"/>
      <c r="AQ288" s="147" t="s">
        <v>1023</v>
      </c>
      <c r="AS288">
        <v>1</v>
      </c>
    </row>
    <row r="289" spans="1:45">
      <c r="A289" s="8">
        <v>233024</v>
      </c>
      <c r="B289" s="8">
        <v>1001</v>
      </c>
      <c r="C289" s="8">
        <v>1</v>
      </c>
      <c r="D289" s="8">
        <v>1001</v>
      </c>
      <c r="E289" s="147" t="s">
        <v>1026</v>
      </c>
      <c r="F289" s="13" t="s">
        <v>1026</v>
      </c>
      <c r="G289" t="s">
        <v>1027</v>
      </c>
      <c r="H289" s="147" t="s">
        <v>1028</v>
      </c>
      <c r="I289">
        <v>1</v>
      </c>
      <c r="J289" s="69">
        <v>3</v>
      </c>
      <c r="K289" s="87">
        <v>1</v>
      </c>
      <c r="L289" s="8">
        <v>999</v>
      </c>
      <c r="M289" s="8">
        <v>0</v>
      </c>
      <c r="N289" s="8"/>
      <c r="P289" s="8"/>
      <c r="Q289" s="8"/>
      <c r="S289" s="89">
        <v>1</v>
      </c>
      <c r="T289" s="8">
        <v>5</v>
      </c>
      <c r="U289" s="89">
        <v>200</v>
      </c>
      <c r="V289" s="87">
        <v>1</v>
      </c>
      <c r="W289" s="8">
        <v>1</v>
      </c>
      <c r="X289" s="8">
        <v>1</v>
      </c>
      <c r="Y289">
        <v>0</v>
      </c>
      <c r="Z289" s="33">
        <v>0</v>
      </c>
      <c r="AA289">
        <v>5</v>
      </c>
      <c r="AB289" s="34">
        <v>7600</v>
      </c>
      <c r="AC289" s="87">
        <v>0</v>
      </c>
      <c r="AD289" s="62">
        <v>0</v>
      </c>
      <c r="AE289" s="90">
        <v>0</v>
      </c>
      <c r="AF289" s="90">
        <v>0</v>
      </c>
      <c r="AG289" s="91"/>
      <c r="AH289" s="91">
        <v>1</v>
      </c>
      <c r="AI289" s="91"/>
      <c r="AJ289" s="91"/>
      <c r="AK289" s="91"/>
      <c r="AL289" s="92">
        <v>1</v>
      </c>
      <c r="AM289" s="92"/>
      <c r="AN289" s="93"/>
      <c r="AO289" s="92"/>
      <c r="AQ289" s="147" t="s">
        <v>1026</v>
      </c>
      <c r="AS289">
        <v>1</v>
      </c>
    </row>
    <row r="290" spans="1:45">
      <c r="A290" s="8">
        <v>233025</v>
      </c>
      <c r="B290" s="8">
        <v>1001</v>
      </c>
      <c r="C290" s="8">
        <v>1</v>
      </c>
      <c r="D290" s="8">
        <v>1001</v>
      </c>
      <c r="E290" s="147" t="s">
        <v>1029</v>
      </c>
      <c r="F290" s="13" t="s">
        <v>1029</v>
      </c>
      <c r="G290" t="s">
        <v>1030</v>
      </c>
      <c r="H290" s="147" t="s">
        <v>1031</v>
      </c>
      <c r="I290">
        <v>1</v>
      </c>
      <c r="J290" s="69">
        <v>3</v>
      </c>
      <c r="K290" s="87">
        <v>1</v>
      </c>
      <c r="L290" s="8">
        <v>999</v>
      </c>
      <c r="M290" s="8">
        <v>0</v>
      </c>
      <c r="N290" s="8"/>
      <c r="P290" s="8"/>
      <c r="Q290" s="8"/>
      <c r="S290" s="89">
        <v>1</v>
      </c>
      <c r="T290" s="8">
        <v>5</v>
      </c>
      <c r="U290" s="89">
        <v>200</v>
      </c>
      <c r="V290" s="87">
        <v>1</v>
      </c>
      <c r="W290" s="8">
        <v>1</v>
      </c>
      <c r="X290" s="8">
        <v>1</v>
      </c>
      <c r="Y290">
        <v>0</v>
      </c>
      <c r="Z290" s="33">
        <v>0</v>
      </c>
      <c r="AA290">
        <v>5</v>
      </c>
      <c r="AB290" s="34">
        <v>7600</v>
      </c>
      <c r="AC290" s="87">
        <v>0</v>
      </c>
      <c r="AD290" s="62">
        <v>0</v>
      </c>
      <c r="AE290" s="90">
        <v>0</v>
      </c>
      <c r="AF290" s="90">
        <v>0</v>
      </c>
      <c r="AG290" s="91"/>
      <c r="AH290" s="91">
        <v>1</v>
      </c>
      <c r="AI290" s="91"/>
      <c r="AJ290" s="91"/>
      <c r="AK290" s="91"/>
      <c r="AL290" s="92">
        <v>1</v>
      </c>
      <c r="AM290" s="92"/>
      <c r="AN290" s="93"/>
      <c r="AO290" s="92"/>
      <c r="AQ290" s="147" t="s">
        <v>1026</v>
      </c>
      <c r="AS290">
        <v>1</v>
      </c>
    </row>
    <row r="291" spans="1:45">
      <c r="A291" s="8">
        <v>233026</v>
      </c>
      <c r="B291" s="8">
        <v>1001</v>
      </c>
      <c r="C291" s="8">
        <v>1</v>
      </c>
      <c r="D291" s="8">
        <v>1001</v>
      </c>
      <c r="E291" s="147" t="s">
        <v>1032</v>
      </c>
      <c r="F291" s="13" t="s">
        <v>1032</v>
      </c>
      <c r="G291" t="s">
        <v>1033</v>
      </c>
      <c r="H291" s="147" t="s">
        <v>1034</v>
      </c>
      <c r="I291">
        <v>1</v>
      </c>
      <c r="J291" s="69">
        <v>2</v>
      </c>
      <c r="K291" s="87">
        <v>1</v>
      </c>
      <c r="L291" s="8">
        <v>999</v>
      </c>
      <c r="M291" s="8">
        <v>0</v>
      </c>
      <c r="N291" s="8"/>
      <c r="P291" s="8"/>
      <c r="Q291" s="8"/>
      <c r="S291" s="89">
        <v>1</v>
      </c>
      <c r="T291" s="8">
        <v>5</v>
      </c>
      <c r="U291" s="89">
        <v>200</v>
      </c>
      <c r="V291" s="87">
        <v>1</v>
      </c>
      <c r="W291" s="8">
        <v>1</v>
      </c>
      <c r="X291" s="8">
        <v>1</v>
      </c>
      <c r="Y291">
        <v>0</v>
      </c>
      <c r="Z291" s="33">
        <v>0</v>
      </c>
      <c r="AA291">
        <v>5</v>
      </c>
      <c r="AB291" s="34">
        <v>7600</v>
      </c>
      <c r="AC291" s="87">
        <v>0</v>
      </c>
      <c r="AD291" s="62">
        <v>0</v>
      </c>
      <c r="AE291" s="90">
        <v>0</v>
      </c>
      <c r="AF291" s="90">
        <v>0</v>
      </c>
      <c r="AG291" s="91"/>
      <c r="AH291" s="91">
        <v>1</v>
      </c>
      <c r="AI291" s="91"/>
      <c r="AJ291" s="91"/>
      <c r="AK291" s="91"/>
      <c r="AL291" s="92">
        <v>1</v>
      </c>
      <c r="AM291" s="92"/>
      <c r="AN291" s="93"/>
      <c r="AO291" s="92"/>
      <c r="AQ291" s="147" t="s">
        <v>1026</v>
      </c>
      <c r="AS291">
        <v>1</v>
      </c>
    </row>
    <row r="292" spans="1:45">
      <c r="A292" s="8">
        <v>233027</v>
      </c>
      <c r="B292" s="8">
        <v>1001</v>
      </c>
      <c r="C292" s="8">
        <v>1</v>
      </c>
      <c r="D292" s="8">
        <v>1001</v>
      </c>
      <c r="E292" s="147" t="s">
        <v>1035</v>
      </c>
      <c r="F292" s="13" t="s">
        <v>1035</v>
      </c>
      <c r="G292" t="s">
        <v>1036</v>
      </c>
      <c r="H292" s="147" t="s">
        <v>1037</v>
      </c>
      <c r="I292">
        <v>1</v>
      </c>
      <c r="J292" s="69">
        <v>3</v>
      </c>
      <c r="K292" s="87">
        <v>1</v>
      </c>
      <c r="L292" s="8">
        <v>999</v>
      </c>
      <c r="M292" s="8">
        <v>0</v>
      </c>
      <c r="N292" s="8"/>
      <c r="P292" s="8"/>
      <c r="Q292" s="8"/>
      <c r="S292" s="89">
        <v>1</v>
      </c>
      <c r="T292" s="8">
        <v>5</v>
      </c>
      <c r="U292" s="89">
        <v>200</v>
      </c>
      <c r="V292" s="87">
        <v>1</v>
      </c>
      <c r="W292" s="8">
        <v>1</v>
      </c>
      <c r="X292" s="8">
        <v>1</v>
      </c>
      <c r="Y292">
        <v>0</v>
      </c>
      <c r="Z292" s="33">
        <v>0</v>
      </c>
      <c r="AA292">
        <v>5</v>
      </c>
      <c r="AB292" s="34">
        <v>7600</v>
      </c>
      <c r="AC292" s="87">
        <v>0</v>
      </c>
      <c r="AD292" s="62">
        <v>0</v>
      </c>
      <c r="AE292" s="90">
        <v>0</v>
      </c>
      <c r="AF292" s="90">
        <v>0</v>
      </c>
      <c r="AG292" s="91"/>
      <c r="AH292" s="91">
        <v>1</v>
      </c>
      <c r="AI292" s="91"/>
      <c r="AJ292" s="91"/>
      <c r="AK292" s="91"/>
      <c r="AL292" s="92">
        <v>1</v>
      </c>
      <c r="AM292" s="92"/>
      <c r="AN292" s="93"/>
      <c r="AO292" s="92"/>
      <c r="AQ292" s="147" t="s">
        <v>1026</v>
      </c>
      <c r="AS292">
        <v>1</v>
      </c>
    </row>
    <row r="293" spans="1:45">
      <c r="A293" s="8">
        <v>233028</v>
      </c>
      <c r="B293" s="8">
        <v>1001</v>
      </c>
      <c r="C293" s="8">
        <v>1</v>
      </c>
      <c r="D293" s="8">
        <v>1001</v>
      </c>
      <c r="E293" s="147" t="s">
        <v>1038</v>
      </c>
      <c r="F293" s="147" t="s">
        <v>1038</v>
      </c>
      <c r="G293" t="s">
        <v>1039</v>
      </c>
      <c r="H293" s="147" t="s">
        <v>1040</v>
      </c>
      <c r="I293">
        <v>1</v>
      </c>
      <c r="J293" s="69">
        <v>4</v>
      </c>
      <c r="K293" s="87">
        <v>1</v>
      </c>
      <c r="L293" s="8">
        <v>999</v>
      </c>
      <c r="M293" s="8">
        <v>0</v>
      </c>
      <c r="N293" s="8"/>
      <c r="P293" s="8"/>
      <c r="Q293" s="8"/>
      <c r="S293" s="89">
        <v>1</v>
      </c>
      <c r="T293" s="8">
        <v>5</v>
      </c>
      <c r="U293" s="89">
        <v>200</v>
      </c>
      <c r="V293" s="87">
        <v>1</v>
      </c>
      <c r="W293" s="8">
        <v>1</v>
      </c>
      <c r="X293" s="8">
        <v>1</v>
      </c>
      <c r="Y293">
        <v>0</v>
      </c>
      <c r="Z293" s="33">
        <v>0</v>
      </c>
      <c r="AA293">
        <v>5</v>
      </c>
      <c r="AB293" s="34">
        <v>7600</v>
      </c>
      <c r="AC293" s="87">
        <v>0</v>
      </c>
      <c r="AD293" s="62">
        <v>0</v>
      </c>
      <c r="AE293" s="90">
        <v>0</v>
      </c>
      <c r="AF293" s="90">
        <v>0</v>
      </c>
      <c r="AG293" s="91"/>
      <c r="AH293" s="91">
        <v>1</v>
      </c>
      <c r="AI293" s="91"/>
      <c r="AJ293" s="91"/>
      <c r="AK293" s="91"/>
      <c r="AL293" s="92">
        <v>1</v>
      </c>
      <c r="AM293" s="92"/>
      <c r="AN293" s="93"/>
      <c r="AO293" s="92"/>
      <c r="AQ293" s="147" t="s">
        <v>1038</v>
      </c>
      <c r="AS293">
        <v>1</v>
      </c>
    </row>
    <row r="294" spans="1:45">
      <c r="A294" s="8">
        <v>233029</v>
      </c>
      <c r="B294" s="8">
        <v>1001</v>
      </c>
      <c r="C294" s="8">
        <v>1</v>
      </c>
      <c r="D294" s="8">
        <v>1001</v>
      </c>
      <c r="E294" s="147" t="s">
        <v>1041</v>
      </c>
      <c r="F294" s="147" t="s">
        <v>1041</v>
      </c>
      <c r="G294" t="s">
        <v>1042</v>
      </c>
      <c r="H294" s="147" t="s">
        <v>1043</v>
      </c>
      <c r="I294">
        <v>1</v>
      </c>
      <c r="J294" s="69">
        <v>4</v>
      </c>
      <c r="K294" s="87">
        <v>1</v>
      </c>
      <c r="L294" s="8">
        <v>999</v>
      </c>
      <c r="M294" s="8">
        <v>0</v>
      </c>
      <c r="N294" s="8"/>
      <c r="P294" s="8"/>
      <c r="Q294" s="8"/>
      <c r="S294" s="89">
        <v>1</v>
      </c>
      <c r="T294" s="8">
        <v>5</v>
      </c>
      <c r="U294" s="89">
        <v>200</v>
      </c>
      <c r="V294" s="87">
        <v>1</v>
      </c>
      <c r="W294" s="8">
        <v>1</v>
      </c>
      <c r="X294" s="8">
        <v>1</v>
      </c>
      <c r="Y294">
        <v>0</v>
      </c>
      <c r="Z294" s="33">
        <v>0</v>
      </c>
      <c r="AA294">
        <v>5</v>
      </c>
      <c r="AB294" s="34">
        <v>7600</v>
      </c>
      <c r="AC294" s="87">
        <v>0</v>
      </c>
      <c r="AD294" s="62">
        <v>0</v>
      </c>
      <c r="AE294" s="90">
        <v>0</v>
      </c>
      <c r="AF294" s="90">
        <v>0</v>
      </c>
      <c r="AG294" s="91"/>
      <c r="AH294" s="91">
        <v>1</v>
      </c>
      <c r="AI294" s="91"/>
      <c r="AJ294" s="91"/>
      <c r="AK294" s="91"/>
      <c r="AL294" s="92">
        <v>1</v>
      </c>
      <c r="AM294" s="92"/>
      <c r="AN294" s="93"/>
      <c r="AO294" s="92"/>
      <c r="AQ294" s="147" t="s">
        <v>1041</v>
      </c>
      <c r="AS294">
        <v>1</v>
      </c>
    </row>
    <row r="295" spans="1:45">
      <c r="A295" s="8">
        <v>233030</v>
      </c>
      <c r="B295" s="8">
        <v>1001</v>
      </c>
      <c r="C295" s="8">
        <v>1</v>
      </c>
      <c r="D295" s="8">
        <v>1001</v>
      </c>
      <c r="E295" s="147" t="s">
        <v>1044</v>
      </c>
      <c r="F295" s="147" t="s">
        <v>1044</v>
      </c>
      <c r="G295" t="s">
        <v>1045</v>
      </c>
      <c r="H295" s="147" t="s">
        <v>1046</v>
      </c>
      <c r="I295">
        <v>1</v>
      </c>
      <c r="J295" s="69">
        <v>4</v>
      </c>
      <c r="K295" s="87">
        <v>1</v>
      </c>
      <c r="L295" s="8">
        <v>999</v>
      </c>
      <c r="M295" s="8">
        <v>0</v>
      </c>
      <c r="N295" s="8"/>
      <c r="P295" s="8"/>
      <c r="Q295" s="8"/>
      <c r="S295" s="89">
        <v>1</v>
      </c>
      <c r="T295" s="8">
        <v>5</v>
      </c>
      <c r="U295" s="89">
        <v>200</v>
      </c>
      <c r="V295" s="87">
        <v>1</v>
      </c>
      <c r="W295" s="8">
        <v>1</v>
      </c>
      <c r="X295" s="8">
        <v>1</v>
      </c>
      <c r="Y295">
        <v>0</v>
      </c>
      <c r="Z295" s="33">
        <v>0</v>
      </c>
      <c r="AA295">
        <v>5</v>
      </c>
      <c r="AB295" s="34">
        <v>7600</v>
      </c>
      <c r="AC295" s="87">
        <v>0</v>
      </c>
      <c r="AD295" s="62">
        <v>0</v>
      </c>
      <c r="AE295" s="90">
        <v>0</v>
      </c>
      <c r="AF295" s="90">
        <v>0</v>
      </c>
      <c r="AG295" s="91"/>
      <c r="AH295" s="91">
        <v>1</v>
      </c>
      <c r="AI295" s="91"/>
      <c r="AJ295" s="91"/>
      <c r="AK295" s="91"/>
      <c r="AL295" s="92">
        <v>1</v>
      </c>
      <c r="AM295" s="92"/>
      <c r="AN295" s="93"/>
      <c r="AO295" s="92"/>
      <c r="AQ295" s="147" t="s">
        <v>1044</v>
      </c>
      <c r="AS295">
        <v>1</v>
      </c>
    </row>
    <row r="296" spans="1:45">
      <c r="A296" s="8">
        <v>233031</v>
      </c>
      <c r="B296" s="8">
        <v>1001</v>
      </c>
      <c r="C296" s="8">
        <v>1</v>
      </c>
      <c r="D296" s="8">
        <v>1001</v>
      </c>
      <c r="E296" t="s">
        <v>1047</v>
      </c>
      <c r="F296" t="s">
        <v>1047</v>
      </c>
      <c r="G296" t="s">
        <v>1048</v>
      </c>
      <c r="H296" s="147" t="s">
        <v>1049</v>
      </c>
      <c r="I296">
        <v>1</v>
      </c>
      <c r="J296" s="69">
        <v>4</v>
      </c>
      <c r="K296" s="87">
        <v>1</v>
      </c>
      <c r="L296" s="8">
        <v>999</v>
      </c>
      <c r="M296" s="8">
        <v>0</v>
      </c>
      <c r="N296" s="8"/>
      <c r="P296" s="8"/>
      <c r="Q296" s="8"/>
      <c r="S296" s="89">
        <v>1</v>
      </c>
      <c r="T296" s="8">
        <v>5</v>
      </c>
      <c r="U296" s="89">
        <v>200</v>
      </c>
      <c r="V296" s="87">
        <v>1</v>
      </c>
      <c r="W296" s="8">
        <v>1</v>
      </c>
      <c r="X296" s="8">
        <v>1</v>
      </c>
      <c r="Y296">
        <v>0</v>
      </c>
      <c r="Z296" s="33">
        <v>0</v>
      </c>
      <c r="AA296">
        <v>5</v>
      </c>
      <c r="AB296" s="34">
        <v>7600</v>
      </c>
      <c r="AC296" s="87">
        <v>0</v>
      </c>
      <c r="AD296" s="62">
        <v>0</v>
      </c>
      <c r="AE296" s="90">
        <v>0</v>
      </c>
      <c r="AF296" s="90">
        <v>0</v>
      </c>
      <c r="AG296" s="91"/>
      <c r="AH296" s="91">
        <v>1</v>
      </c>
      <c r="AI296" s="91"/>
      <c r="AJ296" s="91"/>
      <c r="AK296" s="91"/>
      <c r="AL296" s="92">
        <v>1</v>
      </c>
      <c r="AM296" s="92"/>
      <c r="AN296" s="93"/>
      <c r="AO296" s="92"/>
      <c r="AQ296" t="s">
        <v>1047</v>
      </c>
      <c r="AS296">
        <v>1</v>
      </c>
    </row>
    <row r="297" spans="1:45">
      <c r="A297" s="8">
        <v>233032</v>
      </c>
      <c r="B297" s="8">
        <v>1001</v>
      </c>
      <c r="C297" s="8">
        <v>1</v>
      </c>
      <c r="D297" s="8">
        <v>1001</v>
      </c>
      <c r="E297" t="s">
        <v>1050</v>
      </c>
      <c r="F297" t="s">
        <v>1050</v>
      </c>
      <c r="G297" t="s">
        <v>1051</v>
      </c>
      <c r="H297" s="147" t="s">
        <v>1052</v>
      </c>
      <c r="I297">
        <v>1</v>
      </c>
      <c r="J297" s="69">
        <v>4</v>
      </c>
      <c r="K297" s="87">
        <v>1</v>
      </c>
      <c r="L297" s="8">
        <v>999</v>
      </c>
      <c r="M297" s="8">
        <v>0</v>
      </c>
      <c r="N297" s="8"/>
      <c r="P297" s="8"/>
      <c r="Q297" s="8"/>
      <c r="S297" s="89">
        <v>1</v>
      </c>
      <c r="T297" s="8">
        <v>5</v>
      </c>
      <c r="U297" s="89">
        <v>200</v>
      </c>
      <c r="V297" s="87">
        <v>1</v>
      </c>
      <c r="W297" s="8">
        <v>1</v>
      </c>
      <c r="X297" s="8">
        <v>1</v>
      </c>
      <c r="Y297">
        <v>0</v>
      </c>
      <c r="Z297" s="33">
        <v>0</v>
      </c>
      <c r="AA297">
        <v>5</v>
      </c>
      <c r="AB297" s="34">
        <v>7600</v>
      </c>
      <c r="AC297" s="87">
        <v>0</v>
      </c>
      <c r="AD297" s="62">
        <v>0</v>
      </c>
      <c r="AE297" s="90">
        <v>0</v>
      </c>
      <c r="AF297" s="90">
        <v>0</v>
      </c>
      <c r="AG297" s="91"/>
      <c r="AH297" s="91">
        <v>1</v>
      </c>
      <c r="AI297" s="91"/>
      <c r="AJ297" s="91"/>
      <c r="AK297" s="91"/>
      <c r="AL297" s="92">
        <v>1</v>
      </c>
      <c r="AM297" s="92"/>
      <c r="AN297" s="93"/>
      <c r="AO297" s="92"/>
      <c r="AQ297" t="s">
        <v>1050</v>
      </c>
      <c r="AS297">
        <v>1</v>
      </c>
    </row>
    <row r="298" spans="1:45">
      <c r="A298" s="8">
        <v>233033</v>
      </c>
      <c r="B298" s="8">
        <v>1001</v>
      </c>
      <c r="C298" s="8">
        <v>1</v>
      </c>
      <c r="D298" s="8">
        <v>1001</v>
      </c>
      <c r="E298" t="s">
        <v>1053</v>
      </c>
      <c r="F298" t="s">
        <v>1053</v>
      </c>
      <c r="G298" t="s">
        <v>1054</v>
      </c>
      <c r="H298" s="147" t="s">
        <v>1055</v>
      </c>
      <c r="I298">
        <v>1</v>
      </c>
      <c r="J298" s="69">
        <v>4</v>
      </c>
      <c r="K298" s="87">
        <v>1</v>
      </c>
      <c r="L298" s="8">
        <v>999</v>
      </c>
      <c r="M298" s="8">
        <v>0</v>
      </c>
      <c r="N298" s="8"/>
      <c r="P298" s="8"/>
      <c r="Q298" s="8"/>
      <c r="S298" s="89">
        <v>1</v>
      </c>
      <c r="T298" s="8">
        <v>5</v>
      </c>
      <c r="U298" s="89">
        <v>200</v>
      </c>
      <c r="V298" s="87">
        <v>1</v>
      </c>
      <c r="W298" s="8">
        <v>1</v>
      </c>
      <c r="X298" s="8">
        <v>1</v>
      </c>
      <c r="Y298">
        <v>0</v>
      </c>
      <c r="Z298" s="33">
        <v>0</v>
      </c>
      <c r="AA298">
        <v>5</v>
      </c>
      <c r="AB298" s="34">
        <v>7600</v>
      </c>
      <c r="AC298" s="87">
        <v>0</v>
      </c>
      <c r="AD298" s="62">
        <v>0</v>
      </c>
      <c r="AE298" s="90">
        <v>0</v>
      </c>
      <c r="AF298" s="90">
        <v>0</v>
      </c>
      <c r="AG298" s="91"/>
      <c r="AH298" s="91">
        <v>1</v>
      </c>
      <c r="AI298" s="91"/>
      <c r="AJ298" s="91"/>
      <c r="AK298" s="91"/>
      <c r="AL298" s="92">
        <v>1</v>
      </c>
      <c r="AM298" s="92"/>
      <c r="AN298" s="93"/>
      <c r="AO298" s="92"/>
      <c r="AQ298" t="s">
        <v>1053</v>
      </c>
      <c r="AS298">
        <v>1</v>
      </c>
    </row>
    <row r="299" spans="1:45">
      <c r="A299" s="8">
        <v>233034</v>
      </c>
      <c r="B299" s="8">
        <v>1001</v>
      </c>
      <c r="C299" s="8">
        <v>1</v>
      </c>
      <c r="D299" s="8">
        <v>1001</v>
      </c>
      <c r="E299" t="s">
        <v>1056</v>
      </c>
      <c r="F299" t="s">
        <v>1056</v>
      </c>
      <c r="G299" t="s">
        <v>1057</v>
      </c>
      <c r="H299" s="147" t="s">
        <v>1058</v>
      </c>
      <c r="I299">
        <v>1</v>
      </c>
      <c r="J299" s="69">
        <v>4</v>
      </c>
      <c r="K299" s="87">
        <v>1</v>
      </c>
      <c r="L299" s="8">
        <v>999</v>
      </c>
      <c r="M299" s="8">
        <v>0</v>
      </c>
      <c r="N299" s="8"/>
      <c r="P299" s="8"/>
      <c r="Q299" s="8"/>
      <c r="S299" s="89">
        <v>1</v>
      </c>
      <c r="T299" s="8">
        <v>5</v>
      </c>
      <c r="U299" s="89">
        <v>200</v>
      </c>
      <c r="V299" s="87">
        <v>1</v>
      </c>
      <c r="W299" s="8">
        <v>1</v>
      </c>
      <c r="X299" s="8">
        <v>1</v>
      </c>
      <c r="Y299">
        <v>0</v>
      </c>
      <c r="Z299" s="33">
        <v>0</v>
      </c>
      <c r="AA299">
        <v>5</v>
      </c>
      <c r="AB299" s="34">
        <v>7600</v>
      </c>
      <c r="AC299" s="87">
        <v>0</v>
      </c>
      <c r="AD299" s="62">
        <v>0</v>
      </c>
      <c r="AE299" s="90">
        <v>0</v>
      </c>
      <c r="AF299" s="90">
        <v>0</v>
      </c>
      <c r="AG299" s="91"/>
      <c r="AH299" s="91">
        <v>1</v>
      </c>
      <c r="AI299" s="91"/>
      <c r="AJ299" s="91"/>
      <c r="AK299" s="91"/>
      <c r="AL299" s="92">
        <v>1</v>
      </c>
      <c r="AM299" s="92"/>
      <c r="AN299" s="93"/>
      <c r="AO299" s="92"/>
      <c r="AQ299" t="s">
        <v>1056</v>
      </c>
      <c r="AS299">
        <v>1</v>
      </c>
    </row>
    <row r="300" spans="1:45">
      <c r="A300" s="8">
        <v>233035</v>
      </c>
      <c r="B300" s="8">
        <v>1001</v>
      </c>
      <c r="C300" s="8">
        <v>1</v>
      </c>
      <c r="D300" s="8">
        <v>1001</v>
      </c>
      <c r="E300" t="s">
        <v>1059</v>
      </c>
      <c r="F300" t="s">
        <v>1059</v>
      </c>
      <c r="G300" t="s">
        <v>1060</v>
      </c>
      <c r="H300" s="147" t="s">
        <v>1061</v>
      </c>
      <c r="I300">
        <v>1</v>
      </c>
      <c r="J300" s="69">
        <v>4</v>
      </c>
      <c r="K300" s="87">
        <v>1</v>
      </c>
      <c r="L300" s="8">
        <v>999</v>
      </c>
      <c r="M300" s="8">
        <v>0</v>
      </c>
      <c r="N300" s="8"/>
      <c r="P300" s="8"/>
      <c r="Q300" s="8"/>
      <c r="S300" s="89">
        <v>1</v>
      </c>
      <c r="T300" s="8">
        <v>5</v>
      </c>
      <c r="U300" s="89">
        <v>200</v>
      </c>
      <c r="V300" s="87">
        <v>1</v>
      </c>
      <c r="W300" s="8">
        <v>1</v>
      </c>
      <c r="X300" s="8">
        <v>1</v>
      </c>
      <c r="Y300">
        <v>0</v>
      </c>
      <c r="Z300" s="33">
        <v>0</v>
      </c>
      <c r="AA300">
        <v>5</v>
      </c>
      <c r="AB300" s="34">
        <v>7600</v>
      </c>
      <c r="AC300" s="87">
        <v>0</v>
      </c>
      <c r="AD300" s="62">
        <v>0</v>
      </c>
      <c r="AE300" s="90">
        <v>0</v>
      </c>
      <c r="AF300" s="90">
        <v>0</v>
      </c>
      <c r="AG300" s="91"/>
      <c r="AH300" s="91">
        <v>1</v>
      </c>
      <c r="AI300" s="91"/>
      <c r="AJ300" s="91"/>
      <c r="AK300" s="91"/>
      <c r="AL300" s="92">
        <v>1</v>
      </c>
      <c r="AM300" s="92"/>
      <c r="AN300" s="93"/>
      <c r="AO300" s="92"/>
      <c r="AQ300" t="s">
        <v>1059</v>
      </c>
      <c r="AS300">
        <v>1</v>
      </c>
    </row>
    <row r="301" spans="1:45">
      <c r="A301" s="8">
        <v>233036</v>
      </c>
      <c r="B301" s="8">
        <v>1001</v>
      </c>
      <c r="C301" s="8">
        <v>1</v>
      </c>
      <c r="D301" s="8">
        <v>1001</v>
      </c>
      <c r="E301" t="s">
        <v>1062</v>
      </c>
      <c r="F301" t="s">
        <v>1062</v>
      </c>
      <c r="G301" t="s">
        <v>1063</v>
      </c>
      <c r="H301" s="147" t="s">
        <v>1064</v>
      </c>
      <c r="I301">
        <v>1</v>
      </c>
      <c r="J301" s="69">
        <v>4</v>
      </c>
      <c r="K301" s="87">
        <v>1</v>
      </c>
      <c r="L301" s="8">
        <v>999</v>
      </c>
      <c r="M301" s="8">
        <v>0</v>
      </c>
      <c r="N301" s="8"/>
      <c r="P301" s="8"/>
      <c r="Q301" s="8"/>
      <c r="S301" s="89">
        <v>1</v>
      </c>
      <c r="T301" s="8">
        <v>5</v>
      </c>
      <c r="U301" s="89">
        <v>200</v>
      </c>
      <c r="V301" s="87">
        <v>1</v>
      </c>
      <c r="W301" s="8">
        <v>1</v>
      </c>
      <c r="X301" s="8">
        <v>1</v>
      </c>
      <c r="Y301">
        <v>0</v>
      </c>
      <c r="Z301" s="33">
        <v>0</v>
      </c>
      <c r="AA301">
        <v>5</v>
      </c>
      <c r="AB301" s="34">
        <v>7600</v>
      </c>
      <c r="AC301" s="87">
        <v>0</v>
      </c>
      <c r="AD301" s="62">
        <v>0</v>
      </c>
      <c r="AE301" s="90">
        <v>0</v>
      </c>
      <c r="AF301" s="90">
        <v>0</v>
      </c>
      <c r="AG301" s="91"/>
      <c r="AH301" s="91">
        <v>1</v>
      </c>
      <c r="AI301" s="91"/>
      <c r="AJ301" s="91"/>
      <c r="AK301" s="91"/>
      <c r="AL301" s="92">
        <v>1</v>
      </c>
      <c r="AM301" s="92"/>
      <c r="AN301" s="93"/>
      <c r="AO301" s="92"/>
      <c r="AQ301" t="s">
        <v>1062</v>
      </c>
      <c r="AS301">
        <v>1</v>
      </c>
    </row>
    <row r="302" spans="1:45">
      <c r="A302" s="8">
        <v>233037</v>
      </c>
      <c r="B302" s="8">
        <v>1001</v>
      </c>
      <c r="C302" s="8">
        <v>1</v>
      </c>
      <c r="D302" s="8">
        <v>1001</v>
      </c>
      <c r="E302" t="s">
        <v>1065</v>
      </c>
      <c r="F302" t="s">
        <v>1065</v>
      </c>
      <c r="G302" t="s">
        <v>1066</v>
      </c>
      <c r="H302" s="147" t="s">
        <v>1055</v>
      </c>
      <c r="I302">
        <v>1</v>
      </c>
      <c r="J302" s="69">
        <v>4</v>
      </c>
      <c r="K302" s="87">
        <v>1</v>
      </c>
      <c r="L302" s="8">
        <v>999</v>
      </c>
      <c r="M302" s="8">
        <v>0</v>
      </c>
      <c r="N302" s="8"/>
      <c r="P302" s="8"/>
      <c r="Q302" s="8"/>
      <c r="S302" s="89">
        <v>1</v>
      </c>
      <c r="T302" s="8">
        <v>5</v>
      </c>
      <c r="U302" s="89">
        <v>200</v>
      </c>
      <c r="V302" s="87">
        <v>1</v>
      </c>
      <c r="W302" s="8">
        <v>1</v>
      </c>
      <c r="X302" s="8">
        <v>1</v>
      </c>
      <c r="Y302">
        <v>0</v>
      </c>
      <c r="Z302" s="33">
        <v>0</v>
      </c>
      <c r="AA302">
        <v>5</v>
      </c>
      <c r="AB302" s="34">
        <v>7600</v>
      </c>
      <c r="AC302" s="87">
        <v>0</v>
      </c>
      <c r="AD302" s="62">
        <v>0</v>
      </c>
      <c r="AE302" s="90">
        <v>0</v>
      </c>
      <c r="AF302" s="90">
        <v>0</v>
      </c>
      <c r="AG302" s="91"/>
      <c r="AH302" s="91">
        <v>1</v>
      </c>
      <c r="AI302" s="91"/>
      <c r="AJ302" s="91"/>
      <c r="AK302" s="91"/>
      <c r="AL302" s="92">
        <v>1</v>
      </c>
      <c r="AM302" s="92"/>
      <c r="AN302" s="93"/>
      <c r="AO302" s="92"/>
      <c r="AQ302" t="s">
        <v>1065</v>
      </c>
      <c r="AS302">
        <v>1</v>
      </c>
    </row>
    <row r="303" spans="1:45">
      <c r="A303" s="8">
        <v>233038</v>
      </c>
      <c r="B303" s="8">
        <v>1001</v>
      </c>
      <c r="C303" s="8">
        <v>1</v>
      </c>
      <c r="D303" s="8">
        <v>1001</v>
      </c>
      <c r="E303" t="s">
        <v>1067</v>
      </c>
      <c r="F303" t="s">
        <v>1067</v>
      </c>
      <c r="G303" t="s">
        <v>1068</v>
      </c>
      <c r="H303" s="147" t="s">
        <v>1058</v>
      </c>
      <c r="I303">
        <v>1</v>
      </c>
      <c r="J303" s="69">
        <v>4</v>
      </c>
      <c r="K303" s="87">
        <v>1</v>
      </c>
      <c r="L303" s="8">
        <v>999</v>
      </c>
      <c r="M303" s="8">
        <v>0</v>
      </c>
      <c r="N303" s="8"/>
      <c r="P303" s="8"/>
      <c r="Q303" s="8"/>
      <c r="S303" s="89">
        <v>1</v>
      </c>
      <c r="T303" s="8">
        <v>5</v>
      </c>
      <c r="U303" s="89">
        <v>200</v>
      </c>
      <c r="V303" s="87">
        <v>1</v>
      </c>
      <c r="W303" s="8">
        <v>1</v>
      </c>
      <c r="X303" s="8">
        <v>1</v>
      </c>
      <c r="Y303">
        <v>0</v>
      </c>
      <c r="Z303" s="33">
        <v>0</v>
      </c>
      <c r="AA303">
        <v>5</v>
      </c>
      <c r="AB303" s="34">
        <v>7600</v>
      </c>
      <c r="AC303" s="87">
        <v>0</v>
      </c>
      <c r="AD303" s="62">
        <v>0</v>
      </c>
      <c r="AE303" s="90">
        <v>0</v>
      </c>
      <c r="AF303" s="90">
        <v>0</v>
      </c>
      <c r="AG303" s="91"/>
      <c r="AH303" s="91">
        <v>1</v>
      </c>
      <c r="AI303" s="91"/>
      <c r="AJ303" s="91"/>
      <c r="AK303" s="91"/>
      <c r="AL303" s="92">
        <v>1</v>
      </c>
      <c r="AM303" s="92"/>
      <c r="AN303" s="93"/>
      <c r="AO303" s="92"/>
      <c r="AQ303" t="s">
        <v>1067</v>
      </c>
      <c r="AS303">
        <v>1</v>
      </c>
    </row>
    <row r="304" spans="1:45">
      <c r="A304" s="8">
        <v>233039</v>
      </c>
      <c r="B304" s="8">
        <v>1001</v>
      </c>
      <c r="C304" s="8">
        <v>1</v>
      </c>
      <c r="D304" s="8">
        <v>1001</v>
      </c>
      <c r="E304" t="s">
        <v>1069</v>
      </c>
      <c r="F304" t="s">
        <v>1069</v>
      </c>
      <c r="G304" t="s">
        <v>1070</v>
      </c>
      <c r="H304" s="147" t="s">
        <v>1061</v>
      </c>
      <c r="I304">
        <v>1</v>
      </c>
      <c r="J304" s="69">
        <v>4</v>
      </c>
      <c r="K304" s="87">
        <v>1</v>
      </c>
      <c r="L304" s="8">
        <v>999</v>
      </c>
      <c r="M304" s="8">
        <v>0</v>
      </c>
      <c r="N304" s="8"/>
      <c r="P304" s="8"/>
      <c r="Q304" s="8"/>
      <c r="S304" s="89">
        <v>1</v>
      </c>
      <c r="T304" s="8">
        <v>5</v>
      </c>
      <c r="U304" s="89">
        <v>200</v>
      </c>
      <c r="V304" s="87">
        <v>1</v>
      </c>
      <c r="W304" s="8">
        <v>1</v>
      </c>
      <c r="X304" s="8">
        <v>1</v>
      </c>
      <c r="Y304">
        <v>0</v>
      </c>
      <c r="Z304" s="33">
        <v>0</v>
      </c>
      <c r="AA304">
        <v>5</v>
      </c>
      <c r="AB304" s="34">
        <v>7600</v>
      </c>
      <c r="AC304" s="87">
        <v>0</v>
      </c>
      <c r="AD304" s="62">
        <v>0</v>
      </c>
      <c r="AE304" s="90">
        <v>0</v>
      </c>
      <c r="AF304" s="90">
        <v>0</v>
      </c>
      <c r="AG304" s="91"/>
      <c r="AH304" s="91">
        <v>1</v>
      </c>
      <c r="AI304" s="91"/>
      <c r="AJ304" s="91"/>
      <c r="AK304" s="91"/>
      <c r="AL304" s="92">
        <v>1</v>
      </c>
      <c r="AM304" s="92"/>
      <c r="AN304" s="93"/>
      <c r="AO304" s="92"/>
      <c r="AQ304" t="s">
        <v>1069</v>
      </c>
      <c r="AS304">
        <v>1</v>
      </c>
    </row>
    <row r="305" spans="1:45">
      <c r="A305" s="8">
        <v>233040</v>
      </c>
      <c r="B305" s="8">
        <v>1001</v>
      </c>
      <c r="C305" s="8">
        <v>1</v>
      </c>
      <c r="D305" s="8">
        <v>1001</v>
      </c>
      <c r="E305" t="s">
        <v>1071</v>
      </c>
      <c r="F305" t="s">
        <v>1071</v>
      </c>
      <c r="G305" t="s">
        <v>1072</v>
      </c>
      <c r="H305" s="147" t="s">
        <v>1064</v>
      </c>
      <c r="I305">
        <v>1</v>
      </c>
      <c r="J305" s="69">
        <v>4</v>
      </c>
      <c r="K305" s="87">
        <v>1</v>
      </c>
      <c r="L305" s="8">
        <v>999</v>
      </c>
      <c r="M305" s="8">
        <v>0</v>
      </c>
      <c r="N305" s="8"/>
      <c r="P305" s="8"/>
      <c r="Q305" s="8"/>
      <c r="S305" s="89">
        <v>1</v>
      </c>
      <c r="T305" s="8">
        <v>5</v>
      </c>
      <c r="U305" s="89">
        <v>200</v>
      </c>
      <c r="V305" s="87">
        <v>1</v>
      </c>
      <c r="W305" s="8">
        <v>1</v>
      </c>
      <c r="X305" s="8">
        <v>1</v>
      </c>
      <c r="Y305">
        <v>0</v>
      </c>
      <c r="Z305" s="33">
        <v>0</v>
      </c>
      <c r="AA305">
        <v>5</v>
      </c>
      <c r="AB305" s="34">
        <v>7600</v>
      </c>
      <c r="AC305" s="87">
        <v>0</v>
      </c>
      <c r="AD305" s="62">
        <v>0</v>
      </c>
      <c r="AE305" s="90">
        <v>0</v>
      </c>
      <c r="AF305" s="90">
        <v>0</v>
      </c>
      <c r="AG305" s="91"/>
      <c r="AH305" s="91">
        <v>1</v>
      </c>
      <c r="AI305" s="91"/>
      <c r="AJ305" s="91"/>
      <c r="AK305" s="91"/>
      <c r="AL305" s="92">
        <v>1</v>
      </c>
      <c r="AM305" s="92"/>
      <c r="AN305" s="93"/>
      <c r="AO305" s="92"/>
      <c r="AQ305" t="s">
        <v>1071</v>
      </c>
      <c r="AS305">
        <v>1</v>
      </c>
    </row>
    <row r="306" spans="1:45">
      <c r="A306" s="8">
        <v>233041</v>
      </c>
      <c r="B306" s="8">
        <v>1001</v>
      </c>
      <c r="C306" s="8">
        <v>1</v>
      </c>
      <c r="D306" s="8">
        <v>1001</v>
      </c>
      <c r="E306" t="s">
        <v>1073</v>
      </c>
      <c r="F306" t="s">
        <v>1073</v>
      </c>
      <c r="G306" t="s">
        <v>1074</v>
      </c>
      <c r="H306" s="147" t="s">
        <v>1075</v>
      </c>
      <c r="I306">
        <v>1</v>
      </c>
      <c r="J306" s="69">
        <v>5</v>
      </c>
      <c r="K306" s="87">
        <v>1</v>
      </c>
      <c r="L306" s="8">
        <v>999</v>
      </c>
      <c r="M306" s="8">
        <v>0</v>
      </c>
      <c r="N306" s="8"/>
      <c r="P306" s="8"/>
      <c r="Q306" s="8"/>
      <c r="S306" s="89">
        <v>1</v>
      </c>
      <c r="T306" s="8">
        <v>5</v>
      </c>
      <c r="U306" s="89">
        <v>200</v>
      </c>
      <c r="V306" s="87">
        <v>1</v>
      </c>
      <c r="W306" s="8">
        <v>1</v>
      </c>
      <c r="X306" s="8">
        <v>1</v>
      </c>
      <c r="Y306">
        <v>0</v>
      </c>
      <c r="Z306" s="33">
        <v>0</v>
      </c>
      <c r="AA306">
        <v>5</v>
      </c>
      <c r="AB306" s="34">
        <v>7600</v>
      </c>
      <c r="AC306" s="87">
        <v>0</v>
      </c>
      <c r="AD306" s="62">
        <v>0</v>
      </c>
      <c r="AE306" s="90">
        <v>0</v>
      </c>
      <c r="AF306" s="90">
        <v>0</v>
      </c>
      <c r="AG306" s="91"/>
      <c r="AH306" s="91">
        <v>1</v>
      </c>
      <c r="AI306" s="91"/>
      <c r="AJ306" s="91"/>
      <c r="AK306" s="91"/>
      <c r="AL306" s="92">
        <v>1</v>
      </c>
      <c r="AM306" s="92"/>
      <c r="AN306" s="93"/>
      <c r="AO306" s="92"/>
      <c r="AQ306" t="s">
        <v>1073</v>
      </c>
      <c r="AS306">
        <v>1</v>
      </c>
    </row>
    <row r="307" spans="1:45">
      <c r="A307" s="8">
        <v>233042</v>
      </c>
      <c r="B307" s="8">
        <v>1001</v>
      </c>
      <c r="C307" s="8">
        <v>1</v>
      </c>
      <c r="D307" s="8">
        <v>1001</v>
      </c>
      <c r="E307" t="s">
        <v>1076</v>
      </c>
      <c r="F307" t="s">
        <v>1076</v>
      </c>
      <c r="G307" t="s">
        <v>1077</v>
      </c>
      <c r="H307" s="147" t="s">
        <v>1078</v>
      </c>
      <c r="I307">
        <v>1</v>
      </c>
      <c r="J307" s="69">
        <v>5</v>
      </c>
      <c r="K307" s="87">
        <v>1</v>
      </c>
      <c r="L307" s="8">
        <v>999</v>
      </c>
      <c r="M307" s="8">
        <v>0</v>
      </c>
      <c r="N307" s="8"/>
      <c r="P307" s="8"/>
      <c r="Q307" s="8"/>
      <c r="S307" s="89">
        <v>1</v>
      </c>
      <c r="T307" s="8">
        <v>5</v>
      </c>
      <c r="U307" s="89">
        <v>200</v>
      </c>
      <c r="V307" s="87">
        <v>1</v>
      </c>
      <c r="W307" s="8">
        <v>1</v>
      </c>
      <c r="X307" s="8">
        <v>1</v>
      </c>
      <c r="Y307">
        <v>0</v>
      </c>
      <c r="Z307" s="33">
        <v>0</v>
      </c>
      <c r="AA307">
        <v>5</v>
      </c>
      <c r="AB307" s="34">
        <v>7600</v>
      </c>
      <c r="AC307" s="87">
        <v>0</v>
      </c>
      <c r="AD307" s="62">
        <v>0</v>
      </c>
      <c r="AE307" s="90">
        <v>0</v>
      </c>
      <c r="AF307" s="90">
        <v>0</v>
      </c>
      <c r="AG307" s="91"/>
      <c r="AH307" s="91">
        <v>1</v>
      </c>
      <c r="AI307" s="91"/>
      <c r="AJ307" s="91"/>
      <c r="AK307" s="91"/>
      <c r="AL307" s="92">
        <v>1</v>
      </c>
      <c r="AM307" s="92"/>
      <c r="AN307" s="93"/>
      <c r="AO307" s="92"/>
      <c r="AQ307" t="s">
        <v>1076</v>
      </c>
      <c r="AS307">
        <v>1</v>
      </c>
    </row>
    <row r="308" spans="1:45">
      <c r="A308" s="8">
        <v>233043</v>
      </c>
      <c r="B308" s="8">
        <v>1001</v>
      </c>
      <c r="C308" s="8">
        <v>1</v>
      </c>
      <c r="D308" s="8">
        <v>1001</v>
      </c>
      <c r="E308" t="s">
        <v>1079</v>
      </c>
      <c r="F308" t="s">
        <v>1079</v>
      </c>
      <c r="G308" t="s">
        <v>1080</v>
      </c>
      <c r="H308" s="147" t="s">
        <v>1081</v>
      </c>
      <c r="I308">
        <v>1</v>
      </c>
      <c r="J308" s="69">
        <v>5</v>
      </c>
      <c r="K308" s="87">
        <v>1</v>
      </c>
      <c r="L308" s="8">
        <v>999</v>
      </c>
      <c r="M308" s="8">
        <v>0</v>
      </c>
      <c r="N308" s="8"/>
      <c r="P308" s="8"/>
      <c r="Q308" s="8"/>
      <c r="S308" s="89">
        <v>1</v>
      </c>
      <c r="T308" s="8">
        <v>5</v>
      </c>
      <c r="U308" s="89">
        <v>200</v>
      </c>
      <c r="V308" s="87">
        <v>1</v>
      </c>
      <c r="W308" s="8">
        <v>1</v>
      </c>
      <c r="X308" s="8">
        <v>1</v>
      </c>
      <c r="Y308">
        <v>0</v>
      </c>
      <c r="Z308" s="33">
        <v>0</v>
      </c>
      <c r="AA308">
        <v>5</v>
      </c>
      <c r="AB308" s="34">
        <v>7600</v>
      </c>
      <c r="AC308" s="87">
        <v>0</v>
      </c>
      <c r="AD308" s="62">
        <v>0</v>
      </c>
      <c r="AE308" s="90">
        <v>0</v>
      </c>
      <c r="AF308" s="90">
        <v>0</v>
      </c>
      <c r="AG308" s="91"/>
      <c r="AH308" s="91">
        <v>1</v>
      </c>
      <c r="AI308" s="91"/>
      <c r="AJ308" s="91"/>
      <c r="AK308" s="91"/>
      <c r="AL308" s="92">
        <v>1</v>
      </c>
      <c r="AM308" s="92"/>
      <c r="AN308" s="93"/>
      <c r="AO308" s="92"/>
      <c r="AQ308" t="s">
        <v>1079</v>
      </c>
      <c r="AS308">
        <v>1</v>
      </c>
    </row>
    <row r="309" spans="1:45">
      <c r="A309" s="8">
        <v>233044</v>
      </c>
      <c r="B309" s="8">
        <v>1001</v>
      </c>
      <c r="C309" s="8">
        <v>1</v>
      </c>
      <c r="D309" s="8">
        <v>1001</v>
      </c>
      <c r="E309" t="s">
        <v>1082</v>
      </c>
      <c r="F309" t="s">
        <v>1082</v>
      </c>
      <c r="G309" t="s">
        <v>1083</v>
      </c>
      <c r="H309" s="147" t="s">
        <v>1084</v>
      </c>
      <c r="I309">
        <v>1</v>
      </c>
      <c r="J309" s="69">
        <v>5</v>
      </c>
      <c r="K309" s="87">
        <v>1</v>
      </c>
      <c r="L309" s="8">
        <v>999</v>
      </c>
      <c r="M309" s="8">
        <v>0</v>
      </c>
      <c r="N309" s="8"/>
      <c r="P309" s="8"/>
      <c r="Q309" s="8"/>
      <c r="S309" s="89">
        <v>1</v>
      </c>
      <c r="T309" s="8">
        <v>5</v>
      </c>
      <c r="U309" s="89">
        <v>200</v>
      </c>
      <c r="V309" s="87">
        <v>1</v>
      </c>
      <c r="W309" s="8">
        <v>1</v>
      </c>
      <c r="X309" s="8">
        <v>1</v>
      </c>
      <c r="Y309">
        <v>0</v>
      </c>
      <c r="Z309" s="33">
        <v>0</v>
      </c>
      <c r="AA309">
        <v>5</v>
      </c>
      <c r="AB309" s="34">
        <v>7600</v>
      </c>
      <c r="AC309" s="87">
        <v>0</v>
      </c>
      <c r="AD309" s="62">
        <v>0</v>
      </c>
      <c r="AE309" s="90">
        <v>0</v>
      </c>
      <c r="AF309" s="90">
        <v>0</v>
      </c>
      <c r="AG309" s="91"/>
      <c r="AH309" s="91">
        <v>1</v>
      </c>
      <c r="AI309" s="91"/>
      <c r="AJ309" s="91"/>
      <c r="AK309" s="91"/>
      <c r="AL309" s="92">
        <v>1</v>
      </c>
      <c r="AM309" s="92"/>
      <c r="AN309" s="93"/>
      <c r="AO309" s="92"/>
      <c r="AQ309" t="s">
        <v>1082</v>
      </c>
      <c r="AS309">
        <v>1</v>
      </c>
    </row>
    <row r="310" spans="1:45">
      <c r="A310" s="8">
        <v>233045</v>
      </c>
      <c r="B310" s="8">
        <v>1001</v>
      </c>
      <c r="C310" s="8">
        <v>1</v>
      </c>
      <c r="D310" s="8">
        <v>1001</v>
      </c>
      <c r="E310" t="s">
        <v>1085</v>
      </c>
      <c r="F310" t="s">
        <v>1085</v>
      </c>
      <c r="G310" t="s">
        <v>1086</v>
      </c>
      <c r="H310" s="147" t="s">
        <v>1087</v>
      </c>
      <c r="I310">
        <v>1</v>
      </c>
      <c r="J310" s="69">
        <v>5</v>
      </c>
      <c r="K310" s="87">
        <v>1</v>
      </c>
      <c r="L310" s="8">
        <v>999</v>
      </c>
      <c r="M310" s="8">
        <v>0</v>
      </c>
      <c r="N310" s="8"/>
      <c r="P310" s="8"/>
      <c r="Q310" s="8"/>
      <c r="S310" s="89">
        <v>1</v>
      </c>
      <c r="T310" s="8">
        <v>5</v>
      </c>
      <c r="U310" s="89">
        <v>200</v>
      </c>
      <c r="V310" s="87">
        <v>1</v>
      </c>
      <c r="W310" s="8">
        <v>1</v>
      </c>
      <c r="X310" s="8">
        <v>1</v>
      </c>
      <c r="Y310">
        <v>0</v>
      </c>
      <c r="Z310" s="33">
        <v>0</v>
      </c>
      <c r="AA310">
        <v>5</v>
      </c>
      <c r="AB310" s="34">
        <v>7600</v>
      </c>
      <c r="AC310" s="87">
        <v>0</v>
      </c>
      <c r="AD310" s="62">
        <v>0</v>
      </c>
      <c r="AE310" s="90">
        <v>0</v>
      </c>
      <c r="AF310" s="90">
        <v>0</v>
      </c>
      <c r="AG310" s="91"/>
      <c r="AH310" s="91">
        <v>1</v>
      </c>
      <c r="AI310" s="91"/>
      <c r="AJ310" s="91"/>
      <c r="AK310" s="91"/>
      <c r="AL310" s="92">
        <v>1</v>
      </c>
      <c r="AM310" s="92"/>
      <c r="AN310" s="93"/>
      <c r="AO310" s="92"/>
      <c r="AQ310" t="s">
        <v>1085</v>
      </c>
      <c r="AS310">
        <v>1</v>
      </c>
    </row>
    <row r="311" spans="1:45">
      <c r="A311" s="8">
        <v>233046</v>
      </c>
      <c r="B311" s="8">
        <v>1001</v>
      </c>
      <c r="C311" s="8">
        <v>1</v>
      </c>
      <c r="D311" s="8">
        <v>1001</v>
      </c>
      <c r="E311" t="s">
        <v>1088</v>
      </c>
      <c r="F311" t="s">
        <v>1088</v>
      </c>
      <c r="G311" t="s">
        <v>1089</v>
      </c>
      <c r="H311" s="147" t="s">
        <v>1090</v>
      </c>
      <c r="I311">
        <v>1</v>
      </c>
      <c r="J311" s="69">
        <v>5</v>
      </c>
      <c r="K311" s="87">
        <v>1</v>
      </c>
      <c r="L311" s="8">
        <v>999</v>
      </c>
      <c r="M311" s="8">
        <v>0</v>
      </c>
      <c r="N311" s="8"/>
      <c r="P311" s="8"/>
      <c r="Q311" s="8"/>
      <c r="S311" s="89">
        <v>1</v>
      </c>
      <c r="T311" s="8">
        <v>5</v>
      </c>
      <c r="U311" s="89">
        <v>200</v>
      </c>
      <c r="V311" s="87">
        <v>1</v>
      </c>
      <c r="W311" s="8">
        <v>1</v>
      </c>
      <c r="X311" s="8">
        <v>1</v>
      </c>
      <c r="Y311">
        <v>0</v>
      </c>
      <c r="Z311" s="33">
        <v>0</v>
      </c>
      <c r="AA311">
        <v>5</v>
      </c>
      <c r="AB311" s="34">
        <v>7600</v>
      </c>
      <c r="AC311" s="87">
        <v>0</v>
      </c>
      <c r="AD311" s="62">
        <v>0</v>
      </c>
      <c r="AE311" s="90">
        <v>0</v>
      </c>
      <c r="AF311" s="90">
        <v>0</v>
      </c>
      <c r="AG311" s="91"/>
      <c r="AH311" s="91">
        <v>1</v>
      </c>
      <c r="AI311" s="91"/>
      <c r="AJ311" s="91"/>
      <c r="AK311" s="91"/>
      <c r="AL311" s="92">
        <v>1</v>
      </c>
      <c r="AM311" s="92"/>
      <c r="AN311" s="93"/>
      <c r="AO311" s="92"/>
      <c r="AQ311" t="s">
        <v>1088</v>
      </c>
      <c r="AS311">
        <v>1</v>
      </c>
    </row>
    <row r="312" spans="1:45">
      <c r="A312" s="8">
        <v>233047</v>
      </c>
      <c r="B312" s="8">
        <v>1001</v>
      </c>
      <c r="C312" s="8">
        <v>1</v>
      </c>
      <c r="D312" s="8">
        <v>1001</v>
      </c>
      <c r="E312" t="s">
        <v>1091</v>
      </c>
      <c r="F312" t="s">
        <v>1091</v>
      </c>
      <c r="G312" t="s">
        <v>1092</v>
      </c>
      <c r="H312" s="147" t="s">
        <v>1093</v>
      </c>
      <c r="I312">
        <v>1</v>
      </c>
      <c r="J312" s="69">
        <v>5</v>
      </c>
      <c r="K312" s="87">
        <v>1</v>
      </c>
      <c r="L312" s="8">
        <v>999</v>
      </c>
      <c r="M312" s="8">
        <v>0</v>
      </c>
      <c r="N312" s="8"/>
      <c r="P312" s="8"/>
      <c r="Q312" s="8"/>
      <c r="S312" s="89">
        <v>1</v>
      </c>
      <c r="T312" s="8">
        <v>5</v>
      </c>
      <c r="U312" s="89">
        <v>200</v>
      </c>
      <c r="V312" s="87">
        <v>1</v>
      </c>
      <c r="W312" s="8">
        <v>1</v>
      </c>
      <c r="X312" s="8">
        <v>1</v>
      </c>
      <c r="Y312">
        <v>0</v>
      </c>
      <c r="Z312" s="33">
        <v>0</v>
      </c>
      <c r="AA312">
        <v>5</v>
      </c>
      <c r="AB312" s="34">
        <v>7600</v>
      </c>
      <c r="AC312" s="87">
        <v>0</v>
      </c>
      <c r="AD312" s="62">
        <v>0</v>
      </c>
      <c r="AE312" s="90">
        <v>0</v>
      </c>
      <c r="AF312" s="90">
        <v>0</v>
      </c>
      <c r="AG312" s="91"/>
      <c r="AH312" s="91">
        <v>1</v>
      </c>
      <c r="AI312" s="91"/>
      <c r="AJ312" s="91"/>
      <c r="AK312" s="91"/>
      <c r="AL312" s="92">
        <v>1</v>
      </c>
      <c r="AM312" s="92"/>
      <c r="AN312" s="93"/>
      <c r="AO312" s="92"/>
      <c r="AQ312" t="s">
        <v>1091</v>
      </c>
      <c r="AS312">
        <v>1</v>
      </c>
    </row>
    <row r="313" spans="1:45">
      <c r="A313" s="8">
        <v>233048</v>
      </c>
      <c r="B313" s="8">
        <v>1001</v>
      </c>
      <c r="C313" s="8">
        <v>1</v>
      </c>
      <c r="D313" s="8">
        <v>1001</v>
      </c>
      <c r="E313" t="s">
        <v>1094</v>
      </c>
      <c r="F313" t="s">
        <v>1094</v>
      </c>
      <c r="G313" t="s">
        <v>1095</v>
      </c>
      <c r="H313" s="147" t="s">
        <v>1096</v>
      </c>
      <c r="I313">
        <v>1</v>
      </c>
      <c r="J313" s="69">
        <v>5</v>
      </c>
      <c r="K313" s="87">
        <v>1</v>
      </c>
      <c r="L313" s="8">
        <v>999</v>
      </c>
      <c r="M313" s="8">
        <v>0</v>
      </c>
      <c r="N313" s="8"/>
      <c r="P313" s="8"/>
      <c r="Q313" s="8"/>
      <c r="S313" s="89">
        <v>1</v>
      </c>
      <c r="T313" s="8">
        <v>5</v>
      </c>
      <c r="U313" s="89">
        <v>200</v>
      </c>
      <c r="V313" s="87">
        <v>1</v>
      </c>
      <c r="W313" s="8">
        <v>1</v>
      </c>
      <c r="X313" s="8">
        <v>1</v>
      </c>
      <c r="Y313">
        <v>0</v>
      </c>
      <c r="Z313" s="33">
        <v>0</v>
      </c>
      <c r="AA313">
        <v>5</v>
      </c>
      <c r="AB313" s="34">
        <v>7600</v>
      </c>
      <c r="AC313" s="87">
        <v>0</v>
      </c>
      <c r="AD313" s="62">
        <v>0</v>
      </c>
      <c r="AE313" s="90">
        <v>0</v>
      </c>
      <c r="AF313" s="90">
        <v>0</v>
      </c>
      <c r="AG313" s="91"/>
      <c r="AH313" s="91">
        <v>1</v>
      </c>
      <c r="AI313" s="91"/>
      <c r="AJ313" s="91"/>
      <c r="AK313" s="91"/>
      <c r="AL313" s="92">
        <v>1</v>
      </c>
      <c r="AM313" s="92"/>
      <c r="AN313" s="93"/>
      <c r="AO313" s="92"/>
      <c r="AQ313" t="s">
        <v>1094</v>
      </c>
      <c r="AS313">
        <v>1</v>
      </c>
    </row>
    <row r="314" spans="1:45">
      <c r="A314" s="8">
        <v>233049</v>
      </c>
      <c r="B314" s="8">
        <v>1001</v>
      </c>
      <c r="C314" s="8">
        <v>1</v>
      </c>
      <c r="D314" s="8">
        <v>1001</v>
      </c>
      <c r="E314" t="s">
        <v>1097</v>
      </c>
      <c r="F314" t="s">
        <v>1097</v>
      </c>
      <c r="G314" t="s">
        <v>1098</v>
      </c>
      <c r="H314" s="147" t="s">
        <v>1099</v>
      </c>
      <c r="I314">
        <v>1</v>
      </c>
      <c r="J314" s="69">
        <v>5</v>
      </c>
      <c r="K314" s="87">
        <v>1</v>
      </c>
      <c r="L314" s="8">
        <v>999</v>
      </c>
      <c r="M314" s="8">
        <v>0</v>
      </c>
      <c r="N314" s="8"/>
      <c r="P314" s="8"/>
      <c r="Q314" s="8"/>
      <c r="S314" s="89">
        <v>1</v>
      </c>
      <c r="T314" s="8">
        <v>5</v>
      </c>
      <c r="U314" s="89">
        <v>200</v>
      </c>
      <c r="V314" s="87">
        <v>1</v>
      </c>
      <c r="W314" s="8">
        <v>1</v>
      </c>
      <c r="X314" s="8">
        <v>1</v>
      </c>
      <c r="Y314">
        <v>0</v>
      </c>
      <c r="Z314" s="33">
        <v>0</v>
      </c>
      <c r="AA314">
        <v>5</v>
      </c>
      <c r="AB314" s="34">
        <v>7600</v>
      </c>
      <c r="AC314" s="87">
        <v>0</v>
      </c>
      <c r="AD314" s="62">
        <v>0</v>
      </c>
      <c r="AE314" s="90">
        <v>0</v>
      </c>
      <c r="AF314" s="90">
        <v>0</v>
      </c>
      <c r="AG314" s="91"/>
      <c r="AH314" s="91">
        <v>1</v>
      </c>
      <c r="AI314" s="91"/>
      <c r="AJ314" s="91"/>
      <c r="AK314" s="91"/>
      <c r="AL314" s="92">
        <v>1</v>
      </c>
      <c r="AM314" s="92"/>
      <c r="AN314" s="93"/>
      <c r="AO314" s="92"/>
      <c r="AQ314" t="s">
        <v>1097</v>
      </c>
      <c r="AS314">
        <v>1</v>
      </c>
    </row>
    <row r="315" spans="1:45">
      <c r="A315" s="8">
        <v>233050</v>
      </c>
      <c r="B315" s="8">
        <v>1001</v>
      </c>
      <c r="C315" s="8">
        <v>1</v>
      </c>
      <c r="D315" s="8">
        <v>1001</v>
      </c>
      <c r="E315" t="s">
        <v>1100</v>
      </c>
      <c r="F315" t="s">
        <v>1100</v>
      </c>
      <c r="G315" t="s">
        <v>1101</v>
      </c>
      <c r="H315" s="147" t="s">
        <v>1102</v>
      </c>
      <c r="I315">
        <v>1</v>
      </c>
      <c r="J315" s="69">
        <v>5</v>
      </c>
      <c r="K315" s="87">
        <v>1</v>
      </c>
      <c r="L315" s="8">
        <v>999</v>
      </c>
      <c r="M315" s="8">
        <v>0</v>
      </c>
      <c r="N315" s="8"/>
      <c r="P315" s="8"/>
      <c r="Q315" s="8"/>
      <c r="S315" s="89">
        <v>1</v>
      </c>
      <c r="T315" s="8">
        <v>5</v>
      </c>
      <c r="U315" s="89">
        <v>200</v>
      </c>
      <c r="V315" s="87">
        <v>1</v>
      </c>
      <c r="W315" s="8">
        <v>1</v>
      </c>
      <c r="X315" s="8">
        <v>1</v>
      </c>
      <c r="Y315">
        <v>0</v>
      </c>
      <c r="Z315" s="33">
        <v>0</v>
      </c>
      <c r="AA315">
        <v>5</v>
      </c>
      <c r="AB315" s="34">
        <v>7600</v>
      </c>
      <c r="AC315" s="87">
        <v>0</v>
      </c>
      <c r="AD315" s="62">
        <v>0</v>
      </c>
      <c r="AE315" s="90">
        <v>0</v>
      </c>
      <c r="AF315" s="90">
        <v>0</v>
      </c>
      <c r="AG315" s="91"/>
      <c r="AH315" s="91">
        <v>1</v>
      </c>
      <c r="AI315" s="91"/>
      <c r="AJ315" s="91"/>
      <c r="AK315" s="91"/>
      <c r="AL315" s="92">
        <v>1</v>
      </c>
      <c r="AM315" s="92"/>
      <c r="AN315" s="93"/>
      <c r="AO315" s="92"/>
      <c r="AQ315" t="s">
        <v>1100</v>
      </c>
      <c r="AS315">
        <v>1</v>
      </c>
    </row>
    <row r="316" spans="1:45">
      <c r="A316" s="8">
        <v>233051</v>
      </c>
      <c r="B316" s="8">
        <v>1001</v>
      </c>
      <c r="C316" s="8">
        <v>1</v>
      </c>
      <c r="D316" s="8">
        <v>1001</v>
      </c>
      <c r="E316" t="s">
        <v>1103</v>
      </c>
      <c r="F316" t="s">
        <v>1103</v>
      </c>
      <c r="G316" t="s">
        <v>1104</v>
      </c>
      <c r="H316" s="147" t="s">
        <v>1090</v>
      </c>
      <c r="I316">
        <v>1</v>
      </c>
      <c r="J316" s="69">
        <v>5</v>
      </c>
      <c r="K316" s="87">
        <v>1</v>
      </c>
      <c r="L316" s="8">
        <v>999</v>
      </c>
      <c r="M316" s="8">
        <v>0</v>
      </c>
      <c r="N316" s="8"/>
      <c r="P316" s="8"/>
      <c r="Q316" s="8"/>
      <c r="S316" s="89">
        <v>1</v>
      </c>
      <c r="T316" s="8">
        <v>5</v>
      </c>
      <c r="U316" s="89">
        <v>200</v>
      </c>
      <c r="V316" s="87">
        <v>1</v>
      </c>
      <c r="W316" s="8">
        <v>1</v>
      </c>
      <c r="X316" s="8">
        <v>1</v>
      </c>
      <c r="Y316">
        <v>0</v>
      </c>
      <c r="Z316" s="33">
        <v>0</v>
      </c>
      <c r="AA316">
        <v>5</v>
      </c>
      <c r="AB316" s="34">
        <v>7600</v>
      </c>
      <c r="AC316" s="87">
        <v>0</v>
      </c>
      <c r="AD316" s="62">
        <v>0</v>
      </c>
      <c r="AE316" s="90">
        <v>0</v>
      </c>
      <c r="AF316" s="90">
        <v>0</v>
      </c>
      <c r="AG316" s="91"/>
      <c r="AH316" s="91">
        <v>1</v>
      </c>
      <c r="AI316" s="91"/>
      <c r="AJ316" s="91"/>
      <c r="AK316" s="91"/>
      <c r="AL316" s="92">
        <v>1</v>
      </c>
      <c r="AM316" s="92"/>
      <c r="AN316" s="93"/>
      <c r="AO316" s="92"/>
      <c r="AQ316" t="s">
        <v>1103</v>
      </c>
      <c r="AS316">
        <v>1</v>
      </c>
    </row>
    <row r="317" spans="1:45">
      <c r="A317" s="8">
        <v>233052</v>
      </c>
      <c r="B317" s="8">
        <v>1001</v>
      </c>
      <c r="C317" s="8">
        <v>1</v>
      </c>
      <c r="D317" s="8">
        <v>1001</v>
      </c>
      <c r="E317" t="s">
        <v>1105</v>
      </c>
      <c r="F317" t="s">
        <v>1105</v>
      </c>
      <c r="G317" t="s">
        <v>1106</v>
      </c>
      <c r="H317" s="147" t="s">
        <v>1096</v>
      </c>
      <c r="I317">
        <v>1</v>
      </c>
      <c r="J317" s="69">
        <v>5</v>
      </c>
      <c r="K317" s="87">
        <v>1</v>
      </c>
      <c r="L317" s="8">
        <v>999</v>
      </c>
      <c r="M317" s="8">
        <v>0</v>
      </c>
      <c r="N317" s="8"/>
      <c r="P317" s="8"/>
      <c r="Q317" s="8"/>
      <c r="S317" s="89">
        <v>1</v>
      </c>
      <c r="T317" s="8">
        <v>5</v>
      </c>
      <c r="U317" s="89">
        <v>200</v>
      </c>
      <c r="V317" s="87">
        <v>1</v>
      </c>
      <c r="W317" s="8">
        <v>1</v>
      </c>
      <c r="X317" s="8">
        <v>1</v>
      </c>
      <c r="Y317">
        <v>0</v>
      </c>
      <c r="Z317" s="33">
        <v>0</v>
      </c>
      <c r="AA317">
        <v>5</v>
      </c>
      <c r="AB317" s="34">
        <v>7600</v>
      </c>
      <c r="AC317" s="87">
        <v>0</v>
      </c>
      <c r="AD317" s="62">
        <v>0</v>
      </c>
      <c r="AE317" s="90">
        <v>0</v>
      </c>
      <c r="AF317" s="90">
        <v>0</v>
      </c>
      <c r="AG317" s="91"/>
      <c r="AH317" s="91">
        <v>1</v>
      </c>
      <c r="AI317" s="91"/>
      <c r="AJ317" s="91"/>
      <c r="AK317" s="91"/>
      <c r="AL317" s="92">
        <v>1</v>
      </c>
      <c r="AM317" s="92"/>
      <c r="AN317" s="93"/>
      <c r="AO317" s="92"/>
      <c r="AQ317" t="s">
        <v>1105</v>
      </c>
      <c r="AS317">
        <v>1</v>
      </c>
    </row>
    <row r="318" spans="1:45">
      <c r="A318" s="8">
        <v>233053</v>
      </c>
      <c r="B318" s="8">
        <v>1001</v>
      </c>
      <c r="C318" s="8">
        <v>1</v>
      </c>
      <c r="D318" s="8">
        <v>1001</v>
      </c>
      <c r="E318" t="s">
        <v>1107</v>
      </c>
      <c r="F318" t="s">
        <v>1107</v>
      </c>
      <c r="G318" t="s">
        <v>1108</v>
      </c>
      <c r="H318" s="147" t="s">
        <v>1075</v>
      </c>
      <c r="I318">
        <v>1</v>
      </c>
      <c r="J318" s="69">
        <v>5</v>
      </c>
      <c r="K318" s="87">
        <v>1</v>
      </c>
      <c r="L318" s="8">
        <v>999</v>
      </c>
      <c r="M318" s="8">
        <v>0</v>
      </c>
      <c r="N318" s="8"/>
      <c r="P318" s="8"/>
      <c r="Q318" s="8"/>
      <c r="S318" s="89">
        <v>1</v>
      </c>
      <c r="T318" s="8">
        <v>5</v>
      </c>
      <c r="U318" s="89">
        <v>200</v>
      </c>
      <c r="V318" s="87">
        <v>1</v>
      </c>
      <c r="W318" s="8">
        <v>1</v>
      </c>
      <c r="X318" s="8">
        <v>1</v>
      </c>
      <c r="Y318">
        <v>0</v>
      </c>
      <c r="Z318" s="33">
        <v>0</v>
      </c>
      <c r="AA318">
        <v>5</v>
      </c>
      <c r="AB318" s="34">
        <v>7600</v>
      </c>
      <c r="AC318" s="87">
        <v>0</v>
      </c>
      <c r="AD318" s="62">
        <v>0</v>
      </c>
      <c r="AE318" s="90">
        <v>0</v>
      </c>
      <c r="AF318" s="90">
        <v>0</v>
      </c>
      <c r="AG318" s="91"/>
      <c r="AH318" s="91">
        <v>1</v>
      </c>
      <c r="AI318" s="91"/>
      <c r="AJ318" s="91"/>
      <c r="AK318" s="91"/>
      <c r="AL318" s="92">
        <v>1</v>
      </c>
      <c r="AM318" s="92"/>
      <c r="AN318" s="93"/>
      <c r="AO318" s="92"/>
      <c r="AQ318" t="s">
        <v>1107</v>
      </c>
      <c r="AS318">
        <v>1</v>
      </c>
    </row>
    <row r="319" spans="1:45">
      <c r="A319" s="8">
        <v>233054</v>
      </c>
      <c r="B319" s="8">
        <v>1001</v>
      </c>
      <c r="C319" s="8">
        <v>1</v>
      </c>
      <c r="D319" s="8">
        <v>1001</v>
      </c>
      <c r="E319" t="s">
        <v>1109</v>
      </c>
      <c r="F319" t="s">
        <v>1109</v>
      </c>
      <c r="G319" t="s">
        <v>1110</v>
      </c>
      <c r="H319" s="147" t="s">
        <v>1111</v>
      </c>
      <c r="I319">
        <v>1</v>
      </c>
      <c r="J319" s="69">
        <v>6</v>
      </c>
      <c r="K319" s="87">
        <v>1</v>
      </c>
      <c r="L319" s="8">
        <v>999</v>
      </c>
      <c r="M319" s="8">
        <v>0</v>
      </c>
      <c r="N319" s="8"/>
      <c r="P319" s="8"/>
      <c r="Q319" s="8"/>
      <c r="S319" s="89">
        <v>1</v>
      </c>
      <c r="T319" s="8">
        <v>5</v>
      </c>
      <c r="U319" s="89">
        <v>200</v>
      </c>
      <c r="V319" s="87">
        <v>1</v>
      </c>
      <c r="W319" s="8">
        <v>1</v>
      </c>
      <c r="X319" s="8">
        <v>1</v>
      </c>
      <c r="Y319">
        <v>0</v>
      </c>
      <c r="Z319" s="33">
        <v>0</v>
      </c>
      <c r="AA319">
        <v>5</v>
      </c>
      <c r="AB319" s="34">
        <v>7600</v>
      </c>
      <c r="AC319" s="87">
        <v>0</v>
      </c>
      <c r="AD319" s="62">
        <v>0</v>
      </c>
      <c r="AE319" s="90">
        <v>0</v>
      </c>
      <c r="AF319" s="90">
        <v>0</v>
      </c>
      <c r="AG319" s="91"/>
      <c r="AH319" s="91">
        <v>1</v>
      </c>
      <c r="AI319" s="91"/>
      <c r="AJ319" s="91"/>
      <c r="AK319" s="91"/>
      <c r="AL319" s="92">
        <v>1</v>
      </c>
      <c r="AM319" s="92"/>
      <c r="AN319" s="93"/>
      <c r="AO319" s="92"/>
      <c r="AQ319" t="s">
        <v>1109</v>
      </c>
      <c r="AS319">
        <v>1</v>
      </c>
    </row>
    <row r="320" spans="1:45">
      <c r="A320" s="8">
        <v>233055</v>
      </c>
      <c r="B320" s="8">
        <v>1001</v>
      </c>
      <c r="C320" s="8">
        <v>1</v>
      </c>
      <c r="D320" s="8">
        <v>1001</v>
      </c>
      <c r="E320" s="190" t="s">
        <v>1112</v>
      </c>
      <c r="F320" s="190" t="s">
        <v>1112</v>
      </c>
      <c r="G320" t="s">
        <v>1113</v>
      </c>
      <c r="H320" s="147" t="s">
        <v>1114</v>
      </c>
      <c r="I320">
        <v>1</v>
      </c>
      <c r="J320" s="69">
        <v>6</v>
      </c>
      <c r="K320" s="87">
        <v>1</v>
      </c>
      <c r="L320" s="8">
        <v>999</v>
      </c>
      <c r="M320" s="8">
        <v>0</v>
      </c>
      <c r="N320" s="8"/>
      <c r="P320" s="8"/>
      <c r="Q320" s="8"/>
      <c r="S320" s="89">
        <v>1</v>
      </c>
      <c r="T320" s="8">
        <v>5</v>
      </c>
      <c r="U320" s="89">
        <v>200</v>
      </c>
      <c r="V320" s="87">
        <v>1</v>
      </c>
      <c r="W320" s="8">
        <v>1</v>
      </c>
      <c r="X320" s="8">
        <v>1</v>
      </c>
      <c r="Y320">
        <v>0</v>
      </c>
      <c r="Z320" s="33">
        <v>0</v>
      </c>
      <c r="AA320">
        <v>5</v>
      </c>
      <c r="AB320" s="34">
        <v>7600</v>
      </c>
      <c r="AC320" s="87">
        <v>0</v>
      </c>
      <c r="AD320" s="62">
        <v>0</v>
      </c>
      <c r="AE320" s="90">
        <v>0</v>
      </c>
      <c r="AF320" s="90">
        <v>0</v>
      </c>
      <c r="AG320" s="91"/>
      <c r="AH320" s="91">
        <v>1</v>
      </c>
      <c r="AI320" s="91"/>
      <c r="AJ320" s="91"/>
      <c r="AK320" s="91"/>
      <c r="AL320" s="92">
        <v>1</v>
      </c>
      <c r="AM320" s="92"/>
      <c r="AN320" s="93"/>
      <c r="AO320" s="92"/>
      <c r="AQ320" t="s">
        <v>1109</v>
      </c>
      <c r="AS320">
        <v>1</v>
      </c>
    </row>
    <row r="321" spans="1:45">
      <c r="A321" s="8">
        <v>233056</v>
      </c>
      <c r="B321" s="8">
        <v>1001</v>
      </c>
      <c r="C321" s="8">
        <v>1</v>
      </c>
      <c r="D321" s="8">
        <v>1001</v>
      </c>
      <c r="E321" s="190" t="s">
        <v>1115</v>
      </c>
      <c r="F321" s="190" t="s">
        <v>1115</v>
      </c>
      <c r="G321" t="s">
        <v>1116</v>
      </c>
      <c r="H321" s="147" t="s">
        <v>1117</v>
      </c>
      <c r="I321">
        <v>1</v>
      </c>
      <c r="J321" s="69">
        <v>6</v>
      </c>
      <c r="K321" s="87">
        <v>1</v>
      </c>
      <c r="L321" s="8">
        <v>999</v>
      </c>
      <c r="M321" s="8">
        <v>0</v>
      </c>
      <c r="N321" s="8"/>
      <c r="P321" s="8"/>
      <c r="Q321" s="8"/>
      <c r="S321" s="89">
        <v>1</v>
      </c>
      <c r="T321" s="8">
        <v>5</v>
      </c>
      <c r="U321" s="89">
        <v>200</v>
      </c>
      <c r="V321" s="87">
        <v>1</v>
      </c>
      <c r="W321" s="8">
        <v>1</v>
      </c>
      <c r="X321" s="8">
        <v>1</v>
      </c>
      <c r="Y321">
        <v>0</v>
      </c>
      <c r="Z321" s="33">
        <v>0</v>
      </c>
      <c r="AA321">
        <v>5</v>
      </c>
      <c r="AB321" s="34">
        <v>7600</v>
      </c>
      <c r="AC321" s="87">
        <v>0</v>
      </c>
      <c r="AD321" s="62">
        <v>0</v>
      </c>
      <c r="AE321" s="90">
        <v>0</v>
      </c>
      <c r="AF321" s="90">
        <v>0</v>
      </c>
      <c r="AG321" s="91"/>
      <c r="AH321" s="91">
        <v>1</v>
      </c>
      <c r="AI321" s="91"/>
      <c r="AJ321" s="91"/>
      <c r="AK321" s="91"/>
      <c r="AL321" s="92">
        <v>1</v>
      </c>
      <c r="AM321" s="92"/>
      <c r="AN321" s="93"/>
      <c r="AO321" s="92"/>
      <c r="AQ321" t="s">
        <v>1109</v>
      </c>
      <c r="AS321">
        <v>1</v>
      </c>
    </row>
    <row r="322" spans="1:45">
      <c r="A322" s="8">
        <v>233057</v>
      </c>
      <c r="B322" s="8">
        <v>1001</v>
      </c>
      <c r="C322" s="8">
        <v>1</v>
      </c>
      <c r="D322" s="8">
        <v>1001</v>
      </c>
      <c r="E322" s="190" t="s">
        <v>1118</v>
      </c>
      <c r="F322" s="190" t="s">
        <v>1118</v>
      </c>
      <c r="G322" t="s">
        <v>1119</v>
      </c>
      <c r="H322" s="147" t="s">
        <v>1120</v>
      </c>
      <c r="I322">
        <v>1</v>
      </c>
      <c r="J322" s="69">
        <v>6</v>
      </c>
      <c r="K322" s="87">
        <v>1</v>
      </c>
      <c r="L322" s="8">
        <v>999</v>
      </c>
      <c r="M322" s="8">
        <v>0</v>
      </c>
      <c r="N322" s="8"/>
      <c r="P322" s="8"/>
      <c r="Q322" s="8"/>
      <c r="S322" s="89">
        <v>1</v>
      </c>
      <c r="T322" s="8">
        <v>5</v>
      </c>
      <c r="U322" s="89">
        <v>200</v>
      </c>
      <c r="V322" s="87">
        <v>1</v>
      </c>
      <c r="W322" s="8">
        <v>1</v>
      </c>
      <c r="X322" s="8">
        <v>1</v>
      </c>
      <c r="Y322">
        <v>0</v>
      </c>
      <c r="Z322" s="33">
        <v>0</v>
      </c>
      <c r="AA322">
        <v>5</v>
      </c>
      <c r="AB322" s="34">
        <v>7600</v>
      </c>
      <c r="AC322" s="87">
        <v>0</v>
      </c>
      <c r="AD322" s="62">
        <v>0</v>
      </c>
      <c r="AE322" s="90">
        <v>0</v>
      </c>
      <c r="AF322" s="90">
        <v>0</v>
      </c>
      <c r="AG322" s="91"/>
      <c r="AH322" s="91">
        <v>1</v>
      </c>
      <c r="AI322" s="91"/>
      <c r="AJ322" s="91"/>
      <c r="AK322" s="91"/>
      <c r="AL322" s="92">
        <v>1</v>
      </c>
      <c r="AM322" s="92"/>
      <c r="AN322" s="93"/>
      <c r="AO322" s="92"/>
      <c r="AQ322" t="s">
        <v>1109</v>
      </c>
      <c r="AS322">
        <v>1</v>
      </c>
    </row>
    <row r="323" spans="1:45">
      <c r="A323" s="8">
        <v>233058</v>
      </c>
      <c r="B323" s="8">
        <v>1001</v>
      </c>
      <c r="C323" s="8">
        <v>1</v>
      </c>
      <c r="D323" s="8">
        <v>1001</v>
      </c>
      <c r="E323" s="190" t="s">
        <v>1121</v>
      </c>
      <c r="F323" s="190" t="s">
        <v>1121</v>
      </c>
      <c r="G323" t="s">
        <v>1122</v>
      </c>
      <c r="H323" s="147" t="s">
        <v>1117</v>
      </c>
      <c r="I323">
        <v>1</v>
      </c>
      <c r="J323" s="69">
        <v>6</v>
      </c>
      <c r="K323" s="87">
        <v>1</v>
      </c>
      <c r="L323" s="8">
        <v>999</v>
      </c>
      <c r="M323" s="8">
        <v>0</v>
      </c>
      <c r="N323" s="8"/>
      <c r="P323" s="8"/>
      <c r="Q323" s="8"/>
      <c r="S323" s="89">
        <v>1</v>
      </c>
      <c r="T323" s="8">
        <v>5</v>
      </c>
      <c r="U323" s="89">
        <v>200</v>
      </c>
      <c r="V323" s="87">
        <v>1</v>
      </c>
      <c r="W323" s="8">
        <v>1</v>
      </c>
      <c r="X323" s="8">
        <v>1</v>
      </c>
      <c r="Y323">
        <v>0</v>
      </c>
      <c r="Z323" s="33">
        <v>0</v>
      </c>
      <c r="AA323">
        <v>5</v>
      </c>
      <c r="AB323" s="34">
        <v>7600</v>
      </c>
      <c r="AC323" s="87">
        <v>0</v>
      </c>
      <c r="AD323" s="62">
        <v>0</v>
      </c>
      <c r="AE323" s="90">
        <v>0</v>
      </c>
      <c r="AF323" s="90">
        <v>0</v>
      </c>
      <c r="AG323" s="91"/>
      <c r="AH323" s="91">
        <v>1</v>
      </c>
      <c r="AI323" s="91"/>
      <c r="AJ323" s="91"/>
      <c r="AK323" s="91"/>
      <c r="AL323" s="92">
        <v>1</v>
      </c>
      <c r="AM323" s="92"/>
      <c r="AN323" s="93"/>
      <c r="AO323" s="92"/>
      <c r="AQ323" t="s">
        <v>1109</v>
      </c>
      <c r="AS323">
        <v>1</v>
      </c>
    </row>
    <row r="324" spans="1:45">
      <c r="A324" s="8">
        <v>233059</v>
      </c>
      <c r="B324" s="8">
        <v>1001</v>
      </c>
      <c r="C324" s="8">
        <v>1</v>
      </c>
      <c r="D324" s="8">
        <v>1001</v>
      </c>
      <c r="E324" s="190" t="s">
        <v>1123</v>
      </c>
      <c r="F324" s="190" t="s">
        <v>1123</v>
      </c>
      <c r="G324" t="s">
        <v>1124</v>
      </c>
      <c r="H324" s="147" t="s">
        <v>1120</v>
      </c>
      <c r="I324">
        <v>1</v>
      </c>
      <c r="J324" s="69">
        <v>6</v>
      </c>
      <c r="K324" s="87">
        <v>1</v>
      </c>
      <c r="L324" s="8">
        <v>999</v>
      </c>
      <c r="M324" s="8">
        <v>0</v>
      </c>
      <c r="N324" s="8"/>
      <c r="P324" s="8"/>
      <c r="Q324" s="8"/>
      <c r="S324" s="89">
        <v>1</v>
      </c>
      <c r="T324" s="8">
        <v>5</v>
      </c>
      <c r="U324" s="89">
        <v>200</v>
      </c>
      <c r="V324" s="87">
        <v>1</v>
      </c>
      <c r="W324" s="8">
        <v>1</v>
      </c>
      <c r="X324" s="8">
        <v>1</v>
      </c>
      <c r="Y324">
        <v>0</v>
      </c>
      <c r="Z324" s="33">
        <v>0</v>
      </c>
      <c r="AA324">
        <v>5</v>
      </c>
      <c r="AB324" s="34">
        <v>7600</v>
      </c>
      <c r="AC324" s="87">
        <v>0</v>
      </c>
      <c r="AD324" s="62">
        <v>0</v>
      </c>
      <c r="AE324" s="90">
        <v>0</v>
      </c>
      <c r="AF324" s="90">
        <v>0</v>
      </c>
      <c r="AG324" s="91"/>
      <c r="AH324" s="91">
        <v>1</v>
      </c>
      <c r="AI324" s="91"/>
      <c r="AJ324" s="91"/>
      <c r="AK324" s="91"/>
      <c r="AL324" s="92">
        <v>1</v>
      </c>
      <c r="AM324" s="92"/>
      <c r="AN324" s="93"/>
      <c r="AO324" s="92"/>
      <c r="AQ324" t="s">
        <v>1109</v>
      </c>
      <c r="AS324">
        <v>1</v>
      </c>
    </row>
    <row r="325" spans="1:45">
      <c r="A325" s="8">
        <v>233060</v>
      </c>
      <c r="B325" s="8">
        <v>1001</v>
      </c>
      <c r="C325" s="8">
        <v>1</v>
      </c>
      <c r="D325" s="8">
        <v>1001</v>
      </c>
      <c r="E325" s="190" t="s">
        <v>1125</v>
      </c>
      <c r="F325" s="190" t="s">
        <v>1125</v>
      </c>
      <c r="G325" t="s">
        <v>1126</v>
      </c>
      <c r="H325" s="147" t="s">
        <v>1127</v>
      </c>
      <c r="I325">
        <v>1</v>
      </c>
      <c r="J325" s="69">
        <v>6</v>
      </c>
      <c r="K325" s="87">
        <v>1</v>
      </c>
      <c r="L325" s="8">
        <v>999</v>
      </c>
      <c r="M325" s="8">
        <v>0</v>
      </c>
      <c r="N325" s="8"/>
      <c r="P325" s="8"/>
      <c r="Q325" s="8"/>
      <c r="S325" s="89">
        <v>1</v>
      </c>
      <c r="T325" s="8">
        <v>5</v>
      </c>
      <c r="U325" s="89">
        <v>200</v>
      </c>
      <c r="V325" s="87">
        <v>1</v>
      </c>
      <c r="W325" s="8">
        <v>1</v>
      </c>
      <c r="X325" s="8">
        <v>1</v>
      </c>
      <c r="Y325">
        <v>0</v>
      </c>
      <c r="Z325" s="33">
        <v>0</v>
      </c>
      <c r="AA325">
        <v>5</v>
      </c>
      <c r="AB325" s="34">
        <v>7600</v>
      </c>
      <c r="AC325" s="87">
        <v>0</v>
      </c>
      <c r="AD325" s="62">
        <v>0</v>
      </c>
      <c r="AE325" s="90">
        <v>0</v>
      </c>
      <c r="AF325" s="90">
        <v>0</v>
      </c>
      <c r="AG325" s="91"/>
      <c r="AH325" s="91">
        <v>1</v>
      </c>
      <c r="AI325" s="91"/>
      <c r="AJ325" s="91"/>
      <c r="AK325" s="91"/>
      <c r="AL325" s="92">
        <v>1</v>
      </c>
      <c r="AM325" s="92"/>
      <c r="AN325" s="93"/>
      <c r="AO325" s="92"/>
      <c r="AQ325" t="s">
        <v>1109</v>
      </c>
      <c r="AS325">
        <v>1</v>
      </c>
    </row>
    <row r="326" s="40" customFormat="1" spans="1:45">
      <c r="A326" s="191">
        <v>233061</v>
      </c>
      <c r="B326" s="192">
        <v>1001</v>
      </c>
      <c r="C326" s="192">
        <v>1</v>
      </c>
      <c r="D326" s="192">
        <v>1001</v>
      </c>
      <c r="E326" s="193" t="s">
        <v>1128</v>
      </c>
      <c r="F326" s="194" t="s">
        <v>1128</v>
      </c>
      <c r="G326" s="177" t="s">
        <v>1129</v>
      </c>
      <c r="H326" s="195" t="s">
        <v>1130</v>
      </c>
      <c r="I326" s="177">
        <v>1</v>
      </c>
      <c r="J326" s="178">
        <v>6</v>
      </c>
      <c r="K326" s="192">
        <v>1</v>
      </c>
      <c r="L326" s="192">
        <v>999</v>
      </c>
      <c r="M326" s="192">
        <v>0</v>
      </c>
      <c r="N326" s="192"/>
      <c r="O326" s="185"/>
      <c r="P326" s="174"/>
      <c r="Q326" s="174"/>
      <c r="R326" s="180"/>
      <c r="S326" s="192">
        <v>1</v>
      </c>
      <c r="T326" s="192">
        <v>5</v>
      </c>
      <c r="U326" s="192">
        <v>200</v>
      </c>
      <c r="V326" s="192">
        <v>1</v>
      </c>
      <c r="W326" s="192">
        <v>1</v>
      </c>
      <c r="X326" s="192">
        <v>1</v>
      </c>
      <c r="Y326" s="177">
        <v>0</v>
      </c>
      <c r="Z326" s="177">
        <v>0</v>
      </c>
      <c r="AA326" s="177">
        <v>5</v>
      </c>
      <c r="AB326" s="177">
        <v>7600</v>
      </c>
      <c r="AC326" s="192">
        <v>0</v>
      </c>
      <c r="AD326" s="181">
        <v>0</v>
      </c>
      <c r="AE326" s="196">
        <v>0</v>
      </c>
      <c r="AF326" s="196">
        <v>0</v>
      </c>
      <c r="AG326" s="197"/>
      <c r="AH326" s="197">
        <v>1</v>
      </c>
      <c r="AI326" s="197"/>
      <c r="AJ326" s="197"/>
      <c r="AK326" s="197"/>
      <c r="AL326" s="198">
        <v>1</v>
      </c>
      <c r="AM326" s="198"/>
      <c r="AN326" s="199"/>
      <c r="AO326" s="198"/>
      <c r="AP326" s="184"/>
      <c r="AQ326" s="200" t="s">
        <v>1109</v>
      </c>
      <c r="AR326" s="180"/>
      <c r="AS326" s="177">
        <v>1</v>
      </c>
    </row>
    <row r="327" s="40" customFormat="1" spans="1:45">
      <c r="A327" s="201">
        <v>211018</v>
      </c>
      <c r="B327" s="201">
        <v>1001</v>
      </c>
      <c r="C327" s="201">
        <v>1</v>
      </c>
      <c r="D327" s="201">
        <v>1001</v>
      </c>
      <c r="E327" s="202" t="s">
        <v>1131</v>
      </c>
      <c r="F327" s="203" t="s">
        <v>1132</v>
      </c>
      <c r="G327" s="40" t="s">
        <v>1133</v>
      </c>
      <c r="H327" s="40" t="s">
        <v>1134</v>
      </c>
      <c r="I327" s="40">
        <v>1</v>
      </c>
      <c r="J327" s="204">
        <v>1</v>
      </c>
      <c r="K327" s="201">
        <v>2</v>
      </c>
      <c r="L327" s="128">
        <v>9999</v>
      </c>
      <c r="M327" s="201">
        <v>0</v>
      </c>
      <c r="N327" s="201">
        <v>1</v>
      </c>
      <c r="O327" s="205" t="s">
        <v>1135</v>
      </c>
      <c r="S327" s="201">
        <v>1</v>
      </c>
      <c r="T327" s="201">
        <v>5</v>
      </c>
      <c r="U327" s="201">
        <v>140</v>
      </c>
      <c r="V327" s="201">
        <v>1</v>
      </c>
      <c r="W327" s="201">
        <v>1</v>
      </c>
      <c r="X327" s="201">
        <v>1</v>
      </c>
      <c r="Y327" s="40">
        <v>0</v>
      </c>
      <c r="Z327" s="40">
        <v>0</v>
      </c>
      <c r="AA327" s="40">
        <v>5</v>
      </c>
      <c r="AB327" s="40">
        <v>5320</v>
      </c>
      <c r="AC327" s="201">
        <v>300</v>
      </c>
      <c r="AD327" s="206">
        <v>0</v>
      </c>
      <c r="AE327" s="207">
        <v>4</v>
      </c>
      <c r="AF327" s="207">
        <v>2</v>
      </c>
      <c r="AG327" s="208"/>
      <c r="AH327" s="208">
        <v>1</v>
      </c>
      <c r="AI327" s="209"/>
      <c r="AJ327" s="201"/>
      <c r="AK327" s="201"/>
      <c r="AL327" s="201">
        <v>1</v>
      </c>
      <c r="AM327" s="210">
        <v>1</v>
      </c>
      <c r="AN327" s="211" t="s">
        <v>1136</v>
      </c>
      <c r="AO327" s="209"/>
      <c r="AP327" s="212"/>
      <c r="AQ327" s="202" t="s">
        <v>1131</v>
      </c>
      <c r="AS327" s="40">
        <v>1</v>
      </c>
    </row>
    <row r="328" s="40" customFormat="1" spans="1:45">
      <c r="A328" s="201">
        <v>212018</v>
      </c>
      <c r="B328" s="201">
        <v>1001</v>
      </c>
      <c r="C328" s="201">
        <v>1</v>
      </c>
      <c r="D328" s="201">
        <v>1001</v>
      </c>
      <c r="E328" s="202" t="s">
        <v>1137</v>
      </c>
      <c r="F328" s="203" t="s">
        <v>1132</v>
      </c>
      <c r="G328" s="40" t="s">
        <v>1138</v>
      </c>
      <c r="H328" s="40" t="s">
        <v>1134</v>
      </c>
      <c r="I328" s="40">
        <v>1</v>
      </c>
      <c r="J328" s="204">
        <v>1</v>
      </c>
      <c r="K328" s="201">
        <v>2</v>
      </c>
      <c r="L328" s="128">
        <v>9999</v>
      </c>
      <c r="M328" s="201">
        <v>0</v>
      </c>
      <c r="N328" s="201">
        <v>1</v>
      </c>
      <c r="O328" s="205" t="s">
        <v>1139</v>
      </c>
      <c r="S328" s="201">
        <v>1</v>
      </c>
      <c r="T328" s="201">
        <v>5</v>
      </c>
      <c r="U328" s="201">
        <v>140</v>
      </c>
      <c r="V328" s="201">
        <v>1</v>
      </c>
      <c r="W328" s="201">
        <v>1</v>
      </c>
      <c r="X328" s="201">
        <v>1</v>
      </c>
      <c r="Y328" s="40">
        <v>0</v>
      </c>
      <c r="Z328" s="40">
        <v>0</v>
      </c>
      <c r="AA328" s="40">
        <v>5</v>
      </c>
      <c r="AB328" s="40">
        <v>5320</v>
      </c>
      <c r="AC328" s="201">
        <v>300</v>
      </c>
      <c r="AD328" s="206">
        <v>0</v>
      </c>
      <c r="AE328" s="207">
        <v>4</v>
      </c>
      <c r="AF328" s="207">
        <v>2</v>
      </c>
      <c r="AG328" s="208"/>
      <c r="AH328" s="208">
        <v>1</v>
      </c>
      <c r="AI328" s="209"/>
      <c r="AJ328" s="201"/>
      <c r="AK328" s="201"/>
      <c r="AL328" s="201">
        <v>1</v>
      </c>
      <c r="AM328" s="210">
        <v>2</v>
      </c>
      <c r="AN328" s="211" t="s">
        <v>1136</v>
      </c>
      <c r="AO328" s="209"/>
      <c r="AP328" s="212"/>
      <c r="AQ328" s="202" t="s">
        <v>1137</v>
      </c>
      <c r="AS328" s="40">
        <v>1</v>
      </c>
    </row>
    <row r="329" s="40" customFormat="1" spans="1:45">
      <c r="A329" s="201">
        <v>213018</v>
      </c>
      <c r="B329" s="201">
        <v>1001</v>
      </c>
      <c r="C329" s="201">
        <v>1</v>
      </c>
      <c r="D329" s="201">
        <v>1001</v>
      </c>
      <c r="E329" s="202" t="s">
        <v>1140</v>
      </c>
      <c r="F329" s="203" t="s">
        <v>1132</v>
      </c>
      <c r="G329" s="40" t="s">
        <v>1141</v>
      </c>
      <c r="H329" s="40" t="s">
        <v>1134</v>
      </c>
      <c r="I329" s="40">
        <v>1</v>
      </c>
      <c r="J329" s="204">
        <v>2</v>
      </c>
      <c r="K329" s="201">
        <v>2</v>
      </c>
      <c r="L329" s="128">
        <v>9999</v>
      </c>
      <c r="M329" s="201">
        <v>0</v>
      </c>
      <c r="N329" s="201">
        <v>1</v>
      </c>
      <c r="O329" s="205" t="s">
        <v>1142</v>
      </c>
      <c r="S329" s="201">
        <v>1</v>
      </c>
      <c r="T329" s="201">
        <v>5</v>
      </c>
      <c r="U329" s="201">
        <v>140</v>
      </c>
      <c r="V329" s="201">
        <v>1</v>
      </c>
      <c r="W329" s="201">
        <v>1</v>
      </c>
      <c r="X329" s="201">
        <v>1</v>
      </c>
      <c r="Y329" s="40">
        <v>0</v>
      </c>
      <c r="Z329" s="40">
        <v>0</v>
      </c>
      <c r="AA329" s="40">
        <v>5</v>
      </c>
      <c r="AB329" s="40">
        <v>5320</v>
      </c>
      <c r="AC329" s="201">
        <v>300</v>
      </c>
      <c r="AD329" s="206">
        <v>0</v>
      </c>
      <c r="AE329" s="207">
        <v>4</v>
      </c>
      <c r="AF329" s="207">
        <v>2</v>
      </c>
      <c r="AG329" s="208"/>
      <c r="AH329" s="208">
        <v>1</v>
      </c>
      <c r="AI329" s="209"/>
      <c r="AJ329" s="201"/>
      <c r="AK329" s="201"/>
      <c r="AL329" s="201">
        <v>1</v>
      </c>
      <c r="AM329" s="210">
        <v>3</v>
      </c>
      <c r="AN329" s="211" t="s">
        <v>1136</v>
      </c>
      <c r="AO329" s="209"/>
      <c r="AP329" s="212"/>
      <c r="AQ329" s="202" t="s">
        <v>1140</v>
      </c>
      <c r="AS329" s="40">
        <v>1</v>
      </c>
    </row>
    <row r="330" s="40" customFormat="1" spans="1:45">
      <c r="A330" s="201">
        <v>214018</v>
      </c>
      <c r="B330" s="201">
        <v>1001</v>
      </c>
      <c r="C330" s="201">
        <v>1</v>
      </c>
      <c r="D330" s="201">
        <v>1001</v>
      </c>
      <c r="E330" s="202" t="s">
        <v>1143</v>
      </c>
      <c r="F330" s="203" t="s">
        <v>1132</v>
      </c>
      <c r="G330" s="40" t="s">
        <v>1144</v>
      </c>
      <c r="H330" s="40" t="s">
        <v>1134</v>
      </c>
      <c r="I330" s="40">
        <v>1</v>
      </c>
      <c r="J330" s="204">
        <v>2</v>
      </c>
      <c r="K330" s="201">
        <v>2</v>
      </c>
      <c r="L330" s="128">
        <v>9999</v>
      </c>
      <c r="M330" s="201">
        <v>0</v>
      </c>
      <c r="N330" s="201">
        <v>1</v>
      </c>
      <c r="O330" s="205" t="s">
        <v>1145</v>
      </c>
      <c r="S330" s="201">
        <v>1</v>
      </c>
      <c r="T330" s="201">
        <v>5</v>
      </c>
      <c r="U330" s="201">
        <v>170</v>
      </c>
      <c r="V330" s="201">
        <v>1</v>
      </c>
      <c r="W330" s="201">
        <v>1</v>
      </c>
      <c r="X330" s="201">
        <v>1</v>
      </c>
      <c r="Y330" s="40">
        <v>0</v>
      </c>
      <c r="Z330" s="40">
        <v>0</v>
      </c>
      <c r="AA330" s="40">
        <v>5</v>
      </c>
      <c r="AB330" s="40">
        <v>6460</v>
      </c>
      <c r="AC330" s="201">
        <v>300</v>
      </c>
      <c r="AD330" s="206">
        <v>0</v>
      </c>
      <c r="AE330" s="207">
        <v>4</v>
      </c>
      <c r="AF330" s="207">
        <v>2</v>
      </c>
      <c r="AG330" s="208"/>
      <c r="AH330" s="208">
        <v>1</v>
      </c>
      <c r="AI330" s="209"/>
      <c r="AJ330" s="201"/>
      <c r="AK330" s="201"/>
      <c r="AL330" s="201">
        <v>1</v>
      </c>
      <c r="AM330" s="210">
        <v>4</v>
      </c>
      <c r="AN330" s="211" t="s">
        <v>1136</v>
      </c>
      <c r="AO330" s="209"/>
      <c r="AP330" s="212"/>
      <c r="AQ330" s="202" t="s">
        <v>1143</v>
      </c>
      <c r="AS330" s="40">
        <v>1</v>
      </c>
    </row>
    <row r="331" s="40" customFormat="1" spans="1:45">
      <c r="A331" s="201">
        <v>215018</v>
      </c>
      <c r="B331" s="201">
        <v>1001</v>
      </c>
      <c r="C331" s="201">
        <v>1</v>
      </c>
      <c r="D331" s="201">
        <v>1001</v>
      </c>
      <c r="E331" s="202" t="s">
        <v>1146</v>
      </c>
      <c r="F331" s="203" t="s">
        <v>1132</v>
      </c>
      <c r="G331" s="40" t="s">
        <v>1147</v>
      </c>
      <c r="H331" s="40" t="s">
        <v>1148</v>
      </c>
      <c r="I331" s="40">
        <v>1</v>
      </c>
      <c r="J331" s="204">
        <v>3</v>
      </c>
      <c r="K331" s="201">
        <v>2</v>
      </c>
      <c r="L331" s="128">
        <v>9999</v>
      </c>
      <c r="M331" s="201">
        <v>0</v>
      </c>
      <c r="N331" s="201">
        <v>1</v>
      </c>
      <c r="O331" s="205" t="s">
        <v>1149</v>
      </c>
      <c r="S331" s="201">
        <v>1</v>
      </c>
      <c r="T331" s="201">
        <v>5</v>
      </c>
      <c r="U331" s="201">
        <v>170</v>
      </c>
      <c r="V331" s="201">
        <v>1</v>
      </c>
      <c r="W331" s="201">
        <v>1</v>
      </c>
      <c r="X331" s="201">
        <v>1</v>
      </c>
      <c r="Y331" s="40">
        <v>0</v>
      </c>
      <c r="Z331" s="40">
        <v>0</v>
      </c>
      <c r="AA331" s="40">
        <v>5</v>
      </c>
      <c r="AB331" s="40">
        <v>6460</v>
      </c>
      <c r="AC331" s="201">
        <v>300</v>
      </c>
      <c r="AD331" s="206">
        <v>0</v>
      </c>
      <c r="AE331" s="207">
        <v>4</v>
      </c>
      <c r="AF331" s="207">
        <v>2</v>
      </c>
      <c r="AG331" s="208"/>
      <c r="AH331" s="208">
        <v>1</v>
      </c>
      <c r="AI331" s="209"/>
      <c r="AJ331" s="201"/>
      <c r="AK331" s="201"/>
      <c r="AL331" s="201">
        <v>1</v>
      </c>
      <c r="AM331" s="210">
        <v>5</v>
      </c>
      <c r="AN331" s="211" t="s">
        <v>1136</v>
      </c>
      <c r="AO331" s="209"/>
      <c r="AP331" s="212"/>
      <c r="AQ331" s="202" t="s">
        <v>1146</v>
      </c>
      <c r="AS331" s="40">
        <v>1</v>
      </c>
    </row>
    <row r="332" s="40" customFormat="1" spans="1:45">
      <c r="A332" s="201">
        <v>216018</v>
      </c>
      <c r="B332" s="201">
        <v>1001</v>
      </c>
      <c r="C332" s="201">
        <v>1</v>
      </c>
      <c r="D332" s="201">
        <v>1001</v>
      </c>
      <c r="E332" s="202" t="s">
        <v>1150</v>
      </c>
      <c r="F332" s="203" t="s">
        <v>1132</v>
      </c>
      <c r="G332" s="40" t="s">
        <v>1151</v>
      </c>
      <c r="H332" s="40" t="s">
        <v>1148</v>
      </c>
      <c r="I332" s="40">
        <v>1</v>
      </c>
      <c r="J332" s="204">
        <v>3</v>
      </c>
      <c r="K332" s="201">
        <v>2</v>
      </c>
      <c r="L332" s="128">
        <v>9999</v>
      </c>
      <c r="M332" s="201">
        <v>0</v>
      </c>
      <c r="N332" s="201">
        <v>1</v>
      </c>
      <c r="O332" s="205" t="s">
        <v>1152</v>
      </c>
      <c r="S332" s="201">
        <v>1</v>
      </c>
      <c r="T332" s="201">
        <v>5</v>
      </c>
      <c r="U332" s="201">
        <v>170</v>
      </c>
      <c r="V332" s="201">
        <v>1</v>
      </c>
      <c r="W332" s="201">
        <v>1</v>
      </c>
      <c r="X332" s="201">
        <v>1</v>
      </c>
      <c r="Y332" s="40">
        <v>0</v>
      </c>
      <c r="Z332" s="40">
        <v>0</v>
      </c>
      <c r="AA332" s="40">
        <v>5</v>
      </c>
      <c r="AB332" s="40">
        <v>6460</v>
      </c>
      <c r="AC332" s="201">
        <v>300</v>
      </c>
      <c r="AD332" s="206">
        <v>0</v>
      </c>
      <c r="AE332" s="207">
        <v>4</v>
      </c>
      <c r="AF332" s="207">
        <v>2</v>
      </c>
      <c r="AG332" s="208"/>
      <c r="AH332" s="208">
        <v>1</v>
      </c>
      <c r="AI332" s="209"/>
      <c r="AJ332" s="201"/>
      <c r="AK332" s="201"/>
      <c r="AL332" s="201">
        <v>1</v>
      </c>
      <c r="AM332" s="210">
        <v>6</v>
      </c>
      <c r="AN332" s="211"/>
      <c r="AO332" s="209"/>
      <c r="AP332" s="212"/>
      <c r="AQ332" s="202" t="s">
        <v>1150</v>
      </c>
      <c r="AS332" s="40">
        <v>1</v>
      </c>
    </row>
    <row r="333" s="40" customFormat="1" spans="1:45">
      <c r="A333" s="201">
        <v>217018</v>
      </c>
      <c r="B333" s="201">
        <v>1001</v>
      </c>
      <c r="C333" s="201">
        <v>1</v>
      </c>
      <c r="D333" s="201">
        <v>1001</v>
      </c>
      <c r="E333" s="202" t="s">
        <v>1153</v>
      </c>
      <c r="F333" s="203" t="s">
        <v>1132</v>
      </c>
      <c r="G333" s="40" t="s">
        <v>1154</v>
      </c>
      <c r="H333" s="40" t="s">
        <v>1155</v>
      </c>
      <c r="I333" s="40">
        <v>1</v>
      </c>
      <c r="J333" s="204">
        <v>4</v>
      </c>
      <c r="K333" s="201">
        <v>2</v>
      </c>
      <c r="L333" s="128">
        <v>9999</v>
      </c>
      <c r="M333" s="201">
        <v>0</v>
      </c>
      <c r="N333" s="201">
        <v>1</v>
      </c>
      <c r="O333" s="205" t="s">
        <v>1156</v>
      </c>
      <c r="S333" s="201">
        <v>1</v>
      </c>
      <c r="T333" s="201">
        <v>5</v>
      </c>
      <c r="U333" s="201">
        <v>200</v>
      </c>
      <c r="V333" s="201">
        <v>1</v>
      </c>
      <c r="W333" s="201">
        <v>1</v>
      </c>
      <c r="X333" s="201">
        <v>1</v>
      </c>
      <c r="Y333" s="40">
        <v>0</v>
      </c>
      <c r="Z333" s="40">
        <v>0</v>
      </c>
      <c r="AA333" s="40">
        <v>5</v>
      </c>
      <c r="AB333" s="40">
        <v>7600</v>
      </c>
      <c r="AC333" s="201">
        <v>300</v>
      </c>
      <c r="AD333" s="206">
        <v>0</v>
      </c>
      <c r="AE333" s="207">
        <v>4</v>
      </c>
      <c r="AF333" s="207">
        <v>2</v>
      </c>
      <c r="AG333" s="208"/>
      <c r="AH333" s="208">
        <v>1</v>
      </c>
      <c r="AI333" s="209"/>
      <c r="AJ333" s="201"/>
      <c r="AK333" s="201"/>
      <c r="AL333" s="201">
        <v>1</v>
      </c>
      <c r="AM333" s="210">
        <v>7</v>
      </c>
      <c r="AN333" s="211"/>
      <c r="AO333" s="209"/>
      <c r="AP333" s="212"/>
      <c r="AQ333" s="202" t="s">
        <v>1153</v>
      </c>
      <c r="AS333" s="40">
        <v>1</v>
      </c>
    </row>
    <row r="334" s="40" customFormat="1" spans="1:45">
      <c r="A334" s="201">
        <v>218018</v>
      </c>
      <c r="B334" s="201">
        <v>1001</v>
      </c>
      <c r="C334" s="201">
        <v>1</v>
      </c>
      <c r="D334" s="201">
        <v>1001</v>
      </c>
      <c r="E334" s="202" t="s">
        <v>1157</v>
      </c>
      <c r="F334" s="203" t="s">
        <v>1132</v>
      </c>
      <c r="G334" s="40" t="s">
        <v>1158</v>
      </c>
      <c r="H334" s="40" t="s">
        <v>1155</v>
      </c>
      <c r="I334" s="40">
        <v>1</v>
      </c>
      <c r="J334" s="204">
        <v>4</v>
      </c>
      <c r="K334" s="201">
        <v>2</v>
      </c>
      <c r="L334" s="128">
        <v>9999</v>
      </c>
      <c r="M334" s="201">
        <v>0</v>
      </c>
      <c r="N334" s="201">
        <v>1</v>
      </c>
      <c r="O334" s="205" t="s">
        <v>1159</v>
      </c>
      <c r="S334" s="201">
        <v>1</v>
      </c>
      <c r="T334" s="201">
        <v>5</v>
      </c>
      <c r="U334" s="201">
        <v>200</v>
      </c>
      <c r="V334" s="201">
        <v>1</v>
      </c>
      <c r="W334" s="201">
        <v>1</v>
      </c>
      <c r="X334" s="201">
        <v>1</v>
      </c>
      <c r="Y334" s="40">
        <v>0</v>
      </c>
      <c r="Z334" s="40">
        <v>0</v>
      </c>
      <c r="AA334" s="40">
        <v>5</v>
      </c>
      <c r="AB334" s="40">
        <v>7600</v>
      </c>
      <c r="AC334" s="201">
        <v>300</v>
      </c>
      <c r="AD334" s="206">
        <v>0</v>
      </c>
      <c r="AE334" s="207">
        <v>4</v>
      </c>
      <c r="AF334" s="207">
        <v>2</v>
      </c>
      <c r="AG334" s="208"/>
      <c r="AH334" s="208">
        <v>1</v>
      </c>
      <c r="AI334" s="209"/>
      <c r="AJ334" s="201"/>
      <c r="AK334" s="201"/>
      <c r="AL334" s="201">
        <v>1</v>
      </c>
      <c r="AM334" s="210">
        <v>8</v>
      </c>
      <c r="AN334" s="211"/>
      <c r="AO334" s="209"/>
      <c r="AP334" s="212"/>
      <c r="AQ334" s="202" t="s">
        <v>1157</v>
      </c>
      <c r="AS334" s="40">
        <v>1</v>
      </c>
    </row>
    <row r="335" s="40" customFormat="1" spans="1:45">
      <c r="A335" s="201">
        <v>219018</v>
      </c>
      <c r="B335" s="201">
        <v>1001</v>
      </c>
      <c r="C335" s="201">
        <v>1</v>
      </c>
      <c r="D335" s="201">
        <v>1001</v>
      </c>
      <c r="E335" s="202" t="s">
        <v>1160</v>
      </c>
      <c r="F335" s="203" t="s">
        <v>1132</v>
      </c>
      <c r="G335" s="40" t="s">
        <v>1161</v>
      </c>
      <c r="H335" s="40" t="s">
        <v>1162</v>
      </c>
      <c r="I335" s="40">
        <v>1</v>
      </c>
      <c r="J335" s="204">
        <v>5</v>
      </c>
      <c r="K335" s="201">
        <v>2</v>
      </c>
      <c r="L335" s="128">
        <v>9999</v>
      </c>
      <c r="M335" s="201">
        <v>0</v>
      </c>
      <c r="N335" s="201">
        <v>1</v>
      </c>
      <c r="O335" s="205" t="s">
        <v>1163</v>
      </c>
      <c r="S335" s="201">
        <v>1</v>
      </c>
      <c r="T335" s="201">
        <v>5</v>
      </c>
      <c r="U335" s="201">
        <v>200</v>
      </c>
      <c r="V335" s="201">
        <v>1</v>
      </c>
      <c r="W335" s="201">
        <v>1</v>
      </c>
      <c r="X335" s="201">
        <v>1</v>
      </c>
      <c r="Y335" s="40">
        <v>0</v>
      </c>
      <c r="Z335" s="40">
        <v>0</v>
      </c>
      <c r="AA335" s="40">
        <v>5</v>
      </c>
      <c r="AB335" s="40">
        <v>7600</v>
      </c>
      <c r="AC335" s="201">
        <v>300</v>
      </c>
      <c r="AD335" s="206">
        <v>0</v>
      </c>
      <c r="AE335" s="207">
        <v>4</v>
      </c>
      <c r="AF335" s="207">
        <v>2</v>
      </c>
      <c r="AG335" s="208"/>
      <c r="AH335" s="208">
        <v>1</v>
      </c>
      <c r="AI335" s="209"/>
      <c r="AJ335" s="201"/>
      <c r="AK335" s="201"/>
      <c r="AL335" s="201">
        <v>1</v>
      </c>
      <c r="AM335" s="210">
        <v>9</v>
      </c>
      <c r="AN335" s="211"/>
      <c r="AO335" s="209"/>
      <c r="AP335" s="212"/>
      <c r="AQ335" s="202" t="s">
        <v>1160</v>
      </c>
      <c r="AS335" s="40">
        <v>1</v>
      </c>
    </row>
    <row r="336" s="40" customFormat="1" spans="1:45">
      <c r="A336" s="201">
        <v>210018</v>
      </c>
      <c r="B336" s="201">
        <v>1001</v>
      </c>
      <c r="C336" s="201">
        <v>1</v>
      </c>
      <c r="D336" s="201">
        <v>1001</v>
      </c>
      <c r="E336" s="202" t="s">
        <v>1164</v>
      </c>
      <c r="F336" s="203" t="s">
        <v>1132</v>
      </c>
      <c r="G336" s="40" t="s">
        <v>1165</v>
      </c>
      <c r="H336" s="40" t="s">
        <v>1162</v>
      </c>
      <c r="I336" s="40">
        <v>1</v>
      </c>
      <c r="J336" s="204">
        <v>5</v>
      </c>
      <c r="K336" s="201">
        <v>2</v>
      </c>
      <c r="L336" s="128">
        <v>9999</v>
      </c>
      <c r="M336" s="201">
        <v>0</v>
      </c>
      <c r="N336" s="201">
        <v>1</v>
      </c>
      <c r="O336" s="205" t="s">
        <v>1166</v>
      </c>
      <c r="S336" s="201">
        <v>1</v>
      </c>
      <c r="T336" s="201">
        <v>5</v>
      </c>
      <c r="U336" s="201">
        <v>200</v>
      </c>
      <c r="V336" s="201">
        <v>1</v>
      </c>
      <c r="W336" s="201">
        <v>1</v>
      </c>
      <c r="X336" s="201">
        <v>1</v>
      </c>
      <c r="Y336" s="40">
        <v>0</v>
      </c>
      <c r="Z336" s="40">
        <v>0</v>
      </c>
      <c r="AA336" s="40">
        <v>5</v>
      </c>
      <c r="AB336" s="40">
        <v>7600</v>
      </c>
      <c r="AC336" s="201">
        <v>300</v>
      </c>
      <c r="AD336" s="206">
        <v>0</v>
      </c>
      <c r="AE336" s="207">
        <v>4</v>
      </c>
      <c r="AF336" s="207">
        <v>2</v>
      </c>
      <c r="AG336" s="208"/>
      <c r="AH336" s="208">
        <v>1</v>
      </c>
      <c r="AI336" s="209"/>
      <c r="AJ336" s="201"/>
      <c r="AK336" s="201"/>
      <c r="AL336" s="201">
        <v>1</v>
      </c>
      <c r="AM336" s="210">
        <v>10</v>
      </c>
      <c r="AN336" s="211"/>
      <c r="AO336" s="209"/>
      <c r="AP336" s="212"/>
      <c r="AQ336" s="202" t="s">
        <v>1164</v>
      </c>
      <c r="AS336" s="40">
        <v>1</v>
      </c>
    </row>
    <row r="337" s="40" customFormat="1" spans="1:45">
      <c r="A337" s="201">
        <v>210118</v>
      </c>
      <c r="B337" s="201">
        <v>1001</v>
      </c>
      <c r="C337" s="201">
        <v>1</v>
      </c>
      <c r="D337" s="201">
        <v>1001</v>
      </c>
      <c r="E337" s="202" t="s">
        <v>1167</v>
      </c>
      <c r="F337" s="203" t="s">
        <v>1132</v>
      </c>
      <c r="G337" s="40" t="s">
        <v>1168</v>
      </c>
      <c r="H337" s="40" t="s">
        <v>1162</v>
      </c>
      <c r="I337" s="40">
        <v>1</v>
      </c>
      <c r="J337" s="204">
        <v>5</v>
      </c>
      <c r="K337" s="201">
        <v>2</v>
      </c>
      <c r="L337" s="128">
        <v>9999</v>
      </c>
      <c r="M337" s="201">
        <v>0</v>
      </c>
      <c r="N337" s="201">
        <v>1</v>
      </c>
      <c r="O337" s="205" t="s">
        <v>1169</v>
      </c>
      <c r="S337" s="201">
        <v>1</v>
      </c>
      <c r="T337" s="201">
        <v>5</v>
      </c>
      <c r="U337" s="201">
        <v>200</v>
      </c>
      <c r="V337" s="201">
        <v>1</v>
      </c>
      <c r="W337" s="201">
        <v>1</v>
      </c>
      <c r="X337" s="201">
        <v>1</v>
      </c>
      <c r="Y337" s="40">
        <v>0</v>
      </c>
      <c r="Z337" s="40">
        <v>0</v>
      </c>
      <c r="AA337" s="40">
        <v>5</v>
      </c>
      <c r="AB337" s="40">
        <v>7600</v>
      </c>
      <c r="AC337" s="201">
        <v>300</v>
      </c>
      <c r="AD337" s="206">
        <v>0</v>
      </c>
      <c r="AE337" s="207">
        <v>4</v>
      </c>
      <c r="AF337" s="207">
        <v>2</v>
      </c>
      <c r="AG337" s="208"/>
      <c r="AH337" s="208">
        <v>1</v>
      </c>
      <c r="AI337" s="209"/>
      <c r="AJ337" s="201"/>
      <c r="AK337" s="201"/>
      <c r="AL337" s="201">
        <v>1</v>
      </c>
      <c r="AM337" s="210">
        <v>11</v>
      </c>
      <c r="AN337" s="211"/>
      <c r="AO337" s="209"/>
      <c r="AP337" s="212"/>
      <c r="AQ337" s="202" t="s">
        <v>1167</v>
      </c>
      <c r="AS337" s="40">
        <v>1</v>
      </c>
    </row>
    <row r="338" s="40" customFormat="1" spans="1:45">
      <c r="A338" s="201">
        <v>210218</v>
      </c>
      <c r="B338" s="201">
        <v>1001</v>
      </c>
      <c r="C338" s="201">
        <v>1</v>
      </c>
      <c r="D338" s="201">
        <v>1001</v>
      </c>
      <c r="E338" s="202" t="s">
        <v>1170</v>
      </c>
      <c r="F338" s="203" t="s">
        <v>1132</v>
      </c>
      <c r="G338" s="40" t="s">
        <v>1171</v>
      </c>
      <c r="H338" s="40" t="s">
        <v>1162</v>
      </c>
      <c r="I338" s="40">
        <v>1</v>
      </c>
      <c r="J338" s="204">
        <v>5</v>
      </c>
      <c r="K338" s="201">
        <v>2</v>
      </c>
      <c r="L338" s="128">
        <v>9999</v>
      </c>
      <c r="M338" s="201">
        <v>0</v>
      </c>
      <c r="N338" s="201">
        <v>1</v>
      </c>
      <c r="O338" s="205" t="s">
        <v>1169</v>
      </c>
      <c r="S338" s="201">
        <v>1</v>
      </c>
      <c r="T338" s="201">
        <v>5</v>
      </c>
      <c r="U338" s="201">
        <v>200</v>
      </c>
      <c r="V338" s="201">
        <v>1</v>
      </c>
      <c r="W338" s="201">
        <v>1</v>
      </c>
      <c r="X338" s="201">
        <v>1</v>
      </c>
      <c r="Y338" s="40">
        <v>0</v>
      </c>
      <c r="Z338" s="40">
        <v>0</v>
      </c>
      <c r="AA338" s="40">
        <v>5</v>
      </c>
      <c r="AB338" s="40">
        <v>7600</v>
      </c>
      <c r="AC338" s="201">
        <v>300</v>
      </c>
      <c r="AD338" s="206">
        <v>0</v>
      </c>
      <c r="AE338" s="207">
        <v>4</v>
      </c>
      <c r="AF338" s="207">
        <v>2</v>
      </c>
      <c r="AG338" s="208"/>
      <c r="AH338" s="208">
        <v>1</v>
      </c>
      <c r="AI338" s="209"/>
      <c r="AJ338" s="201"/>
      <c r="AK338" s="201"/>
      <c r="AL338" s="201">
        <v>1</v>
      </c>
      <c r="AM338" s="210">
        <v>12</v>
      </c>
      <c r="AN338" s="211"/>
      <c r="AO338" s="209"/>
      <c r="AP338" s="212"/>
      <c r="AQ338" s="202" t="s">
        <v>1170</v>
      </c>
      <c r="AS338" s="40">
        <v>1</v>
      </c>
    </row>
    <row r="339" s="40" customFormat="1" spans="1:45">
      <c r="A339" s="201">
        <v>210318</v>
      </c>
      <c r="B339" s="201">
        <v>1001</v>
      </c>
      <c r="C339" s="201">
        <v>1</v>
      </c>
      <c r="D339" s="201">
        <v>1001</v>
      </c>
      <c r="E339" s="202" t="s">
        <v>1172</v>
      </c>
      <c r="F339" s="203" t="s">
        <v>1132</v>
      </c>
      <c r="G339" s="40" t="s">
        <v>1173</v>
      </c>
      <c r="H339" s="40" t="s">
        <v>1162</v>
      </c>
      <c r="I339" s="40">
        <v>1</v>
      </c>
      <c r="J339" s="204">
        <v>5</v>
      </c>
      <c r="K339" s="201">
        <v>2</v>
      </c>
      <c r="L339" s="128">
        <v>9999</v>
      </c>
      <c r="M339" s="201">
        <v>0</v>
      </c>
      <c r="N339" s="201">
        <v>1</v>
      </c>
      <c r="O339" s="205" t="s">
        <v>1169</v>
      </c>
      <c r="S339" s="201">
        <v>1</v>
      </c>
      <c r="T339" s="201">
        <v>5</v>
      </c>
      <c r="U339" s="201">
        <v>200</v>
      </c>
      <c r="V339" s="201">
        <v>1</v>
      </c>
      <c r="W339" s="201">
        <v>1</v>
      </c>
      <c r="X339" s="201">
        <v>1</v>
      </c>
      <c r="Y339" s="40">
        <v>0</v>
      </c>
      <c r="Z339" s="40">
        <v>0</v>
      </c>
      <c r="AA339" s="40">
        <v>5</v>
      </c>
      <c r="AB339" s="40">
        <v>7600</v>
      </c>
      <c r="AC339" s="201">
        <v>300</v>
      </c>
      <c r="AD339" s="206">
        <v>0</v>
      </c>
      <c r="AE339" s="207">
        <v>4</v>
      </c>
      <c r="AF339" s="207">
        <v>2</v>
      </c>
      <c r="AG339" s="208"/>
      <c r="AH339" s="208">
        <v>1</v>
      </c>
      <c r="AI339" s="209"/>
      <c r="AJ339" s="201"/>
      <c r="AK339" s="201"/>
      <c r="AL339" s="201">
        <v>1</v>
      </c>
      <c r="AM339" s="210">
        <v>13</v>
      </c>
      <c r="AN339" s="211"/>
      <c r="AO339" s="209"/>
      <c r="AP339" s="212"/>
      <c r="AQ339" s="202" t="s">
        <v>1172</v>
      </c>
      <c r="AS339" s="40">
        <v>1</v>
      </c>
    </row>
    <row r="340" s="40" customFormat="1" spans="1:45">
      <c r="A340" s="201">
        <v>210418</v>
      </c>
      <c r="B340" s="201">
        <v>1001</v>
      </c>
      <c r="C340" s="201">
        <v>1</v>
      </c>
      <c r="D340" s="201">
        <v>1001</v>
      </c>
      <c r="E340" s="202" t="s">
        <v>1174</v>
      </c>
      <c r="F340" s="203" t="s">
        <v>1132</v>
      </c>
      <c r="G340" s="40" t="s">
        <v>1175</v>
      </c>
      <c r="H340" s="40" t="s">
        <v>1162</v>
      </c>
      <c r="I340" s="40">
        <v>1</v>
      </c>
      <c r="J340" s="204">
        <v>5</v>
      </c>
      <c r="K340" s="201">
        <v>2</v>
      </c>
      <c r="L340" s="128">
        <v>9999</v>
      </c>
      <c r="M340" s="201">
        <v>0</v>
      </c>
      <c r="N340" s="201">
        <v>1</v>
      </c>
      <c r="O340" s="205" t="s">
        <v>1169</v>
      </c>
      <c r="S340" s="201">
        <v>1</v>
      </c>
      <c r="T340" s="201">
        <v>5</v>
      </c>
      <c r="U340" s="201">
        <v>200</v>
      </c>
      <c r="V340" s="201">
        <v>1</v>
      </c>
      <c r="W340" s="201">
        <v>1</v>
      </c>
      <c r="X340" s="201">
        <v>1</v>
      </c>
      <c r="Y340" s="40">
        <v>0</v>
      </c>
      <c r="Z340" s="40">
        <v>0</v>
      </c>
      <c r="AA340" s="40">
        <v>5</v>
      </c>
      <c r="AB340" s="40">
        <v>7600</v>
      </c>
      <c r="AC340" s="201">
        <v>300</v>
      </c>
      <c r="AD340" s="206">
        <v>0</v>
      </c>
      <c r="AE340" s="207">
        <v>4</v>
      </c>
      <c r="AF340" s="207">
        <v>2</v>
      </c>
      <c r="AG340" s="208"/>
      <c r="AH340" s="208">
        <v>1</v>
      </c>
      <c r="AI340" s="209"/>
      <c r="AJ340" s="201"/>
      <c r="AK340" s="201"/>
      <c r="AL340" s="201">
        <v>1</v>
      </c>
      <c r="AM340" s="210">
        <v>14</v>
      </c>
      <c r="AN340" s="211"/>
      <c r="AO340" s="209"/>
      <c r="AP340" s="212"/>
      <c r="AQ340" s="202" t="s">
        <v>1174</v>
      </c>
      <c r="AS340" s="40">
        <v>1</v>
      </c>
    </row>
    <row r="341" spans="1:45">
      <c r="A341" s="201">
        <v>210518</v>
      </c>
      <c r="B341" s="201">
        <v>1001</v>
      </c>
      <c r="C341" s="201">
        <v>1</v>
      </c>
      <c r="D341" s="201">
        <v>1001</v>
      </c>
      <c r="E341" s="202" t="s">
        <v>1176</v>
      </c>
      <c r="F341" s="203" t="s">
        <v>1132</v>
      </c>
      <c r="G341" s="40" t="s">
        <v>1177</v>
      </c>
      <c r="H341" s="40" t="s">
        <v>1162</v>
      </c>
      <c r="I341" s="40">
        <v>1</v>
      </c>
      <c r="J341" s="204">
        <v>5</v>
      </c>
      <c r="K341" s="201">
        <v>2</v>
      </c>
      <c r="L341" s="128">
        <v>9999</v>
      </c>
      <c r="M341" s="201">
        <v>0</v>
      </c>
      <c r="N341" s="201">
        <v>1</v>
      </c>
      <c r="O341" s="205" t="s">
        <v>1169</v>
      </c>
      <c r="S341" s="201">
        <v>1</v>
      </c>
      <c r="T341" s="201">
        <v>5</v>
      </c>
      <c r="U341" s="201">
        <v>200</v>
      </c>
      <c r="V341" s="201">
        <v>1</v>
      </c>
      <c r="W341" s="201">
        <v>1</v>
      </c>
      <c r="X341" s="201">
        <v>1</v>
      </c>
      <c r="Y341" s="40">
        <v>0</v>
      </c>
      <c r="Z341" s="40">
        <v>0</v>
      </c>
      <c r="AA341" s="40">
        <v>5</v>
      </c>
      <c r="AB341" s="40">
        <v>7600</v>
      </c>
      <c r="AC341" s="201">
        <v>300</v>
      </c>
      <c r="AD341" s="206">
        <v>0</v>
      </c>
      <c r="AE341" s="207">
        <v>4</v>
      </c>
      <c r="AF341" s="207">
        <v>2</v>
      </c>
      <c r="AG341" s="208"/>
      <c r="AH341" s="208">
        <v>1</v>
      </c>
      <c r="AI341" s="209"/>
      <c r="AJ341" s="201"/>
      <c r="AK341" s="201"/>
      <c r="AL341" s="201">
        <v>1</v>
      </c>
      <c r="AM341" s="210">
        <v>15</v>
      </c>
      <c r="AN341" s="211"/>
      <c r="AO341" s="209"/>
      <c r="AP341" s="212"/>
      <c r="AQ341" s="202" t="s">
        <v>1176</v>
      </c>
      <c r="AS341" s="40">
        <v>1</v>
      </c>
    </row>
    <row r="342" s="40" customFormat="1" spans="1:45">
      <c r="A342" s="8">
        <v>210618</v>
      </c>
      <c r="B342" s="8">
        <v>1001</v>
      </c>
      <c r="C342" s="8">
        <v>1</v>
      </c>
      <c r="D342" s="8">
        <v>1001</v>
      </c>
      <c r="E342" s="147" t="s">
        <v>1178</v>
      </c>
      <c r="F342" s="13" t="s">
        <v>1132</v>
      </c>
      <c r="G342" t="s">
        <v>1179</v>
      </c>
      <c r="H342" t="s">
        <v>1162</v>
      </c>
      <c r="I342">
        <v>1</v>
      </c>
      <c r="J342" s="69">
        <v>5</v>
      </c>
      <c r="K342" s="8">
        <v>1</v>
      </c>
      <c r="L342" s="128">
        <v>9999</v>
      </c>
      <c r="M342" s="8">
        <v>0</v>
      </c>
      <c r="N342" s="8"/>
      <c r="O342" s="205"/>
      <c r="S342" s="8">
        <v>1</v>
      </c>
      <c r="T342" s="8">
        <v>5</v>
      </c>
      <c r="U342" s="8">
        <v>200</v>
      </c>
      <c r="V342" s="8">
        <v>1</v>
      </c>
      <c r="W342" s="8">
        <v>1</v>
      </c>
      <c r="X342" s="8">
        <v>1</v>
      </c>
      <c r="Y342">
        <v>0</v>
      </c>
      <c r="Z342" s="33">
        <v>0</v>
      </c>
      <c r="AA342">
        <v>5</v>
      </c>
      <c r="AB342">
        <v>7600</v>
      </c>
      <c r="AC342" s="8">
        <v>300</v>
      </c>
      <c r="AD342" s="12">
        <v>0</v>
      </c>
      <c r="AE342" s="159">
        <v>0</v>
      </c>
      <c r="AF342" s="159">
        <v>0</v>
      </c>
      <c r="AG342" s="160"/>
      <c r="AH342" s="160">
        <v>1</v>
      </c>
      <c r="AI342" s="161"/>
      <c r="AJ342" s="8"/>
      <c r="AK342" s="8"/>
      <c r="AL342" s="8">
        <v>1</v>
      </c>
      <c r="AM342" s="213"/>
      <c r="AN342" s="162"/>
      <c r="AO342" s="161"/>
      <c r="AP342" s="214"/>
      <c r="AQ342" s="147" t="s">
        <v>1178</v>
      </c>
      <c r="AS342">
        <v>1</v>
      </c>
    </row>
    <row r="343" s="40" customFormat="1" spans="1:45">
      <c r="A343" s="201">
        <v>211019</v>
      </c>
      <c r="B343" s="201">
        <v>1001</v>
      </c>
      <c r="C343" s="201">
        <v>1</v>
      </c>
      <c r="D343" s="201">
        <v>1001</v>
      </c>
      <c r="E343" s="202" t="s">
        <v>1180</v>
      </c>
      <c r="F343" s="203" t="s">
        <v>1181</v>
      </c>
      <c r="G343" s="40" t="s">
        <v>1182</v>
      </c>
      <c r="H343" s="40" t="s">
        <v>1183</v>
      </c>
      <c r="I343" s="40">
        <v>1</v>
      </c>
      <c r="J343" s="204">
        <v>1</v>
      </c>
      <c r="K343" s="201">
        <v>2</v>
      </c>
      <c r="L343" s="128">
        <v>9999</v>
      </c>
      <c r="M343" s="201">
        <v>0</v>
      </c>
      <c r="N343" s="201">
        <v>1</v>
      </c>
      <c r="O343" s="205" t="s">
        <v>1135</v>
      </c>
      <c r="S343" s="201">
        <v>1</v>
      </c>
      <c r="T343" s="201">
        <v>5</v>
      </c>
      <c r="U343" s="201">
        <v>140</v>
      </c>
      <c r="V343" s="201">
        <v>1</v>
      </c>
      <c r="W343" s="201">
        <v>1</v>
      </c>
      <c r="X343" s="201">
        <v>1</v>
      </c>
      <c r="Y343" s="40">
        <v>0</v>
      </c>
      <c r="Z343" s="40">
        <v>0</v>
      </c>
      <c r="AA343" s="40">
        <v>5</v>
      </c>
      <c r="AB343" s="40">
        <v>5320</v>
      </c>
      <c r="AC343" s="201">
        <v>300</v>
      </c>
      <c r="AD343" s="206">
        <v>0</v>
      </c>
      <c r="AE343" s="207">
        <v>4</v>
      </c>
      <c r="AF343" s="207">
        <v>2</v>
      </c>
      <c r="AG343" s="208"/>
      <c r="AH343" s="208">
        <v>1</v>
      </c>
      <c r="AI343" s="209"/>
      <c r="AJ343" s="201"/>
      <c r="AK343" s="201"/>
      <c r="AL343" s="201">
        <v>1</v>
      </c>
      <c r="AM343" s="210">
        <v>1</v>
      </c>
      <c r="AN343" s="211" t="s">
        <v>1136</v>
      </c>
      <c r="AO343" s="209"/>
      <c r="AP343" s="212"/>
      <c r="AQ343" s="202" t="s">
        <v>1180</v>
      </c>
      <c r="AS343" s="40">
        <v>1</v>
      </c>
    </row>
    <row r="344" s="40" customFormat="1" spans="1:45">
      <c r="A344" s="201">
        <v>212019</v>
      </c>
      <c r="B344" s="201">
        <v>1001</v>
      </c>
      <c r="C344" s="201">
        <v>1</v>
      </c>
      <c r="D344" s="201">
        <v>1001</v>
      </c>
      <c r="E344" s="202" t="s">
        <v>1184</v>
      </c>
      <c r="F344" s="203" t="s">
        <v>1181</v>
      </c>
      <c r="G344" s="40" t="s">
        <v>1185</v>
      </c>
      <c r="H344" s="40" t="s">
        <v>1183</v>
      </c>
      <c r="I344" s="40">
        <v>1</v>
      </c>
      <c r="J344" s="204">
        <v>1</v>
      </c>
      <c r="K344" s="201">
        <v>2</v>
      </c>
      <c r="L344" s="128">
        <v>9999</v>
      </c>
      <c r="M344" s="201">
        <v>0</v>
      </c>
      <c r="N344" s="201">
        <v>1</v>
      </c>
      <c r="O344" s="205" t="s">
        <v>1139</v>
      </c>
      <c r="S344" s="201">
        <v>1</v>
      </c>
      <c r="T344" s="201">
        <v>5</v>
      </c>
      <c r="U344" s="201">
        <v>140</v>
      </c>
      <c r="V344" s="201">
        <v>1</v>
      </c>
      <c r="W344" s="201">
        <v>1</v>
      </c>
      <c r="X344" s="201">
        <v>1</v>
      </c>
      <c r="Y344" s="40">
        <v>0</v>
      </c>
      <c r="Z344" s="40">
        <v>0</v>
      </c>
      <c r="AA344" s="40">
        <v>5</v>
      </c>
      <c r="AB344" s="40">
        <v>5320</v>
      </c>
      <c r="AC344" s="201">
        <v>300</v>
      </c>
      <c r="AD344" s="206">
        <v>0</v>
      </c>
      <c r="AE344" s="207">
        <v>4</v>
      </c>
      <c r="AF344" s="207">
        <v>2</v>
      </c>
      <c r="AG344" s="208"/>
      <c r="AH344" s="208">
        <v>1</v>
      </c>
      <c r="AI344" s="209"/>
      <c r="AJ344" s="201"/>
      <c r="AK344" s="201"/>
      <c r="AL344" s="201">
        <v>1</v>
      </c>
      <c r="AM344" s="210">
        <v>2</v>
      </c>
      <c r="AN344" s="211" t="s">
        <v>1136</v>
      </c>
      <c r="AO344" s="209"/>
      <c r="AP344" s="212"/>
      <c r="AQ344" s="202" t="s">
        <v>1184</v>
      </c>
      <c r="AS344" s="40">
        <v>1</v>
      </c>
    </row>
    <row r="345" s="40" customFormat="1" spans="1:45">
      <c r="A345" s="201">
        <v>213019</v>
      </c>
      <c r="B345" s="201">
        <v>1001</v>
      </c>
      <c r="C345" s="201">
        <v>1</v>
      </c>
      <c r="D345" s="201">
        <v>1001</v>
      </c>
      <c r="E345" s="202" t="s">
        <v>1186</v>
      </c>
      <c r="F345" s="203" t="s">
        <v>1181</v>
      </c>
      <c r="G345" s="40" t="s">
        <v>1187</v>
      </c>
      <c r="H345" s="40" t="s">
        <v>1183</v>
      </c>
      <c r="I345" s="40">
        <v>1</v>
      </c>
      <c r="J345" s="204">
        <v>2</v>
      </c>
      <c r="K345" s="201">
        <v>2</v>
      </c>
      <c r="L345" s="128">
        <v>9999</v>
      </c>
      <c r="M345" s="201">
        <v>0</v>
      </c>
      <c r="N345" s="201">
        <v>1</v>
      </c>
      <c r="O345" s="205" t="s">
        <v>1142</v>
      </c>
      <c r="S345" s="201">
        <v>1</v>
      </c>
      <c r="T345" s="201">
        <v>5</v>
      </c>
      <c r="U345" s="201">
        <v>140</v>
      </c>
      <c r="V345" s="201">
        <v>1</v>
      </c>
      <c r="W345" s="201">
        <v>1</v>
      </c>
      <c r="X345" s="201">
        <v>1</v>
      </c>
      <c r="Y345" s="40">
        <v>0</v>
      </c>
      <c r="Z345" s="40">
        <v>0</v>
      </c>
      <c r="AA345" s="40">
        <v>5</v>
      </c>
      <c r="AB345" s="40">
        <v>5320</v>
      </c>
      <c r="AC345" s="201">
        <v>300</v>
      </c>
      <c r="AD345" s="206">
        <v>0</v>
      </c>
      <c r="AE345" s="207">
        <v>4</v>
      </c>
      <c r="AF345" s="207">
        <v>2</v>
      </c>
      <c r="AG345" s="208"/>
      <c r="AH345" s="208">
        <v>1</v>
      </c>
      <c r="AI345" s="209"/>
      <c r="AJ345" s="201"/>
      <c r="AK345" s="201"/>
      <c r="AL345" s="201">
        <v>1</v>
      </c>
      <c r="AM345" s="210">
        <v>3</v>
      </c>
      <c r="AN345" s="211" t="s">
        <v>1136</v>
      </c>
      <c r="AO345" s="209"/>
      <c r="AP345" s="212"/>
      <c r="AQ345" s="202" t="s">
        <v>1186</v>
      </c>
      <c r="AS345" s="40">
        <v>1</v>
      </c>
    </row>
    <row r="346" s="40" customFormat="1" spans="1:45">
      <c r="A346" s="201">
        <v>214019</v>
      </c>
      <c r="B346" s="201">
        <v>1001</v>
      </c>
      <c r="C346" s="201">
        <v>1</v>
      </c>
      <c r="D346" s="201">
        <v>1001</v>
      </c>
      <c r="E346" s="202" t="s">
        <v>1188</v>
      </c>
      <c r="F346" s="203" t="s">
        <v>1181</v>
      </c>
      <c r="G346" s="40" t="s">
        <v>1189</v>
      </c>
      <c r="H346" s="40" t="s">
        <v>1183</v>
      </c>
      <c r="I346" s="40">
        <v>1</v>
      </c>
      <c r="J346" s="204">
        <v>2</v>
      </c>
      <c r="K346" s="201">
        <v>2</v>
      </c>
      <c r="L346" s="128">
        <v>9999</v>
      </c>
      <c r="M346" s="201">
        <v>0</v>
      </c>
      <c r="N346" s="201">
        <v>1</v>
      </c>
      <c r="O346" s="205" t="s">
        <v>1145</v>
      </c>
      <c r="S346" s="201">
        <v>1</v>
      </c>
      <c r="T346" s="201">
        <v>5</v>
      </c>
      <c r="U346" s="201">
        <v>170</v>
      </c>
      <c r="V346" s="201">
        <v>1</v>
      </c>
      <c r="W346" s="201">
        <v>1</v>
      </c>
      <c r="X346" s="201">
        <v>1</v>
      </c>
      <c r="Y346" s="40">
        <v>0</v>
      </c>
      <c r="Z346" s="40">
        <v>0</v>
      </c>
      <c r="AA346" s="40">
        <v>5</v>
      </c>
      <c r="AB346" s="40">
        <v>6460</v>
      </c>
      <c r="AC346" s="201">
        <v>300</v>
      </c>
      <c r="AD346" s="206">
        <v>0</v>
      </c>
      <c r="AE346" s="207">
        <v>4</v>
      </c>
      <c r="AF346" s="207">
        <v>2</v>
      </c>
      <c r="AG346" s="208"/>
      <c r="AH346" s="208">
        <v>1</v>
      </c>
      <c r="AI346" s="209"/>
      <c r="AJ346" s="201"/>
      <c r="AK346" s="201"/>
      <c r="AL346" s="201">
        <v>1</v>
      </c>
      <c r="AM346" s="210">
        <v>4</v>
      </c>
      <c r="AN346" s="211" t="s">
        <v>1136</v>
      </c>
      <c r="AO346" s="209"/>
      <c r="AP346" s="212"/>
      <c r="AQ346" s="202" t="s">
        <v>1188</v>
      </c>
      <c r="AS346" s="40">
        <v>1</v>
      </c>
    </row>
    <row r="347" s="40" customFormat="1" spans="1:45">
      <c r="A347" s="201">
        <v>215019</v>
      </c>
      <c r="B347" s="201">
        <v>1001</v>
      </c>
      <c r="C347" s="201">
        <v>1</v>
      </c>
      <c r="D347" s="201">
        <v>1001</v>
      </c>
      <c r="E347" s="202" t="s">
        <v>1190</v>
      </c>
      <c r="F347" s="203" t="s">
        <v>1181</v>
      </c>
      <c r="G347" s="40" t="s">
        <v>1191</v>
      </c>
      <c r="H347" s="40" t="s">
        <v>1192</v>
      </c>
      <c r="I347" s="40">
        <v>1</v>
      </c>
      <c r="J347" s="204">
        <v>3</v>
      </c>
      <c r="K347" s="201">
        <v>2</v>
      </c>
      <c r="L347" s="128">
        <v>9999</v>
      </c>
      <c r="M347" s="201">
        <v>0</v>
      </c>
      <c r="N347" s="201">
        <v>1</v>
      </c>
      <c r="O347" s="205" t="s">
        <v>1149</v>
      </c>
      <c r="S347" s="201">
        <v>1</v>
      </c>
      <c r="T347" s="201">
        <v>5</v>
      </c>
      <c r="U347" s="201">
        <v>170</v>
      </c>
      <c r="V347" s="201">
        <v>1</v>
      </c>
      <c r="W347" s="201">
        <v>1</v>
      </c>
      <c r="X347" s="201">
        <v>1</v>
      </c>
      <c r="Y347" s="40">
        <v>0</v>
      </c>
      <c r="Z347" s="40">
        <v>0</v>
      </c>
      <c r="AA347" s="40">
        <v>5</v>
      </c>
      <c r="AB347" s="40">
        <v>6460</v>
      </c>
      <c r="AC347" s="201">
        <v>300</v>
      </c>
      <c r="AD347" s="206">
        <v>0</v>
      </c>
      <c r="AE347" s="207">
        <v>4</v>
      </c>
      <c r="AF347" s="207">
        <v>2</v>
      </c>
      <c r="AG347" s="208"/>
      <c r="AH347" s="208">
        <v>1</v>
      </c>
      <c r="AI347" s="209"/>
      <c r="AJ347" s="201"/>
      <c r="AK347" s="201"/>
      <c r="AL347" s="201">
        <v>1</v>
      </c>
      <c r="AM347" s="210">
        <v>5</v>
      </c>
      <c r="AN347" s="211" t="s">
        <v>1136</v>
      </c>
      <c r="AO347" s="209"/>
      <c r="AP347" s="212"/>
      <c r="AQ347" s="202" t="s">
        <v>1190</v>
      </c>
      <c r="AS347" s="40">
        <v>1</v>
      </c>
    </row>
    <row r="348" s="40" customFormat="1" spans="1:45">
      <c r="A348" s="201">
        <v>216019</v>
      </c>
      <c r="B348" s="201">
        <v>1001</v>
      </c>
      <c r="C348" s="201">
        <v>1</v>
      </c>
      <c r="D348" s="201">
        <v>1001</v>
      </c>
      <c r="E348" s="202" t="s">
        <v>1193</v>
      </c>
      <c r="F348" s="203" t="s">
        <v>1181</v>
      </c>
      <c r="G348" s="40" t="s">
        <v>1194</v>
      </c>
      <c r="H348" s="40" t="s">
        <v>1192</v>
      </c>
      <c r="I348" s="40">
        <v>1</v>
      </c>
      <c r="J348" s="204">
        <v>3</v>
      </c>
      <c r="K348" s="201">
        <v>2</v>
      </c>
      <c r="L348" s="128">
        <v>9999</v>
      </c>
      <c r="M348" s="201">
        <v>0</v>
      </c>
      <c r="N348" s="201">
        <v>1</v>
      </c>
      <c r="O348" s="205" t="s">
        <v>1152</v>
      </c>
      <c r="S348" s="201">
        <v>1</v>
      </c>
      <c r="T348" s="201">
        <v>5</v>
      </c>
      <c r="U348" s="201">
        <v>170</v>
      </c>
      <c r="V348" s="201">
        <v>1</v>
      </c>
      <c r="W348" s="201">
        <v>1</v>
      </c>
      <c r="X348" s="201">
        <v>1</v>
      </c>
      <c r="Y348" s="40">
        <v>0</v>
      </c>
      <c r="Z348" s="40">
        <v>0</v>
      </c>
      <c r="AA348" s="40">
        <v>5</v>
      </c>
      <c r="AB348" s="40">
        <v>6460</v>
      </c>
      <c r="AC348" s="201">
        <v>300</v>
      </c>
      <c r="AD348" s="206">
        <v>0</v>
      </c>
      <c r="AE348" s="207">
        <v>4</v>
      </c>
      <c r="AF348" s="207">
        <v>2</v>
      </c>
      <c r="AG348" s="208"/>
      <c r="AH348" s="208">
        <v>1</v>
      </c>
      <c r="AI348" s="209"/>
      <c r="AJ348" s="201"/>
      <c r="AK348" s="201"/>
      <c r="AL348" s="201">
        <v>1</v>
      </c>
      <c r="AM348" s="210">
        <v>6</v>
      </c>
      <c r="AN348" s="211"/>
      <c r="AO348" s="209"/>
      <c r="AP348" s="212"/>
      <c r="AQ348" s="202" t="s">
        <v>1193</v>
      </c>
      <c r="AS348" s="40">
        <v>1</v>
      </c>
    </row>
    <row r="349" s="40" customFormat="1" spans="1:45">
      <c r="A349" s="201">
        <v>217019</v>
      </c>
      <c r="B349" s="201">
        <v>1001</v>
      </c>
      <c r="C349" s="201">
        <v>1</v>
      </c>
      <c r="D349" s="201">
        <v>1001</v>
      </c>
      <c r="E349" s="202" t="s">
        <v>1195</v>
      </c>
      <c r="F349" s="203" t="s">
        <v>1181</v>
      </c>
      <c r="G349" s="40" t="s">
        <v>1196</v>
      </c>
      <c r="H349" s="40" t="s">
        <v>1197</v>
      </c>
      <c r="I349" s="40">
        <v>1</v>
      </c>
      <c r="J349" s="204">
        <v>4</v>
      </c>
      <c r="K349" s="201">
        <v>2</v>
      </c>
      <c r="L349" s="128">
        <v>9999</v>
      </c>
      <c r="M349" s="201">
        <v>0</v>
      </c>
      <c r="N349" s="201">
        <v>1</v>
      </c>
      <c r="O349" s="205" t="s">
        <v>1156</v>
      </c>
      <c r="S349" s="201">
        <v>1</v>
      </c>
      <c r="T349" s="201">
        <v>5</v>
      </c>
      <c r="U349" s="201">
        <v>200</v>
      </c>
      <c r="V349" s="201">
        <v>1</v>
      </c>
      <c r="W349" s="201">
        <v>1</v>
      </c>
      <c r="X349" s="201">
        <v>1</v>
      </c>
      <c r="Y349" s="40">
        <v>0</v>
      </c>
      <c r="Z349" s="40">
        <v>0</v>
      </c>
      <c r="AA349" s="40">
        <v>5</v>
      </c>
      <c r="AB349" s="40">
        <v>7600</v>
      </c>
      <c r="AC349" s="201">
        <v>300</v>
      </c>
      <c r="AD349" s="206">
        <v>0</v>
      </c>
      <c r="AE349" s="207">
        <v>4</v>
      </c>
      <c r="AF349" s="207">
        <v>2</v>
      </c>
      <c r="AG349" s="208"/>
      <c r="AH349" s="208">
        <v>1</v>
      </c>
      <c r="AI349" s="209"/>
      <c r="AJ349" s="201"/>
      <c r="AK349" s="201"/>
      <c r="AL349" s="201">
        <v>1</v>
      </c>
      <c r="AM349" s="210">
        <v>7</v>
      </c>
      <c r="AN349" s="211"/>
      <c r="AO349" s="209"/>
      <c r="AP349" s="212"/>
      <c r="AQ349" s="202" t="s">
        <v>1195</v>
      </c>
      <c r="AS349" s="40">
        <v>1</v>
      </c>
    </row>
    <row r="350" s="40" customFormat="1" spans="1:45">
      <c r="A350" s="201">
        <v>218019</v>
      </c>
      <c r="B350" s="201">
        <v>1001</v>
      </c>
      <c r="C350" s="201">
        <v>1</v>
      </c>
      <c r="D350" s="201">
        <v>1001</v>
      </c>
      <c r="E350" s="202" t="s">
        <v>1198</v>
      </c>
      <c r="F350" s="203" t="s">
        <v>1181</v>
      </c>
      <c r="G350" s="40" t="s">
        <v>1199</v>
      </c>
      <c r="H350" s="40" t="s">
        <v>1197</v>
      </c>
      <c r="I350" s="40">
        <v>1</v>
      </c>
      <c r="J350" s="204">
        <v>4</v>
      </c>
      <c r="K350" s="201">
        <v>2</v>
      </c>
      <c r="L350" s="128">
        <v>9999</v>
      </c>
      <c r="M350" s="201">
        <v>0</v>
      </c>
      <c r="N350" s="201">
        <v>1</v>
      </c>
      <c r="O350" s="205" t="s">
        <v>1159</v>
      </c>
      <c r="S350" s="201">
        <v>1</v>
      </c>
      <c r="T350" s="201">
        <v>5</v>
      </c>
      <c r="U350" s="201">
        <v>200</v>
      </c>
      <c r="V350" s="201">
        <v>1</v>
      </c>
      <c r="W350" s="201">
        <v>1</v>
      </c>
      <c r="X350" s="201">
        <v>1</v>
      </c>
      <c r="Y350" s="40">
        <v>0</v>
      </c>
      <c r="Z350" s="40">
        <v>0</v>
      </c>
      <c r="AA350" s="40">
        <v>5</v>
      </c>
      <c r="AB350" s="40">
        <v>7600</v>
      </c>
      <c r="AC350" s="201">
        <v>300</v>
      </c>
      <c r="AD350" s="206">
        <v>0</v>
      </c>
      <c r="AE350" s="207">
        <v>4</v>
      </c>
      <c r="AF350" s="207">
        <v>2</v>
      </c>
      <c r="AG350" s="208"/>
      <c r="AH350" s="208">
        <v>1</v>
      </c>
      <c r="AI350" s="209"/>
      <c r="AJ350" s="201"/>
      <c r="AK350" s="201"/>
      <c r="AL350" s="201">
        <v>1</v>
      </c>
      <c r="AM350" s="210">
        <v>8</v>
      </c>
      <c r="AN350" s="211"/>
      <c r="AO350" s="209"/>
      <c r="AP350" s="212"/>
      <c r="AQ350" s="202" t="s">
        <v>1198</v>
      </c>
      <c r="AS350" s="40">
        <v>1</v>
      </c>
    </row>
    <row r="351" s="40" customFormat="1" spans="1:45">
      <c r="A351" s="201">
        <v>219019</v>
      </c>
      <c r="B351" s="201">
        <v>1001</v>
      </c>
      <c r="C351" s="201">
        <v>1</v>
      </c>
      <c r="D351" s="201">
        <v>1001</v>
      </c>
      <c r="E351" s="202" t="s">
        <v>1200</v>
      </c>
      <c r="F351" s="203" t="s">
        <v>1181</v>
      </c>
      <c r="G351" s="40" t="s">
        <v>1201</v>
      </c>
      <c r="H351" s="40" t="s">
        <v>1202</v>
      </c>
      <c r="I351" s="40">
        <v>1</v>
      </c>
      <c r="J351" s="204">
        <v>5</v>
      </c>
      <c r="K351" s="201">
        <v>2</v>
      </c>
      <c r="L351" s="128">
        <v>9999</v>
      </c>
      <c r="M351" s="201">
        <v>0</v>
      </c>
      <c r="N351" s="201">
        <v>1</v>
      </c>
      <c r="O351" s="205" t="s">
        <v>1163</v>
      </c>
      <c r="S351" s="201">
        <v>1</v>
      </c>
      <c r="T351" s="201">
        <v>5</v>
      </c>
      <c r="U351" s="201">
        <v>200</v>
      </c>
      <c r="V351" s="201">
        <v>1</v>
      </c>
      <c r="W351" s="201">
        <v>1</v>
      </c>
      <c r="X351" s="201">
        <v>1</v>
      </c>
      <c r="Y351" s="40">
        <v>0</v>
      </c>
      <c r="Z351" s="40">
        <v>0</v>
      </c>
      <c r="AA351" s="40">
        <v>5</v>
      </c>
      <c r="AB351" s="40">
        <v>7600</v>
      </c>
      <c r="AC351" s="201">
        <v>300</v>
      </c>
      <c r="AD351" s="206">
        <v>0</v>
      </c>
      <c r="AE351" s="207">
        <v>4</v>
      </c>
      <c r="AF351" s="207">
        <v>2</v>
      </c>
      <c r="AG351" s="208"/>
      <c r="AH351" s="208">
        <v>1</v>
      </c>
      <c r="AI351" s="209"/>
      <c r="AJ351" s="201"/>
      <c r="AK351" s="201"/>
      <c r="AL351" s="201">
        <v>1</v>
      </c>
      <c r="AM351" s="210">
        <v>9</v>
      </c>
      <c r="AN351" s="211"/>
      <c r="AO351" s="209"/>
      <c r="AP351" s="212"/>
      <c r="AQ351" s="202" t="s">
        <v>1200</v>
      </c>
      <c r="AS351" s="40">
        <v>1</v>
      </c>
    </row>
    <row r="352" s="40" customFormat="1" spans="1:45">
      <c r="A352" s="201">
        <v>210019</v>
      </c>
      <c r="B352" s="201">
        <v>1001</v>
      </c>
      <c r="C352" s="201">
        <v>1</v>
      </c>
      <c r="D352" s="201">
        <v>1001</v>
      </c>
      <c r="E352" s="202" t="s">
        <v>1203</v>
      </c>
      <c r="F352" s="203" t="s">
        <v>1181</v>
      </c>
      <c r="G352" s="40" t="s">
        <v>1204</v>
      </c>
      <c r="H352" s="40" t="s">
        <v>1202</v>
      </c>
      <c r="I352" s="40">
        <v>1</v>
      </c>
      <c r="J352" s="204">
        <v>5</v>
      </c>
      <c r="K352" s="201">
        <v>2</v>
      </c>
      <c r="L352" s="128">
        <v>9999</v>
      </c>
      <c r="M352" s="201">
        <v>0</v>
      </c>
      <c r="N352" s="201">
        <v>1</v>
      </c>
      <c r="O352" s="205" t="s">
        <v>1166</v>
      </c>
      <c r="S352" s="201">
        <v>1</v>
      </c>
      <c r="T352" s="201">
        <v>5</v>
      </c>
      <c r="U352" s="201">
        <v>200</v>
      </c>
      <c r="V352" s="201">
        <v>1</v>
      </c>
      <c r="W352" s="201">
        <v>1</v>
      </c>
      <c r="X352" s="201">
        <v>1</v>
      </c>
      <c r="Y352" s="40">
        <v>0</v>
      </c>
      <c r="Z352" s="40">
        <v>0</v>
      </c>
      <c r="AA352" s="40">
        <v>5</v>
      </c>
      <c r="AB352" s="40">
        <v>7600</v>
      </c>
      <c r="AC352" s="201">
        <v>300</v>
      </c>
      <c r="AD352" s="206">
        <v>0</v>
      </c>
      <c r="AE352" s="207">
        <v>4</v>
      </c>
      <c r="AF352" s="207">
        <v>2</v>
      </c>
      <c r="AG352" s="208"/>
      <c r="AH352" s="208">
        <v>1</v>
      </c>
      <c r="AI352" s="209"/>
      <c r="AJ352" s="201"/>
      <c r="AK352" s="201"/>
      <c r="AL352" s="201">
        <v>1</v>
      </c>
      <c r="AM352" s="210">
        <v>10</v>
      </c>
      <c r="AN352" s="211"/>
      <c r="AO352" s="209"/>
      <c r="AP352" s="212"/>
      <c r="AQ352" s="202" t="s">
        <v>1203</v>
      </c>
      <c r="AS352" s="40">
        <v>1</v>
      </c>
    </row>
    <row r="353" s="40" customFormat="1" spans="1:45">
      <c r="A353" s="201">
        <v>210119</v>
      </c>
      <c r="B353" s="201">
        <v>1001</v>
      </c>
      <c r="C353" s="201">
        <v>1</v>
      </c>
      <c r="D353" s="201">
        <v>1001</v>
      </c>
      <c r="E353" s="202" t="s">
        <v>1205</v>
      </c>
      <c r="F353" s="203" t="s">
        <v>1181</v>
      </c>
      <c r="G353" s="40" t="s">
        <v>1206</v>
      </c>
      <c r="H353" s="40" t="s">
        <v>1202</v>
      </c>
      <c r="I353" s="40">
        <v>1</v>
      </c>
      <c r="J353" s="204">
        <v>5</v>
      </c>
      <c r="K353" s="201">
        <v>2</v>
      </c>
      <c r="L353" s="128">
        <v>9999</v>
      </c>
      <c r="M353" s="201">
        <v>0</v>
      </c>
      <c r="N353" s="201">
        <v>1</v>
      </c>
      <c r="O353" s="205" t="s">
        <v>1169</v>
      </c>
      <c r="S353" s="201">
        <v>1</v>
      </c>
      <c r="T353" s="201">
        <v>5</v>
      </c>
      <c r="U353" s="201">
        <v>200</v>
      </c>
      <c r="V353" s="201">
        <v>1</v>
      </c>
      <c r="W353" s="201">
        <v>1</v>
      </c>
      <c r="X353" s="201">
        <v>1</v>
      </c>
      <c r="Y353" s="40">
        <v>0</v>
      </c>
      <c r="Z353" s="40">
        <v>0</v>
      </c>
      <c r="AA353" s="40">
        <v>5</v>
      </c>
      <c r="AB353" s="40">
        <v>7600</v>
      </c>
      <c r="AC353" s="201">
        <v>300</v>
      </c>
      <c r="AD353" s="206">
        <v>0</v>
      </c>
      <c r="AE353" s="207">
        <v>4</v>
      </c>
      <c r="AF353" s="207">
        <v>2</v>
      </c>
      <c r="AG353" s="208"/>
      <c r="AH353" s="208">
        <v>1</v>
      </c>
      <c r="AI353" s="209"/>
      <c r="AJ353" s="201"/>
      <c r="AK353" s="201"/>
      <c r="AL353" s="201">
        <v>1</v>
      </c>
      <c r="AM353" s="210">
        <v>11</v>
      </c>
      <c r="AN353" s="211"/>
      <c r="AO353" s="209"/>
      <c r="AP353" s="212"/>
      <c r="AQ353" s="202" t="s">
        <v>1205</v>
      </c>
      <c r="AS353" s="40">
        <v>1</v>
      </c>
    </row>
    <row r="354" s="40" customFormat="1" spans="1:45">
      <c r="A354" s="201">
        <v>210219</v>
      </c>
      <c r="B354" s="201">
        <v>1001</v>
      </c>
      <c r="C354" s="201">
        <v>1</v>
      </c>
      <c r="D354" s="201">
        <v>1001</v>
      </c>
      <c r="E354" s="202" t="s">
        <v>1207</v>
      </c>
      <c r="F354" s="203" t="s">
        <v>1181</v>
      </c>
      <c r="G354" s="40" t="s">
        <v>1208</v>
      </c>
      <c r="H354" s="40" t="s">
        <v>1202</v>
      </c>
      <c r="I354" s="40">
        <v>1</v>
      </c>
      <c r="J354" s="204">
        <v>5</v>
      </c>
      <c r="K354" s="201">
        <v>2</v>
      </c>
      <c r="L354" s="128">
        <v>9999</v>
      </c>
      <c r="M354" s="201">
        <v>0</v>
      </c>
      <c r="N354" s="201">
        <v>1</v>
      </c>
      <c r="O354" s="205" t="s">
        <v>1169</v>
      </c>
      <c r="S354" s="201">
        <v>1</v>
      </c>
      <c r="T354" s="201">
        <v>5</v>
      </c>
      <c r="U354" s="201">
        <v>200</v>
      </c>
      <c r="V354" s="201">
        <v>1</v>
      </c>
      <c r="W354" s="201">
        <v>1</v>
      </c>
      <c r="X354" s="201">
        <v>1</v>
      </c>
      <c r="Y354" s="40">
        <v>0</v>
      </c>
      <c r="Z354" s="40">
        <v>0</v>
      </c>
      <c r="AA354" s="40">
        <v>5</v>
      </c>
      <c r="AB354" s="40">
        <v>7600</v>
      </c>
      <c r="AC354" s="201">
        <v>300</v>
      </c>
      <c r="AD354" s="206">
        <v>0</v>
      </c>
      <c r="AE354" s="207">
        <v>4</v>
      </c>
      <c r="AF354" s="207">
        <v>2</v>
      </c>
      <c r="AG354" s="208"/>
      <c r="AH354" s="208">
        <v>1</v>
      </c>
      <c r="AI354" s="209"/>
      <c r="AJ354" s="201"/>
      <c r="AK354" s="201"/>
      <c r="AL354" s="201">
        <v>1</v>
      </c>
      <c r="AM354" s="210">
        <v>12</v>
      </c>
      <c r="AN354" s="211"/>
      <c r="AO354" s="209"/>
      <c r="AP354" s="212"/>
      <c r="AQ354" s="202" t="s">
        <v>1207</v>
      </c>
      <c r="AS354" s="40">
        <v>1</v>
      </c>
    </row>
    <row r="355" s="40" customFormat="1" spans="1:45">
      <c r="A355" s="201">
        <v>210319</v>
      </c>
      <c r="B355" s="201">
        <v>1001</v>
      </c>
      <c r="C355" s="201">
        <v>1</v>
      </c>
      <c r="D355" s="201">
        <v>1001</v>
      </c>
      <c r="E355" s="202" t="s">
        <v>1209</v>
      </c>
      <c r="F355" s="203" t="s">
        <v>1181</v>
      </c>
      <c r="G355" s="40" t="s">
        <v>1210</v>
      </c>
      <c r="H355" s="40" t="s">
        <v>1202</v>
      </c>
      <c r="I355" s="40">
        <v>1</v>
      </c>
      <c r="J355" s="204">
        <v>5</v>
      </c>
      <c r="K355" s="201">
        <v>2</v>
      </c>
      <c r="L355" s="128">
        <v>9999</v>
      </c>
      <c r="M355" s="201">
        <v>0</v>
      </c>
      <c r="N355" s="201">
        <v>1</v>
      </c>
      <c r="O355" s="205" t="s">
        <v>1169</v>
      </c>
      <c r="S355" s="201">
        <v>1</v>
      </c>
      <c r="T355" s="201">
        <v>5</v>
      </c>
      <c r="U355" s="201">
        <v>200</v>
      </c>
      <c r="V355" s="201">
        <v>1</v>
      </c>
      <c r="W355" s="201">
        <v>1</v>
      </c>
      <c r="X355" s="201">
        <v>1</v>
      </c>
      <c r="Y355" s="40">
        <v>0</v>
      </c>
      <c r="Z355" s="40">
        <v>0</v>
      </c>
      <c r="AA355" s="40">
        <v>5</v>
      </c>
      <c r="AB355" s="40">
        <v>7600</v>
      </c>
      <c r="AC355" s="201">
        <v>300</v>
      </c>
      <c r="AD355" s="206">
        <v>0</v>
      </c>
      <c r="AE355" s="207">
        <v>4</v>
      </c>
      <c r="AF355" s="207">
        <v>2</v>
      </c>
      <c r="AG355" s="208"/>
      <c r="AH355" s="208">
        <v>1</v>
      </c>
      <c r="AI355" s="209"/>
      <c r="AJ355" s="201"/>
      <c r="AK355" s="201"/>
      <c r="AL355" s="201">
        <v>1</v>
      </c>
      <c r="AM355" s="210">
        <v>13</v>
      </c>
      <c r="AN355" s="211"/>
      <c r="AO355" s="209"/>
      <c r="AP355" s="212"/>
      <c r="AQ355" s="202" t="s">
        <v>1209</v>
      </c>
      <c r="AS355" s="40">
        <v>1</v>
      </c>
    </row>
    <row r="356" s="40" customFormat="1" spans="1:45">
      <c r="A356" s="201">
        <v>210419</v>
      </c>
      <c r="B356" s="201">
        <v>1001</v>
      </c>
      <c r="C356" s="201">
        <v>1</v>
      </c>
      <c r="D356" s="201">
        <v>1001</v>
      </c>
      <c r="E356" s="202" t="s">
        <v>1211</v>
      </c>
      <c r="F356" s="203" t="s">
        <v>1181</v>
      </c>
      <c r="G356" s="40" t="s">
        <v>1212</v>
      </c>
      <c r="H356" s="40" t="s">
        <v>1202</v>
      </c>
      <c r="I356" s="40">
        <v>1</v>
      </c>
      <c r="J356" s="204">
        <v>5</v>
      </c>
      <c r="K356" s="201">
        <v>2</v>
      </c>
      <c r="L356" s="128">
        <v>9999</v>
      </c>
      <c r="M356" s="201">
        <v>0</v>
      </c>
      <c r="N356" s="201">
        <v>1</v>
      </c>
      <c r="O356" s="205" t="s">
        <v>1169</v>
      </c>
      <c r="S356" s="201">
        <v>1</v>
      </c>
      <c r="T356" s="201">
        <v>5</v>
      </c>
      <c r="U356" s="201">
        <v>200</v>
      </c>
      <c r="V356" s="201">
        <v>1</v>
      </c>
      <c r="W356" s="201">
        <v>1</v>
      </c>
      <c r="X356" s="201">
        <v>1</v>
      </c>
      <c r="Y356" s="40">
        <v>0</v>
      </c>
      <c r="Z356" s="40">
        <v>0</v>
      </c>
      <c r="AA356" s="40">
        <v>5</v>
      </c>
      <c r="AB356" s="40">
        <v>7600</v>
      </c>
      <c r="AC356" s="201">
        <v>300</v>
      </c>
      <c r="AD356" s="206">
        <v>0</v>
      </c>
      <c r="AE356" s="207">
        <v>4</v>
      </c>
      <c r="AF356" s="207">
        <v>2</v>
      </c>
      <c r="AG356" s="208"/>
      <c r="AH356" s="208">
        <v>1</v>
      </c>
      <c r="AI356" s="209"/>
      <c r="AJ356" s="201"/>
      <c r="AK356" s="201"/>
      <c r="AL356" s="201">
        <v>1</v>
      </c>
      <c r="AM356" s="210">
        <v>14</v>
      </c>
      <c r="AN356" s="211"/>
      <c r="AO356" s="209"/>
      <c r="AP356" s="212"/>
      <c r="AQ356" s="202" t="s">
        <v>1211</v>
      </c>
      <c r="AS356" s="40">
        <v>1</v>
      </c>
    </row>
    <row r="357" spans="1:45">
      <c r="A357" s="201">
        <v>210519</v>
      </c>
      <c r="B357" s="201">
        <v>1001</v>
      </c>
      <c r="C357" s="201">
        <v>1</v>
      </c>
      <c r="D357" s="201">
        <v>1001</v>
      </c>
      <c r="E357" s="202" t="s">
        <v>1213</v>
      </c>
      <c r="F357" s="203" t="s">
        <v>1181</v>
      </c>
      <c r="G357" s="40" t="s">
        <v>1214</v>
      </c>
      <c r="H357" s="40" t="s">
        <v>1202</v>
      </c>
      <c r="I357" s="40">
        <v>1</v>
      </c>
      <c r="J357" s="204">
        <v>5</v>
      </c>
      <c r="K357" s="201">
        <v>2</v>
      </c>
      <c r="L357" s="128">
        <v>9999</v>
      </c>
      <c r="M357" s="201">
        <v>0</v>
      </c>
      <c r="N357" s="201">
        <v>1</v>
      </c>
      <c r="O357" s="205" t="s">
        <v>1169</v>
      </c>
      <c r="S357" s="201">
        <v>1</v>
      </c>
      <c r="T357" s="201">
        <v>5</v>
      </c>
      <c r="U357" s="201">
        <v>200</v>
      </c>
      <c r="V357" s="201">
        <v>1</v>
      </c>
      <c r="W357" s="201">
        <v>1</v>
      </c>
      <c r="X357" s="201">
        <v>1</v>
      </c>
      <c r="Y357" s="40">
        <v>0</v>
      </c>
      <c r="Z357" s="40">
        <v>0</v>
      </c>
      <c r="AA357" s="40">
        <v>5</v>
      </c>
      <c r="AB357" s="40">
        <v>7600</v>
      </c>
      <c r="AC357" s="201">
        <v>300</v>
      </c>
      <c r="AD357" s="206">
        <v>0</v>
      </c>
      <c r="AE357" s="207">
        <v>4</v>
      </c>
      <c r="AF357" s="207">
        <v>2</v>
      </c>
      <c r="AG357" s="208"/>
      <c r="AH357" s="208">
        <v>1</v>
      </c>
      <c r="AI357" s="209"/>
      <c r="AJ357" s="201"/>
      <c r="AK357" s="201"/>
      <c r="AL357" s="201">
        <v>1</v>
      </c>
      <c r="AM357" s="210">
        <v>15</v>
      </c>
      <c r="AN357" s="211"/>
      <c r="AO357" s="209"/>
      <c r="AP357" s="212"/>
      <c r="AQ357" s="202" t="s">
        <v>1213</v>
      </c>
      <c r="AS357" s="40">
        <v>1</v>
      </c>
    </row>
    <row r="358" s="40" customFormat="1" spans="1:45">
      <c r="A358" s="8">
        <v>210619</v>
      </c>
      <c r="B358" s="8">
        <v>1001</v>
      </c>
      <c r="C358" s="8">
        <v>1</v>
      </c>
      <c r="D358" s="8">
        <v>1001</v>
      </c>
      <c r="E358" s="147" t="s">
        <v>1215</v>
      </c>
      <c r="F358" s="147" t="s">
        <v>1215</v>
      </c>
      <c r="G358" t="s">
        <v>1216</v>
      </c>
      <c r="H358" t="s">
        <v>1202</v>
      </c>
      <c r="I358">
        <v>1</v>
      </c>
      <c r="J358" s="69">
        <v>5</v>
      </c>
      <c r="K358" s="8">
        <v>1</v>
      </c>
      <c r="L358" s="128">
        <v>9999</v>
      </c>
      <c r="M358" s="8">
        <v>0</v>
      </c>
      <c r="N358" s="8"/>
      <c r="O358" s="205"/>
      <c r="S358" s="8">
        <v>1</v>
      </c>
      <c r="T358" s="8">
        <v>5</v>
      </c>
      <c r="U358" s="8">
        <v>200</v>
      </c>
      <c r="V358" s="8">
        <v>1</v>
      </c>
      <c r="W358" s="8">
        <v>1</v>
      </c>
      <c r="X358" s="8">
        <v>1</v>
      </c>
      <c r="Y358">
        <v>0</v>
      </c>
      <c r="Z358" s="33">
        <v>0</v>
      </c>
      <c r="AA358">
        <v>5</v>
      </c>
      <c r="AB358">
        <v>7600</v>
      </c>
      <c r="AC358" s="8">
        <v>300</v>
      </c>
      <c r="AD358" s="12">
        <v>0</v>
      </c>
      <c r="AE358" s="159">
        <v>0</v>
      </c>
      <c r="AF358" s="159">
        <v>0</v>
      </c>
      <c r="AG358" s="160"/>
      <c r="AH358" s="160">
        <v>1</v>
      </c>
      <c r="AI358" s="161"/>
      <c r="AJ358" s="8"/>
      <c r="AK358" s="8"/>
      <c r="AL358" s="8">
        <v>1</v>
      </c>
      <c r="AM358" s="213"/>
      <c r="AN358" s="162"/>
      <c r="AO358" s="161"/>
      <c r="AP358" s="214"/>
      <c r="AQ358" s="147" t="s">
        <v>1215</v>
      </c>
      <c r="AS358">
        <v>1</v>
      </c>
    </row>
    <row r="359" s="40" customFormat="1" spans="1:45">
      <c r="A359" s="201">
        <v>211020</v>
      </c>
      <c r="B359" s="201">
        <v>1001</v>
      </c>
      <c r="C359" s="201">
        <v>1</v>
      </c>
      <c r="D359" s="201">
        <v>1001</v>
      </c>
      <c r="E359" s="202" t="s">
        <v>1217</v>
      </c>
      <c r="F359" s="203" t="s">
        <v>1218</v>
      </c>
      <c r="G359" s="40" t="s">
        <v>1219</v>
      </c>
      <c r="H359" s="40" t="s">
        <v>1220</v>
      </c>
      <c r="I359" s="40">
        <v>1</v>
      </c>
      <c r="J359" s="204">
        <v>1</v>
      </c>
      <c r="K359" s="201">
        <v>2</v>
      </c>
      <c r="L359" s="128">
        <v>9999</v>
      </c>
      <c r="M359" s="201">
        <v>0</v>
      </c>
      <c r="N359" s="201">
        <v>1</v>
      </c>
      <c r="O359" s="205" t="s">
        <v>1135</v>
      </c>
      <c r="S359" s="201">
        <v>1</v>
      </c>
      <c r="T359" s="201">
        <v>5</v>
      </c>
      <c r="U359" s="201">
        <v>140</v>
      </c>
      <c r="V359" s="201">
        <v>1</v>
      </c>
      <c r="W359" s="201">
        <v>1</v>
      </c>
      <c r="X359" s="201">
        <v>1</v>
      </c>
      <c r="Y359" s="40">
        <v>0</v>
      </c>
      <c r="Z359" s="40">
        <v>0</v>
      </c>
      <c r="AA359" s="40">
        <v>5</v>
      </c>
      <c r="AB359" s="40">
        <v>5320</v>
      </c>
      <c r="AC359" s="201">
        <v>300</v>
      </c>
      <c r="AD359" s="206">
        <v>0</v>
      </c>
      <c r="AE359" s="207">
        <v>4</v>
      </c>
      <c r="AF359" s="207">
        <v>2</v>
      </c>
      <c r="AG359" s="208"/>
      <c r="AH359" s="208">
        <v>1</v>
      </c>
      <c r="AI359" s="209"/>
      <c r="AJ359" s="201"/>
      <c r="AK359" s="201"/>
      <c r="AL359" s="201">
        <v>1</v>
      </c>
      <c r="AM359" s="210">
        <v>1</v>
      </c>
      <c r="AN359" s="211" t="s">
        <v>1136</v>
      </c>
      <c r="AO359" s="209"/>
      <c r="AP359" s="212"/>
      <c r="AQ359" s="202" t="s">
        <v>1217</v>
      </c>
      <c r="AS359" s="40">
        <v>1</v>
      </c>
    </row>
    <row r="360" s="40" customFormat="1" spans="1:45">
      <c r="A360" s="201">
        <v>212020</v>
      </c>
      <c r="B360" s="201">
        <v>1001</v>
      </c>
      <c r="C360" s="201">
        <v>1</v>
      </c>
      <c r="D360" s="201">
        <v>1001</v>
      </c>
      <c r="E360" s="202" t="s">
        <v>1221</v>
      </c>
      <c r="F360" s="203" t="s">
        <v>1218</v>
      </c>
      <c r="G360" s="40" t="s">
        <v>1222</v>
      </c>
      <c r="H360" s="40" t="s">
        <v>1220</v>
      </c>
      <c r="I360" s="40">
        <v>1</v>
      </c>
      <c r="J360" s="204">
        <v>1</v>
      </c>
      <c r="K360" s="201">
        <v>2</v>
      </c>
      <c r="L360" s="128">
        <v>9999</v>
      </c>
      <c r="M360" s="201">
        <v>0</v>
      </c>
      <c r="N360" s="201">
        <v>1</v>
      </c>
      <c r="O360" s="205" t="s">
        <v>1139</v>
      </c>
      <c r="S360" s="201">
        <v>1</v>
      </c>
      <c r="T360" s="201">
        <v>5</v>
      </c>
      <c r="U360" s="201">
        <v>140</v>
      </c>
      <c r="V360" s="201">
        <v>1</v>
      </c>
      <c r="W360" s="201">
        <v>1</v>
      </c>
      <c r="X360" s="201">
        <v>1</v>
      </c>
      <c r="Y360" s="40">
        <v>0</v>
      </c>
      <c r="Z360" s="40">
        <v>0</v>
      </c>
      <c r="AA360" s="40">
        <v>5</v>
      </c>
      <c r="AB360" s="40">
        <v>5320</v>
      </c>
      <c r="AC360" s="201">
        <v>300</v>
      </c>
      <c r="AD360" s="206">
        <v>0</v>
      </c>
      <c r="AE360" s="207">
        <v>4</v>
      </c>
      <c r="AF360" s="207">
        <v>2</v>
      </c>
      <c r="AG360" s="208"/>
      <c r="AH360" s="208">
        <v>1</v>
      </c>
      <c r="AI360" s="209"/>
      <c r="AJ360" s="201"/>
      <c r="AK360" s="201"/>
      <c r="AL360" s="201">
        <v>1</v>
      </c>
      <c r="AM360" s="210">
        <v>2</v>
      </c>
      <c r="AN360" s="211" t="s">
        <v>1136</v>
      </c>
      <c r="AO360" s="209"/>
      <c r="AP360" s="212"/>
      <c r="AQ360" s="202" t="s">
        <v>1221</v>
      </c>
      <c r="AS360" s="40">
        <v>1</v>
      </c>
    </row>
    <row r="361" s="40" customFormat="1" spans="1:45">
      <c r="A361" s="201">
        <v>213020</v>
      </c>
      <c r="B361" s="201">
        <v>1001</v>
      </c>
      <c r="C361" s="201">
        <v>1</v>
      </c>
      <c r="D361" s="201">
        <v>1001</v>
      </c>
      <c r="E361" s="202" t="s">
        <v>1223</v>
      </c>
      <c r="F361" s="203" t="s">
        <v>1218</v>
      </c>
      <c r="G361" s="40" t="s">
        <v>1224</v>
      </c>
      <c r="H361" s="40" t="s">
        <v>1220</v>
      </c>
      <c r="I361" s="40">
        <v>1</v>
      </c>
      <c r="J361" s="204">
        <v>2</v>
      </c>
      <c r="K361" s="201">
        <v>2</v>
      </c>
      <c r="L361" s="128">
        <v>9999</v>
      </c>
      <c r="M361" s="201">
        <v>0</v>
      </c>
      <c r="N361" s="201">
        <v>1</v>
      </c>
      <c r="O361" s="205" t="s">
        <v>1142</v>
      </c>
      <c r="S361" s="201">
        <v>1</v>
      </c>
      <c r="T361" s="201">
        <v>5</v>
      </c>
      <c r="U361" s="201">
        <v>140</v>
      </c>
      <c r="V361" s="201">
        <v>1</v>
      </c>
      <c r="W361" s="201">
        <v>1</v>
      </c>
      <c r="X361" s="201">
        <v>1</v>
      </c>
      <c r="Y361" s="40">
        <v>0</v>
      </c>
      <c r="Z361" s="40">
        <v>0</v>
      </c>
      <c r="AA361" s="40">
        <v>5</v>
      </c>
      <c r="AB361" s="40">
        <v>5320</v>
      </c>
      <c r="AC361" s="201">
        <v>300</v>
      </c>
      <c r="AD361" s="206">
        <v>0</v>
      </c>
      <c r="AE361" s="207">
        <v>4</v>
      </c>
      <c r="AF361" s="207">
        <v>2</v>
      </c>
      <c r="AG361" s="208"/>
      <c r="AH361" s="208">
        <v>1</v>
      </c>
      <c r="AI361" s="209"/>
      <c r="AJ361" s="201"/>
      <c r="AK361" s="201"/>
      <c r="AL361" s="201">
        <v>1</v>
      </c>
      <c r="AM361" s="210">
        <v>3</v>
      </c>
      <c r="AN361" s="211" t="s">
        <v>1136</v>
      </c>
      <c r="AO361" s="209"/>
      <c r="AP361" s="212"/>
      <c r="AQ361" s="202" t="s">
        <v>1223</v>
      </c>
      <c r="AS361" s="40">
        <v>1</v>
      </c>
    </row>
    <row r="362" s="40" customFormat="1" spans="1:45">
      <c r="A362" s="201">
        <v>214020</v>
      </c>
      <c r="B362" s="201">
        <v>1001</v>
      </c>
      <c r="C362" s="201">
        <v>1</v>
      </c>
      <c r="D362" s="201">
        <v>1001</v>
      </c>
      <c r="E362" s="202" t="s">
        <v>1225</v>
      </c>
      <c r="F362" s="203" t="s">
        <v>1218</v>
      </c>
      <c r="G362" s="40" t="s">
        <v>1226</v>
      </c>
      <c r="H362" s="40" t="s">
        <v>1220</v>
      </c>
      <c r="I362" s="40">
        <v>1</v>
      </c>
      <c r="J362" s="204">
        <v>2</v>
      </c>
      <c r="K362" s="201">
        <v>2</v>
      </c>
      <c r="L362" s="128">
        <v>9999</v>
      </c>
      <c r="M362" s="201">
        <v>0</v>
      </c>
      <c r="N362" s="201">
        <v>1</v>
      </c>
      <c r="O362" s="205" t="s">
        <v>1145</v>
      </c>
      <c r="S362" s="201">
        <v>1</v>
      </c>
      <c r="T362" s="201">
        <v>5</v>
      </c>
      <c r="U362" s="201">
        <v>170</v>
      </c>
      <c r="V362" s="201">
        <v>1</v>
      </c>
      <c r="W362" s="201">
        <v>1</v>
      </c>
      <c r="X362" s="201">
        <v>1</v>
      </c>
      <c r="Y362" s="40">
        <v>0</v>
      </c>
      <c r="Z362" s="40">
        <v>0</v>
      </c>
      <c r="AA362" s="40">
        <v>5</v>
      </c>
      <c r="AB362" s="40">
        <v>6460</v>
      </c>
      <c r="AC362" s="201">
        <v>300</v>
      </c>
      <c r="AD362" s="206">
        <v>0</v>
      </c>
      <c r="AE362" s="207">
        <v>4</v>
      </c>
      <c r="AF362" s="207">
        <v>2</v>
      </c>
      <c r="AG362" s="208"/>
      <c r="AH362" s="208">
        <v>1</v>
      </c>
      <c r="AI362" s="209"/>
      <c r="AJ362" s="201"/>
      <c r="AK362" s="201"/>
      <c r="AL362" s="201">
        <v>1</v>
      </c>
      <c r="AM362" s="210">
        <v>4</v>
      </c>
      <c r="AN362" s="211" t="s">
        <v>1136</v>
      </c>
      <c r="AO362" s="209"/>
      <c r="AP362" s="212"/>
      <c r="AQ362" s="202" t="s">
        <v>1225</v>
      </c>
      <c r="AS362" s="40">
        <v>1</v>
      </c>
    </row>
    <row r="363" s="40" customFormat="1" spans="1:45">
      <c r="A363" s="201">
        <v>215020</v>
      </c>
      <c r="B363" s="201">
        <v>1001</v>
      </c>
      <c r="C363" s="201">
        <v>1</v>
      </c>
      <c r="D363" s="201">
        <v>1001</v>
      </c>
      <c r="E363" s="202" t="s">
        <v>1227</v>
      </c>
      <c r="F363" s="203" t="s">
        <v>1218</v>
      </c>
      <c r="G363" s="40" t="s">
        <v>1228</v>
      </c>
      <c r="H363" s="40" t="s">
        <v>1229</v>
      </c>
      <c r="I363" s="40">
        <v>1</v>
      </c>
      <c r="J363" s="204">
        <v>3</v>
      </c>
      <c r="K363" s="201">
        <v>2</v>
      </c>
      <c r="L363" s="128">
        <v>9999</v>
      </c>
      <c r="M363" s="201">
        <v>0</v>
      </c>
      <c r="N363" s="201">
        <v>1</v>
      </c>
      <c r="O363" s="205" t="s">
        <v>1149</v>
      </c>
      <c r="S363" s="201">
        <v>1</v>
      </c>
      <c r="T363" s="201">
        <v>5</v>
      </c>
      <c r="U363" s="201">
        <v>170</v>
      </c>
      <c r="V363" s="201">
        <v>1</v>
      </c>
      <c r="W363" s="201">
        <v>1</v>
      </c>
      <c r="X363" s="201">
        <v>1</v>
      </c>
      <c r="Y363" s="40">
        <v>0</v>
      </c>
      <c r="Z363" s="40">
        <v>0</v>
      </c>
      <c r="AA363" s="40">
        <v>5</v>
      </c>
      <c r="AB363" s="40">
        <v>6460</v>
      </c>
      <c r="AC363" s="201">
        <v>300</v>
      </c>
      <c r="AD363" s="206">
        <v>0</v>
      </c>
      <c r="AE363" s="207">
        <v>4</v>
      </c>
      <c r="AF363" s="207">
        <v>2</v>
      </c>
      <c r="AG363" s="208"/>
      <c r="AH363" s="208">
        <v>1</v>
      </c>
      <c r="AI363" s="209"/>
      <c r="AJ363" s="201"/>
      <c r="AK363" s="201"/>
      <c r="AL363" s="201">
        <v>1</v>
      </c>
      <c r="AM363" s="210">
        <v>5</v>
      </c>
      <c r="AN363" s="211" t="s">
        <v>1136</v>
      </c>
      <c r="AO363" s="209"/>
      <c r="AP363" s="212"/>
      <c r="AQ363" s="202" t="s">
        <v>1227</v>
      </c>
      <c r="AS363" s="40">
        <v>1</v>
      </c>
    </row>
    <row r="364" s="40" customFormat="1" spans="1:45">
      <c r="A364" s="201">
        <v>216020</v>
      </c>
      <c r="B364" s="201">
        <v>1001</v>
      </c>
      <c r="C364" s="201">
        <v>1</v>
      </c>
      <c r="D364" s="201">
        <v>1001</v>
      </c>
      <c r="E364" s="202" t="s">
        <v>1230</v>
      </c>
      <c r="F364" s="203" t="s">
        <v>1218</v>
      </c>
      <c r="G364" s="40" t="s">
        <v>1231</v>
      </c>
      <c r="H364" s="40" t="s">
        <v>1229</v>
      </c>
      <c r="I364" s="40">
        <v>1</v>
      </c>
      <c r="J364" s="204">
        <v>3</v>
      </c>
      <c r="K364" s="201">
        <v>2</v>
      </c>
      <c r="L364" s="128">
        <v>9999</v>
      </c>
      <c r="M364" s="201">
        <v>0</v>
      </c>
      <c r="N364" s="201">
        <v>1</v>
      </c>
      <c r="O364" s="205" t="s">
        <v>1152</v>
      </c>
      <c r="S364" s="201">
        <v>1</v>
      </c>
      <c r="T364" s="201">
        <v>5</v>
      </c>
      <c r="U364" s="201">
        <v>170</v>
      </c>
      <c r="V364" s="201">
        <v>1</v>
      </c>
      <c r="W364" s="201">
        <v>1</v>
      </c>
      <c r="X364" s="201">
        <v>1</v>
      </c>
      <c r="Y364" s="40">
        <v>0</v>
      </c>
      <c r="Z364" s="40">
        <v>0</v>
      </c>
      <c r="AA364" s="40">
        <v>5</v>
      </c>
      <c r="AB364" s="40">
        <v>6460</v>
      </c>
      <c r="AC364" s="201">
        <v>300</v>
      </c>
      <c r="AD364" s="206">
        <v>0</v>
      </c>
      <c r="AE364" s="207">
        <v>4</v>
      </c>
      <c r="AF364" s="207">
        <v>2</v>
      </c>
      <c r="AG364" s="208"/>
      <c r="AH364" s="208">
        <v>1</v>
      </c>
      <c r="AI364" s="209"/>
      <c r="AJ364" s="201"/>
      <c r="AK364" s="201"/>
      <c r="AL364" s="201">
        <v>1</v>
      </c>
      <c r="AM364" s="210">
        <v>6</v>
      </c>
      <c r="AN364" s="211"/>
      <c r="AO364" s="209"/>
      <c r="AP364" s="212"/>
      <c r="AQ364" s="202" t="s">
        <v>1230</v>
      </c>
      <c r="AS364" s="40">
        <v>1</v>
      </c>
    </row>
    <row r="365" s="40" customFormat="1" spans="1:45">
      <c r="A365" s="201">
        <v>217020</v>
      </c>
      <c r="B365" s="201">
        <v>1001</v>
      </c>
      <c r="C365" s="201">
        <v>1</v>
      </c>
      <c r="D365" s="201">
        <v>1001</v>
      </c>
      <c r="E365" s="202" t="s">
        <v>1232</v>
      </c>
      <c r="F365" s="203" t="s">
        <v>1218</v>
      </c>
      <c r="G365" s="40" t="s">
        <v>1233</v>
      </c>
      <c r="H365" s="40" t="s">
        <v>1234</v>
      </c>
      <c r="I365" s="40">
        <v>1</v>
      </c>
      <c r="J365" s="204">
        <v>4</v>
      </c>
      <c r="K365" s="201">
        <v>2</v>
      </c>
      <c r="L365" s="128">
        <v>9999</v>
      </c>
      <c r="M365" s="201">
        <v>0</v>
      </c>
      <c r="N365" s="201">
        <v>1</v>
      </c>
      <c r="O365" s="205" t="s">
        <v>1156</v>
      </c>
      <c r="S365" s="201">
        <v>1</v>
      </c>
      <c r="T365" s="201">
        <v>5</v>
      </c>
      <c r="U365" s="201">
        <v>200</v>
      </c>
      <c r="V365" s="201">
        <v>1</v>
      </c>
      <c r="W365" s="201">
        <v>1</v>
      </c>
      <c r="X365" s="201">
        <v>1</v>
      </c>
      <c r="Y365" s="40">
        <v>0</v>
      </c>
      <c r="Z365" s="40">
        <v>0</v>
      </c>
      <c r="AA365" s="40">
        <v>5</v>
      </c>
      <c r="AB365" s="40">
        <v>7600</v>
      </c>
      <c r="AC365" s="201">
        <v>300</v>
      </c>
      <c r="AD365" s="206">
        <v>0</v>
      </c>
      <c r="AE365" s="207">
        <v>4</v>
      </c>
      <c r="AF365" s="207">
        <v>2</v>
      </c>
      <c r="AG365" s="208"/>
      <c r="AH365" s="208">
        <v>1</v>
      </c>
      <c r="AI365" s="209"/>
      <c r="AJ365" s="201"/>
      <c r="AK365" s="201"/>
      <c r="AL365" s="201">
        <v>1</v>
      </c>
      <c r="AM365" s="210">
        <v>7</v>
      </c>
      <c r="AN365" s="211"/>
      <c r="AO365" s="209"/>
      <c r="AP365" s="212"/>
      <c r="AQ365" s="202" t="s">
        <v>1232</v>
      </c>
      <c r="AS365" s="40">
        <v>1</v>
      </c>
    </row>
    <row r="366" s="40" customFormat="1" spans="1:45">
      <c r="A366" s="201">
        <v>218020</v>
      </c>
      <c r="B366" s="201">
        <v>1001</v>
      </c>
      <c r="C366" s="201">
        <v>1</v>
      </c>
      <c r="D366" s="201">
        <v>1001</v>
      </c>
      <c r="E366" s="202" t="s">
        <v>1235</v>
      </c>
      <c r="F366" s="203" t="s">
        <v>1218</v>
      </c>
      <c r="G366" s="40" t="s">
        <v>1236</v>
      </c>
      <c r="H366" s="40" t="s">
        <v>1234</v>
      </c>
      <c r="I366" s="40">
        <v>1</v>
      </c>
      <c r="J366" s="204">
        <v>4</v>
      </c>
      <c r="K366" s="201">
        <v>2</v>
      </c>
      <c r="L366" s="128">
        <v>9999</v>
      </c>
      <c r="M366" s="201">
        <v>0</v>
      </c>
      <c r="N366" s="201">
        <v>1</v>
      </c>
      <c r="O366" s="205" t="s">
        <v>1159</v>
      </c>
      <c r="S366" s="201">
        <v>1</v>
      </c>
      <c r="T366" s="201">
        <v>5</v>
      </c>
      <c r="U366" s="201">
        <v>200</v>
      </c>
      <c r="V366" s="201">
        <v>1</v>
      </c>
      <c r="W366" s="201">
        <v>1</v>
      </c>
      <c r="X366" s="201">
        <v>1</v>
      </c>
      <c r="Y366" s="40">
        <v>0</v>
      </c>
      <c r="Z366" s="40">
        <v>0</v>
      </c>
      <c r="AA366" s="40">
        <v>5</v>
      </c>
      <c r="AB366" s="40">
        <v>7600</v>
      </c>
      <c r="AC366" s="201">
        <v>300</v>
      </c>
      <c r="AD366" s="206">
        <v>0</v>
      </c>
      <c r="AE366" s="207">
        <v>4</v>
      </c>
      <c r="AF366" s="207">
        <v>2</v>
      </c>
      <c r="AG366" s="208"/>
      <c r="AH366" s="208">
        <v>1</v>
      </c>
      <c r="AI366" s="209"/>
      <c r="AJ366" s="201"/>
      <c r="AK366" s="201"/>
      <c r="AL366" s="201">
        <v>1</v>
      </c>
      <c r="AM366" s="210">
        <v>8</v>
      </c>
      <c r="AN366" s="211"/>
      <c r="AO366" s="209"/>
      <c r="AP366" s="212"/>
      <c r="AQ366" s="202" t="s">
        <v>1235</v>
      </c>
      <c r="AS366" s="40">
        <v>1</v>
      </c>
    </row>
    <row r="367" s="40" customFormat="1" spans="1:45">
      <c r="A367" s="201">
        <v>219020</v>
      </c>
      <c r="B367" s="201">
        <v>1001</v>
      </c>
      <c r="C367" s="201">
        <v>1</v>
      </c>
      <c r="D367" s="201">
        <v>1001</v>
      </c>
      <c r="E367" s="202" t="s">
        <v>1237</v>
      </c>
      <c r="F367" s="203" t="s">
        <v>1218</v>
      </c>
      <c r="G367" s="40" t="s">
        <v>1238</v>
      </c>
      <c r="H367" s="40" t="s">
        <v>333</v>
      </c>
      <c r="I367" s="40">
        <v>1</v>
      </c>
      <c r="J367" s="204">
        <v>5</v>
      </c>
      <c r="K367" s="201">
        <v>2</v>
      </c>
      <c r="L367" s="128">
        <v>9999</v>
      </c>
      <c r="M367" s="201">
        <v>0</v>
      </c>
      <c r="N367" s="201">
        <v>1</v>
      </c>
      <c r="O367" s="205" t="s">
        <v>1163</v>
      </c>
      <c r="S367" s="201">
        <v>1</v>
      </c>
      <c r="T367" s="201">
        <v>5</v>
      </c>
      <c r="U367" s="201">
        <v>200</v>
      </c>
      <c r="V367" s="201">
        <v>1</v>
      </c>
      <c r="W367" s="201">
        <v>1</v>
      </c>
      <c r="X367" s="201">
        <v>1</v>
      </c>
      <c r="Y367" s="40">
        <v>0</v>
      </c>
      <c r="Z367" s="40">
        <v>0</v>
      </c>
      <c r="AA367" s="40">
        <v>5</v>
      </c>
      <c r="AB367" s="40">
        <v>7600</v>
      </c>
      <c r="AC367" s="201">
        <v>300</v>
      </c>
      <c r="AD367" s="206">
        <v>0</v>
      </c>
      <c r="AE367" s="207">
        <v>4</v>
      </c>
      <c r="AF367" s="207">
        <v>2</v>
      </c>
      <c r="AG367" s="208"/>
      <c r="AH367" s="208">
        <v>1</v>
      </c>
      <c r="AI367" s="208"/>
      <c r="AJ367" s="215"/>
      <c r="AK367" s="215"/>
      <c r="AL367" s="201">
        <v>1</v>
      </c>
      <c r="AM367" s="210">
        <v>9</v>
      </c>
      <c r="AN367" s="211"/>
      <c r="AO367" s="209"/>
      <c r="AP367" s="212"/>
      <c r="AQ367" s="202" t="s">
        <v>1237</v>
      </c>
      <c r="AS367" s="40">
        <v>1</v>
      </c>
    </row>
    <row r="368" s="40" customFormat="1" spans="1:45">
      <c r="A368" s="201">
        <v>210020</v>
      </c>
      <c r="B368" s="201">
        <v>1001</v>
      </c>
      <c r="C368" s="201">
        <v>1</v>
      </c>
      <c r="D368" s="201">
        <v>1001</v>
      </c>
      <c r="E368" s="202" t="s">
        <v>1239</v>
      </c>
      <c r="F368" s="203" t="s">
        <v>1218</v>
      </c>
      <c r="G368" s="40" t="s">
        <v>1240</v>
      </c>
      <c r="H368" s="40" t="s">
        <v>333</v>
      </c>
      <c r="I368" s="40">
        <v>1</v>
      </c>
      <c r="J368" s="204">
        <v>5</v>
      </c>
      <c r="K368" s="201">
        <v>2</v>
      </c>
      <c r="L368" s="128">
        <v>9999</v>
      </c>
      <c r="M368" s="201">
        <v>0</v>
      </c>
      <c r="N368" s="201">
        <v>1</v>
      </c>
      <c r="O368" s="205" t="s">
        <v>1166</v>
      </c>
      <c r="S368" s="201">
        <v>1</v>
      </c>
      <c r="T368" s="201">
        <v>5</v>
      </c>
      <c r="U368" s="201">
        <v>200</v>
      </c>
      <c r="V368" s="201">
        <v>1</v>
      </c>
      <c r="W368" s="201">
        <v>1</v>
      </c>
      <c r="X368" s="201">
        <v>1</v>
      </c>
      <c r="Y368" s="40">
        <v>0</v>
      </c>
      <c r="Z368" s="40">
        <v>0</v>
      </c>
      <c r="AA368" s="40">
        <v>5</v>
      </c>
      <c r="AB368" s="40">
        <v>7600</v>
      </c>
      <c r="AC368" s="201">
        <v>300</v>
      </c>
      <c r="AD368" s="206">
        <v>0</v>
      </c>
      <c r="AE368" s="207">
        <v>4</v>
      </c>
      <c r="AF368" s="207">
        <v>2</v>
      </c>
      <c r="AG368" s="208"/>
      <c r="AH368" s="208">
        <v>1</v>
      </c>
      <c r="AI368" s="208"/>
      <c r="AJ368" s="201"/>
      <c r="AK368" s="201"/>
      <c r="AL368" s="201">
        <v>1</v>
      </c>
      <c r="AM368" s="210">
        <v>10</v>
      </c>
      <c r="AN368" s="211"/>
      <c r="AO368" s="209"/>
      <c r="AP368" s="212"/>
      <c r="AQ368" s="202" t="s">
        <v>1239</v>
      </c>
      <c r="AS368" s="40">
        <v>1</v>
      </c>
    </row>
    <row r="369" s="40" customFormat="1" spans="1:45">
      <c r="A369" s="201">
        <v>210120</v>
      </c>
      <c r="B369" s="201">
        <v>1001</v>
      </c>
      <c r="C369" s="201">
        <v>1</v>
      </c>
      <c r="D369" s="201">
        <v>1001</v>
      </c>
      <c r="E369" s="202" t="s">
        <v>1241</v>
      </c>
      <c r="F369" s="203" t="s">
        <v>1218</v>
      </c>
      <c r="G369" s="40" t="s">
        <v>1242</v>
      </c>
      <c r="H369" s="40" t="s">
        <v>333</v>
      </c>
      <c r="I369" s="40">
        <v>1</v>
      </c>
      <c r="J369" s="204">
        <v>5</v>
      </c>
      <c r="K369" s="201">
        <v>2</v>
      </c>
      <c r="L369" s="128">
        <v>9999</v>
      </c>
      <c r="M369" s="201">
        <v>0</v>
      </c>
      <c r="N369" s="201">
        <v>1</v>
      </c>
      <c r="O369" s="205" t="s">
        <v>1169</v>
      </c>
      <c r="S369" s="201">
        <v>1</v>
      </c>
      <c r="T369" s="201">
        <v>5</v>
      </c>
      <c r="U369" s="201">
        <v>200</v>
      </c>
      <c r="V369" s="201">
        <v>1</v>
      </c>
      <c r="W369" s="201">
        <v>1</v>
      </c>
      <c r="X369" s="201">
        <v>1</v>
      </c>
      <c r="Y369" s="40">
        <v>0</v>
      </c>
      <c r="Z369" s="40">
        <v>0</v>
      </c>
      <c r="AA369" s="40">
        <v>5</v>
      </c>
      <c r="AB369" s="40">
        <v>7600</v>
      </c>
      <c r="AC369" s="201">
        <v>300</v>
      </c>
      <c r="AD369" s="206">
        <v>0</v>
      </c>
      <c r="AE369" s="207">
        <v>4</v>
      </c>
      <c r="AF369" s="207">
        <v>2</v>
      </c>
      <c r="AG369" s="208"/>
      <c r="AH369" s="208">
        <v>1</v>
      </c>
      <c r="AI369" s="208"/>
      <c r="AJ369" s="201"/>
      <c r="AK369" s="201"/>
      <c r="AL369" s="201">
        <v>1</v>
      </c>
      <c r="AM369" s="210">
        <v>11</v>
      </c>
      <c r="AN369" s="211"/>
      <c r="AO369" s="209"/>
      <c r="AP369" s="212"/>
      <c r="AQ369" s="202" t="s">
        <v>1241</v>
      </c>
      <c r="AS369" s="40">
        <v>1</v>
      </c>
    </row>
    <row r="370" s="40" customFormat="1" spans="1:45">
      <c r="A370" s="201">
        <v>210220</v>
      </c>
      <c r="B370" s="201">
        <v>1001</v>
      </c>
      <c r="C370" s="201">
        <v>1</v>
      </c>
      <c r="D370" s="201">
        <v>1001</v>
      </c>
      <c r="E370" s="202" t="s">
        <v>1243</v>
      </c>
      <c r="F370" s="203" t="s">
        <v>1218</v>
      </c>
      <c r="G370" s="40" t="s">
        <v>1244</v>
      </c>
      <c r="H370" s="40" t="s">
        <v>333</v>
      </c>
      <c r="I370" s="40">
        <v>1</v>
      </c>
      <c r="J370" s="204">
        <v>5</v>
      </c>
      <c r="K370" s="201">
        <v>2</v>
      </c>
      <c r="L370" s="128">
        <v>9999</v>
      </c>
      <c r="M370" s="201">
        <v>0</v>
      </c>
      <c r="N370" s="201">
        <v>1</v>
      </c>
      <c r="O370" s="205" t="s">
        <v>1169</v>
      </c>
      <c r="S370" s="201">
        <v>1</v>
      </c>
      <c r="T370" s="201">
        <v>5</v>
      </c>
      <c r="U370" s="201">
        <v>200</v>
      </c>
      <c r="V370" s="201">
        <v>1</v>
      </c>
      <c r="W370" s="201">
        <v>1</v>
      </c>
      <c r="X370" s="201">
        <v>1</v>
      </c>
      <c r="Y370" s="40">
        <v>0</v>
      </c>
      <c r="Z370" s="40">
        <v>0</v>
      </c>
      <c r="AA370" s="40">
        <v>5</v>
      </c>
      <c r="AB370" s="40">
        <v>7600</v>
      </c>
      <c r="AC370" s="201">
        <v>300</v>
      </c>
      <c r="AD370" s="206">
        <v>0</v>
      </c>
      <c r="AE370" s="207">
        <v>4</v>
      </c>
      <c r="AF370" s="207">
        <v>2</v>
      </c>
      <c r="AG370" s="208"/>
      <c r="AH370" s="208">
        <v>1</v>
      </c>
      <c r="AI370" s="208"/>
      <c r="AJ370" s="201"/>
      <c r="AK370" s="201"/>
      <c r="AL370" s="201">
        <v>1</v>
      </c>
      <c r="AM370" s="210">
        <v>12</v>
      </c>
      <c r="AN370" s="211"/>
      <c r="AO370" s="209"/>
      <c r="AP370" s="212"/>
      <c r="AQ370" s="202" t="s">
        <v>1243</v>
      </c>
      <c r="AS370" s="40">
        <v>1</v>
      </c>
    </row>
    <row r="371" s="40" customFormat="1" spans="1:45">
      <c r="A371" s="201">
        <v>210320</v>
      </c>
      <c r="B371" s="201">
        <v>1001</v>
      </c>
      <c r="C371" s="201">
        <v>1</v>
      </c>
      <c r="D371" s="201">
        <v>1001</v>
      </c>
      <c r="E371" s="202" t="s">
        <v>1245</v>
      </c>
      <c r="F371" s="203" t="s">
        <v>1218</v>
      </c>
      <c r="G371" s="40" t="s">
        <v>1246</v>
      </c>
      <c r="H371" s="40" t="s">
        <v>333</v>
      </c>
      <c r="I371" s="40">
        <v>1</v>
      </c>
      <c r="J371" s="204">
        <v>5</v>
      </c>
      <c r="K371" s="201">
        <v>2</v>
      </c>
      <c r="L371" s="128">
        <v>9999</v>
      </c>
      <c r="M371" s="201">
        <v>0</v>
      </c>
      <c r="N371" s="201">
        <v>1</v>
      </c>
      <c r="O371" s="205" t="s">
        <v>1169</v>
      </c>
      <c r="S371" s="201">
        <v>1</v>
      </c>
      <c r="T371" s="201">
        <v>5</v>
      </c>
      <c r="U371" s="201">
        <v>200</v>
      </c>
      <c r="V371" s="201">
        <v>1</v>
      </c>
      <c r="W371" s="201">
        <v>1</v>
      </c>
      <c r="X371" s="201">
        <v>1</v>
      </c>
      <c r="Y371" s="40">
        <v>0</v>
      </c>
      <c r="Z371" s="40">
        <v>0</v>
      </c>
      <c r="AA371" s="40">
        <v>5</v>
      </c>
      <c r="AB371" s="40">
        <v>7600</v>
      </c>
      <c r="AC371" s="201">
        <v>300</v>
      </c>
      <c r="AD371" s="206">
        <v>0</v>
      </c>
      <c r="AE371" s="207">
        <v>4</v>
      </c>
      <c r="AF371" s="207">
        <v>2</v>
      </c>
      <c r="AG371" s="208"/>
      <c r="AH371" s="208">
        <v>1</v>
      </c>
      <c r="AI371" s="208"/>
      <c r="AJ371" s="201"/>
      <c r="AK371" s="201"/>
      <c r="AL371" s="201">
        <v>1</v>
      </c>
      <c r="AM371" s="210">
        <v>13</v>
      </c>
      <c r="AN371" s="211"/>
      <c r="AO371" s="209"/>
      <c r="AP371" s="212"/>
      <c r="AQ371" s="202" t="s">
        <v>1245</v>
      </c>
      <c r="AS371" s="40">
        <v>1</v>
      </c>
    </row>
    <row r="372" s="40" customFormat="1" spans="1:45">
      <c r="A372" s="201">
        <v>210420</v>
      </c>
      <c r="B372" s="201">
        <v>1001</v>
      </c>
      <c r="C372" s="201">
        <v>1</v>
      </c>
      <c r="D372" s="201">
        <v>1001</v>
      </c>
      <c r="E372" s="202" t="s">
        <v>1247</v>
      </c>
      <c r="F372" s="203" t="s">
        <v>1218</v>
      </c>
      <c r="G372" s="40" t="s">
        <v>1248</v>
      </c>
      <c r="H372" s="40" t="s">
        <v>333</v>
      </c>
      <c r="I372" s="40">
        <v>1</v>
      </c>
      <c r="J372" s="204">
        <v>5</v>
      </c>
      <c r="K372" s="201">
        <v>2</v>
      </c>
      <c r="L372" s="128">
        <v>9999</v>
      </c>
      <c r="M372" s="201">
        <v>0</v>
      </c>
      <c r="N372" s="201">
        <v>1</v>
      </c>
      <c r="O372" s="205" t="s">
        <v>1169</v>
      </c>
      <c r="S372" s="201">
        <v>1</v>
      </c>
      <c r="T372" s="201">
        <v>5</v>
      </c>
      <c r="U372" s="201">
        <v>200</v>
      </c>
      <c r="V372" s="201">
        <v>1</v>
      </c>
      <c r="W372" s="201">
        <v>1</v>
      </c>
      <c r="X372" s="201">
        <v>1</v>
      </c>
      <c r="Y372" s="40">
        <v>0</v>
      </c>
      <c r="Z372" s="40">
        <v>0</v>
      </c>
      <c r="AA372" s="40">
        <v>5</v>
      </c>
      <c r="AB372" s="40">
        <v>7600</v>
      </c>
      <c r="AC372" s="201">
        <v>300</v>
      </c>
      <c r="AD372" s="206">
        <v>0</v>
      </c>
      <c r="AE372" s="207">
        <v>4</v>
      </c>
      <c r="AF372" s="207">
        <v>2</v>
      </c>
      <c r="AG372" s="208"/>
      <c r="AH372" s="208">
        <v>1</v>
      </c>
      <c r="AI372" s="208"/>
      <c r="AJ372" s="201"/>
      <c r="AK372" s="201"/>
      <c r="AL372" s="201">
        <v>1</v>
      </c>
      <c r="AM372" s="210">
        <v>14</v>
      </c>
      <c r="AN372" s="211"/>
      <c r="AO372" s="209"/>
      <c r="AP372" s="212"/>
      <c r="AQ372" s="202" t="s">
        <v>1247</v>
      </c>
      <c r="AS372" s="40">
        <v>1</v>
      </c>
    </row>
    <row r="373" spans="1:45">
      <c r="A373" s="201">
        <v>210520</v>
      </c>
      <c r="B373" s="201">
        <v>1001</v>
      </c>
      <c r="C373" s="201">
        <v>1</v>
      </c>
      <c r="D373" s="201">
        <v>1001</v>
      </c>
      <c r="E373" s="202" t="s">
        <v>1249</v>
      </c>
      <c r="F373" s="203" t="s">
        <v>1218</v>
      </c>
      <c r="G373" s="40" t="s">
        <v>1250</v>
      </c>
      <c r="H373" s="40" t="s">
        <v>333</v>
      </c>
      <c r="I373" s="40">
        <v>1</v>
      </c>
      <c r="J373" s="204">
        <v>5</v>
      </c>
      <c r="K373" s="201">
        <v>2</v>
      </c>
      <c r="L373" s="128">
        <v>9999</v>
      </c>
      <c r="M373" s="201">
        <v>0</v>
      </c>
      <c r="N373" s="201">
        <v>1</v>
      </c>
      <c r="O373" s="205" t="s">
        <v>1169</v>
      </c>
      <c r="S373" s="201">
        <v>1</v>
      </c>
      <c r="T373" s="201">
        <v>5</v>
      </c>
      <c r="U373" s="201">
        <v>200</v>
      </c>
      <c r="V373" s="201">
        <v>1</v>
      </c>
      <c r="W373" s="201">
        <v>1</v>
      </c>
      <c r="X373" s="201">
        <v>1</v>
      </c>
      <c r="Y373" s="40">
        <v>0</v>
      </c>
      <c r="Z373" s="40">
        <v>0</v>
      </c>
      <c r="AA373" s="40">
        <v>5</v>
      </c>
      <c r="AB373" s="40">
        <v>7600</v>
      </c>
      <c r="AC373" s="201">
        <v>300</v>
      </c>
      <c r="AD373" s="206">
        <v>0</v>
      </c>
      <c r="AE373" s="207">
        <v>4</v>
      </c>
      <c r="AF373" s="207">
        <v>2</v>
      </c>
      <c r="AG373" s="208"/>
      <c r="AH373" s="208">
        <v>1</v>
      </c>
      <c r="AI373" s="208"/>
      <c r="AJ373" s="208"/>
      <c r="AK373" s="208"/>
      <c r="AL373" s="201">
        <v>1</v>
      </c>
      <c r="AM373" s="210">
        <v>15</v>
      </c>
      <c r="AN373" s="211"/>
      <c r="AO373" s="209"/>
      <c r="AP373" s="212"/>
      <c r="AQ373" s="202" t="s">
        <v>1249</v>
      </c>
      <c r="AS373" s="40">
        <v>1</v>
      </c>
    </row>
    <row r="374" spans="1:45">
      <c r="A374" s="8">
        <v>210620</v>
      </c>
      <c r="B374" s="8">
        <v>1001</v>
      </c>
      <c r="C374" s="8">
        <v>1</v>
      </c>
      <c r="D374" s="8">
        <v>1001</v>
      </c>
      <c r="E374" s="147" t="s">
        <v>1251</v>
      </c>
      <c r="F374" s="147" t="s">
        <v>1251</v>
      </c>
      <c r="G374" t="s">
        <v>1252</v>
      </c>
      <c r="H374" t="s">
        <v>333</v>
      </c>
      <c r="I374">
        <v>1</v>
      </c>
      <c r="J374" s="69">
        <v>5</v>
      </c>
      <c r="K374" s="87">
        <v>1</v>
      </c>
      <c r="L374" s="128">
        <v>9999</v>
      </c>
      <c r="M374" s="8">
        <v>0</v>
      </c>
      <c r="N374" s="8"/>
      <c r="Q374"/>
      <c r="S374" s="89">
        <v>1</v>
      </c>
      <c r="T374" s="8">
        <v>5</v>
      </c>
      <c r="U374" s="89">
        <v>200</v>
      </c>
      <c r="V374" s="87">
        <v>1</v>
      </c>
      <c r="W374" s="8">
        <v>1</v>
      </c>
      <c r="X374" s="8">
        <v>1</v>
      </c>
      <c r="Y374">
        <v>0</v>
      </c>
      <c r="Z374" s="33">
        <v>0</v>
      </c>
      <c r="AA374">
        <v>5</v>
      </c>
      <c r="AB374" s="34">
        <v>7600</v>
      </c>
      <c r="AC374" s="87">
        <v>300</v>
      </c>
      <c r="AD374" s="62">
        <v>0</v>
      </c>
      <c r="AE374" s="90">
        <v>0</v>
      </c>
      <c r="AF374" s="90">
        <v>0</v>
      </c>
      <c r="AG374" s="91"/>
      <c r="AH374" s="91">
        <v>1</v>
      </c>
      <c r="AI374" s="92"/>
      <c r="AJ374" s="8"/>
      <c r="AK374" s="8"/>
      <c r="AL374" s="8">
        <v>1</v>
      </c>
      <c r="AM374" s="213"/>
      <c r="AN374" s="93"/>
      <c r="AO374" s="92"/>
      <c r="AQ374" s="147" t="s">
        <v>1251</v>
      </c>
      <c r="AS374">
        <v>1</v>
      </c>
    </row>
    <row r="375" spans="1:45">
      <c r="A375" s="8">
        <v>211021</v>
      </c>
      <c r="B375" s="8">
        <v>1001</v>
      </c>
      <c r="C375" s="8">
        <v>1</v>
      </c>
      <c r="D375" s="8">
        <v>1001</v>
      </c>
      <c r="E375" s="147" t="s">
        <v>1253</v>
      </c>
      <c r="F375" s="13" t="s">
        <v>1254</v>
      </c>
      <c r="G375" t="s">
        <v>1255</v>
      </c>
      <c r="H375" s="216" t="s">
        <v>1256</v>
      </c>
      <c r="I375">
        <v>1</v>
      </c>
      <c r="J375" s="69">
        <v>1</v>
      </c>
      <c r="K375" s="87">
        <v>1</v>
      </c>
      <c r="L375" s="128">
        <v>9999</v>
      </c>
      <c r="M375" s="8">
        <v>0</v>
      </c>
      <c r="N375" s="8"/>
      <c r="Q375" t="s">
        <v>1257</v>
      </c>
      <c r="S375" s="89">
        <v>1</v>
      </c>
      <c r="T375" s="8">
        <v>5</v>
      </c>
      <c r="U375" s="89">
        <v>140</v>
      </c>
      <c r="V375" s="87">
        <v>1</v>
      </c>
      <c r="W375" s="8">
        <v>1</v>
      </c>
      <c r="X375" s="8">
        <v>1</v>
      </c>
      <c r="Y375">
        <v>0</v>
      </c>
      <c r="Z375" s="33">
        <v>0</v>
      </c>
      <c r="AA375">
        <v>5</v>
      </c>
      <c r="AB375" s="34">
        <v>5320</v>
      </c>
      <c r="AC375" s="87">
        <v>300</v>
      </c>
      <c r="AD375" s="62">
        <v>0</v>
      </c>
      <c r="AE375" s="90">
        <v>0</v>
      </c>
      <c r="AF375" s="90">
        <v>0</v>
      </c>
      <c r="AG375" s="91"/>
      <c r="AH375" s="91">
        <v>1</v>
      </c>
      <c r="AI375" s="92"/>
      <c r="AJ375" s="8"/>
      <c r="AK375" s="8"/>
      <c r="AL375" s="8">
        <v>1</v>
      </c>
      <c r="AM375" s="213">
        <v>1</v>
      </c>
      <c r="AN375" s="93" t="s">
        <v>1136</v>
      </c>
      <c r="AO375" s="92"/>
      <c r="AQ375" s="147" t="s">
        <v>1253</v>
      </c>
      <c r="AS375">
        <v>1</v>
      </c>
    </row>
    <row r="376" spans="1:45">
      <c r="A376" s="8">
        <v>212021</v>
      </c>
      <c r="B376" s="8">
        <v>1001</v>
      </c>
      <c r="C376" s="8">
        <v>1</v>
      </c>
      <c r="D376" s="8">
        <v>1001</v>
      </c>
      <c r="E376" s="147" t="s">
        <v>1258</v>
      </c>
      <c r="F376" s="13" t="s">
        <v>1254</v>
      </c>
      <c r="G376" t="s">
        <v>1259</v>
      </c>
      <c r="H376" s="216" t="s">
        <v>1256</v>
      </c>
      <c r="I376">
        <v>1</v>
      </c>
      <c r="J376" s="69">
        <v>1</v>
      </c>
      <c r="K376" s="87">
        <v>1</v>
      </c>
      <c r="L376" s="128">
        <v>9999</v>
      </c>
      <c r="M376" s="8">
        <v>0</v>
      </c>
      <c r="N376" s="8"/>
      <c r="Q376" t="s">
        <v>1257</v>
      </c>
      <c r="S376" s="89">
        <v>1</v>
      </c>
      <c r="T376" s="8">
        <v>5</v>
      </c>
      <c r="U376" s="89">
        <v>140</v>
      </c>
      <c r="V376" s="87">
        <v>1</v>
      </c>
      <c r="W376" s="8">
        <v>1</v>
      </c>
      <c r="X376" s="8">
        <v>1</v>
      </c>
      <c r="Y376">
        <v>0</v>
      </c>
      <c r="Z376" s="33">
        <v>0</v>
      </c>
      <c r="AA376">
        <v>5</v>
      </c>
      <c r="AB376" s="34">
        <v>5320</v>
      </c>
      <c r="AC376" s="87">
        <v>300</v>
      </c>
      <c r="AD376" s="62">
        <v>0</v>
      </c>
      <c r="AE376" s="90">
        <v>0</v>
      </c>
      <c r="AF376" s="90">
        <v>0</v>
      </c>
      <c r="AG376" s="91"/>
      <c r="AH376" s="91">
        <v>1</v>
      </c>
      <c r="AI376" s="92"/>
      <c r="AJ376" s="8"/>
      <c r="AK376" s="8"/>
      <c r="AL376" s="8">
        <v>1</v>
      </c>
      <c r="AM376" s="213">
        <v>2</v>
      </c>
      <c r="AN376" s="93" t="s">
        <v>1136</v>
      </c>
      <c r="AO376" s="92"/>
      <c r="AQ376" s="147" t="s">
        <v>1258</v>
      </c>
      <c r="AS376">
        <v>1</v>
      </c>
    </row>
    <row r="377" spans="1:45">
      <c r="A377" s="8">
        <v>213021</v>
      </c>
      <c r="B377" s="8">
        <v>1001</v>
      </c>
      <c r="C377" s="8">
        <v>1</v>
      </c>
      <c r="D377" s="8">
        <v>1001</v>
      </c>
      <c r="E377" s="147" t="s">
        <v>1260</v>
      </c>
      <c r="F377" s="13" t="s">
        <v>1254</v>
      </c>
      <c r="G377" t="s">
        <v>1261</v>
      </c>
      <c r="H377" s="216" t="s">
        <v>1256</v>
      </c>
      <c r="I377">
        <v>1</v>
      </c>
      <c r="J377" s="69">
        <v>2</v>
      </c>
      <c r="K377" s="87">
        <v>1</v>
      </c>
      <c r="L377" s="128">
        <v>9999</v>
      </c>
      <c r="M377" s="8">
        <v>0</v>
      </c>
      <c r="N377" s="8"/>
      <c r="Q377" t="s">
        <v>1257</v>
      </c>
      <c r="S377" s="89">
        <v>1</v>
      </c>
      <c r="T377" s="8">
        <v>5</v>
      </c>
      <c r="U377" s="89">
        <v>140</v>
      </c>
      <c r="V377" s="87">
        <v>1</v>
      </c>
      <c r="W377" s="8">
        <v>1</v>
      </c>
      <c r="X377" s="8">
        <v>1</v>
      </c>
      <c r="Y377">
        <v>0</v>
      </c>
      <c r="Z377" s="33">
        <v>0</v>
      </c>
      <c r="AA377">
        <v>5</v>
      </c>
      <c r="AB377" s="34">
        <v>5320</v>
      </c>
      <c r="AC377" s="87">
        <v>300</v>
      </c>
      <c r="AD377" s="62">
        <v>0</v>
      </c>
      <c r="AE377" s="90">
        <v>0</v>
      </c>
      <c r="AF377" s="90">
        <v>0</v>
      </c>
      <c r="AG377" s="91"/>
      <c r="AH377" s="91">
        <v>1</v>
      </c>
      <c r="AI377" s="92"/>
      <c r="AJ377" s="8"/>
      <c r="AK377" s="8"/>
      <c r="AL377" s="8">
        <v>1</v>
      </c>
      <c r="AM377" s="213">
        <v>3</v>
      </c>
      <c r="AN377" s="93" t="s">
        <v>1136</v>
      </c>
      <c r="AO377" s="92"/>
      <c r="AQ377" s="147" t="s">
        <v>1260</v>
      </c>
      <c r="AS377">
        <v>1</v>
      </c>
    </row>
    <row r="378" spans="1:45">
      <c r="A378" s="8">
        <v>214021</v>
      </c>
      <c r="B378" s="8">
        <v>1001</v>
      </c>
      <c r="C378" s="8">
        <v>1</v>
      </c>
      <c r="D378" s="8">
        <v>1001</v>
      </c>
      <c r="E378" s="147" t="s">
        <v>1262</v>
      </c>
      <c r="F378" s="13" t="s">
        <v>1254</v>
      </c>
      <c r="G378" t="s">
        <v>1263</v>
      </c>
      <c r="H378" s="216" t="s">
        <v>1256</v>
      </c>
      <c r="I378">
        <v>1</v>
      </c>
      <c r="J378" s="69">
        <v>2</v>
      </c>
      <c r="K378" s="87">
        <v>1</v>
      </c>
      <c r="L378" s="128">
        <v>9999</v>
      </c>
      <c r="M378" s="8">
        <v>0</v>
      </c>
      <c r="N378" s="8"/>
      <c r="Q378" t="s">
        <v>1257</v>
      </c>
      <c r="S378" s="89">
        <v>1</v>
      </c>
      <c r="T378" s="8">
        <v>5</v>
      </c>
      <c r="U378" s="89">
        <v>170</v>
      </c>
      <c r="V378" s="87">
        <v>1</v>
      </c>
      <c r="W378" s="8">
        <v>1</v>
      </c>
      <c r="X378" s="8">
        <v>1</v>
      </c>
      <c r="Y378">
        <v>0</v>
      </c>
      <c r="Z378" s="33">
        <v>0</v>
      </c>
      <c r="AA378">
        <v>5</v>
      </c>
      <c r="AB378" s="34">
        <v>6460</v>
      </c>
      <c r="AC378" s="87">
        <v>300</v>
      </c>
      <c r="AD378" s="62">
        <v>0</v>
      </c>
      <c r="AE378" s="90">
        <v>0</v>
      </c>
      <c r="AF378" s="90">
        <v>0</v>
      </c>
      <c r="AG378" s="91"/>
      <c r="AH378" s="91">
        <v>1</v>
      </c>
      <c r="AI378" s="92"/>
      <c r="AJ378" s="8"/>
      <c r="AK378" s="8"/>
      <c r="AL378" s="8">
        <v>1</v>
      </c>
      <c r="AM378" s="213">
        <v>4</v>
      </c>
      <c r="AN378" s="93" t="s">
        <v>1136</v>
      </c>
      <c r="AO378" s="92"/>
      <c r="AQ378" s="147" t="s">
        <v>1262</v>
      </c>
      <c r="AS378">
        <v>1</v>
      </c>
    </row>
    <row r="379" spans="1:45">
      <c r="A379" s="8">
        <v>215021</v>
      </c>
      <c r="B379" s="8">
        <v>1001</v>
      </c>
      <c r="C379" s="8">
        <v>1</v>
      </c>
      <c r="D379" s="8">
        <v>1001</v>
      </c>
      <c r="E379" s="147" t="s">
        <v>1264</v>
      </c>
      <c r="F379" s="13" t="s">
        <v>1254</v>
      </c>
      <c r="G379" t="s">
        <v>1265</v>
      </c>
      <c r="H379" s="216" t="s">
        <v>1256</v>
      </c>
      <c r="I379">
        <v>1</v>
      </c>
      <c r="J379" s="69">
        <v>3</v>
      </c>
      <c r="K379" s="87">
        <v>1</v>
      </c>
      <c r="L379" s="128">
        <v>9999</v>
      </c>
      <c r="M379" s="8">
        <v>0</v>
      </c>
      <c r="N379" s="8"/>
      <c r="Q379" t="s">
        <v>1257</v>
      </c>
      <c r="S379" s="89">
        <v>1</v>
      </c>
      <c r="T379" s="8">
        <v>5</v>
      </c>
      <c r="U379" s="89">
        <v>170</v>
      </c>
      <c r="V379" s="87">
        <v>1</v>
      </c>
      <c r="W379" s="8">
        <v>1</v>
      </c>
      <c r="X379" s="8">
        <v>1</v>
      </c>
      <c r="Y379">
        <v>0</v>
      </c>
      <c r="Z379" s="33">
        <v>0</v>
      </c>
      <c r="AA379">
        <v>5</v>
      </c>
      <c r="AB379" s="34">
        <v>6460</v>
      </c>
      <c r="AC379" s="87">
        <v>300</v>
      </c>
      <c r="AD379" s="62">
        <v>0</v>
      </c>
      <c r="AE379" s="90">
        <v>0</v>
      </c>
      <c r="AF379" s="90">
        <v>0</v>
      </c>
      <c r="AG379" s="91"/>
      <c r="AH379" s="91">
        <v>1</v>
      </c>
      <c r="AI379" s="92"/>
      <c r="AJ379" s="8"/>
      <c r="AK379" s="8"/>
      <c r="AL379" s="8">
        <v>1</v>
      </c>
      <c r="AM379" s="213">
        <v>5</v>
      </c>
      <c r="AN379" s="93" t="s">
        <v>1136</v>
      </c>
      <c r="AO379" s="92"/>
      <c r="AQ379" s="147" t="s">
        <v>1264</v>
      </c>
      <c r="AS379">
        <v>1</v>
      </c>
    </row>
    <row r="380" spans="1:45">
      <c r="A380" s="8">
        <v>216021</v>
      </c>
      <c r="B380" s="8">
        <v>1001</v>
      </c>
      <c r="C380" s="8">
        <v>1</v>
      </c>
      <c r="D380" s="8">
        <v>1001</v>
      </c>
      <c r="E380" s="147" t="s">
        <v>1266</v>
      </c>
      <c r="F380" s="13" t="s">
        <v>1254</v>
      </c>
      <c r="G380" t="s">
        <v>1267</v>
      </c>
      <c r="H380" s="216" t="s">
        <v>1256</v>
      </c>
      <c r="I380">
        <v>1</v>
      </c>
      <c r="J380" s="69">
        <v>3</v>
      </c>
      <c r="K380" s="87">
        <v>1</v>
      </c>
      <c r="L380" s="128">
        <v>9999</v>
      </c>
      <c r="M380" s="8">
        <v>0</v>
      </c>
      <c r="N380" s="8"/>
      <c r="Q380" t="s">
        <v>1257</v>
      </c>
      <c r="S380" s="89">
        <v>1</v>
      </c>
      <c r="T380" s="8">
        <v>5</v>
      </c>
      <c r="U380" s="89">
        <v>170</v>
      </c>
      <c r="V380" s="87">
        <v>1</v>
      </c>
      <c r="W380" s="8">
        <v>1</v>
      </c>
      <c r="X380" s="8">
        <v>1</v>
      </c>
      <c r="Y380">
        <v>0</v>
      </c>
      <c r="Z380" s="33">
        <v>0</v>
      </c>
      <c r="AA380">
        <v>5</v>
      </c>
      <c r="AB380" s="34">
        <v>6460</v>
      </c>
      <c r="AC380" s="87">
        <v>300</v>
      </c>
      <c r="AD380" s="62">
        <v>0</v>
      </c>
      <c r="AE380" s="90">
        <v>0</v>
      </c>
      <c r="AF380" s="90">
        <v>0</v>
      </c>
      <c r="AG380" s="91"/>
      <c r="AH380" s="91">
        <v>1</v>
      </c>
      <c r="AI380" s="92"/>
      <c r="AJ380" s="8"/>
      <c r="AK380" s="8"/>
      <c r="AL380" s="8">
        <v>1</v>
      </c>
      <c r="AM380" s="213">
        <v>6</v>
      </c>
      <c r="AN380" s="93" t="s">
        <v>1136</v>
      </c>
      <c r="AO380" s="92"/>
      <c r="AQ380" s="147" t="s">
        <v>1266</v>
      </c>
      <c r="AS380">
        <v>1</v>
      </c>
    </row>
    <row r="381" spans="1:45">
      <c r="A381" s="8">
        <v>217021</v>
      </c>
      <c r="B381" s="8">
        <v>1001</v>
      </c>
      <c r="C381" s="8">
        <v>1</v>
      </c>
      <c r="D381" s="8">
        <v>1001</v>
      </c>
      <c r="E381" s="147" t="s">
        <v>1268</v>
      </c>
      <c r="F381" s="13" t="s">
        <v>1254</v>
      </c>
      <c r="G381" t="s">
        <v>1269</v>
      </c>
      <c r="H381" s="216" t="s">
        <v>1256</v>
      </c>
      <c r="I381">
        <v>1</v>
      </c>
      <c r="J381" s="69">
        <v>4</v>
      </c>
      <c r="K381" s="87">
        <v>1</v>
      </c>
      <c r="L381" s="128">
        <v>9999</v>
      </c>
      <c r="M381" s="8">
        <v>0</v>
      </c>
      <c r="N381" s="8"/>
      <c r="Q381" t="s">
        <v>1257</v>
      </c>
      <c r="S381" s="89">
        <v>1</v>
      </c>
      <c r="T381" s="8">
        <v>5</v>
      </c>
      <c r="U381" s="89">
        <v>200</v>
      </c>
      <c r="V381" s="87">
        <v>1</v>
      </c>
      <c r="W381" s="8">
        <v>1</v>
      </c>
      <c r="X381" s="8">
        <v>1</v>
      </c>
      <c r="Y381">
        <v>0</v>
      </c>
      <c r="Z381" s="33">
        <v>0</v>
      </c>
      <c r="AA381">
        <v>5</v>
      </c>
      <c r="AB381" s="34">
        <v>7600</v>
      </c>
      <c r="AC381" s="87">
        <v>300</v>
      </c>
      <c r="AD381" s="62">
        <v>0</v>
      </c>
      <c r="AE381" s="90">
        <v>0</v>
      </c>
      <c r="AF381" s="90">
        <v>0</v>
      </c>
      <c r="AG381" s="91"/>
      <c r="AH381" s="91">
        <v>1</v>
      </c>
      <c r="AI381" s="92"/>
      <c r="AJ381" s="8"/>
      <c r="AK381" s="8"/>
      <c r="AL381" s="8">
        <v>1</v>
      </c>
      <c r="AM381" s="213">
        <v>7</v>
      </c>
      <c r="AN381" s="93" t="s">
        <v>1136</v>
      </c>
      <c r="AO381" s="92"/>
      <c r="AQ381" s="147" t="s">
        <v>1268</v>
      </c>
      <c r="AS381">
        <v>1</v>
      </c>
    </row>
    <row r="382" spans="1:45">
      <c r="A382" s="8">
        <v>218021</v>
      </c>
      <c r="B382" s="8">
        <v>1001</v>
      </c>
      <c r="C382" s="8">
        <v>1</v>
      </c>
      <c r="D382" s="8">
        <v>1001</v>
      </c>
      <c r="E382" s="147" t="s">
        <v>1270</v>
      </c>
      <c r="F382" s="13" t="s">
        <v>1254</v>
      </c>
      <c r="G382" t="s">
        <v>1271</v>
      </c>
      <c r="H382" s="216" t="s">
        <v>1256</v>
      </c>
      <c r="I382">
        <v>1</v>
      </c>
      <c r="J382" s="69">
        <v>4</v>
      </c>
      <c r="K382" s="87">
        <v>1</v>
      </c>
      <c r="L382" s="128">
        <v>9999</v>
      </c>
      <c r="M382" s="8">
        <v>0</v>
      </c>
      <c r="N382" s="8"/>
      <c r="Q382" t="s">
        <v>1257</v>
      </c>
      <c r="S382" s="89">
        <v>1</v>
      </c>
      <c r="T382" s="8">
        <v>5</v>
      </c>
      <c r="U382" s="89">
        <v>200</v>
      </c>
      <c r="V382" s="87">
        <v>1</v>
      </c>
      <c r="W382" s="8">
        <v>1</v>
      </c>
      <c r="X382" s="8">
        <v>1</v>
      </c>
      <c r="Y382">
        <v>0</v>
      </c>
      <c r="Z382" s="33">
        <v>0</v>
      </c>
      <c r="AA382">
        <v>5</v>
      </c>
      <c r="AB382" s="34">
        <v>7600</v>
      </c>
      <c r="AC382" s="87">
        <v>300</v>
      </c>
      <c r="AD382" s="62">
        <v>0</v>
      </c>
      <c r="AE382" s="90">
        <v>0</v>
      </c>
      <c r="AF382" s="90">
        <v>0</v>
      </c>
      <c r="AG382" s="91"/>
      <c r="AH382" s="91">
        <v>1</v>
      </c>
      <c r="AI382" s="92"/>
      <c r="AJ382" s="8"/>
      <c r="AK382" s="8"/>
      <c r="AL382" s="8">
        <v>1</v>
      </c>
      <c r="AM382" s="213">
        <v>8</v>
      </c>
      <c r="AN382" s="93" t="s">
        <v>1136</v>
      </c>
      <c r="AO382" s="92"/>
      <c r="AQ382" s="147" t="s">
        <v>1270</v>
      </c>
      <c r="AS382">
        <v>1</v>
      </c>
    </row>
    <row r="383" spans="1:45">
      <c r="A383" s="8">
        <v>219021</v>
      </c>
      <c r="B383" s="8">
        <v>1001</v>
      </c>
      <c r="C383" s="8">
        <v>1</v>
      </c>
      <c r="D383" s="8">
        <v>1001</v>
      </c>
      <c r="E383" s="147" t="s">
        <v>1272</v>
      </c>
      <c r="F383" s="13" t="s">
        <v>1254</v>
      </c>
      <c r="G383" t="s">
        <v>1273</v>
      </c>
      <c r="H383" s="216" t="s">
        <v>1256</v>
      </c>
      <c r="I383">
        <v>1</v>
      </c>
      <c r="J383" s="69">
        <v>5</v>
      </c>
      <c r="K383" s="87">
        <v>1</v>
      </c>
      <c r="L383" s="128">
        <v>9999</v>
      </c>
      <c r="M383" s="8">
        <v>0</v>
      </c>
      <c r="N383" s="8"/>
      <c r="Q383" t="s">
        <v>1257</v>
      </c>
      <c r="S383" s="89">
        <v>1</v>
      </c>
      <c r="T383" s="8">
        <v>5</v>
      </c>
      <c r="U383" s="89">
        <v>200</v>
      </c>
      <c r="V383" s="87">
        <v>1</v>
      </c>
      <c r="W383" s="8">
        <v>1</v>
      </c>
      <c r="X383" s="8">
        <v>1</v>
      </c>
      <c r="Y383">
        <v>0</v>
      </c>
      <c r="Z383" s="33">
        <v>0</v>
      </c>
      <c r="AA383">
        <v>5</v>
      </c>
      <c r="AB383" s="34">
        <v>7600</v>
      </c>
      <c r="AC383" s="87">
        <v>300</v>
      </c>
      <c r="AD383" s="62">
        <v>0</v>
      </c>
      <c r="AE383" s="90">
        <v>0</v>
      </c>
      <c r="AF383" s="90">
        <v>0</v>
      </c>
      <c r="AG383" s="91"/>
      <c r="AH383" s="91">
        <v>1</v>
      </c>
      <c r="AI383" s="91"/>
      <c r="AJ383" s="217"/>
      <c r="AK383" s="217"/>
      <c r="AL383" s="8">
        <v>1</v>
      </c>
      <c r="AM383" s="213">
        <v>9</v>
      </c>
      <c r="AN383" s="93" t="s">
        <v>1136</v>
      </c>
      <c r="AO383" s="92"/>
      <c r="AQ383" s="147" t="s">
        <v>1272</v>
      </c>
      <c r="AS383">
        <v>1</v>
      </c>
    </row>
    <row r="384" s="41" customFormat="1" spans="1:45">
      <c r="A384" s="8">
        <v>210021</v>
      </c>
      <c r="B384" s="8">
        <v>1001</v>
      </c>
      <c r="C384" s="8">
        <v>1</v>
      </c>
      <c r="D384" s="8">
        <v>1001</v>
      </c>
      <c r="E384" s="147" t="s">
        <v>1274</v>
      </c>
      <c r="F384" s="13" t="s">
        <v>1254</v>
      </c>
      <c r="G384" t="s">
        <v>1275</v>
      </c>
      <c r="H384" s="216" t="s">
        <v>1256</v>
      </c>
      <c r="I384">
        <v>1</v>
      </c>
      <c r="J384" s="69">
        <v>5</v>
      </c>
      <c r="K384" s="87">
        <v>1</v>
      </c>
      <c r="L384" s="128">
        <v>9999</v>
      </c>
      <c r="M384" s="8">
        <v>0</v>
      </c>
      <c r="N384" s="8"/>
      <c r="O384" s="218"/>
      <c r="Q384" t="s">
        <v>1257</v>
      </c>
      <c r="S384" s="89">
        <v>1</v>
      </c>
      <c r="T384" s="8">
        <v>5</v>
      </c>
      <c r="U384" s="89">
        <v>200</v>
      </c>
      <c r="V384" s="87">
        <v>1</v>
      </c>
      <c r="W384" s="8">
        <v>1</v>
      </c>
      <c r="X384" s="8">
        <v>1</v>
      </c>
      <c r="Y384">
        <v>0</v>
      </c>
      <c r="Z384" s="33">
        <v>0</v>
      </c>
      <c r="AA384">
        <v>5</v>
      </c>
      <c r="AB384" s="34">
        <v>7600</v>
      </c>
      <c r="AC384" s="87">
        <v>300</v>
      </c>
      <c r="AD384" s="62">
        <v>0</v>
      </c>
      <c r="AE384" s="90">
        <v>0</v>
      </c>
      <c r="AF384" s="90">
        <v>0</v>
      </c>
      <c r="AG384" s="91"/>
      <c r="AH384" s="91">
        <v>1</v>
      </c>
      <c r="AI384" s="91"/>
      <c r="AJ384" s="8"/>
      <c r="AK384" s="8"/>
      <c r="AL384" s="8">
        <v>1</v>
      </c>
      <c r="AM384" s="213">
        <v>10</v>
      </c>
      <c r="AN384" s="93" t="s">
        <v>1136</v>
      </c>
      <c r="AO384" s="92"/>
      <c r="AP384" s="219"/>
      <c r="AQ384" s="147" t="s">
        <v>1274</v>
      </c>
      <c r="AS384">
        <v>1</v>
      </c>
    </row>
    <row r="385" s="41" customFormat="1" spans="1:45">
      <c r="A385" s="220">
        <v>211121</v>
      </c>
      <c r="B385" s="220">
        <v>1001</v>
      </c>
      <c r="C385" s="220">
        <v>1</v>
      </c>
      <c r="D385" s="220">
        <v>1001</v>
      </c>
      <c r="E385" s="221" t="s">
        <v>1276</v>
      </c>
      <c r="F385" s="222" t="s">
        <v>1254</v>
      </c>
      <c r="G385" s="41" t="s">
        <v>1277</v>
      </c>
      <c r="H385" s="41" t="s">
        <v>1256</v>
      </c>
      <c r="I385" s="41">
        <v>1</v>
      </c>
      <c r="J385" s="223">
        <v>5</v>
      </c>
      <c r="K385" s="220">
        <v>1</v>
      </c>
      <c r="L385" s="128">
        <v>9999</v>
      </c>
      <c r="M385" s="220">
        <v>0</v>
      </c>
      <c r="N385" s="220"/>
      <c r="O385" s="218"/>
      <c r="Q385" s="41" t="s">
        <v>1257</v>
      </c>
      <c r="S385" s="220">
        <v>1</v>
      </c>
      <c r="T385" s="220">
        <v>5</v>
      </c>
      <c r="U385" s="220">
        <v>200</v>
      </c>
      <c r="V385" s="220">
        <v>1</v>
      </c>
      <c r="W385" s="220">
        <v>1</v>
      </c>
      <c r="X385" s="220">
        <v>1</v>
      </c>
      <c r="Y385" s="41">
        <v>0</v>
      </c>
      <c r="Z385" s="41">
        <v>0</v>
      </c>
      <c r="AA385" s="41">
        <v>5</v>
      </c>
      <c r="AB385" s="41">
        <v>7600</v>
      </c>
      <c r="AC385" s="220">
        <v>300</v>
      </c>
      <c r="AD385" s="224">
        <v>0</v>
      </c>
      <c r="AE385" s="225">
        <v>0</v>
      </c>
      <c r="AF385" s="225">
        <v>0</v>
      </c>
      <c r="AG385" s="226"/>
      <c r="AH385" s="226">
        <v>1</v>
      </c>
      <c r="AI385" s="226"/>
      <c r="AJ385" s="227"/>
      <c r="AK385" s="227"/>
      <c r="AL385" s="220">
        <v>1</v>
      </c>
      <c r="AM385" s="228">
        <v>11</v>
      </c>
      <c r="AN385" s="229" t="s">
        <v>1136</v>
      </c>
      <c r="AO385" s="230"/>
      <c r="AP385" s="219"/>
      <c r="AQ385" s="221" t="s">
        <v>1276</v>
      </c>
      <c r="AS385" s="41">
        <v>1</v>
      </c>
    </row>
    <row r="386" spans="1:45">
      <c r="A386" s="220">
        <v>212121</v>
      </c>
      <c r="B386" s="220">
        <v>1001</v>
      </c>
      <c r="C386" s="220">
        <v>1</v>
      </c>
      <c r="D386" s="220">
        <v>1001</v>
      </c>
      <c r="E386" s="221" t="s">
        <v>1278</v>
      </c>
      <c r="F386" s="222" t="s">
        <v>1254</v>
      </c>
      <c r="G386" s="41" t="s">
        <v>1279</v>
      </c>
      <c r="H386" s="41" t="s">
        <v>1256</v>
      </c>
      <c r="I386" s="41">
        <v>1</v>
      </c>
      <c r="J386" s="223">
        <v>5</v>
      </c>
      <c r="K386" s="220">
        <v>1</v>
      </c>
      <c r="L386" s="128">
        <v>9999</v>
      </c>
      <c r="M386" s="220">
        <v>0</v>
      </c>
      <c r="N386" s="220"/>
      <c r="O386" s="218"/>
      <c r="Q386" s="41" t="s">
        <v>1257</v>
      </c>
      <c r="S386" s="220">
        <v>1</v>
      </c>
      <c r="T386" s="220">
        <v>5</v>
      </c>
      <c r="U386" s="220">
        <v>200</v>
      </c>
      <c r="V386" s="220">
        <v>1</v>
      </c>
      <c r="W386" s="220">
        <v>1</v>
      </c>
      <c r="X386" s="220">
        <v>1</v>
      </c>
      <c r="Y386" s="41">
        <v>0</v>
      </c>
      <c r="Z386" s="41">
        <v>0</v>
      </c>
      <c r="AA386" s="41">
        <v>5</v>
      </c>
      <c r="AB386" s="41">
        <v>7600</v>
      </c>
      <c r="AC386" s="220">
        <v>300</v>
      </c>
      <c r="AD386" s="224">
        <v>0</v>
      </c>
      <c r="AE386" s="225">
        <v>0</v>
      </c>
      <c r="AF386" s="225">
        <v>0</v>
      </c>
      <c r="AG386" s="226"/>
      <c r="AH386" s="226">
        <v>1</v>
      </c>
      <c r="AI386" s="226"/>
      <c r="AJ386" s="220"/>
      <c r="AK386" s="220"/>
      <c r="AL386" s="220">
        <v>1</v>
      </c>
      <c r="AM386" s="228">
        <v>12</v>
      </c>
      <c r="AN386" s="229" t="s">
        <v>1136</v>
      </c>
      <c r="AO386" s="230"/>
      <c r="AP386" s="219"/>
      <c r="AQ386" s="221" t="s">
        <v>1278</v>
      </c>
      <c r="AS386" s="41">
        <v>1</v>
      </c>
    </row>
    <row r="387" s="3" customFormat="1" spans="1:45">
      <c r="A387" s="8">
        <v>210121</v>
      </c>
      <c r="B387" s="8">
        <v>1001</v>
      </c>
      <c r="C387" s="8">
        <v>1</v>
      </c>
      <c r="D387" s="8">
        <v>1001</v>
      </c>
      <c r="E387" s="147" t="s">
        <v>1280</v>
      </c>
      <c r="F387" s="147" t="s">
        <v>1280</v>
      </c>
      <c r="G387" t="s">
        <v>1281</v>
      </c>
      <c r="H387" s="216" t="s">
        <v>1282</v>
      </c>
      <c r="I387">
        <v>1</v>
      </c>
      <c r="J387" s="69">
        <v>5</v>
      </c>
      <c r="K387" s="8">
        <v>1</v>
      </c>
      <c r="L387" s="128">
        <v>9999</v>
      </c>
      <c r="M387" s="8">
        <v>0</v>
      </c>
      <c r="N387" s="8"/>
      <c r="O387" s="231"/>
      <c r="Q387" t="s">
        <v>362</v>
      </c>
      <c r="S387" s="8">
        <v>1</v>
      </c>
      <c r="T387" s="8">
        <v>5</v>
      </c>
      <c r="U387" s="8">
        <v>200</v>
      </c>
      <c r="V387" s="8">
        <v>1</v>
      </c>
      <c r="W387" s="8">
        <v>1</v>
      </c>
      <c r="X387" s="8">
        <v>1</v>
      </c>
      <c r="Y387">
        <v>0</v>
      </c>
      <c r="Z387" s="33">
        <v>0</v>
      </c>
      <c r="AA387">
        <v>5</v>
      </c>
      <c r="AB387">
        <v>7600</v>
      </c>
      <c r="AC387" s="8">
        <v>300</v>
      </c>
      <c r="AD387" s="12">
        <v>0</v>
      </c>
      <c r="AE387" s="159">
        <v>0</v>
      </c>
      <c r="AF387" s="159">
        <v>0</v>
      </c>
      <c r="AG387" s="160"/>
      <c r="AH387" s="160">
        <v>1</v>
      </c>
      <c r="AI387" s="161"/>
      <c r="AJ387" s="8"/>
      <c r="AK387" s="8"/>
      <c r="AL387" s="8">
        <v>1</v>
      </c>
      <c r="AM387" s="213"/>
      <c r="AN387" s="93"/>
      <c r="AO387" s="161"/>
      <c r="AP387" s="214"/>
      <c r="AQ387" s="147" t="s">
        <v>1280</v>
      </c>
      <c r="AS387">
        <v>1</v>
      </c>
    </row>
    <row r="388" spans="1:45">
      <c r="A388" s="128">
        <v>219921</v>
      </c>
      <c r="B388" s="128">
        <v>1001</v>
      </c>
      <c r="C388" s="128">
        <v>1</v>
      </c>
      <c r="D388" s="128">
        <v>1001</v>
      </c>
      <c r="E388" s="158" t="s">
        <v>1254</v>
      </c>
      <c r="F388" s="232" t="s">
        <v>1254</v>
      </c>
      <c r="G388" s="3" t="s">
        <v>1283</v>
      </c>
      <c r="H388" s="3" t="s">
        <v>1256</v>
      </c>
      <c r="I388" s="3">
        <v>1</v>
      </c>
      <c r="J388" s="151">
        <v>5</v>
      </c>
      <c r="K388" s="128">
        <v>1</v>
      </c>
      <c r="L388" s="128">
        <v>9999</v>
      </c>
      <c r="M388" s="128">
        <v>0</v>
      </c>
      <c r="N388" s="128"/>
      <c r="O388" s="231"/>
      <c r="Q388" s="3" t="s">
        <v>1257</v>
      </c>
      <c r="S388" s="128">
        <v>1</v>
      </c>
      <c r="T388" s="128">
        <v>5</v>
      </c>
      <c r="U388" s="128">
        <v>1</v>
      </c>
      <c r="V388" s="128">
        <v>1</v>
      </c>
      <c r="W388" s="128">
        <v>1</v>
      </c>
      <c r="X388" s="128">
        <v>1</v>
      </c>
      <c r="Y388" s="3">
        <v>0</v>
      </c>
      <c r="Z388" s="3">
        <v>0</v>
      </c>
      <c r="AA388" s="3">
        <v>5</v>
      </c>
      <c r="AB388" s="3">
        <v>1</v>
      </c>
      <c r="AC388" s="128">
        <v>999</v>
      </c>
      <c r="AD388" s="153">
        <v>0</v>
      </c>
      <c r="AE388" s="154">
        <v>0</v>
      </c>
      <c r="AF388" s="154">
        <v>0</v>
      </c>
      <c r="AG388" s="155"/>
      <c r="AH388" s="155">
        <v>1</v>
      </c>
      <c r="AI388" s="155"/>
      <c r="AJ388" s="128"/>
      <c r="AK388" s="128"/>
      <c r="AL388" s="128"/>
      <c r="AM388" s="233"/>
      <c r="AN388" s="157"/>
      <c r="AO388" s="156"/>
      <c r="AP388" s="234"/>
      <c r="AQ388" s="158" t="s">
        <v>1254</v>
      </c>
      <c r="AS388" s="3">
        <v>1</v>
      </c>
    </row>
    <row r="389" spans="1:45">
      <c r="A389" s="8">
        <v>221001</v>
      </c>
      <c r="B389" s="8">
        <v>1001</v>
      </c>
      <c r="C389" s="8">
        <v>1</v>
      </c>
      <c r="D389" s="8">
        <v>3</v>
      </c>
      <c r="E389" s="235" t="s">
        <v>386</v>
      </c>
      <c r="F389" s="13" t="s">
        <v>386</v>
      </c>
      <c r="G389" t="s">
        <v>1284</v>
      </c>
      <c r="H389" t="s">
        <v>388</v>
      </c>
      <c r="I389">
        <v>1</v>
      </c>
      <c r="J389" s="69">
        <v>2</v>
      </c>
      <c r="K389" s="87">
        <v>1</v>
      </c>
      <c r="L389" s="8">
        <v>999</v>
      </c>
      <c r="M389" s="8">
        <v>0</v>
      </c>
      <c r="N389" s="8"/>
      <c r="S389" s="89">
        <v>0</v>
      </c>
      <c r="T389" s="8">
        <v>5</v>
      </c>
      <c r="U389" s="89">
        <v>110</v>
      </c>
      <c r="V389" s="87">
        <v>1</v>
      </c>
      <c r="W389" s="8">
        <v>1</v>
      </c>
      <c r="X389" s="8">
        <v>1</v>
      </c>
      <c r="Y389">
        <v>0</v>
      </c>
      <c r="Z389" s="33">
        <v>0</v>
      </c>
      <c r="AA389">
        <v>5</v>
      </c>
      <c r="AB389" s="34">
        <v>4180</v>
      </c>
      <c r="AC389" s="87">
        <v>0</v>
      </c>
      <c r="AD389" s="62">
        <v>0</v>
      </c>
      <c r="AE389" s="90">
        <v>0</v>
      </c>
      <c r="AF389" s="90">
        <v>0</v>
      </c>
      <c r="AG389" s="91"/>
      <c r="AH389" s="91">
        <v>1</v>
      </c>
      <c r="AI389" s="91"/>
      <c r="AJ389" s="91"/>
      <c r="AK389" s="91"/>
      <c r="AL389" s="92">
        <v>1</v>
      </c>
      <c r="AM389" s="92"/>
      <c r="AN389" s="93"/>
      <c r="AO389" s="92"/>
      <c r="AQ389" s="235" t="s">
        <v>386</v>
      </c>
      <c r="AS389">
        <v>1</v>
      </c>
    </row>
    <row r="390" spans="1:45">
      <c r="A390" s="8">
        <v>240001</v>
      </c>
      <c r="B390" s="8">
        <v>1001</v>
      </c>
      <c r="C390" s="8">
        <v>1</v>
      </c>
      <c r="D390" s="8">
        <v>3</v>
      </c>
      <c r="E390" t="s">
        <v>1285</v>
      </c>
      <c r="F390" s="13" t="s">
        <v>1285</v>
      </c>
      <c r="G390" t="s">
        <v>1286</v>
      </c>
      <c r="H390" t="s">
        <v>1287</v>
      </c>
      <c r="I390">
        <v>1</v>
      </c>
      <c r="J390" s="69">
        <v>2</v>
      </c>
      <c r="K390" s="87">
        <v>1</v>
      </c>
      <c r="L390" s="8">
        <v>999</v>
      </c>
      <c r="M390" s="8">
        <v>0</v>
      </c>
      <c r="N390" s="8"/>
      <c r="S390" s="89">
        <v>0</v>
      </c>
      <c r="T390" s="8">
        <v>5</v>
      </c>
      <c r="U390" s="89">
        <v>110</v>
      </c>
      <c r="V390" s="87">
        <v>1</v>
      </c>
      <c r="W390" s="8">
        <v>1</v>
      </c>
      <c r="X390" s="8">
        <v>1</v>
      </c>
      <c r="Y390">
        <v>0</v>
      </c>
      <c r="Z390" s="33">
        <v>0</v>
      </c>
      <c r="AA390">
        <v>5</v>
      </c>
      <c r="AB390" s="34">
        <v>4180</v>
      </c>
      <c r="AC390" s="87">
        <v>0</v>
      </c>
      <c r="AD390" s="62">
        <v>0</v>
      </c>
      <c r="AE390" s="90">
        <v>0</v>
      </c>
      <c r="AF390" s="90">
        <v>0</v>
      </c>
      <c r="AG390" s="91"/>
      <c r="AH390" s="91">
        <v>1</v>
      </c>
      <c r="AI390" s="91"/>
      <c r="AJ390" s="91"/>
      <c r="AK390" s="91"/>
      <c r="AL390" s="92">
        <v>1</v>
      </c>
      <c r="AM390" s="92"/>
      <c r="AN390" s="93"/>
      <c r="AO390" s="92"/>
      <c r="AQ390" t="s">
        <v>1285</v>
      </c>
      <c r="AS390">
        <v>1</v>
      </c>
    </row>
    <row r="391" spans="1:45">
      <c r="A391" s="8">
        <v>240002</v>
      </c>
      <c r="B391" s="8">
        <v>1001</v>
      </c>
      <c r="C391" s="8">
        <v>1</v>
      </c>
      <c r="D391" s="8">
        <v>3</v>
      </c>
      <c r="E391" t="s">
        <v>1288</v>
      </c>
      <c r="F391" s="13" t="s">
        <v>1288</v>
      </c>
      <c r="G391" t="s">
        <v>1289</v>
      </c>
      <c r="H391" t="s">
        <v>1290</v>
      </c>
      <c r="I391">
        <v>1</v>
      </c>
      <c r="J391" s="69">
        <v>2</v>
      </c>
      <c r="K391" s="87">
        <v>1</v>
      </c>
      <c r="L391" s="8">
        <v>999</v>
      </c>
      <c r="M391" s="8">
        <v>0</v>
      </c>
      <c r="N391" s="8"/>
      <c r="S391" s="89">
        <v>0</v>
      </c>
      <c r="T391" s="8">
        <v>5</v>
      </c>
      <c r="U391" s="89">
        <v>110</v>
      </c>
      <c r="V391" s="87">
        <v>1</v>
      </c>
      <c r="W391" s="8">
        <v>1</v>
      </c>
      <c r="X391" s="8">
        <v>1</v>
      </c>
      <c r="Y391">
        <v>0</v>
      </c>
      <c r="Z391" s="33">
        <v>0</v>
      </c>
      <c r="AA391">
        <v>5</v>
      </c>
      <c r="AB391" s="34">
        <v>4180</v>
      </c>
      <c r="AC391" s="87">
        <v>0</v>
      </c>
      <c r="AD391" s="62">
        <v>0</v>
      </c>
      <c r="AE391" s="90">
        <v>0</v>
      </c>
      <c r="AF391" s="90">
        <v>0</v>
      </c>
      <c r="AG391" s="91"/>
      <c r="AH391" s="91">
        <v>1</v>
      </c>
      <c r="AI391" s="91"/>
      <c r="AJ391" s="91"/>
      <c r="AK391" s="91"/>
      <c r="AL391" s="92">
        <v>1</v>
      </c>
      <c r="AM391" s="92"/>
      <c r="AN391" s="93"/>
      <c r="AO391" s="92"/>
      <c r="AQ391" t="s">
        <v>1288</v>
      </c>
      <c r="AS391">
        <v>1</v>
      </c>
    </row>
    <row r="392" spans="1:45">
      <c r="A392" s="8">
        <v>240003</v>
      </c>
      <c r="B392" s="8">
        <v>1001</v>
      </c>
      <c r="C392" s="8">
        <v>1</v>
      </c>
      <c r="D392" s="8">
        <v>3</v>
      </c>
      <c r="E392" t="s">
        <v>1291</v>
      </c>
      <c r="F392" s="13" t="s">
        <v>1291</v>
      </c>
      <c r="G392" t="s">
        <v>1292</v>
      </c>
      <c r="H392" t="s">
        <v>1293</v>
      </c>
      <c r="I392">
        <v>1</v>
      </c>
      <c r="J392" s="69">
        <v>2</v>
      </c>
      <c r="K392" s="87">
        <v>1</v>
      </c>
      <c r="L392" s="8">
        <v>999</v>
      </c>
      <c r="M392" s="8">
        <v>0</v>
      </c>
      <c r="N392" s="8"/>
      <c r="S392" s="89">
        <v>0</v>
      </c>
      <c r="T392" s="8">
        <v>5</v>
      </c>
      <c r="U392" s="89">
        <v>110</v>
      </c>
      <c r="V392" s="87">
        <v>1</v>
      </c>
      <c r="W392" s="8">
        <v>1</v>
      </c>
      <c r="X392" s="8">
        <v>1</v>
      </c>
      <c r="Y392">
        <v>0</v>
      </c>
      <c r="Z392" s="33">
        <v>0</v>
      </c>
      <c r="AA392">
        <v>5</v>
      </c>
      <c r="AB392" s="34">
        <v>4180</v>
      </c>
      <c r="AC392" s="87">
        <v>0</v>
      </c>
      <c r="AD392" s="62">
        <v>0</v>
      </c>
      <c r="AE392" s="90">
        <v>0</v>
      </c>
      <c r="AF392" s="90">
        <v>0</v>
      </c>
      <c r="AG392" s="91"/>
      <c r="AH392" s="91">
        <v>1</v>
      </c>
      <c r="AI392" s="91"/>
      <c r="AJ392" s="91"/>
      <c r="AK392" s="91"/>
      <c r="AL392" s="92">
        <v>1</v>
      </c>
      <c r="AM392" s="92"/>
      <c r="AN392" s="93"/>
      <c r="AO392" s="92"/>
      <c r="AQ392" t="s">
        <v>1291</v>
      </c>
      <c r="AS392">
        <v>1</v>
      </c>
    </row>
    <row r="393" spans="1:45">
      <c r="A393" s="8">
        <v>240004</v>
      </c>
      <c r="B393" s="8">
        <v>1001</v>
      </c>
      <c r="C393" s="8">
        <v>1</v>
      </c>
      <c r="D393" s="8">
        <v>3</v>
      </c>
      <c r="E393" t="s">
        <v>1294</v>
      </c>
      <c r="F393" s="13" t="s">
        <v>1294</v>
      </c>
      <c r="G393" t="s">
        <v>1295</v>
      </c>
      <c r="H393" t="s">
        <v>1296</v>
      </c>
      <c r="I393">
        <v>1</v>
      </c>
      <c r="J393" s="69">
        <v>2</v>
      </c>
      <c r="K393" s="87">
        <v>1</v>
      </c>
      <c r="L393" s="8">
        <v>999</v>
      </c>
      <c r="M393" s="8">
        <v>0</v>
      </c>
      <c r="N393" s="8"/>
      <c r="S393" s="89">
        <v>0</v>
      </c>
      <c r="T393" s="8">
        <v>5</v>
      </c>
      <c r="U393" s="89">
        <v>110</v>
      </c>
      <c r="V393" s="87">
        <v>1</v>
      </c>
      <c r="W393" s="8">
        <v>1</v>
      </c>
      <c r="X393" s="8">
        <v>1</v>
      </c>
      <c r="Y393">
        <v>0</v>
      </c>
      <c r="Z393" s="33">
        <v>0</v>
      </c>
      <c r="AA393">
        <v>5</v>
      </c>
      <c r="AB393" s="34">
        <v>4180</v>
      </c>
      <c r="AC393" s="87">
        <v>0</v>
      </c>
      <c r="AD393" s="62">
        <v>0</v>
      </c>
      <c r="AE393" s="90">
        <v>0</v>
      </c>
      <c r="AF393" s="90">
        <v>0</v>
      </c>
      <c r="AG393" s="91"/>
      <c r="AH393" s="91">
        <v>1</v>
      </c>
      <c r="AI393" s="91"/>
      <c r="AJ393" s="91"/>
      <c r="AK393" s="91"/>
      <c r="AL393" s="92">
        <v>1</v>
      </c>
      <c r="AM393" s="92"/>
      <c r="AN393" s="93"/>
      <c r="AO393" s="92"/>
      <c r="AQ393" t="s">
        <v>1294</v>
      </c>
      <c r="AS393">
        <v>1</v>
      </c>
    </row>
    <row r="394" spans="1:45">
      <c r="A394" s="8">
        <v>240005</v>
      </c>
      <c r="B394" s="8">
        <v>1001</v>
      </c>
      <c r="C394" s="8">
        <v>1</v>
      </c>
      <c r="D394" s="8">
        <v>3</v>
      </c>
      <c r="E394" t="s">
        <v>1297</v>
      </c>
      <c r="F394" s="13" t="s">
        <v>1297</v>
      </c>
      <c r="G394" t="s">
        <v>1298</v>
      </c>
      <c r="H394" t="s">
        <v>1299</v>
      </c>
      <c r="I394">
        <v>1</v>
      </c>
      <c r="J394" s="69">
        <v>2</v>
      </c>
      <c r="K394" s="87">
        <v>1</v>
      </c>
      <c r="L394" s="8">
        <v>999</v>
      </c>
      <c r="M394" s="8">
        <v>0</v>
      </c>
      <c r="N394" s="8"/>
      <c r="S394" s="89">
        <v>0</v>
      </c>
      <c r="T394" s="8">
        <v>5</v>
      </c>
      <c r="U394" s="89">
        <v>110</v>
      </c>
      <c r="V394" s="87">
        <v>1</v>
      </c>
      <c r="W394" s="8">
        <v>1</v>
      </c>
      <c r="X394" s="8">
        <v>1</v>
      </c>
      <c r="Y394">
        <v>0</v>
      </c>
      <c r="Z394" s="33">
        <v>0</v>
      </c>
      <c r="AA394">
        <v>5</v>
      </c>
      <c r="AB394" s="34">
        <v>4180</v>
      </c>
      <c r="AC394" s="87">
        <v>0</v>
      </c>
      <c r="AD394" s="62">
        <v>0</v>
      </c>
      <c r="AE394" s="90">
        <v>0</v>
      </c>
      <c r="AF394" s="90">
        <v>0</v>
      </c>
      <c r="AG394" s="91"/>
      <c r="AH394" s="91">
        <v>1</v>
      </c>
      <c r="AI394" s="91"/>
      <c r="AJ394" s="91"/>
      <c r="AK394" s="91"/>
      <c r="AL394" s="92">
        <v>1</v>
      </c>
      <c r="AM394" s="92"/>
      <c r="AN394" s="93"/>
      <c r="AO394" s="92"/>
      <c r="AQ394" t="s">
        <v>1297</v>
      </c>
      <c r="AS394">
        <v>1</v>
      </c>
    </row>
    <row r="395" spans="1:45">
      <c r="A395" s="8">
        <v>240006</v>
      </c>
      <c r="B395" s="8">
        <v>1001</v>
      </c>
      <c r="C395" s="8">
        <v>1</v>
      </c>
      <c r="D395" s="8">
        <v>3</v>
      </c>
      <c r="E395" t="s">
        <v>1300</v>
      </c>
      <c r="F395" s="13" t="s">
        <v>1297</v>
      </c>
      <c r="G395" t="s">
        <v>1298</v>
      </c>
      <c r="H395" t="s">
        <v>1301</v>
      </c>
      <c r="I395">
        <v>1</v>
      </c>
      <c r="J395" s="69">
        <v>2</v>
      </c>
      <c r="K395" s="87">
        <v>1</v>
      </c>
      <c r="L395" s="8">
        <v>999</v>
      </c>
      <c r="M395" s="8">
        <v>0</v>
      </c>
      <c r="N395" s="8"/>
      <c r="S395" s="89">
        <v>0</v>
      </c>
      <c r="T395" s="8">
        <v>5</v>
      </c>
      <c r="U395" s="89">
        <v>110</v>
      </c>
      <c r="V395" s="87">
        <v>1</v>
      </c>
      <c r="W395" s="236">
        <v>1</v>
      </c>
      <c r="X395" s="8">
        <v>1</v>
      </c>
      <c r="Y395">
        <v>0</v>
      </c>
      <c r="Z395" s="33">
        <v>0</v>
      </c>
      <c r="AA395">
        <v>5</v>
      </c>
      <c r="AB395" s="34">
        <v>4180</v>
      </c>
      <c r="AC395" s="87">
        <v>0</v>
      </c>
      <c r="AD395" s="62">
        <v>0</v>
      </c>
      <c r="AE395" s="90">
        <v>0</v>
      </c>
      <c r="AF395" s="90">
        <v>0</v>
      </c>
      <c r="AG395" s="91"/>
      <c r="AH395" s="91">
        <v>1</v>
      </c>
      <c r="AI395" s="91"/>
      <c r="AJ395" s="91"/>
      <c r="AK395" s="91"/>
      <c r="AL395" s="92">
        <v>1</v>
      </c>
      <c r="AM395" s="92"/>
      <c r="AN395" s="93"/>
      <c r="AO395" s="92"/>
      <c r="AQ395" t="s">
        <v>1300</v>
      </c>
      <c r="AS395">
        <v>1</v>
      </c>
    </row>
    <row r="396" spans="1:45">
      <c r="A396" s="8">
        <v>240007</v>
      </c>
      <c r="B396" s="8">
        <v>1001</v>
      </c>
      <c r="C396" s="8">
        <v>1</v>
      </c>
      <c r="D396" s="8">
        <v>3</v>
      </c>
      <c r="E396" s="38" t="s">
        <v>1302</v>
      </c>
      <c r="F396" s="13" t="s">
        <v>1285</v>
      </c>
      <c r="G396" t="s">
        <v>1286</v>
      </c>
      <c r="H396" t="s">
        <v>1287</v>
      </c>
      <c r="I396">
        <v>1</v>
      </c>
      <c r="J396">
        <v>2</v>
      </c>
      <c r="K396" s="87">
        <v>1</v>
      </c>
      <c r="L396" s="8">
        <v>999</v>
      </c>
      <c r="M396" s="8">
        <v>0</v>
      </c>
      <c r="N396" s="8"/>
      <c r="S396" s="89">
        <v>0</v>
      </c>
      <c r="T396" s="8">
        <v>5</v>
      </c>
      <c r="U396" s="89">
        <v>110</v>
      </c>
      <c r="V396" s="87">
        <v>1</v>
      </c>
      <c r="W396">
        <v>1</v>
      </c>
      <c r="X396" s="8">
        <v>1</v>
      </c>
      <c r="Y396">
        <v>0</v>
      </c>
      <c r="Z396" s="33">
        <v>0</v>
      </c>
      <c r="AA396">
        <v>5</v>
      </c>
      <c r="AB396" s="34">
        <v>4180</v>
      </c>
      <c r="AC396" s="87">
        <v>824</v>
      </c>
      <c r="AD396" s="62">
        <v>0</v>
      </c>
      <c r="AE396" s="90">
        <v>0</v>
      </c>
      <c r="AF396" s="90">
        <v>0</v>
      </c>
      <c r="AG396" s="91"/>
      <c r="AH396" s="91">
        <v>1</v>
      </c>
      <c r="AI396" s="91"/>
      <c r="AJ396" s="91"/>
      <c r="AK396" s="91"/>
      <c r="AL396" s="92">
        <v>1</v>
      </c>
      <c r="AM396" s="92"/>
      <c r="AN396" s="93"/>
      <c r="AO396" s="92"/>
      <c r="AQ396" s="38" t="s">
        <v>1302</v>
      </c>
      <c r="AS396">
        <v>1</v>
      </c>
    </row>
    <row r="397" spans="1:45">
      <c r="A397" s="8">
        <v>240008</v>
      </c>
      <c r="B397" s="8">
        <v>1001</v>
      </c>
      <c r="C397" s="8">
        <v>1</v>
      </c>
      <c r="D397" s="8">
        <v>3</v>
      </c>
      <c r="E397" s="237" t="s">
        <v>1303</v>
      </c>
      <c r="F397" s="13" t="s">
        <v>1285</v>
      </c>
      <c r="G397" t="s">
        <v>1286</v>
      </c>
      <c r="H397" t="s">
        <v>1287</v>
      </c>
      <c r="I397">
        <v>1</v>
      </c>
      <c r="J397">
        <v>3</v>
      </c>
      <c r="K397" s="87">
        <v>1</v>
      </c>
      <c r="L397" s="8">
        <v>999</v>
      </c>
      <c r="M397" s="8">
        <v>0</v>
      </c>
      <c r="N397" s="8"/>
      <c r="S397" s="89">
        <v>0</v>
      </c>
      <c r="T397" s="8">
        <v>5</v>
      </c>
      <c r="U397" s="89">
        <v>140</v>
      </c>
      <c r="V397" s="87">
        <v>1</v>
      </c>
      <c r="W397">
        <v>1</v>
      </c>
      <c r="X397" s="8">
        <v>1</v>
      </c>
      <c r="Y397">
        <v>0</v>
      </c>
      <c r="Z397" s="33">
        <v>0</v>
      </c>
      <c r="AA397">
        <v>5</v>
      </c>
      <c r="AB397" s="34">
        <v>5320</v>
      </c>
      <c r="AC397" s="87">
        <v>823</v>
      </c>
      <c r="AD397" s="62">
        <v>0</v>
      </c>
      <c r="AE397" s="90">
        <v>0</v>
      </c>
      <c r="AF397" s="90">
        <v>0</v>
      </c>
      <c r="AG397" s="91"/>
      <c r="AH397" s="91">
        <v>1</v>
      </c>
      <c r="AI397" s="91"/>
      <c r="AJ397" s="91"/>
      <c r="AK397" s="91"/>
      <c r="AL397" s="92">
        <v>1</v>
      </c>
      <c r="AM397" s="92"/>
      <c r="AN397" s="93"/>
      <c r="AO397" s="92"/>
      <c r="AQ397" s="237" t="s">
        <v>1303</v>
      </c>
      <c r="AS397">
        <v>1</v>
      </c>
    </row>
    <row r="398" spans="1:45">
      <c r="A398" s="8">
        <v>240009</v>
      </c>
      <c r="B398" s="8">
        <v>1001</v>
      </c>
      <c r="C398" s="8">
        <v>1</v>
      </c>
      <c r="D398" s="8">
        <v>3</v>
      </c>
      <c r="E398" s="237" t="s">
        <v>1304</v>
      </c>
      <c r="F398" s="13" t="s">
        <v>1285</v>
      </c>
      <c r="G398" t="s">
        <v>1286</v>
      </c>
      <c r="H398" t="s">
        <v>1287</v>
      </c>
      <c r="I398">
        <v>1</v>
      </c>
      <c r="J398">
        <v>3</v>
      </c>
      <c r="K398" s="87">
        <v>1</v>
      </c>
      <c r="L398" s="8">
        <v>999</v>
      </c>
      <c r="M398" s="8">
        <v>0</v>
      </c>
      <c r="N398" s="8"/>
      <c r="S398" s="89">
        <v>0</v>
      </c>
      <c r="T398" s="8">
        <v>5</v>
      </c>
      <c r="U398" s="89">
        <v>140</v>
      </c>
      <c r="V398" s="87">
        <v>1</v>
      </c>
      <c r="W398">
        <v>1</v>
      </c>
      <c r="X398" s="8">
        <v>1</v>
      </c>
      <c r="Y398">
        <v>0</v>
      </c>
      <c r="Z398" s="33">
        <v>0</v>
      </c>
      <c r="AA398">
        <v>5</v>
      </c>
      <c r="AB398" s="34">
        <v>5320</v>
      </c>
      <c r="AC398" s="87">
        <v>823</v>
      </c>
      <c r="AD398" s="62">
        <v>0</v>
      </c>
      <c r="AE398" s="90">
        <v>0</v>
      </c>
      <c r="AF398" s="90">
        <v>0</v>
      </c>
      <c r="AG398" s="91"/>
      <c r="AH398" s="91">
        <v>1</v>
      </c>
      <c r="AI398" s="91"/>
      <c r="AJ398" s="91"/>
      <c r="AK398" s="91"/>
      <c r="AL398" s="92">
        <v>1</v>
      </c>
      <c r="AM398" s="92"/>
      <c r="AN398" s="93"/>
      <c r="AO398" s="92"/>
      <c r="AQ398" s="237" t="s">
        <v>1304</v>
      </c>
      <c r="AS398">
        <v>1</v>
      </c>
    </row>
    <row r="399" spans="1:45">
      <c r="A399" s="8">
        <v>240010</v>
      </c>
      <c r="B399" s="8">
        <v>1001</v>
      </c>
      <c r="C399" s="8">
        <v>1</v>
      </c>
      <c r="D399" s="8">
        <v>3</v>
      </c>
      <c r="E399" s="237" t="s">
        <v>1305</v>
      </c>
      <c r="F399" s="13" t="s">
        <v>1285</v>
      </c>
      <c r="G399" t="s">
        <v>1286</v>
      </c>
      <c r="H399" t="s">
        <v>1287</v>
      </c>
      <c r="I399">
        <v>1</v>
      </c>
      <c r="J399">
        <v>3</v>
      </c>
      <c r="K399" s="87">
        <v>1</v>
      </c>
      <c r="L399" s="8">
        <v>999</v>
      </c>
      <c r="M399" s="8">
        <v>0</v>
      </c>
      <c r="N399" s="8"/>
      <c r="S399" s="89">
        <v>0</v>
      </c>
      <c r="T399" s="8">
        <v>5</v>
      </c>
      <c r="U399" s="89">
        <v>140</v>
      </c>
      <c r="V399" s="87">
        <v>1</v>
      </c>
      <c r="W399">
        <v>1</v>
      </c>
      <c r="X399" s="8">
        <v>1</v>
      </c>
      <c r="Y399">
        <v>0</v>
      </c>
      <c r="Z399" s="33">
        <v>0</v>
      </c>
      <c r="AA399">
        <v>5</v>
      </c>
      <c r="AB399" s="34">
        <v>5320</v>
      </c>
      <c r="AC399" s="87">
        <v>823</v>
      </c>
      <c r="AD399" s="62">
        <v>0</v>
      </c>
      <c r="AE399" s="90">
        <v>0</v>
      </c>
      <c r="AF399" s="90">
        <v>0</v>
      </c>
      <c r="AG399" s="91"/>
      <c r="AH399" s="91">
        <v>1</v>
      </c>
      <c r="AI399" s="91"/>
      <c r="AJ399" s="91"/>
      <c r="AK399" s="91"/>
      <c r="AL399" s="92">
        <v>1</v>
      </c>
      <c r="AM399" s="92"/>
      <c r="AN399" s="93"/>
      <c r="AO399" s="92"/>
      <c r="AQ399" s="237" t="s">
        <v>1305</v>
      </c>
      <c r="AS399">
        <v>1</v>
      </c>
    </row>
    <row r="400" spans="1:45">
      <c r="A400" s="8">
        <v>240011</v>
      </c>
      <c r="B400" s="8">
        <v>1001</v>
      </c>
      <c r="C400" s="8">
        <v>1</v>
      </c>
      <c r="D400" s="8">
        <v>3</v>
      </c>
      <c r="E400" s="38" t="s">
        <v>1306</v>
      </c>
      <c r="F400" s="13" t="s">
        <v>1285</v>
      </c>
      <c r="G400" t="s">
        <v>1286</v>
      </c>
      <c r="H400" t="s">
        <v>1287</v>
      </c>
      <c r="I400">
        <v>1</v>
      </c>
      <c r="J400">
        <v>2</v>
      </c>
      <c r="K400" s="87">
        <v>1</v>
      </c>
      <c r="L400" s="8">
        <v>999</v>
      </c>
      <c r="M400" s="8">
        <v>0</v>
      </c>
      <c r="N400" s="8"/>
      <c r="S400" s="89">
        <v>0</v>
      </c>
      <c r="T400" s="8">
        <v>5</v>
      </c>
      <c r="U400" s="89">
        <v>110</v>
      </c>
      <c r="V400" s="87">
        <v>1</v>
      </c>
      <c r="W400">
        <v>1</v>
      </c>
      <c r="X400" s="8">
        <v>1</v>
      </c>
      <c r="Y400">
        <v>0</v>
      </c>
      <c r="Z400" s="33">
        <v>0</v>
      </c>
      <c r="AA400">
        <v>5</v>
      </c>
      <c r="AB400" s="34">
        <v>4180</v>
      </c>
      <c r="AC400" s="87">
        <v>824</v>
      </c>
      <c r="AD400" s="62">
        <v>0</v>
      </c>
      <c r="AE400" s="90">
        <v>0</v>
      </c>
      <c r="AF400" s="90">
        <v>0</v>
      </c>
      <c r="AG400" s="91"/>
      <c r="AH400" s="91">
        <v>1</v>
      </c>
      <c r="AI400" s="91"/>
      <c r="AJ400" s="91"/>
      <c r="AK400" s="91"/>
      <c r="AL400" s="92">
        <v>1</v>
      </c>
      <c r="AM400" s="92"/>
      <c r="AN400" s="93"/>
      <c r="AO400" s="92"/>
      <c r="AQ400" s="38" t="s">
        <v>1306</v>
      </c>
      <c r="AS400">
        <v>1</v>
      </c>
    </row>
    <row r="401" spans="1:45">
      <c r="A401" s="8">
        <v>240012</v>
      </c>
      <c r="B401" s="8">
        <v>1001</v>
      </c>
      <c r="C401" s="8">
        <v>1</v>
      </c>
      <c r="D401" s="8">
        <v>3</v>
      </c>
      <c r="E401" s="38" t="s">
        <v>1307</v>
      </c>
      <c r="F401" s="13" t="s">
        <v>1285</v>
      </c>
      <c r="G401" t="s">
        <v>1286</v>
      </c>
      <c r="H401" t="s">
        <v>1287</v>
      </c>
      <c r="I401">
        <v>1</v>
      </c>
      <c r="J401">
        <v>2</v>
      </c>
      <c r="K401" s="87">
        <v>1</v>
      </c>
      <c r="L401" s="8">
        <v>999</v>
      </c>
      <c r="M401" s="8">
        <v>0</v>
      </c>
      <c r="N401" s="8"/>
      <c r="S401" s="89">
        <v>0</v>
      </c>
      <c r="T401" s="8">
        <v>5</v>
      </c>
      <c r="U401" s="89">
        <v>110</v>
      </c>
      <c r="V401" s="87">
        <v>1</v>
      </c>
      <c r="W401" s="238">
        <v>1</v>
      </c>
      <c r="X401" s="8">
        <v>1</v>
      </c>
      <c r="Y401">
        <v>0</v>
      </c>
      <c r="Z401" s="33">
        <v>0</v>
      </c>
      <c r="AA401">
        <v>5</v>
      </c>
      <c r="AB401" s="34">
        <v>4180</v>
      </c>
      <c r="AC401" s="87">
        <v>824</v>
      </c>
      <c r="AD401" s="62">
        <v>0</v>
      </c>
      <c r="AE401" s="90">
        <v>0</v>
      </c>
      <c r="AF401" s="90">
        <v>0</v>
      </c>
      <c r="AG401" s="91"/>
      <c r="AH401" s="91">
        <v>1</v>
      </c>
      <c r="AI401" s="91"/>
      <c r="AJ401" s="91"/>
      <c r="AK401" s="91"/>
      <c r="AL401" s="92">
        <v>1</v>
      </c>
      <c r="AM401" s="92"/>
      <c r="AN401" s="93"/>
      <c r="AO401" s="92"/>
      <c r="AQ401" s="38" t="s">
        <v>1307</v>
      </c>
      <c r="AS401">
        <v>1</v>
      </c>
    </row>
    <row r="402" spans="1:45">
      <c r="A402" s="8">
        <v>240013</v>
      </c>
      <c r="B402" s="8">
        <v>1001</v>
      </c>
      <c r="C402" s="8">
        <v>1</v>
      </c>
      <c r="D402" s="8">
        <v>3</v>
      </c>
      <c r="E402" t="s">
        <v>1285</v>
      </c>
      <c r="F402" s="13" t="s">
        <v>1285</v>
      </c>
      <c r="G402" t="s">
        <v>1286</v>
      </c>
      <c r="H402" t="s">
        <v>1287</v>
      </c>
      <c r="I402">
        <v>1</v>
      </c>
      <c r="J402" s="69">
        <v>2</v>
      </c>
      <c r="K402" s="87">
        <v>1</v>
      </c>
      <c r="L402" s="8">
        <v>999</v>
      </c>
      <c r="M402" s="8">
        <v>0</v>
      </c>
      <c r="N402" s="8"/>
      <c r="S402" s="89">
        <v>0</v>
      </c>
      <c r="T402" s="8">
        <v>5</v>
      </c>
      <c r="U402" s="89">
        <v>110</v>
      </c>
      <c r="V402" s="87">
        <v>1</v>
      </c>
      <c r="W402" s="8">
        <v>1</v>
      </c>
      <c r="X402" s="8">
        <v>1</v>
      </c>
      <c r="Y402">
        <v>0</v>
      </c>
      <c r="Z402" s="33">
        <v>0</v>
      </c>
      <c r="AA402">
        <v>5</v>
      </c>
      <c r="AB402" s="34">
        <v>4180</v>
      </c>
      <c r="AC402" s="87">
        <v>0</v>
      </c>
      <c r="AD402" s="62">
        <v>0</v>
      </c>
      <c r="AE402" s="90">
        <v>0</v>
      </c>
      <c r="AF402" s="90">
        <v>0</v>
      </c>
      <c r="AG402" s="91"/>
      <c r="AH402" s="91">
        <v>1</v>
      </c>
      <c r="AI402" s="91"/>
      <c r="AJ402" s="91"/>
      <c r="AK402" s="91"/>
      <c r="AL402" s="92">
        <v>1</v>
      </c>
      <c r="AM402" s="92"/>
      <c r="AN402" s="93"/>
      <c r="AO402" s="92"/>
      <c r="AQ402" t="s">
        <v>1285</v>
      </c>
      <c r="AS402">
        <v>1</v>
      </c>
    </row>
    <row r="403" spans="1:45">
      <c r="A403" s="8">
        <v>240014</v>
      </c>
      <c r="B403" s="8">
        <v>1001</v>
      </c>
      <c r="C403" s="8">
        <v>1</v>
      </c>
      <c r="D403" s="8">
        <v>3</v>
      </c>
      <c r="E403" t="s">
        <v>1300</v>
      </c>
      <c r="F403" s="13" t="s">
        <v>1300</v>
      </c>
      <c r="G403" t="s">
        <v>1308</v>
      </c>
      <c r="H403" t="s">
        <v>1301</v>
      </c>
      <c r="I403">
        <v>1</v>
      </c>
      <c r="J403" s="69">
        <v>2</v>
      </c>
      <c r="K403" s="87">
        <v>1</v>
      </c>
      <c r="L403" s="8">
        <v>999</v>
      </c>
      <c r="M403" s="8">
        <v>0</v>
      </c>
      <c r="N403" s="8"/>
      <c r="S403" s="89">
        <v>0</v>
      </c>
      <c r="T403" s="8">
        <v>5</v>
      </c>
      <c r="U403" s="89">
        <v>110</v>
      </c>
      <c r="V403" s="87">
        <v>1</v>
      </c>
      <c r="W403" s="8">
        <v>1</v>
      </c>
      <c r="X403" s="8">
        <v>1</v>
      </c>
      <c r="Y403">
        <v>0</v>
      </c>
      <c r="Z403" s="33">
        <v>0</v>
      </c>
      <c r="AA403">
        <v>5</v>
      </c>
      <c r="AB403" s="34">
        <v>4180</v>
      </c>
      <c r="AC403" s="87">
        <v>0</v>
      </c>
      <c r="AD403" s="62">
        <v>0</v>
      </c>
      <c r="AE403" s="90">
        <v>0</v>
      </c>
      <c r="AF403" s="90">
        <v>0</v>
      </c>
      <c r="AG403" s="91"/>
      <c r="AH403" s="91">
        <v>1</v>
      </c>
      <c r="AI403" s="91"/>
      <c r="AJ403" s="91"/>
      <c r="AK403" s="91"/>
      <c r="AL403" s="92">
        <v>1</v>
      </c>
      <c r="AM403" s="92"/>
      <c r="AN403" s="93"/>
      <c r="AO403" s="92"/>
      <c r="AQ403" t="s">
        <v>1300</v>
      </c>
      <c r="AS403">
        <v>1</v>
      </c>
    </row>
    <row r="404" spans="1:45">
      <c r="A404" s="8">
        <v>240015</v>
      </c>
      <c r="B404" s="8">
        <v>1001</v>
      </c>
      <c r="C404" s="8">
        <v>1</v>
      </c>
      <c r="D404" s="8">
        <v>3</v>
      </c>
      <c r="E404" t="s">
        <v>1300</v>
      </c>
      <c r="F404" s="13" t="s">
        <v>1300</v>
      </c>
      <c r="G404" t="s">
        <v>1308</v>
      </c>
      <c r="H404" t="s">
        <v>1301</v>
      </c>
      <c r="I404">
        <v>1</v>
      </c>
      <c r="J404" s="69">
        <v>2</v>
      </c>
      <c r="K404" s="87">
        <v>1</v>
      </c>
      <c r="L404" s="8">
        <v>999</v>
      </c>
      <c r="M404" s="8">
        <v>0</v>
      </c>
      <c r="N404" s="8"/>
      <c r="S404" s="89">
        <v>0</v>
      </c>
      <c r="T404" s="8">
        <v>5</v>
      </c>
      <c r="U404" s="89">
        <v>110</v>
      </c>
      <c r="V404" s="87">
        <v>1</v>
      </c>
      <c r="W404" s="8">
        <v>1</v>
      </c>
      <c r="X404" s="8">
        <v>1</v>
      </c>
      <c r="Y404">
        <v>0</v>
      </c>
      <c r="Z404" s="33">
        <v>0</v>
      </c>
      <c r="AA404">
        <v>5</v>
      </c>
      <c r="AB404" s="34">
        <v>4180</v>
      </c>
      <c r="AC404" s="87">
        <v>0</v>
      </c>
      <c r="AD404" s="62">
        <v>0</v>
      </c>
      <c r="AE404" s="90">
        <v>0</v>
      </c>
      <c r="AF404" s="90">
        <v>0</v>
      </c>
      <c r="AG404" s="91"/>
      <c r="AH404" s="91">
        <v>1</v>
      </c>
      <c r="AI404" s="91"/>
      <c r="AJ404" s="91"/>
      <c r="AK404" s="91"/>
      <c r="AL404" s="92">
        <v>1</v>
      </c>
      <c r="AM404" s="92"/>
      <c r="AN404" s="93"/>
      <c r="AO404" s="92"/>
      <c r="AQ404" t="s">
        <v>1300</v>
      </c>
      <c r="AS404">
        <v>1</v>
      </c>
    </row>
    <row r="405" spans="1:45">
      <c r="A405" s="8">
        <v>240016</v>
      </c>
      <c r="B405" s="8">
        <v>1001</v>
      </c>
      <c r="C405" s="8">
        <v>1</v>
      </c>
      <c r="D405" s="8">
        <v>3</v>
      </c>
      <c r="E405" t="s">
        <v>1300</v>
      </c>
      <c r="F405" s="13" t="s">
        <v>1297</v>
      </c>
      <c r="G405" t="s">
        <v>1298</v>
      </c>
      <c r="H405" t="s">
        <v>1301</v>
      </c>
      <c r="I405">
        <v>1</v>
      </c>
      <c r="J405" s="69">
        <v>2</v>
      </c>
      <c r="K405" s="87">
        <v>1</v>
      </c>
      <c r="L405" s="8">
        <v>999</v>
      </c>
      <c r="M405" s="8">
        <v>0</v>
      </c>
      <c r="N405" s="8"/>
      <c r="S405" s="89">
        <v>0</v>
      </c>
      <c r="T405" s="8">
        <v>5</v>
      </c>
      <c r="U405" s="89">
        <v>110</v>
      </c>
      <c r="V405" s="87">
        <v>1</v>
      </c>
      <c r="W405" s="8">
        <v>1</v>
      </c>
      <c r="X405" s="8">
        <v>1</v>
      </c>
      <c r="Y405">
        <v>0</v>
      </c>
      <c r="Z405" s="33">
        <v>0</v>
      </c>
      <c r="AA405">
        <v>5</v>
      </c>
      <c r="AB405" s="34">
        <v>4180</v>
      </c>
      <c r="AC405" s="87">
        <v>0</v>
      </c>
      <c r="AD405" s="62">
        <v>0</v>
      </c>
      <c r="AE405" s="90">
        <v>0</v>
      </c>
      <c r="AF405" s="90">
        <v>0</v>
      </c>
      <c r="AG405" s="91"/>
      <c r="AH405" s="91">
        <v>1</v>
      </c>
      <c r="AI405" s="91"/>
      <c r="AJ405" s="91"/>
      <c r="AK405" s="91"/>
      <c r="AL405" s="92">
        <v>1</v>
      </c>
      <c r="AM405" s="92"/>
      <c r="AN405" s="93"/>
      <c r="AO405" s="92"/>
      <c r="AQ405" t="s">
        <v>1300</v>
      </c>
      <c r="AS405">
        <v>1</v>
      </c>
    </row>
    <row r="406" spans="1:45">
      <c r="A406" s="8">
        <v>240017</v>
      </c>
      <c r="B406" s="8">
        <v>1001</v>
      </c>
      <c r="C406" s="8">
        <v>1</v>
      </c>
      <c r="D406" s="8">
        <v>3</v>
      </c>
      <c r="E406" t="s">
        <v>1300</v>
      </c>
      <c r="F406" s="13" t="s">
        <v>1300</v>
      </c>
      <c r="G406" t="s">
        <v>1308</v>
      </c>
      <c r="H406" t="s">
        <v>1301</v>
      </c>
      <c r="I406">
        <v>1</v>
      </c>
      <c r="J406" s="69">
        <v>2</v>
      </c>
      <c r="K406" s="87">
        <v>1</v>
      </c>
      <c r="L406" s="8">
        <v>999</v>
      </c>
      <c r="M406" s="8">
        <v>0</v>
      </c>
      <c r="N406" s="8"/>
      <c r="S406" s="89">
        <v>0</v>
      </c>
      <c r="T406" s="8">
        <v>5</v>
      </c>
      <c r="U406" s="89">
        <v>110</v>
      </c>
      <c r="V406" s="87">
        <v>1</v>
      </c>
      <c r="W406" s="8">
        <v>1</v>
      </c>
      <c r="X406" s="8">
        <v>1</v>
      </c>
      <c r="Y406">
        <v>0</v>
      </c>
      <c r="Z406" s="33">
        <v>0</v>
      </c>
      <c r="AA406">
        <v>5</v>
      </c>
      <c r="AB406" s="34">
        <v>4180</v>
      </c>
      <c r="AC406" s="87">
        <v>0</v>
      </c>
      <c r="AD406" s="62">
        <v>0</v>
      </c>
      <c r="AE406" s="90">
        <v>0</v>
      </c>
      <c r="AF406" s="90">
        <v>0</v>
      </c>
      <c r="AG406" s="91"/>
      <c r="AH406" s="91">
        <v>1</v>
      </c>
      <c r="AI406" s="91"/>
      <c r="AJ406" s="91"/>
      <c r="AK406" s="91"/>
      <c r="AL406" s="92">
        <v>1</v>
      </c>
      <c r="AM406" s="92"/>
      <c r="AN406" s="93"/>
      <c r="AO406" s="92"/>
      <c r="AQ406" t="s">
        <v>1300</v>
      </c>
      <c r="AS406">
        <v>1</v>
      </c>
    </row>
    <row r="407" spans="1:45">
      <c r="A407" s="8">
        <v>240018</v>
      </c>
      <c r="B407" s="8">
        <v>1001</v>
      </c>
      <c r="C407" s="8">
        <v>1</v>
      </c>
      <c r="D407" s="8">
        <v>3</v>
      </c>
      <c r="E407" t="s">
        <v>1291</v>
      </c>
      <c r="F407" s="13" t="s">
        <v>1291</v>
      </c>
      <c r="G407" t="s">
        <v>1292</v>
      </c>
      <c r="H407" t="s">
        <v>1293</v>
      </c>
      <c r="I407">
        <v>1</v>
      </c>
      <c r="J407" s="69">
        <v>2</v>
      </c>
      <c r="K407" s="87">
        <v>1</v>
      </c>
      <c r="L407" s="8">
        <v>999</v>
      </c>
      <c r="M407" s="8">
        <v>0</v>
      </c>
      <c r="N407" s="8"/>
      <c r="S407" s="89">
        <v>0</v>
      </c>
      <c r="T407" s="8">
        <v>5</v>
      </c>
      <c r="U407" s="89">
        <v>110</v>
      </c>
      <c r="V407" s="87">
        <v>1</v>
      </c>
      <c r="W407" s="8">
        <v>1</v>
      </c>
      <c r="X407" s="8">
        <v>1</v>
      </c>
      <c r="Y407">
        <v>0</v>
      </c>
      <c r="Z407" s="33">
        <v>0</v>
      </c>
      <c r="AA407">
        <v>5</v>
      </c>
      <c r="AB407" s="34">
        <v>4180</v>
      </c>
      <c r="AC407" s="87">
        <v>0</v>
      </c>
      <c r="AD407" s="62">
        <v>0</v>
      </c>
      <c r="AE407" s="90">
        <v>0</v>
      </c>
      <c r="AF407" s="90">
        <v>0</v>
      </c>
      <c r="AG407" s="91"/>
      <c r="AH407" s="91">
        <v>1</v>
      </c>
      <c r="AI407" s="91"/>
      <c r="AJ407" s="91"/>
      <c r="AK407" s="91"/>
      <c r="AL407" s="92">
        <v>1</v>
      </c>
      <c r="AM407" s="92"/>
      <c r="AN407" s="93"/>
      <c r="AO407" s="92"/>
      <c r="AQ407" t="s">
        <v>1291</v>
      </c>
      <c r="AS407">
        <v>1</v>
      </c>
    </row>
    <row r="408" spans="1:45">
      <c r="A408" s="8">
        <v>240019</v>
      </c>
      <c r="B408" s="8">
        <v>1001</v>
      </c>
      <c r="C408" s="8">
        <v>1</v>
      </c>
      <c r="D408" s="8">
        <v>3</v>
      </c>
      <c r="E408" t="s">
        <v>1294</v>
      </c>
      <c r="F408" s="13" t="s">
        <v>1294</v>
      </c>
      <c r="G408" t="s">
        <v>1295</v>
      </c>
      <c r="H408" t="s">
        <v>1296</v>
      </c>
      <c r="I408">
        <v>1</v>
      </c>
      <c r="J408" s="69">
        <v>2</v>
      </c>
      <c r="K408" s="87">
        <v>1</v>
      </c>
      <c r="L408" s="8">
        <v>999</v>
      </c>
      <c r="M408" s="8">
        <v>0</v>
      </c>
      <c r="N408" s="8"/>
      <c r="S408" s="89">
        <v>0</v>
      </c>
      <c r="T408" s="8">
        <v>5</v>
      </c>
      <c r="U408" s="89">
        <v>110</v>
      </c>
      <c r="V408" s="87">
        <v>1</v>
      </c>
      <c r="W408" s="8">
        <v>1</v>
      </c>
      <c r="X408" s="8">
        <v>1</v>
      </c>
      <c r="Y408">
        <v>0</v>
      </c>
      <c r="Z408" s="33">
        <v>0</v>
      </c>
      <c r="AA408">
        <v>5</v>
      </c>
      <c r="AB408" s="34">
        <v>4180</v>
      </c>
      <c r="AC408" s="87">
        <v>0</v>
      </c>
      <c r="AD408" s="62">
        <v>0</v>
      </c>
      <c r="AE408" s="90">
        <v>0</v>
      </c>
      <c r="AF408" s="90">
        <v>0</v>
      </c>
      <c r="AG408" s="91"/>
      <c r="AH408" s="91">
        <v>1</v>
      </c>
      <c r="AI408" s="91"/>
      <c r="AJ408" s="91"/>
      <c r="AK408" s="91"/>
      <c r="AL408" s="92">
        <v>1</v>
      </c>
      <c r="AM408" s="92"/>
      <c r="AN408" s="93"/>
      <c r="AO408" s="92"/>
      <c r="AQ408" t="s">
        <v>1294</v>
      </c>
      <c r="AS408">
        <v>1</v>
      </c>
    </row>
    <row r="409" spans="1:45">
      <c r="A409" s="8">
        <v>240020</v>
      </c>
      <c r="B409" s="8">
        <v>1001</v>
      </c>
      <c r="C409" s="8">
        <v>1</v>
      </c>
      <c r="D409" s="8">
        <v>3</v>
      </c>
      <c r="E409" t="s">
        <v>1288</v>
      </c>
      <c r="F409" s="13" t="s">
        <v>1288</v>
      </c>
      <c r="G409" t="s">
        <v>1289</v>
      </c>
      <c r="H409" t="s">
        <v>1290</v>
      </c>
      <c r="I409">
        <v>1</v>
      </c>
      <c r="J409" s="69">
        <v>2</v>
      </c>
      <c r="K409" s="87">
        <v>1</v>
      </c>
      <c r="L409" s="8">
        <v>999</v>
      </c>
      <c r="M409" s="8">
        <v>0</v>
      </c>
      <c r="N409" s="8"/>
      <c r="S409" s="89">
        <v>0</v>
      </c>
      <c r="T409" s="8">
        <v>5</v>
      </c>
      <c r="U409" s="89">
        <v>110</v>
      </c>
      <c r="V409" s="87">
        <v>1</v>
      </c>
      <c r="W409" s="8">
        <v>1</v>
      </c>
      <c r="X409" s="8">
        <v>1</v>
      </c>
      <c r="Y409">
        <v>0</v>
      </c>
      <c r="Z409" s="33">
        <v>0</v>
      </c>
      <c r="AA409">
        <v>5</v>
      </c>
      <c r="AB409" s="34">
        <v>4180</v>
      </c>
      <c r="AC409" s="87">
        <v>0</v>
      </c>
      <c r="AD409" s="62">
        <v>0</v>
      </c>
      <c r="AE409" s="90">
        <v>0</v>
      </c>
      <c r="AF409" s="90">
        <v>0</v>
      </c>
      <c r="AG409" s="91"/>
      <c r="AH409" s="91">
        <v>1</v>
      </c>
      <c r="AI409" s="91"/>
      <c r="AJ409" s="91"/>
      <c r="AK409" s="91"/>
      <c r="AL409" s="92">
        <v>1</v>
      </c>
      <c r="AM409" s="92"/>
      <c r="AN409" s="93"/>
      <c r="AO409" s="92"/>
      <c r="AQ409" t="s">
        <v>1288</v>
      </c>
      <c r="AS409">
        <v>1</v>
      </c>
    </row>
    <row r="410" spans="1:45">
      <c r="A410" s="8">
        <v>240021</v>
      </c>
      <c r="B410" s="8">
        <v>1001</v>
      </c>
      <c r="C410" s="8">
        <v>1</v>
      </c>
      <c r="D410" s="8">
        <v>3</v>
      </c>
      <c r="E410" t="s">
        <v>1300</v>
      </c>
      <c r="F410" s="13" t="s">
        <v>1300</v>
      </c>
      <c r="G410" t="s">
        <v>1308</v>
      </c>
      <c r="H410" t="s">
        <v>1301</v>
      </c>
      <c r="I410">
        <v>1</v>
      </c>
      <c r="J410" s="69">
        <v>2</v>
      </c>
      <c r="K410" s="87">
        <v>1</v>
      </c>
      <c r="L410" s="8">
        <v>999</v>
      </c>
      <c r="M410" s="8">
        <v>0</v>
      </c>
      <c r="N410" s="8"/>
      <c r="S410" s="89">
        <v>0</v>
      </c>
      <c r="T410" s="8">
        <v>5</v>
      </c>
      <c r="U410" s="89">
        <v>110</v>
      </c>
      <c r="V410" s="87">
        <v>1</v>
      </c>
      <c r="W410" s="8">
        <v>1</v>
      </c>
      <c r="X410" s="8">
        <v>1</v>
      </c>
      <c r="Y410">
        <v>0</v>
      </c>
      <c r="Z410" s="33">
        <v>0</v>
      </c>
      <c r="AA410">
        <v>5</v>
      </c>
      <c r="AB410" s="34">
        <v>4180</v>
      </c>
      <c r="AC410" s="87">
        <v>0</v>
      </c>
      <c r="AD410" s="62">
        <v>0</v>
      </c>
      <c r="AE410" s="90">
        <v>0</v>
      </c>
      <c r="AF410" s="90">
        <v>0</v>
      </c>
      <c r="AG410" s="91"/>
      <c r="AH410" s="91">
        <v>1</v>
      </c>
      <c r="AI410" s="91"/>
      <c r="AJ410" s="91"/>
      <c r="AK410" s="91"/>
      <c r="AL410" s="92">
        <v>1</v>
      </c>
      <c r="AM410" s="92"/>
      <c r="AN410" s="93"/>
      <c r="AO410" s="92"/>
      <c r="AQ410" t="s">
        <v>1300</v>
      </c>
      <c r="AS410">
        <v>1</v>
      </c>
    </row>
    <row r="411" spans="1:45">
      <c r="A411" s="8">
        <v>240022</v>
      </c>
      <c r="B411" s="8">
        <v>1001</v>
      </c>
      <c r="C411" s="8">
        <v>1</v>
      </c>
      <c r="D411" s="8">
        <v>3</v>
      </c>
      <c r="E411" t="s">
        <v>1309</v>
      </c>
      <c r="F411" s="13" t="s">
        <v>1309</v>
      </c>
      <c r="G411" t="s">
        <v>1310</v>
      </c>
      <c r="H411" t="s">
        <v>1311</v>
      </c>
      <c r="I411">
        <v>1</v>
      </c>
      <c r="J411" s="69">
        <v>2</v>
      </c>
      <c r="K411" s="87">
        <v>1</v>
      </c>
      <c r="L411" s="8">
        <v>999</v>
      </c>
      <c r="M411" s="8">
        <v>0</v>
      </c>
      <c r="N411" s="8"/>
      <c r="S411" s="89">
        <v>0</v>
      </c>
      <c r="T411" s="8">
        <v>5</v>
      </c>
      <c r="U411" s="89">
        <v>110</v>
      </c>
      <c r="V411" s="87">
        <v>1</v>
      </c>
      <c r="W411" s="8">
        <v>1</v>
      </c>
      <c r="X411" s="8">
        <v>1</v>
      </c>
      <c r="Y411">
        <v>0</v>
      </c>
      <c r="Z411" s="33">
        <v>0</v>
      </c>
      <c r="AA411">
        <v>5</v>
      </c>
      <c r="AB411" s="34">
        <v>4180</v>
      </c>
      <c r="AC411" s="87">
        <v>0</v>
      </c>
      <c r="AD411" s="62">
        <v>0</v>
      </c>
      <c r="AE411" s="90">
        <v>0</v>
      </c>
      <c r="AF411" s="90">
        <v>0</v>
      </c>
      <c r="AG411" s="91"/>
      <c r="AH411" s="91">
        <v>1</v>
      </c>
      <c r="AI411" s="91"/>
      <c r="AJ411" s="91"/>
      <c r="AK411" s="91"/>
      <c r="AL411" s="92">
        <v>1</v>
      </c>
      <c r="AM411" s="92"/>
      <c r="AN411" s="93"/>
      <c r="AO411" s="92"/>
      <c r="AQ411" t="s">
        <v>1309</v>
      </c>
      <c r="AS411">
        <v>1</v>
      </c>
    </row>
    <row r="412" spans="1:45">
      <c r="A412" s="8">
        <v>240023</v>
      </c>
      <c r="B412" s="8">
        <v>1001</v>
      </c>
      <c r="C412" s="8">
        <v>1</v>
      </c>
      <c r="D412" s="8">
        <v>3</v>
      </c>
      <c r="E412" t="s">
        <v>1312</v>
      </c>
      <c r="F412" s="13" t="s">
        <v>1312</v>
      </c>
      <c r="G412" t="s">
        <v>1313</v>
      </c>
      <c r="H412" t="s">
        <v>1311</v>
      </c>
      <c r="I412">
        <v>1</v>
      </c>
      <c r="J412" s="69">
        <v>2</v>
      </c>
      <c r="K412" s="87">
        <v>1</v>
      </c>
      <c r="L412" s="8">
        <v>999</v>
      </c>
      <c r="M412" s="8">
        <v>0</v>
      </c>
      <c r="N412" s="8"/>
      <c r="S412" s="89">
        <v>0</v>
      </c>
      <c r="T412" s="8">
        <v>5</v>
      </c>
      <c r="U412" s="89">
        <v>110</v>
      </c>
      <c r="V412" s="87">
        <v>1</v>
      </c>
      <c r="W412" s="8">
        <v>1</v>
      </c>
      <c r="X412" s="8">
        <v>1</v>
      </c>
      <c r="Y412">
        <v>0</v>
      </c>
      <c r="Z412" s="33">
        <v>0</v>
      </c>
      <c r="AA412">
        <v>5</v>
      </c>
      <c r="AB412" s="34">
        <v>4180</v>
      </c>
      <c r="AC412" s="87">
        <v>0</v>
      </c>
      <c r="AD412" s="62">
        <v>0</v>
      </c>
      <c r="AE412" s="90">
        <v>0</v>
      </c>
      <c r="AF412" s="90">
        <v>0</v>
      </c>
      <c r="AG412" s="91"/>
      <c r="AH412" s="91">
        <v>1</v>
      </c>
      <c r="AI412" s="91"/>
      <c r="AJ412" s="91"/>
      <c r="AK412" s="91"/>
      <c r="AL412" s="92">
        <v>1</v>
      </c>
      <c r="AM412" s="92"/>
      <c r="AN412" s="93"/>
      <c r="AO412" s="92"/>
      <c r="AQ412" t="s">
        <v>1312</v>
      </c>
      <c r="AS412">
        <v>1</v>
      </c>
    </row>
    <row r="413" spans="1:45">
      <c r="A413" s="8">
        <v>240024</v>
      </c>
      <c r="B413" s="8">
        <v>1001</v>
      </c>
      <c r="C413" s="8">
        <v>1</v>
      </c>
      <c r="D413" s="8">
        <v>3</v>
      </c>
      <c r="E413" t="s">
        <v>1314</v>
      </c>
      <c r="F413" s="13" t="s">
        <v>1314</v>
      </c>
      <c r="G413" t="s">
        <v>1315</v>
      </c>
      <c r="H413" t="s">
        <v>1311</v>
      </c>
      <c r="I413">
        <v>1</v>
      </c>
      <c r="J413" s="69">
        <v>2</v>
      </c>
      <c r="K413" s="87">
        <v>1</v>
      </c>
      <c r="L413" s="8">
        <v>999</v>
      </c>
      <c r="M413" s="8">
        <v>0</v>
      </c>
      <c r="N413" s="8"/>
      <c r="S413" s="89">
        <v>0</v>
      </c>
      <c r="T413" s="8">
        <v>5</v>
      </c>
      <c r="U413" s="89">
        <v>110</v>
      </c>
      <c r="V413" s="87">
        <v>1</v>
      </c>
      <c r="W413" s="8">
        <v>1</v>
      </c>
      <c r="X413" s="8">
        <v>1</v>
      </c>
      <c r="Y413">
        <v>0</v>
      </c>
      <c r="Z413" s="33">
        <v>0</v>
      </c>
      <c r="AA413">
        <v>5</v>
      </c>
      <c r="AB413" s="34">
        <v>4180</v>
      </c>
      <c r="AC413" s="87">
        <v>0</v>
      </c>
      <c r="AD413" s="62">
        <v>0</v>
      </c>
      <c r="AE413" s="90">
        <v>0</v>
      </c>
      <c r="AF413" s="90">
        <v>0</v>
      </c>
      <c r="AG413" s="91"/>
      <c r="AH413" s="91">
        <v>1</v>
      </c>
      <c r="AI413" s="91"/>
      <c r="AJ413" s="91"/>
      <c r="AK413" s="91"/>
      <c r="AL413" s="92">
        <v>1</v>
      </c>
      <c r="AM413" s="92"/>
      <c r="AN413" s="93"/>
      <c r="AO413" s="92"/>
      <c r="AQ413" t="s">
        <v>1314</v>
      </c>
      <c r="AS413">
        <v>1</v>
      </c>
    </row>
    <row r="414" spans="1:45">
      <c r="A414" s="8">
        <v>240025</v>
      </c>
      <c r="B414" s="8">
        <v>1001</v>
      </c>
      <c r="C414" s="8">
        <v>1</v>
      </c>
      <c r="D414" s="8">
        <v>3</v>
      </c>
      <c r="E414" t="s">
        <v>1316</v>
      </c>
      <c r="F414" s="13" t="s">
        <v>1316</v>
      </c>
      <c r="G414" t="s">
        <v>1317</v>
      </c>
      <c r="H414" t="s">
        <v>1311</v>
      </c>
      <c r="I414">
        <v>1</v>
      </c>
      <c r="J414" s="69">
        <v>2</v>
      </c>
      <c r="K414" s="87">
        <v>1</v>
      </c>
      <c r="L414" s="8">
        <v>999</v>
      </c>
      <c r="M414" s="8">
        <v>0</v>
      </c>
      <c r="N414" s="8"/>
      <c r="S414" s="89">
        <v>0</v>
      </c>
      <c r="T414" s="8">
        <v>5</v>
      </c>
      <c r="U414" s="89">
        <v>110</v>
      </c>
      <c r="V414" s="87">
        <v>1</v>
      </c>
      <c r="W414" s="8">
        <v>1</v>
      </c>
      <c r="X414" s="8">
        <v>1</v>
      </c>
      <c r="Y414">
        <v>0</v>
      </c>
      <c r="Z414" s="33">
        <v>0</v>
      </c>
      <c r="AA414">
        <v>5</v>
      </c>
      <c r="AB414" s="34">
        <v>4180</v>
      </c>
      <c r="AC414" s="87">
        <v>0</v>
      </c>
      <c r="AD414" s="62">
        <v>0</v>
      </c>
      <c r="AE414" s="90">
        <v>0</v>
      </c>
      <c r="AF414" s="90">
        <v>0</v>
      </c>
      <c r="AG414" s="91"/>
      <c r="AH414" s="91">
        <v>1</v>
      </c>
      <c r="AI414" s="91"/>
      <c r="AJ414" s="91"/>
      <c r="AK414" s="91"/>
      <c r="AL414" s="92">
        <v>1</v>
      </c>
      <c r="AM414" s="92"/>
      <c r="AN414" s="93"/>
      <c r="AO414" s="92"/>
      <c r="AQ414" t="s">
        <v>1316</v>
      </c>
      <c r="AS414">
        <v>1</v>
      </c>
    </row>
    <row r="415" spans="1:45">
      <c r="A415" s="8">
        <v>240026</v>
      </c>
      <c r="B415" s="8">
        <v>1001</v>
      </c>
      <c r="C415" s="8">
        <v>1</v>
      </c>
      <c r="D415" s="8">
        <v>3</v>
      </c>
      <c r="E415" t="s">
        <v>1318</v>
      </c>
      <c r="F415" s="13" t="s">
        <v>1318</v>
      </c>
      <c r="G415" t="s">
        <v>1319</v>
      </c>
      <c r="H415" t="s">
        <v>1320</v>
      </c>
      <c r="I415">
        <v>1</v>
      </c>
      <c r="J415" s="69">
        <v>2</v>
      </c>
      <c r="K415" s="87">
        <v>1</v>
      </c>
      <c r="L415" s="8">
        <v>999</v>
      </c>
      <c r="M415" s="8">
        <v>0</v>
      </c>
      <c r="N415" s="8"/>
      <c r="S415" s="89">
        <v>0</v>
      </c>
      <c r="T415" s="8">
        <v>5</v>
      </c>
      <c r="U415" s="89">
        <v>110</v>
      </c>
      <c r="V415" s="87">
        <v>1</v>
      </c>
      <c r="W415" s="8">
        <v>1</v>
      </c>
      <c r="X415" s="8">
        <v>1</v>
      </c>
      <c r="Y415">
        <v>0</v>
      </c>
      <c r="Z415" s="33">
        <v>0</v>
      </c>
      <c r="AA415">
        <v>5</v>
      </c>
      <c r="AB415" s="34">
        <v>4180</v>
      </c>
      <c r="AC415" s="87">
        <v>0</v>
      </c>
      <c r="AD415" s="62">
        <v>0</v>
      </c>
      <c r="AE415" s="90">
        <v>0</v>
      </c>
      <c r="AF415" s="90">
        <v>0</v>
      </c>
      <c r="AG415" s="91"/>
      <c r="AH415" s="91">
        <v>1</v>
      </c>
      <c r="AI415" s="91"/>
      <c r="AJ415" s="91"/>
      <c r="AK415" s="91"/>
      <c r="AL415" s="92">
        <v>1</v>
      </c>
      <c r="AM415" s="92"/>
      <c r="AN415" s="93"/>
      <c r="AO415" s="92"/>
      <c r="AQ415" t="s">
        <v>1318</v>
      </c>
      <c r="AS415">
        <v>1</v>
      </c>
    </row>
    <row r="416" spans="1:45">
      <c r="A416" s="8">
        <v>240027</v>
      </c>
      <c r="B416" s="8">
        <v>1001</v>
      </c>
      <c r="C416" s="8">
        <v>1</v>
      </c>
      <c r="D416" s="8">
        <v>3</v>
      </c>
      <c r="E416" t="s">
        <v>1321</v>
      </c>
      <c r="F416" s="13" t="s">
        <v>1321</v>
      </c>
      <c r="G416" t="s">
        <v>1322</v>
      </c>
      <c r="H416" t="s">
        <v>1323</v>
      </c>
      <c r="I416">
        <v>1</v>
      </c>
      <c r="J416" s="69">
        <v>2</v>
      </c>
      <c r="K416" s="87">
        <v>1</v>
      </c>
      <c r="L416" s="8">
        <v>999</v>
      </c>
      <c r="M416" s="8">
        <v>0</v>
      </c>
      <c r="N416" s="8"/>
      <c r="S416" s="89">
        <v>0</v>
      </c>
      <c r="T416" s="8">
        <v>5</v>
      </c>
      <c r="U416" s="89">
        <v>110</v>
      </c>
      <c r="V416" s="87">
        <v>1</v>
      </c>
      <c r="W416" s="8">
        <v>1</v>
      </c>
      <c r="X416" s="8">
        <v>1</v>
      </c>
      <c r="Y416">
        <v>0</v>
      </c>
      <c r="Z416" s="33">
        <v>0</v>
      </c>
      <c r="AA416">
        <v>5</v>
      </c>
      <c r="AB416" s="34">
        <v>4180</v>
      </c>
      <c r="AC416" s="87">
        <v>0</v>
      </c>
      <c r="AD416" s="62">
        <v>0</v>
      </c>
      <c r="AE416" s="90">
        <v>0</v>
      </c>
      <c r="AF416" s="90">
        <v>0</v>
      </c>
      <c r="AG416" s="91"/>
      <c r="AH416" s="91">
        <v>1</v>
      </c>
      <c r="AI416" s="91"/>
      <c r="AJ416" s="91"/>
      <c r="AK416" s="91"/>
      <c r="AL416" s="92">
        <v>1</v>
      </c>
      <c r="AM416" s="92"/>
      <c r="AN416" s="93"/>
      <c r="AO416" s="92"/>
      <c r="AQ416" t="s">
        <v>1321</v>
      </c>
      <c r="AS416">
        <v>1</v>
      </c>
    </row>
    <row r="417" spans="1:45">
      <c r="A417" s="8">
        <v>240028</v>
      </c>
      <c r="B417" s="8">
        <v>1001</v>
      </c>
      <c r="C417" s="8">
        <v>1</v>
      </c>
      <c r="D417" s="8">
        <v>3</v>
      </c>
      <c r="E417" t="s">
        <v>1324</v>
      </c>
      <c r="F417" s="13" t="s">
        <v>1324</v>
      </c>
      <c r="G417" t="s">
        <v>1325</v>
      </c>
      <c r="H417" t="s">
        <v>1326</v>
      </c>
      <c r="I417">
        <v>1</v>
      </c>
      <c r="J417" s="69">
        <v>2</v>
      </c>
      <c r="K417" s="87">
        <v>1</v>
      </c>
      <c r="L417" s="8">
        <v>999</v>
      </c>
      <c r="M417" s="8">
        <v>0</v>
      </c>
      <c r="N417" s="8"/>
      <c r="S417" s="89">
        <v>0</v>
      </c>
      <c r="T417" s="8">
        <v>5</v>
      </c>
      <c r="U417" s="89">
        <v>110</v>
      </c>
      <c r="V417" s="87">
        <v>1</v>
      </c>
      <c r="W417" s="8">
        <v>1</v>
      </c>
      <c r="X417" s="8">
        <v>1</v>
      </c>
      <c r="Y417">
        <v>0</v>
      </c>
      <c r="Z417" s="33">
        <v>0</v>
      </c>
      <c r="AA417">
        <v>5</v>
      </c>
      <c r="AB417" s="34">
        <v>4180</v>
      </c>
      <c r="AC417" s="87">
        <v>0</v>
      </c>
      <c r="AD417" s="62">
        <v>0</v>
      </c>
      <c r="AE417" s="90">
        <v>0</v>
      </c>
      <c r="AF417" s="90">
        <v>0</v>
      </c>
      <c r="AG417" s="91"/>
      <c r="AH417" s="91">
        <v>1</v>
      </c>
      <c r="AI417" s="91"/>
      <c r="AJ417" s="91"/>
      <c r="AK417" s="91"/>
      <c r="AL417" s="92">
        <v>1</v>
      </c>
      <c r="AM417" s="92"/>
      <c r="AN417" s="93"/>
      <c r="AO417" s="92"/>
      <c r="AQ417" t="s">
        <v>1324</v>
      </c>
      <c r="AS417">
        <v>1</v>
      </c>
    </row>
    <row r="418" spans="1:45">
      <c r="A418" s="8">
        <v>240029</v>
      </c>
      <c r="B418" s="8">
        <v>1001</v>
      </c>
      <c r="C418" s="8">
        <v>1</v>
      </c>
      <c r="D418" s="8">
        <v>3</v>
      </c>
      <c r="E418" t="s">
        <v>1327</v>
      </c>
      <c r="F418" s="13" t="s">
        <v>1327</v>
      </c>
      <c r="G418" t="s">
        <v>1328</v>
      </c>
      <c r="H418" t="s">
        <v>1329</v>
      </c>
      <c r="I418">
        <v>1</v>
      </c>
      <c r="J418" s="69">
        <v>2</v>
      </c>
      <c r="K418" s="87">
        <v>1</v>
      </c>
      <c r="L418" s="8">
        <v>999</v>
      </c>
      <c r="M418" s="8">
        <v>0</v>
      </c>
      <c r="N418" s="8"/>
      <c r="S418" s="89">
        <v>0</v>
      </c>
      <c r="T418" s="8">
        <v>5</v>
      </c>
      <c r="U418" s="89">
        <v>110</v>
      </c>
      <c r="V418" s="87">
        <v>1</v>
      </c>
      <c r="W418" s="8">
        <v>1</v>
      </c>
      <c r="X418" s="8">
        <v>1</v>
      </c>
      <c r="Y418">
        <v>0</v>
      </c>
      <c r="Z418" s="33">
        <v>0</v>
      </c>
      <c r="AA418">
        <v>5</v>
      </c>
      <c r="AB418" s="34">
        <v>4180</v>
      </c>
      <c r="AC418" s="87">
        <v>0</v>
      </c>
      <c r="AD418" s="62">
        <v>0</v>
      </c>
      <c r="AE418" s="90">
        <v>0</v>
      </c>
      <c r="AF418" s="90">
        <v>0</v>
      </c>
      <c r="AG418" s="91"/>
      <c r="AH418" s="91">
        <v>1</v>
      </c>
      <c r="AI418" s="91"/>
      <c r="AJ418" s="91"/>
      <c r="AK418" s="91"/>
      <c r="AL418" s="92">
        <v>1</v>
      </c>
      <c r="AM418" s="92"/>
      <c r="AN418" s="93"/>
      <c r="AO418" s="92"/>
      <c r="AQ418" t="s">
        <v>1327</v>
      </c>
      <c r="AS418">
        <v>1</v>
      </c>
    </row>
    <row r="419" spans="1:45">
      <c r="A419" s="8">
        <v>240030</v>
      </c>
      <c r="B419" s="8">
        <v>1001</v>
      </c>
      <c r="C419" s="8">
        <v>1</v>
      </c>
      <c r="D419" s="8">
        <v>3</v>
      </c>
      <c r="E419" t="s">
        <v>1330</v>
      </c>
      <c r="F419" s="13" t="s">
        <v>1330</v>
      </c>
      <c r="G419" t="s">
        <v>1331</v>
      </c>
      <c r="H419" t="s">
        <v>1329</v>
      </c>
      <c r="I419">
        <v>1</v>
      </c>
      <c r="J419" s="69">
        <v>2</v>
      </c>
      <c r="K419" s="87">
        <v>1</v>
      </c>
      <c r="L419" s="8">
        <v>999</v>
      </c>
      <c r="M419" s="8">
        <v>0</v>
      </c>
      <c r="N419" s="8"/>
      <c r="S419" s="89">
        <v>0</v>
      </c>
      <c r="T419" s="8">
        <v>5</v>
      </c>
      <c r="U419" s="89">
        <v>110</v>
      </c>
      <c r="V419" s="87">
        <v>1</v>
      </c>
      <c r="W419" s="8">
        <v>1</v>
      </c>
      <c r="X419" s="8">
        <v>1</v>
      </c>
      <c r="Y419">
        <v>0</v>
      </c>
      <c r="Z419" s="33">
        <v>0</v>
      </c>
      <c r="AA419">
        <v>5</v>
      </c>
      <c r="AB419" s="34">
        <v>4180</v>
      </c>
      <c r="AC419" s="87">
        <v>0</v>
      </c>
      <c r="AD419" s="62">
        <v>0</v>
      </c>
      <c r="AE419" s="90">
        <v>0</v>
      </c>
      <c r="AF419" s="90">
        <v>0</v>
      </c>
      <c r="AG419" s="91"/>
      <c r="AH419" s="91">
        <v>1</v>
      </c>
      <c r="AI419" s="91"/>
      <c r="AJ419" s="91"/>
      <c r="AK419" s="91"/>
      <c r="AL419" s="92">
        <v>1</v>
      </c>
      <c r="AM419" s="92"/>
      <c r="AN419" s="93"/>
      <c r="AO419" s="92"/>
      <c r="AQ419" t="s">
        <v>1330</v>
      </c>
      <c r="AS419">
        <v>1</v>
      </c>
    </row>
    <row r="420" spans="1:45">
      <c r="A420" s="8">
        <v>240031</v>
      </c>
      <c r="B420" s="8">
        <v>1001</v>
      </c>
      <c r="C420" s="8">
        <v>1</v>
      </c>
      <c r="D420" s="8">
        <v>3</v>
      </c>
      <c r="E420" t="s">
        <v>1332</v>
      </c>
      <c r="F420" s="13" t="s">
        <v>1332</v>
      </c>
      <c r="G420" t="s">
        <v>1333</v>
      </c>
      <c r="H420" t="s">
        <v>1329</v>
      </c>
      <c r="I420">
        <v>1</v>
      </c>
      <c r="J420" s="69">
        <v>2</v>
      </c>
      <c r="K420" s="87">
        <v>1</v>
      </c>
      <c r="L420" s="8">
        <v>999</v>
      </c>
      <c r="M420" s="8">
        <v>0</v>
      </c>
      <c r="N420" s="8"/>
      <c r="S420" s="89">
        <v>0</v>
      </c>
      <c r="T420" s="8">
        <v>5</v>
      </c>
      <c r="U420" s="89">
        <v>110</v>
      </c>
      <c r="V420" s="87">
        <v>1</v>
      </c>
      <c r="W420" s="8">
        <v>1</v>
      </c>
      <c r="X420" s="8">
        <v>1</v>
      </c>
      <c r="Y420">
        <v>0</v>
      </c>
      <c r="Z420" s="33">
        <v>0</v>
      </c>
      <c r="AA420">
        <v>5</v>
      </c>
      <c r="AB420" s="34">
        <v>4180</v>
      </c>
      <c r="AC420" s="87">
        <v>0</v>
      </c>
      <c r="AD420" s="62">
        <v>0</v>
      </c>
      <c r="AE420" s="90">
        <v>0</v>
      </c>
      <c r="AF420" s="90">
        <v>0</v>
      </c>
      <c r="AG420" s="91"/>
      <c r="AH420" s="91">
        <v>1</v>
      </c>
      <c r="AI420" s="91"/>
      <c r="AJ420" s="91"/>
      <c r="AK420" s="91"/>
      <c r="AL420" s="92">
        <v>1</v>
      </c>
      <c r="AM420" s="92"/>
      <c r="AN420" s="93"/>
      <c r="AO420" s="92"/>
      <c r="AQ420" t="s">
        <v>1332</v>
      </c>
      <c r="AS420">
        <v>1</v>
      </c>
    </row>
    <row r="421" spans="1:45">
      <c r="A421" s="8">
        <v>240032</v>
      </c>
      <c r="B421" s="8">
        <v>1001</v>
      </c>
      <c r="C421" s="8">
        <v>1</v>
      </c>
      <c r="D421" s="8">
        <v>3</v>
      </c>
      <c r="E421" t="s">
        <v>1334</v>
      </c>
      <c r="F421" s="13" t="s">
        <v>1334</v>
      </c>
      <c r="G421" t="s">
        <v>1335</v>
      </c>
      <c r="H421" t="s">
        <v>1329</v>
      </c>
      <c r="I421">
        <v>1</v>
      </c>
      <c r="J421" s="69">
        <v>2</v>
      </c>
      <c r="K421" s="87">
        <v>1</v>
      </c>
      <c r="L421" s="8">
        <v>999</v>
      </c>
      <c r="M421" s="8">
        <v>0</v>
      </c>
      <c r="N421" s="8"/>
      <c r="S421" s="89">
        <v>0</v>
      </c>
      <c r="T421" s="8">
        <v>5</v>
      </c>
      <c r="U421" s="89">
        <v>110</v>
      </c>
      <c r="V421" s="87">
        <v>1</v>
      </c>
      <c r="W421" s="8">
        <v>1</v>
      </c>
      <c r="X421" s="8">
        <v>1</v>
      </c>
      <c r="Y421">
        <v>0</v>
      </c>
      <c r="Z421" s="33">
        <v>0</v>
      </c>
      <c r="AA421">
        <v>5</v>
      </c>
      <c r="AB421" s="34">
        <v>4180</v>
      </c>
      <c r="AC421" s="87">
        <v>0</v>
      </c>
      <c r="AD421" s="62">
        <v>0</v>
      </c>
      <c r="AE421" s="90">
        <v>0</v>
      </c>
      <c r="AF421" s="90">
        <v>0</v>
      </c>
      <c r="AG421" s="91"/>
      <c r="AH421" s="91">
        <v>1</v>
      </c>
      <c r="AI421" s="91"/>
      <c r="AJ421" s="91"/>
      <c r="AK421" s="91"/>
      <c r="AL421" s="92">
        <v>1</v>
      </c>
      <c r="AM421" s="92"/>
      <c r="AN421" s="93"/>
      <c r="AO421" s="92"/>
      <c r="AQ421" t="s">
        <v>1334</v>
      </c>
      <c r="AS421">
        <v>1</v>
      </c>
    </row>
    <row r="422" spans="1:45">
      <c r="A422" s="8">
        <v>240033</v>
      </c>
      <c r="B422" s="8">
        <v>1001</v>
      </c>
      <c r="C422" s="8">
        <v>1</v>
      </c>
      <c r="D422" s="8">
        <v>3</v>
      </c>
      <c r="E422" t="s">
        <v>1336</v>
      </c>
      <c r="F422" s="13" t="s">
        <v>1336</v>
      </c>
      <c r="G422" t="s">
        <v>1337</v>
      </c>
      <c r="H422" t="s">
        <v>1329</v>
      </c>
      <c r="I422">
        <v>1</v>
      </c>
      <c r="J422" s="69">
        <v>2</v>
      </c>
      <c r="K422" s="87">
        <v>1</v>
      </c>
      <c r="L422" s="8">
        <v>999</v>
      </c>
      <c r="M422" s="8">
        <v>0</v>
      </c>
      <c r="N422" s="8"/>
      <c r="S422" s="89">
        <v>0</v>
      </c>
      <c r="T422" s="8">
        <v>5</v>
      </c>
      <c r="U422" s="89">
        <v>110</v>
      </c>
      <c r="V422" s="87">
        <v>1</v>
      </c>
      <c r="W422" s="8">
        <v>1</v>
      </c>
      <c r="X422" s="8">
        <v>1</v>
      </c>
      <c r="Y422">
        <v>0</v>
      </c>
      <c r="Z422" s="33">
        <v>0</v>
      </c>
      <c r="AA422">
        <v>5</v>
      </c>
      <c r="AB422" s="34">
        <v>4180</v>
      </c>
      <c r="AC422" s="87">
        <v>0</v>
      </c>
      <c r="AD422" s="62">
        <v>0</v>
      </c>
      <c r="AE422" s="90">
        <v>0</v>
      </c>
      <c r="AF422" s="90">
        <v>0</v>
      </c>
      <c r="AG422" s="91"/>
      <c r="AH422" s="91">
        <v>1</v>
      </c>
      <c r="AI422" s="91"/>
      <c r="AJ422" s="91"/>
      <c r="AK422" s="91"/>
      <c r="AL422" s="92">
        <v>1</v>
      </c>
      <c r="AM422" s="92"/>
      <c r="AN422" s="93"/>
      <c r="AO422" s="92"/>
      <c r="AQ422" t="s">
        <v>1336</v>
      </c>
      <c r="AS422">
        <v>1</v>
      </c>
    </row>
    <row r="423" spans="1:45">
      <c r="A423" s="8">
        <v>240034</v>
      </c>
      <c r="B423" s="8">
        <v>1001</v>
      </c>
      <c r="C423" s="8">
        <v>1</v>
      </c>
      <c r="D423" s="8">
        <v>3</v>
      </c>
      <c r="E423" t="s">
        <v>1338</v>
      </c>
      <c r="F423" s="13" t="s">
        <v>1338</v>
      </c>
      <c r="G423" t="s">
        <v>1339</v>
      </c>
      <c r="H423" t="s">
        <v>1329</v>
      </c>
      <c r="I423">
        <v>1</v>
      </c>
      <c r="J423" s="69">
        <v>2</v>
      </c>
      <c r="K423" s="87">
        <v>1</v>
      </c>
      <c r="L423" s="8">
        <v>999</v>
      </c>
      <c r="M423" s="8">
        <v>0</v>
      </c>
      <c r="N423" s="8"/>
      <c r="S423" s="89">
        <v>0</v>
      </c>
      <c r="T423" s="8">
        <v>5</v>
      </c>
      <c r="U423" s="89">
        <v>110</v>
      </c>
      <c r="V423" s="87">
        <v>1</v>
      </c>
      <c r="W423" s="8">
        <v>1</v>
      </c>
      <c r="X423" s="8">
        <v>1</v>
      </c>
      <c r="Y423">
        <v>0</v>
      </c>
      <c r="Z423" s="33">
        <v>0</v>
      </c>
      <c r="AA423">
        <v>5</v>
      </c>
      <c r="AB423" s="34">
        <v>4180</v>
      </c>
      <c r="AC423" s="87">
        <v>0</v>
      </c>
      <c r="AD423" s="62">
        <v>0</v>
      </c>
      <c r="AE423" s="90">
        <v>0</v>
      </c>
      <c r="AF423" s="90">
        <v>0</v>
      </c>
      <c r="AG423" s="91"/>
      <c r="AH423" s="91">
        <v>1</v>
      </c>
      <c r="AI423" s="91"/>
      <c r="AJ423" s="91"/>
      <c r="AK423" s="91"/>
      <c r="AL423" s="92">
        <v>1</v>
      </c>
      <c r="AM423" s="92"/>
      <c r="AN423" s="93"/>
      <c r="AO423" s="92"/>
      <c r="AQ423" t="s">
        <v>1338</v>
      </c>
      <c r="AS423">
        <v>1</v>
      </c>
    </row>
    <row r="424" spans="1:45">
      <c r="A424" s="8">
        <v>240035</v>
      </c>
      <c r="B424" s="8">
        <v>1001</v>
      </c>
      <c r="C424" s="8">
        <v>1</v>
      </c>
      <c r="D424" s="8">
        <v>3</v>
      </c>
      <c r="E424" t="s">
        <v>1340</v>
      </c>
      <c r="F424" s="13" t="s">
        <v>1340</v>
      </c>
      <c r="G424" t="s">
        <v>1341</v>
      </c>
      <c r="H424" t="s">
        <v>1323</v>
      </c>
      <c r="I424">
        <v>1</v>
      </c>
      <c r="J424" s="69">
        <v>2</v>
      </c>
      <c r="K424" s="87">
        <v>1</v>
      </c>
      <c r="L424" s="8">
        <v>999</v>
      </c>
      <c r="M424" s="8">
        <v>0</v>
      </c>
      <c r="N424" s="8"/>
      <c r="S424" s="89">
        <v>0</v>
      </c>
      <c r="T424" s="8">
        <v>5</v>
      </c>
      <c r="U424" s="89">
        <v>110</v>
      </c>
      <c r="V424" s="87">
        <v>1</v>
      </c>
      <c r="W424" s="8">
        <v>1</v>
      </c>
      <c r="X424" s="8">
        <v>1</v>
      </c>
      <c r="Y424">
        <v>0</v>
      </c>
      <c r="Z424" s="33">
        <v>0</v>
      </c>
      <c r="AA424">
        <v>5</v>
      </c>
      <c r="AB424" s="34">
        <v>4180</v>
      </c>
      <c r="AC424" s="87">
        <v>0</v>
      </c>
      <c r="AD424" s="62">
        <v>0</v>
      </c>
      <c r="AE424" s="90">
        <v>0</v>
      </c>
      <c r="AF424" s="90">
        <v>0</v>
      </c>
      <c r="AG424" s="91"/>
      <c r="AH424" s="91">
        <v>1</v>
      </c>
      <c r="AI424" s="91"/>
      <c r="AJ424" s="91"/>
      <c r="AK424" s="91"/>
      <c r="AL424" s="92">
        <v>1</v>
      </c>
      <c r="AM424" s="92"/>
      <c r="AN424" s="93"/>
      <c r="AO424" s="92"/>
      <c r="AQ424" t="s">
        <v>1340</v>
      </c>
      <c r="AS424">
        <v>1</v>
      </c>
    </row>
    <row r="425" spans="1:45">
      <c r="A425" s="8">
        <v>240036</v>
      </c>
      <c r="B425" s="8">
        <v>1001</v>
      </c>
      <c r="C425" s="8">
        <v>1</v>
      </c>
      <c r="D425" s="8">
        <v>3</v>
      </c>
      <c r="E425" t="s">
        <v>1342</v>
      </c>
      <c r="F425" s="13" t="s">
        <v>1342</v>
      </c>
      <c r="G425" t="s">
        <v>1343</v>
      </c>
      <c r="H425" t="s">
        <v>1329</v>
      </c>
      <c r="I425">
        <v>1</v>
      </c>
      <c r="J425" s="69">
        <v>2</v>
      </c>
      <c r="K425" s="87">
        <v>1</v>
      </c>
      <c r="L425" s="8">
        <v>999</v>
      </c>
      <c r="M425" s="8">
        <v>0</v>
      </c>
      <c r="N425" s="8"/>
      <c r="S425" s="89">
        <v>0</v>
      </c>
      <c r="T425" s="8">
        <v>5</v>
      </c>
      <c r="U425" s="89">
        <v>110</v>
      </c>
      <c r="V425" s="87">
        <v>1</v>
      </c>
      <c r="W425" s="8">
        <v>1</v>
      </c>
      <c r="X425" s="8">
        <v>1</v>
      </c>
      <c r="Y425">
        <v>0</v>
      </c>
      <c r="Z425" s="33">
        <v>0</v>
      </c>
      <c r="AA425">
        <v>5</v>
      </c>
      <c r="AB425" s="34">
        <v>4180</v>
      </c>
      <c r="AC425" s="87">
        <v>0</v>
      </c>
      <c r="AD425" s="62">
        <v>0</v>
      </c>
      <c r="AE425" s="90">
        <v>0</v>
      </c>
      <c r="AF425" s="90">
        <v>0</v>
      </c>
      <c r="AG425" s="91"/>
      <c r="AH425" s="91">
        <v>1</v>
      </c>
      <c r="AI425" s="91"/>
      <c r="AJ425" s="91"/>
      <c r="AK425" s="91"/>
      <c r="AL425" s="92">
        <v>1</v>
      </c>
      <c r="AM425" s="92"/>
      <c r="AN425" s="93"/>
      <c r="AO425" s="92"/>
      <c r="AQ425" t="s">
        <v>1342</v>
      </c>
      <c r="AS425">
        <v>1</v>
      </c>
    </row>
    <row r="426" spans="1:45">
      <c r="A426" s="8">
        <v>240037</v>
      </c>
      <c r="B426" s="8">
        <v>1001</v>
      </c>
      <c r="C426" s="8">
        <v>1</v>
      </c>
      <c r="D426" s="8">
        <v>3</v>
      </c>
      <c r="E426" t="s">
        <v>1344</v>
      </c>
      <c r="F426" s="13" t="s">
        <v>1344</v>
      </c>
      <c r="G426" t="s">
        <v>1345</v>
      </c>
      <c r="H426" t="s">
        <v>1329</v>
      </c>
      <c r="I426">
        <v>1</v>
      </c>
      <c r="J426" s="69">
        <v>2</v>
      </c>
      <c r="K426" s="87">
        <v>1</v>
      </c>
      <c r="L426" s="8">
        <v>999</v>
      </c>
      <c r="M426" s="8">
        <v>0</v>
      </c>
      <c r="N426" s="8"/>
      <c r="S426" s="89">
        <v>0</v>
      </c>
      <c r="T426" s="8">
        <v>5</v>
      </c>
      <c r="U426" s="89">
        <v>110</v>
      </c>
      <c r="V426" s="87">
        <v>1</v>
      </c>
      <c r="W426" s="8">
        <v>1</v>
      </c>
      <c r="X426" s="8">
        <v>1</v>
      </c>
      <c r="Y426">
        <v>0</v>
      </c>
      <c r="Z426" s="33">
        <v>0</v>
      </c>
      <c r="AA426">
        <v>5</v>
      </c>
      <c r="AB426" s="34">
        <v>4180</v>
      </c>
      <c r="AC426" s="87">
        <v>0</v>
      </c>
      <c r="AD426" s="62">
        <v>0</v>
      </c>
      <c r="AE426" s="90">
        <v>0</v>
      </c>
      <c r="AF426" s="90">
        <v>0</v>
      </c>
      <c r="AG426" s="91"/>
      <c r="AH426" s="91">
        <v>1</v>
      </c>
      <c r="AI426" s="91"/>
      <c r="AJ426" s="91"/>
      <c r="AK426" s="91"/>
      <c r="AL426" s="92">
        <v>1</v>
      </c>
      <c r="AM426" s="92"/>
      <c r="AN426" s="93"/>
      <c r="AO426" s="92"/>
      <c r="AQ426" t="s">
        <v>1344</v>
      </c>
      <c r="AS426">
        <v>1</v>
      </c>
    </row>
    <row r="427" spans="1:45">
      <c r="A427" s="8">
        <v>240038</v>
      </c>
      <c r="B427" s="8">
        <v>1001</v>
      </c>
      <c r="C427" s="8">
        <v>1</v>
      </c>
      <c r="D427" s="8">
        <v>3</v>
      </c>
      <c r="E427" t="s">
        <v>1346</v>
      </c>
      <c r="F427" s="13" t="s">
        <v>1346</v>
      </c>
      <c r="G427" t="s">
        <v>1347</v>
      </c>
      <c r="H427" t="s">
        <v>1329</v>
      </c>
      <c r="I427">
        <v>1</v>
      </c>
      <c r="J427" s="69">
        <v>2</v>
      </c>
      <c r="K427" s="87">
        <v>1</v>
      </c>
      <c r="L427" s="8">
        <v>999</v>
      </c>
      <c r="M427" s="8">
        <v>0</v>
      </c>
      <c r="N427" s="8"/>
      <c r="S427" s="89">
        <v>0</v>
      </c>
      <c r="T427" s="8">
        <v>5</v>
      </c>
      <c r="U427" s="89">
        <v>110</v>
      </c>
      <c r="V427" s="87">
        <v>1</v>
      </c>
      <c r="W427" s="8">
        <v>1</v>
      </c>
      <c r="X427" s="8">
        <v>1</v>
      </c>
      <c r="Y427">
        <v>0</v>
      </c>
      <c r="Z427" s="33">
        <v>0</v>
      </c>
      <c r="AA427">
        <v>5</v>
      </c>
      <c r="AB427" s="34">
        <v>4180</v>
      </c>
      <c r="AC427" s="87">
        <v>0</v>
      </c>
      <c r="AD427" s="62">
        <v>0</v>
      </c>
      <c r="AE427" s="90">
        <v>0</v>
      </c>
      <c r="AF427" s="90">
        <v>0</v>
      </c>
      <c r="AG427" s="91"/>
      <c r="AH427" s="91">
        <v>1</v>
      </c>
      <c r="AI427" s="91"/>
      <c r="AJ427" s="91"/>
      <c r="AK427" s="91"/>
      <c r="AL427" s="92">
        <v>1</v>
      </c>
      <c r="AM427" s="92"/>
      <c r="AN427" s="93"/>
      <c r="AO427" s="92"/>
      <c r="AQ427" t="s">
        <v>1346</v>
      </c>
      <c r="AS427">
        <v>1</v>
      </c>
    </row>
    <row r="428" spans="1:45">
      <c r="A428" s="8">
        <v>240039</v>
      </c>
      <c r="B428" s="8">
        <v>1001</v>
      </c>
      <c r="C428" s="8">
        <v>1</v>
      </c>
      <c r="D428" s="8">
        <v>3</v>
      </c>
      <c r="E428" t="s">
        <v>1348</v>
      </c>
      <c r="F428" s="13" t="s">
        <v>1348</v>
      </c>
      <c r="G428" t="s">
        <v>1349</v>
      </c>
      <c r="H428" t="s">
        <v>1329</v>
      </c>
      <c r="I428">
        <v>1</v>
      </c>
      <c r="J428" s="69">
        <v>2</v>
      </c>
      <c r="K428" s="87">
        <v>1</v>
      </c>
      <c r="L428" s="8">
        <v>999</v>
      </c>
      <c r="M428" s="8">
        <v>0</v>
      </c>
      <c r="N428" s="8"/>
      <c r="S428" s="89">
        <v>0</v>
      </c>
      <c r="T428" s="8">
        <v>5</v>
      </c>
      <c r="U428" s="89">
        <v>110</v>
      </c>
      <c r="V428" s="87">
        <v>1</v>
      </c>
      <c r="W428" s="8">
        <v>1</v>
      </c>
      <c r="X428" s="8">
        <v>1</v>
      </c>
      <c r="Y428">
        <v>0</v>
      </c>
      <c r="Z428" s="33">
        <v>0</v>
      </c>
      <c r="AA428">
        <v>5</v>
      </c>
      <c r="AB428" s="34">
        <v>4180</v>
      </c>
      <c r="AC428" s="87">
        <v>0</v>
      </c>
      <c r="AD428" s="62">
        <v>0</v>
      </c>
      <c r="AE428" s="90">
        <v>0</v>
      </c>
      <c r="AF428" s="90">
        <v>0</v>
      </c>
      <c r="AG428" s="91"/>
      <c r="AH428" s="91">
        <v>1</v>
      </c>
      <c r="AI428" s="91"/>
      <c r="AJ428" s="91"/>
      <c r="AK428" s="91"/>
      <c r="AL428" s="92">
        <v>1</v>
      </c>
      <c r="AM428" s="92"/>
      <c r="AN428" s="93"/>
      <c r="AO428" s="92"/>
      <c r="AQ428" t="s">
        <v>1348</v>
      </c>
      <c r="AS428">
        <v>1</v>
      </c>
    </row>
    <row r="429" spans="1:45">
      <c r="A429" s="8">
        <v>240040</v>
      </c>
      <c r="B429" s="8">
        <v>1001</v>
      </c>
      <c r="C429" s="8">
        <v>1</v>
      </c>
      <c r="D429" s="8">
        <v>3</v>
      </c>
      <c r="E429" t="s">
        <v>1350</v>
      </c>
      <c r="F429" s="13" t="s">
        <v>1351</v>
      </c>
      <c r="G429" t="s">
        <v>1351</v>
      </c>
      <c r="H429" t="s">
        <v>1329</v>
      </c>
      <c r="I429">
        <v>1</v>
      </c>
      <c r="J429" s="69">
        <v>2</v>
      </c>
      <c r="K429" s="87">
        <v>1</v>
      </c>
      <c r="L429" s="8">
        <v>999</v>
      </c>
      <c r="M429" s="8">
        <v>0</v>
      </c>
      <c r="N429" s="8"/>
      <c r="S429" s="89">
        <v>0</v>
      </c>
      <c r="T429" s="8">
        <v>5</v>
      </c>
      <c r="U429" s="89">
        <v>110</v>
      </c>
      <c r="V429" s="87">
        <v>1</v>
      </c>
      <c r="W429" s="8">
        <v>1</v>
      </c>
      <c r="X429" s="8">
        <v>1</v>
      </c>
      <c r="Y429">
        <v>0</v>
      </c>
      <c r="Z429" s="33">
        <v>0</v>
      </c>
      <c r="AA429">
        <v>5</v>
      </c>
      <c r="AB429" s="34">
        <v>4180</v>
      </c>
      <c r="AC429" s="87">
        <v>0</v>
      </c>
      <c r="AD429" s="62">
        <v>0</v>
      </c>
      <c r="AE429" s="90">
        <v>0</v>
      </c>
      <c r="AF429" s="90">
        <v>0</v>
      </c>
      <c r="AG429" s="91"/>
      <c r="AH429" s="91">
        <v>1</v>
      </c>
      <c r="AI429" s="91"/>
      <c r="AJ429" s="91"/>
      <c r="AK429" s="91"/>
      <c r="AL429" s="92">
        <v>1</v>
      </c>
      <c r="AM429" s="92"/>
      <c r="AN429" s="93"/>
      <c r="AO429" s="92"/>
      <c r="AQ429" t="s">
        <v>1350</v>
      </c>
      <c r="AS429">
        <v>1</v>
      </c>
    </row>
    <row r="430" spans="1:45">
      <c r="A430" s="8">
        <v>240041</v>
      </c>
      <c r="B430" s="8">
        <v>1001</v>
      </c>
      <c r="C430" s="8">
        <v>1</v>
      </c>
      <c r="D430" s="8">
        <v>3</v>
      </c>
      <c r="E430" t="s">
        <v>1352</v>
      </c>
      <c r="F430" s="13" t="s">
        <v>1352</v>
      </c>
      <c r="G430" t="s">
        <v>1353</v>
      </c>
      <c r="H430" t="s">
        <v>1329</v>
      </c>
      <c r="I430">
        <v>1</v>
      </c>
      <c r="J430" s="69">
        <v>2</v>
      </c>
      <c r="K430" s="87">
        <v>1</v>
      </c>
      <c r="L430" s="8">
        <v>999</v>
      </c>
      <c r="M430" s="8">
        <v>0</v>
      </c>
      <c r="N430" s="8"/>
      <c r="S430" s="89">
        <v>0</v>
      </c>
      <c r="T430" s="8">
        <v>5</v>
      </c>
      <c r="U430" s="89">
        <v>110</v>
      </c>
      <c r="V430" s="87">
        <v>1</v>
      </c>
      <c r="W430" s="8">
        <v>1</v>
      </c>
      <c r="X430" s="8">
        <v>1</v>
      </c>
      <c r="Y430">
        <v>0</v>
      </c>
      <c r="Z430" s="33">
        <v>0</v>
      </c>
      <c r="AA430">
        <v>5</v>
      </c>
      <c r="AB430" s="34">
        <v>4180</v>
      </c>
      <c r="AC430" s="87">
        <v>0</v>
      </c>
      <c r="AD430" s="62">
        <v>0</v>
      </c>
      <c r="AE430" s="90">
        <v>0</v>
      </c>
      <c r="AF430" s="90">
        <v>0</v>
      </c>
      <c r="AG430" s="91"/>
      <c r="AH430" s="91">
        <v>1</v>
      </c>
      <c r="AI430" s="91"/>
      <c r="AJ430" s="91"/>
      <c r="AK430" s="91"/>
      <c r="AL430" s="92">
        <v>1</v>
      </c>
      <c r="AM430" s="92"/>
      <c r="AN430" s="93"/>
      <c r="AO430" s="92"/>
      <c r="AQ430" t="s">
        <v>1352</v>
      </c>
      <c r="AS430">
        <v>1</v>
      </c>
    </row>
    <row r="431" spans="1:45">
      <c r="A431" s="8">
        <v>240042</v>
      </c>
      <c r="B431" s="8">
        <v>1001</v>
      </c>
      <c r="C431" s="8">
        <v>1</v>
      </c>
      <c r="D431" s="8">
        <v>3</v>
      </c>
      <c r="E431" t="s">
        <v>1354</v>
      </c>
      <c r="F431" s="13" t="s">
        <v>1354</v>
      </c>
      <c r="G431" t="s">
        <v>1355</v>
      </c>
      <c r="H431" t="s">
        <v>1329</v>
      </c>
      <c r="I431">
        <v>1</v>
      </c>
      <c r="J431" s="69">
        <v>2</v>
      </c>
      <c r="K431" s="87">
        <v>1</v>
      </c>
      <c r="L431" s="8">
        <v>999</v>
      </c>
      <c r="M431" s="8">
        <v>0</v>
      </c>
      <c r="N431" s="8"/>
      <c r="S431" s="89">
        <v>0</v>
      </c>
      <c r="T431" s="8">
        <v>5</v>
      </c>
      <c r="U431" s="89">
        <v>110</v>
      </c>
      <c r="V431" s="87">
        <v>1</v>
      </c>
      <c r="W431" s="8">
        <v>1</v>
      </c>
      <c r="X431" s="8">
        <v>1</v>
      </c>
      <c r="Y431">
        <v>0</v>
      </c>
      <c r="Z431" s="33">
        <v>0</v>
      </c>
      <c r="AA431">
        <v>5</v>
      </c>
      <c r="AB431" s="34">
        <v>4180</v>
      </c>
      <c r="AC431" s="87">
        <v>0</v>
      </c>
      <c r="AD431" s="62">
        <v>0</v>
      </c>
      <c r="AE431" s="90">
        <v>0</v>
      </c>
      <c r="AF431" s="90">
        <v>0</v>
      </c>
      <c r="AG431" s="91"/>
      <c r="AH431" s="91">
        <v>1</v>
      </c>
      <c r="AI431" s="91"/>
      <c r="AJ431" s="91"/>
      <c r="AK431" s="91"/>
      <c r="AL431" s="92">
        <v>1</v>
      </c>
      <c r="AM431" s="92"/>
      <c r="AN431" s="93"/>
      <c r="AO431" s="92"/>
      <c r="AQ431" t="s">
        <v>1354</v>
      </c>
      <c r="AS431">
        <v>1</v>
      </c>
    </row>
    <row r="432" spans="1:45">
      <c r="A432" s="8">
        <v>240043</v>
      </c>
      <c r="B432" s="8">
        <v>1001</v>
      </c>
      <c r="C432" s="8">
        <v>1</v>
      </c>
      <c r="D432" s="8">
        <v>3</v>
      </c>
      <c r="E432" t="s">
        <v>1356</v>
      </c>
      <c r="F432" s="13" t="s">
        <v>1356</v>
      </c>
      <c r="G432" t="s">
        <v>1357</v>
      </c>
      <c r="H432" t="s">
        <v>1329</v>
      </c>
      <c r="I432">
        <v>1</v>
      </c>
      <c r="J432" s="69">
        <v>2</v>
      </c>
      <c r="K432" s="87">
        <v>1</v>
      </c>
      <c r="L432" s="8">
        <v>999</v>
      </c>
      <c r="M432" s="8">
        <v>0</v>
      </c>
      <c r="N432" s="8"/>
      <c r="S432" s="89">
        <v>0</v>
      </c>
      <c r="T432" s="8">
        <v>5</v>
      </c>
      <c r="U432" s="89">
        <v>110</v>
      </c>
      <c r="V432" s="87">
        <v>1</v>
      </c>
      <c r="W432" s="8">
        <v>1</v>
      </c>
      <c r="X432" s="8">
        <v>1</v>
      </c>
      <c r="Y432">
        <v>0</v>
      </c>
      <c r="Z432" s="33">
        <v>0</v>
      </c>
      <c r="AA432">
        <v>5</v>
      </c>
      <c r="AB432" s="34">
        <v>4180</v>
      </c>
      <c r="AC432" s="87">
        <v>0</v>
      </c>
      <c r="AD432" s="62">
        <v>0</v>
      </c>
      <c r="AE432" s="90">
        <v>0</v>
      </c>
      <c r="AF432" s="90">
        <v>0</v>
      </c>
      <c r="AG432" s="91"/>
      <c r="AH432" s="91">
        <v>1</v>
      </c>
      <c r="AI432" s="91"/>
      <c r="AJ432" s="91"/>
      <c r="AK432" s="91"/>
      <c r="AL432" s="92">
        <v>1</v>
      </c>
      <c r="AM432" s="92"/>
      <c r="AN432" s="93"/>
      <c r="AO432" s="92"/>
      <c r="AQ432" t="s">
        <v>1356</v>
      </c>
      <c r="AS432">
        <v>1</v>
      </c>
    </row>
    <row r="433" spans="1:45">
      <c r="A433" s="8">
        <v>240044</v>
      </c>
      <c r="B433" s="8">
        <v>1001</v>
      </c>
      <c r="C433" s="8">
        <v>1</v>
      </c>
      <c r="D433" s="8">
        <v>3</v>
      </c>
      <c r="E433" t="s">
        <v>1358</v>
      </c>
      <c r="F433" s="13" t="s">
        <v>1358</v>
      </c>
      <c r="G433" t="s">
        <v>1359</v>
      </c>
      <c r="H433" t="s">
        <v>1329</v>
      </c>
      <c r="I433">
        <v>1</v>
      </c>
      <c r="J433" s="69">
        <v>2</v>
      </c>
      <c r="K433" s="87">
        <v>1</v>
      </c>
      <c r="L433" s="8">
        <v>999</v>
      </c>
      <c r="M433" s="8">
        <v>0</v>
      </c>
      <c r="N433" s="8"/>
      <c r="S433" s="89">
        <v>0</v>
      </c>
      <c r="T433" s="8">
        <v>5</v>
      </c>
      <c r="U433" s="89">
        <v>110</v>
      </c>
      <c r="V433" s="87">
        <v>1</v>
      </c>
      <c r="W433" s="8">
        <v>1</v>
      </c>
      <c r="X433" s="8">
        <v>1</v>
      </c>
      <c r="Y433">
        <v>0</v>
      </c>
      <c r="Z433" s="33">
        <v>0</v>
      </c>
      <c r="AA433">
        <v>5</v>
      </c>
      <c r="AB433" s="34">
        <v>4180</v>
      </c>
      <c r="AC433" s="87">
        <v>0</v>
      </c>
      <c r="AD433" s="62">
        <v>0</v>
      </c>
      <c r="AE433" s="90">
        <v>0</v>
      </c>
      <c r="AF433" s="90">
        <v>0</v>
      </c>
      <c r="AG433" s="91"/>
      <c r="AH433" s="91">
        <v>1</v>
      </c>
      <c r="AI433" s="91"/>
      <c r="AJ433" s="91"/>
      <c r="AK433" s="91"/>
      <c r="AL433" s="92">
        <v>1</v>
      </c>
      <c r="AM433" s="92"/>
      <c r="AN433" s="93"/>
      <c r="AO433" s="92"/>
      <c r="AQ433" t="s">
        <v>1358</v>
      </c>
      <c r="AS433">
        <v>1</v>
      </c>
    </row>
    <row r="434" spans="1:45">
      <c r="A434" s="8">
        <v>240045</v>
      </c>
      <c r="B434" s="8">
        <v>1001</v>
      </c>
      <c r="C434" s="8">
        <v>1</v>
      </c>
      <c r="D434" s="8">
        <v>3</v>
      </c>
      <c r="E434" t="s">
        <v>1352</v>
      </c>
      <c r="F434" s="13" t="s">
        <v>1352</v>
      </c>
      <c r="G434" t="s">
        <v>1353</v>
      </c>
      <c r="H434" t="s">
        <v>1329</v>
      </c>
      <c r="I434">
        <v>1</v>
      </c>
      <c r="J434" s="69">
        <v>2</v>
      </c>
      <c r="K434" s="87">
        <v>1</v>
      </c>
      <c r="L434" s="8">
        <v>999</v>
      </c>
      <c r="M434" s="8">
        <v>0</v>
      </c>
      <c r="N434" s="8"/>
      <c r="S434" s="89">
        <v>0</v>
      </c>
      <c r="T434" s="8">
        <v>5</v>
      </c>
      <c r="U434" s="89">
        <v>110</v>
      </c>
      <c r="V434" s="87">
        <v>1</v>
      </c>
      <c r="W434" s="8">
        <v>1</v>
      </c>
      <c r="X434" s="8">
        <v>1</v>
      </c>
      <c r="Y434">
        <v>0</v>
      </c>
      <c r="Z434" s="33">
        <v>0</v>
      </c>
      <c r="AA434">
        <v>5</v>
      </c>
      <c r="AB434" s="34">
        <v>4180</v>
      </c>
      <c r="AC434" s="87">
        <v>0</v>
      </c>
      <c r="AD434" s="62">
        <v>0</v>
      </c>
      <c r="AE434" s="90">
        <v>0</v>
      </c>
      <c r="AF434" s="90">
        <v>0</v>
      </c>
      <c r="AG434" s="91"/>
      <c r="AH434" s="91">
        <v>1</v>
      </c>
      <c r="AI434" s="91"/>
      <c r="AJ434" s="91"/>
      <c r="AK434" s="91"/>
      <c r="AL434" s="92">
        <v>1</v>
      </c>
      <c r="AM434" s="92"/>
      <c r="AN434" s="93"/>
      <c r="AO434" s="92"/>
      <c r="AQ434" t="s">
        <v>1352</v>
      </c>
      <c r="AS434">
        <v>1</v>
      </c>
    </row>
    <row r="435" spans="1:45">
      <c r="A435" s="8">
        <v>240046</v>
      </c>
      <c r="B435" s="8">
        <v>1001</v>
      </c>
      <c r="C435" s="8">
        <v>1</v>
      </c>
      <c r="D435" s="8">
        <v>3</v>
      </c>
      <c r="E435" t="s">
        <v>1354</v>
      </c>
      <c r="F435" s="13" t="s">
        <v>1354</v>
      </c>
      <c r="G435" t="s">
        <v>1355</v>
      </c>
      <c r="H435" t="s">
        <v>1329</v>
      </c>
      <c r="I435">
        <v>1</v>
      </c>
      <c r="J435" s="69">
        <v>2</v>
      </c>
      <c r="K435" s="87">
        <v>1</v>
      </c>
      <c r="L435" s="8">
        <v>999</v>
      </c>
      <c r="M435" s="8">
        <v>0</v>
      </c>
      <c r="N435" s="8"/>
      <c r="S435" s="89">
        <v>0</v>
      </c>
      <c r="T435" s="8">
        <v>5</v>
      </c>
      <c r="U435" s="89">
        <v>110</v>
      </c>
      <c r="V435" s="87">
        <v>1</v>
      </c>
      <c r="W435" s="8">
        <v>1</v>
      </c>
      <c r="X435" s="8">
        <v>1</v>
      </c>
      <c r="Y435">
        <v>0</v>
      </c>
      <c r="Z435" s="33">
        <v>0</v>
      </c>
      <c r="AA435">
        <v>5</v>
      </c>
      <c r="AB435" s="34">
        <v>4180</v>
      </c>
      <c r="AC435" s="87">
        <v>0</v>
      </c>
      <c r="AD435" s="62">
        <v>0</v>
      </c>
      <c r="AE435" s="90">
        <v>0</v>
      </c>
      <c r="AF435" s="90">
        <v>0</v>
      </c>
      <c r="AG435" s="91"/>
      <c r="AH435" s="91">
        <v>1</v>
      </c>
      <c r="AI435" s="91"/>
      <c r="AJ435" s="91"/>
      <c r="AK435" s="91"/>
      <c r="AL435" s="92">
        <v>1</v>
      </c>
      <c r="AM435" s="92"/>
      <c r="AN435" s="93"/>
      <c r="AO435" s="92"/>
      <c r="AQ435" t="s">
        <v>1354</v>
      </c>
      <c r="AS435">
        <v>1</v>
      </c>
    </row>
    <row r="436" spans="1:45">
      <c r="A436" s="8">
        <v>240047</v>
      </c>
      <c r="B436" s="8">
        <v>1001</v>
      </c>
      <c r="C436" s="8">
        <v>1</v>
      </c>
      <c r="D436" s="8">
        <v>3</v>
      </c>
      <c r="E436" t="s">
        <v>1360</v>
      </c>
      <c r="F436" s="13" t="s">
        <v>1360</v>
      </c>
      <c r="G436" t="s">
        <v>1361</v>
      </c>
      <c r="H436" t="s">
        <v>1329</v>
      </c>
      <c r="I436">
        <v>1</v>
      </c>
      <c r="J436" s="69">
        <v>2</v>
      </c>
      <c r="K436" s="87">
        <v>1</v>
      </c>
      <c r="L436" s="8">
        <v>999</v>
      </c>
      <c r="M436" s="8">
        <v>0</v>
      </c>
      <c r="N436" s="8"/>
      <c r="S436" s="89">
        <v>0</v>
      </c>
      <c r="T436" s="8">
        <v>5</v>
      </c>
      <c r="U436" s="89">
        <v>110</v>
      </c>
      <c r="V436" s="87">
        <v>1</v>
      </c>
      <c r="W436" s="8">
        <v>1</v>
      </c>
      <c r="X436" s="8">
        <v>1</v>
      </c>
      <c r="Y436">
        <v>0</v>
      </c>
      <c r="Z436" s="33">
        <v>0</v>
      </c>
      <c r="AA436">
        <v>5</v>
      </c>
      <c r="AB436" s="34">
        <v>4180</v>
      </c>
      <c r="AC436" s="87">
        <v>0</v>
      </c>
      <c r="AD436" s="62">
        <v>0</v>
      </c>
      <c r="AE436" s="90">
        <v>0</v>
      </c>
      <c r="AF436" s="90">
        <v>0</v>
      </c>
      <c r="AG436" s="91"/>
      <c r="AH436" s="91">
        <v>1</v>
      </c>
      <c r="AI436" s="91"/>
      <c r="AJ436" s="91"/>
      <c r="AK436" s="91"/>
      <c r="AL436" s="92">
        <v>1</v>
      </c>
      <c r="AM436" s="92"/>
      <c r="AN436" s="93"/>
      <c r="AO436" s="92"/>
      <c r="AQ436" t="s">
        <v>1360</v>
      </c>
      <c r="AS436">
        <v>1</v>
      </c>
    </row>
    <row r="437" spans="1:45">
      <c r="A437" s="8">
        <v>240048</v>
      </c>
      <c r="B437" s="8">
        <v>1001</v>
      </c>
      <c r="C437" s="8">
        <v>1</v>
      </c>
      <c r="D437" s="8">
        <v>3</v>
      </c>
      <c r="E437" t="s">
        <v>1362</v>
      </c>
      <c r="F437" s="13" t="s">
        <v>1362</v>
      </c>
      <c r="G437" t="s">
        <v>1363</v>
      </c>
      <c r="H437" t="s">
        <v>1364</v>
      </c>
      <c r="I437">
        <v>1</v>
      </c>
      <c r="J437" s="69">
        <v>2</v>
      </c>
      <c r="K437" s="87">
        <v>1</v>
      </c>
      <c r="L437" s="8">
        <v>999</v>
      </c>
      <c r="M437" s="8">
        <v>0</v>
      </c>
      <c r="N437" s="8"/>
      <c r="S437" s="89">
        <v>0</v>
      </c>
      <c r="T437" s="8">
        <v>5</v>
      </c>
      <c r="U437" s="89">
        <v>110</v>
      </c>
      <c r="V437" s="87">
        <v>1</v>
      </c>
      <c r="W437" s="8">
        <v>1</v>
      </c>
      <c r="X437" s="8">
        <v>1</v>
      </c>
      <c r="Y437">
        <v>0</v>
      </c>
      <c r="Z437" s="33">
        <v>0</v>
      </c>
      <c r="AA437">
        <v>5</v>
      </c>
      <c r="AB437" s="34">
        <v>4180</v>
      </c>
      <c r="AC437" s="87">
        <v>0</v>
      </c>
      <c r="AD437" s="62">
        <v>0</v>
      </c>
      <c r="AE437" s="90">
        <v>0</v>
      </c>
      <c r="AF437" s="90">
        <v>0</v>
      </c>
      <c r="AG437" s="91"/>
      <c r="AH437" s="91">
        <v>1</v>
      </c>
      <c r="AI437" s="91"/>
      <c r="AJ437" s="91"/>
      <c r="AK437" s="91"/>
      <c r="AL437" s="92">
        <v>1</v>
      </c>
      <c r="AM437" s="92"/>
      <c r="AN437" s="93"/>
      <c r="AO437" s="92"/>
      <c r="AQ437" t="s">
        <v>1362</v>
      </c>
      <c r="AS437">
        <v>1</v>
      </c>
    </row>
    <row r="438" spans="1:45">
      <c r="A438" s="8">
        <v>240049</v>
      </c>
      <c r="B438" s="8">
        <v>1001</v>
      </c>
      <c r="C438" s="8">
        <v>1</v>
      </c>
      <c r="D438" s="8">
        <v>3</v>
      </c>
      <c r="E438" t="s">
        <v>1365</v>
      </c>
      <c r="F438" s="13" t="s">
        <v>1365</v>
      </c>
      <c r="G438" t="s">
        <v>1366</v>
      </c>
      <c r="H438" t="s">
        <v>1367</v>
      </c>
      <c r="I438">
        <v>1</v>
      </c>
      <c r="J438" s="69">
        <v>2</v>
      </c>
      <c r="K438" s="87">
        <v>1</v>
      </c>
      <c r="L438" s="8">
        <v>999</v>
      </c>
      <c r="M438" s="8">
        <v>0</v>
      </c>
      <c r="N438" s="8"/>
      <c r="S438" s="89">
        <v>0</v>
      </c>
      <c r="T438" s="8">
        <v>5</v>
      </c>
      <c r="U438" s="89">
        <v>110</v>
      </c>
      <c r="V438" s="87">
        <v>1</v>
      </c>
      <c r="W438" s="8">
        <v>1</v>
      </c>
      <c r="X438" s="8">
        <v>1</v>
      </c>
      <c r="Y438">
        <v>0</v>
      </c>
      <c r="Z438" s="33">
        <v>0</v>
      </c>
      <c r="AA438">
        <v>5</v>
      </c>
      <c r="AB438" s="34">
        <v>4180</v>
      </c>
      <c r="AC438" s="87">
        <v>0</v>
      </c>
      <c r="AD438" s="62">
        <v>0</v>
      </c>
      <c r="AE438" s="90">
        <v>0</v>
      </c>
      <c r="AF438" s="90">
        <v>0</v>
      </c>
      <c r="AG438" s="91"/>
      <c r="AH438" s="91">
        <v>1</v>
      </c>
      <c r="AI438" s="91"/>
      <c r="AJ438" s="91"/>
      <c r="AK438" s="91"/>
      <c r="AL438" s="92">
        <v>1</v>
      </c>
      <c r="AM438" s="92"/>
      <c r="AN438" s="93"/>
      <c r="AO438" s="92"/>
      <c r="AQ438" t="s">
        <v>1365</v>
      </c>
      <c r="AS438">
        <v>1</v>
      </c>
    </row>
    <row r="439" spans="1:45">
      <c r="A439" s="8">
        <v>240050</v>
      </c>
      <c r="B439" s="8">
        <v>1001</v>
      </c>
      <c r="C439" s="8">
        <v>1</v>
      </c>
      <c r="D439" s="8">
        <v>3</v>
      </c>
      <c r="E439" t="s">
        <v>1368</v>
      </c>
      <c r="F439" s="13" t="s">
        <v>1368</v>
      </c>
      <c r="G439" t="s">
        <v>1368</v>
      </c>
      <c r="H439" t="s">
        <v>1369</v>
      </c>
      <c r="I439">
        <v>1</v>
      </c>
      <c r="J439" s="69">
        <v>2</v>
      </c>
      <c r="K439" s="87">
        <v>1</v>
      </c>
      <c r="L439" s="8">
        <v>999</v>
      </c>
      <c r="M439" s="8">
        <v>0</v>
      </c>
      <c r="N439" s="8"/>
      <c r="S439" s="89">
        <v>0</v>
      </c>
      <c r="T439" s="8">
        <v>5</v>
      </c>
      <c r="U439" s="89">
        <v>110</v>
      </c>
      <c r="V439" s="87">
        <v>1</v>
      </c>
      <c r="W439" s="8">
        <v>1</v>
      </c>
      <c r="X439" s="8">
        <v>1</v>
      </c>
      <c r="Y439">
        <v>0</v>
      </c>
      <c r="Z439" s="33">
        <v>0</v>
      </c>
      <c r="AA439">
        <v>5</v>
      </c>
      <c r="AB439" s="34">
        <v>4180</v>
      </c>
      <c r="AC439" s="87">
        <v>0</v>
      </c>
      <c r="AD439" s="62">
        <v>0</v>
      </c>
      <c r="AE439" s="90">
        <v>0</v>
      </c>
      <c r="AF439" s="90">
        <v>0</v>
      </c>
      <c r="AG439" s="91"/>
      <c r="AH439" s="91">
        <v>1</v>
      </c>
      <c r="AI439" s="91"/>
      <c r="AJ439" s="91"/>
      <c r="AK439" s="91"/>
      <c r="AL439" s="92">
        <v>1</v>
      </c>
      <c r="AM439" s="92"/>
      <c r="AN439" s="93"/>
      <c r="AO439" s="92"/>
      <c r="AQ439" t="s">
        <v>1368</v>
      </c>
      <c r="AS439">
        <v>1</v>
      </c>
    </row>
    <row r="440" spans="1:45">
      <c r="A440" s="8">
        <v>240051</v>
      </c>
      <c r="B440" s="8">
        <v>1001</v>
      </c>
      <c r="C440" s="8">
        <v>1</v>
      </c>
      <c r="D440" s="8">
        <v>3</v>
      </c>
      <c r="E440" t="s">
        <v>1370</v>
      </c>
      <c r="F440" s="13" t="s">
        <v>1370</v>
      </c>
      <c r="G440" t="s">
        <v>1371</v>
      </c>
      <c r="H440" t="s">
        <v>1329</v>
      </c>
      <c r="I440">
        <v>1</v>
      </c>
      <c r="J440" s="69">
        <v>2</v>
      </c>
      <c r="K440" s="87">
        <v>1</v>
      </c>
      <c r="L440" s="8">
        <v>999</v>
      </c>
      <c r="M440" s="8">
        <v>0</v>
      </c>
      <c r="N440" s="8"/>
      <c r="S440" s="89">
        <v>0</v>
      </c>
      <c r="T440" s="8">
        <v>5</v>
      </c>
      <c r="U440" s="89">
        <v>110</v>
      </c>
      <c r="V440" s="87">
        <v>1</v>
      </c>
      <c r="W440" s="8">
        <v>1</v>
      </c>
      <c r="X440" s="8">
        <v>1</v>
      </c>
      <c r="Y440">
        <v>0</v>
      </c>
      <c r="Z440" s="33">
        <v>0</v>
      </c>
      <c r="AA440">
        <v>5</v>
      </c>
      <c r="AB440" s="34">
        <v>4180</v>
      </c>
      <c r="AC440" s="87">
        <v>0</v>
      </c>
      <c r="AD440" s="62">
        <v>0</v>
      </c>
      <c r="AE440" s="90">
        <v>0</v>
      </c>
      <c r="AF440" s="90">
        <v>0</v>
      </c>
      <c r="AG440" s="91"/>
      <c r="AH440" s="91">
        <v>1</v>
      </c>
      <c r="AI440" s="91"/>
      <c r="AJ440" s="91"/>
      <c r="AK440" s="91"/>
      <c r="AL440" s="92">
        <v>1</v>
      </c>
      <c r="AM440" s="92"/>
      <c r="AN440" s="93"/>
      <c r="AO440" s="92"/>
      <c r="AQ440" t="s">
        <v>1370</v>
      </c>
      <c r="AS440">
        <v>1</v>
      </c>
    </row>
    <row r="441" spans="1:45">
      <c r="A441" s="8">
        <v>240052</v>
      </c>
      <c r="B441" s="8">
        <v>1001</v>
      </c>
      <c r="C441" s="8">
        <v>1</v>
      </c>
      <c r="D441" s="8">
        <v>3</v>
      </c>
      <c r="E441" t="s">
        <v>1362</v>
      </c>
      <c r="F441" s="13" t="s">
        <v>1362</v>
      </c>
      <c r="G441" t="s">
        <v>1363</v>
      </c>
      <c r="H441" t="s">
        <v>1364</v>
      </c>
      <c r="I441">
        <v>1</v>
      </c>
      <c r="J441" s="69">
        <v>2</v>
      </c>
      <c r="K441" s="87">
        <v>1</v>
      </c>
      <c r="L441" s="8">
        <v>999</v>
      </c>
      <c r="M441" s="8">
        <v>0</v>
      </c>
      <c r="N441" s="8"/>
      <c r="S441" s="89">
        <v>0</v>
      </c>
      <c r="T441" s="8">
        <v>5</v>
      </c>
      <c r="U441" s="89">
        <v>110</v>
      </c>
      <c r="V441" s="87">
        <v>1</v>
      </c>
      <c r="W441" s="8">
        <v>1</v>
      </c>
      <c r="X441" s="8">
        <v>1</v>
      </c>
      <c r="Y441">
        <v>0</v>
      </c>
      <c r="Z441" s="33">
        <v>0</v>
      </c>
      <c r="AA441">
        <v>5</v>
      </c>
      <c r="AB441" s="34">
        <v>4180</v>
      </c>
      <c r="AC441" s="87">
        <v>0</v>
      </c>
      <c r="AD441" s="62">
        <v>0</v>
      </c>
      <c r="AE441" s="90">
        <v>0</v>
      </c>
      <c r="AF441" s="90">
        <v>0</v>
      </c>
      <c r="AG441" s="91"/>
      <c r="AH441" s="91">
        <v>1</v>
      </c>
      <c r="AI441" s="91"/>
      <c r="AJ441" s="91"/>
      <c r="AK441" s="91"/>
      <c r="AL441" s="92">
        <v>1</v>
      </c>
      <c r="AM441" s="92"/>
      <c r="AN441" s="93"/>
      <c r="AO441" s="92"/>
      <c r="AQ441" t="s">
        <v>1362</v>
      </c>
      <c r="AS441">
        <v>1</v>
      </c>
    </row>
    <row r="442" spans="1:45">
      <c r="A442" s="8">
        <v>240053</v>
      </c>
      <c r="B442" s="8">
        <v>1001</v>
      </c>
      <c r="C442" s="8">
        <v>1</v>
      </c>
      <c r="D442" s="8">
        <v>3</v>
      </c>
      <c r="E442" t="s">
        <v>1372</v>
      </c>
      <c r="F442" s="13" t="s">
        <v>1372</v>
      </c>
      <c r="G442" t="s">
        <v>1373</v>
      </c>
      <c r="H442" t="s">
        <v>1364</v>
      </c>
      <c r="I442">
        <v>1</v>
      </c>
      <c r="J442" s="69">
        <v>2</v>
      </c>
      <c r="K442" s="87">
        <v>1</v>
      </c>
      <c r="L442" s="8">
        <v>999</v>
      </c>
      <c r="M442" s="8">
        <v>0</v>
      </c>
      <c r="N442" s="8"/>
      <c r="S442" s="89">
        <v>0</v>
      </c>
      <c r="T442" s="8">
        <v>5</v>
      </c>
      <c r="U442" s="89">
        <v>110</v>
      </c>
      <c r="V442" s="87">
        <v>1</v>
      </c>
      <c r="W442" s="8">
        <v>1</v>
      </c>
      <c r="X442" s="8">
        <v>1</v>
      </c>
      <c r="Y442">
        <v>0</v>
      </c>
      <c r="Z442" s="33">
        <v>0</v>
      </c>
      <c r="AA442">
        <v>5</v>
      </c>
      <c r="AB442" s="34">
        <v>4180</v>
      </c>
      <c r="AC442" s="87">
        <v>0</v>
      </c>
      <c r="AD442" s="62">
        <v>0</v>
      </c>
      <c r="AE442" s="90">
        <v>0</v>
      </c>
      <c r="AF442" s="90">
        <v>0</v>
      </c>
      <c r="AG442" s="91"/>
      <c r="AH442" s="91">
        <v>1</v>
      </c>
      <c r="AI442" s="91"/>
      <c r="AJ442" s="91"/>
      <c r="AK442" s="91"/>
      <c r="AL442" s="92">
        <v>1</v>
      </c>
      <c r="AM442" s="92"/>
      <c r="AN442" s="93"/>
      <c r="AO442" s="92"/>
      <c r="AQ442" t="s">
        <v>1372</v>
      </c>
      <c r="AS442">
        <v>1</v>
      </c>
    </row>
    <row r="443" spans="1:45">
      <c r="A443" s="8">
        <v>240054</v>
      </c>
      <c r="B443" s="8">
        <v>1001</v>
      </c>
      <c r="C443" s="8">
        <v>1</v>
      </c>
      <c r="D443" s="8">
        <v>3</v>
      </c>
      <c r="E443" t="s">
        <v>1374</v>
      </c>
      <c r="F443" s="13" t="s">
        <v>1374</v>
      </c>
      <c r="G443" t="s">
        <v>1375</v>
      </c>
      <c r="H443" t="s">
        <v>1329</v>
      </c>
      <c r="I443">
        <v>1</v>
      </c>
      <c r="J443" s="69">
        <v>2</v>
      </c>
      <c r="K443" s="87">
        <v>1</v>
      </c>
      <c r="L443" s="8">
        <v>999</v>
      </c>
      <c r="M443" s="8">
        <v>0</v>
      </c>
      <c r="N443" s="8"/>
      <c r="S443" s="89">
        <v>0</v>
      </c>
      <c r="T443" s="8">
        <v>5</v>
      </c>
      <c r="U443" s="89">
        <v>110</v>
      </c>
      <c r="V443" s="87">
        <v>1</v>
      </c>
      <c r="W443" s="8">
        <v>1</v>
      </c>
      <c r="X443" s="8">
        <v>1</v>
      </c>
      <c r="Y443">
        <v>0</v>
      </c>
      <c r="Z443" s="33">
        <v>0</v>
      </c>
      <c r="AA443">
        <v>5</v>
      </c>
      <c r="AB443" s="34">
        <v>4180</v>
      </c>
      <c r="AC443" s="87">
        <v>0</v>
      </c>
      <c r="AD443" s="62">
        <v>0</v>
      </c>
      <c r="AE443" s="90">
        <v>0</v>
      </c>
      <c r="AF443" s="90">
        <v>0</v>
      </c>
      <c r="AG443" s="91"/>
      <c r="AH443" s="91">
        <v>1</v>
      </c>
      <c r="AI443" s="91"/>
      <c r="AJ443" s="91"/>
      <c r="AK443" s="91"/>
      <c r="AL443" s="92">
        <v>1</v>
      </c>
      <c r="AM443" s="92"/>
      <c r="AN443" s="93"/>
      <c r="AO443" s="92"/>
      <c r="AQ443" t="s">
        <v>1374</v>
      </c>
      <c r="AS443">
        <v>1</v>
      </c>
    </row>
    <row r="444" spans="1:45">
      <c r="A444" s="8">
        <v>240055</v>
      </c>
      <c r="B444" s="8">
        <v>1001</v>
      </c>
      <c r="C444" s="8">
        <v>1</v>
      </c>
      <c r="D444" s="8">
        <v>3</v>
      </c>
      <c r="E444" t="s">
        <v>1376</v>
      </c>
      <c r="F444" s="13" t="s">
        <v>1365</v>
      </c>
      <c r="G444" t="s">
        <v>1377</v>
      </c>
      <c r="H444" t="s">
        <v>1378</v>
      </c>
      <c r="I444">
        <v>1</v>
      </c>
      <c r="J444" s="69">
        <v>2</v>
      </c>
      <c r="K444" s="87">
        <v>1</v>
      </c>
      <c r="L444" s="8">
        <v>999</v>
      </c>
      <c r="M444" s="8">
        <v>0</v>
      </c>
      <c r="N444" s="8"/>
      <c r="S444" s="89">
        <v>0</v>
      </c>
      <c r="T444" s="8">
        <v>5</v>
      </c>
      <c r="U444" s="89">
        <v>110</v>
      </c>
      <c r="V444" s="87">
        <v>1</v>
      </c>
      <c r="W444" s="8">
        <v>1</v>
      </c>
      <c r="X444" s="8">
        <v>1</v>
      </c>
      <c r="Y444">
        <v>0</v>
      </c>
      <c r="Z444" s="33">
        <v>0</v>
      </c>
      <c r="AA444">
        <v>5</v>
      </c>
      <c r="AB444" s="34">
        <v>4180</v>
      </c>
      <c r="AC444" s="87">
        <v>0</v>
      </c>
      <c r="AD444" s="62">
        <v>0</v>
      </c>
      <c r="AE444" s="90">
        <v>0</v>
      </c>
      <c r="AF444" s="90">
        <v>0</v>
      </c>
      <c r="AG444" s="91"/>
      <c r="AH444" s="91">
        <v>1</v>
      </c>
      <c r="AI444" s="91"/>
      <c r="AJ444" s="91"/>
      <c r="AK444" s="91"/>
      <c r="AL444" s="92">
        <v>1</v>
      </c>
      <c r="AM444" s="92"/>
      <c r="AN444" s="93"/>
      <c r="AO444" s="92"/>
      <c r="AQ444" t="s">
        <v>1376</v>
      </c>
      <c r="AS444">
        <v>1</v>
      </c>
    </row>
    <row r="445" spans="1:45">
      <c r="A445" s="8">
        <v>240056</v>
      </c>
      <c r="B445" s="8">
        <v>1001</v>
      </c>
      <c r="C445" s="8">
        <v>1</v>
      </c>
      <c r="D445" s="8">
        <v>3</v>
      </c>
      <c r="E445" t="s">
        <v>1379</v>
      </c>
      <c r="F445" s="13" t="s">
        <v>1379</v>
      </c>
      <c r="G445" t="s">
        <v>1379</v>
      </c>
      <c r="H445" t="s">
        <v>1329</v>
      </c>
      <c r="I445">
        <v>1</v>
      </c>
      <c r="J445" s="69">
        <v>2</v>
      </c>
      <c r="K445" s="87">
        <v>1</v>
      </c>
      <c r="L445" s="8">
        <v>999</v>
      </c>
      <c r="M445" s="8">
        <v>0</v>
      </c>
      <c r="N445" s="8"/>
      <c r="S445" s="89">
        <v>0</v>
      </c>
      <c r="T445" s="8">
        <v>5</v>
      </c>
      <c r="U445" s="89">
        <v>110</v>
      </c>
      <c r="V445" s="87">
        <v>1</v>
      </c>
      <c r="W445" s="8">
        <v>1</v>
      </c>
      <c r="X445" s="8">
        <v>1</v>
      </c>
      <c r="Y445">
        <v>0</v>
      </c>
      <c r="Z445" s="33">
        <v>0</v>
      </c>
      <c r="AA445">
        <v>5</v>
      </c>
      <c r="AB445" s="34">
        <v>4180</v>
      </c>
      <c r="AC445" s="87">
        <v>0</v>
      </c>
      <c r="AD445" s="62">
        <v>0</v>
      </c>
      <c r="AE445" s="90">
        <v>0</v>
      </c>
      <c r="AF445" s="90">
        <v>0</v>
      </c>
      <c r="AG445" s="91"/>
      <c r="AH445" s="91">
        <v>1</v>
      </c>
      <c r="AI445" s="91"/>
      <c r="AJ445" s="91"/>
      <c r="AK445" s="91"/>
      <c r="AL445" s="92">
        <v>1</v>
      </c>
      <c r="AM445" s="92"/>
      <c r="AN445" s="93"/>
      <c r="AO445" s="92"/>
      <c r="AQ445" t="s">
        <v>1379</v>
      </c>
      <c r="AS445">
        <v>1</v>
      </c>
    </row>
    <row r="446" spans="1:45">
      <c r="A446" s="8">
        <v>240057</v>
      </c>
      <c r="B446" s="8">
        <v>1001</v>
      </c>
      <c r="C446" s="8">
        <v>1</v>
      </c>
      <c r="D446" s="8">
        <v>3</v>
      </c>
      <c r="E446" t="s">
        <v>1380</v>
      </c>
      <c r="F446" s="13" t="s">
        <v>1380</v>
      </c>
      <c r="G446" t="s">
        <v>1380</v>
      </c>
      <c r="H446" t="s">
        <v>1329</v>
      </c>
      <c r="I446">
        <v>1</v>
      </c>
      <c r="J446" s="69">
        <v>2</v>
      </c>
      <c r="K446" s="87">
        <v>1</v>
      </c>
      <c r="L446" s="8">
        <v>999</v>
      </c>
      <c r="M446" s="8">
        <v>0</v>
      </c>
      <c r="N446" s="8"/>
      <c r="S446" s="89">
        <v>0</v>
      </c>
      <c r="T446" s="8">
        <v>5</v>
      </c>
      <c r="U446" s="89">
        <v>110</v>
      </c>
      <c r="V446" s="87">
        <v>1</v>
      </c>
      <c r="W446" s="8">
        <v>1</v>
      </c>
      <c r="X446" s="8">
        <v>1</v>
      </c>
      <c r="Y446">
        <v>0</v>
      </c>
      <c r="Z446" s="33">
        <v>0</v>
      </c>
      <c r="AA446">
        <v>5</v>
      </c>
      <c r="AB446" s="34">
        <v>4180</v>
      </c>
      <c r="AC446" s="87">
        <v>0</v>
      </c>
      <c r="AD446" s="62">
        <v>0</v>
      </c>
      <c r="AE446" s="90">
        <v>0</v>
      </c>
      <c r="AF446" s="90">
        <v>0</v>
      </c>
      <c r="AG446" s="91"/>
      <c r="AH446" s="91">
        <v>1</v>
      </c>
      <c r="AI446" s="91"/>
      <c r="AJ446" s="91"/>
      <c r="AK446" s="91"/>
      <c r="AL446" s="92">
        <v>1</v>
      </c>
      <c r="AM446" s="92"/>
      <c r="AN446" s="93"/>
      <c r="AO446" s="92"/>
      <c r="AQ446" t="s">
        <v>1380</v>
      </c>
      <c r="AS446">
        <v>1</v>
      </c>
    </row>
    <row r="447" spans="1:45">
      <c r="A447" s="8">
        <v>240058</v>
      </c>
      <c r="B447" s="8">
        <v>1001</v>
      </c>
      <c r="C447" s="8">
        <v>1</v>
      </c>
      <c r="D447" s="8">
        <v>3</v>
      </c>
      <c r="E447" t="s">
        <v>1381</v>
      </c>
      <c r="F447" s="13" t="s">
        <v>1382</v>
      </c>
      <c r="G447" t="s">
        <v>1381</v>
      </c>
      <c r="H447" t="s">
        <v>1329</v>
      </c>
      <c r="I447">
        <v>1</v>
      </c>
      <c r="J447" s="69">
        <v>2</v>
      </c>
      <c r="K447" s="87">
        <v>1</v>
      </c>
      <c r="L447" s="8">
        <v>999</v>
      </c>
      <c r="M447" s="8">
        <v>0</v>
      </c>
      <c r="N447" s="8"/>
      <c r="S447" s="89">
        <v>0</v>
      </c>
      <c r="T447" s="8">
        <v>5</v>
      </c>
      <c r="U447" s="89">
        <v>110</v>
      </c>
      <c r="V447" s="87">
        <v>1</v>
      </c>
      <c r="W447" s="8">
        <v>1</v>
      </c>
      <c r="X447" s="8">
        <v>1</v>
      </c>
      <c r="Y447">
        <v>0</v>
      </c>
      <c r="Z447" s="33">
        <v>0</v>
      </c>
      <c r="AA447">
        <v>5</v>
      </c>
      <c r="AB447" s="34">
        <v>4180</v>
      </c>
      <c r="AC447" s="87">
        <v>0</v>
      </c>
      <c r="AD447" s="62">
        <v>0</v>
      </c>
      <c r="AE447" s="90">
        <v>0</v>
      </c>
      <c r="AF447" s="90">
        <v>0</v>
      </c>
      <c r="AG447" s="91"/>
      <c r="AH447" s="91">
        <v>1</v>
      </c>
      <c r="AI447" s="91"/>
      <c r="AJ447" s="91"/>
      <c r="AK447" s="91"/>
      <c r="AL447" s="92">
        <v>1</v>
      </c>
      <c r="AM447" s="92"/>
      <c r="AN447" s="93"/>
      <c r="AO447" s="92"/>
      <c r="AQ447" t="s">
        <v>1381</v>
      </c>
      <c r="AS447">
        <v>1</v>
      </c>
    </row>
    <row r="448" spans="1:45">
      <c r="A448" s="8">
        <v>240059</v>
      </c>
      <c r="B448" s="8">
        <v>1001</v>
      </c>
      <c r="C448" s="8">
        <v>1</v>
      </c>
      <c r="D448" s="8">
        <v>3</v>
      </c>
      <c r="E448" t="s">
        <v>1365</v>
      </c>
      <c r="F448" s="13" t="s">
        <v>1365</v>
      </c>
      <c r="G448" t="s">
        <v>1366</v>
      </c>
      <c r="H448" t="s">
        <v>1367</v>
      </c>
      <c r="I448">
        <v>1</v>
      </c>
      <c r="J448" s="69">
        <v>2</v>
      </c>
      <c r="K448" s="87">
        <v>1</v>
      </c>
      <c r="L448" s="8">
        <v>999</v>
      </c>
      <c r="M448" s="8">
        <v>0</v>
      </c>
      <c r="N448" s="8"/>
      <c r="S448" s="89">
        <v>0</v>
      </c>
      <c r="T448" s="8">
        <v>5</v>
      </c>
      <c r="U448" s="89">
        <v>110</v>
      </c>
      <c r="V448" s="87">
        <v>1</v>
      </c>
      <c r="W448" s="8">
        <v>1</v>
      </c>
      <c r="X448" s="8">
        <v>1</v>
      </c>
      <c r="Y448">
        <v>0</v>
      </c>
      <c r="Z448" s="33">
        <v>0</v>
      </c>
      <c r="AA448">
        <v>5</v>
      </c>
      <c r="AB448" s="34">
        <v>4180</v>
      </c>
      <c r="AC448" s="87">
        <v>0</v>
      </c>
      <c r="AD448" s="62">
        <v>0</v>
      </c>
      <c r="AE448" s="90">
        <v>0</v>
      </c>
      <c r="AF448" s="90">
        <v>0</v>
      </c>
      <c r="AG448" s="91"/>
      <c r="AH448" s="91">
        <v>1</v>
      </c>
      <c r="AI448" s="91"/>
      <c r="AJ448" s="91"/>
      <c r="AK448" s="91"/>
      <c r="AL448" s="92">
        <v>1</v>
      </c>
      <c r="AM448" s="92"/>
      <c r="AN448" s="93"/>
      <c r="AO448" s="92"/>
      <c r="AQ448" t="s">
        <v>1365</v>
      </c>
      <c r="AS448">
        <v>1</v>
      </c>
    </row>
    <row r="449" spans="1:45">
      <c r="A449" s="8">
        <v>240060</v>
      </c>
      <c r="B449" s="8">
        <v>1001</v>
      </c>
      <c r="C449" s="8">
        <v>1</v>
      </c>
      <c r="D449" s="8">
        <v>3</v>
      </c>
      <c r="E449" t="s">
        <v>1383</v>
      </c>
      <c r="F449" s="13" t="s">
        <v>1383</v>
      </c>
      <c r="G449" t="s">
        <v>1384</v>
      </c>
      <c r="H449" t="s">
        <v>1369</v>
      </c>
      <c r="I449">
        <v>1</v>
      </c>
      <c r="J449" s="69">
        <v>2</v>
      </c>
      <c r="K449" s="87">
        <v>1</v>
      </c>
      <c r="L449" s="8">
        <v>999</v>
      </c>
      <c r="M449" s="8">
        <v>0</v>
      </c>
      <c r="N449" s="8"/>
      <c r="S449" s="89">
        <v>0</v>
      </c>
      <c r="T449" s="8">
        <v>5</v>
      </c>
      <c r="U449" s="89">
        <v>110</v>
      </c>
      <c r="V449" s="87">
        <v>1</v>
      </c>
      <c r="W449" s="8">
        <v>1</v>
      </c>
      <c r="X449" s="8">
        <v>1</v>
      </c>
      <c r="Y449">
        <v>0</v>
      </c>
      <c r="Z449" s="33">
        <v>0</v>
      </c>
      <c r="AA449">
        <v>5</v>
      </c>
      <c r="AB449" s="34">
        <v>4180</v>
      </c>
      <c r="AC449" s="87">
        <v>0</v>
      </c>
      <c r="AD449" s="62">
        <v>0</v>
      </c>
      <c r="AE449" s="90">
        <v>0</v>
      </c>
      <c r="AF449" s="90">
        <v>0</v>
      </c>
      <c r="AG449" s="91"/>
      <c r="AH449" s="91">
        <v>1</v>
      </c>
      <c r="AI449" s="91"/>
      <c r="AJ449" s="91"/>
      <c r="AK449" s="91"/>
      <c r="AL449" s="92">
        <v>1</v>
      </c>
      <c r="AM449" s="92"/>
      <c r="AN449" s="93"/>
      <c r="AO449" s="92"/>
      <c r="AQ449" t="s">
        <v>1383</v>
      </c>
      <c r="AS449">
        <v>1</v>
      </c>
    </row>
    <row r="450" spans="1:45">
      <c r="A450" s="8">
        <v>240061</v>
      </c>
      <c r="B450" s="8">
        <v>1001</v>
      </c>
      <c r="C450" s="8">
        <v>1</v>
      </c>
      <c r="D450" s="8">
        <v>3</v>
      </c>
      <c r="E450" t="s">
        <v>1288</v>
      </c>
      <c r="F450" s="13" t="s">
        <v>1288</v>
      </c>
      <c r="G450" t="s">
        <v>1289</v>
      </c>
      <c r="H450" t="s">
        <v>1385</v>
      </c>
      <c r="I450">
        <v>1</v>
      </c>
      <c r="J450" s="69">
        <v>2</v>
      </c>
      <c r="K450" s="87">
        <v>1</v>
      </c>
      <c r="L450" s="8">
        <v>999</v>
      </c>
      <c r="M450" s="8">
        <v>0</v>
      </c>
      <c r="N450" s="8"/>
      <c r="S450" s="89">
        <v>0</v>
      </c>
      <c r="T450" s="8">
        <v>5</v>
      </c>
      <c r="U450" s="89">
        <v>110</v>
      </c>
      <c r="V450" s="87">
        <v>1</v>
      </c>
      <c r="W450" s="8">
        <v>1</v>
      </c>
      <c r="X450" s="8">
        <v>1</v>
      </c>
      <c r="Y450">
        <v>0</v>
      </c>
      <c r="Z450" s="33">
        <v>0</v>
      </c>
      <c r="AA450">
        <v>5</v>
      </c>
      <c r="AB450" s="34">
        <v>4180</v>
      </c>
      <c r="AC450" s="87">
        <v>0</v>
      </c>
      <c r="AD450" s="62">
        <v>0</v>
      </c>
      <c r="AE450" s="90">
        <v>0</v>
      </c>
      <c r="AF450" s="90">
        <v>0</v>
      </c>
      <c r="AG450" s="91"/>
      <c r="AH450" s="91">
        <v>1</v>
      </c>
      <c r="AI450" s="91"/>
      <c r="AJ450" s="91"/>
      <c r="AK450" s="91"/>
      <c r="AL450" s="92">
        <v>1</v>
      </c>
      <c r="AM450" s="92"/>
      <c r="AN450" s="93"/>
      <c r="AO450" s="92"/>
      <c r="AQ450" t="s">
        <v>1288</v>
      </c>
      <c r="AS450">
        <v>1</v>
      </c>
    </row>
    <row r="451" spans="1:45">
      <c r="A451" s="8">
        <v>240062</v>
      </c>
      <c r="B451" s="8">
        <v>1001</v>
      </c>
      <c r="C451" s="8">
        <v>1</v>
      </c>
      <c r="D451" s="8">
        <v>3</v>
      </c>
      <c r="E451" t="s">
        <v>1386</v>
      </c>
      <c r="F451" s="13" t="s">
        <v>1387</v>
      </c>
      <c r="G451" t="s">
        <v>1388</v>
      </c>
      <c r="H451" t="s">
        <v>1389</v>
      </c>
      <c r="I451">
        <v>1</v>
      </c>
      <c r="J451" s="69">
        <v>2</v>
      </c>
      <c r="K451" s="87">
        <v>1</v>
      </c>
      <c r="L451" s="8">
        <v>9999</v>
      </c>
      <c r="M451" s="8">
        <v>0</v>
      </c>
      <c r="N451" s="8"/>
      <c r="S451" s="89">
        <v>0</v>
      </c>
      <c r="T451" s="8">
        <v>5</v>
      </c>
      <c r="U451" s="89">
        <v>110</v>
      </c>
      <c r="V451" s="87">
        <v>1</v>
      </c>
      <c r="W451" s="8">
        <v>1</v>
      </c>
      <c r="X451" s="8">
        <v>1</v>
      </c>
      <c r="Y451">
        <v>0</v>
      </c>
      <c r="Z451" s="33">
        <v>0</v>
      </c>
      <c r="AA451">
        <v>5</v>
      </c>
      <c r="AB451" s="34">
        <v>4180</v>
      </c>
      <c r="AC451" s="87">
        <v>0</v>
      </c>
      <c r="AD451" s="62">
        <v>0</v>
      </c>
      <c r="AE451" s="90">
        <v>0</v>
      </c>
      <c r="AF451" s="90">
        <v>0</v>
      </c>
      <c r="AG451" s="91"/>
      <c r="AH451" s="91">
        <v>1</v>
      </c>
      <c r="AI451" s="91"/>
      <c r="AJ451" s="91"/>
      <c r="AK451" s="91"/>
      <c r="AL451" s="92">
        <v>1</v>
      </c>
      <c r="AM451" s="92"/>
      <c r="AN451" s="93"/>
      <c r="AO451" s="92"/>
      <c r="AQ451" t="s">
        <v>1386</v>
      </c>
      <c r="AS451">
        <v>1</v>
      </c>
    </row>
    <row r="452" spans="1:45">
      <c r="A452" s="8">
        <v>240063</v>
      </c>
      <c r="B452" s="8">
        <v>1001</v>
      </c>
      <c r="C452" s="8">
        <v>1</v>
      </c>
      <c r="D452" s="8">
        <v>3</v>
      </c>
      <c r="E452" t="s">
        <v>1390</v>
      </c>
      <c r="F452" s="13" t="s">
        <v>1390</v>
      </c>
      <c r="G452" t="s">
        <v>1391</v>
      </c>
      <c r="H452" t="s">
        <v>1329</v>
      </c>
      <c r="I452">
        <v>1</v>
      </c>
      <c r="J452" s="69">
        <v>2</v>
      </c>
      <c r="K452" s="87">
        <v>1</v>
      </c>
      <c r="L452" s="8">
        <v>999</v>
      </c>
      <c r="M452" s="8">
        <v>0</v>
      </c>
      <c r="N452" s="8"/>
      <c r="S452" s="89">
        <v>0</v>
      </c>
      <c r="T452" s="8">
        <v>5</v>
      </c>
      <c r="U452" s="89">
        <v>110</v>
      </c>
      <c r="V452" s="87">
        <v>1</v>
      </c>
      <c r="W452" s="8">
        <v>1</v>
      </c>
      <c r="X452" s="8">
        <v>1</v>
      </c>
      <c r="Y452">
        <v>0</v>
      </c>
      <c r="Z452" s="33">
        <v>0</v>
      </c>
      <c r="AA452">
        <v>5</v>
      </c>
      <c r="AB452" s="34">
        <v>4180</v>
      </c>
      <c r="AC452" s="87">
        <v>0</v>
      </c>
      <c r="AD452" s="62">
        <v>0</v>
      </c>
      <c r="AE452" s="90">
        <v>0</v>
      </c>
      <c r="AF452" s="90">
        <v>0</v>
      </c>
      <c r="AG452" s="91"/>
      <c r="AH452" s="91">
        <v>1</v>
      </c>
      <c r="AI452" s="91"/>
      <c r="AJ452" s="91"/>
      <c r="AK452" s="91"/>
      <c r="AL452" s="92">
        <v>1</v>
      </c>
      <c r="AM452" s="92"/>
      <c r="AN452" s="93"/>
      <c r="AO452" s="92"/>
      <c r="AQ452" t="s">
        <v>1390</v>
      </c>
      <c r="AS452">
        <v>1</v>
      </c>
    </row>
    <row r="453" spans="1:45">
      <c r="A453" s="8">
        <v>240064</v>
      </c>
      <c r="B453" s="8">
        <v>1001</v>
      </c>
      <c r="C453" s="8">
        <v>1</v>
      </c>
      <c r="D453" s="8">
        <v>3</v>
      </c>
      <c r="E453" t="s">
        <v>1362</v>
      </c>
      <c r="F453" s="13" t="s">
        <v>1362</v>
      </c>
      <c r="G453" t="s">
        <v>1363</v>
      </c>
      <c r="H453" t="s">
        <v>1364</v>
      </c>
      <c r="I453">
        <v>1</v>
      </c>
      <c r="J453" s="69">
        <v>2</v>
      </c>
      <c r="K453" s="87">
        <v>1</v>
      </c>
      <c r="L453" s="8">
        <v>999</v>
      </c>
      <c r="M453" s="8">
        <v>0</v>
      </c>
      <c r="N453" s="8"/>
      <c r="S453" s="89">
        <v>0</v>
      </c>
      <c r="T453" s="8">
        <v>5</v>
      </c>
      <c r="U453" s="89">
        <v>110</v>
      </c>
      <c r="V453" s="87">
        <v>1</v>
      </c>
      <c r="W453" s="8">
        <v>1</v>
      </c>
      <c r="X453" s="8">
        <v>1</v>
      </c>
      <c r="Y453">
        <v>0</v>
      </c>
      <c r="Z453" s="33">
        <v>0</v>
      </c>
      <c r="AA453">
        <v>5</v>
      </c>
      <c r="AB453" s="34">
        <v>4180</v>
      </c>
      <c r="AC453" s="87">
        <v>0</v>
      </c>
      <c r="AD453" s="62">
        <v>0</v>
      </c>
      <c r="AE453" s="90">
        <v>0</v>
      </c>
      <c r="AF453" s="90">
        <v>0</v>
      </c>
      <c r="AG453" s="91"/>
      <c r="AH453" s="91">
        <v>1</v>
      </c>
      <c r="AI453" s="91"/>
      <c r="AJ453" s="91"/>
      <c r="AK453" s="91"/>
      <c r="AL453" s="92">
        <v>1</v>
      </c>
      <c r="AM453" s="92"/>
      <c r="AN453" s="93"/>
      <c r="AO453" s="92"/>
      <c r="AQ453" t="s">
        <v>1362</v>
      </c>
      <c r="AS453">
        <v>1</v>
      </c>
    </row>
    <row r="454" spans="1:45">
      <c r="A454" s="8">
        <v>240065</v>
      </c>
      <c r="B454" s="8">
        <v>1001</v>
      </c>
      <c r="C454" s="8">
        <v>1</v>
      </c>
      <c r="D454" s="8">
        <v>3</v>
      </c>
      <c r="E454" t="s">
        <v>1288</v>
      </c>
      <c r="F454" s="13" t="s">
        <v>1288</v>
      </c>
      <c r="G454" t="s">
        <v>1289</v>
      </c>
      <c r="H454" t="s">
        <v>1290</v>
      </c>
      <c r="I454">
        <v>1</v>
      </c>
      <c r="J454" s="69">
        <v>2</v>
      </c>
      <c r="K454" s="87">
        <v>1</v>
      </c>
      <c r="L454" s="8">
        <v>999</v>
      </c>
      <c r="M454" s="8">
        <v>0</v>
      </c>
      <c r="N454" s="8"/>
      <c r="S454" s="89">
        <v>0</v>
      </c>
      <c r="T454" s="8">
        <v>5</v>
      </c>
      <c r="U454" s="89">
        <v>110</v>
      </c>
      <c r="V454" s="87">
        <v>1</v>
      </c>
      <c r="W454" s="8">
        <v>1</v>
      </c>
      <c r="X454" s="8">
        <v>1</v>
      </c>
      <c r="Y454">
        <v>0</v>
      </c>
      <c r="Z454" s="33">
        <v>0</v>
      </c>
      <c r="AA454">
        <v>5</v>
      </c>
      <c r="AB454" s="34">
        <v>4180</v>
      </c>
      <c r="AC454" s="87">
        <v>0</v>
      </c>
      <c r="AD454" s="62">
        <v>0</v>
      </c>
      <c r="AE454" s="90">
        <v>0</v>
      </c>
      <c r="AF454" s="90">
        <v>0</v>
      </c>
      <c r="AG454" s="91"/>
      <c r="AH454" s="91">
        <v>1</v>
      </c>
      <c r="AI454" s="91"/>
      <c r="AJ454" s="91"/>
      <c r="AK454" s="91"/>
      <c r="AL454" s="92">
        <v>1</v>
      </c>
      <c r="AM454" s="92"/>
      <c r="AN454" s="93"/>
      <c r="AO454" s="92"/>
      <c r="AQ454" t="s">
        <v>1288</v>
      </c>
      <c r="AS454">
        <v>1</v>
      </c>
    </row>
    <row r="455" spans="1:45">
      <c r="A455" s="8">
        <v>240066</v>
      </c>
      <c r="B455" s="8">
        <v>1001</v>
      </c>
      <c r="C455" s="8">
        <v>1</v>
      </c>
      <c r="D455" s="8">
        <v>3</v>
      </c>
      <c r="E455" t="s">
        <v>1294</v>
      </c>
      <c r="F455" s="13" t="s">
        <v>1294</v>
      </c>
      <c r="G455" t="s">
        <v>1295</v>
      </c>
      <c r="H455" t="s">
        <v>1296</v>
      </c>
      <c r="I455">
        <v>1</v>
      </c>
      <c r="J455" s="69">
        <v>2</v>
      </c>
      <c r="K455" s="87">
        <v>1</v>
      </c>
      <c r="L455" s="8">
        <v>999</v>
      </c>
      <c r="M455" s="8">
        <v>0</v>
      </c>
      <c r="N455" s="8"/>
      <c r="S455" s="89">
        <v>0</v>
      </c>
      <c r="T455" s="8">
        <v>5</v>
      </c>
      <c r="U455" s="89">
        <v>110</v>
      </c>
      <c r="V455" s="87">
        <v>1</v>
      </c>
      <c r="W455" s="8">
        <v>1</v>
      </c>
      <c r="X455" s="8">
        <v>1</v>
      </c>
      <c r="Y455">
        <v>0</v>
      </c>
      <c r="Z455" s="33">
        <v>0</v>
      </c>
      <c r="AA455">
        <v>5</v>
      </c>
      <c r="AB455" s="34">
        <v>4180</v>
      </c>
      <c r="AC455" s="87">
        <v>0</v>
      </c>
      <c r="AD455" s="62">
        <v>0</v>
      </c>
      <c r="AE455" s="90">
        <v>0</v>
      </c>
      <c r="AF455" s="90">
        <v>0</v>
      </c>
      <c r="AG455" s="91"/>
      <c r="AH455" s="91">
        <v>1</v>
      </c>
      <c r="AI455" s="91"/>
      <c r="AJ455" s="91"/>
      <c r="AK455" s="91"/>
      <c r="AL455" s="92">
        <v>1</v>
      </c>
      <c r="AM455" s="92"/>
      <c r="AN455" s="93"/>
      <c r="AO455" s="92"/>
      <c r="AQ455" t="s">
        <v>1294</v>
      </c>
      <c r="AS455">
        <v>1</v>
      </c>
    </row>
    <row r="456" spans="1:45">
      <c r="A456" s="8">
        <v>240067</v>
      </c>
      <c r="B456" s="8">
        <v>1001</v>
      </c>
      <c r="C456" s="8">
        <v>1</v>
      </c>
      <c r="D456" s="8">
        <v>3</v>
      </c>
      <c r="E456" t="s">
        <v>1288</v>
      </c>
      <c r="F456" s="13" t="s">
        <v>1288</v>
      </c>
      <c r="G456" t="s">
        <v>1289</v>
      </c>
      <c r="H456" t="s">
        <v>1290</v>
      </c>
      <c r="I456">
        <v>1</v>
      </c>
      <c r="J456" s="69">
        <v>2</v>
      </c>
      <c r="K456" s="87">
        <v>1</v>
      </c>
      <c r="L456" s="8">
        <v>999</v>
      </c>
      <c r="M456" s="8">
        <v>0</v>
      </c>
      <c r="N456" s="8"/>
      <c r="S456" s="89">
        <v>0</v>
      </c>
      <c r="T456" s="8">
        <v>5</v>
      </c>
      <c r="U456" s="89">
        <v>110</v>
      </c>
      <c r="V456" s="87">
        <v>1</v>
      </c>
      <c r="W456" s="8">
        <v>1</v>
      </c>
      <c r="X456" s="8">
        <v>1</v>
      </c>
      <c r="Y456">
        <v>0</v>
      </c>
      <c r="Z456" s="33">
        <v>0</v>
      </c>
      <c r="AA456">
        <v>5</v>
      </c>
      <c r="AB456" s="34">
        <v>4180</v>
      </c>
      <c r="AC456" s="87">
        <v>0</v>
      </c>
      <c r="AD456" s="62">
        <v>0</v>
      </c>
      <c r="AE456" s="90">
        <v>0</v>
      </c>
      <c r="AF456" s="90">
        <v>0</v>
      </c>
      <c r="AG456" s="91"/>
      <c r="AH456" s="91">
        <v>1</v>
      </c>
      <c r="AI456" s="91"/>
      <c r="AJ456" s="91"/>
      <c r="AK456" s="91"/>
      <c r="AL456" s="92">
        <v>1</v>
      </c>
      <c r="AM456" s="92"/>
      <c r="AN456" s="93"/>
      <c r="AO456" s="92"/>
      <c r="AQ456" t="s">
        <v>1288</v>
      </c>
      <c r="AS456">
        <v>1</v>
      </c>
    </row>
    <row r="457" spans="1:45">
      <c r="A457" s="8">
        <v>240068</v>
      </c>
      <c r="B457" s="8">
        <v>1001</v>
      </c>
      <c r="C457" s="8">
        <v>1</v>
      </c>
      <c r="D457" s="8">
        <v>3</v>
      </c>
      <c r="E457" t="s">
        <v>1288</v>
      </c>
      <c r="F457" s="13" t="s">
        <v>1288</v>
      </c>
      <c r="G457" t="s">
        <v>1289</v>
      </c>
      <c r="H457" t="s">
        <v>1290</v>
      </c>
      <c r="I457">
        <v>1</v>
      </c>
      <c r="J457" s="69">
        <v>2</v>
      </c>
      <c r="K457" s="87">
        <v>1</v>
      </c>
      <c r="L457" s="8">
        <v>999</v>
      </c>
      <c r="M457" s="8">
        <v>0</v>
      </c>
      <c r="N457" s="8"/>
      <c r="S457" s="89">
        <v>0</v>
      </c>
      <c r="T457" s="8">
        <v>5</v>
      </c>
      <c r="U457" s="89">
        <v>110</v>
      </c>
      <c r="V457" s="87">
        <v>1</v>
      </c>
      <c r="W457" s="8">
        <v>1</v>
      </c>
      <c r="X457" s="8">
        <v>1</v>
      </c>
      <c r="Y457">
        <v>0</v>
      </c>
      <c r="Z457" s="33">
        <v>0</v>
      </c>
      <c r="AA457">
        <v>5</v>
      </c>
      <c r="AB457" s="34">
        <v>4180</v>
      </c>
      <c r="AC457" s="87">
        <v>0</v>
      </c>
      <c r="AD457" s="62">
        <v>0</v>
      </c>
      <c r="AE457" s="90">
        <v>0</v>
      </c>
      <c r="AF457" s="90">
        <v>0</v>
      </c>
      <c r="AG457" s="91"/>
      <c r="AH457" s="91">
        <v>1</v>
      </c>
      <c r="AI457" s="91"/>
      <c r="AJ457" s="91"/>
      <c r="AK457" s="91"/>
      <c r="AL457" s="92">
        <v>1</v>
      </c>
      <c r="AM457" s="92"/>
      <c r="AN457" s="93"/>
      <c r="AO457" s="92"/>
      <c r="AQ457" t="s">
        <v>1288</v>
      </c>
      <c r="AS457">
        <v>1</v>
      </c>
    </row>
    <row r="458" spans="1:45">
      <c r="A458" s="8">
        <v>240069</v>
      </c>
      <c r="B458" s="8">
        <v>1001</v>
      </c>
      <c r="C458" s="8">
        <v>1</v>
      </c>
      <c r="D458" s="8">
        <v>3</v>
      </c>
      <c r="E458" t="s">
        <v>1294</v>
      </c>
      <c r="F458" s="13" t="s">
        <v>1294</v>
      </c>
      <c r="G458" t="s">
        <v>1295</v>
      </c>
      <c r="H458" t="s">
        <v>1296</v>
      </c>
      <c r="I458">
        <v>1</v>
      </c>
      <c r="J458" s="69">
        <v>2</v>
      </c>
      <c r="K458" s="87">
        <v>1</v>
      </c>
      <c r="L458" s="8">
        <v>999</v>
      </c>
      <c r="M458" s="8">
        <v>0</v>
      </c>
      <c r="N458" s="8"/>
      <c r="S458" s="89">
        <v>0</v>
      </c>
      <c r="T458" s="8">
        <v>5</v>
      </c>
      <c r="U458" s="89">
        <v>110</v>
      </c>
      <c r="V458" s="87">
        <v>1</v>
      </c>
      <c r="W458" s="8">
        <v>1</v>
      </c>
      <c r="X458" s="8">
        <v>1</v>
      </c>
      <c r="Y458">
        <v>0</v>
      </c>
      <c r="Z458" s="33">
        <v>0</v>
      </c>
      <c r="AA458">
        <v>5</v>
      </c>
      <c r="AB458" s="34">
        <v>4180</v>
      </c>
      <c r="AC458" s="87">
        <v>0</v>
      </c>
      <c r="AD458" s="62">
        <v>0</v>
      </c>
      <c r="AE458" s="90">
        <v>0</v>
      </c>
      <c r="AF458" s="90">
        <v>0</v>
      </c>
      <c r="AG458" s="91"/>
      <c r="AH458" s="91">
        <v>1</v>
      </c>
      <c r="AI458" s="91"/>
      <c r="AJ458" s="91"/>
      <c r="AK458" s="91"/>
      <c r="AL458" s="92">
        <v>1</v>
      </c>
      <c r="AM458" s="92"/>
      <c r="AN458" s="93"/>
      <c r="AO458" s="92"/>
      <c r="AQ458" t="s">
        <v>1294</v>
      </c>
      <c r="AS458">
        <v>1</v>
      </c>
    </row>
    <row r="459" spans="1:45">
      <c r="A459" s="8">
        <v>240070</v>
      </c>
      <c r="B459" s="8">
        <v>1001</v>
      </c>
      <c r="C459" s="8">
        <v>1</v>
      </c>
      <c r="D459" s="8">
        <v>3</v>
      </c>
      <c r="E459" t="s">
        <v>1294</v>
      </c>
      <c r="F459" s="13" t="s">
        <v>1294</v>
      </c>
      <c r="G459" t="s">
        <v>1295</v>
      </c>
      <c r="H459" t="s">
        <v>1296</v>
      </c>
      <c r="I459">
        <v>1</v>
      </c>
      <c r="J459" s="69">
        <v>2</v>
      </c>
      <c r="K459" s="87">
        <v>1</v>
      </c>
      <c r="L459" s="8">
        <v>999</v>
      </c>
      <c r="M459" s="8">
        <v>0</v>
      </c>
      <c r="N459" s="8"/>
      <c r="S459" s="89">
        <v>0</v>
      </c>
      <c r="T459" s="8">
        <v>5</v>
      </c>
      <c r="U459" s="89">
        <v>110</v>
      </c>
      <c r="V459" s="87">
        <v>1</v>
      </c>
      <c r="W459" s="8">
        <v>1</v>
      </c>
      <c r="X459" s="8">
        <v>1</v>
      </c>
      <c r="Y459">
        <v>0</v>
      </c>
      <c r="Z459" s="33">
        <v>0</v>
      </c>
      <c r="AA459">
        <v>5</v>
      </c>
      <c r="AB459" s="34">
        <v>4180</v>
      </c>
      <c r="AC459" s="87">
        <v>0</v>
      </c>
      <c r="AD459" s="62">
        <v>0</v>
      </c>
      <c r="AE459" s="90">
        <v>0</v>
      </c>
      <c r="AF459" s="90">
        <v>0</v>
      </c>
      <c r="AG459" s="91"/>
      <c r="AH459" s="91">
        <v>1</v>
      </c>
      <c r="AI459" s="91"/>
      <c r="AJ459" s="91"/>
      <c r="AK459" s="91"/>
      <c r="AL459" s="92">
        <v>1</v>
      </c>
      <c r="AM459" s="92"/>
      <c r="AN459" s="93"/>
      <c r="AO459" s="92"/>
      <c r="AQ459" t="s">
        <v>1294</v>
      </c>
      <c r="AS459">
        <v>1</v>
      </c>
    </row>
    <row r="460" spans="1:45">
      <c r="A460" s="8">
        <v>240071</v>
      </c>
      <c r="B460" s="8">
        <v>1001</v>
      </c>
      <c r="C460" s="8">
        <v>1</v>
      </c>
      <c r="D460" s="8">
        <v>3</v>
      </c>
      <c r="E460" t="s">
        <v>1294</v>
      </c>
      <c r="F460" s="13" t="s">
        <v>1294</v>
      </c>
      <c r="G460" t="s">
        <v>1295</v>
      </c>
      <c r="H460" t="s">
        <v>1296</v>
      </c>
      <c r="I460">
        <v>1</v>
      </c>
      <c r="J460" s="69">
        <v>2</v>
      </c>
      <c r="K460" s="87">
        <v>1</v>
      </c>
      <c r="L460" s="8">
        <v>999</v>
      </c>
      <c r="M460" s="8">
        <v>0</v>
      </c>
      <c r="N460" s="8"/>
      <c r="S460" s="89">
        <v>0</v>
      </c>
      <c r="T460" s="8">
        <v>5</v>
      </c>
      <c r="U460" s="89">
        <v>110</v>
      </c>
      <c r="V460" s="87">
        <v>1</v>
      </c>
      <c r="W460" s="8">
        <v>1</v>
      </c>
      <c r="X460" s="8">
        <v>1</v>
      </c>
      <c r="Y460">
        <v>0</v>
      </c>
      <c r="Z460" s="33">
        <v>0</v>
      </c>
      <c r="AA460">
        <v>5</v>
      </c>
      <c r="AB460" s="34">
        <v>4180</v>
      </c>
      <c r="AC460" s="87">
        <v>0</v>
      </c>
      <c r="AD460" s="62">
        <v>0</v>
      </c>
      <c r="AE460" s="90">
        <v>0</v>
      </c>
      <c r="AF460" s="90">
        <v>0</v>
      </c>
      <c r="AG460" s="91"/>
      <c r="AH460" s="91">
        <v>1</v>
      </c>
      <c r="AI460" s="91"/>
      <c r="AJ460" s="91"/>
      <c r="AK460" s="91"/>
      <c r="AL460" s="92">
        <v>1</v>
      </c>
      <c r="AM460" s="92"/>
      <c r="AN460" s="93"/>
      <c r="AO460" s="92"/>
      <c r="AQ460" t="s">
        <v>1294</v>
      </c>
      <c r="AS460">
        <v>1</v>
      </c>
    </row>
    <row r="461" spans="1:45">
      <c r="A461" s="8">
        <v>240072</v>
      </c>
      <c r="B461" s="8">
        <v>1001</v>
      </c>
      <c r="C461" s="8">
        <v>1</v>
      </c>
      <c r="D461" s="8">
        <v>3</v>
      </c>
      <c r="E461" t="s">
        <v>1294</v>
      </c>
      <c r="F461" s="13" t="s">
        <v>1294</v>
      </c>
      <c r="G461" t="s">
        <v>1295</v>
      </c>
      <c r="H461" t="s">
        <v>1296</v>
      </c>
      <c r="I461">
        <v>1</v>
      </c>
      <c r="J461" s="69">
        <v>2</v>
      </c>
      <c r="K461" s="87">
        <v>1</v>
      </c>
      <c r="L461" s="8">
        <v>999</v>
      </c>
      <c r="M461" s="8">
        <v>0</v>
      </c>
      <c r="N461" s="8"/>
      <c r="S461" s="89">
        <v>0</v>
      </c>
      <c r="T461" s="8">
        <v>5</v>
      </c>
      <c r="U461" s="89">
        <v>110</v>
      </c>
      <c r="V461" s="87">
        <v>1</v>
      </c>
      <c r="W461" s="8">
        <v>1</v>
      </c>
      <c r="X461" s="8">
        <v>1</v>
      </c>
      <c r="Y461">
        <v>0</v>
      </c>
      <c r="Z461" s="33">
        <v>0</v>
      </c>
      <c r="AA461">
        <v>5</v>
      </c>
      <c r="AB461" s="34">
        <v>4180</v>
      </c>
      <c r="AC461" s="87">
        <v>0</v>
      </c>
      <c r="AD461" s="62">
        <v>0</v>
      </c>
      <c r="AE461" s="90">
        <v>0</v>
      </c>
      <c r="AF461" s="90">
        <v>0</v>
      </c>
      <c r="AG461" s="91"/>
      <c r="AH461" s="91">
        <v>1</v>
      </c>
      <c r="AI461" s="91"/>
      <c r="AJ461" s="91"/>
      <c r="AK461" s="91"/>
      <c r="AL461" s="92">
        <v>1</v>
      </c>
      <c r="AM461" s="92"/>
      <c r="AN461" s="93"/>
      <c r="AO461" s="92"/>
      <c r="AQ461" t="s">
        <v>1294</v>
      </c>
      <c r="AS461">
        <v>1</v>
      </c>
    </row>
    <row r="462" spans="1:45">
      <c r="A462" s="8">
        <v>240073</v>
      </c>
      <c r="B462" s="8">
        <v>1001</v>
      </c>
      <c r="C462" s="8">
        <v>1</v>
      </c>
      <c r="D462" s="8">
        <v>3</v>
      </c>
      <c r="E462" t="s">
        <v>1392</v>
      </c>
      <c r="F462" s="13" t="s">
        <v>1294</v>
      </c>
      <c r="G462" t="s">
        <v>1295</v>
      </c>
      <c r="H462" t="s">
        <v>1296</v>
      </c>
      <c r="I462">
        <v>1</v>
      </c>
      <c r="J462" s="69">
        <v>2</v>
      </c>
      <c r="K462" s="87">
        <v>1</v>
      </c>
      <c r="L462" s="8">
        <v>999</v>
      </c>
      <c r="M462" s="8">
        <v>0</v>
      </c>
      <c r="N462" s="8"/>
      <c r="S462" s="89">
        <v>0</v>
      </c>
      <c r="T462" s="8">
        <v>5</v>
      </c>
      <c r="U462" s="89">
        <v>110</v>
      </c>
      <c r="V462" s="87">
        <v>1</v>
      </c>
      <c r="W462" s="8">
        <v>1</v>
      </c>
      <c r="X462" s="8">
        <v>1</v>
      </c>
      <c r="Y462">
        <v>0</v>
      </c>
      <c r="Z462" s="33">
        <v>0</v>
      </c>
      <c r="AA462">
        <v>5</v>
      </c>
      <c r="AB462" s="34">
        <v>4180</v>
      </c>
      <c r="AC462" s="87">
        <v>0</v>
      </c>
      <c r="AD462" s="62">
        <v>0</v>
      </c>
      <c r="AE462" s="90">
        <v>0</v>
      </c>
      <c r="AF462" s="90">
        <v>0</v>
      </c>
      <c r="AG462" s="91"/>
      <c r="AH462" s="91">
        <v>1</v>
      </c>
      <c r="AI462" s="91"/>
      <c r="AJ462" s="91"/>
      <c r="AK462" s="91"/>
      <c r="AL462" s="92">
        <v>1</v>
      </c>
      <c r="AM462" s="92"/>
      <c r="AN462" s="93"/>
      <c r="AO462" s="92"/>
      <c r="AQ462" t="s">
        <v>1393</v>
      </c>
      <c r="AS462">
        <v>1</v>
      </c>
    </row>
    <row r="463" spans="1:45">
      <c r="A463" s="8">
        <v>240074</v>
      </c>
      <c r="B463" s="8">
        <v>1001</v>
      </c>
      <c r="C463" s="8">
        <v>1</v>
      </c>
      <c r="D463" s="8">
        <v>3</v>
      </c>
      <c r="E463" t="s">
        <v>1394</v>
      </c>
      <c r="F463" s="13" t="s">
        <v>1288</v>
      </c>
      <c r="G463" t="s">
        <v>1289</v>
      </c>
      <c r="H463" t="s">
        <v>1290</v>
      </c>
      <c r="I463">
        <v>1</v>
      </c>
      <c r="J463" s="69">
        <v>2</v>
      </c>
      <c r="K463" s="87">
        <v>1</v>
      </c>
      <c r="L463" s="8">
        <v>999</v>
      </c>
      <c r="M463" s="8">
        <v>0</v>
      </c>
      <c r="N463" s="8"/>
      <c r="S463" s="89">
        <v>0</v>
      </c>
      <c r="T463" s="8">
        <v>5</v>
      </c>
      <c r="U463" s="89">
        <v>110</v>
      </c>
      <c r="V463" s="87">
        <v>1</v>
      </c>
      <c r="W463" s="8">
        <v>1</v>
      </c>
      <c r="X463" s="8">
        <v>1</v>
      </c>
      <c r="Y463">
        <v>0</v>
      </c>
      <c r="Z463" s="33">
        <v>0</v>
      </c>
      <c r="AA463">
        <v>5</v>
      </c>
      <c r="AB463" s="34">
        <v>4180</v>
      </c>
      <c r="AC463" s="87">
        <v>0</v>
      </c>
      <c r="AD463" s="62">
        <v>0</v>
      </c>
      <c r="AE463" s="90">
        <v>0</v>
      </c>
      <c r="AF463" s="90">
        <v>0</v>
      </c>
      <c r="AG463" s="91"/>
      <c r="AH463" s="91">
        <v>1</v>
      </c>
      <c r="AI463" s="91"/>
      <c r="AJ463" s="91"/>
      <c r="AK463" s="91"/>
      <c r="AL463" s="92">
        <v>1</v>
      </c>
      <c r="AM463" s="92"/>
      <c r="AN463" s="93"/>
      <c r="AO463" s="92"/>
      <c r="AQ463" t="s">
        <v>1288</v>
      </c>
      <c r="AS463">
        <v>1</v>
      </c>
    </row>
    <row r="464" spans="1:45">
      <c r="A464" s="8">
        <v>240075</v>
      </c>
      <c r="B464" s="8">
        <v>1001</v>
      </c>
      <c r="C464" s="8">
        <v>1</v>
      </c>
      <c r="D464" s="8">
        <v>3</v>
      </c>
      <c r="E464" t="s">
        <v>1392</v>
      </c>
      <c r="F464" s="13" t="s">
        <v>1294</v>
      </c>
      <c r="G464" t="s">
        <v>1395</v>
      </c>
      <c r="H464" t="s">
        <v>1296</v>
      </c>
      <c r="I464">
        <v>1</v>
      </c>
      <c r="J464" s="69">
        <v>2</v>
      </c>
      <c r="K464" s="87">
        <v>1</v>
      </c>
      <c r="L464" s="8">
        <v>999</v>
      </c>
      <c r="M464" s="8">
        <v>0</v>
      </c>
      <c r="N464" s="8"/>
      <c r="S464" s="89">
        <v>0</v>
      </c>
      <c r="T464" s="8">
        <v>5</v>
      </c>
      <c r="U464" s="89">
        <v>110</v>
      </c>
      <c r="V464" s="87">
        <v>1</v>
      </c>
      <c r="W464" s="8">
        <v>1</v>
      </c>
      <c r="X464" s="8">
        <v>1</v>
      </c>
      <c r="Y464">
        <v>0</v>
      </c>
      <c r="Z464" s="33">
        <v>0</v>
      </c>
      <c r="AA464">
        <v>5</v>
      </c>
      <c r="AB464" s="34">
        <v>4180</v>
      </c>
      <c r="AC464" s="87">
        <v>0</v>
      </c>
      <c r="AD464" s="62">
        <v>0</v>
      </c>
      <c r="AE464" s="90">
        <v>0</v>
      </c>
      <c r="AF464" s="90">
        <v>0</v>
      </c>
      <c r="AG464" s="91"/>
      <c r="AH464" s="91">
        <v>1</v>
      </c>
      <c r="AI464" s="91"/>
      <c r="AJ464" s="91"/>
      <c r="AK464" s="91"/>
      <c r="AL464" s="92">
        <v>1</v>
      </c>
      <c r="AM464" s="92"/>
      <c r="AN464" s="93"/>
      <c r="AO464" s="92"/>
      <c r="AQ464" t="s">
        <v>1393</v>
      </c>
      <c r="AS464">
        <v>1</v>
      </c>
    </row>
    <row r="465" spans="1:45">
      <c r="A465" s="8">
        <v>240076</v>
      </c>
      <c r="B465" s="8">
        <v>1001</v>
      </c>
      <c r="C465" s="8">
        <v>1</v>
      </c>
      <c r="D465" s="8">
        <v>3</v>
      </c>
      <c r="E465" t="s">
        <v>1396</v>
      </c>
      <c r="F465" s="13" t="s">
        <v>1396</v>
      </c>
      <c r="G465" t="s">
        <v>1397</v>
      </c>
      <c r="H465" t="s">
        <v>1329</v>
      </c>
      <c r="I465">
        <v>1</v>
      </c>
      <c r="J465" s="69">
        <v>2</v>
      </c>
      <c r="K465" s="87">
        <v>1</v>
      </c>
      <c r="L465" s="8">
        <v>999</v>
      </c>
      <c r="M465" s="8">
        <v>0</v>
      </c>
      <c r="N465" s="8"/>
      <c r="S465" s="89">
        <v>0</v>
      </c>
      <c r="T465" s="8">
        <v>5</v>
      </c>
      <c r="U465" s="89">
        <v>110</v>
      </c>
      <c r="V465" s="87">
        <v>1</v>
      </c>
      <c r="W465" s="8">
        <v>1</v>
      </c>
      <c r="X465" s="8">
        <v>1</v>
      </c>
      <c r="Y465">
        <v>0</v>
      </c>
      <c r="Z465" s="33">
        <v>0</v>
      </c>
      <c r="AA465">
        <v>5</v>
      </c>
      <c r="AB465" s="34">
        <v>4180</v>
      </c>
      <c r="AC465" s="87">
        <v>0</v>
      </c>
      <c r="AD465" s="62">
        <v>0</v>
      </c>
      <c r="AE465" s="90">
        <v>0</v>
      </c>
      <c r="AF465" s="90">
        <v>0</v>
      </c>
      <c r="AG465" s="91"/>
      <c r="AH465" s="91">
        <v>1</v>
      </c>
      <c r="AI465" s="91"/>
      <c r="AJ465" s="91"/>
      <c r="AK465" s="91"/>
      <c r="AL465" s="92">
        <v>1</v>
      </c>
      <c r="AM465" s="92"/>
      <c r="AN465" s="93"/>
      <c r="AO465" s="92"/>
      <c r="AQ465" t="s">
        <v>1379</v>
      </c>
      <c r="AS465">
        <v>1</v>
      </c>
    </row>
    <row r="466" spans="1:45">
      <c r="A466" s="8">
        <v>240077</v>
      </c>
      <c r="B466" s="8">
        <v>1001</v>
      </c>
      <c r="C466" s="8">
        <v>1</v>
      </c>
      <c r="D466" s="8">
        <v>3</v>
      </c>
      <c r="E466" t="s">
        <v>1398</v>
      </c>
      <c r="F466" s="13" t="s">
        <v>1398</v>
      </c>
      <c r="G466" t="s">
        <v>1399</v>
      </c>
      <c r="H466" t="s">
        <v>1329</v>
      </c>
      <c r="I466">
        <v>1</v>
      </c>
      <c r="J466" s="69">
        <v>2</v>
      </c>
      <c r="K466" s="87">
        <v>1</v>
      </c>
      <c r="L466" s="8">
        <v>999</v>
      </c>
      <c r="M466" s="8">
        <v>0</v>
      </c>
      <c r="N466" s="8"/>
      <c r="S466" s="89">
        <v>0</v>
      </c>
      <c r="T466" s="8">
        <v>5</v>
      </c>
      <c r="U466" s="89">
        <v>110</v>
      </c>
      <c r="V466" s="87">
        <v>1</v>
      </c>
      <c r="W466" s="8">
        <v>1</v>
      </c>
      <c r="X466" s="8">
        <v>1</v>
      </c>
      <c r="Y466">
        <v>0</v>
      </c>
      <c r="Z466" s="33">
        <v>0</v>
      </c>
      <c r="AA466">
        <v>5</v>
      </c>
      <c r="AB466" s="34">
        <v>4180</v>
      </c>
      <c r="AC466" s="87">
        <v>0</v>
      </c>
      <c r="AD466" s="62">
        <v>0</v>
      </c>
      <c r="AE466" s="90">
        <v>0</v>
      </c>
      <c r="AF466" s="90">
        <v>0</v>
      </c>
      <c r="AG466" s="91"/>
      <c r="AH466" s="91">
        <v>1</v>
      </c>
      <c r="AI466" s="91"/>
      <c r="AJ466" s="91"/>
      <c r="AK466" s="91"/>
      <c r="AL466" s="92">
        <v>1</v>
      </c>
      <c r="AM466" s="92"/>
      <c r="AN466" s="93"/>
      <c r="AO466" s="92"/>
      <c r="AS466">
        <v>1</v>
      </c>
    </row>
    <row r="467" spans="1:45">
      <c r="A467" s="8">
        <v>240078</v>
      </c>
      <c r="B467" s="8">
        <v>1001</v>
      </c>
      <c r="C467" s="8">
        <v>1</v>
      </c>
      <c r="D467" s="8">
        <v>3</v>
      </c>
      <c r="E467" t="s">
        <v>1400</v>
      </c>
      <c r="F467" s="13" t="s">
        <v>1400</v>
      </c>
      <c r="G467" t="s">
        <v>1401</v>
      </c>
      <c r="H467" t="s">
        <v>1329</v>
      </c>
      <c r="I467">
        <v>1</v>
      </c>
      <c r="J467" s="69">
        <v>2</v>
      </c>
      <c r="K467" s="87">
        <v>1</v>
      </c>
      <c r="L467" s="8">
        <v>999</v>
      </c>
      <c r="M467" s="8">
        <v>0</v>
      </c>
      <c r="N467" s="8"/>
      <c r="S467" s="89">
        <v>0</v>
      </c>
      <c r="T467" s="8">
        <v>5</v>
      </c>
      <c r="U467" s="89">
        <v>110</v>
      </c>
      <c r="V467" s="87">
        <v>1</v>
      </c>
      <c r="W467" s="8">
        <v>1</v>
      </c>
      <c r="X467" s="8">
        <v>1</v>
      </c>
      <c r="Y467">
        <v>0</v>
      </c>
      <c r="Z467" s="33">
        <v>0</v>
      </c>
      <c r="AA467">
        <v>5</v>
      </c>
      <c r="AB467" s="34">
        <v>4180</v>
      </c>
      <c r="AC467" s="87">
        <v>0</v>
      </c>
      <c r="AD467" s="62">
        <v>0</v>
      </c>
      <c r="AE467" s="90">
        <v>0</v>
      </c>
      <c r="AF467" s="90">
        <v>0</v>
      </c>
      <c r="AG467" s="91"/>
      <c r="AH467" s="91">
        <v>1</v>
      </c>
      <c r="AI467" s="91"/>
      <c r="AJ467" s="91"/>
      <c r="AK467" s="91"/>
      <c r="AL467" s="92">
        <v>1</v>
      </c>
      <c r="AM467" s="92"/>
      <c r="AN467" s="93"/>
      <c r="AO467" s="92"/>
      <c r="AQ467"/>
      <c r="AS467">
        <v>1</v>
      </c>
    </row>
    <row r="468" spans="1:45">
      <c r="A468" s="8">
        <v>240079</v>
      </c>
      <c r="B468" s="8">
        <v>1001</v>
      </c>
      <c r="C468" s="8">
        <v>1</v>
      </c>
      <c r="D468" s="8">
        <v>3</v>
      </c>
      <c r="E468" t="s">
        <v>1377</v>
      </c>
      <c r="F468" s="13" t="s">
        <v>1377</v>
      </c>
      <c r="G468" t="s">
        <v>1402</v>
      </c>
      <c r="H468" t="s">
        <v>1329</v>
      </c>
      <c r="I468">
        <v>1</v>
      </c>
      <c r="J468" s="69">
        <v>2</v>
      </c>
      <c r="K468" s="87">
        <v>1</v>
      </c>
      <c r="L468" s="8">
        <v>999</v>
      </c>
      <c r="M468" s="8">
        <v>0</v>
      </c>
      <c r="N468" s="8"/>
      <c r="S468" s="89">
        <v>0</v>
      </c>
      <c r="T468" s="8">
        <v>5</v>
      </c>
      <c r="U468" s="89">
        <v>110</v>
      </c>
      <c r="V468" s="87">
        <v>1</v>
      </c>
      <c r="W468" s="8">
        <v>1</v>
      </c>
      <c r="X468" s="8">
        <v>1</v>
      </c>
      <c r="Y468">
        <v>0</v>
      </c>
      <c r="Z468" s="33">
        <v>0</v>
      </c>
      <c r="AA468">
        <v>5</v>
      </c>
      <c r="AB468" s="34">
        <v>4180</v>
      </c>
      <c r="AC468" s="87">
        <v>0</v>
      </c>
      <c r="AD468" s="62">
        <v>0</v>
      </c>
      <c r="AE468" s="90">
        <v>0</v>
      </c>
      <c r="AF468" s="90">
        <v>0</v>
      </c>
      <c r="AG468" s="91"/>
      <c r="AH468" s="91">
        <v>1</v>
      </c>
      <c r="AI468" s="91"/>
      <c r="AJ468" s="91"/>
      <c r="AK468" s="91"/>
      <c r="AL468" s="92">
        <v>1</v>
      </c>
      <c r="AM468" s="92"/>
      <c r="AN468" s="93"/>
      <c r="AO468" s="92"/>
      <c r="AQ468" t="s">
        <v>1403</v>
      </c>
      <c r="AS468">
        <v>1</v>
      </c>
    </row>
    <row r="469" s="42" customFormat="1" spans="1:45">
      <c r="A469" s="8">
        <v>240080</v>
      </c>
      <c r="B469" s="8">
        <v>1001</v>
      </c>
      <c r="C469" s="8">
        <v>1</v>
      </c>
      <c r="D469" s="8">
        <v>3</v>
      </c>
      <c r="E469" t="s">
        <v>1404</v>
      </c>
      <c r="F469" s="13" t="s">
        <v>1404</v>
      </c>
      <c r="G469" t="s">
        <v>1405</v>
      </c>
      <c r="H469" t="s">
        <v>1329</v>
      </c>
      <c r="I469">
        <v>1</v>
      </c>
      <c r="J469" s="69">
        <v>2</v>
      </c>
      <c r="K469" s="87">
        <v>1</v>
      </c>
      <c r="L469" s="8">
        <v>999</v>
      </c>
      <c r="M469" s="8">
        <v>0</v>
      </c>
      <c r="N469" s="8"/>
      <c r="O469" s="239"/>
      <c r="S469" s="89">
        <v>0</v>
      </c>
      <c r="T469" s="8">
        <v>5</v>
      </c>
      <c r="U469" s="89">
        <v>110</v>
      </c>
      <c r="V469" s="87">
        <v>1</v>
      </c>
      <c r="W469" s="8">
        <v>1</v>
      </c>
      <c r="X469" s="8">
        <v>1</v>
      </c>
      <c r="Y469">
        <v>0</v>
      </c>
      <c r="Z469" s="33">
        <v>0</v>
      </c>
      <c r="AA469">
        <v>5</v>
      </c>
      <c r="AB469" s="34">
        <v>4180</v>
      </c>
      <c r="AC469" s="87">
        <v>0</v>
      </c>
      <c r="AD469" s="62">
        <v>0</v>
      </c>
      <c r="AE469" s="90">
        <v>0</v>
      </c>
      <c r="AF469" s="90">
        <v>0</v>
      </c>
      <c r="AG469" s="91"/>
      <c r="AH469" s="91">
        <v>1</v>
      </c>
      <c r="AI469" s="91"/>
      <c r="AJ469" s="91"/>
      <c r="AK469" s="91"/>
      <c r="AL469" s="92">
        <v>1</v>
      </c>
      <c r="AM469" s="92"/>
      <c r="AN469" s="93"/>
      <c r="AO469" s="92"/>
      <c r="AQ469" t="s">
        <v>1406</v>
      </c>
      <c r="AS469">
        <v>1</v>
      </c>
    </row>
    <row r="470" s="42" customFormat="1" spans="1:45">
      <c r="A470" s="240">
        <v>240081</v>
      </c>
      <c r="B470" s="240">
        <v>1001</v>
      </c>
      <c r="C470" s="240">
        <v>1</v>
      </c>
      <c r="D470" s="240">
        <v>3</v>
      </c>
      <c r="E470" s="241" t="s">
        <v>1297</v>
      </c>
      <c r="F470" s="13" t="s">
        <v>1297</v>
      </c>
      <c r="G470" s="42" t="s">
        <v>1298</v>
      </c>
      <c r="H470" s="42" t="s">
        <v>1299</v>
      </c>
      <c r="I470" s="42">
        <v>1</v>
      </c>
      <c r="J470" s="242">
        <v>2</v>
      </c>
      <c r="K470" s="240">
        <v>1</v>
      </c>
      <c r="L470" s="8">
        <v>999</v>
      </c>
      <c r="M470" s="240">
        <v>0</v>
      </c>
      <c r="N470" s="240"/>
      <c r="O470" s="239"/>
      <c r="S470" s="240">
        <v>0</v>
      </c>
      <c r="T470" s="240">
        <v>5</v>
      </c>
      <c r="U470" s="240">
        <v>110</v>
      </c>
      <c r="V470" s="240">
        <v>1</v>
      </c>
      <c r="W470" s="240">
        <v>1</v>
      </c>
      <c r="X470" s="240">
        <v>1</v>
      </c>
      <c r="Y470" s="42">
        <v>0</v>
      </c>
      <c r="Z470" s="42">
        <v>0</v>
      </c>
      <c r="AA470" s="42">
        <v>5</v>
      </c>
      <c r="AB470" s="42">
        <v>4180</v>
      </c>
      <c r="AC470" s="240">
        <v>0</v>
      </c>
      <c r="AD470" s="243">
        <v>0</v>
      </c>
      <c r="AE470" s="244">
        <v>0</v>
      </c>
      <c r="AF470" s="244">
        <v>0</v>
      </c>
      <c r="AG470" s="245"/>
      <c r="AH470" s="245">
        <v>1</v>
      </c>
      <c r="AI470" s="245"/>
      <c r="AJ470" s="245"/>
      <c r="AK470" s="245"/>
      <c r="AL470" s="246">
        <v>1</v>
      </c>
      <c r="AM470" s="246"/>
      <c r="AN470" s="93"/>
      <c r="AO470" s="92"/>
      <c r="AQ470" s="241" t="s">
        <v>1297</v>
      </c>
      <c r="AS470" s="42">
        <v>1</v>
      </c>
    </row>
    <row r="471" s="42" customFormat="1" spans="1:45">
      <c r="A471" s="240">
        <v>240082</v>
      </c>
      <c r="B471" s="240">
        <v>1001</v>
      </c>
      <c r="C471" s="240">
        <v>1</v>
      </c>
      <c r="D471" s="240">
        <v>3</v>
      </c>
      <c r="E471" s="241" t="s">
        <v>1300</v>
      </c>
      <c r="F471" s="13" t="s">
        <v>1297</v>
      </c>
      <c r="G471" s="42" t="s">
        <v>1298</v>
      </c>
      <c r="H471" s="42" t="s">
        <v>1301</v>
      </c>
      <c r="I471" s="42">
        <v>1</v>
      </c>
      <c r="J471" s="242">
        <v>2</v>
      </c>
      <c r="K471" s="240">
        <v>1</v>
      </c>
      <c r="L471" s="8">
        <v>999</v>
      </c>
      <c r="M471" s="240">
        <v>0</v>
      </c>
      <c r="N471" s="240"/>
      <c r="O471" s="239"/>
      <c r="S471" s="240">
        <v>0</v>
      </c>
      <c r="T471" s="240">
        <v>5</v>
      </c>
      <c r="U471" s="240">
        <v>110</v>
      </c>
      <c r="V471" s="240">
        <v>1</v>
      </c>
      <c r="W471" s="240">
        <v>1</v>
      </c>
      <c r="X471" s="240">
        <v>1</v>
      </c>
      <c r="Y471" s="42">
        <v>0</v>
      </c>
      <c r="Z471" s="42">
        <v>0</v>
      </c>
      <c r="AA471" s="42">
        <v>5</v>
      </c>
      <c r="AB471" s="42">
        <v>4180</v>
      </c>
      <c r="AC471" s="240">
        <v>0</v>
      </c>
      <c r="AD471" s="243">
        <v>0</v>
      </c>
      <c r="AE471" s="244">
        <v>0</v>
      </c>
      <c r="AF471" s="244">
        <v>0</v>
      </c>
      <c r="AG471" s="245"/>
      <c r="AH471" s="245">
        <v>1</v>
      </c>
      <c r="AI471" s="245"/>
      <c r="AJ471" s="245"/>
      <c r="AK471" s="245"/>
      <c r="AL471" s="246">
        <v>1</v>
      </c>
      <c r="AM471" s="246"/>
      <c r="AN471" s="93"/>
      <c r="AO471" s="92"/>
      <c r="AQ471" s="241" t="s">
        <v>1300</v>
      </c>
      <c r="AS471" s="42">
        <v>1</v>
      </c>
    </row>
    <row r="472" s="42" customFormat="1" spans="1:45">
      <c r="A472" s="240">
        <v>240083</v>
      </c>
      <c r="B472" s="240">
        <v>1001</v>
      </c>
      <c r="C472" s="240">
        <v>1</v>
      </c>
      <c r="D472" s="240">
        <v>3</v>
      </c>
      <c r="E472" s="241" t="s">
        <v>1365</v>
      </c>
      <c r="F472" s="13" t="s">
        <v>1365</v>
      </c>
      <c r="G472" s="42" t="s">
        <v>1366</v>
      </c>
      <c r="H472" s="42" t="s">
        <v>1367</v>
      </c>
      <c r="I472" s="42">
        <v>1</v>
      </c>
      <c r="J472" s="242">
        <v>2</v>
      </c>
      <c r="K472" s="240">
        <v>1</v>
      </c>
      <c r="L472" s="8">
        <v>999</v>
      </c>
      <c r="M472" s="240">
        <v>0</v>
      </c>
      <c r="N472" s="240"/>
      <c r="O472" s="239"/>
      <c r="S472" s="240">
        <v>0</v>
      </c>
      <c r="T472" s="240">
        <v>5</v>
      </c>
      <c r="U472" s="240">
        <v>110</v>
      </c>
      <c r="V472" s="240">
        <v>1</v>
      </c>
      <c r="W472" s="240">
        <v>1</v>
      </c>
      <c r="X472" s="240">
        <v>1</v>
      </c>
      <c r="Y472" s="42">
        <v>0</v>
      </c>
      <c r="Z472" s="42">
        <v>0</v>
      </c>
      <c r="AA472" s="42">
        <v>5</v>
      </c>
      <c r="AB472" s="42">
        <v>4180</v>
      </c>
      <c r="AC472" s="240">
        <v>0</v>
      </c>
      <c r="AD472" s="243">
        <v>0</v>
      </c>
      <c r="AE472" s="244">
        <v>0</v>
      </c>
      <c r="AF472" s="244">
        <v>0</v>
      </c>
      <c r="AG472" s="245"/>
      <c r="AH472" s="245">
        <v>1</v>
      </c>
      <c r="AI472" s="245"/>
      <c r="AJ472" s="245"/>
      <c r="AK472" s="245"/>
      <c r="AL472" s="246">
        <v>1</v>
      </c>
      <c r="AM472" s="246"/>
      <c r="AN472" s="93"/>
      <c r="AO472" s="92"/>
      <c r="AQ472" s="241" t="s">
        <v>1365</v>
      </c>
      <c r="AS472" s="42">
        <v>1</v>
      </c>
    </row>
    <row r="473" s="41" customFormat="1" spans="1:45">
      <c r="A473" s="240">
        <v>240084</v>
      </c>
      <c r="B473" s="240">
        <v>1001</v>
      </c>
      <c r="C473" s="240">
        <v>1</v>
      </c>
      <c r="D473" s="240">
        <v>3</v>
      </c>
      <c r="E473" s="241" t="s">
        <v>1368</v>
      </c>
      <c r="F473" s="13" t="s">
        <v>1368</v>
      </c>
      <c r="G473" s="42" t="s">
        <v>1368</v>
      </c>
      <c r="H473" s="42" t="s">
        <v>1369</v>
      </c>
      <c r="I473" s="42">
        <v>1</v>
      </c>
      <c r="J473" s="242">
        <v>2</v>
      </c>
      <c r="K473" s="240">
        <v>1</v>
      </c>
      <c r="L473" s="8">
        <v>999</v>
      </c>
      <c r="M473" s="240">
        <v>0</v>
      </c>
      <c r="N473" s="240"/>
      <c r="O473" s="239"/>
      <c r="S473" s="240">
        <v>0</v>
      </c>
      <c r="T473" s="240">
        <v>5</v>
      </c>
      <c r="U473" s="240">
        <v>110</v>
      </c>
      <c r="V473" s="240">
        <v>1</v>
      </c>
      <c r="W473" s="240">
        <v>1</v>
      </c>
      <c r="X473" s="240">
        <v>1</v>
      </c>
      <c r="Y473" s="42">
        <v>0</v>
      </c>
      <c r="Z473" s="42">
        <v>0</v>
      </c>
      <c r="AA473" s="42">
        <v>5</v>
      </c>
      <c r="AB473" s="42">
        <v>4180</v>
      </c>
      <c r="AC473" s="240">
        <v>0</v>
      </c>
      <c r="AD473" s="243">
        <v>0</v>
      </c>
      <c r="AE473" s="244">
        <v>0</v>
      </c>
      <c r="AF473" s="244">
        <v>0</v>
      </c>
      <c r="AG473" s="245"/>
      <c r="AH473" s="245">
        <v>1</v>
      </c>
      <c r="AI473" s="245"/>
      <c r="AJ473" s="245"/>
      <c r="AK473" s="245"/>
      <c r="AL473" s="246">
        <v>1</v>
      </c>
      <c r="AM473" s="246"/>
      <c r="AN473" s="93"/>
      <c r="AO473" s="92"/>
      <c r="AQ473" s="241" t="s">
        <v>1368</v>
      </c>
      <c r="AS473" s="42">
        <v>1</v>
      </c>
    </row>
    <row r="474" s="41" customFormat="1" spans="1:45">
      <c r="A474" s="220">
        <v>240085</v>
      </c>
      <c r="B474" s="220">
        <v>1001</v>
      </c>
      <c r="C474" s="220">
        <v>1</v>
      </c>
      <c r="D474" s="220">
        <v>3</v>
      </c>
      <c r="E474" s="247" t="s">
        <v>1407</v>
      </c>
      <c r="F474" s="13" t="s">
        <v>1407</v>
      </c>
      <c r="G474" s="41" t="s">
        <v>1408</v>
      </c>
      <c r="H474" s="41" t="s">
        <v>1329</v>
      </c>
      <c r="I474" s="41">
        <v>1</v>
      </c>
      <c r="J474" s="223">
        <v>2</v>
      </c>
      <c r="K474" s="220">
        <v>1</v>
      </c>
      <c r="L474" s="8">
        <v>999</v>
      </c>
      <c r="M474" s="220">
        <v>0</v>
      </c>
      <c r="N474" s="220"/>
      <c r="O474" s="218"/>
      <c r="S474" s="220">
        <v>0</v>
      </c>
      <c r="T474" s="220">
        <v>5</v>
      </c>
      <c r="U474" s="220">
        <v>110</v>
      </c>
      <c r="V474" s="220">
        <v>1</v>
      </c>
      <c r="W474" s="220">
        <v>1</v>
      </c>
      <c r="X474" s="220">
        <v>1</v>
      </c>
      <c r="Y474" s="41">
        <v>0</v>
      </c>
      <c r="Z474" s="41">
        <v>0</v>
      </c>
      <c r="AA474" s="41">
        <v>5</v>
      </c>
      <c r="AB474" s="41">
        <v>4180</v>
      </c>
      <c r="AC474" s="220">
        <v>0</v>
      </c>
      <c r="AD474" s="224">
        <v>0</v>
      </c>
      <c r="AE474" s="225">
        <v>0</v>
      </c>
      <c r="AF474" s="225">
        <v>0</v>
      </c>
      <c r="AG474" s="226"/>
      <c r="AH474" s="226">
        <v>1</v>
      </c>
      <c r="AI474" s="226"/>
      <c r="AJ474" s="226"/>
      <c r="AK474" s="226"/>
      <c r="AL474" s="230">
        <v>1</v>
      </c>
      <c r="AM474" s="230"/>
      <c r="AN474" s="93"/>
      <c r="AO474" s="92"/>
      <c r="AQ474" s="247" t="s">
        <v>1407</v>
      </c>
      <c r="AS474" s="41">
        <v>1</v>
      </c>
    </row>
    <row r="475" s="41" customFormat="1" spans="1:45">
      <c r="A475" s="220">
        <v>240086</v>
      </c>
      <c r="B475" s="220">
        <v>1001</v>
      </c>
      <c r="C475" s="220">
        <v>1</v>
      </c>
      <c r="D475" s="220">
        <v>3</v>
      </c>
      <c r="E475" s="247" t="s">
        <v>1409</v>
      </c>
      <c r="F475" s="13" t="s">
        <v>1409</v>
      </c>
      <c r="G475" s="41" t="s">
        <v>1410</v>
      </c>
      <c r="H475" s="41" t="s">
        <v>1329</v>
      </c>
      <c r="I475" s="41">
        <v>1</v>
      </c>
      <c r="J475" s="223">
        <v>2</v>
      </c>
      <c r="K475" s="220">
        <v>1</v>
      </c>
      <c r="L475" s="8">
        <v>999</v>
      </c>
      <c r="M475" s="220">
        <v>0</v>
      </c>
      <c r="N475" s="220"/>
      <c r="O475" s="218"/>
      <c r="S475" s="220">
        <v>0</v>
      </c>
      <c r="T475" s="220">
        <v>5</v>
      </c>
      <c r="U475" s="220">
        <v>110</v>
      </c>
      <c r="V475" s="220">
        <v>1</v>
      </c>
      <c r="W475" s="220">
        <v>1</v>
      </c>
      <c r="X475" s="220">
        <v>1</v>
      </c>
      <c r="Y475" s="41">
        <v>0</v>
      </c>
      <c r="Z475" s="41">
        <v>0</v>
      </c>
      <c r="AA475" s="41">
        <v>5</v>
      </c>
      <c r="AB475" s="41">
        <v>4180</v>
      </c>
      <c r="AC475" s="220">
        <v>0</v>
      </c>
      <c r="AD475" s="224">
        <v>0</v>
      </c>
      <c r="AE475" s="225">
        <v>0</v>
      </c>
      <c r="AF475" s="225">
        <v>0</v>
      </c>
      <c r="AG475" s="226"/>
      <c r="AH475" s="226">
        <v>1</v>
      </c>
      <c r="AI475" s="226"/>
      <c r="AJ475" s="226"/>
      <c r="AK475" s="226"/>
      <c r="AL475" s="230">
        <v>1</v>
      </c>
      <c r="AM475" s="230"/>
      <c r="AN475" s="93"/>
      <c r="AO475" s="92"/>
      <c r="AQ475" s="247" t="s">
        <v>1409</v>
      </c>
      <c r="AS475" s="41">
        <v>1</v>
      </c>
    </row>
    <row r="476" s="41" customFormat="1" spans="1:45">
      <c r="A476" s="220">
        <v>240087</v>
      </c>
      <c r="B476" s="220">
        <v>1001</v>
      </c>
      <c r="C476" s="220">
        <v>1</v>
      </c>
      <c r="D476" s="220">
        <v>3</v>
      </c>
      <c r="E476" s="247" t="s">
        <v>1411</v>
      </c>
      <c r="F476" s="13" t="s">
        <v>1411</v>
      </c>
      <c r="G476" s="41" t="s">
        <v>1412</v>
      </c>
      <c r="H476" s="41" t="s">
        <v>1329</v>
      </c>
      <c r="I476" s="41">
        <v>1</v>
      </c>
      <c r="J476" s="223">
        <v>2</v>
      </c>
      <c r="K476" s="220">
        <v>1</v>
      </c>
      <c r="L476" s="8">
        <v>999</v>
      </c>
      <c r="M476" s="220">
        <v>0</v>
      </c>
      <c r="N476" s="220"/>
      <c r="O476" s="218"/>
      <c r="S476" s="220">
        <v>0</v>
      </c>
      <c r="T476" s="220">
        <v>5</v>
      </c>
      <c r="U476" s="220">
        <v>110</v>
      </c>
      <c r="V476" s="220">
        <v>1</v>
      </c>
      <c r="W476" s="220">
        <v>1</v>
      </c>
      <c r="X476" s="220">
        <v>1</v>
      </c>
      <c r="Y476" s="41">
        <v>0</v>
      </c>
      <c r="Z476" s="41">
        <v>0</v>
      </c>
      <c r="AA476" s="41">
        <v>5</v>
      </c>
      <c r="AB476" s="41">
        <v>4180</v>
      </c>
      <c r="AC476" s="220">
        <v>0</v>
      </c>
      <c r="AD476" s="224">
        <v>0</v>
      </c>
      <c r="AE476" s="225">
        <v>0</v>
      </c>
      <c r="AF476" s="225">
        <v>0</v>
      </c>
      <c r="AG476" s="226"/>
      <c r="AH476" s="226">
        <v>1</v>
      </c>
      <c r="AI476" s="226"/>
      <c r="AJ476" s="226"/>
      <c r="AK476" s="226"/>
      <c r="AL476" s="230">
        <v>1</v>
      </c>
      <c r="AM476" s="230"/>
      <c r="AN476" s="93"/>
      <c r="AO476" s="92"/>
      <c r="AQ476" s="247" t="s">
        <v>1411</v>
      </c>
      <c r="AS476" s="41">
        <v>1</v>
      </c>
    </row>
    <row r="477" spans="1:45">
      <c r="A477" s="220">
        <v>240088</v>
      </c>
      <c r="B477" s="220">
        <v>1001</v>
      </c>
      <c r="C477" s="220">
        <v>1</v>
      </c>
      <c r="D477" s="220">
        <v>3</v>
      </c>
      <c r="E477" s="247" t="s">
        <v>1413</v>
      </c>
      <c r="F477" s="13" t="s">
        <v>1413</v>
      </c>
      <c r="G477" s="41" t="s">
        <v>1414</v>
      </c>
      <c r="H477" s="41" t="s">
        <v>1329</v>
      </c>
      <c r="I477" s="41">
        <v>1</v>
      </c>
      <c r="J477" s="223">
        <v>2</v>
      </c>
      <c r="K477" s="220">
        <v>1</v>
      </c>
      <c r="L477" s="8">
        <v>999</v>
      </c>
      <c r="M477" s="220">
        <v>0</v>
      </c>
      <c r="N477" s="220"/>
      <c r="O477" s="218"/>
      <c r="S477" s="220">
        <v>0</v>
      </c>
      <c r="T477" s="220">
        <v>5</v>
      </c>
      <c r="U477" s="220">
        <v>110</v>
      </c>
      <c r="V477" s="220">
        <v>1</v>
      </c>
      <c r="W477" s="220">
        <v>1</v>
      </c>
      <c r="X477" s="220">
        <v>1</v>
      </c>
      <c r="Y477" s="41">
        <v>0</v>
      </c>
      <c r="Z477" s="41">
        <v>0</v>
      </c>
      <c r="AA477" s="41">
        <v>5</v>
      </c>
      <c r="AB477" s="41">
        <v>4180</v>
      </c>
      <c r="AC477" s="220">
        <v>0</v>
      </c>
      <c r="AD477" s="224">
        <v>0</v>
      </c>
      <c r="AE477" s="225">
        <v>0</v>
      </c>
      <c r="AF477" s="225">
        <v>0</v>
      </c>
      <c r="AG477" s="226"/>
      <c r="AH477" s="226">
        <v>1</v>
      </c>
      <c r="AI477" s="226"/>
      <c r="AJ477" s="226"/>
      <c r="AK477" s="226"/>
      <c r="AL477" s="230">
        <v>1</v>
      </c>
      <c r="AM477" s="230"/>
      <c r="AN477" s="93"/>
      <c r="AO477" s="92"/>
      <c r="AQ477" s="247" t="s">
        <v>1413</v>
      </c>
      <c r="AS477" s="41">
        <v>1</v>
      </c>
    </row>
    <row r="478" spans="1:45">
      <c r="A478" s="8">
        <v>240089</v>
      </c>
      <c r="B478" s="8">
        <v>1001</v>
      </c>
      <c r="C478" s="8">
        <v>1</v>
      </c>
      <c r="D478" s="8">
        <v>3</v>
      </c>
      <c r="E478" t="s">
        <v>1288</v>
      </c>
      <c r="F478" s="13" t="s">
        <v>1288</v>
      </c>
      <c r="G478" t="s">
        <v>1289</v>
      </c>
      <c r="H478" t="s">
        <v>1290</v>
      </c>
      <c r="I478">
        <v>1</v>
      </c>
      <c r="J478" s="69">
        <v>2</v>
      </c>
      <c r="K478" s="87">
        <v>1</v>
      </c>
      <c r="L478" s="8">
        <v>999</v>
      </c>
      <c r="M478" s="8">
        <v>0</v>
      </c>
      <c r="N478" s="8"/>
      <c r="S478" s="89">
        <v>0</v>
      </c>
      <c r="T478" s="8">
        <v>5</v>
      </c>
      <c r="U478" s="89">
        <v>110</v>
      </c>
      <c r="V478" s="87">
        <v>1</v>
      </c>
      <c r="W478" s="8">
        <v>1</v>
      </c>
      <c r="X478" s="8">
        <v>1</v>
      </c>
      <c r="Y478">
        <v>0</v>
      </c>
      <c r="Z478" s="33">
        <v>0</v>
      </c>
      <c r="AA478">
        <v>5</v>
      </c>
      <c r="AB478" s="34">
        <v>4180</v>
      </c>
      <c r="AC478" s="87">
        <v>0</v>
      </c>
      <c r="AD478" s="62">
        <v>0</v>
      </c>
      <c r="AE478" s="90">
        <v>0</v>
      </c>
      <c r="AF478" s="90">
        <v>0</v>
      </c>
      <c r="AG478" s="91"/>
      <c r="AH478" s="91">
        <v>1</v>
      </c>
      <c r="AI478" s="91"/>
      <c r="AJ478" s="91"/>
      <c r="AK478" s="91"/>
      <c r="AL478" s="92">
        <v>1</v>
      </c>
      <c r="AM478" s="92"/>
      <c r="AN478" s="93"/>
      <c r="AO478" s="92"/>
      <c r="AQ478" t="s">
        <v>1288</v>
      </c>
      <c r="AS478">
        <v>1</v>
      </c>
    </row>
    <row r="479" s="42" customFormat="1" spans="1:45">
      <c r="A479" s="8">
        <v>240090</v>
      </c>
      <c r="B479" s="8">
        <v>1001</v>
      </c>
      <c r="C479" s="8">
        <v>1</v>
      </c>
      <c r="D479" s="8">
        <v>3</v>
      </c>
      <c r="E479" t="s">
        <v>1294</v>
      </c>
      <c r="F479" s="13" t="s">
        <v>1294</v>
      </c>
      <c r="G479" t="s">
        <v>1295</v>
      </c>
      <c r="H479" t="s">
        <v>1296</v>
      </c>
      <c r="I479">
        <v>1</v>
      </c>
      <c r="J479" s="69">
        <v>2</v>
      </c>
      <c r="K479" s="87">
        <v>1</v>
      </c>
      <c r="L479" s="8">
        <v>999</v>
      </c>
      <c r="M479" s="8">
        <v>0</v>
      </c>
      <c r="N479" s="8"/>
      <c r="O479" s="239"/>
      <c r="S479" s="89">
        <v>0</v>
      </c>
      <c r="T479" s="8">
        <v>5</v>
      </c>
      <c r="U479" s="89">
        <v>110</v>
      </c>
      <c r="V479" s="87">
        <v>1</v>
      </c>
      <c r="W479" s="8">
        <v>1</v>
      </c>
      <c r="X479" s="8">
        <v>1</v>
      </c>
      <c r="Y479">
        <v>0</v>
      </c>
      <c r="Z479" s="33">
        <v>0</v>
      </c>
      <c r="AA479">
        <v>5</v>
      </c>
      <c r="AB479" s="34">
        <v>4180</v>
      </c>
      <c r="AC479" s="87">
        <v>0</v>
      </c>
      <c r="AD479" s="62">
        <v>0</v>
      </c>
      <c r="AE479" s="90">
        <v>0</v>
      </c>
      <c r="AF479" s="90">
        <v>0</v>
      </c>
      <c r="AG479" s="91"/>
      <c r="AH479" s="91">
        <v>1</v>
      </c>
      <c r="AI479" s="91"/>
      <c r="AJ479" s="91"/>
      <c r="AK479" s="91"/>
      <c r="AL479" s="92">
        <v>1</v>
      </c>
      <c r="AM479" s="92"/>
      <c r="AN479" s="93"/>
      <c r="AO479" s="92"/>
      <c r="AQ479" t="s">
        <v>1294</v>
      </c>
      <c r="AS479">
        <v>1</v>
      </c>
    </row>
    <row r="480" spans="1:45">
      <c r="A480" s="8">
        <v>240091</v>
      </c>
      <c r="B480" s="240">
        <v>1001</v>
      </c>
      <c r="C480" s="240">
        <v>1</v>
      </c>
      <c r="D480" s="240">
        <v>3</v>
      </c>
      <c r="E480" s="241" t="s">
        <v>1300</v>
      </c>
      <c r="F480" s="13" t="s">
        <v>1297</v>
      </c>
      <c r="G480" s="42" t="s">
        <v>1298</v>
      </c>
      <c r="H480" s="42" t="s">
        <v>1301</v>
      </c>
      <c r="I480" s="42">
        <v>1</v>
      </c>
      <c r="J480" s="242">
        <v>2</v>
      </c>
      <c r="K480" s="240">
        <v>1</v>
      </c>
      <c r="L480" s="8">
        <v>999</v>
      </c>
      <c r="M480" s="240">
        <v>0</v>
      </c>
      <c r="N480" s="240"/>
      <c r="O480" s="239"/>
      <c r="S480" s="240">
        <v>0</v>
      </c>
      <c r="T480" s="240">
        <v>5</v>
      </c>
      <c r="U480" s="240">
        <v>110</v>
      </c>
      <c r="V480" s="240">
        <v>1</v>
      </c>
      <c r="W480" s="240">
        <v>1</v>
      </c>
      <c r="X480" s="240">
        <v>1</v>
      </c>
      <c r="Y480" s="42">
        <v>0</v>
      </c>
      <c r="Z480" s="42">
        <v>0</v>
      </c>
      <c r="AA480" s="42">
        <v>5</v>
      </c>
      <c r="AB480" s="42">
        <v>4180</v>
      </c>
      <c r="AC480" s="240">
        <v>0</v>
      </c>
      <c r="AD480" s="243">
        <v>0</v>
      </c>
      <c r="AE480" s="244">
        <v>0</v>
      </c>
      <c r="AF480" s="244">
        <v>0</v>
      </c>
      <c r="AG480" s="245"/>
      <c r="AH480" s="245">
        <v>1</v>
      </c>
      <c r="AI480" s="245"/>
      <c r="AJ480" s="245"/>
      <c r="AK480" s="245"/>
      <c r="AL480" s="246">
        <v>1</v>
      </c>
      <c r="AM480" s="246"/>
      <c r="AN480" s="93"/>
      <c r="AO480" s="92"/>
      <c r="AQ480" s="241" t="s">
        <v>1300</v>
      </c>
      <c r="AS480" s="42">
        <v>1</v>
      </c>
    </row>
    <row r="481" spans="1:45">
      <c r="A481" s="8">
        <v>240092</v>
      </c>
      <c r="B481" s="8">
        <v>1001</v>
      </c>
      <c r="C481" s="8">
        <v>1</v>
      </c>
      <c r="D481" s="8">
        <v>3</v>
      </c>
      <c r="E481" t="s">
        <v>1404</v>
      </c>
      <c r="F481" s="13" t="s">
        <v>1404</v>
      </c>
      <c r="G481" t="s">
        <v>1405</v>
      </c>
      <c r="H481" t="s">
        <v>1329</v>
      </c>
      <c r="I481">
        <v>1</v>
      </c>
      <c r="J481" s="69">
        <v>2</v>
      </c>
      <c r="K481" s="87">
        <v>1</v>
      </c>
      <c r="L481" s="8">
        <v>999</v>
      </c>
      <c r="M481" s="8">
        <v>0</v>
      </c>
      <c r="N481" s="8"/>
      <c r="S481" s="89">
        <v>0</v>
      </c>
      <c r="T481" s="8">
        <v>5</v>
      </c>
      <c r="U481" s="89">
        <v>110</v>
      </c>
      <c r="V481" s="87">
        <v>1</v>
      </c>
      <c r="W481" s="8">
        <v>1</v>
      </c>
      <c r="X481" s="8">
        <v>1</v>
      </c>
      <c r="Y481">
        <v>0</v>
      </c>
      <c r="Z481" s="33">
        <v>0</v>
      </c>
      <c r="AA481">
        <v>5</v>
      </c>
      <c r="AB481" s="34">
        <v>4180</v>
      </c>
      <c r="AC481" s="87">
        <v>0</v>
      </c>
      <c r="AD481" s="62">
        <v>0</v>
      </c>
      <c r="AE481" s="90">
        <v>0</v>
      </c>
      <c r="AF481" s="90">
        <v>0</v>
      </c>
      <c r="AG481" s="91"/>
      <c r="AH481" s="91">
        <v>1</v>
      </c>
      <c r="AI481" s="91"/>
      <c r="AJ481" s="91"/>
      <c r="AK481" s="91"/>
      <c r="AL481" s="92">
        <v>1</v>
      </c>
      <c r="AM481" s="92"/>
      <c r="AN481" s="93"/>
      <c r="AO481" s="92"/>
      <c r="AQ481" t="s">
        <v>1406</v>
      </c>
      <c r="AS481">
        <v>1</v>
      </c>
    </row>
    <row r="482" spans="1:45">
      <c r="A482" s="8">
        <v>240093</v>
      </c>
      <c r="B482" s="8">
        <v>1001</v>
      </c>
      <c r="C482" s="8">
        <v>1</v>
      </c>
      <c r="D482" s="8">
        <v>3</v>
      </c>
      <c r="E482" t="s">
        <v>1415</v>
      </c>
      <c r="F482" s="13" t="s">
        <v>1415</v>
      </c>
      <c r="G482" t="s">
        <v>1416</v>
      </c>
      <c r="H482" t="s">
        <v>1329</v>
      </c>
      <c r="I482">
        <v>1</v>
      </c>
      <c r="J482" s="69">
        <v>2</v>
      </c>
      <c r="K482" s="87">
        <v>1</v>
      </c>
      <c r="L482" s="8">
        <v>999</v>
      </c>
      <c r="M482" s="8">
        <v>0</v>
      </c>
      <c r="N482" s="8"/>
      <c r="S482" s="89">
        <v>0</v>
      </c>
      <c r="T482" s="8">
        <v>5</v>
      </c>
      <c r="U482" s="89">
        <v>110</v>
      </c>
      <c r="V482" s="87">
        <v>1</v>
      </c>
      <c r="W482" s="8">
        <v>1</v>
      </c>
      <c r="X482" s="8">
        <v>1</v>
      </c>
      <c r="Y482">
        <v>0</v>
      </c>
      <c r="Z482" s="33">
        <v>0</v>
      </c>
      <c r="AA482">
        <v>5</v>
      </c>
      <c r="AB482" s="34">
        <v>4180</v>
      </c>
      <c r="AC482" s="87">
        <v>0</v>
      </c>
      <c r="AD482" s="62">
        <v>0</v>
      </c>
      <c r="AE482" s="90">
        <v>0</v>
      </c>
      <c r="AF482" s="90">
        <v>0</v>
      </c>
      <c r="AG482" s="91"/>
      <c r="AH482" s="91">
        <v>1</v>
      </c>
      <c r="AI482" s="91"/>
      <c r="AJ482" s="91"/>
      <c r="AK482" s="91"/>
      <c r="AL482" s="92">
        <v>1</v>
      </c>
      <c r="AM482" s="92"/>
      <c r="AN482" s="93"/>
      <c r="AO482" s="92"/>
      <c r="AS482">
        <v>1</v>
      </c>
    </row>
    <row r="483" spans="1:45">
      <c r="A483" s="8">
        <v>240094</v>
      </c>
      <c r="B483" s="8">
        <v>1001</v>
      </c>
      <c r="C483" s="8">
        <v>1</v>
      </c>
      <c r="D483" s="8">
        <v>3</v>
      </c>
      <c r="E483" t="s">
        <v>1417</v>
      </c>
      <c r="F483" s="13" t="s">
        <v>1417</v>
      </c>
      <c r="G483" t="s">
        <v>1418</v>
      </c>
      <c r="H483" t="s">
        <v>1329</v>
      </c>
      <c r="I483">
        <v>1</v>
      </c>
      <c r="J483" s="69">
        <v>2</v>
      </c>
      <c r="K483" s="87">
        <v>1</v>
      </c>
      <c r="L483" s="8">
        <v>999</v>
      </c>
      <c r="M483" s="8">
        <v>0</v>
      </c>
      <c r="N483" s="8"/>
      <c r="S483" s="89">
        <v>0</v>
      </c>
      <c r="T483" s="8">
        <v>5</v>
      </c>
      <c r="U483" s="89">
        <v>110</v>
      </c>
      <c r="V483" s="87">
        <v>1</v>
      </c>
      <c r="W483" s="8">
        <v>1</v>
      </c>
      <c r="X483" s="8">
        <v>1</v>
      </c>
      <c r="Y483">
        <v>0</v>
      </c>
      <c r="Z483" s="33">
        <v>0</v>
      </c>
      <c r="AA483">
        <v>5</v>
      </c>
      <c r="AB483" s="34">
        <v>4180</v>
      </c>
      <c r="AC483" s="87">
        <v>0</v>
      </c>
      <c r="AD483" s="62">
        <v>0</v>
      </c>
      <c r="AE483" s="90">
        <v>0</v>
      </c>
      <c r="AF483" s="90">
        <v>0</v>
      </c>
      <c r="AG483" s="91"/>
      <c r="AH483" s="91">
        <v>1</v>
      </c>
      <c r="AI483" s="91"/>
      <c r="AJ483" s="91"/>
      <c r="AK483" s="91"/>
      <c r="AL483" s="92">
        <v>1</v>
      </c>
      <c r="AM483" s="92"/>
      <c r="AN483" s="93"/>
      <c r="AO483" s="92"/>
      <c r="AS483">
        <v>1</v>
      </c>
    </row>
    <row r="484" spans="1:45">
      <c r="A484" s="8">
        <v>240095</v>
      </c>
      <c r="B484" s="8">
        <v>1001</v>
      </c>
      <c r="C484" s="8">
        <v>1</v>
      </c>
      <c r="D484" s="8">
        <v>3</v>
      </c>
      <c r="E484" t="s">
        <v>1419</v>
      </c>
      <c r="F484" s="13" t="s">
        <v>1419</v>
      </c>
      <c r="G484" t="s">
        <v>1419</v>
      </c>
      <c r="H484" t="s">
        <v>1329</v>
      </c>
      <c r="I484">
        <v>1</v>
      </c>
      <c r="J484" s="69">
        <v>2</v>
      </c>
      <c r="K484" s="87">
        <v>1</v>
      </c>
      <c r="L484" s="8">
        <v>999</v>
      </c>
      <c r="M484" s="8">
        <v>0</v>
      </c>
      <c r="N484" s="8"/>
      <c r="S484" s="89">
        <v>0</v>
      </c>
      <c r="T484" s="8">
        <v>5</v>
      </c>
      <c r="U484" s="89">
        <v>110</v>
      </c>
      <c r="V484" s="87">
        <v>1</v>
      </c>
      <c r="W484" s="8">
        <v>1</v>
      </c>
      <c r="X484" s="8">
        <v>1</v>
      </c>
      <c r="Y484">
        <v>0</v>
      </c>
      <c r="Z484" s="33">
        <v>0</v>
      </c>
      <c r="AA484">
        <v>5</v>
      </c>
      <c r="AB484" s="34">
        <v>4180</v>
      </c>
      <c r="AC484" s="87">
        <v>0</v>
      </c>
      <c r="AD484" s="62">
        <v>0</v>
      </c>
      <c r="AE484" s="90">
        <v>0</v>
      </c>
      <c r="AF484" s="90">
        <v>0</v>
      </c>
      <c r="AG484" s="91"/>
      <c r="AH484" s="91">
        <v>1</v>
      </c>
      <c r="AI484" s="91"/>
      <c r="AJ484" s="91"/>
      <c r="AK484" s="91"/>
      <c r="AL484" s="92">
        <v>1</v>
      </c>
      <c r="AM484" s="92"/>
      <c r="AN484" s="93"/>
      <c r="AO484" s="92"/>
      <c r="AQ484"/>
      <c r="AS484">
        <v>1</v>
      </c>
    </row>
    <row r="485" spans="1:45">
      <c r="A485" s="8">
        <v>240096</v>
      </c>
      <c r="B485" s="8">
        <v>1001</v>
      </c>
      <c r="C485" s="8">
        <v>1</v>
      </c>
      <c r="D485" s="8">
        <v>3</v>
      </c>
      <c r="E485" t="s">
        <v>1404</v>
      </c>
      <c r="F485" s="13" t="s">
        <v>1404</v>
      </c>
      <c r="G485" t="s">
        <v>1405</v>
      </c>
      <c r="H485" t="s">
        <v>1329</v>
      </c>
      <c r="I485">
        <v>1</v>
      </c>
      <c r="J485" s="69">
        <v>2</v>
      </c>
      <c r="K485" s="87">
        <v>1</v>
      </c>
      <c r="L485" s="8">
        <v>999</v>
      </c>
      <c r="M485" s="8">
        <v>0</v>
      </c>
      <c r="N485" s="8"/>
      <c r="S485" s="89">
        <v>0</v>
      </c>
      <c r="T485" s="8">
        <v>5</v>
      </c>
      <c r="U485" s="89">
        <v>110</v>
      </c>
      <c r="V485" s="87">
        <v>1</v>
      </c>
      <c r="W485" s="8">
        <v>1</v>
      </c>
      <c r="X485" s="8">
        <v>1</v>
      </c>
      <c r="Y485">
        <v>0</v>
      </c>
      <c r="Z485" s="33">
        <v>0</v>
      </c>
      <c r="AA485">
        <v>5</v>
      </c>
      <c r="AB485" s="34">
        <v>4180</v>
      </c>
      <c r="AC485" s="87">
        <v>0</v>
      </c>
      <c r="AD485" s="62">
        <v>0</v>
      </c>
      <c r="AE485" s="90">
        <v>0</v>
      </c>
      <c r="AF485" s="90">
        <v>0</v>
      </c>
      <c r="AG485" s="91"/>
      <c r="AH485" s="91">
        <v>1</v>
      </c>
      <c r="AI485" s="91"/>
      <c r="AJ485" s="91"/>
      <c r="AK485" s="91"/>
      <c r="AL485" s="92">
        <v>1</v>
      </c>
      <c r="AM485" s="92"/>
      <c r="AN485" s="93"/>
      <c r="AO485" s="92"/>
      <c r="AQ485" t="s">
        <v>1406</v>
      </c>
      <c r="AS485">
        <v>1</v>
      </c>
    </row>
    <row r="486" spans="1:45">
      <c r="A486" s="8">
        <v>240097</v>
      </c>
      <c r="B486" s="8">
        <v>1001</v>
      </c>
      <c r="C486" s="8">
        <v>1</v>
      </c>
      <c r="D486" s="8">
        <v>3</v>
      </c>
      <c r="E486" t="s">
        <v>1377</v>
      </c>
      <c r="F486" s="13" t="s">
        <v>1377</v>
      </c>
      <c r="G486" t="s">
        <v>1402</v>
      </c>
      <c r="H486" t="s">
        <v>1329</v>
      </c>
      <c r="I486">
        <v>1</v>
      </c>
      <c r="J486" s="69">
        <v>2</v>
      </c>
      <c r="K486" s="87">
        <v>1</v>
      </c>
      <c r="L486" s="8">
        <v>999</v>
      </c>
      <c r="M486" s="8">
        <v>0</v>
      </c>
      <c r="N486" s="8"/>
      <c r="S486" s="89">
        <v>0</v>
      </c>
      <c r="T486" s="8">
        <v>5</v>
      </c>
      <c r="U486" s="89">
        <v>110</v>
      </c>
      <c r="V486" s="87">
        <v>1</v>
      </c>
      <c r="W486" s="8">
        <v>1</v>
      </c>
      <c r="X486" s="8">
        <v>1</v>
      </c>
      <c r="Y486">
        <v>0</v>
      </c>
      <c r="Z486" s="33">
        <v>0</v>
      </c>
      <c r="AA486">
        <v>5</v>
      </c>
      <c r="AB486" s="34">
        <v>4180</v>
      </c>
      <c r="AC486" s="87">
        <v>0</v>
      </c>
      <c r="AD486" s="62">
        <v>0</v>
      </c>
      <c r="AE486" s="90">
        <v>0</v>
      </c>
      <c r="AF486" s="90">
        <v>0</v>
      </c>
      <c r="AG486" s="91"/>
      <c r="AH486" s="91">
        <v>1</v>
      </c>
      <c r="AI486" s="91"/>
      <c r="AJ486" s="91"/>
      <c r="AK486" s="91"/>
      <c r="AL486" s="92">
        <v>1</v>
      </c>
      <c r="AM486" s="92"/>
      <c r="AN486" s="93"/>
      <c r="AO486" s="92"/>
      <c r="AQ486" t="s">
        <v>1403</v>
      </c>
      <c r="AS486">
        <v>1</v>
      </c>
    </row>
    <row r="487" spans="1:45">
      <c r="A487" s="8">
        <v>240098</v>
      </c>
      <c r="B487" s="8">
        <v>1001</v>
      </c>
      <c r="C487" s="8">
        <v>1</v>
      </c>
      <c r="D487" s="8">
        <v>3</v>
      </c>
      <c r="E487" t="s">
        <v>1362</v>
      </c>
      <c r="F487" s="13" t="s">
        <v>1362</v>
      </c>
      <c r="G487" t="s">
        <v>1363</v>
      </c>
      <c r="H487" t="s">
        <v>1364</v>
      </c>
      <c r="I487">
        <v>1</v>
      </c>
      <c r="J487" s="69">
        <v>2</v>
      </c>
      <c r="K487" s="87">
        <v>1</v>
      </c>
      <c r="L487" s="8">
        <v>999</v>
      </c>
      <c r="M487" s="8">
        <v>0</v>
      </c>
      <c r="N487" s="8"/>
      <c r="S487" s="89">
        <v>0</v>
      </c>
      <c r="T487" s="8">
        <v>5</v>
      </c>
      <c r="U487" s="89">
        <v>110</v>
      </c>
      <c r="V487" s="87">
        <v>1</v>
      </c>
      <c r="W487" s="8">
        <v>1</v>
      </c>
      <c r="X487" s="8">
        <v>1</v>
      </c>
      <c r="Y487">
        <v>0</v>
      </c>
      <c r="Z487" s="33">
        <v>0</v>
      </c>
      <c r="AA487">
        <v>5</v>
      </c>
      <c r="AB487" s="34">
        <v>4180</v>
      </c>
      <c r="AC487" s="87">
        <v>0</v>
      </c>
      <c r="AD487" s="62">
        <v>0</v>
      </c>
      <c r="AE487" s="90">
        <v>0</v>
      </c>
      <c r="AF487" s="90">
        <v>0</v>
      </c>
      <c r="AG487" s="91"/>
      <c r="AH487" s="91">
        <v>1</v>
      </c>
      <c r="AI487" s="91"/>
      <c r="AJ487" s="91"/>
      <c r="AK487" s="91"/>
      <c r="AL487" s="92">
        <v>1</v>
      </c>
      <c r="AM487" s="92"/>
      <c r="AN487" s="93"/>
      <c r="AO487" s="92"/>
      <c r="AQ487" t="s">
        <v>1362</v>
      </c>
      <c r="AS487">
        <v>1</v>
      </c>
    </row>
    <row r="488" spans="1:45">
      <c r="A488" s="8">
        <v>240099</v>
      </c>
      <c r="B488" s="8">
        <v>1001</v>
      </c>
      <c r="C488" s="8">
        <v>1</v>
      </c>
      <c r="D488" s="8">
        <v>3</v>
      </c>
      <c r="E488" t="s">
        <v>1420</v>
      </c>
      <c r="F488" s="13" t="s">
        <v>1420</v>
      </c>
      <c r="G488" t="s">
        <v>1421</v>
      </c>
      <c r="H488" t="s">
        <v>1329</v>
      </c>
      <c r="I488">
        <v>1</v>
      </c>
      <c r="J488" s="69">
        <v>2</v>
      </c>
      <c r="K488" s="87">
        <v>1</v>
      </c>
      <c r="L488" s="8">
        <v>999</v>
      </c>
      <c r="M488" s="8">
        <v>0</v>
      </c>
      <c r="N488" s="8"/>
      <c r="S488" s="89">
        <v>0</v>
      </c>
      <c r="T488" s="8">
        <v>5</v>
      </c>
      <c r="U488" s="89">
        <v>110</v>
      </c>
      <c r="V488" s="87">
        <v>1</v>
      </c>
      <c r="W488" s="8">
        <v>1</v>
      </c>
      <c r="X488" s="8">
        <v>1</v>
      </c>
      <c r="Y488">
        <v>0</v>
      </c>
      <c r="Z488" s="33">
        <v>0</v>
      </c>
      <c r="AA488">
        <v>5</v>
      </c>
      <c r="AB488" s="34">
        <v>4180</v>
      </c>
      <c r="AC488" s="87">
        <v>0</v>
      </c>
      <c r="AD488" s="62">
        <v>0</v>
      </c>
      <c r="AE488" s="90">
        <v>0</v>
      </c>
      <c r="AF488" s="90">
        <v>0</v>
      </c>
      <c r="AG488" s="91"/>
      <c r="AH488" s="91">
        <v>1</v>
      </c>
      <c r="AI488" s="91"/>
      <c r="AJ488" s="91"/>
      <c r="AK488" s="91"/>
      <c r="AL488" s="92">
        <v>1</v>
      </c>
      <c r="AM488" s="92"/>
      <c r="AN488" s="93"/>
      <c r="AO488" s="92"/>
      <c r="AS488">
        <v>1</v>
      </c>
    </row>
    <row r="489" spans="1:45">
      <c r="A489" s="8">
        <v>240100</v>
      </c>
      <c r="B489" s="8">
        <v>1001</v>
      </c>
      <c r="C489" s="8">
        <v>1</v>
      </c>
      <c r="D489" s="8">
        <v>3</v>
      </c>
      <c r="E489" t="s">
        <v>1422</v>
      </c>
      <c r="F489" s="13" t="s">
        <v>1422</v>
      </c>
      <c r="G489" t="s">
        <v>1423</v>
      </c>
      <c r="H489" t="s">
        <v>1329</v>
      </c>
      <c r="I489">
        <v>1</v>
      </c>
      <c r="J489" s="69">
        <v>2</v>
      </c>
      <c r="K489" s="87">
        <v>1</v>
      </c>
      <c r="L489" s="8">
        <v>999</v>
      </c>
      <c r="M489" s="8">
        <v>0</v>
      </c>
      <c r="N489" s="8"/>
      <c r="S489" s="89">
        <v>0</v>
      </c>
      <c r="T489" s="8">
        <v>5</v>
      </c>
      <c r="U489" s="89">
        <v>110</v>
      </c>
      <c r="V489" s="87">
        <v>1</v>
      </c>
      <c r="W489" s="8">
        <v>1</v>
      </c>
      <c r="X489" s="8">
        <v>1</v>
      </c>
      <c r="Y489">
        <v>0</v>
      </c>
      <c r="Z489" s="33">
        <v>0</v>
      </c>
      <c r="AA489">
        <v>5</v>
      </c>
      <c r="AB489" s="34">
        <v>4180</v>
      </c>
      <c r="AC489" s="87">
        <v>0</v>
      </c>
      <c r="AD489" s="62">
        <v>0</v>
      </c>
      <c r="AE489" s="90">
        <v>0</v>
      </c>
      <c r="AF489" s="90">
        <v>0</v>
      </c>
      <c r="AG489" s="91"/>
      <c r="AH489" s="91">
        <v>1</v>
      </c>
      <c r="AI489" s="91"/>
      <c r="AJ489" s="91"/>
      <c r="AK489" s="91"/>
      <c r="AL489" s="92">
        <v>1</v>
      </c>
      <c r="AM489" s="92"/>
      <c r="AN489" s="93"/>
      <c r="AO489" s="92"/>
      <c r="AS489">
        <v>1</v>
      </c>
    </row>
    <row r="490" spans="1:45">
      <c r="A490" s="8">
        <v>240101</v>
      </c>
      <c r="B490" s="8">
        <v>1001</v>
      </c>
      <c r="C490" s="8">
        <v>1</v>
      </c>
      <c r="D490" s="8">
        <v>3</v>
      </c>
      <c r="E490" t="s">
        <v>1424</v>
      </c>
      <c r="F490" s="13" t="s">
        <v>1425</v>
      </c>
      <c r="G490" t="s">
        <v>1426</v>
      </c>
      <c r="H490" t="s">
        <v>1427</v>
      </c>
      <c r="I490">
        <v>1</v>
      </c>
      <c r="J490" s="69">
        <v>4</v>
      </c>
      <c r="K490" s="87">
        <v>1</v>
      </c>
      <c r="L490" s="8">
        <v>999</v>
      </c>
      <c r="M490" s="8">
        <v>0</v>
      </c>
      <c r="N490" s="8"/>
      <c r="S490" s="89">
        <v>0</v>
      </c>
      <c r="T490" s="8">
        <v>5</v>
      </c>
      <c r="U490" s="89">
        <v>110</v>
      </c>
      <c r="V490" s="87">
        <v>1</v>
      </c>
      <c r="W490" s="8">
        <v>1</v>
      </c>
      <c r="X490" s="8">
        <v>1</v>
      </c>
      <c r="Y490">
        <v>0</v>
      </c>
      <c r="Z490" s="33">
        <v>0</v>
      </c>
      <c r="AA490">
        <v>5</v>
      </c>
      <c r="AB490" s="34">
        <v>4180</v>
      </c>
      <c r="AC490" s="87">
        <v>0</v>
      </c>
      <c r="AD490" s="62">
        <v>0</v>
      </c>
      <c r="AE490" s="90">
        <v>0</v>
      </c>
      <c r="AF490" s="90">
        <v>0</v>
      </c>
      <c r="AG490" s="91"/>
      <c r="AH490" s="91">
        <v>1</v>
      </c>
      <c r="AI490" s="91"/>
      <c r="AJ490" s="91"/>
      <c r="AK490" s="91"/>
      <c r="AL490" s="92">
        <v>1</v>
      </c>
      <c r="AM490" s="92"/>
      <c r="AN490" s="93"/>
      <c r="AO490" s="92"/>
      <c r="AQ490"/>
      <c r="AS490">
        <v>1</v>
      </c>
    </row>
    <row r="491" spans="1:45">
      <c r="A491" s="8">
        <v>240102</v>
      </c>
      <c r="B491" s="8">
        <v>1001</v>
      </c>
      <c r="C491" s="8">
        <v>1</v>
      </c>
      <c r="D491" s="8">
        <v>3</v>
      </c>
      <c r="E491" s="238" t="s">
        <v>1294</v>
      </c>
      <c r="F491" s="13" t="s">
        <v>1294</v>
      </c>
      <c r="G491" t="s">
        <v>1295</v>
      </c>
      <c r="H491" t="s">
        <v>1296</v>
      </c>
      <c r="I491">
        <v>1</v>
      </c>
      <c r="J491" s="69">
        <v>2</v>
      </c>
      <c r="K491" s="248">
        <v>1</v>
      </c>
      <c r="L491" s="8">
        <v>999</v>
      </c>
      <c r="M491" s="8">
        <v>0</v>
      </c>
      <c r="N491" s="236"/>
      <c r="O491" s="249"/>
      <c r="S491" s="89">
        <v>0</v>
      </c>
      <c r="T491" s="8">
        <v>5</v>
      </c>
      <c r="U491" s="89">
        <v>110</v>
      </c>
      <c r="V491" s="248">
        <v>1</v>
      </c>
      <c r="W491" s="236">
        <v>1</v>
      </c>
      <c r="X491" s="8">
        <v>1</v>
      </c>
      <c r="Y491" s="238">
        <v>0</v>
      </c>
      <c r="Z491" s="33">
        <v>0</v>
      </c>
      <c r="AA491">
        <v>5</v>
      </c>
      <c r="AB491" s="34">
        <v>4180</v>
      </c>
      <c r="AC491" s="87">
        <v>0</v>
      </c>
      <c r="AD491" s="62">
        <v>0</v>
      </c>
      <c r="AE491" s="250">
        <v>0</v>
      </c>
      <c r="AF491" s="250">
        <v>0</v>
      </c>
      <c r="AG491" s="251"/>
      <c r="AH491" s="251">
        <v>1</v>
      </c>
      <c r="AI491" s="251"/>
      <c r="AJ491" s="251"/>
      <c r="AK491" s="251"/>
      <c r="AL491" s="252">
        <v>1</v>
      </c>
      <c r="AM491" s="252"/>
      <c r="AN491" s="93"/>
      <c r="AO491" s="92"/>
      <c r="AQ491" s="238" t="s">
        <v>1294</v>
      </c>
      <c r="AS491">
        <v>1</v>
      </c>
    </row>
    <row r="492" spans="1:45">
      <c r="A492" s="8">
        <v>240103</v>
      </c>
      <c r="B492" s="8">
        <v>1001</v>
      </c>
      <c r="C492" s="8">
        <v>6</v>
      </c>
      <c r="D492" s="8">
        <v>1001</v>
      </c>
      <c r="E492" s="13" t="s">
        <v>1428</v>
      </c>
      <c r="F492" s="13" t="s">
        <v>1429</v>
      </c>
      <c r="G492" t="s">
        <v>1430</v>
      </c>
      <c r="H492" t="s">
        <v>1431</v>
      </c>
      <c r="I492">
        <v>1</v>
      </c>
      <c r="J492" s="69">
        <v>5</v>
      </c>
      <c r="K492" s="33">
        <v>2</v>
      </c>
      <c r="L492" s="8">
        <v>999</v>
      </c>
      <c r="M492" s="8">
        <v>0</v>
      </c>
      <c r="N492">
        <v>1017</v>
      </c>
      <c r="O492" s="249">
        <v>10163</v>
      </c>
      <c r="S492" s="89">
        <v>1</v>
      </c>
      <c r="T492" s="8">
        <v>5</v>
      </c>
      <c r="U492" s="89">
        <v>200</v>
      </c>
      <c r="V492" s="33">
        <v>1</v>
      </c>
      <c r="W492">
        <v>1</v>
      </c>
      <c r="X492" s="8">
        <v>1</v>
      </c>
      <c r="Y492" s="8">
        <v>0</v>
      </c>
      <c r="Z492" s="33">
        <v>0</v>
      </c>
      <c r="AA492">
        <v>5</v>
      </c>
      <c r="AB492" s="34">
        <v>7600</v>
      </c>
      <c r="AC492" s="87">
        <v>71</v>
      </c>
      <c r="AE492" s="62">
        <v>4</v>
      </c>
      <c r="AF492" s="62">
        <v>2</v>
      </c>
      <c r="AL492" s="64">
        <v>1</v>
      </c>
      <c r="AM492" s="64">
        <v>20</v>
      </c>
      <c r="AN492" s="93"/>
      <c r="AO492" s="92"/>
      <c r="AQ492" s="13" t="s">
        <v>1432</v>
      </c>
      <c r="AS492">
        <v>1</v>
      </c>
    </row>
    <row r="493" spans="1:45">
      <c r="A493" s="8">
        <v>240104</v>
      </c>
      <c r="B493" s="8">
        <v>1001</v>
      </c>
      <c r="C493" s="8">
        <v>6</v>
      </c>
      <c r="D493" s="8">
        <v>1001</v>
      </c>
      <c r="E493" s="253" t="s">
        <v>1433</v>
      </c>
      <c r="F493" s="13" t="s">
        <v>1434</v>
      </c>
      <c r="G493" t="s">
        <v>1435</v>
      </c>
      <c r="H493" t="s">
        <v>1431</v>
      </c>
      <c r="I493">
        <v>1</v>
      </c>
      <c r="J493" s="69">
        <v>5</v>
      </c>
      <c r="K493" s="254">
        <v>2</v>
      </c>
      <c r="L493" s="8">
        <v>999</v>
      </c>
      <c r="M493" s="8">
        <v>0</v>
      </c>
      <c r="N493" s="238">
        <v>1017</v>
      </c>
      <c r="O493" s="249">
        <v>10164</v>
      </c>
      <c r="S493" s="89">
        <v>1</v>
      </c>
      <c r="T493" s="8">
        <v>5</v>
      </c>
      <c r="U493" s="89">
        <v>200</v>
      </c>
      <c r="V493" s="254">
        <v>1</v>
      </c>
      <c r="W493" s="238">
        <v>1</v>
      </c>
      <c r="X493" s="8">
        <v>1</v>
      </c>
      <c r="Y493" s="236">
        <v>0</v>
      </c>
      <c r="Z493" s="33">
        <v>0</v>
      </c>
      <c r="AA493">
        <v>5</v>
      </c>
      <c r="AB493" s="34">
        <v>7600</v>
      </c>
      <c r="AC493" s="87">
        <v>71</v>
      </c>
      <c r="AE493" s="255">
        <v>4</v>
      </c>
      <c r="AF493" s="255">
        <v>2</v>
      </c>
      <c r="AG493" s="91"/>
      <c r="AH493" s="91"/>
      <c r="AI493" s="91"/>
      <c r="AJ493" s="91"/>
      <c r="AK493" s="91"/>
      <c r="AL493" s="256">
        <v>1</v>
      </c>
      <c r="AM493" s="256">
        <v>40</v>
      </c>
      <c r="AN493" s="93"/>
      <c r="AO493" s="92"/>
      <c r="AQ493" s="253" t="s">
        <v>1432</v>
      </c>
      <c r="AS493">
        <v>1</v>
      </c>
    </row>
    <row r="494" spans="1:45">
      <c r="A494" s="8">
        <v>240105</v>
      </c>
      <c r="B494" s="8">
        <v>1001</v>
      </c>
      <c r="C494" s="8">
        <v>1</v>
      </c>
      <c r="D494" s="8">
        <v>3</v>
      </c>
      <c r="E494" t="s">
        <v>1436</v>
      </c>
      <c r="F494" s="13" t="s">
        <v>1437</v>
      </c>
      <c r="G494" t="s">
        <v>1438</v>
      </c>
      <c r="H494" t="s">
        <v>1329</v>
      </c>
      <c r="I494">
        <v>1</v>
      </c>
      <c r="J494" s="69">
        <v>2</v>
      </c>
      <c r="K494" s="87">
        <v>1</v>
      </c>
      <c r="L494" s="8">
        <v>999</v>
      </c>
      <c r="M494" s="8">
        <v>0</v>
      </c>
      <c r="N494" s="8"/>
      <c r="S494" s="89">
        <v>0</v>
      </c>
      <c r="T494" s="8">
        <v>5</v>
      </c>
      <c r="U494" s="89">
        <v>110</v>
      </c>
      <c r="V494" s="87">
        <v>1</v>
      </c>
      <c r="W494" s="8">
        <v>1</v>
      </c>
      <c r="X494" s="8">
        <v>1</v>
      </c>
      <c r="Y494">
        <v>0</v>
      </c>
      <c r="Z494" s="33">
        <v>0</v>
      </c>
      <c r="AA494">
        <v>5</v>
      </c>
      <c r="AB494" s="34">
        <v>4180</v>
      </c>
      <c r="AC494" s="87">
        <v>0</v>
      </c>
      <c r="AD494" s="62">
        <v>0</v>
      </c>
      <c r="AE494" s="90">
        <v>0</v>
      </c>
      <c r="AF494" s="90">
        <v>0</v>
      </c>
      <c r="AG494" s="91"/>
      <c r="AH494" s="91">
        <v>1</v>
      </c>
      <c r="AI494" s="91"/>
      <c r="AJ494" s="91"/>
      <c r="AK494" s="91"/>
      <c r="AL494" s="92">
        <v>1</v>
      </c>
      <c r="AM494" s="92"/>
      <c r="AN494" s="93"/>
      <c r="AO494" s="92"/>
      <c r="AQ494"/>
      <c r="AS494">
        <v>1</v>
      </c>
    </row>
    <row r="495" spans="1:45">
      <c r="A495" s="8">
        <v>240106</v>
      </c>
      <c r="B495" s="8">
        <v>1001</v>
      </c>
      <c r="C495" s="8">
        <v>1</v>
      </c>
      <c r="D495" s="8">
        <v>3</v>
      </c>
      <c r="E495" t="s">
        <v>1439</v>
      </c>
      <c r="F495" s="13" t="s">
        <v>1439</v>
      </c>
      <c r="G495" t="s">
        <v>1363</v>
      </c>
      <c r="H495" t="s">
        <v>1364</v>
      </c>
      <c r="I495">
        <v>1</v>
      </c>
      <c r="J495" s="69">
        <v>2</v>
      </c>
      <c r="K495" s="87">
        <v>1</v>
      </c>
      <c r="L495" s="8">
        <v>999</v>
      </c>
      <c r="M495" s="8">
        <v>0</v>
      </c>
      <c r="N495" s="8"/>
      <c r="S495" s="89">
        <v>0</v>
      </c>
      <c r="T495" s="8">
        <v>5</v>
      </c>
      <c r="U495" s="89">
        <v>110</v>
      </c>
      <c r="V495" s="87">
        <v>1</v>
      </c>
      <c r="W495" s="8">
        <v>1</v>
      </c>
      <c r="X495" s="8">
        <v>1</v>
      </c>
      <c r="Y495">
        <v>0</v>
      </c>
      <c r="Z495" s="33">
        <v>0</v>
      </c>
      <c r="AA495">
        <v>5</v>
      </c>
      <c r="AB495" s="34">
        <v>4180</v>
      </c>
      <c r="AC495" s="87">
        <v>0</v>
      </c>
      <c r="AD495" s="62">
        <v>0</v>
      </c>
      <c r="AE495" s="90">
        <v>0</v>
      </c>
      <c r="AF495" s="90">
        <v>0</v>
      </c>
      <c r="AG495" s="91"/>
      <c r="AH495" s="91">
        <v>1</v>
      </c>
      <c r="AI495" s="91"/>
      <c r="AJ495" s="91"/>
      <c r="AK495" s="91"/>
      <c r="AL495" s="92">
        <v>1</v>
      </c>
      <c r="AM495" s="92"/>
      <c r="AN495" s="93"/>
      <c r="AO495" s="92"/>
      <c r="AQ495" t="s">
        <v>1362</v>
      </c>
      <c r="AS495">
        <v>1</v>
      </c>
    </row>
    <row r="496" spans="1:45">
      <c r="A496" s="8">
        <v>240107</v>
      </c>
      <c r="B496" s="8">
        <v>1001</v>
      </c>
      <c r="C496" s="8">
        <v>1</v>
      </c>
      <c r="D496" s="8">
        <v>3</v>
      </c>
      <c r="E496" t="s">
        <v>1440</v>
      </c>
      <c r="F496" s="13" t="s">
        <v>1440</v>
      </c>
      <c r="G496" t="s">
        <v>1295</v>
      </c>
      <c r="H496" t="s">
        <v>1329</v>
      </c>
      <c r="I496">
        <v>1</v>
      </c>
      <c r="J496" s="69">
        <v>2</v>
      </c>
      <c r="K496" s="87">
        <v>1</v>
      </c>
      <c r="L496" s="8">
        <v>999</v>
      </c>
      <c r="M496" s="8">
        <v>0</v>
      </c>
      <c r="N496" s="8"/>
      <c r="S496" s="89">
        <v>0</v>
      </c>
      <c r="T496" s="8">
        <v>5</v>
      </c>
      <c r="U496" s="89">
        <v>110</v>
      </c>
      <c r="V496" s="87">
        <v>1</v>
      </c>
      <c r="W496" s="8">
        <v>1</v>
      </c>
      <c r="X496" s="8">
        <v>1</v>
      </c>
      <c r="Y496">
        <v>0</v>
      </c>
      <c r="Z496" s="33">
        <v>0</v>
      </c>
      <c r="AA496">
        <v>5</v>
      </c>
      <c r="AB496" s="34">
        <v>4180</v>
      </c>
      <c r="AC496" s="87">
        <v>0</v>
      </c>
      <c r="AD496" s="62">
        <v>0</v>
      </c>
      <c r="AE496" s="90">
        <v>0</v>
      </c>
      <c r="AF496" s="90">
        <v>0</v>
      </c>
      <c r="AG496" s="91"/>
      <c r="AH496" s="91">
        <v>1</v>
      </c>
      <c r="AI496" s="91"/>
      <c r="AJ496" s="91"/>
      <c r="AK496" s="91"/>
      <c r="AL496" s="92">
        <v>1</v>
      </c>
      <c r="AM496" s="92"/>
      <c r="AN496" s="93"/>
      <c r="AO496" s="92"/>
      <c r="AQ496" t="s">
        <v>1294</v>
      </c>
      <c r="AS496">
        <v>1</v>
      </c>
    </row>
    <row r="497" spans="1:45">
      <c r="A497" s="8">
        <v>240108</v>
      </c>
      <c r="B497" s="8">
        <v>1001</v>
      </c>
      <c r="C497" s="8">
        <v>1</v>
      </c>
      <c r="D497" s="8">
        <v>3</v>
      </c>
      <c r="E497" t="s">
        <v>1441</v>
      </c>
      <c r="F497" s="13" t="s">
        <v>1441</v>
      </c>
      <c r="G497" t="s">
        <v>1295</v>
      </c>
      <c r="H497" t="s">
        <v>1329</v>
      </c>
      <c r="I497">
        <v>1</v>
      </c>
      <c r="J497" s="69">
        <v>2</v>
      </c>
      <c r="K497" s="87">
        <v>1</v>
      </c>
      <c r="L497" s="8">
        <v>999</v>
      </c>
      <c r="M497" s="8">
        <v>0</v>
      </c>
      <c r="N497" s="8"/>
      <c r="S497" s="89">
        <v>0</v>
      </c>
      <c r="T497" s="8">
        <v>5</v>
      </c>
      <c r="U497" s="89">
        <v>110</v>
      </c>
      <c r="V497" s="87">
        <v>1</v>
      </c>
      <c r="W497" s="8">
        <v>1</v>
      </c>
      <c r="X497" s="8">
        <v>1</v>
      </c>
      <c r="Y497">
        <v>0</v>
      </c>
      <c r="Z497" s="33">
        <v>0</v>
      </c>
      <c r="AA497">
        <v>5</v>
      </c>
      <c r="AB497" s="34">
        <v>4180</v>
      </c>
      <c r="AC497" s="87">
        <v>0</v>
      </c>
      <c r="AD497" s="62">
        <v>0</v>
      </c>
      <c r="AE497" s="90">
        <v>0</v>
      </c>
      <c r="AF497" s="90">
        <v>0</v>
      </c>
      <c r="AG497" s="91"/>
      <c r="AH497" s="91">
        <v>1</v>
      </c>
      <c r="AI497" s="91"/>
      <c r="AJ497" s="91"/>
      <c r="AK497" s="91"/>
      <c r="AL497" s="92">
        <v>1</v>
      </c>
      <c r="AM497" s="92"/>
      <c r="AN497" s="93"/>
      <c r="AO497" s="92"/>
      <c r="AQ497" t="s">
        <v>1294</v>
      </c>
      <c r="AS497">
        <v>1</v>
      </c>
    </row>
    <row r="498" spans="1:45">
      <c r="A498" s="8">
        <v>240109</v>
      </c>
      <c r="B498" s="8">
        <v>1001</v>
      </c>
      <c r="C498" s="8">
        <v>1</v>
      </c>
      <c r="D498" s="8">
        <v>3</v>
      </c>
      <c r="E498" t="s">
        <v>1442</v>
      </c>
      <c r="F498" s="13" t="s">
        <v>1442</v>
      </c>
      <c r="G498" t="s">
        <v>1295</v>
      </c>
      <c r="H498" t="s">
        <v>1329</v>
      </c>
      <c r="I498">
        <v>1</v>
      </c>
      <c r="J498" s="69">
        <v>2</v>
      </c>
      <c r="K498" s="87">
        <v>1</v>
      </c>
      <c r="L498" s="8">
        <v>999</v>
      </c>
      <c r="M498" s="8">
        <v>0</v>
      </c>
      <c r="N498" s="8"/>
      <c r="S498" s="89">
        <v>0</v>
      </c>
      <c r="T498" s="8">
        <v>5</v>
      </c>
      <c r="U498" s="89">
        <v>110</v>
      </c>
      <c r="V498" s="87">
        <v>1</v>
      </c>
      <c r="W498" s="8">
        <v>1</v>
      </c>
      <c r="X498" s="8">
        <v>1</v>
      </c>
      <c r="Y498">
        <v>0</v>
      </c>
      <c r="Z498" s="33">
        <v>0</v>
      </c>
      <c r="AA498">
        <v>5</v>
      </c>
      <c r="AB498" s="34">
        <v>4180</v>
      </c>
      <c r="AC498" s="87">
        <v>0</v>
      </c>
      <c r="AD498" s="62">
        <v>0</v>
      </c>
      <c r="AE498" s="90">
        <v>0</v>
      </c>
      <c r="AF498" s="90">
        <v>0</v>
      </c>
      <c r="AG498" s="91"/>
      <c r="AH498" s="91">
        <v>1</v>
      </c>
      <c r="AI498" s="91"/>
      <c r="AJ498" s="91"/>
      <c r="AK498" s="91"/>
      <c r="AL498" s="92">
        <v>1</v>
      </c>
      <c r="AM498" s="92"/>
      <c r="AN498" s="93"/>
      <c r="AO498" s="92"/>
      <c r="AQ498" t="s">
        <v>1294</v>
      </c>
      <c r="AS498">
        <v>1</v>
      </c>
    </row>
    <row r="499" spans="1:45">
      <c r="A499" s="8">
        <v>240110</v>
      </c>
      <c r="B499" s="8">
        <v>1001</v>
      </c>
      <c r="C499" s="8">
        <v>1</v>
      </c>
      <c r="D499" s="8">
        <v>3</v>
      </c>
      <c r="E499" t="s">
        <v>1443</v>
      </c>
      <c r="F499" s="13" t="s">
        <v>1288</v>
      </c>
      <c r="G499" t="s">
        <v>1295</v>
      </c>
      <c r="H499" t="s">
        <v>1329</v>
      </c>
      <c r="I499">
        <v>1</v>
      </c>
      <c r="J499" s="69">
        <v>2</v>
      </c>
      <c r="K499" s="87">
        <v>1</v>
      </c>
      <c r="L499" s="8">
        <v>999</v>
      </c>
      <c r="M499" s="8">
        <v>0</v>
      </c>
      <c r="N499" s="8"/>
      <c r="S499" s="89">
        <v>0</v>
      </c>
      <c r="T499" s="8">
        <v>5</v>
      </c>
      <c r="U499" s="89">
        <v>110</v>
      </c>
      <c r="V499" s="87">
        <v>1</v>
      </c>
      <c r="W499" s="8">
        <v>1</v>
      </c>
      <c r="X499" s="8">
        <v>1</v>
      </c>
      <c r="Y499">
        <v>0</v>
      </c>
      <c r="Z499" s="33">
        <v>0</v>
      </c>
      <c r="AA499">
        <v>5</v>
      </c>
      <c r="AB499" s="34">
        <v>4180</v>
      </c>
      <c r="AC499" s="87">
        <v>0</v>
      </c>
      <c r="AD499" s="62">
        <v>0</v>
      </c>
      <c r="AE499" s="90">
        <v>0</v>
      </c>
      <c r="AF499" s="90">
        <v>0</v>
      </c>
      <c r="AG499" s="91"/>
      <c r="AH499" s="91">
        <v>1</v>
      </c>
      <c r="AI499" s="91"/>
      <c r="AJ499" s="91"/>
      <c r="AK499" s="91"/>
      <c r="AL499" s="92">
        <v>1</v>
      </c>
      <c r="AM499" s="92"/>
      <c r="AN499" s="93"/>
      <c r="AO499" s="92"/>
      <c r="AQ499" t="s">
        <v>1294</v>
      </c>
      <c r="AS499">
        <v>1</v>
      </c>
    </row>
    <row r="500" spans="1:45">
      <c r="A500" s="8">
        <v>240111</v>
      </c>
      <c r="B500" s="8">
        <v>1001</v>
      </c>
      <c r="C500" s="8">
        <v>1</v>
      </c>
      <c r="D500" s="8">
        <v>3</v>
      </c>
      <c r="E500" t="s">
        <v>1444</v>
      </c>
      <c r="F500" s="13" t="s">
        <v>1294</v>
      </c>
      <c r="G500" t="s">
        <v>1295</v>
      </c>
      <c r="H500" t="s">
        <v>1329</v>
      </c>
      <c r="I500">
        <v>1</v>
      </c>
      <c r="J500" s="69">
        <v>2</v>
      </c>
      <c r="K500" s="87">
        <v>1</v>
      </c>
      <c r="L500" s="8">
        <v>999</v>
      </c>
      <c r="M500" s="8">
        <v>0</v>
      </c>
      <c r="N500" s="8"/>
      <c r="S500" s="89">
        <v>0</v>
      </c>
      <c r="T500" s="8">
        <v>5</v>
      </c>
      <c r="U500" s="89">
        <v>110</v>
      </c>
      <c r="V500" s="87">
        <v>1</v>
      </c>
      <c r="W500" s="8">
        <v>1</v>
      </c>
      <c r="X500" s="8">
        <v>1</v>
      </c>
      <c r="Y500">
        <v>0</v>
      </c>
      <c r="Z500" s="33">
        <v>0</v>
      </c>
      <c r="AA500">
        <v>5</v>
      </c>
      <c r="AB500" s="34">
        <v>4180</v>
      </c>
      <c r="AC500" s="87">
        <v>0</v>
      </c>
      <c r="AD500" s="62">
        <v>0</v>
      </c>
      <c r="AE500" s="90">
        <v>0</v>
      </c>
      <c r="AF500" s="90">
        <v>0</v>
      </c>
      <c r="AG500" s="91"/>
      <c r="AH500" s="91">
        <v>1</v>
      </c>
      <c r="AI500" s="91"/>
      <c r="AJ500" s="91"/>
      <c r="AK500" s="91"/>
      <c r="AL500" s="92">
        <v>1</v>
      </c>
      <c r="AM500" s="92"/>
      <c r="AN500" s="93"/>
      <c r="AO500" s="92"/>
      <c r="AQ500" t="s">
        <v>1294</v>
      </c>
      <c r="AS500">
        <v>1</v>
      </c>
    </row>
    <row r="501" spans="1:45">
      <c r="A501" s="8">
        <v>240112</v>
      </c>
      <c r="B501" s="8">
        <v>1001</v>
      </c>
      <c r="C501" s="8">
        <v>1</v>
      </c>
      <c r="D501" s="8">
        <v>3</v>
      </c>
      <c r="E501" t="s">
        <v>1445</v>
      </c>
      <c r="F501" s="13" t="s">
        <v>1288</v>
      </c>
      <c r="G501" t="s">
        <v>1295</v>
      </c>
      <c r="H501" t="s">
        <v>1329</v>
      </c>
      <c r="I501">
        <v>1</v>
      </c>
      <c r="J501" s="69">
        <v>2</v>
      </c>
      <c r="K501" s="87">
        <v>1</v>
      </c>
      <c r="L501" s="8">
        <v>999</v>
      </c>
      <c r="M501" s="8">
        <v>0</v>
      </c>
      <c r="N501" s="8"/>
      <c r="S501" s="89">
        <v>0</v>
      </c>
      <c r="T501" s="8">
        <v>5</v>
      </c>
      <c r="U501" s="89">
        <v>110</v>
      </c>
      <c r="V501" s="87">
        <v>1</v>
      </c>
      <c r="W501" s="8">
        <v>1</v>
      </c>
      <c r="X501" s="8">
        <v>1</v>
      </c>
      <c r="Y501">
        <v>0</v>
      </c>
      <c r="Z501" s="33">
        <v>0</v>
      </c>
      <c r="AA501">
        <v>5</v>
      </c>
      <c r="AB501" s="34">
        <v>4180</v>
      </c>
      <c r="AC501" s="87">
        <v>0</v>
      </c>
      <c r="AD501" s="62">
        <v>0</v>
      </c>
      <c r="AE501" s="90">
        <v>0</v>
      </c>
      <c r="AF501" s="90">
        <v>0</v>
      </c>
      <c r="AG501" s="91"/>
      <c r="AH501" s="91">
        <v>1</v>
      </c>
      <c r="AI501" s="91"/>
      <c r="AJ501" s="91"/>
      <c r="AK501" s="91"/>
      <c r="AL501" s="92">
        <v>1</v>
      </c>
      <c r="AM501" s="92"/>
      <c r="AN501" s="93"/>
      <c r="AO501" s="92"/>
      <c r="AQ501" t="s">
        <v>1294</v>
      </c>
      <c r="AS501">
        <v>1</v>
      </c>
    </row>
    <row r="502" spans="1:45">
      <c r="A502" s="8">
        <v>240113</v>
      </c>
      <c r="B502" s="8">
        <v>1001</v>
      </c>
      <c r="C502" s="8">
        <v>1</v>
      </c>
      <c r="D502" s="8">
        <v>3</v>
      </c>
      <c r="E502" s="238" t="s">
        <v>1446</v>
      </c>
      <c r="F502" s="13" t="s">
        <v>1437</v>
      </c>
      <c r="G502" t="s">
        <v>1295</v>
      </c>
      <c r="H502" t="s">
        <v>1329</v>
      </c>
      <c r="I502">
        <v>1</v>
      </c>
      <c r="J502" s="69">
        <v>2</v>
      </c>
      <c r="K502" s="248">
        <v>1</v>
      </c>
      <c r="L502" s="8">
        <v>999</v>
      </c>
      <c r="M502" s="8">
        <v>0</v>
      </c>
      <c r="N502" s="236"/>
      <c r="O502" s="249"/>
      <c r="S502" s="89">
        <v>0</v>
      </c>
      <c r="T502" s="8">
        <v>5</v>
      </c>
      <c r="U502" s="89">
        <v>110</v>
      </c>
      <c r="V502" s="248">
        <v>1</v>
      </c>
      <c r="W502" s="236">
        <v>1</v>
      </c>
      <c r="X502" s="8">
        <v>1</v>
      </c>
      <c r="Y502" s="238">
        <v>0</v>
      </c>
      <c r="Z502" s="33">
        <v>0</v>
      </c>
      <c r="AA502">
        <v>5</v>
      </c>
      <c r="AB502" s="34">
        <v>4180</v>
      </c>
      <c r="AC502" s="87">
        <v>0</v>
      </c>
      <c r="AD502" s="62">
        <v>0</v>
      </c>
      <c r="AE502" s="250">
        <v>0</v>
      </c>
      <c r="AF502" s="250">
        <v>0</v>
      </c>
      <c r="AG502" s="251"/>
      <c r="AH502" s="251">
        <v>1</v>
      </c>
      <c r="AI502" s="251"/>
      <c r="AJ502" s="251"/>
      <c r="AK502" s="251"/>
      <c r="AL502" s="252">
        <v>1</v>
      </c>
      <c r="AM502" s="252"/>
      <c r="AN502" s="93"/>
      <c r="AO502" s="92"/>
      <c r="AQ502" s="238" t="s">
        <v>1294</v>
      </c>
      <c r="AS502">
        <v>1</v>
      </c>
    </row>
    <row r="503" spans="1:45">
      <c r="A503" s="8">
        <v>240114</v>
      </c>
      <c r="B503" s="8">
        <v>1001</v>
      </c>
      <c r="C503" s="8">
        <v>6</v>
      </c>
      <c r="D503" s="8">
        <v>1001</v>
      </c>
      <c r="E503" s="253" t="s">
        <v>1447</v>
      </c>
      <c r="F503" s="13" t="s">
        <v>1448</v>
      </c>
      <c r="G503" t="s">
        <v>1449</v>
      </c>
      <c r="H503" t="s">
        <v>1431</v>
      </c>
      <c r="I503">
        <v>1</v>
      </c>
      <c r="J503" s="69">
        <v>5</v>
      </c>
      <c r="K503" s="254">
        <v>2</v>
      </c>
      <c r="L503" s="8">
        <v>999</v>
      </c>
      <c r="M503" s="8">
        <v>0</v>
      </c>
      <c r="N503" s="238">
        <v>1017</v>
      </c>
      <c r="O503" s="249">
        <v>10226</v>
      </c>
      <c r="S503" s="89">
        <v>1</v>
      </c>
      <c r="T503" s="8">
        <v>5</v>
      </c>
      <c r="U503" s="89">
        <v>200</v>
      </c>
      <c r="V503" s="254">
        <v>1</v>
      </c>
      <c r="W503" s="238">
        <v>1</v>
      </c>
      <c r="X503" s="8">
        <v>1</v>
      </c>
      <c r="Y503" s="236">
        <v>0</v>
      </c>
      <c r="Z503" s="33">
        <v>0</v>
      </c>
      <c r="AA503">
        <v>5</v>
      </c>
      <c r="AB503" s="34">
        <v>7600</v>
      </c>
      <c r="AC503" s="87">
        <v>71</v>
      </c>
      <c r="AE503" s="255">
        <v>4</v>
      </c>
      <c r="AF503" s="255">
        <v>2</v>
      </c>
      <c r="AG503" s="91"/>
      <c r="AH503" s="91"/>
      <c r="AI503" s="91"/>
      <c r="AJ503" s="91"/>
      <c r="AK503" s="91"/>
      <c r="AL503" s="256">
        <v>1</v>
      </c>
      <c r="AM503" s="256">
        <v>60</v>
      </c>
      <c r="AN503" s="93"/>
      <c r="AO503" s="92"/>
      <c r="AQ503" s="253" t="s">
        <v>1432</v>
      </c>
      <c r="AS503">
        <v>1</v>
      </c>
    </row>
    <row r="504" spans="1:45">
      <c r="A504" s="8">
        <v>240115</v>
      </c>
      <c r="B504" s="8">
        <v>1001</v>
      </c>
      <c r="C504" s="8">
        <v>1</v>
      </c>
      <c r="D504" s="8">
        <v>3</v>
      </c>
      <c r="E504" t="s">
        <v>1450</v>
      </c>
      <c r="F504" s="13" t="s">
        <v>1450</v>
      </c>
      <c r="G504" t="s">
        <v>1295</v>
      </c>
      <c r="H504" t="s">
        <v>1329</v>
      </c>
      <c r="I504">
        <v>1</v>
      </c>
      <c r="J504" s="69">
        <v>2</v>
      </c>
      <c r="K504" s="87">
        <v>1</v>
      </c>
      <c r="L504" s="8">
        <v>999</v>
      </c>
      <c r="M504" s="8">
        <v>0</v>
      </c>
      <c r="N504" s="8"/>
      <c r="S504" s="89">
        <v>0</v>
      </c>
      <c r="T504" s="8">
        <v>5</v>
      </c>
      <c r="U504" s="89">
        <v>110</v>
      </c>
      <c r="V504" s="87">
        <v>1</v>
      </c>
      <c r="W504" s="8">
        <v>1</v>
      </c>
      <c r="X504" s="8">
        <v>1</v>
      </c>
      <c r="Y504">
        <v>0</v>
      </c>
      <c r="Z504" s="33">
        <v>0</v>
      </c>
      <c r="AA504">
        <v>5</v>
      </c>
      <c r="AB504" s="34">
        <v>4180</v>
      </c>
      <c r="AC504" s="87">
        <v>0</v>
      </c>
      <c r="AD504" s="62">
        <v>0</v>
      </c>
      <c r="AE504" s="90">
        <v>0</v>
      </c>
      <c r="AF504" s="90">
        <v>0</v>
      </c>
      <c r="AG504" s="91"/>
      <c r="AH504" s="91">
        <v>1</v>
      </c>
      <c r="AI504" s="91"/>
      <c r="AJ504" s="91"/>
      <c r="AK504" s="91"/>
      <c r="AL504" s="92">
        <v>1</v>
      </c>
      <c r="AM504" s="92"/>
      <c r="AN504" s="93"/>
      <c r="AO504" s="92"/>
      <c r="AQ504" t="s">
        <v>1294</v>
      </c>
      <c r="AS504">
        <v>1</v>
      </c>
    </row>
    <row r="505" spans="1:45">
      <c r="A505" s="8">
        <v>240116</v>
      </c>
      <c r="B505" s="8">
        <v>1001</v>
      </c>
      <c r="C505" s="8">
        <v>1</v>
      </c>
      <c r="D505" s="8">
        <v>3</v>
      </c>
      <c r="E505" t="s">
        <v>1451</v>
      </c>
      <c r="F505" s="13" t="s">
        <v>1451</v>
      </c>
      <c r="G505" t="s">
        <v>1295</v>
      </c>
      <c r="H505" t="s">
        <v>1329</v>
      </c>
      <c r="I505">
        <v>1</v>
      </c>
      <c r="J505" s="69">
        <v>2</v>
      </c>
      <c r="K505" s="87">
        <v>1</v>
      </c>
      <c r="L505" s="8">
        <v>999</v>
      </c>
      <c r="M505" s="8">
        <v>0</v>
      </c>
      <c r="N505" s="8"/>
      <c r="S505" s="89">
        <v>0</v>
      </c>
      <c r="T505" s="8">
        <v>5</v>
      </c>
      <c r="U505" s="89">
        <v>110</v>
      </c>
      <c r="V505" s="87">
        <v>1</v>
      </c>
      <c r="W505" s="8">
        <v>1</v>
      </c>
      <c r="X505" s="8">
        <v>1</v>
      </c>
      <c r="Y505">
        <v>0</v>
      </c>
      <c r="Z505" s="33">
        <v>0</v>
      </c>
      <c r="AA505">
        <v>5</v>
      </c>
      <c r="AB505" s="34">
        <v>4180</v>
      </c>
      <c r="AC505" s="87">
        <v>0</v>
      </c>
      <c r="AD505" s="62">
        <v>0</v>
      </c>
      <c r="AE505" s="90">
        <v>0</v>
      </c>
      <c r="AF505" s="90">
        <v>0</v>
      </c>
      <c r="AG505" s="91"/>
      <c r="AH505" s="91">
        <v>1</v>
      </c>
      <c r="AI505" s="91"/>
      <c r="AJ505" s="91"/>
      <c r="AK505" s="91"/>
      <c r="AL505" s="92">
        <v>1</v>
      </c>
      <c r="AM505" s="92"/>
      <c r="AN505" s="93"/>
      <c r="AO505" s="92"/>
      <c r="AQ505" t="s">
        <v>1294</v>
      </c>
      <c r="AS505">
        <v>1</v>
      </c>
    </row>
    <row r="506" spans="1:45">
      <c r="A506" s="8">
        <v>240117</v>
      </c>
      <c r="B506" s="8">
        <v>1001</v>
      </c>
      <c r="C506" s="8">
        <v>1</v>
      </c>
      <c r="D506" s="8">
        <v>3</v>
      </c>
      <c r="E506" t="s">
        <v>1452</v>
      </c>
      <c r="F506" s="13" t="s">
        <v>1452</v>
      </c>
      <c r="G506" t="s">
        <v>1295</v>
      </c>
      <c r="H506" t="s">
        <v>1329</v>
      </c>
      <c r="I506">
        <v>1</v>
      </c>
      <c r="J506" s="69">
        <v>2</v>
      </c>
      <c r="K506" s="87">
        <v>1</v>
      </c>
      <c r="L506" s="8">
        <v>999</v>
      </c>
      <c r="M506" s="8">
        <v>0</v>
      </c>
      <c r="N506" s="8"/>
      <c r="S506" s="89">
        <v>0</v>
      </c>
      <c r="T506" s="8">
        <v>5</v>
      </c>
      <c r="U506" s="89">
        <v>110</v>
      </c>
      <c r="V506" s="87">
        <v>1</v>
      </c>
      <c r="W506" s="8">
        <v>1</v>
      </c>
      <c r="X506" s="8">
        <v>1</v>
      </c>
      <c r="Y506">
        <v>0</v>
      </c>
      <c r="Z506" s="33">
        <v>0</v>
      </c>
      <c r="AA506">
        <v>5</v>
      </c>
      <c r="AB506" s="34">
        <v>4180</v>
      </c>
      <c r="AC506" s="87">
        <v>0</v>
      </c>
      <c r="AD506" s="62">
        <v>0</v>
      </c>
      <c r="AE506" s="90">
        <v>0</v>
      </c>
      <c r="AF506" s="90">
        <v>0</v>
      </c>
      <c r="AG506" s="91"/>
      <c r="AH506" s="91">
        <v>1</v>
      </c>
      <c r="AI506" s="91"/>
      <c r="AJ506" s="91"/>
      <c r="AK506" s="91"/>
      <c r="AL506" s="92">
        <v>1</v>
      </c>
      <c r="AM506" s="92"/>
      <c r="AN506" s="93"/>
      <c r="AO506" s="92"/>
      <c r="AQ506" t="s">
        <v>1294</v>
      </c>
      <c r="AS506">
        <v>1</v>
      </c>
    </row>
    <row r="507" spans="1:45">
      <c r="A507" s="8">
        <v>240118</v>
      </c>
      <c r="B507" s="8">
        <v>1001</v>
      </c>
      <c r="C507" s="8">
        <v>1</v>
      </c>
      <c r="D507" s="8">
        <v>3</v>
      </c>
      <c r="E507" t="s">
        <v>1453</v>
      </c>
      <c r="F507" s="13" t="s">
        <v>1453</v>
      </c>
      <c r="G507" t="s">
        <v>1295</v>
      </c>
      <c r="H507" t="s">
        <v>1329</v>
      </c>
      <c r="I507">
        <v>1</v>
      </c>
      <c r="J507" s="69">
        <v>2</v>
      </c>
      <c r="K507" s="87">
        <v>1</v>
      </c>
      <c r="L507" s="8">
        <v>999</v>
      </c>
      <c r="M507" s="8">
        <v>0</v>
      </c>
      <c r="N507" s="8"/>
      <c r="S507" s="89">
        <v>0</v>
      </c>
      <c r="T507" s="8">
        <v>5</v>
      </c>
      <c r="U507" s="89">
        <v>110</v>
      </c>
      <c r="V507" s="87">
        <v>1</v>
      </c>
      <c r="W507" s="8">
        <v>1</v>
      </c>
      <c r="X507" s="8">
        <v>1</v>
      </c>
      <c r="Y507">
        <v>0</v>
      </c>
      <c r="Z507" s="33">
        <v>0</v>
      </c>
      <c r="AA507">
        <v>5</v>
      </c>
      <c r="AB507" s="34">
        <v>4180</v>
      </c>
      <c r="AC507" s="87">
        <v>0</v>
      </c>
      <c r="AD507" s="62">
        <v>0</v>
      </c>
      <c r="AE507" s="90">
        <v>0</v>
      </c>
      <c r="AF507" s="90">
        <v>0</v>
      </c>
      <c r="AG507" s="91"/>
      <c r="AH507" s="91">
        <v>1</v>
      </c>
      <c r="AI507" s="91"/>
      <c r="AJ507" s="91"/>
      <c r="AK507" s="91"/>
      <c r="AL507" s="92">
        <v>1</v>
      </c>
      <c r="AM507" s="92"/>
      <c r="AN507" s="93"/>
      <c r="AO507" s="92"/>
      <c r="AQ507" t="s">
        <v>1294</v>
      </c>
      <c r="AS507">
        <v>1</v>
      </c>
    </row>
    <row r="508" spans="1:45">
      <c r="A508" s="8">
        <v>240119</v>
      </c>
      <c r="B508" s="8">
        <v>1001</v>
      </c>
      <c r="C508" s="8">
        <v>1</v>
      </c>
      <c r="D508" s="8">
        <v>3</v>
      </c>
      <c r="E508" t="s">
        <v>1454</v>
      </c>
      <c r="F508" s="13" t="s">
        <v>1454</v>
      </c>
      <c r="G508" t="s">
        <v>1295</v>
      </c>
      <c r="H508" t="s">
        <v>1329</v>
      </c>
      <c r="I508">
        <v>1</v>
      </c>
      <c r="J508" s="69">
        <v>2</v>
      </c>
      <c r="K508" s="87">
        <v>1</v>
      </c>
      <c r="L508" s="8">
        <v>999</v>
      </c>
      <c r="M508" s="8">
        <v>0</v>
      </c>
      <c r="N508" s="8"/>
      <c r="S508" s="89">
        <v>0</v>
      </c>
      <c r="T508" s="8">
        <v>5</v>
      </c>
      <c r="U508" s="89">
        <v>110</v>
      </c>
      <c r="V508" s="87">
        <v>1</v>
      </c>
      <c r="W508" s="8">
        <v>1</v>
      </c>
      <c r="X508" s="8">
        <v>1</v>
      </c>
      <c r="Y508">
        <v>0</v>
      </c>
      <c r="Z508" s="33">
        <v>0</v>
      </c>
      <c r="AA508">
        <v>5</v>
      </c>
      <c r="AB508" s="34">
        <v>4180</v>
      </c>
      <c r="AC508" s="87">
        <v>0</v>
      </c>
      <c r="AD508" s="62">
        <v>0</v>
      </c>
      <c r="AE508" s="90">
        <v>0</v>
      </c>
      <c r="AF508" s="90">
        <v>0</v>
      </c>
      <c r="AG508" s="91"/>
      <c r="AH508" s="91">
        <v>1</v>
      </c>
      <c r="AI508" s="91"/>
      <c r="AJ508" s="91"/>
      <c r="AK508" s="91"/>
      <c r="AL508" s="92">
        <v>1</v>
      </c>
      <c r="AM508" s="92"/>
      <c r="AN508" s="93"/>
      <c r="AO508" s="92"/>
      <c r="AQ508" t="s">
        <v>1294</v>
      </c>
      <c r="AS508">
        <v>1</v>
      </c>
    </row>
    <row r="509" spans="1:45">
      <c r="A509" s="8">
        <v>240120</v>
      </c>
      <c r="B509" s="8">
        <v>1001</v>
      </c>
      <c r="C509" s="8">
        <v>1</v>
      </c>
      <c r="D509" s="8">
        <v>3</v>
      </c>
      <c r="E509" t="s">
        <v>1455</v>
      </c>
      <c r="F509" s="13" t="s">
        <v>1455</v>
      </c>
      <c r="G509" t="s">
        <v>1295</v>
      </c>
      <c r="H509" t="s">
        <v>1329</v>
      </c>
      <c r="I509">
        <v>1</v>
      </c>
      <c r="J509" s="69">
        <v>2</v>
      </c>
      <c r="K509" s="87">
        <v>1</v>
      </c>
      <c r="L509" s="8">
        <v>999</v>
      </c>
      <c r="M509" s="8">
        <v>0</v>
      </c>
      <c r="N509" s="8"/>
      <c r="S509" s="89">
        <v>0</v>
      </c>
      <c r="T509" s="8">
        <v>5</v>
      </c>
      <c r="U509" s="89">
        <v>110</v>
      </c>
      <c r="V509" s="87">
        <v>1</v>
      </c>
      <c r="W509" s="8">
        <v>1</v>
      </c>
      <c r="X509" s="8">
        <v>1</v>
      </c>
      <c r="Y509">
        <v>0</v>
      </c>
      <c r="Z509" s="33">
        <v>0</v>
      </c>
      <c r="AA509">
        <v>5</v>
      </c>
      <c r="AB509" s="34">
        <v>4180</v>
      </c>
      <c r="AC509" s="87">
        <v>0</v>
      </c>
      <c r="AD509" s="62">
        <v>0</v>
      </c>
      <c r="AE509" s="90">
        <v>0</v>
      </c>
      <c r="AF509" s="90">
        <v>0</v>
      </c>
      <c r="AG509" s="91"/>
      <c r="AH509" s="91">
        <v>1</v>
      </c>
      <c r="AI509" s="91"/>
      <c r="AJ509" s="91"/>
      <c r="AK509" s="91"/>
      <c r="AL509" s="92">
        <v>1</v>
      </c>
      <c r="AM509" s="92"/>
      <c r="AN509" s="93"/>
      <c r="AO509" s="92"/>
      <c r="AQ509" t="s">
        <v>1294</v>
      </c>
      <c r="AS509">
        <v>1</v>
      </c>
    </row>
    <row r="510" spans="1:45">
      <c r="A510" s="8">
        <v>240121</v>
      </c>
      <c r="B510" s="8">
        <v>1001</v>
      </c>
      <c r="C510" s="8">
        <v>1</v>
      </c>
      <c r="D510" s="8">
        <v>3</v>
      </c>
      <c r="E510" t="s">
        <v>1456</v>
      </c>
      <c r="F510" s="13" t="s">
        <v>1456</v>
      </c>
      <c r="G510" t="s">
        <v>1295</v>
      </c>
      <c r="H510" t="s">
        <v>1329</v>
      </c>
      <c r="I510">
        <v>1</v>
      </c>
      <c r="J510" s="69">
        <v>2</v>
      </c>
      <c r="K510" s="87">
        <v>1</v>
      </c>
      <c r="L510" s="8">
        <v>999</v>
      </c>
      <c r="M510" s="8">
        <v>0</v>
      </c>
      <c r="N510" s="8"/>
      <c r="S510" s="89">
        <v>0</v>
      </c>
      <c r="T510" s="8">
        <v>5</v>
      </c>
      <c r="U510" s="89">
        <v>110</v>
      </c>
      <c r="V510" s="87">
        <v>1</v>
      </c>
      <c r="W510" s="8">
        <v>1</v>
      </c>
      <c r="X510" s="8">
        <v>1</v>
      </c>
      <c r="Y510">
        <v>0</v>
      </c>
      <c r="Z510" s="33">
        <v>0</v>
      </c>
      <c r="AA510">
        <v>5</v>
      </c>
      <c r="AB510" s="34">
        <v>4180</v>
      </c>
      <c r="AC510" s="87">
        <v>0</v>
      </c>
      <c r="AD510" s="62">
        <v>0</v>
      </c>
      <c r="AE510" s="90">
        <v>0</v>
      </c>
      <c r="AF510" s="90">
        <v>0</v>
      </c>
      <c r="AG510" s="91"/>
      <c r="AH510" s="91">
        <v>1</v>
      </c>
      <c r="AI510" s="91"/>
      <c r="AJ510" s="91"/>
      <c r="AK510" s="91"/>
      <c r="AL510" s="92">
        <v>1</v>
      </c>
      <c r="AM510" s="92"/>
      <c r="AN510" s="93"/>
      <c r="AO510" s="92"/>
      <c r="AQ510" t="s">
        <v>1294</v>
      </c>
      <c r="AS510">
        <v>1</v>
      </c>
    </row>
    <row r="511" spans="1:45">
      <c r="A511" s="8">
        <v>240122</v>
      </c>
      <c r="B511" s="8">
        <v>1001</v>
      </c>
      <c r="C511" s="8">
        <v>1</v>
      </c>
      <c r="D511" s="8">
        <v>3</v>
      </c>
      <c r="E511" t="s">
        <v>1457</v>
      </c>
      <c r="F511" s="13" t="s">
        <v>1457</v>
      </c>
      <c r="G511" t="s">
        <v>1295</v>
      </c>
      <c r="H511" t="s">
        <v>1329</v>
      </c>
      <c r="I511">
        <v>1</v>
      </c>
      <c r="J511" s="69">
        <v>2</v>
      </c>
      <c r="K511" s="87">
        <v>1</v>
      </c>
      <c r="L511" s="8">
        <v>999</v>
      </c>
      <c r="M511" s="8">
        <v>0</v>
      </c>
      <c r="N511" s="8"/>
      <c r="S511" s="89">
        <v>0</v>
      </c>
      <c r="T511" s="8">
        <v>5</v>
      </c>
      <c r="U511" s="89">
        <v>110</v>
      </c>
      <c r="V511" s="87">
        <v>1</v>
      </c>
      <c r="W511" s="8">
        <v>1</v>
      </c>
      <c r="X511" s="8">
        <v>1</v>
      </c>
      <c r="Y511">
        <v>0</v>
      </c>
      <c r="Z511" s="33">
        <v>0</v>
      </c>
      <c r="AA511">
        <v>5</v>
      </c>
      <c r="AB511" s="34">
        <v>4180</v>
      </c>
      <c r="AC511" s="87">
        <v>0</v>
      </c>
      <c r="AD511" s="62">
        <v>0</v>
      </c>
      <c r="AE511" s="90">
        <v>0</v>
      </c>
      <c r="AF511" s="90">
        <v>0</v>
      </c>
      <c r="AG511" s="91"/>
      <c r="AH511" s="91">
        <v>1</v>
      </c>
      <c r="AI511" s="91"/>
      <c r="AJ511" s="91"/>
      <c r="AK511" s="91"/>
      <c r="AL511" s="92">
        <v>1</v>
      </c>
      <c r="AM511" s="92"/>
      <c r="AN511" s="93"/>
      <c r="AO511" s="92"/>
      <c r="AQ511" t="s">
        <v>1294</v>
      </c>
      <c r="AS511">
        <v>1</v>
      </c>
    </row>
    <row r="512" spans="1:45">
      <c r="A512" s="8">
        <v>240123</v>
      </c>
      <c r="B512" s="8">
        <v>1001</v>
      </c>
      <c r="C512" s="8">
        <v>1</v>
      </c>
      <c r="D512" s="8">
        <v>3</v>
      </c>
      <c r="E512" t="s">
        <v>1458</v>
      </c>
      <c r="F512" s="13" t="s">
        <v>1458</v>
      </c>
      <c r="G512" t="s">
        <v>1295</v>
      </c>
      <c r="H512" t="s">
        <v>1329</v>
      </c>
      <c r="I512">
        <v>1</v>
      </c>
      <c r="J512" s="69">
        <v>2</v>
      </c>
      <c r="K512" s="87">
        <v>1</v>
      </c>
      <c r="L512" s="8">
        <v>999</v>
      </c>
      <c r="M512" s="8">
        <v>0</v>
      </c>
      <c r="N512" s="8"/>
      <c r="S512" s="89">
        <v>0</v>
      </c>
      <c r="T512" s="8">
        <v>5</v>
      </c>
      <c r="U512" s="89">
        <v>110</v>
      </c>
      <c r="V512" s="87">
        <v>1</v>
      </c>
      <c r="W512" s="8">
        <v>1</v>
      </c>
      <c r="X512" s="8">
        <v>1</v>
      </c>
      <c r="Y512">
        <v>0</v>
      </c>
      <c r="Z512" s="33">
        <v>0</v>
      </c>
      <c r="AA512">
        <v>5</v>
      </c>
      <c r="AB512" s="34">
        <v>4180</v>
      </c>
      <c r="AC512" s="87">
        <v>0</v>
      </c>
      <c r="AD512" s="62">
        <v>0</v>
      </c>
      <c r="AE512" s="90">
        <v>0</v>
      </c>
      <c r="AF512" s="90">
        <v>0</v>
      </c>
      <c r="AG512" s="91"/>
      <c r="AH512" s="91">
        <v>1</v>
      </c>
      <c r="AI512" s="91"/>
      <c r="AJ512" s="91"/>
      <c r="AK512" s="91"/>
      <c r="AL512" s="92">
        <v>1</v>
      </c>
      <c r="AM512" s="92"/>
      <c r="AN512" s="93"/>
      <c r="AO512" s="92"/>
      <c r="AQ512" t="s">
        <v>1294</v>
      </c>
      <c r="AS512">
        <v>1</v>
      </c>
    </row>
    <row r="513" ht="14.25" customHeight="1" spans="1:45">
      <c r="A513" s="8">
        <v>240124</v>
      </c>
      <c r="B513" s="8">
        <v>1001</v>
      </c>
      <c r="C513" s="8">
        <v>1</v>
      </c>
      <c r="D513" s="8">
        <v>3</v>
      </c>
      <c r="E513" t="s">
        <v>1459</v>
      </c>
      <c r="F513" s="13" t="s">
        <v>1459</v>
      </c>
      <c r="G513" t="s">
        <v>1295</v>
      </c>
      <c r="H513" t="s">
        <v>1329</v>
      </c>
      <c r="I513">
        <v>1</v>
      </c>
      <c r="J513" s="69">
        <v>2</v>
      </c>
      <c r="K513" s="87">
        <v>1</v>
      </c>
      <c r="L513" s="8">
        <v>999</v>
      </c>
      <c r="M513" s="8">
        <v>0</v>
      </c>
      <c r="N513" s="8"/>
      <c r="P513" s="8"/>
      <c r="Q513" s="8"/>
      <c r="R513" s="8"/>
      <c r="S513" s="89">
        <v>0</v>
      </c>
      <c r="T513" s="8">
        <v>5</v>
      </c>
      <c r="U513" s="89">
        <v>110</v>
      </c>
      <c r="V513" s="87">
        <v>1</v>
      </c>
      <c r="W513" s="236">
        <v>1</v>
      </c>
      <c r="X513" s="8">
        <v>1</v>
      </c>
      <c r="Y513">
        <v>0</v>
      </c>
      <c r="Z513" s="33">
        <v>0</v>
      </c>
      <c r="AA513">
        <v>5</v>
      </c>
      <c r="AB513" s="34">
        <v>4180</v>
      </c>
      <c r="AC513" s="87">
        <v>0</v>
      </c>
      <c r="AD513" s="62">
        <v>0</v>
      </c>
      <c r="AE513" s="90">
        <v>0</v>
      </c>
      <c r="AF513" s="90">
        <v>0</v>
      </c>
      <c r="AG513" s="91"/>
      <c r="AH513" s="91">
        <v>1</v>
      </c>
      <c r="AI513" s="91"/>
      <c r="AJ513" s="91"/>
      <c r="AK513" s="91"/>
      <c r="AL513" s="92">
        <v>1</v>
      </c>
      <c r="AM513" s="92"/>
      <c r="AN513" s="93"/>
      <c r="AO513" s="92"/>
      <c r="AP513" s="86"/>
      <c r="AQ513" t="s">
        <v>1294</v>
      </c>
      <c r="AS513">
        <v>1</v>
      </c>
    </row>
    <row r="514" ht="14.25" customHeight="1" spans="1:45">
      <c r="A514" s="8">
        <v>212009</v>
      </c>
      <c r="B514" s="8">
        <v>1001</v>
      </c>
      <c r="C514" s="8">
        <v>11</v>
      </c>
      <c r="D514" s="8">
        <v>1001</v>
      </c>
      <c r="E514" s="3" t="s">
        <v>1460</v>
      </c>
      <c r="F514" s="13" t="s">
        <v>1460</v>
      </c>
      <c r="G514" t="s">
        <v>1461</v>
      </c>
      <c r="H514" s="117" t="s">
        <v>1462</v>
      </c>
      <c r="I514">
        <v>1</v>
      </c>
      <c r="J514" s="69">
        <v>2</v>
      </c>
      <c r="K514" s="87">
        <v>1</v>
      </c>
      <c r="L514" s="128">
        <v>9999</v>
      </c>
      <c r="M514" s="8">
        <v>0</v>
      </c>
      <c r="N514" s="8"/>
      <c r="O514" s="88"/>
      <c r="P514" s="8" t="s">
        <v>1463</v>
      </c>
      <c r="Q514" s="8" t="s">
        <v>1464</v>
      </c>
      <c r="R514" s="8" t="s">
        <v>1465</v>
      </c>
      <c r="S514" s="89">
        <v>1</v>
      </c>
      <c r="T514" s="8">
        <v>5</v>
      </c>
      <c r="U514" s="89">
        <v>110</v>
      </c>
      <c r="V514" s="87">
        <v>1</v>
      </c>
      <c r="W514">
        <v>1</v>
      </c>
      <c r="X514" s="8">
        <v>1</v>
      </c>
      <c r="Y514">
        <v>0</v>
      </c>
      <c r="Z514" s="33">
        <v>0</v>
      </c>
      <c r="AA514">
        <v>5</v>
      </c>
      <c r="AB514" s="34">
        <v>4180</v>
      </c>
      <c r="AC514" s="87">
        <v>814</v>
      </c>
      <c r="AD514" s="62">
        <v>0</v>
      </c>
      <c r="AE514" s="90">
        <v>0</v>
      </c>
      <c r="AF514" s="90">
        <v>0</v>
      </c>
      <c r="AG514" s="91"/>
      <c r="AH514" s="91">
        <v>1</v>
      </c>
      <c r="AI514" s="91"/>
      <c r="AJ514" s="91"/>
      <c r="AK514" s="91"/>
      <c r="AL514" s="92">
        <v>1</v>
      </c>
      <c r="AM514" s="92"/>
      <c r="AN514" s="93" t="s">
        <v>1466</v>
      </c>
      <c r="AO514" s="92"/>
      <c r="AP514" s="86"/>
      <c r="AQ514" t="s">
        <v>1460</v>
      </c>
      <c r="AS514">
        <v>1</v>
      </c>
    </row>
    <row r="515" ht="14.25" customHeight="1" spans="1:45">
      <c r="A515" s="8">
        <v>212111</v>
      </c>
      <c r="B515" s="8">
        <v>1001</v>
      </c>
      <c r="C515" s="8">
        <v>11</v>
      </c>
      <c r="D515" s="8">
        <v>1001</v>
      </c>
      <c r="E515" s="3" t="s">
        <v>1467</v>
      </c>
      <c r="F515" s="13" t="s">
        <v>1467</v>
      </c>
      <c r="G515" t="s">
        <v>1461</v>
      </c>
      <c r="H515" s="117" t="s">
        <v>1468</v>
      </c>
      <c r="I515">
        <v>1</v>
      </c>
      <c r="J515" s="69">
        <v>2</v>
      </c>
      <c r="K515" s="87">
        <v>1</v>
      </c>
      <c r="L515" s="128">
        <v>9999</v>
      </c>
      <c r="M515" s="8">
        <v>0</v>
      </c>
      <c r="N515" s="8"/>
      <c r="O515" s="88"/>
      <c r="P515" s="8" t="s">
        <v>1463</v>
      </c>
      <c r="Q515" s="8" t="s">
        <v>1464</v>
      </c>
      <c r="R515" s="8" t="s">
        <v>1465</v>
      </c>
      <c r="S515" s="89">
        <v>1</v>
      </c>
      <c r="T515" s="8">
        <v>5</v>
      </c>
      <c r="U515" s="89">
        <v>110</v>
      </c>
      <c r="V515" s="87">
        <v>1</v>
      </c>
      <c r="W515">
        <v>1</v>
      </c>
      <c r="X515" s="8">
        <v>1</v>
      </c>
      <c r="Y515">
        <v>0</v>
      </c>
      <c r="Z515" s="33">
        <v>0</v>
      </c>
      <c r="AA515">
        <v>5</v>
      </c>
      <c r="AB515" s="34">
        <v>4180</v>
      </c>
      <c r="AC515" s="87">
        <v>814</v>
      </c>
      <c r="AD515" s="62">
        <v>0</v>
      </c>
      <c r="AE515" s="90">
        <v>0</v>
      </c>
      <c r="AF515" s="90">
        <v>0</v>
      </c>
      <c r="AG515" s="91"/>
      <c r="AH515" s="91">
        <v>1</v>
      </c>
      <c r="AI515" s="91"/>
      <c r="AJ515" s="91"/>
      <c r="AK515" s="91"/>
      <c r="AL515" s="92">
        <v>1</v>
      </c>
      <c r="AM515" s="92"/>
      <c r="AN515" s="93" t="s">
        <v>1466</v>
      </c>
      <c r="AO515" s="92"/>
      <c r="AP515" s="86"/>
      <c r="AQ515" t="s">
        <v>1467</v>
      </c>
      <c r="AS515">
        <v>1</v>
      </c>
    </row>
    <row r="516" ht="14.25" customHeight="1" spans="1:45">
      <c r="A516" s="8">
        <v>212112</v>
      </c>
      <c r="B516" s="8">
        <v>1001</v>
      </c>
      <c r="C516" s="8">
        <v>11</v>
      </c>
      <c r="D516" s="8">
        <v>1001</v>
      </c>
      <c r="E516" s="3" t="s">
        <v>1469</v>
      </c>
      <c r="F516" s="13" t="s">
        <v>1469</v>
      </c>
      <c r="G516" t="s">
        <v>1461</v>
      </c>
      <c r="H516" s="117" t="s">
        <v>1470</v>
      </c>
      <c r="I516">
        <v>1</v>
      </c>
      <c r="J516" s="69">
        <v>2</v>
      </c>
      <c r="K516" s="87">
        <v>1</v>
      </c>
      <c r="L516" s="128">
        <v>9999</v>
      </c>
      <c r="M516" s="8">
        <v>0</v>
      </c>
      <c r="N516" s="8"/>
      <c r="O516" s="88"/>
      <c r="P516" s="8" t="s">
        <v>1463</v>
      </c>
      <c r="Q516" s="8" t="s">
        <v>1464</v>
      </c>
      <c r="R516" s="8" t="s">
        <v>1465</v>
      </c>
      <c r="S516" s="89">
        <v>1</v>
      </c>
      <c r="T516" s="8">
        <v>5</v>
      </c>
      <c r="U516" s="89">
        <v>110</v>
      </c>
      <c r="V516" s="87">
        <v>1</v>
      </c>
      <c r="W516">
        <v>1</v>
      </c>
      <c r="X516" s="8">
        <v>1</v>
      </c>
      <c r="Y516">
        <v>0</v>
      </c>
      <c r="Z516" s="33">
        <v>0</v>
      </c>
      <c r="AA516">
        <v>5</v>
      </c>
      <c r="AB516" s="34">
        <v>4180</v>
      </c>
      <c r="AC516" s="87">
        <v>814</v>
      </c>
      <c r="AD516" s="62">
        <v>0</v>
      </c>
      <c r="AE516" s="90">
        <v>0</v>
      </c>
      <c r="AF516" s="90">
        <v>0</v>
      </c>
      <c r="AG516" s="91"/>
      <c r="AH516" s="91">
        <v>1</v>
      </c>
      <c r="AI516" s="91"/>
      <c r="AJ516" s="91"/>
      <c r="AK516" s="91"/>
      <c r="AL516" s="92">
        <v>1</v>
      </c>
      <c r="AM516" s="92"/>
      <c r="AN516" s="93" t="s">
        <v>1466</v>
      </c>
      <c r="AO516" s="92"/>
      <c r="AP516" s="86"/>
      <c r="AQ516" t="s">
        <v>1469</v>
      </c>
      <c r="AS516">
        <v>1</v>
      </c>
    </row>
    <row r="517" ht="14.25" customHeight="1" spans="1:45">
      <c r="A517" s="8">
        <v>212113</v>
      </c>
      <c r="B517" s="8">
        <v>1001</v>
      </c>
      <c r="C517" s="8">
        <v>11</v>
      </c>
      <c r="D517" s="8">
        <v>1001</v>
      </c>
      <c r="E517" s="3" t="s">
        <v>1471</v>
      </c>
      <c r="F517" s="13" t="s">
        <v>1471</v>
      </c>
      <c r="G517" t="s">
        <v>1461</v>
      </c>
      <c r="H517" s="117" t="s">
        <v>1472</v>
      </c>
      <c r="I517">
        <v>1</v>
      </c>
      <c r="J517" s="69">
        <v>2</v>
      </c>
      <c r="K517" s="87">
        <v>1</v>
      </c>
      <c r="L517" s="128">
        <v>9999</v>
      </c>
      <c r="M517" s="8">
        <v>0</v>
      </c>
      <c r="N517" s="8"/>
      <c r="O517" s="88"/>
      <c r="P517" s="8" t="s">
        <v>1463</v>
      </c>
      <c r="Q517" s="8" t="s">
        <v>1464</v>
      </c>
      <c r="R517" s="8" t="s">
        <v>1465</v>
      </c>
      <c r="S517" s="89">
        <v>1</v>
      </c>
      <c r="T517" s="8">
        <v>5</v>
      </c>
      <c r="U517" s="89">
        <v>110</v>
      </c>
      <c r="V517" s="87">
        <v>1</v>
      </c>
      <c r="W517">
        <v>1</v>
      </c>
      <c r="X517" s="8">
        <v>1</v>
      </c>
      <c r="Y517">
        <v>0</v>
      </c>
      <c r="Z517" s="33">
        <v>0</v>
      </c>
      <c r="AA517">
        <v>5</v>
      </c>
      <c r="AB517" s="34">
        <v>4180</v>
      </c>
      <c r="AC517" s="87">
        <v>814</v>
      </c>
      <c r="AD517" s="62">
        <v>0</v>
      </c>
      <c r="AE517" s="90">
        <v>0</v>
      </c>
      <c r="AF517" s="90">
        <v>0</v>
      </c>
      <c r="AG517" s="91"/>
      <c r="AH517" s="91">
        <v>1</v>
      </c>
      <c r="AI517" s="91"/>
      <c r="AJ517" s="91"/>
      <c r="AK517" s="91"/>
      <c r="AL517" s="92">
        <v>1</v>
      </c>
      <c r="AM517" s="92"/>
      <c r="AN517" s="93" t="s">
        <v>1466</v>
      </c>
      <c r="AO517" s="92"/>
      <c r="AP517" s="86"/>
      <c r="AQ517" t="s">
        <v>1473</v>
      </c>
      <c r="AS517">
        <v>1</v>
      </c>
    </row>
    <row r="518" ht="14.25" customHeight="1" spans="1:45">
      <c r="A518" s="8">
        <v>212114</v>
      </c>
      <c r="B518" s="8">
        <v>1001</v>
      </c>
      <c r="C518" s="8">
        <v>11</v>
      </c>
      <c r="D518" s="8">
        <v>1001</v>
      </c>
      <c r="E518" s="3" t="s">
        <v>1474</v>
      </c>
      <c r="F518" s="13" t="s">
        <v>1474</v>
      </c>
      <c r="G518" t="s">
        <v>1461</v>
      </c>
      <c r="H518" s="117" t="s">
        <v>1475</v>
      </c>
      <c r="I518">
        <v>1</v>
      </c>
      <c r="J518" s="69">
        <v>2</v>
      </c>
      <c r="K518" s="87">
        <v>1</v>
      </c>
      <c r="L518" s="128">
        <v>9999</v>
      </c>
      <c r="M518" s="8">
        <v>0</v>
      </c>
      <c r="N518" s="8"/>
      <c r="O518" s="257"/>
      <c r="P518" s="8" t="s">
        <v>1463</v>
      </c>
      <c r="Q518" s="8" t="s">
        <v>1464</v>
      </c>
      <c r="R518" s="8" t="s">
        <v>1465</v>
      </c>
      <c r="S518" s="89">
        <v>1</v>
      </c>
      <c r="T518" s="8">
        <v>5</v>
      </c>
      <c r="U518" s="89">
        <v>110</v>
      </c>
      <c r="V518" s="87">
        <v>1</v>
      </c>
      <c r="W518">
        <v>1</v>
      </c>
      <c r="X518" s="8">
        <v>1</v>
      </c>
      <c r="Y518">
        <v>0</v>
      </c>
      <c r="Z518" s="33">
        <v>0</v>
      </c>
      <c r="AA518">
        <v>5</v>
      </c>
      <c r="AB518" s="34">
        <v>4180</v>
      </c>
      <c r="AC518" s="87">
        <v>814</v>
      </c>
      <c r="AD518" s="62">
        <v>0</v>
      </c>
      <c r="AE518" s="90">
        <v>0</v>
      </c>
      <c r="AF518" s="90">
        <v>0</v>
      </c>
      <c r="AG518" s="91"/>
      <c r="AH518" s="91">
        <v>1</v>
      </c>
      <c r="AI518" s="91"/>
      <c r="AJ518" s="91"/>
      <c r="AK518" s="91"/>
      <c r="AL518" s="92">
        <v>1</v>
      </c>
      <c r="AM518" s="92"/>
      <c r="AN518" s="93" t="s">
        <v>1466</v>
      </c>
      <c r="AO518" s="92"/>
      <c r="AP518" s="86"/>
      <c r="AQ518" t="s">
        <v>1474</v>
      </c>
      <c r="AS518">
        <v>1</v>
      </c>
    </row>
    <row r="519" ht="14.25" customHeight="1" spans="1:45">
      <c r="A519" s="8">
        <v>213009</v>
      </c>
      <c r="B519" s="8">
        <v>1001</v>
      </c>
      <c r="C519" s="8">
        <v>11</v>
      </c>
      <c r="D519" s="8">
        <v>1001</v>
      </c>
      <c r="E519" s="3" t="s">
        <v>1476</v>
      </c>
      <c r="F519" s="13" t="s">
        <v>1476</v>
      </c>
      <c r="G519" t="s">
        <v>1461</v>
      </c>
      <c r="H519" s="117" t="s">
        <v>1477</v>
      </c>
      <c r="I519">
        <v>1</v>
      </c>
      <c r="J519" s="69">
        <v>3</v>
      </c>
      <c r="K519" s="87">
        <v>1</v>
      </c>
      <c r="L519" s="128">
        <v>9999</v>
      </c>
      <c r="M519" s="8">
        <v>0</v>
      </c>
      <c r="N519" s="8"/>
      <c r="O519" s="88"/>
      <c r="P519" s="8" t="s">
        <v>1463</v>
      </c>
      <c r="Q519" s="8" t="s">
        <v>1464</v>
      </c>
      <c r="R519" s="8" t="s">
        <v>1465</v>
      </c>
      <c r="S519" s="89">
        <v>1</v>
      </c>
      <c r="T519" s="8">
        <v>5</v>
      </c>
      <c r="U519" s="89">
        <v>140</v>
      </c>
      <c r="V519" s="87">
        <v>1</v>
      </c>
      <c r="W519">
        <v>1</v>
      </c>
      <c r="X519" s="8">
        <v>1</v>
      </c>
      <c r="Y519">
        <v>0</v>
      </c>
      <c r="Z519" s="33">
        <v>0</v>
      </c>
      <c r="AA519">
        <v>5</v>
      </c>
      <c r="AB519" s="34">
        <v>5320</v>
      </c>
      <c r="AC519" s="87">
        <v>813</v>
      </c>
      <c r="AD519" s="62">
        <v>0</v>
      </c>
      <c r="AE519" s="90">
        <v>0</v>
      </c>
      <c r="AF519" s="90">
        <v>0</v>
      </c>
      <c r="AG519" s="91"/>
      <c r="AH519" s="91">
        <v>1</v>
      </c>
      <c r="AI519" s="91"/>
      <c r="AJ519" s="91"/>
      <c r="AK519" s="91"/>
      <c r="AL519" s="92">
        <v>1</v>
      </c>
      <c r="AM519" s="92"/>
      <c r="AN519" s="93" t="s">
        <v>1466</v>
      </c>
      <c r="AO519" s="92"/>
      <c r="AP519" s="86"/>
      <c r="AQ519" t="s">
        <v>1476</v>
      </c>
      <c r="AS519">
        <v>1</v>
      </c>
    </row>
    <row r="520" ht="14.25" customHeight="1" spans="1:45">
      <c r="A520" s="8">
        <v>213111</v>
      </c>
      <c r="B520" s="8">
        <v>1001</v>
      </c>
      <c r="C520" s="8">
        <v>11</v>
      </c>
      <c r="D520" s="8">
        <v>1001</v>
      </c>
      <c r="E520" s="3" t="s">
        <v>1478</v>
      </c>
      <c r="F520" s="13" t="s">
        <v>1478</v>
      </c>
      <c r="G520" t="s">
        <v>1461</v>
      </c>
      <c r="H520" s="117" t="s">
        <v>1479</v>
      </c>
      <c r="I520">
        <v>1</v>
      </c>
      <c r="J520" s="69">
        <v>3</v>
      </c>
      <c r="K520" s="87">
        <v>1</v>
      </c>
      <c r="L520" s="128">
        <v>9999</v>
      </c>
      <c r="M520" s="8">
        <v>0</v>
      </c>
      <c r="N520" s="8"/>
      <c r="O520" s="88"/>
      <c r="P520" s="8" t="s">
        <v>1463</v>
      </c>
      <c r="Q520" s="8" t="s">
        <v>1464</v>
      </c>
      <c r="R520" s="8" t="s">
        <v>1465</v>
      </c>
      <c r="S520" s="89">
        <v>1</v>
      </c>
      <c r="T520" s="8">
        <v>5</v>
      </c>
      <c r="U520" s="89">
        <v>140</v>
      </c>
      <c r="V520" s="87">
        <v>1</v>
      </c>
      <c r="W520">
        <v>1</v>
      </c>
      <c r="X520" s="8">
        <v>1</v>
      </c>
      <c r="Y520">
        <v>0</v>
      </c>
      <c r="Z520" s="33">
        <v>0</v>
      </c>
      <c r="AA520">
        <v>5</v>
      </c>
      <c r="AB520" s="34">
        <v>5320</v>
      </c>
      <c r="AC520" s="87">
        <v>813</v>
      </c>
      <c r="AD520" s="62">
        <v>0</v>
      </c>
      <c r="AE520" s="90">
        <v>0</v>
      </c>
      <c r="AF520" s="90">
        <v>0</v>
      </c>
      <c r="AG520" s="91"/>
      <c r="AH520" s="91">
        <v>1</v>
      </c>
      <c r="AI520" s="91"/>
      <c r="AJ520" s="91"/>
      <c r="AK520" s="91"/>
      <c r="AL520" s="92">
        <v>1</v>
      </c>
      <c r="AM520" s="92"/>
      <c r="AN520" s="93" t="s">
        <v>1466</v>
      </c>
      <c r="AO520" s="92"/>
      <c r="AP520" s="86"/>
      <c r="AQ520" t="s">
        <v>1478</v>
      </c>
      <c r="AS520">
        <v>1</v>
      </c>
    </row>
    <row r="521" ht="14.25" customHeight="1" spans="1:45">
      <c r="A521" s="8">
        <v>213112</v>
      </c>
      <c r="B521" s="8">
        <v>1001</v>
      </c>
      <c r="C521" s="8">
        <v>11</v>
      </c>
      <c r="D521" s="8">
        <v>1001</v>
      </c>
      <c r="E521" s="3" t="s">
        <v>1480</v>
      </c>
      <c r="F521" s="13" t="s">
        <v>1480</v>
      </c>
      <c r="G521" t="s">
        <v>1461</v>
      </c>
      <c r="H521" s="117" t="s">
        <v>1481</v>
      </c>
      <c r="I521">
        <v>1</v>
      </c>
      <c r="J521" s="69">
        <v>3</v>
      </c>
      <c r="K521" s="87">
        <v>1</v>
      </c>
      <c r="L521" s="128">
        <v>9999</v>
      </c>
      <c r="M521" s="8">
        <v>0</v>
      </c>
      <c r="N521" s="8"/>
      <c r="O521" s="88"/>
      <c r="P521" s="8" t="s">
        <v>1463</v>
      </c>
      <c r="Q521" s="8" t="s">
        <v>1464</v>
      </c>
      <c r="R521" s="8" t="s">
        <v>1465</v>
      </c>
      <c r="S521" s="89">
        <v>1</v>
      </c>
      <c r="T521" s="8">
        <v>5</v>
      </c>
      <c r="U521" s="89">
        <v>140</v>
      </c>
      <c r="V521" s="87">
        <v>1</v>
      </c>
      <c r="W521">
        <v>1</v>
      </c>
      <c r="X521" s="8">
        <v>1</v>
      </c>
      <c r="Y521">
        <v>0</v>
      </c>
      <c r="Z521" s="33">
        <v>0</v>
      </c>
      <c r="AA521">
        <v>5</v>
      </c>
      <c r="AB521" s="34">
        <v>5320</v>
      </c>
      <c r="AC521" s="87">
        <v>813</v>
      </c>
      <c r="AD521" s="62">
        <v>0</v>
      </c>
      <c r="AE521" s="90">
        <v>0</v>
      </c>
      <c r="AF521" s="90">
        <v>0</v>
      </c>
      <c r="AG521" s="91"/>
      <c r="AH521" s="91">
        <v>1</v>
      </c>
      <c r="AI521" s="91"/>
      <c r="AJ521" s="91"/>
      <c r="AK521" s="91"/>
      <c r="AL521" s="92">
        <v>1</v>
      </c>
      <c r="AM521" s="92"/>
      <c r="AN521" s="93" t="s">
        <v>1466</v>
      </c>
      <c r="AO521" s="92"/>
      <c r="AP521" s="86"/>
      <c r="AQ521" t="s">
        <v>1480</v>
      </c>
      <c r="AS521">
        <v>1</v>
      </c>
    </row>
    <row r="522" ht="14.25" customHeight="1" spans="1:45">
      <c r="A522" s="8">
        <v>213113</v>
      </c>
      <c r="B522" s="8">
        <v>1001</v>
      </c>
      <c r="C522" s="8">
        <v>11</v>
      </c>
      <c r="D522" s="8">
        <v>1001</v>
      </c>
      <c r="E522" s="3" t="s">
        <v>1482</v>
      </c>
      <c r="F522" s="13" t="s">
        <v>1482</v>
      </c>
      <c r="G522" t="s">
        <v>1461</v>
      </c>
      <c r="H522" s="117" t="s">
        <v>1483</v>
      </c>
      <c r="I522">
        <v>1</v>
      </c>
      <c r="J522" s="69">
        <v>3</v>
      </c>
      <c r="K522" s="87">
        <v>1</v>
      </c>
      <c r="L522" s="128">
        <v>9999</v>
      </c>
      <c r="M522" s="8">
        <v>0</v>
      </c>
      <c r="N522" s="8"/>
      <c r="O522" s="88"/>
      <c r="P522" s="8" t="s">
        <v>1463</v>
      </c>
      <c r="Q522" s="8" t="s">
        <v>1464</v>
      </c>
      <c r="R522" s="8" t="s">
        <v>1465</v>
      </c>
      <c r="S522" s="89">
        <v>1</v>
      </c>
      <c r="T522" s="8">
        <v>5</v>
      </c>
      <c r="U522" s="89">
        <v>140</v>
      </c>
      <c r="V522" s="87">
        <v>1</v>
      </c>
      <c r="W522">
        <v>1</v>
      </c>
      <c r="X522" s="8">
        <v>1</v>
      </c>
      <c r="Y522">
        <v>0</v>
      </c>
      <c r="Z522" s="33">
        <v>0</v>
      </c>
      <c r="AA522">
        <v>5</v>
      </c>
      <c r="AB522" s="34">
        <v>5320</v>
      </c>
      <c r="AC522" s="87">
        <v>813</v>
      </c>
      <c r="AD522" s="62">
        <v>0</v>
      </c>
      <c r="AE522" s="90">
        <v>0</v>
      </c>
      <c r="AF522" s="90">
        <v>0</v>
      </c>
      <c r="AG522" s="91"/>
      <c r="AH522" s="91">
        <v>1</v>
      </c>
      <c r="AI522" s="91"/>
      <c r="AJ522" s="91"/>
      <c r="AK522" s="91"/>
      <c r="AL522" s="92">
        <v>1</v>
      </c>
      <c r="AM522" s="92"/>
      <c r="AN522" s="93" t="s">
        <v>1466</v>
      </c>
      <c r="AO522" s="92"/>
      <c r="AP522" s="86"/>
      <c r="AQ522" t="s">
        <v>1484</v>
      </c>
      <c r="AS522">
        <v>1</v>
      </c>
    </row>
    <row r="523" ht="14.25" customHeight="1" spans="1:45">
      <c r="A523" s="8">
        <v>213114</v>
      </c>
      <c r="B523" s="8">
        <v>1001</v>
      </c>
      <c r="C523" s="8">
        <v>11</v>
      </c>
      <c r="D523" s="8">
        <v>1001</v>
      </c>
      <c r="E523" s="3" t="s">
        <v>1485</v>
      </c>
      <c r="F523" s="13" t="s">
        <v>1485</v>
      </c>
      <c r="G523" t="s">
        <v>1461</v>
      </c>
      <c r="H523" s="117" t="s">
        <v>1486</v>
      </c>
      <c r="I523">
        <v>1</v>
      </c>
      <c r="J523" s="69">
        <v>3</v>
      </c>
      <c r="K523" s="87">
        <v>1</v>
      </c>
      <c r="L523" s="128">
        <v>9999</v>
      </c>
      <c r="M523" s="8">
        <v>0</v>
      </c>
      <c r="N523" s="8"/>
      <c r="O523" s="257"/>
      <c r="P523" s="8" t="s">
        <v>1463</v>
      </c>
      <c r="Q523" s="8" t="s">
        <v>1464</v>
      </c>
      <c r="R523" s="8" t="s">
        <v>1465</v>
      </c>
      <c r="S523" s="89">
        <v>1</v>
      </c>
      <c r="T523" s="8">
        <v>5</v>
      </c>
      <c r="U523" s="89">
        <v>140</v>
      </c>
      <c r="V523" s="87">
        <v>1</v>
      </c>
      <c r="W523">
        <v>1</v>
      </c>
      <c r="X523" s="8">
        <v>1</v>
      </c>
      <c r="Y523">
        <v>0</v>
      </c>
      <c r="Z523" s="33">
        <v>0</v>
      </c>
      <c r="AA523">
        <v>5</v>
      </c>
      <c r="AB523" s="34">
        <v>5320</v>
      </c>
      <c r="AC523" s="87">
        <v>813</v>
      </c>
      <c r="AD523" s="62">
        <v>0</v>
      </c>
      <c r="AE523" s="90">
        <v>0</v>
      </c>
      <c r="AF523" s="90">
        <v>0</v>
      </c>
      <c r="AG523" s="91"/>
      <c r="AH523" s="91">
        <v>1</v>
      </c>
      <c r="AI523" s="91"/>
      <c r="AJ523" s="91"/>
      <c r="AK523" s="91"/>
      <c r="AL523" s="92">
        <v>1</v>
      </c>
      <c r="AM523" s="92"/>
      <c r="AN523" s="93" t="s">
        <v>1466</v>
      </c>
      <c r="AO523" s="92"/>
      <c r="AP523" s="86"/>
      <c r="AQ523" t="s">
        <v>1485</v>
      </c>
      <c r="AS523">
        <v>1</v>
      </c>
    </row>
    <row r="524" ht="14.25" customHeight="1" spans="1:45">
      <c r="A524" s="8">
        <v>214009</v>
      </c>
      <c r="B524" s="8">
        <v>1001</v>
      </c>
      <c r="C524" s="8">
        <v>11</v>
      </c>
      <c r="D524" s="8">
        <v>1001</v>
      </c>
      <c r="E524" s="3" t="s">
        <v>1487</v>
      </c>
      <c r="F524" s="13" t="s">
        <v>1487</v>
      </c>
      <c r="G524" t="s">
        <v>1461</v>
      </c>
      <c r="H524" s="117" t="s">
        <v>1488</v>
      </c>
      <c r="I524">
        <v>1</v>
      </c>
      <c r="J524" s="69">
        <v>4</v>
      </c>
      <c r="K524" s="87">
        <v>1</v>
      </c>
      <c r="L524" s="128">
        <v>9999</v>
      </c>
      <c r="M524" s="8">
        <v>0</v>
      </c>
      <c r="N524" s="8"/>
      <c r="O524" s="88"/>
      <c r="P524" s="8" t="s">
        <v>1463</v>
      </c>
      <c r="Q524" s="8" t="s">
        <v>1464</v>
      </c>
      <c r="R524" s="8" t="s">
        <v>1465</v>
      </c>
      <c r="S524" s="89">
        <v>1</v>
      </c>
      <c r="T524" s="8">
        <v>5</v>
      </c>
      <c r="U524" s="89">
        <v>170</v>
      </c>
      <c r="V524" s="87">
        <v>1</v>
      </c>
      <c r="W524">
        <v>1</v>
      </c>
      <c r="X524" s="8">
        <v>1</v>
      </c>
      <c r="Y524">
        <v>0</v>
      </c>
      <c r="Z524" s="33">
        <v>0</v>
      </c>
      <c r="AA524">
        <v>5</v>
      </c>
      <c r="AB524" s="34">
        <v>6460</v>
      </c>
      <c r="AC524" s="87">
        <v>812</v>
      </c>
      <c r="AD524" s="62">
        <v>0</v>
      </c>
      <c r="AE524" s="90">
        <v>0</v>
      </c>
      <c r="AF524" s="90">
        <v>0</v>
      </c>
      <c r="AG524" s="91"/>
      <c r="AH524" s="91">
        <v>1</v>
      </c>
      <c r="AI524" s="91"/>
      <c r="AJ524" s="91"/>
      <c r="AK524" s="91"/>
      <c r="AL524" s="92">
        <v>1</v>
      </c>
      <c r="AM524" s="92"/>
      <c r="AN524" s="93" t="s">
        <v>1466</v>
      </c>
      <c r="AO524" s="92"/>
      <c r="AP524" s="86"/>
      <c r="AQ524" t="s">
        <v>1487</v>
      </c>
      <c r="AS524">
        <v>1</v>
      </c>
    </row>
    <row r="525" ht="14.25" customHeight="1" spans="1:45">
      <c r="A525" s="8">
        <v>214111</v>
      </c>
      <c r="B525" s="8">
        <v>1001</v>
      </c>
      <c r="C525" s="8">
        <v>11</v>
      </c>
      <c r="D525" s="8">
        <v>1001</v>
      </c>
      <c r="E525" s="3" t="s">
        <v>1489</v>
      </c>
      <c r="F525" s="13" t="s">
        <v>1489</v>
      </c>
      <c r="G525" t="s">
        <v>1461</v>
      </c>
      <c r="H525" s="117" t="s">
        <v>1490</v>
      </c>
      <c r="I525">
        <v>1</v>
      </c>
      <c r="J525" s="69">
        <v>4</v>
      </c>
      <c r="K525" s="87">
        <v>1</v>
      </c>
      <c r="L525" s="128">
        <v>9999</v>
      </c>
      <c r="M525" s="8">
        <v>0</v>
      </c>
      <c r="N525" s="8"/>
      <c r="O525" s="88"/>
      <c r="P525" s="8" t="s">
        <v>1463</v>
      </c>
      <c r="Q525" s="8" t="s">
        <v>1464</v>
      </c>
      <c r="R525" s="8" t="s">
        <v>1465</v>
      </c>
      <c r="S525" s="89">
        <v>1</v>
      </c>
      <c r="T525" s="8">
        <v>5</v>
      </c>
      <c r="U525" s="89">
        <v>170</v>
      </c>
      <c r="V525" s="87">
        <v>1</v>
      </c>
      <c r="W525">
        <v>1</v>
      </c>
      <c r="X525" s="8">
        <v>1</v>
      </c>
      <c r="Y525">
        <v>0</v>
      </c>
      <c r="Z525" s="33">
        <v>0</v>
      </c>
      <c r="AA525">
        <v>5</v>
      </c>
      <c r="AB525" s="34">
        <v>6460</v>
      </c>
      <c r="AC525" s="87">
        <v>812</v>
      </c>
      <c r="AD525" s="62">
        <v>0</v>
      </c>
      <c r="AE525" s="90">
        <v>0</v>
      </c>
      <c r="AF525" s="90">
        <v>0</v>
      </c>
      <c r="AG525" s="91"/>
      <c r="AH525" s="91">
        <v>1</v>
      </c>
      <c r="AI525" s="91"/>
      <c r="AJ525" s="91"/>
      <c r="AK525" s="91"/>
      <c r="AL525" s="92">
        <v>1</v>
      </c>
      <c r="AM525" s="92"/>
      <c r="AN525" s="93" t="s">
        <v>1466</v>
      </c>
      <c r="AO525" s="92"/>
      <c r="AP525" s="86"/>
      <c r="AQ525" t="s">
        <v>1489</v>
      </c>
      <c r="AS525">
        <v>1</v>
      </c>
    </row>
    <row r="526" ht="14.25" customHeight="1" spans="1:45">
      <c r="A526" s="8">
        <v>214112</v>
      </c>
      <c r="B526" s="8">
        <v>1001</v>
      </c>
      <c r="C526" s="8">
        <v>11</v>
      </c>
      <c r="D526" s="8">
        <v>1001</v>
      </c>
      <c r="E526" s="3" t="s">
        <v>1491</v>
      </c>
      <c r="F526" s="13" t="s">
        <v>1491</v>
      </c>
      <c r="G526" t="s">
        <v>1461</v>
      </c>
      <c r="H526" s="117" t="s">
        <v>1492</v>
      </c>
      <c r="I526">
        <v>1</v>
      </c>
      <c r="J526" s="69">
        <v>4</v>
      </c>
      <c r="K526" s="87">
        <v>1</v>
      </c>
      <c r="L526" s="128">
        <v>9999</v>
      </c>
      <c r="M526" s="8">
        <v>0</v>
      </c>
      <c r="N526" s="8"/>
      <c r="O526" s="88"/>
      <c r="P526" s="8" t="s">
        <v>1463</v>
      </c>
      <c r="Q526" s="8" t="s">
        <v>1464</v>
      </c>
      <c r="R526" s="8" t="s">
        <v>1465</v>
      </c>
      <c r="S526" s="89">
        <v>1</v>
      </c>
      <c r="T526" s="8">
        <v>5</v>
      </c>
      <c r="U526" s="89">
        <v>170</v>
      </c>
      <c r="V526" s="87">
        <v>1</v>
      </c>
      <c r="W526">
        <v>1</v>
      </c>
      <c r="X526" s="8">
        <v>1</v>
      </c>
      <c r="Y526">
        <v>0</v>
      </c>
      <c r="Z526" s="33">
        <v>0</v>
      </c>
      <c r="AA526">
        <v>5</v>
      </c>
      <c r="AB526" s="34">
        <v>6460</v>
      </c>
      <c r="AC526" s="87">
        <v>812</v>
      </c>
      <c r="AD526" s="62">
        <v>0</v>
      </c>
      <c r="AE526" s="90">
        <v>0</v>
      </c>
      <c r="AF526" s="90">
        <v>0</v>
      </c>
      <c r="AG526" s="91"/>
      <c r="AH526" s="91">
        <v>1</v>
      </c>
      <c r="AI526" s="91"/>
      <c r="AJ526" s="91"/>
      <c r="AK526" s="91"/>
      <c r="AL526" s="92">
        <v>1</v>
      </c>
      <c r="AM526" s="92"/>
      <c r="AN526" s="93" t="s">
        <v>1466</v>
      </c>
      <c r="AO526" s="92"/>
      <c r="AP526" s="86"/>
      <c r="AQ526" t="s">
        <v>1491</v>
      </c>
      <c r="AS526">
        <v>1</v>
      </c>
    </row>
    <row r="527" ht="14.25" customHeight="1" spans="1:45">
      <c r="A527" s="8">
        <v>214113</v>
      </c>
      <c r="B527" s="8">
        <v>1001</v>
      </c>
      <c r="C527" s="8">
        <v>11</v>
      </c>
      <c r="D527" s="8">
        <v>1001</v>
      </c>
      <c r="E527" s="3" t="s">
        <v>1493</v>
      </c>
      <c r="F527" s="13" t="s">
        <v>1493</v>
      </c>
      <c r="G527" t="s">
        <v>1461</v>
      </c>
      <c r="H527" s="117" t="s">
        <v>1494</v>
      </c>
      <c r="I527">
        <v>1</v>
      </c>
      <c r="J527" s="69">
        <v>4</v>
      </c>
      <c r="K527" s="87">
        <v>1</v>
      </c>
      <c r="L527" s="128">
        <v>9999</v>
      </c>
      <c r="M527" s="8">
        <v>0</v>
      </c>
      <c r="N527" s="8"/>
      <c r="O527" s="88"/>
      <c r="P527" s="8" t="s">
        <v>1463</v>
      </c>
      <c r="Q527" s="8" t="s">
        <v>1464</v>
      </c>
      <c r="R527" s="8" t="s">
        <v>1465</v>
      </c>
      <c r="S527" s="89">
        <v>1</v>
      </c>
      <c r="T527" s="8">
        <v>5</v>
      </c>
      <c r="U527" s="89">
        <v>170</v>
      </c>
      <c r="V527" s="87">
        <v>1</v>
      </c>
      <c r="W527">
        <v>1</v>
      </c>
      <c r="X527" s="8">
        <v>1</v>
      </c>
      <c r="Y527">
        <v>0</v>
      </c>
      <c r="Z527" s="33">
        <v>0</v>
      </c>
      <c r="AA527">
        <v>5</v>
      </c>
      <c r="AB527" s="34">
        <v>6460</v>
      </c>
      <c r="AC527" s="87">
        <v>812</v>
      </c>
      <c r="AD527" s="62">
        <v>0</v>
      </c>
      <c r="AE527" s="90">
        <v>0</v>
      </c>
      <c r="AF527" s="90">
        <v>0</v>
      </c>
      <c r="AG527" s="91"/>
      <c r="AH527" s="91">
        <v>1</v>
      </c>
      <c r="AI527" s="91"/>
      <c r="AJ527" s="91"/>
      <c r="AK527" s="91"/>
      <c r="AL527" s="92">
        <v>1</v>
      </c>
      <c r="AM527" s="92"/>
      <c r="AN527" s="93" t="s">
        <v>1466</v>
      </c>
      <c r="AO527" s="92"/>
      <c r="AP527" s="86"/>
      <c r="AQ527" t="s">
        <v>1495</v>
      </c>
      <c r="AS527">
        <v>1</v>
      </c>
    </row>
    <row r="528" ht="14.25" customHeight="1" spans="1:45">
      <c r="A528" s="8">
        <v>214114</v>
      </c>
      <c r="B528" s="8">
        <v>1001</v>
      </c>
      <c r="C528" s="8">
        <v>11</v>
      </c>
      <c r="D528" s="8">
        <v>1001</v>
      </c>
      <c r="E528" s="3" t="s">
        <v>1496</v>
      </c>
      <c r="F528" s="13" t="s">
        <v>1496</v>
      </c>
      <c r="G528" t="s">
        <v>1461</v>
      </c>
      <c r="H528" s="117" t="s">
        <v>1497</v>
      </c>
      <c r="I528">
        <v>1</v>
      </c>
      <c r="J528" s="69">
        <v>4</v>
      </c>
      <c r="K528" s="87">
        <v>1</v>
      </c>
      <c r="L528" s="128">
        <v>9999</v>
      </c>
      <c r="M528" s="8">
        <v>0</v>
      </c>
      <c r="N528" s="8"/>
      <c r="O528" s="257"/>
      <c r="P528" s="8" t="s">
        <v>1463</v>
      </c>
      <c r="Q528" s="8" t="s">
        <v>1464</v>
      </c>
      <c r="R528" s="8" t="s">
        <v>1465</v>
      </c>
      <c r="S528" s="89">
        <v>1</v>
      </c>
      <c r="T528" s="8">
        <v>5</v>
      </c>
      <c r="U528" s="89">
        <v>170</v>
      </c>
      <c r="V528" s="87">
        <v>1</v>
      </c>
      <c r="W528">
        <v>1</v>
      </c>
      <c r="X528" s="8">
        <v>1</v>
      </c>
      <c r="Y528">
        <v>0</v>
      </c>
      <c r="Z528" s="33">
        <v>0</v>
      </c>
      <c r="AA528">
        <v>5</v>
      </c>
      <c r="AB528" s="34">
        <v>6460</v>
      </c>
      <c r="AC528" s="87">
        <v>812</v>
      </c>
      <c r="AD528" s="62">
        <v>0</v>
      </c>
      <c r="AE528" s="90">
        <v>0</v>
      </c>
      <c r="AF528" s="90">
        <v>0</v>
      </c>
      <c r="AG528" s="91"/>
      <c r="AH528" s="91">
        <v>1</v>
      </c>
      <c r="AI528" s="91"/>
      <c r="AJ528" s="91"/>
      <c r="AK528" s="91"/>
      <c r="AL528" s="92">
        <v>1</v>
      </c>
      <c r="AM528" s="92"/>
      <c r="AN528" s="93" t="s">
        <v>1466</v>
      </c>
      <c r="AO528" s="92"/>
      <c r="AP528" s="86"/>
      <c r="AQ528" t="s">
        <v>1496</v>
      </c>
      <c r="AS528">
        <v>1</v>
      </c>
    </row>
    <row r="529" ht="14.25" customHeight="1" spans="1:45">
      <c r="A529" s="8">
        <v>215009</v>
      </c>
      <c r="B529" s="8">
        <v>1001</v>
      </c>
      <c r="C529" s="8">
        <v>11</v>
      </c>
      <c r="D529" s="8">
        <v>1001</v>
      </c>
      <c r="E529" t="s">
        <v>1498</v>
      </c>
      <c r="F529" s="13" t="s">
        <v>1498</v>
      </c>
      <c r="G529" t="s">
        <v>1461</v>
      </c>
      <c r="H529" s="117" t="s">
        <v>1499</v>
      </c>
      <c r="I529">
        <v>1</v>
      </c>
      <c r="J529" s="69">
        <v>5</v>
      </c>
      <c r="K529" s="87">
        <v>1</v>
      </c>
      <c r="L529" s="128">
        <v>9999</v>
      </c>
      <c r="M529" s="8">
        <v>0</v>
      </c>
      <c r="N529" s="8"/>
      <c r="O529" s="88"/>
      <c r="P529" s="8" t="s">
        <v>1463</v>
      </c>
      <c r="Q529" s="8" t="s">
        <v>1464</v>
      </c>
      <c r="R529" s="8" t="s">
        <v>1465</v>
      </c>
      <c r="S529" s="89">
        <v>1</v>
      </c>
      <c r="T529" s="8">
        <v>5</v>
      </c>
      <c r="U529" s="89">
        <v>200</v>
      </c>
      <c r="V529" s="87">
        <v>1</v>
      </c>
      <c r="W529">
        <v>1</v>
      </c>
      <c r="X529" s="8">
        <v>1</v>
      </c>
      <c r="Y529">
        <v>0</v>
      </c>
      <c r="Z529" s="33">
        <v>0</v>
      </c>
      <c r="AA529">
        <v>5</v>
      </c>
      <c r="AB529" s="34">
        <v>7600</v>
      </c>
      <c r="AC529" s="87">
        <v>811</v>
      </c>
      <c r="AD529" s="62">
        <v>0</v>
      </c>
      <c r="AE529" s="90">
        <v>0</v>
      </c>
      <c r="AF529" s="90">
        <v>0</v>
      </c>
      <c r="AG529" s="91"/>
      <c r="AH529" s="91">
        <v>1</v>
      </c>
      <c r="AI529" s="91"/>
      <c r="AJ529" s="91"/>
      <c r="AK529" s="91"/>
      <c r="AL529" s="92">
        <v>1</v>
      </c>
      <c r="AM529" s="92"/>
      <c r="AN529" s="93" t="s">
        <v>1466</v>
      </c>
      <c r="AO529" s="92"/>
      <c r="AP529" s="86"/>
      <c r="AQ529" t="s">
        <v>1498</v>
      </c>
      <c r="AS529">
        <v>1</v>
      </c>
    </row>
    <row r="530" ht="14.25" customHeight="1" spans="1:45">
      <c r="A530" s="8">
        <v>215111</v>
      </c>
      <c r="B530" s="8">
        <v>1001</v>
      </c>
      <c r="C530" s="8">
        <v>11</v>
      </c>
      <c r="D530" s="8">
        <v>1001</v>
      </c>
      <c r="E530" t="s">
        <v>1500</v>
      </c>
      <c r="F530" s="13" t="s">
        <v>1500</v>
      </c>
      <c r="G530" t="s">
        <v>1461</v>
      </c>
      <c r="H530" s="117" t="s">
        <v>1501</v>
      </c>
      <c r="I530">
        <v>1</v>
      </c>
      <c r="J530" s="69">
        <v>5</v>
      </c>
      <c r="K530" s="87">
        <v>1</v>
      </c>
      <c r="L530" s="128">
        <v>9999</v>
      </c>
      <c r="M530" s="8">
        <v>0</v>
      </c>
      <c r="N530" s="8"/>
      <c r="O530" s="88"/>
      <c r="P530" s="8" t="s">
        <v>1463</v>
      </c>
      <c r="Q530" s="8" t="s">
        <v>1464</v>
      </c>
      <c r="R530" s="8" t="s">
        <v>1465</v>
      </c>
      <c r="S530" s="89">
        <v>1</v>
      </c>
      <c r="T530" s="8">
        <v>5</v>
      </c>
      <c r="U530" s="89">
        <v>200</v>
      </c>
      <c r="V530" s="87">
        <v>1</v>
      </c>
      <c r="W530">
        <v>1</v>
      </c>
      <c r="X530" s="8">
        <v>1</v>
      </c>
      <c r="Y530">
        <v>0</v>
      </c>
      <c r="Z530" s="33">
        <v>0</v>
      </c>
      <c r="AA530">
        <v>5</v>
      </c>
      <c r="AB530" s="34">
        <v>7600</v>
      </c>
      <c r="AC530" s="87">
        <v>811</v>
      </c>
      <c r="AD530" s="62">
        <v>0</v>
      </c>
      <c r="AE530" s="90">
        <v>0</v>
      </c>
      <c r="AF530" s="90">
        <v>0</v>
      </c>
      <c r="AG530" s="91"/>
      <c r="AH530" s="91">
        <v>1</v>
      </c>
      <c r="AI530" s="91"/>
      <c r="AJ530" s="91"/>
      <c r="AK530" s="91"/>
      <c r="AL530" s="92">
        <v>1</v>
      </c>
      <c r="AM530" s="92"/>
      <c r="AN530" s="93" t="s">
        <v>1466</v>
      </c>
      <c r="AO530" s="92"/>
      <c r="AP530" s="86"/>
      <c r="AQ530" t="s">
        <v>1500</v>
      </c>
      <c r="AS530">
        <v>1</v>
      </c>
    </row>
    <row r="531" ht="14.25" customHeight="1" spans="1:45">
      <c r="A531" s="8">
        <v>215112</v>
      </c>
      <c r="B531" s="8">
        <v>1001</v>
      </c>
      <c r="C531" s="8">
        <v>11</v>
      </c>
      <c r="D531" s="8">
        <v>1001</v>
      </c>
      <c r="E531" t="s">
        <v>1502</v>
      </c>
      <c r="F531" s="13" t="s">
        <v>1502</v>
      </c>
      <c r="G531" t="s">
        <v>1461</v>
      </c>
      <c r="H531" s="117" t="s">
        <v>1503</v>
      </c>
      <c r="I531">
        <v>1</v>
      </c>
      <c r="J531" s="69">
        <v>5</v>
      </c>
      <c r="K531" s="87">
        <v>1</v>
      </c>
      <c r="L531" s="128">
        <v>9999</v>
      </c>
      <c r="M531" s="8">
        <v>0</v>
      </c>
      <c r="N531" s="8"/>
      <c r="O531" s="88"/>
      <c r="P531" s="8" t="s">
        <v>1463</v>
      </c>
      <c r="Q531" s="8" t="s">
        <v>1464</v>
      </c>
      <c r="R531" s="8" t="s">
        <v>1465</v>
      </c>
      <c r="S531" s="89">
        <v>1</v>
      </c>
      <c r="T531" s="8">
        <v>5</v>
      </c>
      <c r="U531" s="89">
        <v>200</v>
      </c>
      <c r="V531" s="87">
        <v>1</v>
      </c>
      <c r="W531">
        <v>1</v>
      </c>
      <c r="X531" s="8">
        <v>1</v>
      </c>
      <c r="Y531">
        <v>0</v>
      </c>
      <c r="Z531" s="33">
        <v>0</v>
      </c>
      <c r="AA531">
        <v>5</v>
      </c>
      <c r="AB531" s="34">
        <v>7600</v>
      </c>
      <c r="AC531" s="87">
        <v>811</v>
      </c>
      <c r="AD531" s="62">
        <v>0</v>
      </c>
      <c r="AE531" s="90">
        <v>0</v>
      </c>
      <c r="AF531" s="90">
        <v>0</v>
      </c>
      <c r="AG531" s="91"/>
      <c r="AH531" s="91">
        <v>1</v>
      </c>
      <c r="AI531" s="91"/>
      <c r="AJ531" s="91"/>
      <c r="AK531" s="91"/>
      <c r="AL531" s="92">
        <v>1</v>
      </c>
      <c r="AM531" s="92"/>
      <c r="AN531" s="93" t="s">
        <v>1466</v>
      </c>
      <c r="AO531" s="92"/>
      <c r="AP531" s="86"/>
      <c r="AQ531" t="s">
        <v>1502</v>
      </c>
      <c r="AS531">
        <v>1</v>
      </c>
    </row>
    <row r="532" ht="14.25" customHeight="1" spans="1:45">
      <c r="A532" s="8">
        <v>215113</v>
      </c>
      <c r="B532" s="8">
        <v>1001</v>
      </c>
      <c r="C532" s="8">
        <v>11</v>
      </c>
      <c r="D532" s="8">
        <v>1001</v>
      </c>
      <c r="E532" t="s">
        <v>1504</v>
      </c>
      <c r="F532" s="13" t="s">
        <v>1504</v>
      </c>
      <c r="G532" t="s">
        <v>1461</v>
      </c>
      <c r="H532" s="117" t="s">
        <v>1505</v>
      </c>
      <c r="I532">
        <v>1</v>
      </c>
      <c r="J532" s="69">
        <v>5</v>
      </c>
      <c r="K532" s="87">
        <v>1</v>
      </c>
      <c r="L532" s="128">
        <v>9999</v>
      </c>
      <c r="M532" s="8">
        <v>0</v>
      </c>
      <c r="N532" s="8"/>
      <c r="O532" s="88"/>
      <c r="P532" s="8" t="s">
        <v>1463</v>
      </c>
      <c r="Q532" s="8" t="s">
        <v>1464</v>
      </c>
      <c r="R532" s="8" t="s">
        <v>1465</v>
      </c>
      <c r="S532" s="89">
        <v>1</v>
      </c>
      <c r="T532" s="8">
        <v>5</v>
      </c>
      <c r="U532" s="89">
        <v>200</v>
      </c>
      <c r="V532" s="87">
        <v>1</v>
      </c>
      <c r="W532">
        <v>1</v>
      </c>
      <c r="X532" s="8">
        <v>1</v>
      </c>
      <c r="Y532">
        <v>0</v>
      </c>
      <c r="Z532" s="33">
        <v>0</v>
      </c>
      <c r="AA532">
        <v>5</v>
      </c>
      <c r="AB532" s="34">
        <v>7600</v>
      </c>
      <c r="AC532" s="87">
        <v>811</v>
      </c>
      <c r="AD532" s="62">
        <v>0</v>
      </c>
      <c r="AE532" s="90">
        <v>0</v>
      </c>
      <c r="AF532" s="90">
        <v>0</v>
      </c>
      <c r="AG532" s="91"/>
      <c r="AH532" s="91">
        <v>1</v>
      </c>
      <c r="AI532" s="91"/>
      <c r="AJ532" s="91"/>
      <c r="AK532" s="91"/>
      <c r="AL532" s="92">
        <v>1</v>
      </c>
      <c r="AM532" s="92"/>
      <c r="AN532" s="93" t="s">
        <v>1466</v>
      </c>
      <c r="AO532" s="92"/>
      <c r="AP532" s="86"/>
      <c r="AQ532" t="s">
        <v>1506</v>
      </c>
      <c r="AS532">
        <v>1</v>
      </c>
    </row>
    <row r="533" ht="14.25" customHeight="1" spans="1:45">
      <c r="A533" s="8">
        <v>215114</v>
      </c>
      <c r="B533" s="8">
        <v>1001</v>
      </c>
      <c r="C533" s="8">
        <v>11</v>
      </c>
      <c r="D533" s="8">
        <v>1001</v>
      </c>
      <c r="E533" t="s">
        <v>1507</v>
      </c>
      <c r="F533" s="13" t="s">
        <v>1507</v>
      </c>
      <c r="G533" t="s">
        <v>1461</v>
      </c>
      <c r="H533" s="117" t="s">
        <v>1508</v>
      </c>
      <c r="I533">
        <v>1</v>
      </c>
      <c r="J533" s="69">
        <v>5</v>
      </c>
      <c r="K533" s="87">
        <v>1</v>
      </c>
      <c r="L533" s="128">
        <v>9999</v>
      </c>
      <c r="M533" s="8">
        <v>0</v>
      </c>
      <c r="N533" s="8"/>
      <c r="O533" s="88"/>
      <c r="P533" s="8" t="s">
        <v>1463</v>
      </c>
      <c r="Q533" s="8" t="s">
        <v>1464</v>
      </c>
      <c r="R533" s="8" t="s">
        <v>1465</v>
      </c>
      <c r="S533" s="89">
        <v>1</v>
      </c>
      <c r="T533" s="8">
        <v>5</v>
      </c>
      <c r="U533" s="89">
        <v>200</v>
      </c>
      <c r="V533" s="87">
        <v>1</v>
      </c>
      <c r="W533">
        <v>1</v>
      </c>
      <c r="X533" s="8">
        <v>1</v>
      </c>
      <c r="Y533">
        <v>0</v>
      </c>
      <c r="Z533" s="33">
        <v>0</v>
      </c>
      <c r="AA533">
        <v>5</v>
      </c>
      <c r="AB533" s="34">
        <v>7600</v>
      </c>
      <c r="AC533" s="87">
        <v>811</v>
      </c>
      <c r="AD533" s="62">
        <v>0</v>
      </c>
      <c r="AE533" s="90">
        <v>0</v>
      </c>
      <c r="AF533" s="90">
        <v>0</v>
      </c>
      <c r="AG533" s="91"/>
      <c r="AH533" s="91">
        <v>1</v>
      </c>
      <c r="AI533" s="91"/>
      <c r="AJ533" s="91"/>
      <c r="AK533" s="91"/>
      <c r="AL533" s="92">
        <v>1</v>
      </c>
      <c r="AM533" s="92"/>
      <c r="AN533" s="93" t="s">
        <v>1466</v>
      </c>
      <c r="AO533" s="92"/>
      <c r="AP533" s="86"/>
      <c r="AQ533" t="s">
        <v>1507</v>
      </c>
      <c r="AS533">
        <v>1</v>
      </c>
    </row>
    <row r="534" ht="14.25" customHeight="1" spans="1:45">
      <c r="A534" s="8">
        <v>216111</v>
      </c>
      <c r="B534" s="8">
        <v>1001</v>
      </c>
      <c r="C534" s="8">
        <v>11</v>
      </c>
      <c r="D534" s="8">
        <v>1001</v>
      </c>
      <c r="E534" t="s">
        <v>1509</v>
      </c>
      <c r="F534" s="13" t="s">
        <v>1509</v>
      </c>
      <c r="G534" t="s">
        <v>1510</v>
      </c>
      <c r="H534" s="117" t="s">
        <v>1511</v>
      </c>
      <c r="I534">
        <v>1</v>
      </c>
      <c r="J534" s="69">
        <v>5</v>
      </c>
      <c r="K534" s="87">
        <v>1</v>
      </c>
      <c r="L534" s="128">
        <v>9999</v>
      </c>
      <c r="M534" s="8">
        <v>0</v>
      </c>
      <c r="N534" s="8"/>
      <c r="O534" s="88"/>
      <c r="P534" s="8"/>
      <c r="Q534" s="8" t="s">
        <v>1512</v>
      </c>
      <c r="R534" s="8"/>
      <c r="S534" s="89">
        <v>1</v>
      </c>
      <c r="T534" s="8">
        <v>5</v>
      </c>
      <c r="U534" s="89">
        <v>200</v>
      </c>
      <c r="V534" s="87">
        <v>1</v>
      </c>
      <c r="W534">
        <v>1</v>
      </c>
      <c r="X534" s="8">
        <v>1</v>
      </c>
      <c r="Y534">
        <v>0</v>
      </c>
      <c r="Z534" s="33">
        <v>0</v>
      </c>
      <c r="AA534">
        <v>5</v>
      </c>
      <c r="AB534" s="34">
        <v>7600</v>
      </c>
      <c r="AC534" s="87">
        <v>811</v>
      </c>
      <c r="AD534" s="62">
        <v>0</v>
      </c>
      <c r="AE534" s="90">
        <v>0</v>
      </c>
      <c r="AF534" s="90">
        <v>0</v>
      </c>
      <c r="AG534" s="91"/>
      <c r="AH534" s="91">
        <v>1</v>
      </c>
      <c r="AI534" s="91"/>
      <c r="AJ534" s="91"/>
      <c r="AK534" s="91"/>
      <c r="AL534" s="92">
        <v>1</v>
      </c>
      <c r="AM534" s="92"/>
      <c r="AN534" s="93"/>
      <c r="AO534" s="92"/>
      <c r="AP534" s="86"/>
      <c r="AQ534" t="s">
        <v>1509</v>
      </c>
      <c r="AS534">
        <v>1</v>
      </c>
    </row>
    <row r="535" ht="14.25" customHeight="1" spans="1:45">
      <c r="A535" s="8">
        <v>216112</v>
      </c>
      <c r="B535" s="8">
        <v>1001</v>
      </c>
      <c r="C535" s="8">
        <v>11</v>
      </c>
      <c r="D535" s="8">
        <v>1001</v>
      </c>
      <c r="E535" t="s">
        <v>1513</v>
      </c>
      <c r="F535" s="13" t="s">
        <v>1513</v>
      </c>
      <c r="G535" t="s">
        <v>1461</v>
      </c>
      <c r="H535" s="117" t="s">
        <v>1514</v>
      </c>
      <c r="I535">
        <v>1</v>
      </c>
      <c r="J535" s="69">
        <v>5</v>
      </c>
      <c r="K535" s="87">
        <v>1</v>
      </c>
      <c r="L535" s="128">
        <v>9999</v>
      </c>
      <c r="M535" s="8">
        <v>0</v>
      </c>
      <c r="N535" s="8"/>
      <c r="O535" s="88"/>
      <c r="P535" s="8"/>
      <c r="Q535" s="8"/>
      <c r="R535" s="8"/>
      <c r="S535" s="89">
        <v>1</v>
      </c>
      <c r="T535" s="8">
        <v>5</v>
      </c>
      <c r="U535" s="89">
        <v>200</v>
      </c>
      <c r="V535" s="87">
        <v>1</v>
      </c>
      <c r="W535">
        <v>1</v>
      </c>
      <c r="X535" s="8">
        <v>1</v>
      </c>
      <c r="Y535">
        <v>0</v>
      </c>
      <c r="Z535" s="33">
        <v>0</v>
      </c>
      <c r="AA535">
        <v>5</v>
      </c>
      <c r="AB535" s="34">
        <v>7600</v>
      </c>
      <c r="AC535" s="87">
        <v>811</v>
      </c>
      <c r="AD535" s="62">
        <v>0</v>
      </c>
      <c r="AE535" s="90">
        <v>0</v>
      </c>
      <c r="AF535" s="90">
        <v>0</v>
      </c>
      <c r="AG535" s="91"/>
      <c r="AH535" s="91">
        <v>1</v>
      </c>
      <c r="AI535" s="91"/>
      <c r="AJ535" s="91"/>
      <c r="AK535" s="91"/>
      <c r="AL535" s="92">
        <v>1</v>
      </c>
      <c r="AM535" s="92"/>
      <c r="AN535" s="93"/>
      <c r="AO535" s="92"/>
      <c r="AP535" s="86"/>
      <c r="AQ535" t="s">
        <v>1513</v>
      </c>
      <c r="AS535">
        <v>1</v>
      </c>
    </row>
    <row r="536" ht="14.25" customHeight="1" spans="1:45">
      <c r="A536" s="236">
        <v>216113</v>
      </c>
      <c r="B536" s="8">
        <v>1001</v>
      </c>
      <c r="C536" s="8">
        <v>11</v>
      </c>
      <c r="D536" s="8">
        <v>1001</v>
      </c>
      <c r="E536" t="s">
        <v>1515</v>
      </c>
      <c r="F536" s="13" t="s">
        <v>1515</v>
      </c>
      <c r="G536" t="s">
        <v>1461</v>
      </c>
      <c r="H536" s="117" t="s">
        <v>1516</v>
      </c>
      <c r="I536">
        <v>1</v>
      </c>
      <c r="J536" s="69">
        <v>5</v>
      </c>
      <c r="K536" s="87">
        <v>1</v>
      </c>
      <c r="L536" s="128">
        <v>9999</v>
      </c>
      <c r="M536" s="8">
        <v>0</v>
      </c>
      <c r="N536" s="8"/>
      <c r="O536" s="257"/>
      <c r="P536" s="236"/>
      <c r="Q536" s="8"/>
      <c r="R536" s="236"/>
      <c r="S536" s="89">
        <v>1</v>
      </c>
      <c r="T536" s="8">
        <v>5</v>
      </c>
      <c r="U536" s="89">
        <v>200</v>
      </c>
      <c r="V536" s="87">
        <v>1</v>
      </c>
      <c r="W536">
        <v>1</v>
      </c>
      <c r="X536" s="8">
        <v>1</v>
      </c>
      <c r="Y536">
        <v>0</v>
      </c>
      <c r="Z536" s="33">
        <v>0</v>
      </c>
      <c r="AA536">
        <v>5</v>
      </c>
      <c r="AB536" s="34">
        <v>7600</v>
      </c>
      <c r="AC536" s="87">
        <v>811</v>
      </c>
      <c r="AD536" s="62">
        <v>0</v>
      </c>
      <c r="AE536" s="90">
        <v>0</v>
      </c>
      <c r="AF536" s="90">
        <v>0</v>
      </c>
      <c r="AG536" s="91"/>
      <c r="AH536" s="91">
        <v>1</v>
      </c>
      <c r="AI536" s="91"/>
      <c r="AJ536" s="91"/>
      <c r="AK536" s="91"/>
      <c r="AL536" s="92">
        <v>1</v>
      </c>
      <c r="AM536" s="92"/>
      <c r="AN536" s="93"/>
      <c r="AO536" s="92"/>
      <c r="AP536" s="86"/>
      <c r="AQ536" t="s">
        <v>1515</v>
      </c>
      <c r="AS536">
        <v>1</v>
      </c>
    </row>
    <row r="537" ht="14.25" customHeight="1" spans="1:45">
      <c r="A537">
        <v>250007</v>
      </c>
      <c r="B537" s="8">
        <v>1001</v>
      </c>
      <c r="C537" s="8">
        <v>1</v>
      </c>
      <c r="D537" s="8">
        <v>1001</v>
      </c>
      <c r="E537" t="s">
        <v>1517</v>
      </c>
      <c r="F537" s="13" t="s">
        <v>1518</v>
      </c>
      <c r="G537" t="s">
        <v>1519</v>
      </c>
      <c r="H537" t="s">
        <v>1520</v>
      </c>
      <c r="I537">
        <v>20</v>
      </c>
      <c r="J537" s="69">
        <v>4</v>
      </c>
      <c r="K537" s="87">
        <v>2</v>
      </c>
      <c r="L537" s="8">
        <v>999</v>
      </c>
      <c r="M537" s="8">
        <v>0</v>
      </c>
      <c r="N537" s="8">
        <v>1017</v>
      </c>
      <c r="O537" s="2">
        <v>30018</v>
      </c>
      <c r="Q537" s="236"/>
      <c r="S537" s="89">
        <v>1</v>
      </c>
      <c r="T537" s="8">
        <v>5</v>
      </c>
      <c r="U537" s="89">
        <v>170</v>
      </c>
      <c r="V537" s="87">
        <v>1</v>
      </c>
      <c r="W537">
        <v>1</v>
      </c>
      <c r="X537" s="8">
        <v>1</v>
      </c>
      <c r="Y537">
        <v>0</v>
      </c>
      <c r="Z537" s="33">
        <v>0</v>
      </c>
      <c r="AA537">
        <v>5</v>
      </c>
      <c r="AB537" s="34">
        <v>6460</v>
      </c>
      <c r="AC537" s="87">
        <v>123</v>
      </c>
      <c r="AD537" s="62">
        <v>0</v>
      </c>
      <c r="AE537" s="90">
        <v>4</v>
      </c>
      <c r="AF537" s="90">
        <v>2</v>
      </c>
      <c r="AG537" s="91"/>
      <c r="AH537" s="91">
        <v>1</v>
      </c>
      <c r="AI537" s="91"/>
      <c r="AJ537" s="91"/>
      <c r="AK537" s="91"/>
      <c r="AL537" s="92">
        <v>1</v>
      </c>
      <c r="AM537" s="92">
        <v>20</v>
      </c>
      <c r="AN537" s="93"/>
      <c r="AO537" s="92"/>
      <c r="AP537" s="86"/>
      <c r="AQ537" t="s">
        <v>1517</v>
      </c>
      <c r="AS537">
        <v>1</v>
      </c>
    </row>
    <row r="538" ht="14.25" customHeight="1" spans="1:45">
      <c r="A538">
        <v>250008</v>
      </c>
      <c r="B538" s="8">
        <v>1001</v>
      </c>
      <c r="C538" s="8">
        <v>1</v>
      </c>
      <c r="D538" s="8">
        <v>1001</v>
      </c>
      <c r="E538" t="s">
        <v>1521</v>
      </c>
      <c r="F538" s="13" t="s">
        <v>1518</v>
      </c>
      <c r="G538" t="s">
        <v>1522</v>
      </c>
      <c r="H538" t="s">
        <v>1520</v>
      </c>
      <c r="I538">
        <v>30</v>
      </c>
      <c r="J538" s="69">
        <v>4</v>
      </c>
      <c r="K538" s="87">
        <v>2</v>
      </c>
      <c r="L538" s="8">
        <v>999</v>
      </c>
      <c r="M538" s="8">
        <v>0</v>
      </c>
      <c r="N538" s="8">
        <v>1017</v>
      </c>
      <c r="O538" s="2">
        <v>30019</v>
      </c>
      <c r="S538" s="89">
        <v>1</v>
      </c>
      <c r="T538" s="8">
        <v>5</v>
      </c>
      <c r="U538" s="89">
        <v>170</v>
      </c>
      <c r="V538" s="87">
        <v>1</v>
      </c>
      <c r="W538">
        <v>1</v>
      </c>
      <c r="X538" s="8">
        <v>1</v>
      </c>
      <c r="Y538">
        <v>0</v>
      </c>
      <c r="Z538" s="33">
        <v>0</v>
      </c>
      <c r="AA538">
        <v>5</v>
      </c>
      <c r="AB538" s="34">
        <v>6460</v>
      </c>
      <c r="AC538" s="87">
        <v>122</v>
      </c>
      <c r="AD538" s="62">
        <v>0</v>
      </c>
      <c r="AE538" s="90">
        <v>4</v>
      </c>
      <c r="AF538" s="90">
        <v>2</v>
      </c>
      <c r="AG538" s="91"/>
      <c r="AH538" s="91">
        <v>1</v>
      </c>
      <c r="AI538" s="91"/>
      <c r="AJ538" s="91"/>
      <c r="AK538" s="91"/>
      <c r="AL538" s="92">
        <v>1</v>
      </c>
      <c r="AM538" s="92">
        <v>30</v>
      </c>
      <c r="AN538" s="93"/>
      <c r="AO538" s="92"/>
      <c r="AP538" s="86"/>
      <c r="AQ538" t="s">
        <v>1521</v>
      </c>
      <c r="AS538">
        <v>1</v>
      </c>
    </row>
    <row r="539" ht="14.25" customHeight="1" spans="1:45">
      <c r="A539">
        <v>250009</v>
      </c>
      <c r="B539" s="8">
        <v>1001</v>
      </c>
      <c r="C539" s="8">
        <v>1</v>
      </c>
      <c r="D539" s="8">
        <v>1001</v>
      </c>
      <c r="E539" t="s">
        <v>1523</v>
      </c>
      <c r="F539" s="13" t="s">
        <v>1518</v>
      </c>
      <c r="G539" t="s">
        <v>1524</v>
      </c>
      <c r="H539" t="s">
        <v>1520</v>
      </c>
      <c r="I539">
        <v>40</v>
      </c>
      <c r="J539" s="69">
        <v>4</v>
      </c>
      <c r="K539" s="87">
        <v>2</v>
      </c>
      <c r="L539" s="8">
        <v>999</v>
      </c>
      <c r="M539" s="8">
        <v>0</v>
      </c>
      <c r="N539" s="8">
        <v>1017</v>
      </c>
      <c r="O539" s="258">
        <v>30020</v>
      </c>
      <c r="S539" s="89">
        <v>1</v>
      </c>
      <c r="T539" s="8">
        <v>5</v>
      </c>
      <c r="U539" s="89">
        <v>170</v>
      </c>
      <c r="V539" s="87">
        <v>1</v>
      </c>
      <c r="W539">
        <v>1</v>
      </c>
      <c r="X539" s="8">
        <v>1</v>
      </c>
      <c r="Y539">
        <v>0</v>
      </c>
      <c r="Z539" s="33">
        <v>0</v>
      </c>
      <c r="AA539">
        <v>5</v>
      </c>
      <c r="AB539" s="34">
        <v>6460</v>
      </c>
      <c r="AC539" s="87">
        <v>121</v>
      </c>
      <c r="AD539" s="62">
        <v>0</v>
      </c>
      <c r="AE539" s="90">
        <v>4</v>
      </c>
      <c r="AF539" s="90">
        <v>2</v>
      </c>
      <c r="AG539" s="91"/>
      <c r="AH539" s="91">
        <v>1</v>
      </c>
      <c r="AI539" s="91"/>
      <c r="AJ539" s="91"/>
      <c r="AK539" s="91"/>
      <c r="AL539" s="92">
        <v>1</v>
      </c>
      <c r="AM539" s="92">
        <v>40</v>
      </c>
      <c r="AN539" s="93"/>
      <c r="AO539" s="92"/>
      <c r="AP539" s="86"/>
      <c r="AQ539" t="s">
        <v>1523</v>
      </c>
      <c r="AS539">
        <v>1</v>
      </c>
    </row>
    <row r="540" ht="14.25" customHeight="1" spans="1:45">
      <c r="A540">
        <v>250010</v>
      </c>
      <c r="B540" s="8">
        <v>1001</v>
      </c>
      <c r="C540" s="8">
        <v>1</v>
      </c>
      <c r="D540" s="8">
        <v>1001</v>
      </c>
      <c r="E540" t="s">
        <v>1525</v>
      </c>
      <c r="F540" s="13" t="s">
        <v>1518</v>
      </c>
      <c r="G540" t="s">
        <v>1526</v>
      </c>
      <c r="H540" t="s">
        <v>1520</v>
      </c>
      <c r="I540">
        <v>50</v>
      </c>
      <c r="J540" s="69">
        <v>4</v>
      </c>
      <c r="K540" s="87">
        <v>2</v>
      </c>
      <c r="L540" s="8">
        <v>999</v>
      </c>
      <c r="M540" s="8">
        <v>0</v>
      </c>
      <c r="N540" s="8">
        <v>1017</v>
      </c>
      <c r="O540" s="257">
        <v>30022</v>
      </c>
      <c r="S540" s="89">
        <v>1</v>
      </c>
      <c r="T540" s="8">
        <v>5</v>
      </c>
      <c r="U540" s="89">
        <v>170</v>
      </c>
      <c r="V540" s="87">
        <v>1</v>
      </c>
      <c r="W540">
        <v>1</v>
      </c>
      <c r="X540" s="8">
        <v>1</v>
      </c>
      <c r="Y540">
        <v>0</v>
      </c>
      <c r="Z540" s="33">
        <v>0</v>
      </c>
      <c r="AA540">
        <v>5</v>
      </c>
      <c r="AB540" s="34">
        <v>6460</v>
      </c>
      <c r="AC540" s="87">
        <v>119</v>
      </c>
      <c r="AD540" s="62">
        <v>0</v>
      </c>
      <c r="AE540" s="90">
        <v>4</v>
      </c>
      <c r="AF540" s="90">
        <v>2</v>
      </c>
      <c r="AG540" s="91"/>
      <c r="AH540" s="91">
        <v>1</v>
      </c>
      <c r="AI540" s="91"/>
      <c r="AJ540" s="91"/>
      <c r="AK540" s="91"/>
      <c r="AL540" s="92">
        <v>1</v>
      </c>
      <c r="AM540" s="92">
        <v>50</v>
      </c>
      <c r="AN540" s="93"/>
      <c r="AO540" s="92"/>
      <c r="AP540" s="86"/>
      <c r="AQ540" t="s">
        <v>1525</v>
      </c>
      <c r="AS540">
        <v>1</v>
      </c>
    </row>
    <row r="541" ht="14.25" customHeight="1" spans="1:45">
      <c r="A541">
        <v>250011</v>
      </c>
      <c r="B541" s="8">
        <v>1001</v>
      </c>
      <c r="C541" s="8">
        <v>1</v>
      </c>
      <c r="D541" s="8">
        <v>1001</v>
      </c>
      <c r="E541" t="s">
        <v>1527</v>
      </c>
      <c r="F541" s="13" t="s">
        <v>1518</v>
      </c>
      <c r="G541" t="s">
        <v>1528</v>
      </c>
      <c r="H541" t="s">
        <v>1520</v>
      </c>
      <c r="I541">
        <v>60</v>
      </c>
      <c r="J541" s="69">
        <v>4</v>
      </c>
      <c r="K541" s="87">
        <v>2</v>
      </c>
      <c r="L541" s="8">
        <v>999</v>
      </c>
      <c r="M541" s="8">
        <v>0</v>
      </c>
      <c r="N541" s="8">
        <v>1017</v>
      </c>
      <c r="O541" s="258">
        <v>30024</v>
      </c>
      <c r="S541" s="89">
        <v>1</v>
      </c>
      <c r="T541" s="8">
        <v>5</v>
      </c>
      <c r="U541" s="89">
        <v>170</v>
      </c>
      <c r="V541" s="87">
        <v>1</v>
      </c>
      <c r="W541">
        <v>1</v>
      </c>
      <c r="X541" s="8">
        <v>1</v>
      </c>
      <c r="Y541">
        <v>0</v>
      </c>
      <c r="Z541" s="33">
        <v>0</v>
      </c>
      <c r="AA541">
        <v>5</v>
      </c>
      <c r="AB541" s="34">
        <v>6460</v>
      </c>
      <c r="AC541" s="87">
        <v>117</v>
      </c>
      <c r="AD541" s="62">
        <v>0</v>
      </c>
      <c r="AE541" s="90">
        <v>4</v>
      </c>
      <c r="AF541" s="90">
        <v>2</v>
      </c>
      <c r="AG541" s="91"/>
      <c r="AH541" s="91">
        <v>1</v>
      </c>
      <c r="AI541" s="91"/>
      <c r="AJ541" s="91"/>
      <c r="AK541" s="91"/>
      <c r="AL541" s="92">
        <v>1</v>
      </c>
      <c r="AM541" s="92">
        <v>60</v>
      </c>
      <c r="AN541" s="93"/>
      <c r="AO541" s="92"/>
      <c r="AP541" s="86"/>
      <c r="AQ541" t="s">
        <v>1527</v>
      </c>
      <c r="AS541">
        <v>1</v>
      </c>
    </row>
    <row r="542" ht="14.25" customHeight="1" spans="1:45">
      <c r="A542">
        <v>250016</v>
      </c>
      <c r="B542" s="8">
        <v>1001</v>
      </c>
      <c r="C542" s="8">
        <v>1</v>
      </c>
      <c r="D542" s="8">
        <v>1001</v>
      </c>
      <c r="E542" t="s">
        <v>1529</v>
      </c>
      <c r="F542" s="13" t="s">
        <v>1529</v>
      </c>
      <c r="G542" t="s">
        <v>1530</v>
      </c>
      <c r="H542" s="117" t="s">
        <v>1531</v>
      </c>
      <c r="I542">
        <v>60</v>
      </c>
      <c r="J542" s="69">
        <v>5</v>
      </c>
      <c r="K542" s="87">
        <v>2</v>
      </c>
      <c r="L542" s="8">
        <v>999</v>
      </c>
      <c r="M542" s="8">
        <v>0</v>
      </c>
      <c r="N542" s="8">
        <v>1017</v>
      </c>
      <c r="O542" s="88">
        <v>30067</v>
      </c>
      <c r="S542" s="89">
        <v>1</v>
      </c>
      <c r="T542" s="8">
        <v>5</v>
      </c>
      <c r="U542" s="89">
        <v>200</v>
      </c>
      <c r="V542" s="87">
        <v>1</v>
      </c>
      <c r="W542">
        <v>1</v>
      </c>
      <c r="X542" s="8">
        <v>1</v>
      </c>
      <c r="Y542">
        <v>0</v>
      </c>
      <c r="Z542" s="33">
        <v>0</v>
      </c>
      <c r="AA542">
        <v>5</v>
      </c>
      <c r="AB542" s="34">
        <v>7600</v>
      </c>
      <c r="AC542" s="87">
        <v>110</v>
      </c>
      <c r="AD542" s="62">
        <v>0</v>
      </c>
      <c r="AE542" s="90">
        <v>4</v>
      </c>
      <c r="AF542" s="90">
        <v>2</v>
      </c>
      <c r="AG542" s="91"/>
      <c r="AH542" s="91">
        <v>1</v>
      </c>
      <c r="AI542" s="91"/>
      <c r="AJ542" s="91"/>
      <c r="AK542" s="91"/>
      <c r="AL542" s="92">
        <v>1</v>
      </c>
      <c r="AM542" s="92">
        <v>60</v>
      </c>
      <c r="AN542" s="93"/>
      <c r="AO542" s="92"/>
      <c r="AP542" s="86"/>
      <c r="AQ542" t="s">
        <v>1532</v>
      </c>
      <c r="AS542">
        <v>1</v>
      </c>
    </row>
    <row r="543" ht="14.25" customHeight="1" spans="1:45">
      <c r="A543">
        <v>250017</v>
      </c>
      <c r="B543" s="8">
        <v>1001</v>
      </c>
      <c r="C543" s="8">
        <v>1</v>
      </c>
      <c r="D543" s="8">
        <v>1001</v>
      </c>
      <c r="E543" t="s">
        <v>1533</v>
      </c>
      <c r="F543" s="13" t="s">
        <v>1533</v>
      </c>
      <c r="G543" t="s">
        <v>1534</v>
      </c>
      <c r="H543" t="s">
        <v>1531</v>
      </c>
      <c r="I543">
        <v>60</v>
      </c>
      <c r="J543" s="69">
        <v>5</v>
      </c>
      <c r="K543" s="87">
        <v>2</v>
      </c>
      <c r="L543" s="8">
        <v>999</v>
      </c>
      <c r="M543" s="8">
        <v>0</v>
      </c>
      <c r="N543" s="8">
        <v>1017</v>
      </c>
      <c r="O543" s="88">
        <v>30076</v>
      </c>
      <c r="S543" s="89">
        <v>1</v>
      </c>
      <c r="T543" s="8">
        <v>5</v>
      </c>
      <c r="U543" s="89">
        <v>200</v>
      </c>
      <c r="V543" s="87">
        <v>1</v>
      </c>
      <c r="W543">
        <v>1</v>
      </c>
      <c r="X543" s="8">
        <v>1</v>
      </c>
      <c r="Y543">
        <v>0</v>
      </c>
      <c r="Z543" s="33">
        <v>0</v>
      </c>
      <c r="AA543">
        <v>5</v>
      </c>
      <c r="AB543" s="34">
        <v>7600</v>
      </c>
      <c r="AC543" s="87">
        <v>110</v>
      </c>
      <c r="AD543" s="62">
        <v>0</v>
      </c>
      <c r="AE543" s="90">
        <v>4</v>
      </c>
      <c r="AF543" s="90">
        <v>2</v>
      </c>
      <c r="AG543" s="91"/>
      <c r="AH543" s="91">
        <v>1</v>
      </c>
      <c r="AI543" s="91"/>
      <c r="AJ543" s="91"/>
      <c r="AK543" s="91"/>
      <c r="AL543" s="92">
        <v>1</v>
      </c>
      <c r="AM543" s="92">
        <v>60</v>
      </c>
      <c r="AN543" s="93"/>
      <c r="AO543" s="92"/>
      <c r="AP543" s="86"/>
      <c r="AQ543" t="s">
        <v>1535</v>
      </c>
      <c r="AS543">
        <v>1</v>
      </c>
    </row>
    <row r="544" ht="14.25" customHeight="1" spans="1:45">
      <c r="A544">
        <v>250018</v>
      </c>
      <c r="B544" s="8">
        <v>1001</v>
      </c>
      <c r="C544" s="8">
        <v>1</v>
      </c>
      <c r="D544" s="8">
        <v>1001</v>
      </c>
      <c r="E544" t="s">
        <v>1536</v>
      </c>
      <c r="F544" s="13" t="s">
        <v>1537</v>
      </c>
      <c r="G544" t="s">
        <v>1538</v>
      </c>
      <c r="H544" t="s">
        <v>1520</v>
      </c>
      <c r="I544">
        <v>40</v>
      </c>
      <c r="J544" s="69">
        <v>4</v>
      </c>
      <c r="K544" s="87">
        <v>2</v>
      </c>
      <c r="L544" s="8">
        <v>999</v>
      </c>
      <c r="M544" s="8">
        <v>0</v>
      </c>
      <c r="N544" s="8">
        <v>1017</v>
      </c>
      <c r="O544" s="88">
        <v>30085</v>
      </c>
      <c r="S544" s="89">
        <v>1</v>
      </c>
      <c r="T544" s="8">
        <v>5</v>
      </c>
      <c r="U544" s="89">
        <v>200</v>
      </c>
      <c r="V544" s="87">
        <v>1</v>
      </c>
      <c r="W544">
        <v>1</v>
      </c>
      <c r="X544" s="8">
        <v>1</v>
      </c>
      <c r="Y544">
        <v>0</v>
      </c>
      <c r="Z544" s="33">
        <v>0</v>
      </c>
      <c r="AA544">
        <v>5</v>
      </c>
      <c r="AB544" s="34">
        <v>7600</v>
      </c>
      <c r="AC544" s="87">
        <v>110</v>
      </c>
      <c r="AD544" s="62">
        <v>0</v>
      </c>
      <c r="AE544" s="90">
        <v>4</v>
      </c>
      <c r="AF544" s="90">
        <v>2</v>
      </c>
      <c r="AG544" s="91"/>
      <c r="AH544" s="91">
        <v>1</v>
      </c>
      <c r="AI544" s="91"/>
      <c r="AJ544" s="91"/>
      <c r="AK544" s="91"/>
      <c r="AL544" s="92">
        <v>1</v>
      </c>
      <c r="AM544" s="92">
        <v>40</v>
      </c>
      <c r="AN544" s="93"/>
      <c r="AO544" s="92"/>
      <c r="AP544" s="86"/>
      <c r="AQ544" t="s">
        <v>1536</v>
      </c>
      <c r="AS544">
        <v>1</v>
      </c>
    </row>
    <row r="545" ht="14.25" customHeight="1" spans="1:45">
      <c r="A545">
        <v>250019</v>
      </c>
      <c r="B545" s="8">
        <v>1001</v>
      </c>
      <c r="C545" s="8">
        <v>1</v>
      </c>
      <c r="D545" s="8">
        <v>1001</v>
      </c>
      <c r="E545" t="s">
        <v>1539</v>
      </c>
      <c r="F545" s="13" t="s">
        <v>1540</v>
      </c>
      <c r="G545" t="s">
        <v>1541</v>
      </c>
      <c r="H545" t="s">
        <v>1520</v>
      </c>
      <c r="I545">
        <v>40</v>
      </c>
      <c r="J545" s="69">
        <v>4</v>
      </c>
      <c r="K545" s="87">
        <v>2</v>
      </c>
      <c r="L545" s="8">
        <v>999</v>
      </c>
      <c r="M545" s="8">
        <v>0</v>
      </c>
      <c r="N545" s="8">
        <v>1017</v>
      </c>
      <c r="O545" s="88">
        <v>30086</v>
      </c>
      <c r="S545" s="89">
        <v>1</v>
      </c>
      <c r="T545" s="8">
        <v>5</v>
      </c>
      <c r="U545" s="89">
        <v>200</v>
      </c>
      <c r="V545" s="87">
        <v>1</v>
      </c>
      <c r="W545">
        <v>1</v>
      </c>
      <c r="X545" s="8">
        <v>1</v>
      </c>
      <c r="Y545">
        <v>0</v>
      </c>
      <c r="Z545" s="33">
        <v>0</v>
      </c>
      <c r="AA545">
        <v>5</v>
      </c>
      <c r="AB545" s="34">
        <v>7600</v>
      </c>
      <c r="AC545" s="87">
        <v>110</v>
      </c>
      <c r="AD545" s="62">
        <v>0</v>
      </c>
      <c r="AE545" s="90">
        <v>4</v>
      </c>
      <c r="AF545" s="90">
        <v>2</v>
      </c>
      <c r="AG545" s="91"/>
      <c r="AH545" s="91">
        <v>1</v>
      </c>
      <c r="AI545" s="91"/>
      <c r="AJ545" s="91"/>
      <c r="AK545" s="91"/>
      <c r="AL545" s="92">
        <v>1</v>
      </c>
      <c r="AM545" s="92">
        <v>40</v>
      </c>
      <c r="AN545" s="93"/>
      <c r="AO545" s="92"/>
      <c r="AP545" s="86"/>
      <c r="AQ545" t="s">
        <v>1539</v>
      </c>
      <c r="AS545">
        <v>1</v>
      </c>
    </row>
    <row r="546" ht="14.25" customHeight="1" spans="1:45">
      <c r="A546">
        <v>250020</v>
      </c>
      <c r="B546" s="8">
        <v>1001</v>
      </c>
      <c r="C546" s="8">
        <v>1</v>
      </c>
      <c r="D546" s="8">
        <v>1001</v>
      </c>
      <c r="E546" t="s">
        <v>1542</v>
      </c>
      <c r="F546" s="13" t="s">
        <v>1543</v>
      </c>
      <c r="G546" t="s">
        <v>1544</v>
      </c>
      <c r="H546" t="s">
        <v>1520</v>
      </c>
      <c r="I546">
        <v>40</v>
      </c>
      <c r="J546" s="69">
        <v>4</v>
      </c>
      <c r="K546" s="87">
        <v>2</v>
      </c>
      <c r="L546" s="8">
        <v>999</v>
      </c>
      <c r="M546" s="8">
        <v>0</v>
      </c>
      <c r="N546" s="8">
        <v>1017</v>
      </c>
      <c r="O546" s="88">
        <v>30087</v>
      </c>
      <c r="S546" s="89">
        <v>1</v>
      </c>
      <c r="T546" s="8">
        <v>5</v>
      </c>
      <c r="U546" s="89">
        <v>200</v>
      </c>
      <c r="V546" s="87">
        <v>1</v>
      </c>
      <c r="W546">
        <v>1</v>
      </c>
      <c r="X546" s="8">
        <v>1</v>
      </c>
      <c r="Y546">
        <v>0</v>
      </c>
      <c r="Z546" s="33">
        <v>0</v>
      </c>
      <c r="AA546">
        <v>5</v>
      </c>
      <c r="AB546" s="34">
        <v>7600</v>
      </c>
      <c r="AC546" s="87">
        <v>110</v>
      </c>
      <c r="AD546" s="62">
        <v>0</v>
      </c>
      <c r="AE546" s="90">
        <v>4</v>
      </c>
      <c r="AF546" s="90">
        <v>2</v>
      </c>
      <c r="AG546" s="91"/>
      <c r="AH546" s="91">
        <v>1</v>
      </c>
      <c r="AI546" s="91"/>
      <c r="AJ546" s="91"/>
      <c r="AK546" s="91"/>
      <c r="AL546" s="92">
        <v>1</v>
      </c>
      <c r="AM546" s="92">
        <v>40</v>
      </c>
      <c r="AN546" s="93"/>
      <c r="AO546" s="92"/>
      <c r="AP546" s="86"/>
      <c r="AQ546" t="s">
        <v>1542</v>
      </c>
      <c r="AS546">
        <v>1</v>
      </c>
    </row>
    <row r="547" ht="14.25" customHeight="1" spans="1:45">
      <c r="A547">
        <v>250021</v>
      </c>
      <c r="B547" s="8">
        <v>1001</v>
      </c>
      <c r="C547" s="8">
        <v>1</v>
      </c>
      <c r="D547" s="8">
        <v>1001</v>
      </c>
      <c r="E547" t="s">
        <v>1545</v>
      </c>
      <c r="F547" s="13" t="s">
        <v>1546</v>
      </c>
      <c r="G547" t="s">
        <v>1547</v>
      </c>
      <c r="H547" t="s">
        <v>1520</v>
      </c>
      <c r="I547">
        <v>40</v>
      </c>
      <c r="J547" s="69">
        <v>4</v>
      </c>
      <c r="K547" s="87">
        <v>2</v>
      </c>
      <c r="L547" s="8">
        <v>999</v>
      </c>
      <c r="M547" s="8">
        <v>0</v>
      </c>
      <c r="N547" s="8">
        <v>1017</v>
      </c>
      <c r="O547" s="88">
        <v>30088</v>
      </c>
      <c r="S547" s="89">
        <v>1</v>
      </c>
      <c r="T547" s="8">
        <v>5</v>
      </c>
      <c r="U547" s="89">
        <v>200</v>
      </c>
      <c r="V547" s="87">
        <v>1</v>
      </c>
      <c r="W547">
        <v>1</v>
      </c>
      <c r="X547" s="8">
        <v>1</v>
      </c>
      <c r="Y547">
        <v>0</v>
      </c>
      <c r="Z547" s="33">
        <v>0</v>
      </c>
      <c r="AA547">
        <v>5</v>
      </c>
      <c r="AB547" s="34">
        <v>7600</v>
      </c>
      <c r="AC547" s="87">
        <v>110</v>
      </c>
      <c r="AD547" s="62">
        <v>0</v>
      </c>
      <c r="AE547" s="90">
        <v>4</v>
      </c>
      <c r="AF547" s="90">
        <v>2</v>
      </c>
      <c r="AG547" s="91"/>
      <c r="AH547" s="91">
        <v>1</v>
      </c>
      <c r="AI547" s="91"/>
      <c r="AJ547" s="91"/>
      <c r="AK547" s="91"/>
      <c r="AL547" s="92">
        <v>1</v>
      </c>
      <c r="AM547" s="92">
        <v>40</v>
      </c>
      <c r="AN547" s="93"/>
      <c r="AO547" s="92"/>
      <c r="AP547" s="86"/>
      <c r="AQ547" t="s">
        <v>1545</v>
      </c>
      <c r="AS547">
        <v>1</v>
      </c>
    </row>
    <row r="548" ht="14.25" customHeight="1" spans="1:45">
      <c r="A548">
        <v>250022</v>
      </c>
      <c r="B548" s="8">
        <v>1001</v>
      </c>
      <c r="C548" s="8">
        <v>1</v>
      </c>
      <c r="D548" s="8">
        <v>1001</v>
      </c>
      <c r="E548" t="s">
        <v>1548</v>
      </c>
      <c r="F548" s="13" t="s">
        <v>1549</v>
      </c>
      <c r="G548" t="s">
        <v>1550</v>
      </c>
      <c r="H548" t="s">
        <v>1431</v>
      </c>
      <c r="I548">
        <v>60</v>
      </c>
      <c r="J548" s="69">
        <v>5</v>
      </c>
      <c r="K548" s="87">
        <v>2</v>
      </c>
      <c r="L548" s="8">
        <v>999</v>
      </c>
      <c r="M548" s="8">
        <v>0</v>
      </c>
      <c r="N548" s="8">
        <v>1017</v>
      </c>
      <c r="O548" s="88">
        <v>30089</v>
      </c>
      <c r="S548" s="89">
        <v>1</v>
      </c>
      <c r="T548" s="8">
        <v>5</v>
      </c>
      <c r="U548" s="89">
        <v>200</v>
      </c>
      <c r="V548" s="87">
        <v>1</v>
      </c>
      <c r="W548">
        <v>1</v>
      </c>
      <c r="X548" s="8">
        <v>1</v>
      </c>
      <c r="Y548">
        <v>0</v>
      </c>
      <c r="Z548" s="33">
        <v>0</v>
      </c>
      <c r="AA548">
        <v>5</v>
      </c>
      <c r="AB548" s="34">
        <v>7600</v>
      </c>
      <c r="AC548" s="87">
        <v>110</v>
      </c>
      <c r="AD548" s="62">
        <v>0</v>
      </c>
      <c r="AE548" s="90">
        <v>4</v>
      </c>
      <c r="AF548" s="90">
        <v>2</v>
      </c>
      <c r="AG548" s="91"/>
      <c r="AH548" s="91">
        <v>1</v>
      </c>
      <c r="AI548" s="91"/>
      <c r="AJ548" s="91"/>
      <c r="AK548" s="91"/>
      <c r="AL548" s="92">
        <v>1</v>
      </c>
      <c r="AM548" s="92">
        <v>60</v>
      </c>
      <c r="AN548" s="93"/>
      <c r="AO548" s="92"/>
      <c r="AP548" s="86"/>
      <c r="AQ548" t="s">
        <v>1551</v>
      </c>
      <c r="AS548">
        <v>1</v>
      </c>
    </row>
    <row r="549" ht="14.25" customHeight="1" spans="1:45">
      <c r="A549">
        <v>250023</v>
      </c>
      <c r="B549" s="8">
        <v>1001</v>
      </c>
      <c r="C549" s="8">
        <v>1</v>
      </c>
      <c r="D549" s="8">
        <v>1001</v>
      </c>
      <c r="E549" t="s">
        <v>1552</v>
      </c>
      <c r="F549" s="13" t="s">
        <v>1553</v>
      </c>
      <c r="G549" t="s">
        <v>1554</v>
      </c>
      <c r="H549" t="s">
        <v>1431</v>
      </c>
      <c r="I549">
        <v>60</v>
      </c>
      <c r="J549" s="69">
        <v>5</v>
      </c>
      <c r="K549" s="87">
        <v>2</v>
      </c>
      <c r="L549" s="8">
        <v>999</v>
      </c>
      <c r="M549" s="8">
        <v>0</v>
      </c>
      <c r="N549" s="8">
        <v>1017</v>
      </c>
      <c r="O549" s="88">
        <v>30090</v>
      </c>
      <c r="S549" s="89">
        <v>1</v>
      </c>
      <c r="T549" s="8">
        <v>5</v>
      </c>
      <c r="U549" s="89">
        <v>200</v>
      </c>
      <c r="V549" s="87">
        <v>1</v>
      </c>
      <c r="W549">
        <v>1</v>
      </c>
      <c r="X549" s="8">
        <v>1</v>
      </c>
      <c r="Y549">
        <v>0</v>
      </c>
      <c r="Z549" s="33">
        <v>0</v>
      </c>
      <c r="AA549">
        <v>5</v>
      </c>
      <c r="AB549" s="34">
        <v>7600</v>
      </c>
      <c r="AC549" s="87">
        <v>110</v>
      </c>
      <c r="AD549" s="62">
        <v>0</v>
      </c>
      <c r="AE549" s="90">
        <v>4</v>
      </c>
      <c r="AF549" s="90">
        <v>2</v>
      </c>
      <c r="AG549" s="91"/>
      <c r="AH549" s="91">
        <v>1</v>
      </c>
      <c r="AI549" s="91"/>
      <c r="AJ549" s="91"/>
      <c r="AK549" s="91"/>
      <c r="AL549" s="92">
        <v>1</v>
      </c>
      <c r="AM549" s="92">
        <v>60</v>
      </c>
      <c r="AN549" s="93"/>
      <c r="AO549" s="92"/>
      <c r="AP549" s="86"/>
      <c r="AQ549" t="s">
        <v>1552</v>
      </c>
      <c r="AS549">
        <v>1</v>
      </c>
    </row>
    <row r="550" ht="14.25" customHeight="1" spans="1:45">
      <c r="A550">
        <v>250024</v>
      </c>
      <c r="B550" s="8">
        <v>1001</v>
      </c>
      <c r="C550" s="8">
        <v>1</v>
      </c>
      <c r="D550" s="8">
        <v>1001</v>
      </c>
      <c r="E550" t="s">
        <v>1555</v>
      </c>
      <c r="F550" s="13" t="s">
        <v>1556</v>
      </c>
      <c r="G550" t="s">
        <v>1557</v>
      </c>
      <c r="H550" t="s">
        <v>1431</v>
      </c>
      <c r="I550">
        <v>60</v>
      </c>
      <c r="J550" s="69">
        <v>5</v>
      </c>
      <c r="K550" s="87">
        <v>2</v>
      </c>
      <c r="L550" s="8">
        <v>999</v>
      </c>
      <c r="M550" s="8">
        <v>0</v>
      </c>
      <c r="N550" s="8">
        <v>1017</v>
      </c>
      <c r="O550" s="88">
        <v>30091</v>
      </c>
      <c r="S550" s="89">
        <v>1</v>
      </c>
      <c r="T550" s="8">
        <v>5</v>
      </c>
      <c r="U550" s="89">
        <v>200</v>
      </c>
      <c r="V550" s="87">
        <v>1</v>
      </c>
      <c r="W550">
        <v>1</v>
      </c>
      <c r="X550" s="8">
        <v>1</v>
      </c>
      <c r="Y550">
        <v>0</v>
      </c>
      <c r="Z550" s="33">
        <v>0</v>
      </c>
      <c r="AA550">
        <v>5</v>
      </c>
      <c r="AB550" s="34">
        <v>7600</v>
      </c>
      <c r="AC550" s="87">
        <v>110</v>
      </c>
      <c r="AD550" s="62">
        <v>0</v>
      </c>
      <c r="AE550" s="90">
        <v>4</v>
      </c>
      <c r="AF550" s="90">
        <v>2</v>
      </c>
      <c r="AG550" s="91"/>
      <c r="AH550" s="91">
        <v>1</v>
      </c>
      <c r="AI550" s="91"/>
      <c r="AJ550" s="91"/>
      <c r="AK550" s="91"/>
      <c r="AL550" s="92">
        <v>1</v>
      </c>
      <c r="AM550" s="92">
        <v>60</v>
      </c>
      <c r="AN550" s="93"/>
      <c r="AO550" s="92"/>
      <c r="AP550" s="86"/>
      <c r="AQ550" t="s">
        <v>1555</v>
      </c>
      <c r="AS550">
        <v>1</v>
      </c>
    </row>
    <row r="551" ht="14.25" customHeight="1" spans="1:45">
      <c r="A551">
        <v>250025</v>
      </c>
      <c r="B551" s="8">
        <v>1001</v>
      </c>
      <c r="C551" s="8">
        <v>1</v>
      </c>
      <c r="D551" s="8">
        <v>1001</v>
      </c>
      <c r="E551" t="s">
        <v>1558</v>
      </c>
      <c r="F551" s="13" t="s">
        <v>1559</v>
      </c>
      <c r="G551" t="s">
        <v>1560</v>
      </c>
      <c r="H551" t="s">
        <v>1431</v>
      </c>
      <c r="I551">
        <v>60</v>
      </c>
      <c r="J551" s="69">
        <v>5</v>
      </c>
      <c r="K551" s="87">
        <v>2</v>
      </c>
      <c r="L551" s="8">
        <v>999</v>
      </c>
      <c r="M551" s="8">
        <v>0</v>
      </c>
      <c r="N551" s="8">
        <v>1017</v>
      </c>
      <c r="O551" s="257">
        <v>30092</v>
      </c>
      <c r="S551" s="89">
        <v>1</v>
      </c>
      <c r="T551" s="8">
        <v>5</v>
      </c>
      <c r="U551" s="89">
        <v>200</v>
      </c>
      <c r="V551" s="87">
        <v>1</v>
      </c>
      <c r="W551">
        <v>1</v>
      </c>
      <c r="X551" s="8">
        <v>1</v>
      </c>
      <c r="Y551">
        <v>0</v>
      </c>
      <c r="Z551" s="33">
        <v>0</v>
      </c>
      <c r="AA551">
        <v>5</v>
      </c>
      <c r="AB551" s="34">
        <v>7600</v>
      </c>
      <c r="AC551" s="87">
        <v>110</v>
      </c>
      <c r="AD551" s="62">
        <v>0</v>
      </c>
      <c r="AE551" s="90">
        <v>4</v>
      </c>
      <c r="AF551" s="90">
        <v>2</v>
      </c>
      <c r="AG551" s="91"/>
      <c r="AH551" s="91">
        <v>1</v>
      </c>
      <c r="AI551" s="91"/>
      <c r="AJ551" s="91"/>
      <c r="AK551" s="91"/>
      <c r="AL551" s="92">
        <v>1</v>
      </c>
      <c r="AM551" s="92">
        <v>60</v>
      </c>
      <c r="AN551" s="93"/>
      <c r="AO551" s="92"/>
      <c r="AP551" s="86"/>
      <c r="AQ551" t="s">
        <v>1558</v>
      </c>
      <c r="AS551">
        <v>1</v>
      </c>
    </row>
    <row r="552" ht="14.25" customHeight="1" spans="1:45">
      <c r="A552">
        <v>250027</v>
      </c>
      <c r="B552" s="8">
        <v>1001</v>
      </c>
      <c r="C552" s="8">
        <v>6</v>
      </c>
      <c r="D552" s="8">
        <v>1001</v>
      </c>
      <c r="E552" t="s">
        <v>1561</v>
      </c>
      <c r="F552" s="13" t="s">
        <v>1562</v>
      </c>
      <c r="G552" t="s">
        <v>1563</v>
      </c>
      <c r="H552" t="s">
        <v>1564</v>
      </c>
      <c r="I552">
        <v>1</v>
      </c>
      <c r="J552" s="69">
        <v>5</v>
      </c>
      <c r="K552" s="87">
        <v>2</v>
      </c>
      <c r="L552" s="8">
        <v>999</v>
      </c>
      <c r="M552" s="8">
        <v>0</v>
      </c>
      <c r="N552" s="8">
        <v>1017</v>
      </c>
      <c r="O552" s="249">
        <v>30093</v>
      </c>
      <c r="S552" s="89">
        <v>1</v>
      </c>
      <c r="T552" s="8">
        <v>5</v>
      </c>
      <c r="U552" s="89">
        <v>200</v>
      </c>
      <c r="V552" s="87">
        <v>1</v>
      </c>
      <c r="W552">
        <v>1</v>
      </c>
      <c r="X552" s="8">
        <v>1</v>
      </c>
      <c r="Y552">
        <v>0</v>
      </c>
      <c r="Z552" s="33">
        <v>0</v>
      </c>
      <c r="AA552">
        <v>5</v>
      </c>
      <c r="AB552" s="34">
        <v>7600</v>
      </c>
      <c r="AC552" s="87">
        <v>110</v>
      </c>
      <c r="AD552" s="62">
        <v>0</v>
      </c>
      <c r="AE552" s="90">
        <v>4</v>
      </c>
      <c r="AF552" s="90">
        <v>2</v>
      </c>
      <c r="AG552" s="91"/>
      <c r="AH552" s="91">
        <v>1</v>
      </c>
      <c r="AI552" s="91"/>
      <c r="AJ552" s="91"/>
      <c r="AK552" s="91"/>
      <c r="AL552" s="92">
        <v>1</v>
      </c>
      <c r="AM552" s="92"/>
      <c r="AN552" s="93"/>
      <c r="AO552" s="92"/>
      <c r="AP552" s="86"/>
      <c r="AQ552" t="s">
        <v>1561</v>
      </c>
      <c r="AS552">
        <v>1</v>
      </c>
    </row>
    <row r="553" ht="14.25" customHeight="1" spans="1:45">
      <c r="A553">
        <v>250028</v>
      </c>
      <c r="B553" s="8">
        <v>1001</v>
      </c>
      <c r="C553" s="8">
        <v>6</v>
      </c>
      <c r="D553" s="8">
        <v>1001</v>
      </c>
      <c r="E553" t="s">
        <v>1565</v>
      </c>
      <c r="F553" s="13" t="s">
        <v>1566</v>
      </c>
      <c r="G553" t="s">
        <v>1567</v>
      </c>
      <c r="H553" t="s">
        <v>1564</v>
      </c>
      <c r="I553">
        <v>1</v>
      </c>
      <c r="J553" s="69">
        <v>5</v>
      </c>
      <c r="K553" s="87">
        <v>2</v>
      </c>
      <c r="L553" s="8">
        <v>999</v>
      </c>
      <c r="M553" s="8">
        <v>0</v>
      </c>
      <c r="N553" s="8">
        <v>1017</v>
      </c>
      <c r="O553" s="249">
        <v>30094</v>
      </c>
      <c r="S553" s="89">
        <v>1</v>
      </c>
      <c r="T553" s="8">
        <v>5</v>
      </c>
      <c r="U553" s="89">
        <v>200</v>
      </c>
      <c r="V553" s="87">
        <v>1</v>
      </c>
      <c r="W553">
        <v>1</v>
      </c>
      <c r="X553" s="8">
        <v>1</v>
      </c>
      <c r="Y553">
        <v>0</v>
      </c>
      <c r="Z553" s="33">
        <v>0</v>
      </c>
      <c r="AA553">
        <v>5</v>
      </c>
      <c r="AB553" s="34">
        <v>7600</v>
      </c>
      <c r="AC553" s="87">
        <v>110</v>
      </c>
      <c r="AD553" s="62">
        <v>0</v>
      </c>
      <c r="AE553" s="90">
        <v>4</v>
      </c>
      <c r="AF553" s="90">
        <v>2</v>
      </c>
      <c r="AG553" s="91"/>
      <c r="AH553" s="91">
        <v>1</v>
      </c>
      <c r="AI553" s="91"/>
      <c r="AJ553" s="91"/>
      <c r="AK553" s="91"/>
      <c r="AL553" s="92">
        <v>1</v>
      </c>
      <c r="AM553" s="92"/>
      <c r="AN553" s="93"/>
      <c r="AO553" s="92"/>
      <c r="AP553" s="86"/>
      <c r="AQ553" t="s">
        <v>1565</v>
      </c>
      <c r="AS553">
        <v>1</v>
      </c>
    </row>
    <row r="554" ht="14.25" customHeight="1" spans="1:45">
      <c r="A554">
        <v>250029</v>
      </c>
      <c r="B554" s="8">
        <v>1001</v>
      </c>
      <c r="C554" s="8">
        <v>6</v>
      </c>
      <c r="D554" s="8">
        <v>1001</v>
      </c>
      <c r="E554" t="s">
        <v>1568</v>
      </c>
      <c r="F554" s="13" t="s">
        <v>1569</v>
      </c>
      <c r="G554" t="s">
        <v>1570</v>
      </c>
      <c r="H554" t="s">
        <v>1564</v>
      </c>
      <c r="I554">
        <v>1</v>
      </c>
      <c r="J554" s="69">
        <v>3</v>
      </c>
      <c r="K554" s="87">
        <v>2</v>
      </c>
      <c r="L554" s="8">
        <v>999</v>
      </c>
      <c r="M554" s="8">
        <v>0</v>
      </c>
      <c r="N554" s="8">
        <v>1017</v>
      </c>
      <c r="O554" s="259" t="s">
        <v>1571</v>
      </c>
      <c r="S554" s="89">
        <v>1</v>
      </c>
      <c r="T554" s="8">
        <v>5</v>
      </c>
      <c r="U554" s="89">
        <v>200</v>
      </c>
      <c r="V554" s="87">
        <v>1</v>
      </c>
      <c r="W554">
        <v>1</v>
      </c>
      <c r="X554" s="8">
        <v>1</v>
      </c>
      <c r="Y554">
        <v>0</v>
      </c>
      <c r="Z554" s="33">
        <v>0</v>
      </c>
      <c r="AA554">
        <v>5</v>
      </c>
      <c r="AB554" s="34">
        <v>7600</v>
      </c>
      <c r="AC554" s="87">
        <v>110</v>
      </c>
      <c r="AD554" s="62">
        <v>0</v>
      </c>
      <c r="AE554" s="90">
        <v>4</v>
      </c>
      <c r="AF554" s="90">
        <v>2</v>
      </c>
      <c r="AG554" s="91"/>
      <c r="AH554" s="91">
        <v>1</v>
      </c>
      <c r="AI554" s="91"/>
      <c r="AJ554" s="91"/>
      <c r="AK554" s="91"/>
      <c r="AL554" s="92">
        <v>1</v>
      </c>
      <c r="AM554" s="92"/>
      <c r="AN554" s="93"/>
      <c r="AO554" s="92"/>
      <c r="AP554" s="86"/>
      <c r="AQ554" t="s">
        <v>1568</v>
      </c>
      <c r="AS554">
        <v>1</v>
      </c>
    </row>
    <row r="555" ht="14.25" customHeight="1" spans="1:45">
      <c r="A555">
        <v>251029</v>
      </c>
      <c r="B555" s="8">
        <v>1001</v>
      </c>
      <c r="C555" s="8">
        <v>6</v>
      </c>
      <c r="D555" s="8">
        <v>1001</v>
      </c>
      <c r="E555" t="s">
        <v>1568</v>
      </c>
      <c r="F555" s="13" t="s">
        <v>1569</v>
      </c>
      <c r="G555" t="s">
        <v>1570</v>
      </c>
      <c r="H555" t="s">
        <v>1564</v>
      </c>
      <c r="I555">
        <v>1</v>
      </c>
      <c r="J555" s="69">
        <v>3</v>
      </c>
      <c r="K555" s="87">
        <v>2</v>
      </c>
      <c r="L555" s="8">
        <v>999</v>
      </c>
      <c r="M555" s="8">
        <v>0</v>
      </c>
      <c r="N555" s="8">
        <v>1017</v>
      </c>
      <c r="O555" s="259" t="s">
        <v>1572</v>
      </c>
      <c r="S555" s="89">
        <v>1</v>
      </c>
      <c r="T555" s="8">
        <v>5</v>
      </c>
      <c r="U555" s="89">
        <v>200</v>
      </c>
      <c r="V555" s="87">
        <v>1</v>
      </c>
      <c r="W555">
        <v>1</v>
      </c>
      <c r="X555" s="8">
        <v>1</v>
      </c>
      <c r="Y555">
        <v>0</v>
      </c>
      <c r="Z555" s="33">
        <v>0</v>
      </c>
      <c r="AA555">
        <v>5</v>
      </c>
      <c r="AB555" s="34">
        <v>7600</v>
      </c>
      <c r="AC555" s="87">
        <v>110</v>
      </c>
      <c r="AD555" s="62">
        <v>0</v>
      </c>
      <c r="AE555" s="90">
        <v>4</v>
      </c>
      <c r="AF555" s="90">
        <v>2</v>
      </c>
      <c r="AG555" s="91"/>
      <c r="AH555" s="91">
        <v>1</v>
      </c>
      <c r="AI555" s="91"/>
      <c r="AJ555" s="91"/>
      <c r="AK555" s="91"/>
      <c r="AL555" s="92">
        <v>1</v>
      </c>
      <c r="AM555" s="92"/>
      <c r="AN555" s="93"/>
      <c r="AO555" s="92"/>
      <c r="AP555" s="86"/>
      <c r="AQ555" t="s">
        <v>1568</v>
      </c>
      <c r="AS555">
        <v>1</v>
      </c>
    </row>
    <row r="556" ht="14.25" customHeight="1" spans="1:45">
      <c r="A556">
        <v>252029</v>
      </c>
      <c r="B556" s="8">
        <v>1001</v>
      </c>
      <c r="C556" s="8">
        <v>6</v>
      </c>
      <c r="D556" s="8">
        <v>1001</v>
      </c>
      <c r="E556" t="s">
        <v>1568</v>
      </c>
      <c r="F556" s="13" t="s">
        <v>1569</v>
      </c>
      <c r="G556" t="s">
        <v>1570</v>
      </c>
      <c r="H556" t="s">
        <v>312</v>
      </c>
      <c r="I556">
        <v>1</v>
      </c>
      <c r="J556" s="69">
        <v>4</v>
      </c>
      <c r="K556" s="87">
        <v>2</v>
      </c>
      <c r="L556" s="8">
        <v>999</v>
      </c>
      <c r="M556" s="8">
        <v>0</v>
      </c>
      <c r="N556" s="8">
        <v>1017</v>
      </c>
      <c r="O556" s="259" t="s">
        <v>1573</v>
      </c>
      <c r="S556" s="89">
        <v>1</v>
      </c>
      <c r="T556" s="8">
        <v>5</v>
      </c>
      <c r="U556" s="89">
        <v>200</v>
      </c>
      <c r="V556" s="87">
        <v>1</v>
      </c>
      <c r="W556">
        <v>1</v>
      </c>
      <c r="X556" s="8">
        <v>1</v>
      </c>
      <c r="Y556">
        <v>0</v>
      </c>
      <c r="Z556" s="33">
        <v>0</v>
      </c>
      <c r="AA556">
        <v>5</v>
      </c>
      <c r="AB556" s="34">
        <v>7600</v>
      </c>
      <c r="AC556" s="87">
        <v>110</v>
      </c>
      <c r="AD556" s="62">
        <v>0</v>
      </c>
      <c r="AE556" s="90">
        <v>4</v>
      </c>
      <c r="AF556" s="90">
        <v>2</v>
      </c>
      <c r="AG556" s="91"/>
      <c r="AH556" s="91">
        <v>1</v>
      </c>
      <c r="AI556" s="91"/>
      <c r="AJ556" s="91"/>
      <c r="AK556" s="91"/>
      <c r="AL556" s="92">
        <v>1</v>
      </c>
      <c r="AM556" s="92"/>
      <c r="AN556" s="93"/>
      <c r="AO556" s="92"/>
      <c r="AP556" s="86"/>
      <c r="AQ556" t="s">
        <v>1568</v>
      </c>
      <c r="AS556">
        <v>1</v>
      </c>
    </row>
    <row r="557" ht="14.25" customHeight="1" spans="1:45">
      <c r="A557">
        <v>253029</v>
      </c>
      <c r="B557" s="8">
        <v>1001</v>
      </c>
      <c r="C557" s="8">
        <v>6</v>
      </c>
      <c r="D557" s="8">
        <v>1001</v>
      </c>
      <c r="E557" t="s">
        <v>1568</v>
      </c>
      <c r="F557" s="13" t="s">
        <v>1569</v>
      </c>
      <c r="G557" t="s">
        <v>1570</v>
      </c>
      <c r="H557" t="s">
        <v>1574</v>
      </c>
      <c r="I557">
        <v>1</v>
      </c>
      <c r="J557" s="69">
        <v>5</v>
      </c>
      <c r="K557" s="87">
        <v>2</v>
      </c>
      <c r="L557" s="8">
        <v>999</v>
      </c>
      <c r="M557" s="8">
        <v>0</v>
      </c>
      <c r="N557" s="8">
        <v>1017</v>
      </c>
      <c r="O557" s="259" t="s">
        <v>1575</v>
      </c>
      <c r="S557" s="89">
        <v>1</v>
      </c>
      <c r="T557" s="8">
        <v>5</v>
      </c>
      <c r="U557" s="89">
        <v>200</v>
      </c>
      <c r="V557" s="87">
        <v>1</v>
      </c>
      <c r="W557">
        <v>1</v>
      </c>
      <c r="X557" s="8">
        <v>1</v>
      </c>
      <c r="Y557">
        <v>0</v>
      </c>
      <c r="Z557" s="33">
        <v>0</v>
      </c>
      <c r="AA557">
        <v>5</v>
      </c>
      <c r="AB557" s="34">
        <v>7600</v>
      </c>
      <c r="AC557" s="87">
        <v>110</v>
      </c>
      <c r="AD557" s="62">
        <v>0</v>
      </c>
      <c r="AE557" s="90">
        <v>4</v>
      </c>
      <c r="AF557" s="90">
        <v>2</v>
      </c>
      <c r="AG557" s="91"/>
      <c r="AH557" s="91">
        <v>1</v>
      </c>
      <c r="AI557" s="91"/>
      <c r="AJ557" s="91"/>
      <c r="AK557" s="91"/>
      <c r="AL557" s="92">
        <v>1</v>
      </c>
      <c r="AM557" s="92"/>
      <c r="AN557" s="93"/>
      <c r="AO557" s="92"/>
      <c r="AP557" s="86"/>
      <c r="AQ557" t="s">
        <v>1568</v>
      </c>
      <c r="AS557">
        <v>1</v>
      </c>
    </row>
    <row r="558" ht="14.25" customHeight="1" spans="1:45">
      <c r="A558">
        <v>250030</v>
      </c>
      <c r="B558" s="8">
        <v>1001</v>
      </c>
      <c r="C558" s="8">
        <v>6</v>
      </c>
      <c r="D558" s="8">
        <v>1001</v>
      </c>
      <c r="E558" t="s">
        <v>1576</v>
      </c>
      <c r="F558" s="13" t="s">
        <v>1577</v>
      </c>
      <c r="G558" t="s">
        <v>1578</v>
      </c>
      <c r="H558" t="s">
        <v>1579</v>
      </c>
      <c r="I558">
        <v>1</v>
      </c>
      <c r="J558" s="69">
        <v>2</v>
      </c>
      <c r="K558" s="87">
        <v>2</v>
      </c>
      <c r="L558" s="8">
        <v>999</v>
      </c>
      <c r="M558" s="8">
        <v>0</v>
      </c>
      <c r="N558" s="8">
        <v>1017</v>
      </c>
      <c r="O558" s="249">
        <v>30098</v>
      </c>
      <c r="S558" s="89">
        <v>1</v>
      </c>
      <c r="T558" s="8">
        <v>5</v>
      </c>
      <c r="U558" s="89">
        <v>200</v>
      </c>
      <c r="V558" s="87">
        <v>1</v>
      </c>
      <c r="W558">
        <v>1</v>
      </c>
      <c r="X558" s="8">
        <v>1</v>
      </c>
      <c r="Y558">
        <v>0</v>
      </c>
      <c r="Z558" s="33">
        <v>0</v>
      </c>
      <c r="AA558">
        <v>5</v>
      </c>
      <c r="AB558" s="34">
        <v>7600</v>
      </c>
      <c r="AC558" s="87">
        <v>110</v>
      </c>
      <c r="AD558" s="62">
        <v>0</v>
      </c>
      <c r="AE558" s="90">
        <v>4</v>
      </c>
      <c r="AF558" s="90">
        <v>2</v>
      </c>
      <c r="AG558" s="91"/>
      <c r="AH558" s="91">
        <v>1</v>
      </c>
      <c r="AI558" s="91"/>
      <c r="AJ558" s="91"/>
      <c r="AK558" s="91"/>
      <c r="AL558" s="92">
        <v>1</v>
      </c>
      <c r="AM558" s="92"/>
      <c r="AN558" s="93"/>
      <c r="AO558" s="92"/>
      <c r="AP558" s="86"/>
      <c r="AQ558" t="s">
        <v>1576</v>
      </c>
      <c r="AS558">
        <v>1</v>
      </c>
    </row>
    <row r="559" ht="14.25" customHeight="1" spans="1:45">
      <c r="A559">
        <v>250031</v>
      </c>
      <c r="B559" s="8">
        <v>1001</v>
      </c>
      <c r="C559" s="8">
        <v>6</v>
      </c>
      <c r="D559" s="8">
        <v>1001</v>
      </c>
      <c r="E559" t="s">
        <v>1580</v>
      </c>
      <c r="F559" s="13" t="s">
        <v>1577</v>
      </c>
      <c r="G559" t="s">
        <v>1578</v>
      </c>
      <c r="H559" t="s">
        <v>1581</v>
      </c>
      <c r="I559">
        <v>1</v>
      </c>
      <c r="J559" s="69">
        <v>3</v>
      </c>
      <c r="K559" s="87">
        <v>2</v>
      </c>
      <c r="L559" s="8">
        <v>999</v>
      </c>
      <c r="M559" s="8">
        <v>0</v>
      </c>
      <c r="N559" s="8">
        <v>1017</v>
      </c>
      <c r="O559" s="249">
        <v>30099</v>
      </c>
      <c r="S559" s="89">
        <v>1</v>
      </c>
      <c r="T559" s="8">
        <v>5</v>
      </c>
      <c r="U559" s="89">
        <v>200</v>
      </c>
      <c r="V559" s="87">
        <v>1</v>
      </c>
      <c r="W559">
        <v>1</v>
      </c>
      <c r="X559" s="8">
        <v>1</v>
      </c>
      <c r="Y559">
        <v>0</v>
      </c>
      <c r="Z559" s="33">
        <v>0</v>
      </c>
      <c r="AA559">
        <v>5</v>
      </c>
      <c r="AB559" s="34">
        <v>7600</v>
      </c>
      <c r="AC559" s="87">
        <v>110</v>
      </c>
      <c r="AD559" s="62">
        <v>0</v>
      </c>
      <c r="AE559" s="90">
        <v>4</v>
      </c>
      <c r="AF559" s="90">
        <v>2</v>
      </c>
      <c r="AG559" s="91"/>
      <c r="AH559" s="91">
        <v>1</v>
      </c>
      <c r="AI559" s="91"/>
      <c r="AJ559" s="91"/>
      <c r="AK559" s="91"/>
      <c r="AL559" s="92">
        <v>1</v>
      </c>
      <c r="AM559" s="92"/>
      <c r="AN559" s="93"/>
      <c r="AO559" s="92"/>
      <c r="AP559" s="86"/>
      <c r="AQ559" t="s">
        <v>1580</v>
      </c>
      <c r="AS559">
        <v>1</v>
      </c>
    </row>
    <row r="560" ht="14.25" customHeight="1" spans="1:45">
      <c r="A560">
        <v>250032</v>
      </c>
      <c r="B560" s="8">
        <v>1001</v>
      </c>
      <c r="C560" s="8">
        <v>6</v>
      </c>
      <c r="D560" s="8">
        <v>1001</v>
      </c>
      <c r="E560" t="s">
        <v>1582</v>
      </c>
      <c r="F560" s="13" t="s">
        <v>1577</v>
      </c>
      <c r="G560" t="s">
        <v>1578</v>
      </c>
      <c r="H560" t="s">
        <v>1583</v>
      </c>
      <c r="I560">
        <v>1</v>
      </c>
      <c r="J560" s="69">
        <v>4</v>
      </c>
      <c r="K560" s="87">
        <v>2</v>
      </c>
      <c r="L560" s="8">
        <v>999</v>
      </c>
      <c r="M560" s="8">
        <v>0</v>
      </c>
      <c r="N560" s="8">
        <v>1017</v>
      </c>
      <c r="O560" s="249">
        <v>30100</v>
      </c>
      <c r="S560" s="89">
        <v>1</v>
      </c>
      <c r="T560" s="8">
        <v>5</v>
      </c>
      <c r="U560" s="89">
        <v>200</v>
      </c>
      <c r="V560" s="87">
        <v>1</v>
      </c>
      <c r="W560">
        <v>1</v>
      </c>
      <c r="X560" s="8">
        <v>1</v>
      </c>
      <c r="Y560">
        <v>0</v>
      </c>
      <c r="Z560" s="33">
        <v>0</v>
      </c>
      <c r="AA560">
        <v>5</v>
      </c>
      <c r="AB560" s="34">
        <v>7600</v>
      </c>
      <c r="AC560" s="87">
        <v>110</v>
      </c>
      <c r="AD560" s="62">
        <v>0</v>
      </c>
      <c r="AE560" s="90">
        <v>4</v>
      </c>
      <c r="AF560" s="90">
        <v>2</v>
      </c>
      <c r="AG560" s="91"/>
      <c r="AH560" s="91">
        <v>1</v>
      </c>
      <c r="AI560" s="91"/>
      <c r="AJ560" s="91"/>
      <c r="AK560" s="91"/>
      <c r="AL560" s="92">
        <v>1</v>
      </c>
      <c r="AM560" s="92"/>
      <c r="AN560" s="93"/>
      <c r="AO560" s="92"/>
      <c r="AP560" s="86"/>
      <c r="AQ560" t="s">
        <v>1582</v>
      </c>
      <c r="AS560">
        <v>1</v>
      </c>
    </row>
    <row r="561" ht="14.25" customHeight="1" spans="1:45">
      <c r="A561">
        <v>250033</v>
      </c>
      <c r="B561" s="8">
        <v>1001</v>
      </c>
      <c r="C561" s="8">
        <v>6</v>
      </c>
      <c r="D561" s="8">
        <v>1001</v>
      </c>
      <c r="E561" t="s">
        <v>1584</v>
      </c>
      <c r="F561" s="13" t="s">
        <v>1577</v>
      </c>
      <c r="G561" t="s">
        <v>1578</v>
      </c>
      <c r="H561" t="s">
        <v>1585</v>
      </c>
      <c r="I561">
        <v>1</v>
      </c>
      <c r="J561" s="69">
        <v>5</v>
      </c>
      <c r="K561" s="87">
        <v>2</v>
      </c>
      <c r="L561" s="8">
        <v>999</v>
      </c>
      <c r="M561" s="8">
        <v>0</v>
      </c>
      <c r="N561" s="8">
        <v>1017</v>
      </c>
      <c r="O561" s="249">
        <v>30104</v>
      </c>
      <c r="S561" s="89">
        <v>1</v>
      </c>
      <c r="T561" s="8">
        <v>5</v>
      </c>
      <c r="U561" s="89">
        <v>200</v>
      </c>
      <c r="V561" s="87">
        <v>1</v>
      </c>
      <c r="W561">
        <v>1</v>
      </c>
      <c r="X561" s="8">
        <v>1</v>
      </c>
      <c r="Y561">
        <v>0</v>
      </c>
      <c r="Z561" s="33">
        <v>0</v>
      </c>
      <c r="AA561">
        <v>5</v>
      </c>
      <c r="AB561" s="34">
        <v>7600</v>
      </c>
      <c r="AC561" s="87">
        <v>110</v>
      </c>
      <c r="AD561" s="62">
        <v>0</v>
      </c>
      <c r="AE561" s="90">
        <v>4</v>
      </c>
      <c r="AF561" s="90">
        <v>2</v>
      </c>
      <c r="AG561" s="91"/>
      <c r="AH561" s="91">
        <v>1</v>
      </c>
      <c r="AI561" s="91"/>
      <c r="AJ561" s="91"/>
      <c r="AK561" s="91"/>
      <c r="AL561" s="92">
        <v>1</v>
      </c>
      <c r="AM561" s="92"/>
      <c r="AN561" s="93"/>
      <c r="AO561" s="92"/>
      <c r="AP561" s="86"/>
      <c r="AQ561" t="s">
        <v>1584</v>
      </c>
      <c r="AS561">
        <v>1</v>
      </c>
    </row>
    <row r="562" ht="14.25" customHeight="1" spans="1:45">
      <c r="A562">
        <v>250034</v>
      </c>
      <c r="B562" s="8">
        <v>1001</v>
      </c>
      <c r="C562" s="8">
        <v>6</v>
      </c>
      <c r="D562" s="8">
        <v>1001</v>
      </c>
      <c r="E562" t="s">
        <v>1586</v>
      </c>
      <c r="F562" s="13" t="s">
        <v>1586</v>
      </c>
      <c r="G562" t="s">
        <v>1578</v>
      </c>
      <c r="H562" t="s">
        <v>1587</v>
      </c>
      <c r="I562">
        <v>1</v>
      </c>
      <c r="J562" s="69">
        <v>2</v>
      </c>
      <c r="K562" s="87">
        <v>2</v>
      </c>
      <c r="L562" s="8">
        <v>999</v>
      </c>
      <c r="M562" s="8">
        <v>0</v>
      </c>
      <c r="N562" s="8">
        <v>1017</v>
      </c>
      <c r="O562" s="249">
        <v>30098</v>
      </c>
      <c r="S562" s="89">
        <v>1</v>
      </c>
      <c r="T562" s="8">
        <v>5</v>
      </c>
      <c r="U562" s="89">
        <v>200</v>
      </c>
      <c r="V562" s="87">
        <v>1</v>
      </c>
      <c r="W562">
        <v>1</v>
      </c>
      <c r="X562" s="8">
        <v>1</v>
      </c>
      <c r="Y562">
        <v>0</v>
      </c>
      <c r="Z562" s="33">
        <v>0</v>
      </c>
      <c r="AA562">
        <v>5</v>
      </c>
      <c r="AB562" s="34">
        <v>7600</v>
      </c>
      <c r="AC562" s="87">
        <v>110</v>
      </c>
      <c r="AD562" s="62">
        <v>0</v>
      </c>
      <c r="AE562" s="90">
        <v>4</v>
      </c>
      <c r="AF562" s="90">
        <v>2</v>
      </c>
      <c r="AG562" s="91"/>
      <c r="AH562" s="91">
        <v>1</v>
      </c>
      <c r="AI562" s="91"/>
      <c r="AJ562" s="91"/>
      <c r="AK562" s="91"/>
      <c r="AL562" s="92">
        <v>1</v>
      </c>
      <c r="AM562" s="92"/>
      <c r="AN562" s="93"/>
      <c r="AO562" s="92"/>
      <c r="AP562" s="86"/>
      <c r="AQ562" t="s">
        <v>1586</v>
      </c>
      <c r="AS562">
        <v>1</v>
      </c>
    </row>
    <row r="563" ht="14.25" customHeight="1" spans="1:45">
      <c r="A563">
        <v>250035</v>
      </c>
      <c r="B563" s="8">
        <v>1001</v>
      </c>
      <c r="C563" s="8">
        <v>6</v>
      </c>
      <c r="D563" s="8">
        <v>1001</v>
      </c>
      <c r="E563" t="s">
        <v>1586</v>
      </c>
      <c r="F563" s="13" t="s">
        <v>1586</v>
      </c>
      <c r="G563" t="s">
        <v>1578</v>
      </c>
      <c r="H563" t="s">
        <v>1588</v>
      </c>
      <c r="I563">
        <v>1</v>
      </c>
      <c r="J563" s="69">
        <v>3</v>
      </c>
      <c r="K563" s="87">
        <v>2</v>
      </c>
      <c r="L563" s="8">
        <v>999</v>
      </c>
      <c r="M563" s="8">
        <v>0</v>
      </c>
      <c r="N563" s="8">
        <v>1017</v>
      </c>
      <c r="O563" s="249">
        <v>30098</v>
      </c>
      <c r="S563" s="89">
        <v>1</v>
      </c>
      <c r="T563" s="8">
        <v>5</v>
      </c>
      <c r="U563" s="89">
        <v>200</v>
      </c>
      <c r="V563" s="87">
        <v>1</v>
      </c>
      <c r="W563">
        <v>1</v>
      </c>
      <c r="X563" s="8">
        <v>1</v>
      </c>
      <c r="Y563">
        <v>0</v>
      </c>
      <c r="Z563" s="33">
        <v>0</v>
      </c>
      <c r="AA563">
        <v>5</v>
      </c>
      <c r="AB563" s="34">
        <v>7600</v>
      </c>
      <c r="AC563" s="87">
        <v>110</v>
      </c>
      <c r="AD563" s="62">
        <v>0</v>
      </c>
      <c r="AE563" s="90">
        <v>4</v>
      </c>
      <c r="AF563" s="90">
        <v>2</v>
      </c>
      <c r="AG563" s="91"/>
      <c r="AH563" s="91">
        <v>1</v>
      </c>
      <c r="AI563" s="91"/>
      <c r="AJ563" s="91"/>
      <c r="AK563" s="91"/>
      <c r="AL563" s="92">
        <v>1</v>
      </c>
      <c r="AM563" s="92"/>
      <c r="AN563" s="93"/>
      <c r="AO563" s="92"/>
      <c r="AP563" s="86"/>
      <c r="AQ563" t="s">
        <v>1586</v>
      </c>
      <c r="AS563">
        <v>1</v>
      </c>
    </row>
    <row r="564" ht="14.25" customHeight="1" spans="1:45">
      <c r="A564">
        <v>250036</v>
      </c>
      <c r="B564" s="8">
        <v>1001</v>
      </c>
      <c r="C564" s="8">
        <v>6</v>
      </c>
      <c r="D564" s="8">
        <v>1001</v>
      </c>
      <c r="E564" t="s">
        <v>1586</v>
      </c>
      <c r="F564" s="13" t="s">
        <v>1586</v>
      </c>
      <c r="G564" t="s">
        <v>1578</v>
      </c>
      <c r="H564" t="s">
        <v>1589</v>
      </c>
      <c r="I564">
        <v>1</v>
      </c>
      <c r="J564" s="69">
        <v>4</v>
      </c>
      <c r="K564" s="87">
        <v>2</v>
      </c>
      <c r="L564" s="8">
        <v>999</v>
      </c>
      <c r="M564" s="8">
        <v>0</v>
      </c>
      <c r="N564" s="8">
        <v>1017</v>
      </c>
      <c r="O564" s="249">
        <v>30098</v>
      </c>
      <c r="S564" s="89">
        <v>1</v>
      </c>
      <c r="T564" s="8">
        <v>5</v>
      </c>
      <c r="U564" s="89">
        <v>200</v>
      </c>
      <c r="V564" s="87">
        <v>1</v>
      </c>
      <c r="W564">
        <v>1</v>
      </c>
      <c r="X564" s="8">
        <v>1</v>
      </c>
      <c r="Y564">
        <v>0</v>
      </c>
      <c r="Z564" s="33">
        <v>0</v>
      </c>
      <c r="AA564">
        <v>5</v>
      </c>
      <c r="AB564" s="34">
        <v>7600</v>
      </c>
      <c r="AC564" s="87">
        <v>110</v>
      </c>
      <c r="AD564" s="62">
        <v>0</v>
      </c>
      <c r="AE564" s="90">
        <v>4</v>
      </c>
      <c r="AF564" s="90">
        <v>2</v>
      </c>
      <c r="AG564" s="91"/>
      <c r="AH564" s="91">
        <v>1</v>
      </c>
      <c r="AI564" s="91"/>
      <c r="AJ564" s="91"/>
      <c r="AK564" s="91"/>
      <c r="AL564" s="92">
        <v>1</v>
      </c>
      <c r="AM564" s="92"/>
      <c r="AN564" s="93"/>
      <c r="AO564" s="92"/>
      <c r="AP564" s="86"/>
      <c r="AQ564" t="s">
        <v>1586</v>
      </c>
      <c r="AS564">
        <v>1</v>
      </c>
    </row>
    <row r="565" ht="14.25" customHeight="1" spans="1:45">
      <c r="A565">
        <v>250037</v>
      </c>
      <c r="B565" s="8">
        <v>1001</v>
      </c>
      <c r="C565" s="8">
        <v>6</v>
      </c>
      <c r="D565" s="8">
        <v>1001</v>
      </c>
      <c r="E565" t="s">
        <v>1586</v>
      </c>
      <c r="F565" s="13" t="s">
        <v>1586</v>
      </c>
      <c r="G565" t="s">
        <v>1578</v>
      </c>
      <c r="H565" t="s">
        <v>1590</v>
      </c>
      <c r="I565">
        <v>1</v>
      </c>
      <c r="J565" s="69">
        <v>5</v>
      </c>
      <c r="K565" s="87">
        <v>2</v>
      </c>
      <c r="L565" s="8">
        <v>999</v>
      </c>
      <c r="M565" s="8">
        <v>0</v>
      </c>
      <c r="N565" s="8">
        <v>1017</v>
      </c>
      <c r="O565" s="260">
        <v>30098</v>
      </c>
      <c r="S565" s="89">
        <v>1</v>
      </c>
      <c r="T565" s="8">
        <v>5</v>
      </c>
      <c r="U565" s="89">
        <v>200</v>
      </c>
      <c r="V565" s="87">
        <v>1</v>
      </c>
      <c r="W565">
        <v>1</v>
      </c>
      <c r="X565" s="8">
        <v>1</v>
      </c>
      <c r="Y565">
        <v>0</v>
      </c>
      <c r="Z565" s="33">
        <v>0</v>
      </c>
      <c r="AA565">
        <v>5</v>
      </c>
      <c r="AB565" s="34">
        <v>7600</v>
      </c>
      <c r="AC565" s="87">
        <v>110</v>
      </c>
      <c r="AD565" s="62">
        <v>0</v>
      </c>
      <c r="AE565" s="90">
        <v>4</v>
      </c>
      <c r="AF565" s="90">
        <v>2</v>
      </c>
      <c r="AG565" s="91"/>
      <c r="AH565" s="91">
        <v>1</v>
      </c>
      <c r="AI565" s="91"/>
      <c r="AJ565" s="91"/>
      <c r="AK565" s="91"/>
      <c r="AL565" s="92">
        <v>1</v>
      </c>
      <c r="AM565" s="92"/>
      <c r="AN565" s="93"/>
      <c r="AO565" s="92"/>
      <c r="AP565" s="86"/>
      <c r="AQ565" t="s">
        <v>1586</v>
      </c>
      <c r="AS565">
        <v>1</v>
      </c>
    </row>
    <row r="566" ht="14.25" customHeight="1" spans="1:45">
      <c r="A566">
        <v>250038</v>
      </c>
      <c r="B566" s="8">
        <v>1001</v>
      </c>
      <c r="C566" s="8">
        <v>1</v>
      </c>
      <c r="D566" s="8">
        <v>1001</v>
      </c>
      <c r="E566" t="s">
        <v>1591</v>
      </c>
      <c r="F566" s="13" t="s">
        <v>1592</v>
      </c>
      <c r="G566" t="s">
        <v>1593</v>
      </c>
      <c r="H566" s="117" t="s">
        <v>1594</v>
      </c>
      <c r="I566">
        <v>1</v>
      </c>
      <c r="J566" s="69">
        <v>4</v>
      </c>
      <c r="K566" s="87">
        <v>2</v>
      </c>
      <c r="L566" s="8">
        <v>999</v>
      </c>
      <c r="M566" s="8">
        <v>0</v>
      </c>
      <c r="N566" s="8">
        <v>1017</v>
      </c>
      <c r="O566" s="88">
        <v>60020</v>
      </c>
      <c r="S566" s="89">
        <v>1</v>
      </c>
      <c r="T566" s="8">
        <v>5</v>
      </c>
      <c r="U566" s="89">
        <v>200</v>
      </c>
      <c r="V566" s="87">
        <v>1</v>
      </c>
      <c r="W566">
        <v>1</v>
      </c>
      <c r="X566" s="8">
        <v>1</v>
      </c>
      <c r="Y566">
        <v>0</v>
      </c>
      <c r="Z566" s="33">
        <v>0</v>
      </c>
      <c r="AA566">
        <v>5</v>
      </c>
      <c r="AB566" s="34">
        <v>7600</v>
      </c>
      <c r="AC566" s="87">
        <v>110</v>
      </c>
      <c r="AD566" s="62">
        <v>0</v>
      </c>
      <c r="AE566" s="90">
        <v>4</v>
      </c>
      <c r="AF566" s="90">
        <v>2</v>
      </c>
      <c r="AG566" s="91"/>
      <c r="AH566" s="91">
        <v>1</v>
      </c>
      <c r="AI566" s="91"/>
      <c r="AJ566" s="91"/>
      <c r="AK566" s="91"/>
      <c r="AL566" s="92">
        <v>1</v>
      </c>
      <c r="AM566" s="92">
        <v>20</v>
      </c>
      <c r="AN566" s="93"/>
      <c r="AO566" s="92"/>
      <c r="AP566" s="86"/>
      <c r="AQ566" t="s">
        <v>1591</v>
      </c>
      <c r="AS566">
        <v>1</v>
      </c>
    </row>
    <row r="567" ht="14.25" customHeight="1" spans="1:45">
      <c r="A567">
        <v>250039</v>
      </c>
      <c r="B567" s="8">
        <v>1001</v>
      </c>
      <c r="C567" s="8">
        <v>1</v>
      </c>
      <c r="D567" s="8">
        <v>1001</v>
      </c>
      <c r="E567" t="s">
        <v>1595</v>
      </c>
      <c r="F567" s="13" t="s">
        <v>1592</v>
      </c>
      <c r="G567" t="s">
        <v>1596</v>
      </c>
      <c r="H567" t="s">
        <v>1531</v>
      </c>
      <c r="I567">
        <v>1</v>
      </c>
      <c r="J567" s="69">
        <v>5</v>
      </c>
      <c r="K567" s="87">
        <v>2</v>
      </c>
      <c r="L567" s="8">
        <v>999</v>
      </c>
      <c r="M567" s="8">
        <v>0</v>
      </c>
      <c r="N567" s="8">
        <v>1017</v>
      </c>
      <c r="O567" s="88">
        <v>60028</v>
      </c>
      <c r="S567" s="89">
        <v>1</v>
      </c>
      <c r="T567" s="8">
        <v>5</v>
      </c>
      <c r="U567" s="89">
        <v>200</v>
      </c>
      <c r="V567" s="87">
        <v>1</v>
      </c>
      <c r="W567">
        <v>1</v>
      </c>
      <c r="X567" s="8">
        <v>1</v>
      </c>
      <c r="Y567">
        <v>0</v>
      </c>
      <c r="Z567" s="33">
        <v>0</v>
      </c>
      <c r="AA567">
        <v>5</v>
      </c>
      <c r="AB567" s="34">
        <v>7600</v>
      </c>
      <c r="AC567" s="87">
        <v>110</v>
      </c>
      <c r="AD567" s="62">
        <v>0</v>
      </c>
      <c r="AE567" s="90">
        <v>4</v>
      </c>
      <c r="AF567" s="90">
        <v>2</v>
      </c>
      <c r="AG567" s="91"/>
      <c r="AH567" s="91">
        <v>1</v>
      </c>
      <c r="AI567" s="91"/>
      <c r="AJ567" s="91"/>
      <c r="AK567" s="91"/>
      <c r="AL567" s="92">
        <v>1</v>
      </c>
      <c r="AM567" s="92">
        <v>40</v>
      </c>
      <c r="AN567" s="93"/>
      <c r="AO567" s="92"/>
      <c r="AP567" s="86"/>
      <c r="AQ567" t="s">
        <v>1595</v>
      </c>
      <c r="AS567">
        <v>1</v>
      </c>
    </row>
    <row r="568" ht="14.25" customHeight="1" spans="1:45">
      <c r="A568">
        <v>250040</v>
      </c>
      <c r="B568" s="8">
        <v>1001</v>
      </c>
      <c r="C568" s="8">
        <v>1</v>
      </c>
      <c r="D568" s="8">
        <v>1001</v>
      </c>
      <c r="E568" t="s">
        <v>1597</v>
      </c>
      <c r="F568" s="13" t="s">
        <v>1592</v>
      </c>
      <c r="G568" t="s">
        <v>1598</v>
      </c>
      <c r="H568" t="s">
        <v>1531</v>
      </c>
      <c r="I568">
        <v>1</v>
      </c>
      <c r="J568" s="69">
        <v>5</v>
      </c>
      <c r="K568" s="87">
        <v>2</v>
      </c>
      <c r="L568" s="8">
        <v>999</v>
      </c>
      <c r="M568" s="8">
        <v>0</v>
      </c>
      <c r="N568" s="8">
        <v>1017</v>
      </c>
      <c r="O568" s="257">
        <v>60032</v>
      </c>
      <c r="S568" s="89">
        <v>1</v>
      </c>
      <c r="T568" s="8">
        <v>5</v>
      </c>
      <c r="U568" s="89">
        <v>200</v>
      </c>
      <c r="V568" s="87">
        <v>1</v>
      </c>
      <c r="W568">
        <v>1</v>
      </c>
      <c r="X568" s="8">
        <v>1</v>
      </c>
      <c r="Y568">
        <v>0</v>
      </c>
      <c r="Z568" s="33">
        <v>0</v>
      </c>
      <c r="AA568">
        <v>5</v>
      </c>
      <c r="AB568" s="34">
        <v>7600</v>
      </c>
      <c r="AC568" s="87">
        <v>110</v>
      </c>
      <c r="AD568" s="62">
        <v>0</v>
      </c>
      <c r="AE568" s="90">
        <v>4</v>
      </c>
      <c r="AF568" s="90">
        <v>2</v>
      </c>
      <c r="AG568" s="91"/>
      <c r="AH568" s="91">
        <v>1</v>
      </c>
      <c r="AI568" s="91"/>
      <c r="AJ568" s="91"/>
      <c r="AK568" s="91"/>
      <c r="AL568" s="92">
        <v>1</v>
      </c>
      <c r="AM568" s="92">
        <v>60</v>
      </c>
      <c r="AN568" s="93"/>
      <c r="AO568" s="92"/>
      <c r="AP568" s="86"/>
      <c r="AQ568" t="s">
        <v>1597</v>
      </c>
      <c r="AS568">
        <v>1</v>
      </c>
    </row>
    <row r="569" ht="14.25" customHeight="1" spans="1:45">
      <c r="A569">
        <v>250041</v>
      </c>
      <c r="B569" s="8">
        <v>1001</v>
      </c>
      <c r="C569" s="8">
        <v>1</v>
      </c>
      <c r="D569" s="8">
        <v>1001</v>
      </c>
      <c r="E569" t="s">
        <v>1599</v>
      </c>
      <c r="F569" s="13" t="s">
        <v>1518</v>
      </c>
      <c r="G569" t="s">
        <v>1600</v>
      </c>
      <c r="H569" s="117" t="s">
        <v>1594</v>
      </c>
      <c r="I569">
        <v>1</v>
      </c>
      <c r="J569" s="69">
        <v>4</v>
      </c>
      <c r="K569" s="87">
        <v>2</v>
      </c>
      <c r="L569" s="8">
        <v>999</v>
      </c>
      <c r="M569" s="8">
        <v>0</v>
      </c>
      <c r="N569" s="8">
        <v>1017</v>
      </c>
      <c r="O569" s="249">
        <v>30101</v>
      </c>
      <c r="S569" s="89">
        <v>1</v>
      </c>
      <c r="T569" s="8">
        <v>5</v>
      </c>
      <c r="U569" s="89">
        <v>200</v>
      </c>
      <c r="V569" s="87">
        <v>1</v>
      </c>
      <c r="W569">
        <v>1</v>
      </c>
      <c r="X569" s="8">
        <v>1</v>
      </c>
      <c r="Y569">
        <v>0</v>
      </c>
      <c r="Z569" s="33">
        <v>0</v>
      </c>
      <c r="AA569">
        <v>5</v>
      </c>
      <c r="AB569" s="34">
        <v>7600</v>
      </c>
      <c r="AC569" s="87">
        <v>110</v>
      </c>
      <c r="AD569" s="62">
        <v>0</v>
      </c>
      <c r="AE569" s="90">
        <v>4</v>
      </c>
      <c r="AF569" s="90">
        <v>2</v>
      </c>
      <c r="AG569" s="91"/>
      <c r="AH569" s="91">
        <v>1</v>
      </c>
      <c r="AI569" s="91"/>
      <c r="AJ569" s="91"/>
      <c r="AK569" s="91"/>
      <c r="AL569" s="92">
        <v>1</v>
      </c>
      <c r="AM569" s="92">
        <v>20</v>
      </c>
      <c r="AN569" s="93"/>
      <c r="AO569" s="92"/>
      <c r="AP569" s="86"/>
      <c r="AQ569" t="s">
        <v>1599</v>
      </c>
      <c r="AS569">
        <v>1</v>
      </c>
    </row>
    <row r="570" ht="14.25" customHeight="1" spans="1:45">
      <c r="A570">
        <v>250042</v>
      </c>
      <c r="B570" s="8">
        <v>1001</v>
      </c>
      <c r="C570" s="8">
        <v>1</v>
      </c>
      <c r="D570" s="8">
        <v>1001</v>
      </c>
      <c r="E570" t="s">
        <v>1601</v>
      </c>
      <c r="F570" s="13" t="s">
        <v>1518</v>
      </c>
      <c r="G570" t="s">
        <v>1602</v>
      </c>
      <c r="H570" t="s">
        <v>1531</v>
      </c>
      <c r="I570">
        <v>1</v>
      </c>
      <c r="J570" s="69">
        <v>5</v>
      </c>
      <c r="K570" s="87">
        <v>2</v>
      </c>
      <c r="L570" s="8">
        <v>999</v>
      </c>
      <c r="M570" s="8">
        <v>0</v>
      </c>
      <c r="N570" s="8">
        <v>1017</v>
      </c>
      <c r="O570" s="249">
        <v>30102</v>
      </c>
      <c r="S570" s="89">
        <v>1</v>
      </c>
      <c r="T570" s="8">
        <v>5</v>
      </c>
      <c r="U570" s="89">
        <v>200</v>
      </c>
      <c r="V570" s="87">
        <v>1</v>
      </c>
      <c r="W570">
        <v>1</v>
      </c>
      <c r="X570" s="8">
        <v>1</v>
      </c>
      <c r="Y570">
        <v>0</v>
      </c>
      <c r="Z570" s="33">
        <v>0</v>
      </c>
      <c r="AA570">
        <v>5</v>
      </c>
      <c r="AB570" s="34">
        <v>7600</v>
      </c>
      <c r="AC570" s="87">
        <v>110</v>
      </c>
      <c r="AD570" s="62">
        <v>0</v>
      </c>
      <c r="AE570" s="90">
        <v>4</v>
      </c>
      <c r="AF570" s="90">
        <v>2</v>
      </c>
      <c r="AG570" s="91"/>
      <c r="AH570" s="91">
        <v>1</v>
      </c>
      <c r="AI570" s="91"/>
      <c r="AJ570" s="91"/>
      <c r="AK570" s="91"/>
      <c r="AL570" s="92">
        <v>1</v>
      </c>
      <c r="AM570" s="92">
        <v>40</v>
      </c>
      <c r="AN570" s="93"/>
      <c r="AO570" s="92"/>
      <c r="AP570" s="86"/>
      <c r="AQ570" t="s">
        <v>1601</v>
      </c>
      <c r="AS570">
        <v>1</v>
      </c>
    </row>
    <row r="571" ht="14.25" customHeight="1" spans="1:45">
      <c r="A571">
        <v>250044</v>
      </c>
      <c r="B571" s="8">
        <v>1001</v>
      </c>
      <c r="C571" s="8">
        <v>1</v>
      </c>
      <c r="D571" s="8">
        <v>1001</v>
      </c>
      <c r="E571" t="s">
        <v>1603</v>
      </c>
      <c r="F571" s="13" t="s">
        <v>1518</v>
      </c>
      <c r="G571" t="s">
        <v>1604</v>
      </c>
      <c r="H571" t="s">
        <v>1531</v>
      </c>
      <c r="I571">
        <v>1</v>
      </c>
      <c r="J571" s="69">
        <v>5</v>
      </c>
      <c r="K571" s="87">
        <v>2</v>
      </c>
      <c r="L571" s="8">
        <v>999</v>
      </c>
      <c r="M571" s="8">
        <v>0</v>
      </c>
      <c r="N571" s="8">
        <v>1017</v>
      </c>
      <c r="O571" s="249">
        <v>30103</v>
      </c>
      <c r="S571" s="89">
        <v>1</v>
      </c>
      <c r="T571" s="8">
        <v>5</v>
      </c>
      <c r="U571" s="89">
        <v>200</v>
      </c>
      <c r="V571" s="87">
        <v>1</v>
      </c>
      <c r="W571">
        <v>1</v>
      </c>
      <c r="X571" s="8">
        <v>1</v>
      </c>
      <c r="Y571">
        <v>0</v>
      </c>
      <c r="Z571" s="33">
        <v>0</v>
      </c>
      <c r="AA571">
        <v>5</v>
      </c>
      <c r="AB571" s="34">
        <v>7600</v>
      </c>
      <c r="AC571" s="87">
        <v>110</v>
      </c>
      <c r="AD571" s="62">
        <v>0</v>
      </c>
      <c r="AE571" s="90">
        <v>4</v>
      </c>
      <c r="AF571" s="90">
        <v>2</v>
      </c>
      <c r="AG571" s="91"/>
      <c r="AH571" s="91">
        <v>1</v>
      </c>
      <c r="AI571" s="91"/>
      <c r="AJ571" s="91"/>
      <c r="AK571" s="91"/>
      <c r="AL571" s="92">
        <v>1</v>
      </c>
      <c r="AM571" s="92">
        <v>60</v>
      </c>
      <c r="AN571" s="93"/>
      <c r="AO571" s="92"/>
      <c r="AP571" s="86"/>
      <c r="AQ571" t="s">
        <v>1603</v>
      </c>
      <c r="AS571">
        <v>1</v>
      </c>
    </row>
    <row r="572" ht="14.25" customHeight="1" spans="1:45">
      <c r="A572">
        <v>250045</v>
      </c>
      <c r="B572" s="8">
        <v>1001</v>
      </c>
      <c r="C572" s="8">
        <v>6</v>
      </c>
      <c r="D572" s="8">
        <v>1001</v>
      </c>
      <c r="E572" t="s">
        <v>1605</v>
      </c>
      <c r="F572" s="13" t="s">
        <v>1606</v>
      </c>
      <c r="G572" t="s">
        <v>1607</v>
      </c>
      <c r="H572" t="s">
        <v>1579</v>
      </c>
      <c r="I572">
        <v>1</v>
      </c>
      <c r="J572" s="69">
        <v>2</v>
      </c>
      <c r="K572" s="87">
        <v>2</v>
      </c>
      <c r="L572" s="8">
        <v>999</v>
      </c>
      <c r="M572" s="8">
        <v>0</v>
      </c>
      <c r="N572" s="8">
        <v>1017</v>
      </c>
      <c r="O572" s="249">
        <v>10151</v>
      </c>
      <c r="S572" s="89">
        <v>1</v>
      </c>
      <c r="T572" s="8">
        <v>5</v>
      </c>
      <c r="U572" s="89">
        <v>200</v>
      </c>
      <c r="V572" s="87">
        <v>1</v>
      </c>
      <c r="W572">
        <v>1</v>
      </c>
      <c r="X572" s="8">
        <v>1</v>
      </c>
      <c r="Y572">
        <v>0</v>
      </c>
      <c r="Z572" s="33">
        <v>0</v>
      </c>
      <c r="AA572">
        <v>5</v>
      </c>
      <c r="AB572" s="34">
        <v>7600</v>
      </c>
      <c r="AC572" s="87">
        <v>110</v>
      </c>
      <c r="AD572" s="62">
        <v>0</v>
      </c>
      <c r="AE572" s="90">
        <v>4</v>
      </c>
      <c r="AF572" s="90">
        <v>2</v>
      </c>
      <c r="AG572" s="91"/>
      <c r="AH572" s="91">
        <v>1</v>
      </c>
      <c r="AI572" s="91"/>
      <c r="AJ572" s="91"/>
      <c r="AK572" s="91"/>
      <c r="AL572" s="92">
        <v>1</v>
      </c>
      <c r="AM572" s="92"/>
      <c r="AN572" s="93"/>
      <c r="AO572" s="92"/>
      <c r="AP572" s="86"/>
      <c r="AQ572" t="s">
        <v>1608</v>
      </c>
      <c r="AS572">
        <v>1</v>
      </c>
    </row>
    <row r="573" ht="14.25" customHeight="1" spans="1:45">
      <c r="A573">
        <v>250046</v>
      </c>
      <c r="B573" s="8">
        <v>1001</v>
      </c>
      <c r="C573" s="8">
        <v>6</v>
      </c>
      <c r="D573" s="8">
        <v>1001</v>
      </c>
      <c r="E573" t="s">
        <v>1608</v>
      </c>
      <c r="F573" s="13" t="s">
        <v>1606</v>
      </c>
      <c r="G573" t="s">
        <v>1607</v>
      </c>
      <c r="H573" t="s">
        <v>1579</v>
      </c>
      <c r="I573">
        <v>1</v>
      </c>
      <c r="J573" s="69">
        <v>2</v>
      </c>
      <c r="K573" s="87">
        <v>2</v>
      </c>
      <c r="L573" s="8">
        <v>999</v>
      </c>
      <c r="M573" s="8">
        <v>0</v>
      </c>
      <c r="N573" s="8">
        <v>1017</v>
      </c>
      <c r="O573" s="249">
        <v>10152</v>
      </c>
      <c r="S573" s="89">
        <v>1</v>
      </c>
      <c r="T573" s="8">
        <v>5</v>
      </c>
      <c r="U573" s="89">
        <v>200</v>
      </c>
      <c r="V573" s="87">
        <v>1</v>
      </c>
      <c r="W573">
        <v>1</v>
      </c>
      <c r="X573" s="8">
        <v>1</v>
      </c>
      <c r="Y573">
        <v>0</v>
      </c>
      <c r="Z573" s="33">
        <v>0</v>
      </c>
      <c r="AA573">
        <v>5</v>
      </c>
      <c r="AB573" s="34">
        <v>7600</v>
      </c>
      <c r="AC573" s="87">
        <v>109</v>
      </c>
      <c r="AD573" s="62">
        <v>0</v>
      </c>
      <c r="AE573" s="90">
        <v>4</v>
      </c>
      <c r="AF573" s="90">
        <v>2</v>
      </c>
      <c r="AG573" s="91"/>
      <c r="AH573" s="91">
        <v>1</v>
      </c>
      <c r="AI573" s="91"/>
      <c r="AJ573" s="91"/>
      <c r="AK573" s="91"/>
      <c r="AL573" s="92">
        <v>1</v>
      </c>
      <c r="AM573" s="92"/>
      <c r="AN573" s="93"/>
      <c r="AO573" s="92"/>
      <c r="AP573" s="86"/>
      <c r="AQ573" t="s">
        <v>1609</v>
      </c>
      <c r="AS573">
        <v>1</v>
      </c>
    </row>
    <row r="574" ht="14.25" customHeight="1" spans="1:45">
      <c r="A574">
        <v>250047</v>
      </c>
      <c r="B574" s="8">
        <v>1001</v>
      </c>
      <c r="C574" s="8">
        <v>1</v>
      </c>
      <c r="D574" s="8">
        <v>1001</v>
      </c>
      <c r="E574" t="s">
        <v>1610</v>
      </c>
      <c r="F574" s="13" t="s">
        <v>1611</v>
      </c>
      <c r="G574" t="s">
        <v>1612</v>
      </c>
      <c r="H574" t="s">
        <v>1613</v>
      </c>
      <c r="I574">
        <v>1</v>
      </c>
      <c r="J574" s="69">
        <v>4</v>
      </c>
      <c r="K574" s="87">
        <v>2</v>
      </c>
      <c r="L574" s="8">
        <v>999</v>
      </c>
      <c r="M574" s="8">
        <v>0</v>
      </c>
      <c r="N574" s="8">
        <v>1017</v>
      </c>
      <c r="O574" s="249">
        <v>10126</v>
      </c>
      <c r="S574" s="89">
        <v>1</v>
      </c>
      <c r="T574" s="8">
        <v>5</v>
      </c>
      <c r="U574" s="89">
        <v>200</v>
      </c>
      <c r="V574" s="87">
        <v>1</v>
      </c>
      <c r="W574">
        <v>1</v>
      </c>
      <c r="X574" s="8">
        <v>1</v>
      </c>
      <c r="Y574">
        <v>0</v>
      </c>
      <c r="Z574" s="33">
        <v>0</v>
      </c>
      <c r="AA574">
        <v>5</v>
      </c>
      <c r="AB574" s="34">
        <v>7600</v>
      </c>
      <c r="AC574" s="87">
        <v>109</v>
      </c>
      <c r="AD574" s="62">
        <v>0</v>
      </c>
      <c r="AE574" s="90">
        <v>4</v>
      </c>
      <c r="AF574" s="90">
        <v>2</v>
      </c>
      <c r="AG574" s="91"/>
      <c r="AH574" s="91">
        <v>1</v>
      </c>
      <c r="AI574" s="91"/>
      <c r="AJ574" s="91"/>
      <c r="AK574" s="91"/>
      <c r="AL574" s="92">
        <v>1</v>
      </c>
      <c r="AM574" s="92">
        <v>20</v>
      </c>
      <c r="AN574" s="93"/>
      <c r="AO574" s="92"/>
      <c r="AP574" s="86"/>
      <c r="AQ574" t="s">
        <v>1610</v>
      </c>
      <c r="AS574">
        <v>1</v>
      </c>
    </row>
    <row r="575" ht="14.25" customHeight="1" spans="1:45">
      <c r="A575">
        <v>250048</v>
      </c>
      <c r="B575" s="8">
        <v>1001</v>
      </c>
      <c r="C575" s="8">
        <v>1</v>
      </c>
      <c r="D575" s="8">
        <v>1001</v>
      </c>
      <c r="E575" t="s">
        <v>1614</v>
      </c>
      <c r="F575" s="13" t="s">
        <v>1615</v>
      </c>
      <c r="G575" t="s">
        <v>1616</v>
      </c>
      <c r="H575" t="s">
        <v>1617</v>
      </c>
      <c r="I575">
        <v>1</v>
      </c>
      <c r="J575" s="69">
        <v>4</v>
      </c>
      <c r="K575" s="87">
        <v>2</v>
      </c>
      <c r="L575" s="8">
        <v>999</v>
      </c>
      <c r="M575" s="8">
        <v>0</v>
      </c>
      <c r="N575" s="8">
        <v>1017</v>
      </c>
      <c r="O575" s="249">
        <v>10127</v>
      </c>
      <c r="S575" s="89">
        <v>1</v>
      </c>
      <c r="T575" s="8">
        <v>5</v>
      </c>
      <c r="U575" s="89">
        <v>200</v>
      </c>
      <c r="V575" s="87">
        <v>1</v>
      </c>
      <c r="W575">
        <v>1</v>
      </c>
      <c r="X575" s="8">
        <v>1</v>
      </c>
      <c r="Y575">
        <v>0</v>
      </c>
      <c r="Z575" s="33">
        <v>0</v>
      </c>
      <c r="AA575">
        <v>5</v>
      </c>
      <c r="AB575" s="34">
        <v>7600</v>
      </c>
      <c r="AC575" s="87">
        <v>109</v>
      </c>
      <c r="AD575" s="62">
        <v>0</v>
      </c>
      <c r="AE575" s="90">
        <v>4</v>
      </c>
      <c r="AF575" s="90">
        <v>2</v>
      </c>
      <c r="AG575" s="91"/>
      <c r="AH575" s="91">
        <v>1</v>
      </c>
      <c r="AI575" s="91"/>
      <c r="AJ575" s="91"/>
      <c r="AK575" s="91"/>
      <c r="AL575" s="92">
        <v>1</v>
      </c>
      <c r="AM575" s="92">
        <v>20</v>
      </c>
      <c r="AN575" s="93"/>
      <c r="AO575" s="92"/>
      <c r="AP575" s="86"/>
      <c r="AQ575" t="s">
        <v>1614</v>
      </c>
      <c r="AS575">
        <v>1</v>
      </c>
    </row>
    <row r="576" ht="14.25" customHeight="1" spans="1:45">
      <c r="A576">
        <v>250049</v>
      </c>
      <c r="B576" s="8">
        <v>1001</v>
      </c>
      <c r="C576" s="8">
        <v>1</v>
      </c>
      <c r="D576" s="8">
        <v>1001</v>
      </c>
      <c r="E576" t="s">
        <v>1618</v>
      </c>
      <c r="F576" s="13" t="s">
        <v>1619</v>
      </c>
      <c r="G576" t="s">
        <v>1620</v>
      </c>
      <c r="H576" t="s">
        <v>1621</v>
      </c>
      <c r="I576">
        <v>1</v>
      </c>
      <c r="J576" s="69">
        <v>4</v>
      </c>
      <c r="K576" s="87">
        <v>2</v>
      </c>
      <c r="L576" s="8">
        <v>999</v>
      </c>
      <c r="M576" s="8">
        <v>0</v>
      </c>
      <c r="N576" s="8">
        <v>1017</v>
      </c>
      <c r="O576" s="249">
        <v>10128</v>
      </c>
      <c r="S576" s="89">
        <v>1</v>
      </c>
      <c r="T576" s="8">
        <v>5</v>
      </c>
      <c r="U576" s="89">
        <v>200</v>
      </c>
      <c r="V576" s="87">
        <v>1</v>
      </c>
      <c r="W576">
        <v>1</v>
      </c>
      <c r="X576" s="8">
        <v>1</v>
      </c>
      <c r="Y576">
        <v>0</v>
      </c>
      <c r="Z576" s="33">
        <v>0</v>
      </c>
      <c r="AA576">
        <v>5</v>
      </c>
      <c r="AB576" s="34">
        <v>7600</v>
      </c>
      <c r="AC576" s="87">
        <v>109</v>
      </c>
      <c r="AD576" s="62">
        <v>0</v>
      </c>
      <c r="AE576" s="90">
        <v>4</v>
      </c>
      <c r="AF576" s="90">
        <v>2</v>
      </c>
      <c r="AG576" s="91"/>
      <c r="AH576" s="91">
        <v>1</v>
      </c>
      <c r="AI576" s="91"/>
      <c r="AJ576" s="91"/>
      <c r="AK576" s="91"/>
      <c r="AL576" s="92">
        <v>1</v>
      </c>
      <c r="AM576" s="92">
        <v>20</v>
      </c>
      <c r="AN576" s="93"/>
      <c r="AO576" s="92"/>
      <c r="AP576" s="86"/>
      <c r="AQ576" t="s">
        <v>1618</v>
      </c>
      <c r="AS576">
        <v>1</v>
      </c>
    </row>
    <row r="577" ht="14.25" customHeight="1" spans="1:45">
      <c r="A577">
        <v>250050</v>
      </c>
      <c r="B577" s="8">
        <v>1001</v>
      </c>
      <c r="C577" s="8">
        <v>1</v>
      </c>
      <c r="D577" s="8">
        <v>1001</v>
      </c>
      <c r="E577" t="s">
        <v>1622</v>
      </c>
      <c r="F577" s="13" t="s">
        <v>1623</v>
      </c>
      <c r="G577" t="s">
        <v>1624</v>
      </c>
      <c r="H577" t="s">
        <v>1625</v>
      </c>
      <c r="I577">
        <v>1</v>
      </c>
      <c r="J577" s="69">
        <v>4</v>
      </c>
      <c r="K577" s="87">
        <v>2</v>
      </c>
      <c r="L577" s="8">
        <v>999</v>
      </c>
      <c r="M577" s="8">
        <v>0</v>
      </c>
      <c r="N577" s="8">
        <v>1017</v>
      </c>
      <c r="O577" s="249">
        <v>10129</v>
      </c>
      <c r="S577" s="89">
        <v>1</v>
      </c>
      <c r="T577" s="8">
        <v>5</v>
      </c>
      <c r="U577" s="89">
        <v>200</v>
      </c>
      <c r="V577" s="87">
        <v>1</v>
      </c>
      <c r="W577">
        <v>1</v>
      </c>
      <c r="X577" s="8">
        <v>1</v>
      </c>
      <c r="Y577">
        <v>0</v>
      </c>
      <c r="Z577" s="33">
        <v>0</v>
      </c>
      <c r="AA577">
        <v>5</v>
      </c>
      <c r="AB577" s="34">
        <v>7600</v>
      </c>
      <c r="AC577" s="87">
        <v>109</v>
      </c>
      <c r="AD577" s="62">
        <v>0</v>
      </c>
      <c r="AE577" s="90">
        <v>4</v>
      </c>
      <c r="AF577" s="90">
        <v>2</v>
      </c>
      <c r="AG577" s="91"/>
      <c r="AH577" s="91">
        <v>1</v>
      </c>
      <c r="AI577" s="91"/>
      <c r="AJ577" s="91"/>
      <c r="AK577" s="91"/>
      <c r="AL577" s="92">
        <v>1</v>
      </c>
      <c r="AM577" s="92">
        <v>20</v>
      </c>
      <c r="AN577" s="93"/>
      <c r="AO577" s="92"/>
      <c r="AP577" s="86"/>
      <c r="AQ577" t="s">
        <v>1622</v>
      </c>
      <c r="AS577">
        <v>1</v>
      </c>
    </row>
    <row r="578" ht="14.25" customHeight="1" spans="1:45">
      <c r="A578">
        <v>250051</v>
      </c>
      <c r="B578" s="8">
        <v>1001</v>
      </c>
      <c r="C578" s="8">
        <v>1</v>
      </c>
      <c r="D578" s="8">
        <v>1001</v>
      </c>
      <c r="E578" t="s">
        <v>1626</v>
      </c>
      <c r="F578" s="13" t="s">
        <v>1611</v>
      </c>
      <c r="G578" t="s">
        <v>1627</v>
      </c>
      <c r="H578" t="s">
        <v>1613</v>
      </c>
      <c r="I578">
        <v>1</v>
      </c>
      <c r="J578" s="69">
        <v>4</v>
      </c>
      <c r="K578" s="87">
        <v>2</v>
      </c>
      <c r="L578" s="8">
        <v>999</v>
      </c>
      <c r="M578" s="8">
        <v>0</v>
      </c>
      <c r="N578" s="8">
        <v>1017</v>
      </c>
      <c r="O578" s="249">
        <v>10130</v>
      </c>
      <c r="S578" s="89">
        <v>1</v>
      </c>
      <c r="T578" s="8">
        <v>5</v>
      </c>
      <c r="U578" s="89">
        <v>200</v>
      </c>
      <c r="V578" s="87">
        <v>1</v>
      </c>
      <c r="W578">
        <v>1</v>
      </c>
      <c r="X578" s="8">
        <v>1</v>
      </c>
      <c r="Y578">
        <v>0</v>
      </c>
      <c r="Z578" s="33">
        <v>0</v>
      </c>
      <c r="AA578">
        <v>5</v>
      </c>
      <c r="AB578" s="34">
        <v>7600</v>
      </c>
      <c r="AC578" s="87">
        <v>109</v>
      </c>
      <c r="AD578" s="62">
        <v>0</v>
      </c>
      <c r="AE578" s="90">
        <v>4</v>
      </c>
      <c r="AF578" s="90">
        <v>2</v>
      </c>
      <c r="AG578" s="91"/>
      <c r="AH578" s="91">
        <v>1</v>
      </c>
      <c r="AI578" s="91"/>
      <c r="AJ578" s="91"/>
      <c r="AK578" s="91"/>
      <c r="AL578" s="92">
        <v>1</v>
      </c>
      <c r="AM578" s="92">
        <v>40</v>
      </c>
      <c r="AN578" s="93"/>
      <c r="AO578" s="92"/>
      <c r="AP578" s="86"/>
      <c r="AQ578" t="s">
        <v>1626</v>
      </c>
      <c r="AS578">
        <v>1</v>
      </c>
    </row>
    <row r="579" ht="14.25" customHeight="1" spans="1:45">
      <c r="A579">
        <v>250052</v>
      </c>
      <c r="B579" s="8">
        <v>1001</v>
      </c>
      <c r="C579" s="8">
        <v>1</v>
      </c>
      <c r="D579" s="8">
        <v>1001</v>
      </c>
      <c r="E579" t="s">
        <v>1628</v>
      </c>
      <c r="F579" s="13" t="s">
        <v>1615</v>
      </c>
      <c r="G579" t="s">
        <v>1629</v>
      </c>
      <c r="H579" t="s">
        <v>1617</v>
      </c>
      <c r="I579">
        <v>1</v>
      </c>
      <c r="J579" s="69">
        <v>4</v>
      </c>
      <c r="K579" s="87">
        <v>2</v>
      </c>
      <c r="L579" s="8">
        <v>999</v>
      </c>
      <c r="M579" s="8">
        <v>0</v>
      </c>
      <c r="N579" s="8">
        <v>1017</v>
      </c>
      <c r="O579" s="249">
        <v>10131</v>
      </c>
      <c r="S579" s="89">
        <v>1</v>
      </c>
      <c r="T579" s="8">
        <v>5</v>
      </c>
      <c r="U579" s="89">
        <v>200</v>
      </c>
      <c r="V579" s="87">
        <v>1</v>
      </c>
      <c r="W579">
        <v>1</v>
      </c>
      <c r="X579" s="8">
        <v>1</v>
      </c>
      <c r="Y579">
        <v>0</v>
      </c>
      <c r="Z579" s="33">
        <v>0</v>
      </c>
      <c r="AA579">
        <v>5</v>
      </c>
      <c r="AB579" s="34">
        <v>7600</v>
      </c>
      <c r="AC579" s="87">
        <v>109</v>
      </c>
      <c r="AD579" s="62">
        <v>0</v>
      </c>
      <c r="AE579" s="90">
        <v>4</v>
      </c>
      <c r="AF579" s="90">
        <v>2</v>
      </c>
      <c r="AG579" s="91"/>
      <c r="AH579" s="91">
        <v>1</v>
      </c>
      <c r="AI579" s="91"/>
      <c r="AJ579" s="91"/>
      <c r="AK579" s="91"/>
      <c r="AL579" s="92">
        <v>1</v>
      </c>
      <c r="AM579" s="92">
        <v>40</v>
      </c>
      <c r="AN579" s="93"/>
      <c r="AO579" s="92"/>
      <c r="AP579" s="86"/>
      <c r="AQ579" t="s">
        <v>1628</v>
      </c>
      <c r="AS579">
        <v>1</v>
      </c>
    </row>
    <row r="580" ht="14.25" customHeight="1" spans="1:45">
      <c r="A580">
        <v>250053</v>
      </c>
      <c r="B580" s="8">
        <v>1001</v>
      </c>
      <c r="C580" s="8">
        <v>1</v>
      </c>
      <c r="D580" s="8">
        <v>1001</v>
      </c>
      <c r="E580" t="s">
        <v>1630</v>
      </c>
      <c r="F580" s="13" t="s">
        <v>1619</v>
      </c>
      <c r="G580" t="s">
        <v>1631</v>
      </c>
      <c r="H580" t="s">
        <v>1621</v>
      </c>
      <c r="I580">
        <v>1</v>
      </c>
      <c r="J580" s="69">
        <v>4</v>
      </c>
      <c r="K580" s="87">
        <v>2</v>
      </c>
      <c r="L580" s="8">
        <v>999</v>
      </c>
      <c r="M580" s="8">
        <v>0</v>
      </c>
      <c r="N580" s="8">
        <v>1017</v>
      </c>
      <c r="O580" s="249">
        <v>10132</v>
      </c>
      <c r="S580" s="89">
        <v>1</v>
      </c>
      <c r="T580" s="8">
        <v>5</v>
      </c>
      <c r="U580" s="89">
        <v>200</v>
      </c>
      <c r="V580" s="87">
        <v>1</v>
      </c>
      <c r="W580">
        <v>1</v>
      </c>
      <c r="X580" s="8">
        <v>1</v>
      </c>
      <c r="Y580">
        <v>0</v>
      </c>
      <c r="Z580" s="33">
        <v>0</v>
      </c>
      <c r="AA580">
        <v>5</v>
      </c>
      <c r="AB580" s="34">
        <v>7600</v>
      </c>
      <c r="AC580" s="87">
        <v>109</v>
      </c>
      <c r="AD580" s="62">
        <v>0</v>
      </c>
      <c r="AE580" s="90">
        <v>4</v>
      </c>
      <c r="AF580" s="90">
        <v>2</v>
      </c>
      <c r="AG580" s="91"/>
      <c r="AH580" s="91">
        <v>1</v>
      </c>
      <c r="AI580" s="91"/>
      <c r="AJ580" s="91"/>
      <c r="AK580" s="91"/>
      <c r="AL580" s="92">
        <v>1</v>
      </c>
      <c r="AM580" s="92">
        <v>40</v>
      </c>
      <c r="AN580" s="93"/>
      <c r="AO580" s="92"/>
      <c r="AP580" s="86"/>
      <c r="AQ580" t="s">
        <v>1630</v>
      </c>
      <c r="AS580">
        <v>1</v>
      </c>
    </row>
    <row r="581" ht="14.25" customHeight="1" spans="1:45">
      <c r="A581">
        <v>250054</v>
      </c>
      <c r="B581" s="8">
        <v>1001</v>
      </c>
      <c r="C581" s="8">
        <v>1</v>
      </c>
      <c r="D581" s="8">
        <v>1001</v>
      </c>
      <c r="E581" t="s">
        <v>1632</v>
      </c>
      <c r="F581" s="13" t="s">
        <v>1623</v>
      </c>
      <c r="G581" t="s">
        <v>1633</v>
      </c>
      <c r="H581" t="s">
        <v>1625</v>
      </c>
      <c r="I581">
        <v>1</v>
      </c>
      <c r="J581" s="69">
        <v>4</v>
      </c>
      <c r="K581" s="87">
        <v>2</v>
      </c>
      <c r="L581" s="8">
        <v>999</v>
      </c>
      <c r="M581" s="8">
        <v>0</v>
      </c>
      <c r="N581" s="8">
        <v>1017</v>
      </c>
      <c r="O581" s="249">
        <v>10133</v>
      </c>
      <c r="S581" s="89">
        <v>1</v>
      </c>
      <c r="T581" s="8">
        <v>5</v>
      </c>
      <c r="U581" s="89">
        <v>200</v>
      </c>
      <c r="V581" s="87">
        <v>1</v>
      </c>
      <c r="W581">
        <v>1</v>
      </c>
      <c r="X581" s="8">
        <v>1</v>
      </c>
      <c r="Y581">
        <v>0</v>
      </c>
      <c r="Z581" s="33">
        <v>0</v>
      </c>
      <c r="AA581">
        <v>5</v>
      </c>
      <c r="AB581" s="34">
        <v>7600</v>
      </c>
      <c r="AC581" s="87">
        <v>109</v>
      </c>
      <c r="AD581" s="62">
        <v>0</v>
      </c>
      <c r="AE581" s="90">
        <v>4</v>
      </c>
      <c r="AF581" s="90">
        <v>2</v>
      </c>
      <c r="AG581" s="91"/>
      <c r="AH581" s="91">
        <v>1</v>
      </c>
      <c r="AI581" s="91"/>
      <c r="AJ581" s="91"/>
      <c r="AK581" s="91"/>
      <c r="AL581" s="92">
        <v>1</v>
      </c>
      <c r="AM581" s="92">
        <v>40</v>
      </c>
      <c r="AN581" s="93"/>
      <c r="AO581" s="92"/>
      <c r="AP581" s="86"/>
      <c r="AQ581" t="s">
        <v>1632</v>
      </c>
      <c r="AS581">
        <v>1</v>
      </c>
    </row>
    <row r="582" ht="14.25" customHeight="1" spans="1:45">
      <c r="A582">
        <v>250055</v>
      </c>
      <c r="B582" s="8">
        <v>1001</v>
      </c>
      <c r="C582" s="8">
        <v>1</v>
      </c>
      <c r="D582" s="8">
        <v>1001</v>
      </c>
      <c r="E582" t="s">
        <v>1634</v>
      </c>
      <c r="F582" s="13" t="s">
        <v>1592</v>
      </c>
      <c r="G582" t="s">
        <v>1635</v>
      </c>
      <c r="H582" t="s">
        <v>1431</v>
      </c>
      <c r="I582">
        <v>1</v>
      </c>
      <c r="J582" s="69">
        <v>5</v>
      </c>
      <c r="K582" s="87">
        <v>2</v>
      </c>
      <c r="L582" s="8">
        <v>999</v>
      </c>
      <c r="M582" s="8">
        <v>0</v>
      </c>
      <c r="N582" s="8">
        <v>1</v>
      </c>
      <c r="O582" s="249" t="s">
        <v>1636</v>
      </c>
      <c r="S582" s="89">
        <v>1</v>
      </c>
      <c r="T582" s="8">
        <v>5</v>
      </c>
      <c r="U582" s="89">
        <v>200</v>
      </c>
      <c r="V582" s="87">
        <v>1</v>
      </c>
      <c r="W582">
        <v>1</v>
      </c>
      <c r="X582" s="8">
        <v>1</v>
      </c>
      <c r="Y582">
        <v>0</v>
      </c>
      <c r="Z582" s="33">
        <v>0</v>
      </c>
      <c r="AA582">
        <v>5</v>
      </c>
      <c r="AB582" s="34">
        <v>7600</v>
      </c>
      <c r="AC582" s="87">
        <v>109</v>
      </c>
      <c r="AD582" s="62">
        <v>0</v>
      </c>
      <c r="AE582" s="90">
        <v>4</v>
      </c>
      <c r="AF582" s="90">
        <v>2</v>
      </c>
      <c r="AG582" s="91"/>
      <c r="AH582" s="91">
        <v>1</v>
      </c>
      <c r="AI582" s="91"/>
      <c r="AJ582" s="91"/>
      <c r="AK582" s="91"/>
      <c r="AL582" s="92">
        <v>1</v>
      </c>
      <c r="AM582" s="92">
        <v>30</v>
      </c>
      <c r="AN582" s="93"/>
      <c r="AO582" s="92"/>
      <c r="AP582" s="86"/>
      <c r="AQ582" t="s">
        <v>1634</v>
      </c>
      <c r="AS582">
        <v>1</v>
      </c>
    </row>
    <row r="583" ht="14.25" customHeight="1" spans="1:45">
      <c r="A583">
        <v>250056</v>
      </c>
      <c r="B583" s="8">
        <v>1001</v>
      </c>
      <c r="C583" s="8">
        <v>1</v>
      </c>
      <c r="D583" s="8">
        <v>1001</v>
      </c>
      <c r="E583" t="s">
        <v>1637</v>
      </c>
      <c r="F583" s="13" t="s">
        <v>1611</v>
      </c>
      <c r="G583" t="s">
        <v>1638</v>
      </c>
      <c r="H583" t="s">
        <v>1613</v>
      </c>
      <c r="I583">
        <v>1</v>
      </c>
      <c r="J583" s="69">
        <v>4</v>
      </c>
      <c r="K583" s="87">
        <v>2</v>
      </c>
      <c r="L583" s="8">
        <v>999</v>
      </c>
      <c r="M583" s="8">
        <v>0</v>
      </c>
      <c r="N583" s="8">
        <v>1017</v>
      </c>
      <c r="O583" s="249">
        <v>10134</v>
      </c>
      <c r="S583" s="89">
        <v>1</v>
      </c>
      <c r="T583" s="8">
        <v>5</v>
      </c>
      <c r="U583" s="89">
        <v>200</v>
      </c>
      <c r="V583" s="87">
        <v>1</v>
      </c>
      <c r="W583">
        <v>1</v>
      </c>
      <c r="X583" s="8">
        <v>1</v>
      </c>
      <c r="Y583">
        <v>0</v>
      </c>
      <c r="Z583" s="33">
        <v>0</v>
      </c>
      <c r="AA583">
        <v>5</v>
      </c>
      <c r="AB583" s="34">
        <v>7600</v>
      </c>
      <c r="AC583" s="87">
        <v>109</v>
      </c>
      <c r="AD583" s="62">
        <v>0</v>
      </c>
      <c r="AE583" s="90">
        <v>4</v>
      </c>
      <c r="AF583" s="90">
        <v>2</v>
      </c>
      <c r="AG583" s="91"/>
      <c r="AH583" s="91">
        <v>1</v>
      </c>
      <c r="AI583" s="91"/>
      <c r="AJ583" s="91"/>
      <c r="AK583" s="91"/>
      <c r="AL583" s="92">
        <v>1</v>
      </c>
      <c r="AM583" s="92">
        <v>60</v>
      </c>
      <c r="AN583" s="93"/>
      <c r="AO583" s="92"/>
      <c r="AP583" s="86"/>
      <c r="AQ583" t="s">
        <v>1637</v>
      </c>
      <c r="AS583">
        <v>1</v>
      </c>
    </row>
    <row r="584" ht="14.25" customHeight="1" spans="1:45">
      <c r="A584">
        <v>250057</v>
      </c>
      <c r="B584" s="8">
        <v>1001</v>
      </c>
      <c r="C584" s="8">
        <v>1</v>
      </c>
      <c r="D584" s="8">
        <v>1001</v>
      </c>
      <c r="E584" t="s">
        <v>1639</v>
      </c>
      <c r="F584" s="13" t="s">
        <v>1615</v>
      </c>
      <c r="G584" t="s">
        <v>1640</v>
      </c>
      <c r="H584" t="s">
        <v>1617</v>
      </c>
      <c r="I584">
        <v>1</v>
      </c>
      <c r="J584" s="69">
        <v>4</v>
      </c>
      <c r="K584" s="87">
        <v>2</v>
      </c>
      <c r="L584" s="8">
        <v>999</v>
      </c>
      <c r="M584" s="8">
        <v>0</v>
      </c>
      <c r="N584" s="8">
        <v>1017</v>
      </c>
      <c r="O584" s="249">
        <v>10138</v>
      </c>
      <c r="S584" s="89">
        <v>1</v>
      </c>
      <c r="T584" s="8">
        <v>5</v>
      </c>
      <c r="U584" s="89">
        <v>200</v>
      </c>
      <c r="V584" s="87">
        <v>1</v>
      </c>
      <c r="W584">
        <v>1</v>
      </c>
      <c r="X584" s="8">
        <v>1</v>
      </c>
      <c r="Y584">
        <v>0</v>
      </c>
      <c r="Z584" s="33">
        <v>0</v>
      </c>
      <c r="AA584">
        <v>5</v>
      </c>
      <c r="AB584" s="34">
        <v>7600</v>
      </c>
      <c r="AC584" s="87">
        <v>109</v>
      </c>
      <c r="AD584" s="62">
        <v>0</v>
      </c>
      <c r="AE584" s="90">
        <v>4</v>
      </c>
      <c r="AF584" s="90">
        <v>2</v>
      </c>
      <c r="AG584" s="91"/>
      <c r="AH584" s="91">
        <v>1</v>
      </c>
      <c r="AI584" s="91"/>
      <c r="AJ584" s="91"/>
      <c r="AK584" s="91"/>
      <c r="AL584" s="92">
        <v>1</v>
      </c>
      <c r="AM584" s="92">
        <v>60</v>
      </c>
      <c r="AN584" s="93"/>
      <c r="AO584" s="92"/>
      <c r="AP584" s="86"/>
      <c r="AQ584" t="s">
        <v>1639</v>
      </c>
      <c r="AS584">
        <v>1</v>
      </c>
    </row>
    <row r="585" ht="14.25" customHeight="1" spans="1:45">
      <c r="A585">
        <v>250058</v>
      </c>
      <c r="B585" s="8">
        <v>1001</v>
      </c>
      <c r="C585" s="8">
        <v>1</v>
      </c>
      <c r="D585" s="8">
        <v>1001</v>
      </c>
      <c r="E585" t="s">
        <v>1641</v>
      </c>
      <c r="F585" s="13" t="s">
        <v>1619</v>
      </c>
      <c r="G585" t="s">
        <v>1642</v>
      </c>
      <c r="H585" t="s">
        <v>1621</v>
      </c>
      <c r="I585">
        <v>1</v>
      </c>
      <c r="J585" s="69">
        <v>4</v>
      </c>
      <c r="K585" s="87">
        <v>2</v>
      </c>
      <c r="L585" s="8">
        <v>999</v>
      </c>
      <c r="M585" s="8">
        <v>0</v>
      </c>
      <c r="N585" s="8">
        <v>1017</v>
      </c>
      <c r="O585" s="249">
        <v>10142</v>
      </c>
      <c r="S585" s="89">
        <v>1</v>
      </c>
      <c r="T585" s="8">
        <v>5</v>
      </c>
      <c r="U585" s="89">
        <v>200</v>
      </c>
      <c r="V585" s="87">
        <v>1</v>
      </c>
      <c r="W585">
        <v>1</v>
      </c>
      <c r="X585" s="8">
        <v>1</v>
      </c>
      <c r="Y585">
        <v>0</v>
      </c>
      <c r="Z585" s="33">
        <v>0</v>
      </c>
      <c r="AA585">
        <v>5</v>
      </c>
      <c r="AB585" s="34">
        <v>7600</v>
      </c>
      <c r="AC585" s="87">
        <v>109</v>
      </c>
      <c r="AD585" s="62">
        <v>0</v>
      </c>
      <c r="AE585" s="90">
        <v>4</v>
      </c>
      <c r="AF585" s="90">
        <v>2</v>
      </c>
      <c r="AG585" s="91"/>
      <c r="AH585" s="91">
        <v>1</v>
      </c>
      <c r="AI585" s="91"/>
      <c r="AJ585" s="91"/>
      <c r="AK585" s="91"/>
      <c r="AL585" s="92">
        <v>1</v>
      </c>
      <c r="AM585" s="92">
        <v>60</v>
      </c>
      <c r="AN585" s="93"/>
      <c r="AO585" s="92"/>
      <c r="AP585" s="86"/>
      <c r="AQ585" t="s">
        <v>1641</v>
      </c>
      <c r="AS585">
        <v>1</v>
      </c>
    </row>
    <row r="586" ht="14.25" customHeight="1" spans="1:45">
      <c r="A586">
        <v>250059</v>
      </c>
      <c r="B586" s="8">
        <v>1001</v>
      </c>
      <c r="C586" s="8">
        <v>1</v>
      </c>
      <c r="D586" s="8">
        <v>1001</v>
      </c>
      <c r="E586" t="s">
        <v>1643</v>
      </c>
      <c r="F586" s="13" t="s">
        <v>1623</v>
      </c>
      <c r="G586" t="s">
        <v>1644</v>
      </c>
      <c r="H586" t="s">
        <v>1625</v>
      </c>
      <c r="I586">
        <v>1</v>
      </c>
      <c r="J586" s="69">
        <v>4</v>
      </c>
      <c r="K586" s="87">
        <v>2</v>
      </c>
      <c r="L586" s="8">
        <v>999</v>
      </c>
      <c r="M586" s="8">
        <v>0</v>
      </c>
      <c r="N586" s="8">
        <v>1017</v>
      </c>
      <c r="O586" s="249">
        <v>10146</v>
      </c>
      <c r="S586" s="89">
        <v>1</v>
      </c>
      <c r="T586" s="8">
        <v>5</v>
      </c>
      <c r="U586" s="89">
        <v>200</v>
      </c>
      <c r="V586" s="87">
        <v>1</v>
      </c>
      <c r="W586">
        <v>1</v>
      </c>
      <c r="X586" s="8">
        <v>1</v>
      </c>
      <c r="Y586">
        <v>0</v>
      </c>
      <c r="Z586" s="33">
        <v>0</v>
      </c>
      <c r="AA586">
        <v>5</v>
      </c>
      <c r="AB586" s="34">
        <v>7600</v>
      </c>
      <c r="AC586" s="87">
        <v>109</v>
      </c>
      <c r="AD586" s="62">
        <v>0</v>
      </c>
      <c r="AE586" s="90">
        <v>4</v>
      </c>
      <c r="AF586" s="90">
        <v>2</v>
      </c>
      <c r="AG586" s="91"/>
      <c r="AH586" s="91">
        <v>1</v>
      </c>
      <c r="AI586" s="91"/>
      <c r="AJ586" s="91"/>
      <c r="AK586" s="91"/>
      <c r="AL586" s="92">
        <v>1</v>
      </c>
      <c r="AM586" s="92">
        <v>60</v>
      </c>
      <c r="AN586" s="93"/>
      <c r="AO586" s="92"/>
      <c r="AP586" s="86"/>
      <c r="AQ586" t="s">
        <v>1643</v>
      </c>
      <c r="AS586">
        <v>1</v>
      </c>
    </row>
    <row r="587" ht="14.25" customHeight="1" spans="1:45">
      <c r="A587">
        <v>250060</v>
      </c>
      <c r="B587" s="8">
        <v>1001</v>
      </c>
      <c r="C587" s="8">
        <v>6</v>
      </c>
      <c r="D587" s="8">
        <v>1001</v>
      </c>
      <c r="E587" t="s">
        <v>1645</v>
      </c>
      <c r="F587" s="13" t="s">
        <v>1606</v>
      </c>
      <c r="G587" t="s">
        <v>1607</v>
      </c>
      <c r="H587" t="s">
        <v>1579</v>
      </c>
      <c r="I587">
        <v>1</v>
      </c>
      <c r="J587" s="69">
        <v>2</v>
      </c>
      <c r="K587" s="87">
        <v>2</v>
      </c>
      <c r="L587" s="8">
        <v>999</v>
      </c>
      <c r="M587" s="8">
        <v>0</v>
      </c>
      <c r="N587" s="8">
        <v>1017</v>
      </c>
      <c r="O587" s="249">
        <v>10153</v>
      </c>
      <c r="S587" s="89">
        <v>1</v>
      </c>
      <c r="T587" s="8">
        <v>5</v>
      </c>
      <c r="U587" s="89">
        <v>200</v>
      </c>
      <c r="V587" s="87">
        <v>1</v>
      </c>
      <c r="W587">
        <v>1</v>
      </c>
      <c r="X587" s="8">
        <v>1</v>
      </c>
      <c r="Y587">
        <v>0</v>
      </c>
      <c r="Z587" s="33">
        <v>0</v>
      </c>
      <c r="AA587">
        <v>5</v>
      </c>
      <c r="AB587" s="34">
        <v>7600</v>
      </c>
      <c r="AC587" s="87">
        <v>110</v>
      </c>
      <c r="AD587" s="62">
        <v>0</v>
      </c>
      <c r="AE587" s="90">
        <v>4</v>
      </c>
      <c r="AF587" s="90">
        <v>2</v>
      </c>
      <c r="AG587" s="91"/>
      <c r="AH587" s="91">
        <v>1</v>
      </c>
      <c r="AI587" s="91"/>
      <c r="AJ587" s="91"/>
      <c r="AK587" s="91"/>
      <c r="AL587" s="92">
        <v>1</v>
      </c>
      <c r="AM587" s="92"/>
      <c r="AN587" s="93"/>
      <c r="AO587" s="92"/>
      <c r="AP587" s="86"/>
      <c r="AQ587" t="s">
        <v>1608</v>
      </c>
      <c r="AS587">
        <v>1</v>
      </c>
    </row>
    <row r="588" ht="14.25" customHeight="1" spans="1:45">
      <c r="A588">
        <v>250061</v>
      </c>
      <c r="B588" s="8">
        <v>1001</v>
      </c>
      <c r="C588" s="8">
        <v>6</v>
      </c>
      <c r="D588" s="8">
        <v>1001</v>
      </c>
      <c r="E588" t="s">
        <v>1646</v>
      </c>
      <c r="F588" s="13" t="s">
        <v>1606</v>
      </c>
      <c r="G588" t="s">
        <v>1607</v>
      </c>
      <c r="H588" t="s">
        <v>1579</v>
      </c>
      <c r="I588">
        <v>1</v>
      </c>
      <c r="J588" s="69">
        <v>2</v>
      </c>
      <c r="K588" s="87">
        <v>2</v>
      </c>
      <c r="L588" s="8">
        <v>999</v>
      </c>
      <c r="M588" s="8">
        <v>0</v>
      </c>
      <c r="N588" s="8">
        <v>1017</v>
      </c>
      <c r="O588" s="249">
        <v>10154</v>
      </c>
      <c r="S588" s="89">
        <v>1</v>
      </c>
      <c r="T588" s="8">
        <v>5</v>
      </c>
      <c r="U588" s="89">
        <v>200</v>
      </c>
      <c r="V588" s="87">
        <v>1</v>
      </c>
      <c r="W588">
        <v>1</v>
      </c>
      <c r="X588" s="8">
        <v>1</v>
      </c>
      <c r="Y588">
        <v>0</v>
      </c>
      <c r="Z588" s="33">
        <v>0</v>
      </c>
      <c r="AA588">
        <v>5</v>
      </c>
      <c r="AB588" s="34">
        <v>7600</v>
      </c>
      <c r="AC588" s="87">
        <v>110</v>
      </c>
      <c r="AD588" s="62">
        <v>0</v>
      </c>
      <c r="AE588" s="90">
        <v>4</v>
      </c>
      <c r="AF588" s="90">
        <v>2</v>
      </c>
      <c r="AG588" s="91"/>
      <c r="AH588" s="91">
        <v>1</v>
      </c>
      <c r="AI588" s="91"/>
      <c r="AJ588" s="91"/>
      <c r="AK588" s="91"/>
      <c r="AL588" s="92">
        <v>1</v>
      </c>
      <c r="AM588" s="92"/>
      <c r="AN588" s="93"/>
      <c r="AO588" s="92"/>
      <c r="AP588" s="86"/>
      <c r="AQ588" t="s">
        <v>1608</v>
      </c>
      <c r="AS588">
        <v>1</v>
      </c>
    </row>
    <row r="589" ht="14.25" customHeight="1" spans="1:45">
      <c r="A589">
        <v>250062</v>
      </c>
      <c r="B589" s="8">
        <v>1001</v>
      </c>
      <c r="C589" s="8">
        <v>6</v>
      </c>
      <c r="D589" s="8">
        <v>1001</v>
      </c>
      <c r="E589" t="s">
        <v>1647</v>
      </c>
      <c r="F589" s="13" t="s">
        <v>1606</v>
      </c>
      <c r="G589" t="s">
        <v>1607</v>
      </c>
      <c r="H589" t="s">
        <v>1579</v>
      </c>
      <c r="I589">
        <v>1</v>
      </c>
      <c r="J589" s="69">
        <v>2</v>
      </c>
      <c r="K589" s="87">
        <v>2</v>
      </c>
      <c r="L589" s="8">
        <v>999</v>
      </c>
      <c r="M589" s="8">
        <v>0</v>
      </c>
      <c r="N589" s="8">
        <v>1017</v>
      </c>
      <c r="O589" s="2">
        <v>10155</v>
      </c>
      <c r="S589" s="89">
        <v>1</v>
      </c>
      <c r="T589" s="8">
        <v>5</v>
      </c>
      <c r="U589" s="89">
        <v>200</v>
      </c>
      <c r="V589" s="87">
        <v>1</v>
      </c>
      <c r="W589">
        <v>1</v>
      </c>
      <c r="X589" s="8">
        <v>1</v>
      </c>
      <c r="Y589">
        <v>0</v>
      </c>
      <c r="Z589" s="33">
        <v>0</v>
      </c>
      <c r="AA589">
        <v>5</v>
      </c>
      <c r="AB589" s="34">
        <v>7600</v>
      </c>
      <c r="AC589" s="87">
        <v>110</v>
      </c>
      <c r="AD589" s="62">
        <v>0</v>
      </c>
      <c r="AE589" s="90">
        <v>4</v>
      </c>
      <c r="AF589" s="90">
        <v>2</v>
      </c>
      <c r="AG589" s="91"/>
      <c r="AH589" s="91">
        <v>1</v>
      </c>
      <c r="AI589" s="91"/>
      <c r="AJ589" s="91"/>
      <c r="AK589" s="91"/>
      <c r="AL589" s="92">
        <v>1</v>
      </c>
      <c r="AM589" s="92"/>
      <c r="AN589" s="93"/>
      <c r="AO589" s="92"/>
      <c r="AP589" s="86"/>
      <c r="AQ589" t="s">
        <v>1608</v>
      </c>
      <c r="AS589">
        <v>1</v>
      </c>
    </row>
    <row r="590" ht="14.25" customHeight="1" spans="1:45">
      <c r="A590">
        <v>250063</v>
      </c>
      <c r="B590" s="8">
        <v>1001</v>
      </c>
      <c r="C590" s="8">
        <v>6</v>
      </c>
      <c r="D590" s="8">
        <v>1001</v>
      </c>
      <c r="E590" t="s">
        <v>1648</v>
      </c>
      <c r="F590" s="13" t="s">
        <v>1606</v>
      </c>
      <c r="G590" t="s">
        <v>1607</v>
      </c>
      <c r="H590" t="s">
        <v>1579</v>
      </c>
      <c r="I590">
        <v>1</v>
      </c>
      <c r="J590" s="69">
        <v>2</v>
      </c>
      <c r="K590" s="87">
        <v>2</v>
      </c>
      <c r="L590" s="8">
        <v>999</v>
      </c>
      <c r="M590" s="8">
        <v>0</v>
      </c>
      <c r="N590" s="8">
        <v>1017</v>
      </c>
      <c r="O590" s="2">
        <v>10156</v>
      </c>
      <c r="S590" s="89">
        <v>1</v>
      </c>
      <c r="T590" s="8">
        <v>5</v>
      </c>
      <c r="U590" s="89">
        <v>200</v>
      </c>
      <c r="V590" s="87">
        <v>1</v>
      </c>
      <c r="W590">
        <v>1</v>
      </c>
      <c r="X590" s="8">
        <v>1</v>
      </c>
      <c r="Y590">
        <v>0</v>
      </c>
      <c r="Z590" s="33">
        <v>0</v>
      </c>
      <c r="AA590">
        <v>5</v>
      </c>
      <c r="AB590" s="34">
        <v>7600</v>
      </c>
      <c r="AC590" s="87">
        <v>110</v>
      </c>
      <c r="AD590" s="62">
        <v>0</v>
      </c>
      <c r="AE590" s="90">
        <v>4</v>
      </c>
      <c r="AF590" s="90">
        <v>2</v>
      </c>
      <c r="AG590" s="91"/>
      <c r="AH590" s="91">
        <v>1</v>
      </c>
      <c r="AI590" s="91"/>
      <c r="AJ590" s="91"/>
      <c r="AK590" s="91"/>
      <c r="AL590" s="92">
        <v>1</v>
      </c>
      <c r="AM590" s="92"/>
      <c r="AN590" s="93"/>
      <c r="AO590" s="92"/>
      <c r="AP590" s="86"/>
      <c r="AQ590" t="s">
        <v>1608</v>
      </c>
      <c r="AS590">
        <v>1</v>
      </c>
    </row>
    <row r="591" ht="14.25" customHeight="1" spans="1:45">
      <c r="A591">
        <v>250064</v>
      </c>
      <c r="B591" s="8">
        <v>1001</v>
      </c>
      <c r="C591" s="8">
        <v>6</v>
      </c>
      <c r="D591" s="8">
        <v>1001</v>
      </c>
      <c r="E591" t="s">
        <v>1649</v>
      </c>
      <c r="F591" s="13" t="s">
        <v>1529</v>
      </c>
      <c r="G591" t="s">
        <v>1650</v>
      </c>
      <c r="H591" t="s">
        <v>1520</v>
      </c>
      <c r="I591">
        <v>1</v>
      </c>
      <c r="J591" s="69">
        <v>4</v>
      </c>
      <c r="K591" s="87">
        <v>2</v>
      </c>
      <c r="L591" s="8">
        <v>999</v>
      </c>
      <c r="M591" s="8">
        <v>0</v>
      </c>
      <c r="N591" s="8">
        <v>1017</v>
      </c>
      <c r="O591" s="2">
        <v>10173</v>
      </c>
      <c r="S591" s="89">
        <v>1</v>
      </c>
      <c r="T591" s="8">
        <v>5</v>
      </c>
      <c r="U591" s="89">
        <v>200</v>
      </c>
      <c r="V591" s="87">
        <v>1</v>
      </c>
      <c r="W591">
        <v>1</v>
      </c>
      <c r="X591" s="8">
        <v>1</v>
      </c>
      <c r="Y591">
        <v>0</v>
      </c>
      <c r="Z591" s="33">
        <v>0</v>
      </c>
      <c r="AA591">
        <v>5</v>
      </c>
      <c r="AB591" s="34">
        <v>4000</v>
      </c>
      <c r="AC591" s="87">
        <v>110</v>
      </c>
      <c r="AE591" s="90">
        <v>4</v>
      </c>
      <c r="AF591" s="90">
        <v>2</v>
      </c>
      <c r="AG591" s="91"/>
      <c r="AH591" s="91">
        <v>1</v>
      </c>
      <c r="AI591" s="91"/>
      <c r="AJ591" s="91"/>
      <c r="AK591" s="91"/>
      <c r="AL591" s="92">
        <v>1</v>
      </c>
      <c r="AM591" s="92">
        <v>40</v>
      </c>
      <c r="AN591" s="93"/>
      <c r="AO591" s="92"/>
      <c r="AP591" s="86"/>
      <c r="AQ591" t="s">
        <v>1649</v>
      </c>
      <c r="AS591">
        <v>1</v>
      </c>
    </row>
    <row r="592" ht="14.25" customHeight="1" spans="1:45">
      <c r="A592">
        <v>250065</v>
      </c>
      <c r="B592" s="8">
        <v>1001</v>
      </c>
      <c r="C592" s="8">
        <v>6</v>
      </c>
      <c r="D592" s="8">
        <v>1001</v>
      </c>
      <c r="E592" t="s">
        <v>1651</v>
      </c>
      <c r="F592" s="13" t="s">
        <v>1533</v>
      </c>
      <c r="G592" t="s">
        <v>1652</v>
      </c>
      <c r="H592" t="s">
        <v>1520</v>
      </c>
      <c r="I592">
        <v>1</v>
      </c>
      <c r="J592" s="69">
        <v>4</v>
      </c>
      <c r="K592" s="87">
        <v>2</v>
      </c>
      <c r="L592" s="8">
        <v>999</v>
      </c>
      <c r="M592" s="8">
        <v>0</v>
      </c>
      <c r="N592" s="8">
        <v>1017</v>
      </c>
      <c r="O592" s="2">
        <v>10174</v>
      </c>
      <c r="S592" s="89">
        <v>1</v>
      </c>
      <c r="T592" s="8">
        <v>5</v>
      </c>
      <c r="U592" s="89">
        <v>200</v>
      </c>
      <c r="V592" s="87">
        <v>1</v>
      </c>
      <c r="W592">
        <v>1</v>
      </c>
      <c r="X592" s="8">
        <v>1</v>
      </c>
      <c r="Y592">
        <v>0</v>
      </c>
      <c r="Z592" s="33">
        <v>0</v>
      </c>
      <c r="AA592">
        <v>5</v>
      </c>
      <c r="AB592" s="34">
        <v>4000</v>
      </c>
      <c r="AC592" s="87">
        <v>110</v>
      </c>
      <c r="AE592" s="90">
        <v>4</v>
      </c>
      <c r="AF592" s="90">
        <v>2</v>
      </c>
      <c r="AG592" s="91"/>
      <c r="AH592" s="91">
        <v>1</v>
      </c>
      <c r="AI592" s="91"/>
      <c r="AJ592" s="91"/>
      <c r="AK592" s="91"/>
      <c r="AL592" s="92">
        <v>1</v>
      </c>
      <c r="AM592" s="92">
        <v>40</v>
      </c>
      <c r="AN592" s="93"/>
      <c r="AO592" s="92"/>
      <c r="AP592" s="86"/>
      <c r="AQ592" t="s">
        <v>1651</v>
      </c>
      <c r="AS592">
        <v>1</v>
      </c>
    </row>
    <row r="593" ht="14.25" customHeight="1" spans="1:45">
      <c r="A593">
        <v>250066</v>
      </c>
      <c r="B593" s="8">
        <v>1001</v>
      </c>
      <c r="C593" s="8">
        <v>6</v>
      </c>
      <c r="D593" s="8">
        <v>1001</v>
      </c>
      <c r="E593" t="s">
        <v>1653</v>
      </c>
      <c r="F593" s="13" t="s">
        <v>1654</v>
      </c>
      <c r="G593" t="s">
        <v>1655</v>
      </c>
      <c r="H593" t="s">
        <v>1520</v>
      </c>
      <c r="I593">
        <v>1</v>
      </c>
      <c r="J593" s="69">
        <v>4</v>
      </c>
      <c r="K593" s="87">
        <v>2</v>
      </c>
      <c r="L593" s="8">
        <v>999</v>
      </c>
      <c r="M593" s="8">
        <v>0</v>
      </c>
      <c r="N593" s="8">
        <v>1017</v>
      </c>
      <c r="O593" s="2">
        <v>10175</v>
      </c>
      <c r="S593" s="89">
        <v>1</v>
      </c>
      <c r="T593" s="8">
        <v>5</v>
      </c>
      <c r="U593" s="89">
        <v>200</v>
      </c>
      <c r="V593" s="87">
        <v>1</v>
      </c>
      <c r="W593">
        <v>1</v>
      </c>
      <c r="X593" s="8">
        <v>1</v>
      </c>
      <c r="Y593">
        <v>0</v>
      </c>
      <c r="Z593" s="33">
        <v>0</v>
      </c>
      <c r="AA593">
        <v>5</v>
      </c>
      <c r="AB593" s="34">
        <v>4000</v>
      </c>
      <c r="AC593" s="87">
        <v>110</v>
      </c>
      <c r="AE593" s="90">
        <v>4</v>
      </c>
      <c r="AF593" s="90">
        <v>2</v>
      </c>
      <c r="AG593" s="91"/>
      <c r="AH593" s="91">
        <v>1</v>
      </c>
      <c r="AI593" s="91"/>
      <c r="AJ593" s="91"/>
      <c r="AK593" s="91"/>
      <c r="AL593" s="92">
        <v>1</v>
      </c>
      <c r="AM593" s="92">
        <v>40</v>
      </c>
      <c r="AN593" s="93"/>
      <c r="AO593" s="92"/>
      <c r="AP593" s="86"/>
      <c r="AQ593" t="s">
        <v>1653</v>
      </c>
      <c r="AS593">
        <v>1</v>
      </c>
    </row>
    <row r="594" ht="14.25" customHeight="1" spans="1:45">
      <c r="A594">
        <v>250067</v>
      </c>
      <c r="B594" s="8">
        <v>1001</v>
      </c>
      <c r="C594" s="8">
        <v>6</v>
      </c>
      <c r="D594" s="8">
        <v>1001</v>
      </c>
      <c r="E594" t="s">
        <v>1656</v>
      </c>
      <c r="F594" s="13" t="s">
        <v>1529</v>
      </c>
      <c r="G594" t="s">
        <v>1657</v>
      </c>
      <c r="H594" t="s">
        <v>1431</v>
      </c>
      <c r="I594">
        <v>1</v>
      </c>
      <c r="J594" s="69">
        <v>5</v>
      </c>
      <c r="K594" s="87">
        <v>2</v>
      </c>
      <c r="L594" s="8">
        <v>999</v>
      </c>
      <c r="M594" s="8">
        <v>0</v>
      </c>
      <c r="N594" s="8">
        <v>1017</v>
      </c>
      <c r="O594" s="2">
        <v>10176</v>
      </c>
      <c r="S594" s="89">
        <v>1</v>
      </c>
      <c r="T594" s="8">
        <v>5</v>
      </c>
      <c r="U594" s="89">
        <v>200</v>
      </c>
      <c r="V594" s="87">
        <v>1</v>
      </c>
      <c r="W594">
        <v>1</v>
      </c>
      <c r="X594" s="8">
        <v>1</v>
      </c>
      <c r="Y594">
        <v>0</v>
      </c>
      <c r="Z594" s="33">
        <v>0</v>
      </c>
      <c r="AA594">
        <v>5</v>
      </c>
      <c r="AB594" s="34">
        <v>4000</v>
      </c>
      <c r="AC594" s="87">
        <v>110</v>
      </c>
      <c r="AE594" s="90">
        <v>4</v>
      </c>
      <c r="AF594" s="90">
        <v>2</v>
      </c>
      <c r="AG594" s="91"/>
      <c r="AH594" s="91">
        <v>1</v>
      </c>
      <c r="AI594" s="91"/>
      <c r="AJ594" s="91"/>
      <c r="AK594" s="91"/>
      <c r="AL594" s="92">
        <v>1</v>
      </c>
      <c r="AM594" s="92">
        <v>60</v>
      </c>
      <c r="AN594" s="93"/>
      <c r="AO594" s="92"/>
      <c r="AP594" s="86"/>
      <c r="AQ594" t="s">
        <v>1656</v>
      </c>
      <c r="AS594">
        <v>1</v>
      </c>
    </row>
    <row r="595" ht="14.25" customHeight="1" spans="1:45">
      <c r="A595">
        <v>250068</v>
      </c>
      <c r="B595" s="8">
        <v>1001</v>
      </c>
      <c r="C595" s="8">
        <v>6</v>
      </c>
      <c r="D595" s="8">
        <v>1001</v>
      </c>
      <c r="E595" t="s">
        <v>1658</v>
      </c>
      <c r="F595" s="13" t="s">
        <v>1533</v>
      </c>
      <c r="G595" t="s">
        <v>1659</v>
      </c>
      <c r="H595" t="s">
        <v>1431</v>
      </c>
      <c r="I595">
        <v>1</v>
      </c>
      <c r="J595" s="69">
        <v>5</v>
      </c>
      <c r="K595" s="87">
        <v>2</v>
      </c>
      <c r="L595" s="8">
        <v>999</v>
      </c>
      <c r="M595" s="8">
        <v>0</v>
      </c>
      <c r="N595" s="8">
        <v>1017</v>
      </c>
      <c r="O595" s="2">
        <v>10177</v>
      </c>
      <c r="S595" s="89">
        <v>1</v>
      </c>
      <c r="T595" s="8">
        <v>5</v>
      </c>
      <c r="U595" s="89">
        <v>200</v>
      </c>
      <c r="V595" s="87">
        <v>1</v>
      </c>
      <c r="W595">
        <v>1</v>
      </c>
      <c r="X595" s="8">
        <v>1</v>
      </c>
      <c r="Y595">
        <v>0</v>
      </c>
      <c r="Z595" s="33">
        <v>0</v>
      </c>
      <c r="AA595">
        <v>5</v>
      </c>
      <c r="AB595" s="34">
        <v>4000</v>
      </c>
      <c r="AC595" s="87">
        <v>110</v>
      </c>
      <c r="AE595" s="90">
        <v>4</v>
      </c>
      <c r="AF595" s="90">
        <v>2</v>
      </c>
      <c r="AG595" s="91"/>
      <c r="AH595" s="91">
        <v>1</v>
      </c>
      <c r="AI595" s="91"/>
      <c r="AJ595" s="91"/>
      <c r="AK595" s="91"/>
      <c r="AL595" s="92">
        <v>1</v>
      </c>
      <c r="AM595" s="92">
        <v>60</v>
      </c>
      <c r="AN595" s="93"/>
      <c r="AO595" s="92"/>
      <c r="AP595" s="86"/>
      <c r="AQ595" t="s">
        <v>1658</v>
      </c>
      <c r="AS595">
        <v>1</v>
      </c>
    </row>
    <row r="596" ht="14.25" customHeight="1" spans="1:45">
      <c r="A596">
        <v>250069</v>
      </c>
      <c r="B596" s="8">
        <v>1001</v>
      </c>
      <c r="C596" s="8">
        <v>6</v>
      </c>
      <c r="D596" s="8">
        <v>1001</v>
      </c>
      <c r="E596" t="s">
        <v>1660</v>
      </c>
      <c r="F596" s="13" t="s">
        <v>1654</v>
      </c>
      <c r="G596" t="s">
        <v>1661</v>
      </c>
      <c r="H596" t="s">
        <v>1431</v>
      </c>
      <c r="I596">
        <v>1</v>
      </c>
      <c r="J596" s="69">
        <v>5</v>
      </c>
      <c r="K596" s="87">
        <v>2</v>
      </c>
      <c r="L596" s="8">
        <v>999</v>
      </c>
      <c r="M596" s="8">
        <v>0</v>
      </c>
      <c r="N596" s="8">
        <v>1017</v>
      </c>
      <c r="O596" s="2">
        <v>10178</v>
      </c>
      <c r="S596" s="89">
        <v>1</v>
      </c>
      <c r="T596" s="8">
        <v>5</v>
      </c>
      <c r="U596" s="89">
        <v>200</v>
      </c>
      <c r="V596" s="87">
        <v>1</v>
      </c>
      <c r="W596">
        <v>1</v>
      </c>
      <c r="X596" s="8">
        <v>1</v>
      </c>
      <c r="Y596">
        <v>0</v>
      </c>
      <c r="Z596" s="33">
        <v>0</v>
      </c>
      <c r="AA596">
        <v>5</v>
      </c>
      <c r="AB596" s="34">
        <v>4000</v>
      </c>
      <c r="AC596" s="87">
        <v>110</v>
      </c>
      <c r="AE596" s="90">
        <v>4</v>
      </c>
      <c r="AF596" s="90">
        <v>2</v>
      </c>
      <c r="AG596" s="91"/>
      <c r="AH596" s="91">
        <v>1</v>
      </c>
      <c r="AI596" s="91"/>
      <c r="AJ596" s="91"/>
      <c r="AK596" s="91"/>
      <c r="AL596" s="92">
        <v>1</v>
      </c>
      <c r="AM596" s="92">
        <v>60</v>
      </c>
      <c r="AN596" s="93"/>
      <c r="AO596" s="92"/>
      <c r="AP596" s="86"/>
      <c r="AQ596" t="s">
        <v>1660</v>
      </c>
      <c r="AS596">
        <v>1</v>
      </c>
    </row>
    <row r="597" ht="14.25" customHeight="1" spans="1:45">
      <c r="A597">
        <v>250070</v>
      </c>
      <c r="B597" s="8">
        <v>1001</v>
      </c>
      <c r="C597" s="8">
        <v>6</v>
      </c>
      <c r="D597" s="8">
        <v>1001</v>
      </c>
      <c r="E597" t="s">
        <v>1662</v>
      </c>
      <c r="F597" s="13" t="s">
        <v>1662</v>
      </c>
      <c r="G597" t="s">
        <v>1663</v>
      </c>
      <c r="H597" t="s">
        <v>1664</v>
      </c>
      <c r="I597">
        <v>1</v>
      </c>
      <c r="J597" s="69">
        <v>4</v>
      </c>
      <c r="K597" s="87">
        <v>2</v>
      </c>
      <c r="L597" s="8">
        <v>999</v>
      </c>
      <c r="M597" s="8">
        <v>0</v>
      </c>
      <c r="N597" s="8">
        <v>1017</v>
      </c>
      <c r="O597" s="2">
        <v>10191</v>
      </c>
      <c r="S597" s="89">
        <v>1</v>
      </c>
      <c r="T597" s="8">
        <v>5</v>
      </c>
      <c r="U597" s="89">
        <v>200</v>
      </c>
      <c r="V597" s="87">
        <v>1</v>
      </c>
      <c r="W597">
        <v>1</v>
      </c>
      <c r="X597" s="8">
        <v>1</v>
      </c>
      <c r="Y597">
        <v>0</v>
      </c>
      <c r="Z597" s="33">
        <v>0</v>
      </c>
      <c r="AA597">
        <v>5</v>
      </c>
      <c r="AB597" s="34">
        <v>4000</v>
      </c>
      <c r="AC597" s="87">
        <v>110</v>
      </c>
      <c r="AE597" s="90">
        <v>4</v>
      </c>
      <c r="AF597" s="90">
        <v>2</v>
      </c>
      <c r="AG597" s="91"/>
      <c r="AH597" s="91">
        <v>1</v>
      </c>
      <c r="AI597" s="91"/>
      <c r="AJ597" s="91"/>
      <c r="AK597" s="91"/>
      <c r="AL597" s="92">
        <v>1</v>
      </c>
      <c r="AM597" s="92"/>
      <c r="AN597" s="93"/>
      <c r="AO597" s="92"/>
      <c r="AP597" s="86"/>
      <c r="AS597">
        <v>1</v>
      </c>
    </row>
    <row r="598" ht="14.25" customHeight="1" spans="1:45">
      <c r="A598">
        <v>250071</v>
      </c>
      <c r="B598" s="8">
        <v>1001</v>
      </c>
      <c r="C598" s="8">
        <v>6</v>
      </c>
      <c r="D598" s="8">
        <v>1001</v>
      </c>
      <c r="E598" t="s">
        <v>1665</v>
      </c>
      <c r="F598" s="13" t="s">
        <v>1665</v>
      </c>
      <c r="G598" t="s">
        <v>1666</v>
      </c>
      <c r="H598" t="s">
        <v>1667</v>
      </c>
      <c r="I598">
        <v>1</v>
      </c>
      <c r="J598" s="69">
        <v>5</v>
      </c>
      <c r="K598" s="87">
        <v>2</v>
      </c>
      <c r="L598" s="8">
        <v>999</v>
      </c>
      <c r="M598" s="8">
        <v>0</v>
      </c>
      <c r="N598" s="8">
        <v>1017</v>
      </c>
      <c r="O598" s="2">
        <v>10192</v>
      </c>
      <c r="S598" s="89">
        <v>1</v>
      </c>
      <c r="T598" s="8">
        <v>5</v>
      </c>
      <c r="U598" s="89">
        <v>200</v>
      </c>
      <c r="V598" s="87">
        <v>1</v>
      </c>
      <c r="W598">
        <v>1</v>
      </c>
      <c r="X598" s="8">
        <v>1</v>
      </c>
      <c r="Y598">
        <v>0</v>
      </c>
      <c r="Z598" s="33">
        <v>0</v>
      </c>
      <c r="AA598">
        <v>5</v>
      </c>
      <c r="AB598" s="34">
        <v>4000</v>
      </c>
      <c r="AC598" s="87">
        <v>110</v>
      </c>
      <c r="AE598" s="90">
        <v>4</v>
      </c>
      <c r="AF598" s="90">
        <v>2</v>
      </c>
      <c r="AG598" s="91"/>
      <c r="AH598" s="91">
        <v>1</v>
      </c>
      <c r="AI598" s="91"/>
      <c r="AJ598" s="91"/>
      <c r="AK598" s="91"/>
      <c r="AL598" s="92">
        <v>1</v>
      </c>
      <c r="AM598" s="92"/>
      <c r="AN598" s="93"/>
      <c r="AO598" s="92"/>
      <c r="AP598" s="86"/>
      <c r="AQ598"/>
      <c r="AS598">
        <v>1</v>
      </c>
    </row>
    <row r="599" ht="14.25" customHeight="1" spans="1:45">
      <c r="A599" s="261">
        <v>250072</v>
      </c>
      <c r="B599" s="8">
        <v>1001</v>
      </c>
      <c r="C599" s="8">
        <v>6</v>
      </c>
      <c r="D599" s="8">
        <v>1001</v>
      </c>
      <c r="E599" t="s">
        <v>1668</v>
      </c>
      <c r="F599" s="13" t="s">
        <v>1533</v>
      </c>
      <c r="G599" t="s">
        <v>1669</v>
      </c>
      <c r="H599" t="s">
        <v>1431</v>
      </c>
      <c r="I599">
        <v>1</v>
      </c>
      <c r="J599" s="69">
        <v>5</v>
      </c>
      <c r="K599" s="87">
        <v>2</v>
      </c>
      <c r="L599" s="8">
        <v>999</v>
      </c>
      <c r="M599" s="8">
        <v>0</v>
      </c>
      <c r="N599" s="8">
        <v>1017</v>
      </c>
      <c r="O599" s="262">
        <v>10193</v>
      </c>
      <c r="S599" s="89">
        <v>1</v>
      </c>
      <c r="T599" s="8">
        <v>5</v>
      </c>
      <c r="U599" s="89">
        <v>200</v>
      </c>
      <c r="V599" s="87">
        <v>1</v>
      </c>
      <c r="W599">
        <v>1</v>
      </c>
      <c r="X599" s="8">
        <v>1</v>
      </c>
      <c r="Y599">
        <v>0</v>
      </c>
      <c r="Z599" s="33">
        <v>0</v>
      </c>
      <c r="AA599">
        <v>5</v>
      </c>
      <c r="AB599" s="34">
        <v>4000</v>
      </c>
      <c r="AC599" s="87">
        <v>110</v>
      </c>
      <c r="AE599" s="90">
        <v>4</v>
      </c>
      <c r="AF599" s="90">
        <v>2</v>
      </c>
      <c r="AG599" s="91"/>
      <c r="AH599" s="91">
        <v>1</v>
      </c>
      <c r="AI599" s="91"/>
      <c r="AJ599" s="91"/>
      <c r="AK599" s="91"/>
      <c r="AL599" s="92">
        <v>1</v>
      </c>
      <c r="AM599" s="92">
        <v>50</v>
      </c>
      <c r="AN599" s="93"/>
      <c r="AO599" s="92"/>
      <c r="AP599" s="86"/>
      <c r="AQ599" t="s">
        <v>1670</v>
      </c>
      <c r="AS599">
        <v>1</v>
      </c>
    </row>
    <row r="600" ht="14.25" customHeight="1" spans="1:45">
      <c r="A600">
        <v>250073</v>
      </c>
      <c r="B600" s="8">
        <v>1001</v>
      </c>
      <c r="C600" s="8">
        <v>6</v>
      </c>
      <c r="D600" s="8">
        <v>1001</v>
      </c>
      <c r="E600" t="s">
        <v>1671</v>
      </c>
      <c r="F600" s="13" t="s">
        <v>1611</v>
      </c>
      <c r="G600" t="s">
        <v>1672</v>
      </c>
      <c r="H600" t="s">
        <v>1613</v>
      </c>
      <c r="I600">
        <v>1</v>
      </c>
      <c r="J600" s="69">
        <v>4</v>
      </c>
      <c r="K600" s="87">
        <v>2</v>
      </c>
      <c r="L600" s="8">
        <v>999</v>
      </c>
      <c r="M600" s="8">
        <v>0</v>
      </c>
      <c r="N600" s="8">
        <v>1017</v>
      </c>
      <c r="O600" s="249">
        <v>10194</v>
      </c>
      <c r="S600" s="89">
        <v>1</v>
      </c>
      <c r="T600" s="8">
        <v>5</v>
      </c>
      <c r="U600" s="89">
        <v>200</v>
      </c>
      <c r="V600" s="87">
        <v>1</v>
      </c>
      <c r="W600">
        <v>1</v>
      </c>
      <c r="X600" s="8">
        <v>1</v>
      </c>
      <c r="Y600">
        <v>0</v>
      </c>
      <c r="Z600" s="33">
        <v>0</v>
      </c>
      <c r="AA600">
        <v>5</v>
      </c>
      <c r="AB600" s="34">
        <v>4000</v>
      </c>
      <c r="AC600" s="87">
        <v>110</v>
      </c>
      <c r="AE600" s="90">
        <v>4</v>
      </c>
      <c r="AF600" s="90">
        <v>2</v>
      </c>
      <c r="AG600" s="91"/>
      <c r="AH600" s="91">
        <v>1</v>
      </c>
      <c r="AI600" s="91"/>
      <c r="AJ600" s="91"/>
      <c r="AK600" s="91"/>
      <c r="AL600" s="92">
        <v>1</v>
      </c>
      <c r="AM600" s="92">
        <v>30</v>
      </c>
      <c r="AN600" s="93"/>
      <c r="AO600" s="92"/>
      <c r="AP600" s="86"/>
      <c r="AS600">
        <v>1</v>
      </c>
    </row>
    <row r="601" ht="14.25" customHeight="1" spans="1:45">
      <c r="A601">
        <v>250074</v>
      </c>
      <c r="B601" s="8">
        <v>1001</v>
      </c>
      <c r="C601" s="8">
        <v>6</v>
      </c>
      <c r="D601" s="8">
        <v>1001</v>
      </c>
      <c r="E601" t="s">
        <v>1673</v>
      </c>
      <c r="F601" s="13" t="s">
        <v>1615</v>
      </c>
      <c r="G601" t="s">
        <v>1674</v>
      </c>
      <c r="H601" t="s">
        <v>1617</v>
      </c>
      <c r="I601">
        <v>1</v>
      </c>
      <c r="J601" s="69">
        <v>4</v>
      </c>
      <c r="K601" s="87">
        <v>2</v>
      </c>
      <c r="L601" s="8">
        <v>999</v>
      </c>
      <c r="M601" s="8">
        <v>0</v>
      </c>
      <c r="N601" s="8">
        <v>1017</v>
      </c>
      <c r="O601" s="249">
        <v>10195</v>
      </c>
      <c r="S601" s="89">
        <v>1</v>
      </c>
      <c r="T601" s="8">
        <v>5</v>
      </c>
      <c r="U601" s="89">
        <v>200</v>
      </c>
      <c r="V601" s="87">
        <v>1</v>
      </c>
      <c r="W601">
        <v>1</v>
      </c>
      <c r="X601" s="8">
        <v>1</v>
      </c>
      <c r="Y601">
        <v>0</v>
      </c>
      <c r="Z601" s="33">
        <v>0</v>
      </c>
      <c r="AA601">
        <v>5</v>
      </c>
      <c r="AB601" s="34">
        <v>4000</v>
      </c>
      <c r="AC601" s="87">
        <v>110</v>
      </c>
      <c r="AE601" s="90">
        <v>4</v>
      </c>
      <c r="AF601" s="90">
        <v>2</v>
      </c>
      <c r="AG601" s="91"/>
      <c r="AH601" s="91">
        <v>1</v>
      </c>
      <c r="AI601" s="91"/>
      <c r="AJ601" s="91"/>
      <c r="AK601" s="91"/>
      <c r="AL601" s="92">
        <v>1</v>
      </c>
      <c r="AM601" s="92">
        <v>30</v>
      </c>
      <c r="AN601" s="93"/>
      <c r="AO601" s="92"/>
      <c r="AP601" s="86"/>
      <c r="AS601">
        <v>1</v>
      </c>
    </row>
    <row r="602" ht="14.25" customHeight="1" spans="1:45">
      <c r="A602">
        <v>250075</v>
      </c>
      <c r="B602" s="8">
        <v>1001</v>
      </c>
      <c r="C602" s="8">
        <v>6</v>
      </c>
      <c r="D602" s="8">
        <v>1001</v>
      </c>
      <c r="E602" t="s">
        <v>1675</v>
      </c>
      <c r="F602" s="13" t="s">
        <v>1619</v>
      </c>
      <c r="G602" t="s">
        <v>1676</v>
      </c>
      <c r="H602" t="s">
        <v>1621</v>
      </c>
      <c r="I602">
        <v>1</v>
      </c>
      <c r="J602" s="69">
        <v>4</v>
      </c>
      <c r="K602" s="87">
        <v>2</v>
      </c>
      <c r="L602" s="8">
        <v>999</v>
      </c>
      <c r="M602" s="8">
        <v>0</v>
      </c>
      <c r="N602" s="8">
        <v>1017</v>
      </c>
      <c r="O602" s="249">
        <v>10196</v>
      </c>
      <c r="S602" s="89">
        <v>1</v>
      </c>
      <c r="T602" s="8">
        <v>5</v>
      </c>
      <c r="U602" s="89">
        <v>200</v>
      </c>
      <c r="V602" s="87">
        <v>1</v>
      </c>
      <c r="W602">
        <v>1</v>
      </c>
      <c r="X602" s="8">
        <v>1</v>
      </c>
      <c r="Y602">
        <v>0</v>
      </c>
      <c r="Z602" s="33">
        <v>0</v>
      </c>
      <c r="AA602">
        <v>5</v>
      </c>
      <c r="AB602" s="34">
        <v>4000</v>
      </c>
      <c r="AC602" s="87">
        <v>110</v>
      </c>
      <c r="AE602" s="90">
        <v>4</v>
      </c>
      <c r="AF602" s="90">
        <v>2</v>
      </c>
      <c r="AG602" s="91"/>
      <c r="AH602" s="91">
        <v>1</v>
      </c>
      <c r="AI602" s="91"/>
      <c r="AJ602" s="91"/>
      <c r="AK602" s="91"/>
      <c r="AL602" s="92">
        <v>1</v>
      </c>
      <c r="AM602" s="92">
        <v>30</v>
      </c>
      <c r="AN602" s="93"/>
      <c r="AO602" s="92"/>
      <c r="AP602" s="86"/>
      <c r="AS602">
        <v>1</v>
      </c>
    </row>
    <row r="603" ht="14.25" customHeight="1" spans="1:45">
      <c r="A603">
        <v>250076</v>
      </c>
      <c r="B603" s="8">
        <v>1001</v>
      </c>
      <c r="C603" s="8">
        <v>6</v>
      </c>
      <c r="D603" s="8">
        <v>1001</v>
      </c>
      <c r="E603" t="s">
        <v>1677</v>
      </c>
      <c r="F603" s="13" t="s">
        <v>1623</v>
      </c>
      <c r="G603" t="s">
        <v>1678</v>
      </c>
      <c r="H603" t="s">
        <v>1625</v>
      </c>
      <c r="I603">
        <v>1</v>
      </c>
      <c r="J603" s="69">
        <v>4</v>
      </c>
      <c r="K603" s="87">
        <v>2</v>
      </c>
      <c r="L603" s="8">
        <v>999</v>
      </c>
      <c r="M603" s="8">
        <v>0</v>
      </c>
      <c r="N603" s="8">
        <v>1017</v>
      </c>
      <c r="O603" s="249">
        <v>10197</v>
      </c>
      <c r="S603" s="89">
        <v>1</v>
      </c>
      <c r="T603" s="8">
        <v>5</v>
      </c>
      <c r="U603" s="89">
        <v>200</v>
      </c>
      <c r="V603" s="87">
        <v>1</v>
      </c>
      <c r="W603">
        <v>1</v>
      </c>
      <c r="X603" s="8">
        <v>1</v>
      </c>
      <c r="Y603">
        <v>0</v>
      </c>
      <c r="Z603" s="33">
        <v>0</v>
      </c>
      <c r="AA603">
        <v>5</v>
      </c>
      <c r="AB603" s="34">
        <v>4000</v>
      </c>
      <c r="AC603" s="87">
        <v>110</v>
      </c>
      <c r="AE603" s="90">
        <v>4</v>
      </c>
      <c r="AF603" s="90">
        <v>2</v>
      </c>
      <c r="AG603" s="91"/>
      <c r="AH603" s="91">
        <v>1</v>
      </c>
      <c r="AI603" s="91"/>
      <c r="AJ603" s="91"/>
      <c r="AK603" s="91"/>
      <c r="AL603" s="92">
        <v>1</v>
      </c>
      <c r="AM603" s="92">
        <v>30</v>
      </c>
      <c r="AN603" s="93"/>
      <c r="AO603" s="92"/>
      <c r="AP603" s="86"/>
      <c r="AS603">
        <v>1</v>
      </c>
    </row>
    <row r="604" ht="14.25" customHeight="1" spans="1:45">
      <c r="A604">
        <v>250077</v>
      </c>
      <c r="B604" s="8">
        <v>1001</v>
      </c>
      <c r="C604" s="8">
        <v>6</v>
      </c>
      <c r="D604" s="8">
        <v>1001</v>
      </c>
      <c r="E604" t="s">
        <v>1679</v>
      </c>
      <c r="F604" s="13" t="s">
        <v>1611</v>
      </c>
      <c r="G604" t="s">
        <v>1680</v>
      </c>
      <c r="H604" t="s">
        <v>1613</v>
      </c>
      <c r="I604">
        <v>1</v>
      </c>
      <c r="J604" s="69">
        <v>4</v>
      </c>
      <c r="K604" s="87">
        <v>2</v>
      </c>
      <c r="L604" s="8">
        <v>999</v>
      </c>
      <c r="M604" s="8">
        <v>0</v>
      </c>
      <c r="N604" s="8">
        <v>1017</v>
      </c>
      <c r="O604" s="249">
        <v>10198</v>
      </c>
      <c r="S604" s="89">
        <v>1</v>
      </c>
      <c r="T604" s="8">
        <v>5</v>
      </c>
      <c r="U604" s="89">
        <v>200</v>
      </c>
      <c r="V604" s="87">
        <v>1</v>
      </c>
      <c r="W604">
        <v>1</v>
      </c>
      <c r="X604" s="8">
        <v>1</v>
      </c>
      <c r="Y604">
        <v>0</v>
      </c>
      <c r="Z604" s="33">
        <v>0</v>
      </c>
      <c r="AA604">
        <v>5</v>
      </c>
      <c r="AB604" s="34">
        <v>4000</v>
      </c>
      <c r="AC604" s="87">
        <v>110</v>
      </c>
      <c r="AE604" s="90">
        <v>4</v>
      </c>
      <c r="AF604" s="90">
        <v>2</v>
      </c>
      <c r="AG604" s="91"/>
      <c r="AH604" s="91">
        <v>1</v>
      </c>
      <c r="AI604" s="91"/>
      <c r="AJ604" s="91"/>
      <c r="AK604" s="91"/>
      <c r="AL604" s="92">
        <v>1</v>
      </c>
      <c r="AM604" s="92">
        <v>50</v>
      </c>
      <c r="AN604" s="93"/>
      <c r="AO604" s="92"/>
      <c r="AP604" s="86"/>
      <c r="AS604">
        <v>1</v>
      </c>
    </row>
    <row r="605" ht="14.25" customHeight="1" spans="1:45">
      <c r="A605">
        <v>250078</v>
      </c>
      <c r="B605" s="8">
        <v>1001</v>
      </c>
      <c r="C605" s="8">
        <v>6</v>
      </c>
      <c r="D605" s="8">
        <v>1001</v>
      </c>
      <c r="E605" t="s">
        <v>1681</v>
      </c>
      <c r="F605" s="13" t="s">
        <v>1615</v>
      </c>
      <c r="G605" t="s">
        <v>1682</v>
      </c>
      <c r="H605" t="s">
        <v>1617</v>
      </c>
      <c r="I605">
        <v>1</v>
      </c>
      <c r="J605" s="69">
        <v>4</v>
      </c>
      <c r="K605" s="87">
        <v>2</v>
      </c>
      <c r="L605" s="8">
        <v>999</v>
      </c>
      <c r="M605" s="8">
        <v>0</v>
      </c>
      <c r="N605" s="8">
        <v>1017</v>
      </c>
      <c r="O605" s="249">
        <v>10199</v>
      </c>
      <c r="S605" s="89">
        <v>1</v>
      </c>
      <c r="T605" s="8">
        <v>5</v>
      </c>
      <c r="U605" s="89">
        <v>200</v>
      </c>
      <c r="V605" s="87">
        <v>1</v>
      </c>
      <c r="W605">
        <v>1</v>
      </c>
      <c r="X605" s="8">
        <v>1</v>
      </c>
      <c r="Y605">
        <v>0</v>
      </c>
      <c r="Z605" s="33">
        <v>0</v>
      </c>
      <c r="AA605">
        <v>5</v>
      </c>
      <c r="AB605" s="34">
        <v>4000</v>
      </c>
      <c r="AC605" s="87">
        <v>110</v>
      </c>
      <c r="AE605" s="90">
        <v>4</v>
      </c>
      <c r="AF605" s="90">
        <v>2</v>
      </c>
      <c r="AG605" s="91"/>
      <c r="AH605" s="91">
        <v>1</v>
      </c>
      <c r="AI605" s="91"/>
      <c r="AJ605" s="91"/>
      <c r="AK605" s="91"/>
      <c r="AL605" s="92">
        <v>1</v>
      </c>
      <c r="AM605" s="92">
        <v>50</v>
      </c>
      <c r="AN605" s="93"/>
      <c r="AO605" s="92"/>
      <c r="AP605" s="86"/>
      <c r="AS605">
        <v>1</v>
      </c>
    </row>
    <row r="606" ht="14.25" customHeight="1" spans="1:45">
      <c r="A606">
        <v>250079</v>
      </c>
      <c r="B606" s="8">
        <v>1001</v>
      </c>
      <c r="C606" s="8">
        <v>6</v>
      </c>
      <c r="D606" s="8">
        <v>1001</v>
      </c>
      <c r="E606" t="s">
        <v>1683</v>
      </c>
      <c r="F606" s="13" t="s">
        <v>1619</v>
      </c>
      <c r="G606" t="s">
        <v>1684</v>
      </c>
      <c r="H606" t="s">
        <v>1621</v>
      </c>
      <c r="I606">
        <v>1</v>
      </c>
      <c r="J606" s="69">
        <v>4</v>
      </c>
      <c r="K606" s="87">
        <v>2</v>
      </c>
      <c r="L606" s="8">
        <v>999</v>
      </c>
      <c r="M606" s="8">
        <v>0</v>
      </c>
      <c r="N606" s="8">
        <v>1017</v>
      </c>
      <c r="O606" s="249">
        <v>10200</v>
      </c>
      <c r="S606" s="89">
        <v>1</v>
      </c>
      <c r="T606" s="8">
        <v>5</v>
      </c>
      <c r="U606" s="89">
        <v>200</v>
      </c>
      <c r="V606" s="87">
        <v>1</v>
      </c>
      <c r="W606">
        <v>1</v>
      </c>
      <c r="X606" s="8">
        <v>1</v>
      </c>
      <c r="Y606">
        <v>0</v>
      </c>
      <c r="Z606" s="33">
        <v>0</v>
      </c>
      <c r="AA606">
        <v>5</v>
      </c>
      <c r="AB606" s="34">
        <v>4000</v>
      </c>
      <c r="AC606" s="87">
        <v>110</v>
      </c>
      <c r="AE606" s="90">
        <v>4</v>
      </c>
      <c r="AF606" s="90">
        <v>2</v>
      </c>
      <c r="AG606" s="91"/>
      <c r="AH606" s="91">
        <v>1</v>
      </c>
      <c r="AI606" s="91"/>
      <c r="AJ606" s="91"/>
      <c r="AK606" s="91"/>
      <c r="AL606" s="92">
        <v>1</v>
      </c>
      <c r="AM606" s="92">
        <v>50</v>
      </c>
      <c r="AN606" s="93"/>
      <c r="AO606" s="92"/>
      <c r="AP606" s="86"/>
      <c r="AS606">
        <v>1</v>
      </c>
    </row>
    <row r="607" ht="14.25" customHeight="1" spans="1:45">
      <c r="A607">
        <v>250080</v>
      </c>
      <c r="B607" s="8">
        <v>1001</v>
      </c>
      <c r="C607" s="8">
        <v>6</v>
      </c>
      <c r="D607" s="8">
        <v>1001</v>
      </c>
      <c r="E607" t="s">
        <v>1685</v>
      </c>
      <c r="F607" s="13" t="s">
        <v>1623</v>
      </c>
      <c r="G607" t="s">
        <v>1686</v>
      </c>
      <c r="H607" t="s">
        <v>1625</v>
      </c>
      <c r="I607">
        <v>1</v>
      </c>
      <c r="J607" s="69">
        <v>4</v>
      </c>
      <c r="K607" s="87">
        <v>2</v>
      </c>
      <c r="L607" s="8">
        <v>999</v>
      </c>
      <c r="M607" s="8">
        <v>0</v>
      </c>
      <c r="N607" s="8">
        <v>1017</v>
      </c>
      <c r="O607" s="249">
        <v>10201</v>
      </c>
      <c r="S607" s="89">
        <v>1</v>
      </c>
      <c r="T607" s="8">
        <v>5</v>
      </c>
      <c r="U607" s="89">
        <v>200</v>
      </c>
      <c r="V607" s="87">
        <v>1</v>
      </c>
      <c r="W607">
        <v>1</v>
      </c>
      <c r="X607" s="8">
        <v>1</v>
      </c>
      <c r="Y607">
        <v>0</v>
      </c>
      <c r="Z607" s="33">
        <v>0</v>
      </c>
      <c r="AA607">
        <v>5</v>
      </c>
      <c r="AB607" s="34">
        <v>4000</v>
      </c>
      <c r="AC607" s="87">
        <v>110</v>
      </c>
      <c r="AE607" s="90">
        <v>4</v>
      </c>
      <c r="AF607" s="90">
        <v>2</v>
      </c>
      <c r="AG607" s="91"/>
      <c r="AH607" s="91">
        <v>1</v>
      </c>
      <c r="AI607" s="91"/>
      <c r="AJ607" s="91"/>
      <c r="AK607" s="91"/>
      <c r="AL607" s="92">
        <v>1</v>
      </c>
      <c r="AM607" s="92">
        <v>50</v>
      </c>
      <c r="AN607" s="93"/>
      <c r="AO607" s="92"/>
      <c r="AP607" s="86"/>
      <c r="AS607">
        <v>1</v>
      </c>
    </row>
    <row r="608" ht="14.25" customHeight="1" spans="1:45">
      <c r="A608">
        <v>250081</v>
      </c>
      <c r="B608" s="8">
        <v>1001</v>
      </c>
      <c r="C608" s="8">
        <v>6</v>
      </c>
      <c r="D608" s="8">
        <v>1001</v>
      </c>
      <c r="E608" t="s">
        <v>1687</v>
      </c>
      <c r="F608" s="13" t="s">
        <v>1611</v>
      </c>
      <c r="G608" t="s">
        <v>1688</v>
      </c>
      <c r="H608" t="s">
        <v>1689</v>
      </c>
      <c r="I608">
        <v>1</v>
      </c>
      <c r="J608" s="69">
        <v>5</v>
      </c>
      <c r="K608" s="87">
        <v>2</v>
      </c>
      <c r="L608" s="8">
        <v>999</v>
      </c>
      <c r="M608" s="8">
        <v>0</v>
      </c>
      <c r="N608" s="8">
        <v>1017</v>
      </c>
      <c r="O608" s="249">
        <v>10202</v>
      </c>
      <c r="S608" s="89">
        <v>1</v>
      </c>
      <c r="T608" s="8">
        <v>5</v>
      </c>
      <c r="U608" s="89">
        <v>200</v>
      </c>
      <c r="V608" s="87">
        <v>1</v>
      </c>
      <c r="W608">
        <v>1</v>
      </c>
      <c r="X608" s="8">
        <v>1</v>
      </c>
      <c r="Y608">
        <v>0</v>
      </c>
      <c r="Z608" s="33">
        <v>0</v>
      </c>
      <c r="AA608">
        <v>5</v>
      </c>
      <c r="AB608" s="34">
        <v>4000</v>
      </c>
      <c r="AC608" s="87">
        <v>110</v>
      </c>
      <c r="AE608" s="90">
        <v>4</v>
      </c>
      <c r="AF608" s="90">
        <v>2</v>
      </c>
      <c r="AG608" s="91"/>
      <c r="AH608" s="91">
        <v>1</v>
      </c>
      <c r="AI608" s="91"/>
      <c r="AJ608" s="91"/>
      <c r="AK608" s="91"/>
      <c r="AL608" s="92">
        <v>1</v>
      </c>
      <c r="AM608" s="92">
        <v>40</v>
      </c>
      <c r="AN608" s="93"/>
      <c r="AO608" s="92"/>
      <c r="AP608" s="86"/>
      <c r="AS608">
        <v>1</v>
      </c>
    </row>
    <row r="609" ht="14.25" customHeight="1" spans="1:45">
      <c r="A609">
        <v>250082</v>
      </c>
      <c r="B609" s="8">
        <v>1001</v>
      </c>
      <c r="C609" s="8">
        <v>6</v>
      </c>
      <c r="D609" s="8">
        <v>1001</v>
      </c>
      <c r="E609" t="s">
        <v>1690</v>
      </c>
      <c r="F609" s="13" t="s">
        <v>1615</v>
      </c>
      <c r="G609" t="s">
        <v>1691</v>
      </c>
      <c r="H609" t="s">
        <v>1692</v>
      </c>
      <c r="I609">
        <v>1</v>
      </c>
      <c r="J609" s="69">
        <v>5</v>
      </c>
      <c r="K609" s="87">
        <v>2</v>
      </c>
      <c r="L609" s="8">
        <v>999</v>
      </c>
      <c r="M609" s="8">
        <v>0</v>
      </c>
      <c r="N609" s="8">
        <v>1017</v>
      </c>
      <c r="O609" s="249">
        <v>10203</v>
      </c>
      <c r="S609" s="89">
        <v>1</v>
      </c>
      <c r="T609" s="8">
        <v>5</v>
      </c>
      <c r="U609" s="89">
        <v>200</v>
      </c>
      <c r="V609" s="87">
        <v>1</v>
      </c>
      <c r="W609">
        <v>1</v>
      </c>
      <c r="X609" s="8">
        <v>1</v>
      </c>
      <c r="Y609">
        <v>0</v>
      </c>
      <c r="Z609" s="33">
        <v>0</v>
      </c>
      <c r="AA609">
        <v>5</v>
      </c>
      <c r="AB609" s="34">
        <v>4000</v>
      </c>
      <c r="AC609" s="87">
        <v>110</v>
      </c>
      <c r="AE609" s="90">
        <v>4</v>
      </c>
      <c r="AF609" s="90">
        <v>2</v>
      </c>
      <c r="AG609" s="91"/>
      <c r="AH609" s="91">
        <v>1</v>
      </c>
      <c r="AI609" s="91"/>
      <c r="AJ609" s="91"/>
      <c r="AK609" s="91"/>
      <c r="AL609" s="92">
        <v>1</v>
      </c>
      <c r="AM609" s="92">
        <v>40</v>
      </c>
      <c r="AN609" s="93"/>
      <c r="AO609" s="92"/>
      <c r="AP609" s="86"/>
      <c r="AS609">
        <v>1</v>
      </c>
    </row>
    <row r="610" ht="14.25" customHeight="1" spans="1:45">
      <c r="A610">
        <v>250083</v>
      </c>
      <c r="B610" s="8">
        <v>1001</v>
      </c>
      <c r="C610" s="8">
        <v>6</v>
      </c>
      <c r="D610" s="8">
        <v>1001</v>
      </c>
      <c r="E610" t="s">
        <v>1693</v>
      </c>
      <c r="F610" s="13" t="s">
        <v>1619</v>
      </c>
      <c r="G610" t="s">
        <v>1694</v>
      </c>
      <c r="H610" t="s">
        <v>1695</v>
      </c>
      <c r="I610">
        <v>1</v>
      </c>
      <c r="J610" s="69">
        <v>5</v>
      </c>
      <c r="K610" s="87">
        <v>2</v>
      </c>
      <c r="L610" s="8">
        <v>999</v>
      </c>
      <c r="M610" s="8">
        <v>0</v>
      </c>
      <c r="N610" s="8">
        <v>1017</v>
      </c>
      <c r="O610" s="249">
        <v>10204</v>
      </c>
      <c r="S610" s="89">
        <v>1</v>
      </c>
      <c r="T610" s="8">
        <v>5</v>
      </c>
      <c r="U610" s="89">
        <v>200</v>
      </c>
      <c r="V610" s="87">
        <v>1</v>
      </c>
      <c r="W610">
        <v>1</v>
      </c>
      <c r="X610" s="8">
        <v>1</v>
      </c>
      <c r="Y610">
        <v>0</v>
      </c>
      <c r="Z610" s="33">
        <v>0</v>
      </c>
      <c r="AA610">
        <v>5</v>
      </c>
      <c r="AB610" s="34">
        <v>4000</v>
      </c>
      <c r="AC610" s="87">
        <v>110</v>
      </c>
      <c r="AE610" s="90">
        <v>4</v>
      </c>
      <c r="AF610" s="90">
        <v>2</v>
      </c>
      <c r="AG610" s="91"/>
      <c r="AH610" s="91">
        <v>1</v>
      </c>
      <c r="AI610" s="91"/>
      <c r="AJ610" s="91"/>
      <c r="AK610" s="91"/>
      <c r="AL610" s="92">
        <v>1</v>
      </c>
      <c r="AM610" s="92">
        <v>40</v>
      </c>
      <c r="AN610" s="93"/>
      <c r="AO610" s="92"/>
      <c r="AP610" s="86"/>
      <c r="AS610">
        <v>1</v>
      </c>
    </row>
    <row r="611" ht="14.25" customHeight="1" spans="1:45">
      <c r="A611">
        <v>250084</v>
      </c>
      <c r="B611" s="8">
        <v>1001</v>
      </c>
      <c r="C611" s="8">
        <v>6</v>
      </c>
      <c r="D611" s="8">
        <v>1001</v>
      </c>
      <c r="E611" t="s">
        <v>1696</v>
      </c>
      <c r="F611" s="13" t="s">
        <v>1623</v>
      </c>
      <c r="G611" t="s">
        <v>1697</v>
      </c>
      <c r="H611" t="s">
        <v>1698</v>
      </c>
      <c r="I611">
        <v>1</v>
      </c>
      <c r="J611" s="69">
        <v>5</v>
      </c>
      <c r="K611" s="87">
        <v>2</v>
      </c>
      <c r="L611" s="8">
        <v>999</v>
      </c>
      <c r="M611" s="8">
        <v>0</v>
      </c>
      <c r="N611" s="8">
        <v>1017</v>
      </c>
      <c r="O611" s="249">
        <v>10205</v>
      </c>
      <c r="S611" s="89">
        <v>1</v>
      </c>
      <c r="T611" s="8">
        <v>5</v>
      </c>
      <c r="U611" s="89">
        <v>200</v>
      </c>
      <c r="V611" s="87">
        <v>1</v>
      </c>
      <c r="W611">
        <v>1</v>
      </c>
      <c r="X611" s="8">
        <v>1</v>
      </c>
      <c r="Y611">
        <v>0</v>
      </c>
      <c r="Z611" s="33">
        <v>0</v>
      </c>
      <c r="AA611">
        <v>5</v>
      </c>
      <c r="AB611" s="34">
        <v>4000</v>
      </c>
      <c r="AC611" s="87">
        <v>110</v>
      </c>
      <c r="AE611" s="90">
        <v>4</v>
      </c>
      <c r="AF611" s="90">
        <v>2</v>
      </c>
      <c r="AG611" s="91"/>
      <c r="AH611" s="91">
        <v>1</v>
      </c>
      <c r="AI611" s="91"/>
      <c r="AJ611" s="91"/>
      <c r="AK611" s="91"/>
      <c r="AL611" s="92">
        <v>1</v>
      </c>
      <c r="AM611" s="92">
        <v>40</v>
      </c>
      <c r="AN611" s="93"/>
      <c r="AO611" s="92"/>
      <c r="AP611" s="86"/>
      <c r="AS611">
        <v>1</v>
      </c>
    </row>
    <row r="612" ht="14.25" customHeight="1" spans="1:45">
      <c r="A612">
        <v>250085</v>
      </c>
      <c r="B612" s="8">
        <v>1001</v>
      </c>
      <c r="C612" s="8">
        <v>6</v>
      </c>
      <c r="D612" s="8">
        <v>1001</v>
      </c>
      <c r="E612" t="s">
        <v>1699</v>
      </c>
      <c r="F612" s="13" t="s">
        <v>1611</v>
      </c>
      <c r="G612" t="s">
        <v>1700</v>
      </c>
      <c r="H612" t="s">
        <v>1689</v>
      </c>
      <c r="I612">
        <v>1</v>
      </c>
      <c r="J612" s="69">
        <v>5</v>
      </c>
      <c r="K612" s="87">
        <v>2</v>
      </c>
      <c r="L612" s="8">
        <v>999</v>
      </c>
      <c r="M612" s="8">
        <v>0</v>
      </c>
      <c r="N612" s="8">
        <v>1017</v>
      </c>
      <c r="O612" s="249">
        <v>10206</v>
      </c>
      <c r="S612" s="89">
        <v>1</v>
      </c>
      <c r="T612" s="8">
        <v>5</v>
      </c>
      <c r="U612" s="89">
        <v>200</v>
      </c>
      <c r="V612" s="87">
        <v>1</v>
      </c>
      <c r="W612">
        <v>1</v>
      </c>
      <c r="X612" s="8">
        <v>1</v>
      </c>
      <c r="Y612">
        <v>0</v>
      </c>
      <c r="Z612" s="33">
        <v>0</v>
      </c>
      <c r="AA612">
        <v>5</v>
      </c>
      <c r="AB612" s="34">
        <v>4000</v>
      </c>
      <c r="AC612" s="87">
        <v>110</v>
      </c>
      <c r="AE612" s="90">
        <v>4</v>
      </c>
      <c r="AF612" s="90">
        <v>2</v>
      </c>
      <c r="AG612" s="91"/>
      <c r="AH612" s="91">
        <v>1</v>
      </c>
      <c r="AI612" s="91"/>
      <c r="AJ612" s="91"/>
      <c r="AK612" s="91"/>
      <c r="AL612" s="92">
        <v>1</v>
      </c>
      <c r="AM612" s="92">
        <v>60</v>
      </c>
      <c r="AN612" s="93"/>
      <c r="AO612" s="92"/>
      <c r="AP612" s="86"/>
      <c r="AS612">
        <v>1</v>
      </c>
    </row>
    <row r="613" ht="14.25" customHeight="1" spans="1:45">
      <c r="A613">
        <v>250086</v>
      </c>
      <c r="B613" s="8">
        <v>1001</v>
      </c>
      <c r="C613" s="8">
        <v>6</v>
      </c>
      <c r="D613" s="8">
        <v>1001</v>
      </c>
      <c r="E613" t="s">
        <v>1701</v>
      </c>
      <c r="F613" s="13" t="s">
        <v>1615</v>
      </c>
      <c r="G613" t="s">
        <v>1702</v>
      </c>
      <c r="H613" t="s">
        <v>1692</v>
      </c>
      <c r="I613">
        <v>1</v>
      </c>
      <c r="J613" s="69">
        <v>5</v>
      </c>
      <c r="K613" s="87">
        <v>2</v>
      </c>
      <c r="L613" s="8">
        <v>999</v>
      </c>
      <c r="M613" s="8">
        <v>0</v>
      </c>
      <c r="N613" s="8">
        <v>1017</v>
      </c>
      <c r="O613" s="249">
        <v>10207</v>
      </c>
      <c r="S613" s="89">
        <v>1</v>
      </c>
      <c r="T613" s="8">
        <v>5</v>
      </c>
      <c r="U613" s="89">
        <v>200</v>
      </c>
      <c r="V613" s="87">
        <v>1</v>
      </c>
      <c r="W613">
        <v>1</v>
      </c>
      <c r="X613" s="8">
        <v>1</v>
      </c>
      <c r="Y613">
        <v>0</v>
      </c>
      <c r="Z613" s="33">
        <v>0</v>
      </c>
      <c r="AA613">
        <v>5</v>
      </c>
      <c r="AB613" s="34">
        <v>4000</v>
      </c>
      <c r="AC613" s="87">
        <v>110</v>
      </c>
      <c r="AE613" s="90">
        <v>4</v>
      </c>
      <c r="AF613" s="90">
        <v>2</v>
      </c>
      <c r="AG613" s="91"/>
      <c r="AH613" s="91">
        <v>1</v>
      </c>
      <c r="AI613" s="91"/>
      <c r="AJ613" s="91"/>
      <c r="AK613" s="91"/>
      <c r="AL613" s="92">
        <v>1</v>
      </c>
      <c r="AM613" s="92">
        <v>60</v>
      </c>
      <c r="AN613" s="93"/>
      <c r="AO613" s="92"/>
      <c r="AP613" s="86"/>
      <c r="AS613">
        <v>1</v>
      </c>
    </row>
    <row r="614" ht="14.25" customHeight="1" spans="1:45">
      <c r="A614">
        <v>250087</v>
      </c>
      <c r="B614" s="8">
        <v>1001</v>
      </c>
      <c r="C614" s="8">
        <v>6</v>
      </c>
      <c r="D614" s="8">
        <v>1001</v>
      </c>
      <c r="E614" t="s">
        <v>1703</v>
      </c>
      <c r="F614" s="13" t="s">
        <v>1619</v>
      </c>
      <c r="G614" t="s">
        <v>1704</v>
      </c>
      <c r="H614" t="s">
        <v>1695</v>
      </c>
      <c r="I614">
        <v>1</v>
      </c>
      <c r="J614" s="69">
        <v>5</v>
      </c>
      <c r="K614" s="87">
        <v>2</v>
      </c>
      <c r="L614" s="8">
        <v>999</v>
      </c>
      <c r="M614" s="8">
        <v>0</v>
      </c>
      <c r="N614" s="8">
        <v>1017</v>
      </c>
      <c r="O614" s="249">
        <v>10208</v>
      </c>
      <c r="S614" s="89">
        <v>1</v>
      </c>
      <c r="T614" s="8">
        <v>5</v>
      </c>
      <c r="U614" s="89">
        <v>200</v>
      </c>
      <c r="V614" s="87">
        <v>1</v>
      </c>
      <c r="W614">
        <v>1</v>
      </c>
      <c r="X614" s="8">
        <v>1</v>
      </c>
      <c r="Y614">
        <v>0</v>
      </c>
      <c r="Z614" s="33">
        <v>0</v>
      </c>
      <c r="AA614">
        <v>5</v>
      </c>
      <c r="AB614" s="34">
        <v>4000</v>
      </c>
      <c r="AC614" s="87">
        <v>110</v>
      </c>
      <c r="AE614" s="90">
        <v>4</v>
      </c>
      <c r="AF614" s="90">
        <v>2</v>
      </c>
      <c r="AG614" s="91"/>
      <c r="AH614" s="91">
        <v>1</v>
      </c>
      <c r="AI614" s="91"/>
      <c r="AJ614" s="91"/>
      <c r="AK614" s="91"/>
      <c r="AL614" s="92">
        <v>1</v>
      </c>
      <c r="AM614" s="92">
        <v>60</v>
      </c>
      <c r="AN614" s="93"/>
      <c r="AO614" s="92"/>
      <c r="AP614" s="86"/>
      <c r="AS614">
        <v>1</v>
      </c>
    </row>
    <row r="615" ht="14.25" customHeight="1" spans="1:45">
      <c r="A615">
        <v>250088</v>
      </c>
      <c r="B615" s="8">
        <v>1001</v>
      </c>
      <c r="C615" s="8">
        <v>6</v>
      </c>
      <c r="D615" s="8">
        <v>1001</v>
      </c>
      <c r="E615" t="s">
        <v>1705</v>
      </c>
      <c r="F615" s="13" t="s">
        <v>1623</v>
      </c>
      <c r="G615" t="s">
        <v>1706</v>
      </c>
      <c r="H615" t="s">
        <v>1698</v>
      </c>
      <c r="I615">
        <v>1</v>
      </c>
      <c r="J615" s="69">
        <v>5</v>
      </c>
      <c r="K615" s="87">
        <v>2</v>
      </c>
      <c r="L615" s="8">
        <v>999</v>
      </c>
      <c r="M615" s="8">
        <v>0</v>
      </c>
      <c r="N615" s="8">
        <v>1017</v>
      </c>
      <c r="O615" s="249">
        <v>10209</v>
      </c>
      <c r="S615" s="89">
        <v>1</v>
      </c>
      <c r="T615" s="8">
        <v>5</v>
      </c>
      <c r="U615" s="89">
        <v>200</v>
      </c>
      <c r="V615" s="87">
        <v>1</v>
      </c>
      <c r="W615">
        <v>1</v>
      </c>
      <c r="X615" s="8">
        <v>1</v>
      </c>
      <c r="Y615">
        <v>0</v>
      </c>
      <c r="Z615" s="33">
        <v>0</v>
      </c>
      <c r="AA615">
        <v>5</v>
      </c>
      <c r="AB615" s="34">
        <v>4000</v>
      </c>
      <c r="AC615" s="87">
        <v>110</v>
      </c>
      <c r="AE615" s="90">
        <v>4</v>
      </c>
      <c r="AF615" s="90">
        <v>2</v>
      </c>
      <c r="AG615" s="91"/>
      <c r="AH615" s="91">
        <v>1</v>
      </c>
      <c r="AI615" s="91"/>
      <c r="AJ615" s="91"/>
      <c r="AK615" s="91"/>
      <c r="AL615" s="92">
        <v>1</v>
      </c>
      <c r="AM615" s="92">
        <v>60</v>
      </c>
      <c r="AN615" s="93"/>
      <c r="AO615" s="92"/>
      <c r="AP615" s="86"/>
      <c r="AQ615"/>
      <c r="AS615">
        <v>1</v>
      </c>
    </row>
    <row r="616" ht="14.25" customHeight="1" spans="1:45">
      <c r="A616">
        <v>250089</v>
      </c>
      <c r="B616" s="8">
        <v>1001</v>
      </c>
      <c r="C616" s="8">
        <v>6</v>
      </c>
      <c r="D616" s="8">
        <v>1001</v>
      </c>
      <c r="E616" t="s">
        <v>1660</v>
      </c>
      <c r="F616" s="13" t="s">
        <v>1707</v>
      </c>
      <c r="G616" t="s">
        <v>1708</v>
      </c>
      <c r="H616" s="86" t="s">
        <v>1709</v>
      </c>
      <c r="I616">
        <v>1</v>
      </c>
      <c r="J616" s="69">
        <v>5</v>
      </c>
      <c r="K616" s="87">
        <v>2</v>
      </c>
      <c r="L616" s="8">
        <v>999</v>
      </c>
      <c r="M616" s="8">
        <v>0</v>
      </c>
      <c r="N616" s="8">
        <v>1017</v>
      </c>
      <c r="O616" s="2">
        <v>10235</v>
      </c>
      <c r="S616" s="89">
        <v>1</v>
      </c>
      <c r="T616" s="8">
        <v>5</v>
      </c>
      <c r="U616" s="89">
        <v>200</v>
      </c>
      <c r="V616" s="87">
        <v>1</v>
      </c>
      <c r="W616">
        <v>1</v>
      </c>
      <c r="X616" s="8">
        <v>1</v>
      </c>
      <c r="Y616">
        <v>0</v>
      </c>
      <c r="Z616" s="33">
        <v>0</v>
      </c>
      <c r="AA616">
        <v>5</v>
      </c>
      <c r="AB616" s="34">
        <v>4000</v>
      </c>
      <c r="AC616" s="87">
        <v>110</v>
      </c>
      <c r="AE616" s="90">
        <v>4</v>
      </c>
      <c r="AF616" s="90">
        <v>2</v>
      </c>
      <c r="AG616" s="91"/>
      <c r="AH616" s="91">
        <v>1</v>
      </c>
      <c r="AI616" s="251"/>
      <c r="AJ616" s="91"/>
      <c r="AK616" s="91"/>
      <c r="AL616" s="92">
        <v>1</v>
      </c>
      <c r="AM616" s="92">
        <v>60</v>
      </c>
      <c r="AN616" s="93"/>
      <c r="AO616" s="92"/>
      <c r="AP616" s="86"/>
      <c r="AQ616" t="s">
        <v>1660</v>
      </c>
      <c r="AS616">
        <v>1</v>
      </c>
    </row>
    <row r="617" ht="14.25" customHeight="1" spans="1:45">
      <c r="A617">
        <v>250090</v>
      </c>
      <c r="B617" s="8">
        <v>1001</v>
      </c>
      <c r="C617" s="8">
        <v>1</v>
      </c>
      <c r="D617" s="8">
        <v>1001</v>
      </c>
      <c r="E617" t="s">
        <v>1710</v>
      </c>
      <c r="F617" s="13" t="s">
        <v>1710</v>
      </c>
      <c r="G617" t="s">
        <v>1711</v>
      </c>
      <c r="H617" s="86" t="s">
        <v>1712</v>
      </c>
      <c r="I617">
        <v>1</v>
      </c>
      <c r="J617" s="69">
        <v>5</v>
      </c>
      <c r="K617" s="87">
        <v>1</v>
      </c>
      <c r="L617" s="8">
        <v>999</v>
      </c>
      <c r="M617" s="8">
        <v>0</v>
      </c>
      <c r="N617" s="8"/>
      <c r="S617" s="89">
        <v>1</v>
      </c>
      <c r="T617" s="8">
        <v>5</v>
      </c>
      <c r="U617" s="89">
        <v>1</v>
      </c>
      <c r="V617" s="87">
        <v>1</v>
      </c>
      <c r="W617">
        <v>1</v>
      </c>
      <c r="X617" s="8">
        <v>1</v>
      </c>
      <c r="Y617">
        <v>0</v>
      </c>
      <c r="Z617" s="33">
        <v>0</v>
      </c>
      <c r="AA617">
        <v>5</v>
      </c>
      <c r="AB617" s="34">
        <v>4000</v>
      </c>
      <c r="AC617" s="87">
        <v>110</v>
      </c>
      <c r="AE617" s="90">
        <v>4</v>
      </c>
      <c r="AF617" s="90">
        <v>2</v>
      </c>
      <c r="AG617" s="91"/>
      <c r="AH617" s="91">
        <v>1</v>
      </c>
      <c r="AI617" s="63" t="s">
        <v>1713</v>
      </c>
      <c r="AJ617" s="91"/>
      <c r="AK617" s="91"/>
      <c r="AL617" s="92">
        <v>1</v>
      </c>
      <c r="AM617" s="92"/>
      <c r="AN617" s="93"/>
      <c r="AO617" s="92"/>
      <c r="AP617" s="86"/>
      <c r="AQ617" t="s">
        <v>1660</v>
      </c>
      <c r="AS617">
        <v>1</v>
      </c>
    </row>
    <row r="618" ht="14.25" customHeight="1" spans="1:45">
      <c r="A618">
        <v>250091</v>
      </c>
      <c r="B618" s="8">
        <v>1001</v>
      </c>
      <c r="C618" s="8">
        <v>6</v>
      </c>
      <c r="D618" s="8">
        <v>1001</v>
      </c>
      <c r="E618" t="s">
        <v>1714</v>
      </c>
      <c r="F618" s="13" t="s">
        <v>1715</v>
      </c>
      <c r="G618" t="s">
        <v>1716</v>
      </c>
      <c r="H618" s="86" t="s">
        <v>1717</v>
      </c>
      <c r="I618">
        <v>1</v>
      </c>
      <c r="J618" s="69">
        <v>5</v>
      </c>
      <c r="K618" s="87">
        <v>2</v>
      </c>
      <c r="L618" s="8">
        <v>999</v>
      </c>
      <c r="M618" s="8">
        <v>0</v>
      </c>
      <c r="N618" s="8">
        <v>1017</v>
      </c>
      <c r="O618" s="2">
        <v>10238</v>
      </c>
      <c r="S618" s="89">
        <v>1</v>
      </c>
      <c r="T618" s="8">
        <v>5</v>
      </c>
      <c r="U618" s="89">
        <v>1</v>
      </c>
      <c r="V618" s="87">
        <v>1</v>
      </c>
      <c r="W618">
        <v>1</v>
      </c>
      <c r="X618" s="8">
        <v>1</v>
      </c>
      <c r="Y618">
        <v>0</v>
      </c>
      <c r="Z618" s="33">
        <v>0</v>
      </c>
      <c r="AA618">
        <v>5</v>
      </c>
      <c r="AB618" s="34">
        <v>4000</v>
      </c>
      <c r="AC618" s="87">
        <v>110</v>
      </c>
      <c r="AE618" s="90">
        <v>4</v>
      </c>
      <c r="AF618" s="90">
        <v>2</v>
      </c>
      <c r="AG618" s="91"/>
      <c r="AH618" s="91">
        <v>1</v>
      </c>
      <c r="AI618" s="91"/>
      <c r="AJ618" s="91"/>
      <c r="AK618" s="91"/>
      <c r="AL618" s="92">
        <v>1</v>
      </c>
      <c r="AM618" s="92">
        <v>60</v>
      </c>
      <c r="AN618" s="93"/>
      <c r="AO618" s="92"/>
      <c r="AP618" s="86"/>
      <c r="AS618">
        <v>1</v>
      </c>
    </row>
    <row r="619" ht="14.25" customHeight="1" spans="1:45">
      <c r="A619">
        <v>250092</v>
      </c>
      <c r="B619" s="8">
        <v>1001</v>
      </c>
      <c r="C619" s="8">
        <v>6</v>
      </c>
      <c r="D619" s="8">
        <v>1001</v>
      </c>
      <c r="E619" t="s">
        <v>1718</v>
      </c>
      <c r="F619" s="13" t="s">
        <v>1719</v>
      </c>
      <c r="G619" t="s">
        <v>1700</v>
      </c>
      <c r="H619" t="s">
        <v>1689</v>
      </c>
      <c r="I619">
        <v>1</v>
      </c>
      <c r="J619" s="69">
        <v>5</v>
      </c>
      <c r="K619" s="87">
        <v>2</v>
      </c>
      <c r="L619" s="8">
        <v>999</v>
      </c>
      <c r="M619" s="8">
        <v>0</v>
      </c>
      <c r="N619" s="8">
        <v>1017</v>
      </c>
      <c r="O619" s="249">
        <v>10206</v>
      </c>
      <c r="S619" s="89">
        <v>1</v>
      </c>
      <c r="T619" s="8">
        <v>5</v>
      </c>
      <c r="U619" s="89">
        <v>200</v>
      </c>
      <c r="V619" s="87">
        <v>1</v>
      </c>
      <c r="W619">
        <v>1</v>
      </c>
      <c r="X619" s="8">
        <v>1</v>
      </c>
      <c r="Y619">
        <v>0</v>
      </c>
      <c r="Z619" s="33">
        <v>0</v>
      </c>
      <c r="AA619">
        <v>5</v>
      </c>
      <c r="AB619" s="34">
        <v>4000</v>
      </c>
      <c r="AC619" s="87">
        <v>110</v>
      </c>
      <c r="AE619" s="90">
        <v>4</v>
      </c>
      <c r="AF619" s="90">
        <v>2</v>
      </c>
      <c r="AG619" s="91"/>
      <c r="AH619" s="91">
        <v>1</v>
      </c>
      <c r="AI619" s="91"/>
      <c r="AJ619" s="91"/>
      <c r="AK619" s="91"/>
      <c r="AL619" s="92">
        <v>1</v>
      </c>
      <c r="AM619" s="92">
        <v>60</v>
      </c>
      <c r="AN619" s="93"/>
      <c r="AO619" s="92"/>
      <c r="AP619" s="86"/>
      <c r="AS619">
        <v>1</v>
      </c>
    </row>
    <row r="620" ht="14.25" customHeight="1" spans="1:45">
      <c r="A620">
        <v>250093</v>
      </c>
      <c r="B620" s="8">
        <v>1001</v>
      </c>
      <c r="C620" s="8">
        <v>6</v>
      </c>
      <c r="D620" s="8">
        <v>1001</v>
      </c>
      <c r="E620" t="s">
        <v>1720</v>
      </c>
      <c r="F620" s="13" t="s">
        <v>1721</v>
      </c>
      <c r="G620" t="s">
        <v>1702</v>
      </c>
      <c r="H620" t="s">
        <v>1692</v>
      </c>
      <c r="I620">
        <v>1</v>
      </c>
      <c r="J620" s="69">
        <v>5</v>
      </c>
      <c r="K620" s="87">
        <v>2</v>
      </c>
      <c r="L620" s="8">
        <v>999</v>
      </c>
      <c r="M620" s="8">
        <v>0</v>
      </c>
      <c r="N620" s="8">
        <v>1017</v>
      </c>
      <c r="O620" s="249">
        <v>10207</v>
      </c>
      <c r="S620" s="89">
        <v>1</v>
      </c>
      <c r="T620" s="8">
        <v>5</v>
      </c>
      <c r="U620" s="89">
        <v>200</v>
      </c>
      <c r="V620" s="87">
        <v>1</v>
      </c>
      <c r="W620">
        <v>1</v>
      </c>
      <c r="X620" s="8">
        <v>1</v>
      </c>
      <c r="Y620">
        <v>0</v>
      </c>
      <c r="Z620" s="33">
        <v>0</v>
      </c>
      <c r="AA620">
        <v>5</v>
      </c>
      <c r="AB620" s="34">
        <v>4000</v>
      </c>
      <c r="AC620" s="87">
        <v>110</v>
      </c>
      <c r="AE620" s="90">
        <v>4</v>
      </c>
      <c r="AF620" s="90">
        <v>2</v>
      </c>
      <c r="AG620" s="91"/>
      <c r="AH620" s="91">
        <v>1</v>
      </c>
      <c r="AI620" s="91"/>
      <c r="AJ620" s="91"/>
      <c r="AK620" s="91"/>
      <c r="AL620" s="92">
        <v>1</v>
      </c>
      <c r="AM620" s="92">
        <v>60</v>
      </c>
      <c r="AN620" s="93"/>
      <c r="AO620" s="92"/>
      <c r="AP620" s="86"/>
      <c r="AS620">
        <v>1</v>
      </c>
    </row>
    <row r="621" ht="14.25" customHeight="1" spans="1:45">
      <c r="A621">
        <v>250094</v>
      </c>
      <c r="B621" s="8">
        <v>1001</v>
      </c>
      <c r="C621" s="8">
        <v>6</v>
      </c>
      <c r="D621" s="8">
        <v>1001</v>
      </c>
      <c r="E621" t="s">
        <v>1722</v>
      </c>
      <c r="F621" s="13" t="s">
        <v>1723</v>
      </c>
      <c r="G621" t="s">
        <v>1704</v>
      </c>
      <c r="H621" t="s">
        <v>1695</v>
      </c>
      <c r="I621">
        <v>1</v>
      </c>
      <c r="J621" s="69">
        <v>5</v>
      </c>
      <c r="K621" s="87">
        <v>2</v>
      </c>
      <c r="L621" s="8">
        <v>999</v>
      </c>
      <c r="M621" s="8">
        <v>0</v>
      </c>
      <c r="N621" s="8">
        <v>1017</v>
      </c>
      <c r="O621" s="249">
        <v>10208</v>
      </c>
      <c r="S621" s="89">
        <v>1</v>
      </c>
      <c r="T621" s="8">
        <v>5</v>
      </c>
      <c r="U621" s="89">
        <v>200</v>
      </c>
      <c r="V621" s="87">
        <v>1</v>
      </c>
      <c r="W621">
        <v>1</v>
      </c>
      <c r="X621" s="8">
        <v>1</v>
      </c>
      <c r="Y621">
        <v>0</v>
      </c>
      <c r="Z621" s="33">
        <v>0</v>
      </c>
      <c r="AA621">
        <v>5</v>
      </c>
      <c r="AB621" s="34">
        <v>4000</v>
      </c>
      <c r="AC621" s="87">
        <v>110</v>
      </c>
      <c r="AE621" s="90">
        <v>4</v>
      </c>
      <c r="AF621" s="90">
        <v>2</v>
      </c>
      <c r="AG621" s="91"/>
      <c r="AH621" s="91">
        <v>1</v>
      </c>
      <c r="AI621" s="91"/>
      <c r="AJ621" s="91"/>
      <c r="AK621" s="91"/>
      <c r="AL621" s="92">
        <v>1</v>
      </c>
      <c r="AM621" s="92">
        <v>60</v>
      </c>
      <c r="AN621" s="93"/>
      <c r="AO621" s="92"/>
      <c r="AP621" s="86"/>
      <c r="AS621">
        <v>1</v>
      </c>
    </row>
    <row r="622" ht="14.25" customHeight="1" spans="1:45">
      <c r="A622">
        <v>250095</v>
      </c>
      <c r="B622" s="8">
        <v>1001</v>
      </c>
      <c r="C622" s="8">
        <v>6</v>
      </c>
      <c r="D622" s="8">
        <v>1001</v>
      </c>
      <c r="E622" t="s">
        <v>1724</v>
      </c>
      <c r="F622" s="13" t="s">
        <v>1725</v>
      </c>
      <c r="G622" t="s">
        <v>1706</v>
      </c>
      <c r="H622" t="s">
        <v>1698</v>
      </c>
      <c r="I622">
        <v>1</v>
      </c>
      <c r="J622" s="69">
        <v>5</v>
      </c>
      <c r="K622" s="87">
        <v>2</v>
      </c>
      <c r="L622" s="8">
        <v>999</v>
      </c>
      <c r="M622" s="8">
        <v>0</v>
      </c>
      <c r="N622" s="8">
        <v>1017</v>
      </c>
      <c r="O622" s="249">
        <v>10209</v>
      </c>
      <c r="S622" s="89">
        <v>1</v>
      </c>
      <c r="T622" s="8">
        <v>5</v>
      </c>
      <c r="U622" s="89">
        <v>200</v>
      </c>
      <c r="V622" s="87">
        <v>1</v>
      </c>
      <c r="W622">
        <v>1</v>
      </c>
      <c r="X622" s="8">
        <v>1</v>
      </c>
      <c r="Y622">
        <v>0</v>
      </c>
      <c r="Z622" s="33">
        <v>0</v>
      </c>
      <c r="AA622">
        <v>5</v>
      </c>
      <c r="AB622" s="34">
        <v>4000</v>
      </c>
      <c r="AC622" s="87">
        <v>110</v>
      </c>
      <c r="AE622" s="90">
        <v>4</v>
      </c>
      <c r="AF622" s="90">
        <v>2</v>
      </c>
      <c r="AG622" s="91"/>
      <c r="AH622" s="91">
        <v>1</v>
      </c>
      <c r="AI622" s="251"/>
      <c r="AJ622" s="91"/>
      <c r="AK622" s="91"/>
      <c r="AL622" s="92">
        <v>1</v>
      </c>
      <c r="AM622" s="92">
        <v>60</v>
      </c>
      <c r="AN622" s="93"/>
      <c r="AO622" s="92"/>
      <c r="AP622" s="86"/>
      <c r="AS622">
        <v>1</v>
      </c>
    </row>
    <row r="623" ht="14.25" customHeight="1" spans="1:45">
      <c r="A623">
        <v>250096</v>
      </c>
      <c r="B623" s="8">
        <v>1001</v>
      </c>
      <c r="C623" s="8">
        <v>6</v>
      </c>
      <c r="D623" s="8">
        <v>1001</v>
      </c>
      <c r="E623" t="s">
        <v>1726</v>
      </c>
      <c r="F623" s="13" t="s">
        <v>1715</v>
      </c>
      <c r="G623" t="s">
        <v>1716</v>
      </c>
      <c r="H623" s="86" t="s">
        <v>1717</v>
      </c>
      <c r="I623">
        <v>1</v>
      </c>
      <c r="J623" s="69">
        <v>5</v>
      </c>
      <c r="K623" s="87">
        <v>2</v>
      </c>
      <c r="L623" s="8">
        <v>999</v>
      </c>
      <c r="M623" s="8">
        <v>0</v>
      </c>
      <c r="N623" s="8">
        <v>1017</v>
      </c>
      <c r="O623" s="2">
        <v>10239</v>
      </c>
      <c r="S623" s="89">
        <v>1</v>
      </c>
      <c r="T623" s="8">
        <v>5</v>
      </c>
      <c r="U623" s="89">
        <v>1</v>
      </c>
      <c r="V623" s="87">
        <v>1</v>
      </c>
      <c r="W623">
        <v>1</v>
      </c>
      <c r="X623" s="8">
        <v>1</v>
      </c>
      <c r="Y623">
        <v>0</v>
      </c>
      <c r="Z623" s="33">
        <v>0</v>
      </c>
      <c r="AA623">
        <v>5</v>
      </c>
      <c r="AB623" s="34">
        <v>4000</v>
      </c>
      <c r="AC623" s="87">
        <v>110</v>
      </c>
      <c r="AE623" s="90">
        <v>4</v>
      </c>
      <c r="AF623" s="90">
        <v>2</v>
      </c>
      <c r="AG623" s="91"/>
      <c r="AH623" s="91">
        <v>1</v>
      </c>
      <c r="AI623" s="91"/>
      <c r="AJ623" s="91"/>
      <c r="AK623" s="91"/>
      <c r="AL623" s="92">
        <v>1</v>
      </c>
      <c r="AM623" s="92">
        <v>60</v>
      </c>
      <c r="AN623" s="93"/>
      <c r="AO623" s="92"/>
      <c r="AP623" s="86"/>
      <c r="AS623">
        <v>1</v>
      </c>
    </row>
    <row r="624" ht="14.25" customHeight="1" spans="1:45">
      <c r="A624" s="263">
        <v>250097</v>
      </c>
      <c r="B624" s="8">
        <v>1001</v>
      </c>
      <c r="C624" s="8">
        <v>6</v>
      </c>
      <c r="D624" s="8">
        <v>1001</v>
      </c>
      <c r="E624" t="s">
        <v>1727</v>
      </c>
      <c r="F624" s="13" t="s">
        <v>1611</v>
      </c>
      <c r="G624" t="s">
        <v>1728</v>
      </c>
      <c r="H624" t="s">
        <v>1689</v>
      </c>
      <c r="I624">
        <v>1</v>
      </c>
      <c r="J624" s="69">
        <v>5</v>
      </c>
      <c r="K624" s="87">
        <v>2</v>
      </c>
      <c r="L624" s="8">
        <v>999</v>
      </c>
      <c r="M624" s="8">
        <v>0</v>
      </c>
      <c r="N624" s="8">
        <v>1017</v>
      </c>
      <c r="O624" s="249">
        <v>10261</v>
      </c>
      <c r="S624" s="89">
        <v>1</v>
      </c>
      <c r="T624" s="8">
        <v>5</v>
      </c>
      <c r="U624" s="89">
        <v>200</v>
      </c>
      <c r="V624" s="87">
        <v>1</v>
      </c>
      <c r="W624">
        <v>1</v>
      </c>
      <c r="X624" s="8">
        <v>1</v>
      </c>
      <c r="Y624">
        <v>0</v>
      </c>
      <c r="Z624" s="33">
        <v>0</v>
      </c>
      <c r="AA624">
        <v>5</v>
      </c>
      <c r="AB624" s="34">
        <v>4000</v>
      </c>
      <c r="AC624" s="87">
        <v>110</v>
      </c>
      <c r="AE624" s="90">
        <v>4</v>
      </c>
      <c r="AF624" s="90">
        <v>2</v>
      </c>
      <c r="AG624" s="91"/>
      <c r="AH624" s="91">
        <v>1</v>
      </c>
      <c r="AI624" s="91"/>
      <c r="AJ624" s="91"/>
      <c r="AK624" s="91"/>
      <c r="AL624" s="92">
        <v>1</v>
      </c>
      <c r="AM624" s="92">
        <v>80</v>
      </c>
      <c r="AN624" s="93"/>
      <c r="AO624" s="92"/>
      <c r="AP624" s="86"/>
      <c r="AS624">
        <v>1</v>
      </c>
    </row>
    <row r="625" ht="14.25" customHeight="1" spans="1:45">
      <c r="A625" s="263">
        <v>250098</v>
      </c>
      <c r="B625" s="8">
        <v>1001</v>
      </c>
      <c r="C625" s="8">
        <v>6</v>
      </c>
      <c r="D625" s="8">
        <v>1001</v>
      </c>
      <c r="E625" t="s">
        <v>1729</v>
      </c>
      <c r="F625" s="13" t="s">
        <v>1615</v>
      </c>
      <c r="G625" t="s">
        <v>1730</v>
      </c>
      <c r="H625" t="s">
        <v>1692</v>
      </c>
      <c r="I625">
        <v>1</v>
      </c>
      <c r="J625" s="69">
        <v>5</v>
      </c>
      <c r="K625" s="87">
        <v>2</v>
      </c>
      <c r="L625" s="8">
        <v>999</v>
      </c>
      <c r="M625" s="8">
        <v>0</v>
      </c>
      <c r="N625" s="8">
        <v>1017</v>
      </c>
      <c r="O625" s="249">
        <v>10264</v>
      </c>
      <c r="S625" s="89">
        <v>1</v>
      </c>
      <c r="T625" s="8">
        <v>5</v>
      </c>
      <c r="U625" s="89">
        <v>200</v>
      </c>
      <c r="V625" s="87">
        <v>1</v>
      </c>
      <c r="W625">
        <v>1</v>
      </c>
      <c r="X625" s="8">
        <v>1</v>
      </c>
      <c r="Y625">
        <v>0</v>
      </c>
      <c r="Z625" s="33">
        <v>0</v>
      </c>
      <c r="AA625">
        <v>5</v>
      </c>
      <c r="AB625" s="34">
        <v>4000</v>
      </c>
      <c r="AC625" s="87">
        <v>110</v>
      </c>
      <c r="AE625" s="90">
        <v>4</v>
      </c>
      <c r="AF625" s="90">
        <v>2</v>
      </c>
      <c r="AG625" s="91"/>
      <c r="AH625" s="91">
        <v>1</v>
      </c>
      <c r="AI625" s="91"/>
      <c r="AJ625" s="91"/>
      <c r="AK625" s="91"/>
      <c r="AL625" s="92">
        <v>1</v>
      </c>
      <c r="AM625" s="92">
        <v>80</v>
      </c>
      <c r="AN625" s="93"/>
      <c r="AO625" s="92"/>
      <c r="AP625" s="86"/>
      <c r="AS625">
        <v>1</v>
      </c>
    </row>
    <row r="626" ht="14.25" customHeight="1" spans="1:45">
      <c r="A626" s="263">
        <v>250099</v>
      </c>
      <c r="B626" s="8">
        <v>1001</v>
      </c>
      <c r="C626" s="8">
        <v>6</v>
      </c>
      <c r="D626" s="8">
        <v>1001</v>
      </c>
      <c r="E626" t="s">
        <v>1731</v>
      </c>
      <c r="F626" s="13" t="s">
        <v>1619</v>
      </c>
      <c r="G626" t="s">
        <v>1732</v>
      </c>
      <c r="H626" t="s">
        <v>1695</v>
      </c>
      <c r="I626">
        <v>1</v>
      </c>
      <c r="J626" s="69">
        <v>5</v>
      </c>
      <c r="K626" s="87">
        <v>2</v>
      </c>
      <c r="L626" s="8">
        <v>999</v>
      </c>
      <c r="M626" s="8">
        <v>0</v>
      </c>
      <c r="N626" s="8">
        <v>1017</v>
      </c>
      <c r="O626" s="249">
        <v>10267</v>
      </c>
      <c r="S626" s="89">
        <v>1</v>
      </c>
      <c r="T626" s="8">
        <v>5</v>
      </c>
      <c r="U626" s="89">
        <v>200</v>
      </c>
      <c r="V626" s="87">
        <v>1</v>
      </c>
      <c r="W626">
        <v>1</v>
      </c>
      <c r="X626" s="8">
        <v>1</v>
      </c>
      <c r="Y626">
        <v>0</v>
      </c>
      <c r="Z626" s="33">
        <v>0</v>
      </c>
      <c r="AA626">
        <v>5</v>
      </c>
      <c r="AB626" s="34">
        <v>4000</v>
      </c>
      <c r="AC626" s="87">
        <v>110</v>
      </c>
      <c r="AE626" s="90">
        <v>4</v>
      </c>
      <c r="AF626" s="90">
        <v>2</v>
      </c>
      <c r="AG626" s="91"/>
      <c r="AH626" s="91">
        <v>1</v>
      </c>
      <c r="AI626" s="91"/>
      <c r="AJ626" s="91"/>
      <c r="AK626" s="91"/>
      <c r="AL626" s="92">
        <v>1</v>
      </c>
      <c r="AM626" s="92">
        <v>80</v>
      </c>
      <c r="AN626" s="93"/>
      <c r="AO626" s="92"/>
      <c r="AP626" s="86"/>
      <c r="AS626">
        <v>1</v>
      </c>
    </row>
    <row r="627" ht="14.25" customHeight="1" spans="1:45">
      <c r="A627" s="263">
        <v>250100</v>
      </c>
      <c r="B627" s="8">
        <v>1001</v>
      </c>
      <c r="C627" s="8">
        <v>6</v>
      </c>
      <c r="D627" s="8">
        <v>1001</v>
      </c>
      <c r="E627" t="s">
        <v>1733</v>
      </c>
      <c r="F627" s="13" t="s">
        <v>1623</v>
      </c>
      <c r="G627" t="s">
        <v>1734</v>
      </c>
      <c r="H627" t="s">
        <v>1698</v>
      </c>
      <c r="I627">
        <v>1</v>
      </c>
      <c r="J627" s="69">
        <v>5</v>
      </c>
      <c r="K627" s="87">
        <v>2</v>
      </c>
      <c r="L627" s="8">
        <v>999</v>
      </c>
      <c r="M627" s="8">
        <v>0</v>
      </c>
      <c r="N627" s="8">
        <v>1017</v>
      </c>
      <c r="O627" s="249">
        <v>10270</v>
      </c>
      <c r="S627" s="89">
        <v>1</v>
      </c>
      <c r="T627" s="8">
        <v>5</v>
      </c>
      <c r="U627" s="89">
        <v>200</v>
      </c>
      <c r="V627" s="87">
        <v>1</v>
      </c>
      <c r="W627">
        <v>1</v>
      </c>
      <c r="X627" s="8">
        <v>1</v>
      </c>
      <c r="Y627">
        <v>0</v>
      </c>
      <c r="Z627" s="33">
        <v>0</v>
      </c>
      <c r="AA627">
        <v>5</v>
      </c>
      <c r="AB627" s="34">
        <v>4000</v>
      </c>
      <c r="AC627" s="87">
        <v>110</v>
      </c>
      <c r="AE627" s="90">
        <v>4</v>
      </c>
      <c r="AF627" s="90">
        <v>2</v>
      </c>
      <c r="AG627" s="91"/>
      <c r="AH627" s="91">
        <v>1</v>
      </c>
      <c r="AI627" s="91"/>
      <c r="AJ627" s="91"/>
      <c r="AK627" s="91"/>
      <c r="AL627" s="92">
        <v>1</v>
      </c>
      <c r="AM627" s="92">
        <v>80</v>
      </c>
      <c r="AN627" s="93"/>
      <c r="AO627" s="92"/>
      <c r="AP627" s="86"/>
      <c r="AS627">
        <v>1</v>
      </c>
    </row>
    <row r="628" ht="14.25" customHeight="1" spans="1:45">
      <c r="A628" s="263">
        <v>250101</v>
      </c>
      <c r="B628" s="8">
        <v>1001</v>
      </c>
      <c r="C628" s="8">
        <v>6</v>
      </c>
      <c r="D628" s="8">
        <v>1001</v>
      </c>
      <c r="E628" t="s">
        <v>1735</v>
      </c>
      <c r="F628" s="13" t="s">
        <v>1611</v>
      </c>
      <c r="G628" t="s">
        <v>1736</v>
      </c>
      <c r="H628" t="s">
        <v>1689</v>
      </c>
      <c r="I628">
        <v>1</v>
      </c>
      <c r="J628" s="69">
        <v>5</v>
      </c>
      <c r="K628" s="87">
        <v>2</v>
      </c>
      <c r="L628" s="8">
        <v>999</v>
      </c>
      <c r="M628" s="8">
        <v>0</v>
      </c>
      <c r="N628" s="8">
        <v>1017</v>
      </c>
      <c r="O628" s="264">
        <v>10244</v>
      </c>
      <c r="S628" s="89">
        <v>1</v>
      </c>
      <c r="T628" s="8">
        <v>5</v>
      </c>
      <c r="U628" s="89">
        <v>200</v>
      </c>
      <c r="V628" s="87">
        <v>1</v>
      </c>
      <c r="W628">
        <v>1</v>
      </c>
      <c r="X628" s="8">
        <v>1</v>
      </c>
      <c r="Y628">
        <v>0</v>
      </c>
      <c r="Z628" s="33">
        <v>0</v>
      </c>
      <c r="AA628">
        <v>5</v>
      </c>
      <c r="AB628" s="34">
        <v>4000</v>
      </c>
      <c r="AC628" s="87">
        <v>110</v>
      </c>
      <c r="AE628" s="90">
        <v>4</v>
      </c>
      <c r="AF628" s="90">
        <v>2</v>
      </c>
      <c r="AG628" s="91"/>
      <c r="AH628" s="91">
        <v>1</v>
      </c>
      <c r="AI628" s="91"/>
      <c r="AJ628" s="91"/>
      <c r="AK628" s="91"/>
      <c r="AL628" s="92">
        <v>1</v>
      </c>
      <c r="AM628" s="92">
        <v>80</v>
      </c>
      <c r="AN628" s="93"/>
      <c r="AO628" s="92"/>
      <c r="AP628" s="86"/>
      <c r="AS628">
        <v>1</v>
      </c>
    </row>
    <row r="629" ht="14.25" customHeight="1" spans="1:45">
      <c r="A629" s="263">
        <v>250102</v>
      </c>
      <c r="B629" s="8">
        <v>1001</v>
      </c>
      <c r="C629" s="8">
        <v>6</v>
      </c>
      <c r="D629" s="8">
        <v>1001</v>
      </c>
      <c r="E629" t="s">
        <v>1737</v>
      </c>
      <c r="F629" s="13" t="s">
        <v>1615</v>
      </c>
      <c r="G629" t="s">
        <v>1738</v>
      </c>
      <c r="H629" t="s">
        <v>1692</v>
      </c>
      <c r="I629">
        <v>1</v>
      </c>
      <c r="J629" s="69">
        <v>5</v>
      </c>
      <c r="K629" s="87">
        <v>2</v>
      </c>
      <c r="L629" s="8">
        <v>999</v>
      </c>
      <c r="M629" s="8">
        <v>0</v>
      </c>
      <c r="N629" s="8">
        <v>1017</v>
      </c>
      <c r="O629" s="265">
        <v>10247</v>
      </c>
      <c r="S629" s="89">
        <v>1</v>
      </c>
      <c r="T629" s="8">
        <v>5</v>
      </c>
      <c r="U629" s="89">
        <v>200</v>
      </c>
      <c r="V629" s="87">
        <v>1</v>
      </c>
      <c r="W629">
        <v>1</v>
      </c>
      <c r="X629" s="8">
        <v>1</v>
      </c>
      <c r="Y629">
        <v>0</v>
      </c>
      <c r="Z629" s="33">
        <v>0</v>
      </c>
      <c r="AA629">
        <v>5</v>
      </c>
      <c r="AB629" s="34">
        <v>4000</v>
      </c>
      <c r="AC629" s="87">
        <v>110</v>
      </c>
      <c r="AE629" s="90">
        <v>4</v>
      </c>
      <c r="AF629" s="90">
        <v>2</v>
      </c>
      <c r="AG629" s="91"/>
      <c r="AH629" s="91">
        <v>1</v>
      </c>
      <c r="AI629" s="91"/>
      <c r="AJ629" s="91"/>
      <c r="AK629" s="91"/>
      <c r="AL629" s="92">
        <v>1</v>
      </c>
      <c r="AM629" s="92">
        <v>80</v>
      </c>
      <c r="AN629" s="93"/>
      <c r="AO629" s="92"/>
      <c r="AP629" s="86"/>
      <c r="AS629">
        <v>1</v>
      </c>
    </row>
    <row r="630" ht="15" customHeight="1" spans="1:45">
      <c r="A630" s="263">
        <v>250103</v>
      </c>
      <c r="B630" s="8">
        <v>1001</v>
      </c>
      <c r="C630" s="8">
        <v>6</v>
      </c>
      <c r="D630" s="8">
        <v>1001</v>
      </c>
      <c r="E630" t="s">
        <v>1739</v>
      </c>
      <c r="F630" s="13" t="s">
        <v>1619</v>
      </c>
      <c r="G630" t="s">
        <v>1740</v>
      </c>
      <c r="H630" t="s">
        <v>1695</v>
      </c>
      <c r="I630">
        <v>1</v>
      </c>
      <c r="J630" s="69">
        <v>5</v>
      </c>
      <c r="K630" s="87">
        <v>2</v>
      </c>
      <c r="L630" s="8">
        <v>999</v>
      </c>
      <c r="M630" s="8">
        <v>0</v>
      </c>
      <c r="N630" s="8">
        <v>1017</v>
      </c>
      <c r="O630" s="266">
        <v>10250</v>
      </c>
      <c r="S630" s="89">
        <v>1</v>
      </c>
      <c r="T630" s="8">
        <v>5</v>
      </c>
      <c r="U630" s="89">
        <v>200</v>
      </c>
      <c r="V630" s="87">
        <v>1</v>
      </c>
      <c r="W630">
        <v>1</v>
      </c>
      <c r="X630" s="8">
        <v>1</v>
      </c>
      <c r="Y630">
        <v>0</v>
      </c>
      <c r="Z630" s="33">
        <v>0</v>
      </c>
      <c r="AA630">
        <v>5</v>
      </c>
      <c r="AB630" s="34">
        <v>4000</v>
      </c>
      <c r="AC630" s="87">
        <v>110</v>
      </c>
      <c r="AE630" s="90">
        <v>4</v>
      </c>
      <c r="AF630" s="90">
        <v>2</v>
      </c>
      <c r="AG630" s="91"/>
      <c r="AH630" s="91">
        <v>1</v>
      </c>
      <c r="AI630" s="91"/>
      <c r="AJ630" s="91"/>
      <c r="AK630" s="91"/>
      <c r="AL630" s="92">
        <v>1</v>
      </c>
      <c r="AM630" s="92">
        <v>80</v>
      </c>
      <c r="AN630" s="93"/>
      <c r="AO630" s="92"/>
      <c r="AP630" s="86"/>
      <c r="AS630">
        <v>1</v>
      </c>
    </row>
    <row r="631" ht="15" customHeight="1" spans="1:45">
      <c r="A631" s="267">
        <v>250104</v>
      </c>
      <c r="B631" s="8">
        <v>1001</v>
      </c>
      <c r="C631" s="8">
        <v>6</v>
      </c>
      <c r="D631" s="8">
        <v>1001</v>
      </c>
      <c r="E631" t="s">
        <v>1741</v>
      </c>
      <c r="F631" s="13" t="s">
        <v>1623</v>
      </c>
      <c r="G631" t="s">
        <v>1742</v>
      </c>
      <c r="H631" t="s">
        <v>1698</v>
      </c>
      <c r="I631">
        <v>1</v>
      </c>
      <c r="J631" s="69">
        <v>5</v>
      </c>
      <c r="K631" s="87">
        <v>2</v>
      </c>
      <c r="L631" s="8">
        <v>999</v>
      </c>
      <c r="M631" s="8">
        <v>0</v>
      </c>
      <c r="N631" s="8">
        <v>1017</v>
      </c>
      <c r="O631" s="268">
        <v>10253</v>
      </c>
      <c r="S631" s="89">
        <v>1</v>
      </c>
      <c r="T631" s="8">
        <v>5</v>
      </c>
      <c r="U631" s="89">
        <v>200</v>
      </c>
      <c r="V631" s="87">
        <v>1</v>
      </c>
      <c r="W631">
        <v>1</v>
      </c>
      <c r="X631" s="8">
        <v>1</v>
      </c>
      <c r="Y631">
        <v>0</v>
      </c>
      <c r="Z631" s="33">
        <v>0</v>
      </c>
      <c r="AA631">
        <v>5</v>
      </c>
      <c r="AB631" s="34">
        <v>4000</v>
      </c>
      <c r="AC631" s="87">
        <v>110</v>
      </c>
      <c r="AE631" s="90">
        <v>4</v>
      </c>
      <c r="AF631" s="90">
        <v>2</v>
      </c>
      <c r="AG631" s="91"/>
      <c r="AH631" s="91">
        <v>1</v>
      </c>
      <c r="AI631" s="91"/>
      <c r="AJ631" s="91"/>
      <c r="AK631" s="91"/>
      <c r="AL631" s="92">
        <v>1</v>
      </c>
      <c r="AM631" s="92">
        <v>80</v>
      </c>
      <c r="AN631" s="93"/>
      <c r="AO631" s="92"/>
      <c r="AP631" s="86"/>
      <c r="AS631">
        <v>1</v>
      </c>
    </row>
    <row r="632" ht="14.25" customHeight="1" spans="1:45">
      <c r="A632" s="8">
        <v>250105</v>
      </c>
      <c r="B632" s="8">
        <v>1001</v>
      </c>
      <c r="C632" s="8">
        <v>6</v>
      </c>
      <c r="D632" s="8">
        <v>1001</v>
      </c>
      <c r="E632" t="s">
        <v>1743</v>
      </c>
      <c r="F632" s="13" t="s">
        <v>1744</v>
      </c>
      <c r="G632" t="s">
        <v>1745</v>
      </c>
      <c r="H632" t="s">
        <v>1717</v>
      </c>
      <c r="I632">
        <v>1</v>
      </c>
      <c r="J632" s="69">
        <v>5</v>
      </c>
      <c r="K632" s="87">
        <v>2</v>
      </c>
      <c r="L632" s="8">
        <v>999</v>
      </c>
      <c r="M632" s="8">
        <v>0</v>
      </c>
      <c r="N632" s="8">
        <v>1017</v>
      </c>
      <c r="O632" s="268">
        <v>10256</v>
      </c>
      <c r="S632" s="89">
        <v>1</v>
      </c>
      <c r="T632" s="8">
        <v>5</v>
      </c>
      <c r="U632" s="89">
        <v>10</v>
      </c>
      <c r="V632" s="87">
        <v>1</v>
      </c>
      <c r="W632">
        <v>1</v>
      </c>
      <c r="X632" s="8">
        <v>1</v>
      </c>
      <c r="Y632">
        <v>0</v>
      </c>
      <c r="Z632" s="33">
        <v>0</v>
      </c>
      <c r="AA632">
        <v>5</v>
      </c>
      <c r="AB632" s="34">
        <v>4000</v>
      </c>
      <c r="AC632" s="87">
        <v>110</v>
      </c>
      <c r="AE632" s="90">
        <v>4</v>
      </c>
      <c r="AF632" s="90">
        <v>2</v>
      </c>
      <c r="AG632" s="91"/>
      <c r="AH632" s="91">
        <v>1</v>
      </c>
      <c r="AI632" s="91"/>
      <c r="AJ632" s="91"/>
      <c r="AK632" s="91"/>
      <c r="AL632" s="92">
        <v>1</v>
      </c>
      <c r="AM632" s="92">
        <v>60</v>
      </c>
      <c r="AN632" s="93"/>
      <c r="AO632" s="92"/>
      <c r="AP632" s="86"/>
      <c r="AQ632"/>
      <c r="AS632">
        <v>1</v>
      </c>
    </row>
    <row r="633" ht="14.25" customHeight="1" spans="1:45">
      <c r="A633" s="8">
        <v>250106</v>
      </c>
      <c r="B633" s="8">
        <v>1001</v>
      </c>
      <c r="C633" s="8">
        <v>6</v>
      </c>
      <c r="D633" s="8">
        <v>1001</v>
      </c>
      <c r="E633" t="s">
        <v>1746</v>
      </c>
      <c r="F633" s="13" t="s">
        <v>1569</v>
      </c>
      <c r="G633" t="s">
        <v>1570</v>
      </c>
      <c r="H633" t="s">
        <v>1574</v>
      </c>
      <c r="I633">
        <v>1</v>
      </c>
      <c r="J633" s="69">
        <v>5</v>
      </c>
      <c r="K633" s="87">
        <v>2</v>
      </c>
      <c r="L633" s="8">
        <v>999</v>
      </c>
      <c r="M633" s="8">
        <v>0</v>
      </c>
      <c r="N633" s="8">
        <v>1017</v>
      </c>
      <c r="O633" s="269" t="s">
        <v>1747</v>
      </c>
      <c r="S633" s="89">
        <v>1</v>
      </c>
      <c r="T633" s="8">
        <v>5</v>
      </c>
      <c r="U633" s="89">
        <v>200</v>
      </c>
      <c r="V633" s="87">
        <v>1</v>
      </c>
      <c r="W633">
        <v>1</v>
      </c>
      <c r="X633" s="8">
        <v>1</v>
      </c>
      <c r="Y633">
        <v>0</v>
      </c>
      <c r="Z633" s="33">
        <v>0</v>
      </c>
      <c r="AA633">
        <v>5</v>
      </c>
      <c r="AB633" s="34">
        <v>7600</v>
      </c>
      <c r="AC633" s="87">
        <v>110</v>
      </c>
      <c r="AD633" s="62">
        <v>0</v>
      </c>
      <c r="AE633" s="90">
        <v>4</v>
      </c>
      <c r="AF633" s="90">
        <v>2</v>
      </c>
      <c r="AG633" s="91"/>
      <c r="AH633" s="91">
        <v>1</v>
      </c>
      <c r="AI633" s="91"/>
      <c r="AJ633" s="91"/>
      <c r="AK633" s="91"/>
      <c r="AL633" s="92">
        <v>1</v>
      </c>
      <c r="AM633" s="92"/>
      <c r="AN633" s="93"/>
      <c r="AO633" s="92"/>
      <c r="AP633" s="86"/>
      <c r="AQ633" t="s">
        <v>1568</v>
      </c>
      <c r="AS633">
        <v>1</v>
      </c>
    </row>
    <row r="634" ht="14.25" customHeight="1" spans="1:45">
      <c r="A634" s="8">
        <v>250107</v>
      </c>
      <c r="B634" s="8">
        <v>1001</v>
      </c>
      <c r="C634" s="8">
        <v>6</v>
      </c>
      <c r="D634" s="8">
        <v>1001</v>
      </c>
      <c r="E634" t="s">
        <v>1748</v>
      </c>
      <c r="F634" s="13" t="s">
        <v>1577</v>
      </c>
      <c r="G634" t="s">
        <v>1578</v>
      </c>
      <c r="H634" t="s">
        <v>1579</v>
      </c>
      <c r="I634">
        <v>1</v>
      </c>
      <c r="J634" s="69">
        <v>5</v>
      </c>
      <c r="K634" s="87">
        <v>2</v>
      </c>
      <c r="L634" s="8">
        <v>999</v>
      </c>
      <c r="M634" s="8">
        <v>0</v>
      </c>
      <c r="N634" s="8">
        <v>1017</v>
      </c>
      <c r="O634" s="270">
        <v>30265</v>
      </c>
      <c r="S634" s="89">
        <v>1</v>
      </c>
      <c r="T634" s="8">
        <v>5</v>
      </c>
      <c r="U634" s="89">
        <v>200</v>
      </c>
      <c r="V634" s="87">
        <v>1</v>
      </c>
      <c r="W634">
        <v>1</v>
      </c>
      <c r="X634" s="8">
        <v>1</v>
      </c>
      <c r="Y634">
        <v>0</v>
      </c>
      <c r="Z634" s="33">
        <v>0</v>
      </c>
      <c r="AA634">
        <v>5</v>
      </c>
      <c r="AB634" s="34">
        <v>7600</v>
      </c>
      <c r="AC634" s="87">
        <v>110</v>
      </c>
      <c r="AD634" s="62">
        <v>0</v>
      </c>
      <c r="AE634" s="90">
        <v>4</v>
      </c>
      <c r="AF634" s="90">
        <v>2</v>
      </c>
      <c r="AG634" s="91"/>
      <c r="AH634" s="91">
        <v>1</v>
      </c>
      <c r="AI634" s="91"/>
      <c r="AJ634" s="91"/>
      <c r="AK634" s="91"/>
      <c r="AL634" s="92">
        <v>1</v>
      </c>
      <c r="AM634" s="92"/>
      <c r="AN634" s="93"/>
      <c r="AO634" s="92"/>
      <c r="AP634" s="86"/>
      <c r="AQ634" t="s">
        <v>1576</v>
      </c>
      <c r="AS634">
        <v>1</v>
      </c>
    </row>
    <row r="635" ht="14.25" customHeight="1" spans="1:45">
      <c r="A635" s="8">
        <v>250108</v>
      </c>
      <c r="B635" s="8">
        <v>1001</v>
      </c>
      <c r="C635" s="8">
        <v>6</v>
      </c>
      <c r="D635" s="8">
        <v>1001</v>
      </c>
      <c r="E635" t="s">
        <v>1749</v>
      </c>
      <c r="F635" s="13" t="s">
        <v>1606</v>
      </c>
      <c r="G635" t="s">
        <v>1607</v>
      </c>
      <c r="H635" t="s">
        <v>1579</v>
      </c>
      <c r="I635">
        <v>1</v>
      </c>
      <c r="J635" s="69">
        <v>3</v>
      </c>
      <c r="K635" s="87">
        <v>2</v>
      </c>
      <c r="L635" s="8">
        <v>999</v>
      </c>
      <c r="M635" s="8">
        <v>0</v>
      </c>
      <c r="N635" s="8">
        <v>1017</v>
      </c>
      <c r="O635" s="271" t="s">
        <v>1750</v>
      </c>
      <c r="S635" s="89">
        <v>1</v>
      </c>
      <c r="T635" s="8">
        <v>5</v>
      </c>
      <c r="U635" s="89">
        <v>200</v>
      </c>
      <c r="V635" s="87">
        <v>1</v>
      </c>
      <c r="W635">
        <v>1</v>
      </c>
      <c r="X635" s="8">
        <v>1</v>
      </c>
      <c r="Y635">
        <v>0</v>
      </c>
      <c r="Z635" s="33">
        <v>0</v>
      </c>
      <c r="AA635">
        <v>5</v>
      </c>
      <c r="AB635" s="34">
        <v>7600</v>
      </c>
      <c r="AC635" s="87">
        <v>110</v>
      </c>
      <c r="AD635" s="62">
        <v>0</v>
      </c>
      <c r="AE635" s="90">
        <v>4</v>
      </c>
      <c r="AF635" s="90">
        <v>2</v>
      </c>
      <c r="AG635" s="91"/>
      <c r="AH635" s="91">
        <v>1</v>
      </c>
      <c r="AI635" s="91"/>
      <c r="AJ635" s="91"/>
      <c r="AK635" s="91"/>
      <c r="AL635" s="92">
        <v>1</v>
      </c>
      <c r="AM635" s="92"/>
      <c r="AN635" s="93"/>
      <c r="AO635" s="92"/>
      <c r="AP635" s="86"/>
      <c r="AQ635" t="s">
        <v>1608</v>
      </c>
      <c r="AS635">
        <v>1</v>
      </c>
    </row>
    <row r="636" s="43" customFormat="1" ht="14.25" customHeight="1" spans="1:45">
      <c r="A636" s="8">
        <v>250109</v>
      </c>
      <c r="B636" s="8">
        <v>1001</v>
      </c>
      <c r="C636" s="8">
        <v>6</v>
      </c>
      <c r="D636" s="8">
        <v>1001</v>
      </c>
      <c r="E636" t="s">
        <v>1751</v>
      </c>
      <c r="F636" s="13" t="s">
        <v>1752</v>
      </c>
      <c r="G636" t="s">
        <v>1753</v>
      </c>
      <c r="H636" t="s">
        <v>1431</v>
      </c>
      <c r="I636">
        <v>1</v>
      </c>
      <c r="J636" s="69">
        <v>5</v>
      </c>
      <c r="K636" s="248">
        <v>2</v>
      </c>
      <c r="L636" s="8">
        <v>999</v>
      </c>
      <c r="M636" s="8">
        <v>0</v>
      </c>
      <c r="N636" s="8">
        <v>1017</v>
      </c>
      <c r="O636" s="271" t="s">
        <v>1754</v>
      </c>
      <c r="S636" s="89">
        <v>1</v>
      </c>
      <c r="T636" s="8">
        <v>5</v>
      </c>
      <c r="U636" s="89">
        <v>200</v>
      </c>
      <c r="V636" s="87">
        <v>1</v>
      </c>
      <c r="W636">
        <v>1</v>
      </c>
      <c r="X636" s="8">
        <v>1</v>
      </c>
      <c r="Y636" s="238">
        <v>0</v>
      </c>
      <c r="Z636" s="33">
        <v>0</v>
      </c>
      <c r="AA636">
        <v>5</v>
      </c>
      <c r="AB636" s="34">
        <v>7600</v>
      </c>
      <c r="AC636" s="87">
        <v>110</v>
      </c>
      <c r="AD636" s="62">
        <v>0</v>
      </c>
      <c r="AE636" s="250">
        <v>4</v>
      </c>
      <c r="AF636" s="250">
        <v>2</v>
      </c>
      <c r="AG636" s="251"/>
      <c r="AH636" s="251">
        <v>1</v>
      </c>
      <c r="AI636" s="251"/>
      <c r="AJ636" s="251"/>
      <c r="AK636" s="251"/>
      <c r="AL636" s="252">
        <v>1</v>
      </c>
      <c r="AM636" s="252">
        <v>10</v>
      </c>
      <c r="AN636" s="93"/>
      <c r="AO636" s="92"/>
      <c r="AP636" s="86"/>
      <c r="AS636">
        <v>1</v>
      </c>
    </row>
    <row r="637" s="43" customFormat="1" spans="1:45">
      <c r="A637" s="272">
        <v>250110</v>
      </c>
      <c r="B637" s="272">
        <v>1001</v>
      </c>
      <c r="C637" s="272">
        <v>6</v>
      </c>
      <c r="D637" s="272">
        <v>1001</v>
      </c>
      <c r="E637" s="43" t="s">
        <v>1755</v>
      </c>
      <c r="F637" s="13" t="s">
        <v>1755</v>
      </c>
      <c r="G637" s="43" t="s">
        <v>1756</v>
      </c>
      <c r="H637" s="43" t="s">
        <v>1757</v>
      </c>
      <c r="I637" s="43">
        <v>1</v>
      </c>
      <c r="J637" s="43">
        <v>5</v>
      </c>
      <c r="K637" s="43">
        <v>2</v>
      </c>
      <c r="L637" s="272">
        <v>999</v>
      </c>
      <c r="M637" s="272">
        <v>0</v>
      </c>
      <c r="N637" s="272">
        <v>1017</v>
      </c>
      <c r="O637" s="273">
        <v>28091</v>
      </c>
      <c r="S637" s="272">
        <v>1</v>
      </c>
      <c r="T637" s="272">
        <v>5</v>
      </c>
      <c r="U637" s="272">
        <v>200</v>
      </c>
      <c r="V637" s="272">
        <v>1</v>
      </c>
      <c r="W637" s="43">
        <v>1</v>
      </c>
      <c r="X637" s="272">
        <v>1</v>
      </c>
      <c r="Y637" s="272">
        <v>0</v>
      </c>
      <c r="Z637" s="43">
        <v>0</v>
      </c>
      <c r="AA637" s="43">
        <v>5</v>
      </c>
      <c r="AB637" s="43">
        <v>4000</v>
      </c>
      <c r="AC637" s="272">
        <v>110</v>
      </c>
      <c r="AE637" s="43">
        <v>4</v>
      </c>
      <c r="AF637" s="274">
        <v>2</v>
      </c>
      <c r="AH637" s="43">
        <v>1</v>
      </c>
      <c r="AI637" s="275"/>
      <c r="AJ637" s="275"/>
      <c r="AK637" s="275"/>
      <c r="AL637" s="43">
        <v>1</v>
      </c>
      <c r="AM637" s="276">
        <v>80</v>
      </c>
      <c r="AN637" s="93"/>
      <c r="AO637" s="92"/>
      <c r="AS637" s="43">
        <v>1</v>
      </c>
    </row>
    <row r="638" s="43" customFormat="1" spans="1:45">
      <c r="A638" s="272">
        <v>250111</v>
      </c>
      <c r="B638" s="272">
        <v>1001</v>
      </c>
      <c r="C638" s="272">
        <v>6</v>
      </c>
      <c r="D638" s="272">
        <v>1001</v>
      </c>
      <c r="E638" s="43" t="s">
        <v>1758</v>
      </c>
      <c r="F638" s="13" t="s">
        <v>1758</v>
      </c>
      <c r="G638" s="43" t="s">
        <v>1759</v>
      </c>
      <c r="H638" s="43" t="s">
        <v>1760</v>
      </c>
      <c r="I638" s="43">
        <v>1</v>
      </c>
      <c r="J638" s="43">
        <v>5</v>
      </c>
      <c r="K638" s="43">
        <v>2</v>
      </c>
      <c r="L638" s="272">
        <v>999</v>
      </c>
      <c r="M638" s="272">
        <v>0</v>
      </c>
      <c r="N638" s="272">
        <v>1017</v>
      </c>
      <c r="O638" s="273">
        <v>28094</v>
      </c>
      <c r="S638" s="272">
        <v>1</v>
      </c>
      <c r="T638" s="272">
        <v>5</v>
      </c>
      <c r="U638" s="272">
        <v>200</v>
      </c>
      <c r="V638" s="272">
        <v>1</v>
      </c>
      <c r="W638" s="43">
        <v>1</v>
      </c>
      <c r="X638" s="272">
        <v>1</v>
      </c>
      <c r="Y638" s="272">
        <v>0</v>
      </c>
      <c r="Z638" s="43">
        <v>0</v>
      </c>
      <c r="AA638" s="43">
        <v>5</v>
      </c>
      <c r="AB638" s="43">
        <v>4000</v>
      </c>
      <c r="AC638" s="272">
        <v>110</v>
      </c>
      <c r="AE638" s="43">
        <v>4</v>
      </c>
      <c r="AF638" s="274">
        <v>2</v>
      </c>
      <c r="AH638" s="43">
        <v>1</v>
      </c>
      <c r="AI638" s="275"/>
      <c r="AJ638" s="275"/>
      <c r="AK638" s="275"/>
      <c r="AL638" s="43">
        <v>1</v>
      </c>
      <c r="AM638" s="276">
        <v>80</v>
      </c>
      <c r="AN638" s="93"/>
      <c r="AO638" s="92"/>
      <c r="AS638" s="43">
        <v>1</v>
      </c>
    </row>
    <row r="639" spans="1:45">
      <c r="A639" s="277">
        <v>250112</v>
      </c>
      <c r="B639" s="272">
        <v>1001</v>
      </c>
      <c r="C639" s="272">
        <v>6</v>
      </c>
      <c r="D639" s="272">
        <v>1001</v>
      </c>
      <c r="E639" s="43" t="s">
        <v>1761</v>
      </c>
      <c r="F639" s="13" t="s">
        <v>1761</v>
      </c>
      <c r="G639" s="43" t="s">
        <v>1762</v>
      </c>
      <c r="H639" s="43" t="s">
        <v>1763</v>
      </c>
      <c r="I639" s="43">
        <v>1</v>
      </c>
      <c r="J639" s="43">
        <v>5</v>
      </c>
      <c r="K639" s="278">
        <v>2</v>
      </c>
      <c r="L639" s="272">
        <v>999</v>
      </c>
      <c r="M639" s="272">
        <v>0</v>
      </c>
      <c r="N639" s="272">
        <v>1017</v>
      </c>
      <c r="O639" s="273">
        <v>28099</v>
      </c>
      <c r="S639" s="272">
        <v>1</v>
      </c>
      <c r="T639" s="272">
        <v>5</v>
      </c>
      <c r="U639" s="272">
        <v>200</v>
      </c>
      <c r="V639" s="272">
        <v>1</v>
      </c>
      <c r="W639" s="43">
        <v>1</v>
      </c>
      <c r="X639" s="272">
        <v>1</v>
      </c>
      <c r="Y639" s="277">
        <v>0</v>
      </c>
      <c r="Z639" s="43">
        <v>0</v>
      </c>
      <c r="AA639" s="43">
        <v>5</v>
      </c>
      <c r="AB639" s="43">
        <v>4000</v>
      </c>
      <c r="AC639" s="272">
        <v>110</v>
      </c>
      <c r="AE639" s="278">
        <v>4</v>
      </c>
      <c r="AF639" s="279">
        <v>2</v>
      </c>
      <c r="AG639" s="91"/>
      <c r="AH639" s="278">
        <v>1</v>
      </c>
      <c r="AI639" s="280"/>
      <c r="AJ639" s="280"/>
      <c r="AK639" s="280"/>
      <c r="AL639" s="278">
        <v>1</v>
      </c>
      <c r="AM639" s="281">
        <v>80</v>
      </c>
      <c r="AN639" s="93"/>
      <c r="AO639" s="92"/>
      <c r="AS639" s="43">
        <v>1</v>
      </c>
    </row>
    <row r="640" ht="14.25" customHeight="1" spans="1:45">
      <c r="A640" s="238">
        <v>250113</v>
      </c>
      <c r="B640" s="8">
        <v>1001</v>
      </c>
      <c r="C640" s="8">
        <v>1</v>
      </c>
      <c r="D640" s="8">
        <v>1001</v>
      </c>
      <c r="E640" t="s">
        <v>1764</v>
      </c>
      <c r="F640" s="13" t="s">
        <v>1764</v>
      </c>
      <c r="G640" t="s">
        <v>1765</v>
      </c>
      <c r="H640" t="s">
        <v>1766</v>
      </c>
      <c r="I640">
        <v>1</v>
      </c>
      <c r="J640">
        <v>4</v>
      </c>
      <c r="K640" s="87">
        <v>1</v>
      </c>
      <c r="L640" s="272">
        <v>999</v>
      </c>
      <c r="M640" s="8">
        <v>0</v>
      </c>
      <c r="N640" s="8"/>
      <c r="O640" s="249"/>
      <c r="S640" s="89">
        <v>1</v>
      </c>
      <c r="T640" s="8">
        <v>5</v>
      </c>
      <c r="U640" s="89">
        <v>1</v>
      </c>
      <c r="V640" s="87">
        <v>1</v>
      </c>
      <c r="W640">
        <v>1</v>
      </c>
      <c r="X640" s="8">
        <v>1</v>
      </c>
      <c r="Y640">
        <v>0</v>
      </c>
      <c r="Z640" s="33">
        <v>0</v>
      </c>
      <c r="AA640">
        <v>5</v>
      </c>
      <c r="AB640" s="34">
        <v>400</v>
      </c>
      <c r="AC640" s="87">
        <v>110</v>
      </c>
      <c r="AE640" s="90"/>
      <c r="AF640" s="90"/>
      <c r="AG640" s="91"/>
      <c r="AH640" s="91"/>
      <c r="AI640" s="91" t="s">
        <v>1767</v>
      </c>
      <c r="AJ640" s="91"/>
      <c r="AK640" s="91"/>
      <c r="AL640" s="92">
        <v>1</v>
      </c>
      <c r="AM640" s="92"/>
      <c r="AN640" s="93"/>
      <c r="AO640" s="92"/>
      <c r="AP640" s="86"/>
      <c r="AS640">
        <v>1</v>
      </c>
    </row>
    <row r="641" ht="14.25" customHeight="1" spans="1:45">
      <c r="A641" s="282">
        <v>250114</v>
      </c>
      <c r="B641" s="8">
        <v>1001</v>
      </c>
      <c r="C641" s="8">
        <v>6</v>
      </c>
      <c r="D641" s="8">
        <v>1001</v>
      </c>
      <c r="E641" t="s">
        <v>1699</v>
      </c>
      <c r="F641" s="13" t="s">
        <v>1768</v>
      </c>
      <c r="G641" t="s">
        <v>1700</v>
      </c>
      <c r="H641" t="s">
        <v>1689</v>
      </c>
      <c r="I641">
        <v>1</v>
      </c>
      <c r="J641" s="69">
        <v>5</v>
      </c>
      <c r="K641" s="87">
        <v>2</v>
      </c>
      <c r="L641" s="8">
        <v>999</v>
      </c>
      <c r="M641" s="8">
        <v>0</v>
      </c>
      <c r="N641" s="8">
        <v>1017</v>
      </c>
      <c r="O641" s="249">
        <v>10206</v>
      </c>
      <c r="S641" s="89">
        <v>1</v>
      </c>
      <c r="T641" s="8">
        <v>5</v>
      </c>
      <c r="U641" s="89">
        <v>200</v>
      </c>
      <c r="V641" s="87">
        <v>1</v>
      </c>
      <c r="W641">
        <v>1</v>
      </c>
      <c r="X641" s="8">
        <v>1</v>
      </c>
      <c r="Y641">
        <v>0</v>
      </c>
      <c r="Z641" s="33">
        <v>0</v>
      </c>
      <c r="AA641">
        <v>5</v>
      </c>
      <c r="AB641" s="34">
        <v>4000</v>
      </c>
      <c r="AC641" s="87">
        <v>110</v>
      </c>
      <c r="AE641" s="90">
        <v>4</v>
      </c>
      <c r="AF641" s="90">
        <v>2</v>
      </c>
      <c r="AG641" s="91"/>
      <c r="AH641" s="91">
        <v>1</v>
      </c>
      <c r="AI641" s="91"/>
      <c r="AJ641" s="91"/>
      <c r="AK641" s="91"/>
      <c r="AL641" s="92">
        <v>1</v>
      </c>
      <c r="AM641" s="92">
        <v>60</v>
      </c>
      <c r="AN641" s="93"/>
      <c r="AO641" s="92"/>
      <c r="AP641" s="86"/>
      <c r="AS641">
        <v>1</v>
      </c>
    </row>
    <row r="642" ht="14.25" customHeight="1" spans="1:45">
      <c r="A642" s="282">
        <v>250115</v>
      </c>
      <c r="B642" s="8">
        <v>1001</v>
      </c>
      <c r="C642" s="8">
        <v>6</v>
      </c>
      <c r="D642" s="8">
        <v>1001</v>
      </c>
      <c r="E642" t="s">
        <v>1701</v>
      </c>
      <c r="F642" s="13" t="s">
        <v>1769</v>
      </c>
      <c r="G642" t="s">
        <v>1702</v>
      </c>
      <c r="H642" t="s">
        <v>1692</v>
      </c>
      <c r="I642">
        <v>1</v>
      </c>
      <c r="J642" s="69">
        <v>5</v>
      </c>
      <c r="K642" s="87">
        <v>2</v>
      </c>
      <c r="L642" s="8">
        <v>999</v>
      </c>
      <c r="M642" s="8">
        <v>0</v>
      </c>
      <c r="N642" s="8">
        <v>1017</v>
      </c>
      <c r="O642" s="249">
        <v>10207</v>
      </c>
      <c r="S642" s="89">
        <v>1</v>
      </c>
      <c r="T642" s="8">
        <v>5</v>
      </c>
      <c r="U642" s="89">
        <v>200</v>
      </c>
      <c r="V642" s="87">
        <v>1</v>
      </c>
      <c r="W642">
        <v>1</v>
      </c>
      <c r="X642" s="8">
        <v>1</v>
      </c>
      <c r="Y642">
        <v>0</v>
      </c>
      <c r="Z642" s="33">
        <v>0</v>
      </c>
      <c r="AA642">
        <v>5</v>
      </c>
      <c r="AB642" s="34">
        <v>4000</v>
      </c>
      <c r="AC642" s="87">
        <v>110</v>
      </c>
      <c r="AE642" s="90">
        <v>4</v>
      </c>
      <c r="AF642" s="90">
        <v>2</v>
      </c>
      <c r="AG642" s="91"/>
      <c r="AH642" s="91">
        <v>1</v>
      </c>
      <c r="AI642" s="91"/>
      <c r="AJ642" s="91"/>
      <c r="AK642" s="91"/>
      <c r="AL642" s="92">
        <v>1</v>
      </c>
      <c r="AM642" s="92">
        <v>60</v>
      </c>
      <c r="AN642" s="93"/>
      <c r="AO642" s="92"/>
      <c r="AP642" s="86"/>
      <c r="AS642">
        <v>1</v>
      </c>
    </row>
    <row r="643" ht="14.25" customHeight="1" spans="1:45">
      <c r="A643" s="282">
        <v>250116</v>
      </c>
      <c r="B643" s="8">
        <v>1001</v>
      </c>
      <c r="C643" s="8">
        <v>6</v>
      </c>
      <c r="D643" s="8">
        <v>1001</v>
      </c>
      <c r="E643" t="s">
        <v>1703</v>
      </c>
      <c r="F643" s="13" t="s">
        <v>1770</v>
      </c>
      <c r="G643" t="s">
        <v>1704</v>
      </c>
      <c r="H643" t="s">
        <v>1695</v>
      </c>
      <c r="I643">
        <v>1</v>
      </c>
      <c r="J643" s="69">
        <v>5</v>
      </c>
      <c r="K643" s="87">
        <v>2</v>
      </c>
      <c r="L643" s="8">
        <v>999</v>
      </c>
      <c r="M643" s="8">
        <v>0</v>
      </c>
      <c r="N643" s="8">
        <v>1017</v>
      </c>
      <c r="O643" s="249">
        <v>10208</v>
      </c>
      <c r="S643" s="89">
        <v>1</v>
      </c>
      <c r="T643" s="8">
        <v>5</v>
      </c>
      <c r="U643" s="89">
        <v>200</v>
      </c>
      <c r="V643" s="87">
        <v>1</v>
      </c>
      <c r="W643">
        <v>1</v>
      </c>
      <c r="X643" s="8">
        <v>1</v>
      </c>
      <c r="Y643">
        <v>0</v>
      </c>
      <c r="Z643" s="33">
        <v>0</v>
      </c>
      <c r="AA643">
        <v>5</v>
      </c>
      <c r="AB643" s="34">
        <v>4000</v>
      </c>
      <c r="AC643" s="87">
        <v>110</v>
      </c>
      <c r="AE643" s="90">
        <v>4</v>
      </c>
      <c r="AF643" s="90">
        <v>2</v>
      </c>
      <c r="AG643" s="91"/>
      <c r="AH643" s="91">
        <v>1</v>
      </c>
      <c r="AI643" s="91"/>
      <c r="AJ643" s="91"/>
      <c r="AK643" s="91"/>
      <c r="AL643" s="92">
        <v>1</v>
      </c>
      <c r="AM643" s="92">
        <v>60</v>
      </c>
      <c r="AN643" s="93"/>
      <c r="AO643" s="92"/>
      <c r="AP643" s="86"/>
      <c r="AS643">
        <v>1</v>
      </c>
    </row>
    <row r="644" ht="14.25" customHeight="1" spans="1:45">
      <c r="A644" s="282">
        <v>250117</v>
      </c>
      <c r="B644" s="8">
        <v>1001</v>
      </c>
      <c r="C644" s="8">
        <v>6</v>
      </c>
      <c r="D644" s="8">
        <v>1001</v>
      </c>
      <c r="E644" t="s">
        <v>1705</v>
      </c>
      <c r="F644" s="13" t="s">
        <v>1771</v>
      </c>
      <c r="G644" t="s">
        <v>1706</v>
      </c>
      <c r="H644" t="s">
        <v>1698</v>
      </c>
      <c r="I644">
        <v>1</v>
      </c>
      <c r="J644" s="69">
        <v>5</v>
      </c>
      <c r="K644" s="87">
        <v>2</v>
      </c>
      <c r="L644" s="8">
        <v>999</v>
      </c>
      <c r="M644" s="8">
        <v>0</v>
      </c>
      <c r="N644" s="8">
        <v>1017</v>
      </c>
      <c r="O644" s="249">
        <v>10209</v>
      </c>
      <c r="S644" s="89">
        <v>1</v>
      </c>
      <c r="T644" s="8">
        <v>5</v>
      </c>
      <c r="U644" s="89">
        <v>200</v>
      </c>
      <c r="V644" s="87">
        <v>1</v>
      </c>
      <c r="W644">
        <v>1</v>
      </c>
      <c r="X644" s="8">
        <v>1</v>
      </c>
      <c r="Y644">
        <v>0</v>
      </c>
      <c r="Z644" s="33">
        <v>0</v>
      </c>
      <c r="AA644">
        <v>5</v>
      </c>
      <c r="AB644" s="34">
        <v>4000</v>
      </c>
      <c r="AC644" s="87">
        <v>110</v>
      </c>
      <c r="AE644" s="90">
        <v>4</v>
      </c>
      <c r="AF644" s="90">
        <v>2</v>
      </c>
      <c r="AG644" s="91"/>
      <c r="AH644" s="91">
        <v>1</v>
      </c>
      <c r="AI644" s="91"/>
      <c r="AJ644" s="91"/>
      <c r="AK644" s="91"/>
      <c r="AL644" s="92">
        <v>1</v>
      </c>
      <c r="AM644" s="92">
        <v>60</v>
      </c>
      <c r="AN644" s="93"/>
      <c r="AO644" s="92"/>
      <c r="AP644" s="86"/>
      <c r="AS644">
        <v>1</v>
      </c>
    </row>
    <row r="645" ht="14.25" customHeight="1" spans="1:45">
      <c r="A645" s="282">
        <v>250118</v>
      </c>
      <c r="B645" s="8">
        <v>1001</v>
      </c>
      <c r="C645" s="8">
        <v>6</v>
      </c>
      <c r="D645" s="8">
        <v>1001</v>
      </c>
      <c r="E645" t="s">
        <v>1727</v>
      </c>
      <c r="F645" s="13" t="s">
        <v>1772</v>
      </c>
      <c r="G645" t="s">
        <v>1728</v>
      </c>
      <c r="H645" t="s">
        <v>1689</v>
      </c>
      <c r="I645">
        <v>1</v>
      </c>
      <c r="J645" s="69">
        <v>5</v>
      </c>
      <c r="K645" s="87">
        <v>2</v>
      </c>
      <c r="L645" s="8">
        <v>999</v>
      </c>
      <c r="M645" s="8">
        <v>0</v>
      </c>
      <c r="N645" s="8">
        <v>1017</v>
      </c>
      <c r="O645" s="249">
        <v>10261</v>
      </c>
      <c r="S645" s="89">
        <v>1</v>
      </c>
      <c r="T645" s="8">
        <v>5</v>
      </c>
      <c r="U645" s="89">
        <v>200</v>
      </c>
      <c r="V645" s="87">
        <v>1</v>
      </c>
      <c r="W645">
        <v>1</v>
      </c>
      <c r="X645" s="8">
        <v>1</v>
      </c>
      <c r="Y645">
        <v>0</v>
      </c>
      <c r="Z645" s="33">
        <v>0</v>
      </c>
      <c r="AA645">
        <v>5</v>
      </c>
      <c r="AB645" s="34">
        <v>4000</v>
      </c>
      <c r="AC645" s="87">
        <v>110</v>
      </c>
      <c r="AE645" s="90">
        <v>4</v>
      </c>
      <c r="AF645" s="90">
        <v>2</v>
      </c>
      <c r="AG645" s="91"/>
      <c r="AH645" s="91">
        <v>1</v>
      </c>
      <c r="AI645" s="91"/>
      <c r="AJ645" s="91"/>
      <c r="AK645" s="91"/>
      <c r="AL645" s="92">
        <v>1</v>
      </c>
      <c r="AM645" s="92">
        <v>80</v>
      </c>
      <c r="AN645" s="93"/>
      <c r="AO645" s="92"/>
      <c r="AP645" s="86"/>
      <c r="AS645">
        <v>1</v>
      </c>
    </row>
    <row r="646" ht="14.25" customHeight="1" spans="1:45">
      <c r="A646" s="282">
        <v>250119</v>
      </c>
      <c r="B646" s="8">
        <v>1001</v>
      </c>
      <c r="C646" s="8">
        <v>6</v>
      </c>
      <c r="D646" s="8">
        <v>1001</v>
      </c>
      <c r="E646" t="s">
        <v>1729</v>
      </c>
      <c r="F646" s="13" t="s">
        <v>1773</v>
      </c>
      <c r="G646" t="s">
        <v>1730</v>
      </c>
      <c r="H646" t="s">
        <v>1692</v>
      </c>
      <c r="I646">
        <v>1</v>
      </c>
      <c r="J646" s="69">
        <v>5</v>
      </c>
      <c r="K646" s="87">
        <v>2</v>
      </c>
      <c r="L646" s="8">
        <v>999</v>
      </c>
      <c r="M646" s="8">
        <v>0</v>
      </c>
      <c r="N646" s="8">
        <v>1017</v>
      </c>
      <c r="O646" s="249">
        <v>10264</v>
      </c>
      <c r="S646" s="89">
        <v>1</v>
      </c>
      <c r="T646" s="8">
        <v>5</v>
      </c>
      <c r="U646" s="89">
        <v>200</v>
      </c>
      <c r="V646" s="87">
        <v>1</v>
      </c>
      <c r="W646">
        <v>1</v>
      </c>
      <c r="X646" s="8">
        <v>1</v>
      </c>
      <c r="Y646">
        <v>0</v>
      </c>
      <c r="Z646" s="33">
        <v>0</v>
      </c>
      <c r="AA646">
        <v>5</v>
      </c>
      <c r="AB646" s="34">
        <v>4000</v>
      </c>
      <c r="AC646" s="87">
        <v>110</v>
      </c>
      <c r="AE646" s="90">
        <v>4</v>
      </c>
      <c r="AF646" s="90">
        <v>2</v>
      </c>
      <c r="AG646" s="91"/>
      <c r="AH646" s="91">
        <v>1</v>
      </c>
      <c r="AI646" s="91"/>
      <c r="AJ646" s="91"/>
      <c r="AK646" s="91"/>
      <c r="AL646" s="92">
        <v>1</v>
      </c>
      <c r="AM646" s="92">
        <v>80</v>
      </c>
      <c r="AN646" s="93"/>
      <c r="AO646" s="92"/>
      <c r="AP646" s="86"/>
      <c r="AS646">
        <v>1</v>
      </c>
    </row>
    <row r="647" ht="14.25" customHeight="1" spans="1:45">
      <c r="A647" s="282">
        <v>250120</v>
      </c>
      <c r="B647" s="8">
        <v>1001</v>
      </c>
      <c r="C647" s="8">
        <v>6</v>
      </c>
      <c r="D647" s="8">
        <v>1001</v>
      </c>
      <c r="E647" t="s">
        <v>1731</v>
      </c>
      <c r="F647" s="13" t="s">
        <v>1774</v>
      </c>
      <c r="G647" t="s">
        <v>1732</v>
      </c>
      <c r="H647" t="s">
        <v>1695</v>
      </c>
      <c r="I647">
        <v>1</v>
      </c>
      <c r="J647" s="69">
        <v>5</v>
      </c>
      <c r="K647" s="87">
        <v>2</v>
      </c>
      <c r="L647" s="8">
        <v>999</v>
      </c>
      <c r="M647" s="8">
        <v>0</v>
      </c>
      <c r="N647" s="8">
        <v>1017</v>
      </c>
      <c r="O647" s="249">
        <v>10267</v>
      </c>
      <c r="S647" s="89">
        <v>1</v>
      </c>
      <c r="T647" s="8">
        <v>5</v>
      </c>
      <c r="U647" s="89">
        <v>200</v>
      </c>
      <c r="V647" s="87">
        <v>1</v>
      </c>
      <c r="W647">
        <v>1</v>
      </c>
      <c r="X647" s="8">
        <v>1</v>
      </c>
      <c r="Y647">
        <v>0</v>
      </c>
      <c r="Z647" s="33">
        <v>0</v>
      </c>
      <c r="AA647">
        <v>5</v>
      </c>
      <c r="AB647" s="34">
        <v>4000</v>
      </c>
      <c r="AC647" s="87">
        <v>110</v>
      </c>
      <c r="AE647" s="90">
        <v>4</v>
      </c>
      <c r="AF647" s="90">
        <v>2</v>
      </c>
      <c r="AG647" s="91"/>
      <c r="AH647" s="91">
        <v>1</v>
      </c>
      <c r="AI647" s="91"/>
      <c r="AJ647" s="91"/>
      <c r="AK647" s="91"/>
      <c r="AL647" s="92">
        <v>1</v>
      </c>
      <c r="AM647" s="92">
        <v>80</v>
      </c>
      <c r="AN647" s="93"/>
      <c r="AO647" s="92"/>
      <c r="AP647" s="86"/>
      <c r="AS647">
        <v>1</v>
      </c>
    </row>
    <row r="648" ht="14.25" customHeight="1" spans="1:45">
      <c r="A648" s="282">
        <v>250121</v>
      </c>
      <c r="B648" s="8">
        <v>1001</v>
      </c>
      <c r="C648" s="8">
        <v>6</v>
      </c>
      <c r="D648" s="8">
        <v>1001</v>
      </c>
      <c r="E648" t="s">
        <v>1733</v>
      </c>
      <c r="F648" s="13" t="s">
        <v>1775</v>
      </c>
      <c r="G648" t="s">
        <v>1734</v>
      </c>
      <c r="H648" t="s">
        <v>1698</v>
      </c>
      <c r="I648">
        <v>1</v>
      </c>
      <c r="J648" s="69">
        <v>5</v>
      </c>
      <c r="K648" s="87">
        <v>2</v>
      </c>
      <c r="L648" s="8">
        <v>999</v>
      </c>
      <c r="M648" s="8">
        <v>0</v>
      </c>
      <c r="N648" s="8">
        <v>1017</v>
      </c>
      <c r="O648" s="249">
        <v>10270</v>
      </c>
      <c r="S648" s="89">
        <v>1</v>
      </c>
      <c r="T648" s="8">
        <v>5</v>
      </c>
      <c r="U648" s="89">
        <v>200</v>
      </c>
      <c r="V648" s="87">
        <v>1</v>
      </c>
      <c r="W648">
        <v>1</v>
      </c>
      <c r="X648" s="8">
        <v>1</v>
      </c>
      <c r="Y648">
        <v>0</v>
      </c>
      <c r="Z648" s="33">
        <v>0</v>
      </c>
      <c r="AA648">
        <v>5</v>
      </c>
      <c r="AB648" s="34">
        <v>4000</v>
      </c>
      <c r="AC648" s="87">
        <v>110</v>
      </c>
      <c r="AE648" s="90">
        <v>4</v>
      </c>
      <c r="AF648" s="90">
        <v>2</v>
      </c>
      <c r="AG648" s="91"/>
      <c r="AH648" s="91">
        <v>1</v>
      </c>
      <c r="AI648" s="91"/>
      <c r="AJ648" s="91"/>
      <c r="AK648" s="91"/>
      <c r="AL648" s="92">
        <v>1</v>
      </c>
      <c r="AM648" s="92">
        <v>80</v>
      </c>
      <c r="AN648" s="93"/>
      <c r="AO648" s="92"/>
      <c r="AP648" s="86"/>
      <c r="AQ648"/>
      <c r="AS648">
        <v>1</v>
      </c>
    </row>
    <row r="649" ht="12.95" customHeight="1" spans="1:45">
      <c r="A649" s="8">
        <v>250122</v>
      </c>
      <c r="B649" s="8">
        <v>1001</v>
      </c>
      <c r="C649" s="8">
        <v>6</v>
      </c>
      <c r="D649" s="8">
        <v>1001</v>
      </c>
      <c r="E649" t="s">
        <v>1776</v>
      </c>
      <c r="F649" s="13" t="s">
        <v>1577</v>
      </c>
      <c r="G649" t="s">
        <v>1578</v>
      </c>
      <c r="H649" t="s">
        <v>1579</v>
      </c>
      <c r="I649">
        <v>1</v>
      </c>
      <c r="J649" s="69">
        <v>5</v>
      </c>
      <c r="K649" s="87">
        <v>2</v>
      </c>
      <c r="L649" s="8">
        <v>999</v>
      </c>
      <c r="M649" s="8">
        <v>0</v>
      </c>
      <c r="N649" s="8">
        <v>1017</v>
      </c>
      <c r="O649" s="270">
        <v>30274</v>
      </c>
      <c r="S649" s="89">
        <v>1</v>
      </c>
      <c r="T649" s="8">
        <v>5</v>
      </c>
      <c r="U649" s="89">
        <v>200</v>
      </c>
      <c r="V649" s="87">
        <v>1</v>
      </c>
      <c r="W649">
        <v>1</v>
      </c>
      <c r="X649" s="8">
        <v>1</v>
      </c>
      <c r="Y649">
        <v>0</v>
      </c>
      <c r="Z649" s="33">
        <v>0</v>
      </c>
      <c r="AA649">
        <v>5</v>
      </c>
      <c r="AB649" s="34">
        <v>7600</v>
      </c>
      <c r="AC649" s="87">
        <v>110</v>
      </c>
      <c r="AD649" s="62">
        <v>0</v>
      </c>
      <c r="AE649" s="90">
        <v>4</v>
      </c>
      <c r="AF649" s="90">
        <v>2</v>
      </c>
      <c r="AG649" s="91"/>
      <c r="AH649" s="91">
        <v>1</v>
      </c>
      <c r="AI649" s="91"/>
      <c r="AJ649" s="91"/>
      <c r="AK649" s="91"/>
      <c r="AL649" s="92">
        <v>1</v>
      </c>
      <c r="AM649" s="92"/>
      <c r="AN649" s="93"/>
      <c r="AO649" s="92"/>
      <c r="AP649" s="86"/>
      <c r="AQ649" t="s">
        <v>1576</v>
      </c>
      <c r="AS649">
        <v>1</v>
      </c>
    </row>
    <row r="650" ht="14.25" customHeight="1" spans="1:45">
      <c r="A650" s="8">
        <v>250123</v>
      </c>
      <c r="B650" s="8">
        <v>1001</v>
      </c>
      <c r="C650" s="8">
        <v>6</v>
      </c>
      <c r="D650" s="8">
        <v>1001</v>
      </c>
      <c r="E650" t="s">
        <v>1777</v>
      </c>
      <c r="F650" s="13" t="s">
        <v>1569</v>
      </c>
      <c r="G650" t="s">
        <v>1570</v>
      </c>
      <c r="H650" t="s">
        <v>1574</v>
      </c>
      <c r="I650">
        <v>1</v>
      </c>
      <c r="J650" s="69">
        <v>5</v>
      </c>
      <c r="K650" s="87">
        <v>2</v>
      </c>
      <c r="L650" s="8">
        <v>999</v>
      </c>
      <c r="M650" s="8">
        <v>0</v>
      </c>
      <c r="N650" s="8">
        <v>1017</v>
      </c>
      <c r="O650" s="269" t="s">
        <v>1778</v>
      </c>
      <c r="S650" s="89">
        <v>1</v>
      </c>
      <c r="T650" s="8">
        <v>5</v>
      </c>
      <c r="U650" s="89">
        <v>200</v>
      </c>
      <c r="V650" s="87">
        <v>1</v>
      </c>
      <c r="W650">
        <v>1</v>
      </c>
      <c r="X650" s="8">
        <v>1</v>
      </c>
      <c r="Y650">
        <v>0</v>
      </c>
      <c r="Z650" s="33">
        <v>0</v>
      </c>
      <c r="AA650">
        <v>5</v>
      </c>
      <c r="AB650" s="34">
        <v>7600</v>
      </c>
      <c r="AC650" s="87">
        <v>110</v>
      </c>
      <c r="AD650" s="62">
        <v>0</v>
      </c>
      <c r="AE650" s="90">
        <v>4</v>
      </c>
      <c r="AF650" s="90">
        <v>2</v>
      </c>
      <c r="AG650" s="91"/>
      <c r="AH650" s="91">
        <v>1</v>
      </c>
      <c r="AI650" s="91"/>
      <c r="AJ650" s="91"/>
      <c r="AK650" s="91"/>
      <c r="AL650" s="92">
        <v>1</v>
      </c>
      <c r="AM650" s="92"/>
      <c r="AN650" s="93"/>
      <c r="AO650" s="92"/>
      <c r="AP650" s="86"/>
      <c r="AQ650" t="s">
        <v>1568</v>
      </c>
      <c r="AS650">
        <v>1</v>
      </c>
    </row>
    <row r="651" ht="14.25" customHeight="1" spans="1:45">
      <c r="A651" s="8">
        <v>250124</v>
      </c>
      <c r="B651" s="8">
        <v>1001</v>
      </c>
      <c r="C651" s="8">
        <v>6</v>
      </c>
      <c r="D651" s="8">
        <v>1001</v>
      </c>
      <c r="E651" t="s">
        <v>1779</v>
      </c>
      <c r="F651" s="13" t="s">
        <v>1780</v>
      </c>
      <c r="G651" t="s">
        <v>1781</v>
      </c>
      <c r="H651" t="s">
        <v>1431</v>
      </c>
      <c r="I651">
        <v>1</v>
      </c>
      <c r="J651" s="69">
        <v>5</v>
      </c>
      <c r="K651" s="87">
        <v>2</v>
      </c>
      <c r="L651" s="8">
        <v>999</v>
      </c>
      <c r="M651" s="8">
        <v>0</v>
      </c>
      <c r="N651" s="8">
        <v>1017</v>
      </c>
      <c r="O651" s="270">
        <v>90069</v>
      </c>
      <c r="S651" s="89">
        <v>1</v>
      </c>
      <c r="T651" s="8">
        <v>5</v>
      </c>
      <c r="U651" s="89">
        <v>200</v>
      </c>
      <c r="V651" s="87">
        <v>1</v>
      </c>
      <c r="W651">
        <v>1</v>
      </c>
      <c r="X651" s="8">
        <v>1</v>
      </c>
      <c r="Y651">
        <v>0</v>
      </c>
      <c r="Z651" s="33">
        <v>0</v>
      </c>
      <c r="AA651">
        <v>5</v>
      </c>
      <c r="AB651" s="34">
        <v>4000</v>
      </c>
      <c r="AC651" s="87">
        <v>110</v>
      </c>
      <c r="AE651" s="90">
        <v>4</v>
      </c>
      <c r="AF651" s="90">
        <v>2</v>
      </c>
      <c r="AG651" s="91"/>
      <c r="AH651" s="91">
        <v>1</v>
      </c>
      <c r="AI651" s="91"/>
      <c r="AJ651" s="91"/>
      <c r="AK651" s="91"/>
      <c r="AL651" s="92">
        <v>1</v>
      </c>
      <c r="AM651" s="92">
        <v>80</v>
      </c>
      <c r="AN651" s="93"/>
      <c r="AO651" s="92"/>
      <c r="AP651" s="86"/>
      <c r="AQ651"/>
      <c r="AS651">
        <v>1</v>
      </c>
    </row>
    <row r="652" ht="14.25" customHeight="1" spans="1:45">
      <c r="A652" s="8">
        <v>250125</v>
      </c>
      <c r="B652" s="8">
        <v>1001</v>
      </c>
      <c r="C652" s="8">
        <v>6</v>
      </c>
      <c r="D652" s="8">
        <v>1001</v>
      </c>
      <c r="E652" t="s">
        <v>1782</v>
      </c>
      <c r="F652" s="13" t="s">
        <v>1606</v>
      </c>
      <c r="G652" t="s">
        <v>1607</v>
      </c>
      <c r="H652" t="s">
        <v>1579</v>
      </c>
      <c r="I652">
        <v>1</v>
      </c>
      <c r="J652" s="69">
        <v>4</v>
      </c>
      <c r="K652" s="87">
        <v>2</v>
      </c>
      <c r="L652" s="8">
        <v>999</v>
      </c>
      <c r="M652" s="8">
        <v>0</v>
      </c>
      <c r="N652" s="8">
        <v>1017</v>
      </c>
      <c r="O652" s="271">
        <v>10276</v>
      </c>
      <c r="S652" s="89">
        <v>1</v>
      </c>
      <c r="T652" s="8">
        <v>5</v>
      </c>
      <c r="U652" s="89">
        <v>200</v>
      </c>
      <c r="V652" s="87">
        <v>1</v>
      </c>
      <c r="W652">
        <v>1</v>
      </c>
      <c r="X652" s="8">
        <v>1</v>
      </c>
      <c r="Y652">
        <v>0</v>
      </c>
      <c r="Z652" s="33">
        <v>0</v>
      </c>
      <c r="AA652">
        <v>5</v>
      </c>
      <c r="AB652" s="34">
        <v>7600</v>
      </c>
      <c r="AC652" s="87">
        <v>110</v>
      </c>
      <c r="AD652" s="62">
        <v>0</v>
      </c>
      <c r="AE652" s="90">
        <v>4</v>
      </c>
      <c r="AF652" s="90">
        <v>2</v>
      </c>
      <c r="AG652" s="91"/>
      <c r="AH652" s="91">
        <v>1</v>
      </c>
      <c r="AI652" s="91"/>
      <c r="AJ652" s="91"/>
      <c r="AK652" s="91"/>
      <c r="AL652" s="92">
        <v>1</v>
      </c>
      <c r="AM652" s="92"/>
      <c r="AN652" s="93"/>
      <c r="AO652" s="92"/>
      <c r="AP652" s="86"/>
      <c r="AQ652" t="s">
        <v>1608</v>
      </c>
      <c r="AS652">
        <v>1</v>
      </c>
    </row>
    <row r="653" ht="14.25" customHeight="1" spans="1:45">
      <c r="A653" s="8">
        <v>250126</v>
      </c>
      <c r="B653" s="8">
        <v>1001</v>
      </c>
      <c r="C653" s="8">
        <v>6</v>
      </c>
      <c r="D653" s="8">
        <v>1001</v>
      </c>
      <c r="E653" t="s">
        <v>1764</v>
      </c>
      <c r="F653" s="13" t="s">
        <v>1764</v>
      </c>
      <c r="G653" t="s">
        <v>1783</v>
      </c>
      <c r="H653" t="s">
        <v>1766</v>
      </c>
      <c r="I653">
        <v>1</v>
      </c>
      <c r="J653" s="69">
        <v>5</v>
      </c>
      <c r="K653" s="87">
        <v>2</v>
      </c>
      <c r="L653" s="8">
        <v>999</v>
      </c>
      <c r="M653" s="8">
        <v>0</v>
      </c>
      <c r="N653" s="8">
        <v>1017</v>
      </c>
      <c r="O653" s="271" t="s">
        <v>1784</v>
      </c>
      <c r="S653" s="89">
        <v>1</v>
      </c>
      <c r="T653" s="8">
        <v>5</v>
      </c>
      <c r="U653" s="89">
        <v>1</v>
      </c>
      <c r="V653" s="87">
        <v>1</v>
      </c>
      <c r="W653">
        <v>1</v>
      </c>
      <c r="X653" s="8">
        <v>1</v>
      </c>
      <c r="Y653">
        <v>0</v>
      </c>
      <c r="Z653" s="33">
        <v>0</v>
      </c>
      <c r="AA653">
        <v>5</v>
      </c>
      <c r="AB653" s="34">
        <v>200</v>
      </c>
      <c r="AC653" s="87">
        <v>50</v>
      </c>
      <c r="AE653" s="90">
        <v>4</v>
      </c>
      <c r="AF653" s="90">
        <v>2</v>
      </c>
      <c r="AG653" s="91"/>
      <c r="AH653" s="91">
        <v>1</v>
      </c>
      <c r="AI653" s="91"/>
      <c r="AJ653" s="91"/>
      <c r="AK653" s="91"/>
      <c r="AL653" s="92">
        <v>1</v>
      </c>
      <c r="AM653" s="92"/>
      <c r="AN653" s="93"/>
      <c r="AO653" s="92"/>
      <c r="AP653" s="86"/>
      <c r="AQ653" t="s">
        <v>1764</v>
      </c>
      <c r="AS653">
        <v>1</v>
      </c>
    </row>
    <row r="654" ht="14.25" customHeight="1" spans="1:45">
      <c r="A654" s="8">
        <v>250127</v>
      </c>
      <c r="B654" s="8">
        <v>1001</v>
      </c>
      <c r="C654" s="8">
        <v>6</v>
      </c>
      <c r="D654" s="8">
        <v>1001</v>
      </c>
      <c r="E654" t="s">
        <v>1785</v>
      </c>
      <c r="F654" s="13" t="s">
        <v>1785</v>
      </c>
      <c r="G654" t="s">
        <v>1786</v>
      </c>
      <c r="H654" t="s">
        <v>1787</v>
      </c>
      <c r="I654">
        <v>1</v>
      </c>
      <c r="J654" s="69">
        <v>4</v>
      </c>
      <c r="K654" s="87">
        <v>2</v>
      </c>
      <c r="L654" s="8">
        <v>999</v>
      </c>
      <c r="M654" s="8">
        <v>0</v>
      </c>
      <c r="N654" s="8">
        <v>1017</v>
      </c>
      <c r="O654" s="271" t="s">
        <v>1788</v>
      </c>
      <c r="S654" s="89">
        <v>1</v>
      </c>
      <c r="T654" s="8">
        <v>5</v>
      </c>
      <c r="U654" s="89">
        <v>1</v>
      </c>
      <c r="V654" s="87">
        <v>1</v>
      </c>
      <c r="W654">
        <v>1</v>
      </c>
      <c r="X654" s="8">
        <v>1</v>
      </c>
      <c r="Y654">
        <v>0</v>
      </c>
      <c r="Z654" s="33">
        <v>0</v>
      </c>
      <c r="AA654">
        <v>5</v>
      </c>
      <c r="AB654" s="34">
        <v>200</v>
      </c>
      <c r="AC654" s="87">
        <v>50</v>
      </c>
      <c r="AE654" s="90">
        <v>4</v>
      </c>
      <c r="AF654" s="90">
        <v>2</v>
      </c>
      <c r="AG654" s="91"/>
      <c r="AH654" s="91">
        <v>1</v>
      </c>
      <c r="AI654" s="91"/>
      <c r="AJ654" s="91"/>
      <c r="AK654" s="91"/>
      <c r="AL654" s="92">
        <v>1</v>
      </c>
      <c r="AM654" s="92"/>
      <c r="AN654" s="93"/>
      <c r="AO654" s="92"/>
      <c r="AP654" s="86"/>
      <c r="AQ654" t="s">
        <v>1785</v>
      </c>
      <c r="AS654">
        <v>1</v>
      </c>
    </row>
    <row r="655" ht="14.25" customHeight="1" spans="1:45">
      <c r="A655" s="8">
        <v>250128</v>
      </c>
      <c r="B655" s="8">
        <v>1001</v>
      </c>
      <c r="C655" s="8">
        <v>1</v>
      </c>
      <c r="D655" s="8">
        <v>1001</v>
      </c>
      <c r="E655" t="s">
        <v>1789</v>
      </c>
      <c r="F655" s="13" t="s">
        <v>1789</v>
      </c>
      <c r="G655" t="s">
        <v>1790</v>
      </c>
      <c r="H655" t="s">
        <v>1791</v>
      </c>
      <c r="I655">
        <v>1</v>
      </c>
      <c r="J655" s="69">
        <v>4</v>
      </c>
      <c r="K655" s="87">
        <v>1</v>
      </c>
      <c r="L655" s="8">
        <v>999</v>
      </c>
      <c r="M655" s="8">
        <v>0</v>
      </c>
      <c r="N655" s="8"/>
      <c r="O655" s="271"/>
      <c r="S655" s="89">
        <v>1</v>
      </c>
      <c r="T655" s="8">
        <v>5</v>
      </c>
      <c r="U655" s="89">
        <v>1</v>
      </c>
      <c r="V655" s="87">
        <v>1</v>
      </c>
      <c r="W655">
        <v>1</v>
      </c>
      <c r="X655" s="8">
        <v>1</v>
      </c>
      <c r="Y655">
        <v>0</v>
      </c>
      <c r="Z655" s="33">
        <v>0</v>
      </c>
      <c r="AA655">
        <v>5</v>
      </c>
      <c r="AB655" s="34">
        <v>200</v>
      </c>
      <c r="AC655" s="87">
        <v>50</v>
      </c>
      <c r="AE655" s="90">
        <v>4</v>
      </c>
      <c r="AF655" s="90">
        <v>2</v>
      </c>
      <c r="AG655" s="91"/>
      <c r="AH655" s="91">
        <v>1</v>
      </c>
      <c r="AI655" s="91" t="s">
        <v>1767</v>
      </c>
      <c r="AJ655" s="91"/>
      <c r="AK655" s="91"/>
      <c r="AL655" s="92">
        <v>1</v>
      </c>
      <c r="AM655" s="92"/>
      <c r="AN655" s="93"/>
      <c r="AO655" s="92"/>
      <c r="AP655" s="86"/>
      <c r="AQ655" t="s">
        <v>1789</v>
      </c>
      <c r="AS655">
        <v>1</v>
      </c>
    </row>
    <row r="656" ht="14.25" customHeight="1" spans="1:45">
      <c r="A656" s="8">
        <v>250129</v>
      </c>
      <c r="B656" s="8">
        <v>1001</v>
      </c>
      <c r="C656" s="8">
        <v>6</v>
      </c>
      <c r="D656" s="8">
        <v>1001</v>
      </c>
      <c r="E656" t="s">
        <v>1792</v>
      </c>
      <c r="F656" s="13" t="s">
        <v>1792</v>
      </c>
      <c r="G656" t="s">
        <v>1793</v>
      </c>
      <c r="H656" t="s">
        <v>1794</v>
      </c>
      <c r="I656">
        <v>1</v>
      </c>
      <c r="J656" s="69">
        <v>5</v>
      </c>
      <c r="K656" s="87">
        <v>2</v>
      </c>
      <c r="L656" s="8">
        <v>999</v>
      </c>
      <c r="M656" s="8">
        <v>0</v>
      </c>
      <c r="N656" s="8">
        <v>1017</v>
      </c>
      <c r="O656" s="271" t="s">
        <v>1795</v>
      </c>
      <c r="S656" s="89">
        <v>1</v>
      </c>
      <c r="T656" s="8">
        <v>5</v>
      </c>
      <c r="U656" s="89">
        <v>1</v>
      </c>
      <c r="V656" s="87">
        <v>1</v>
      </c>
      <c r="W656">
        <v>1</v>
      </c>
      <c r="X656" s="8">
        <v>1</v>
      </c>
      <c r="Y656">
        <v>0</v>
      </c>
      <c r="Z656" s="33">
        <v>0</v>
      </c>
      <c r="AA656">
        <v>5</v>
      </c>
      <c r="AB656" s="34">
        <v>200</v>
      </c>
      <c r="AC656" s="87">
        <v>50</v>
      </c>
      <c r="AE656" s="90">
        <v>4</v>
      </c>
      <c r="AF656" s="90">
        <v>2</v>
      </c>
      <c r="AG656" s="91"/>
      <c r="AH656" s="91"/>
      <c r="AI656" s="91"/>
      <c r="AJ656" s="91"/>
      <c r="AK656" s="91"/>
      <c r="AL656" s="92">
        <v>1</v>
      </c>
      <c r="AM656" s="92"/>
      <c r="AN656" s="93"/>
      <c r="AO656" s="92"/>
      <c r="AP656" s="86"/>
      <c r="AS656">
        <v>1</v>
      </c>
    </row>
    <row r="657" ht="14.25" customHeight="1" spans="1:45">
      <c r="A657" s="8">
        <v>250130</v>
      </c>
      <c r="B657" s="8">
        <v>1001</v>
      </c>
      <c r="C657" s="8">
        <v>1</v>
      </c>
      <c r="D657" s="8">
        <v>1001</v>
      </c>
      <c r="E657" t="s">
        <v>1796</v>
      </c>
      <c r="F657" s="13" t="s">
        <v>1796</v>
      </c>
      <c r="G657" t="s">
        <v>1797</v>
      </c>
      <c r="H657" t="s">
        <v>1798</v>
      </c>
      <c r="I657">
        <v>1</v>
      </c>
      <c r="J657" s="69">
        <v>4</v>
      </c>
      <c r="K657" s="87">
        <v>1</v>
      </c>
      <c r="L657" s="8">
        <v>999</v>
      </c>
      <c r="M657" s="8">
        <v>0</v>
      </c>
      <c r="N657" s="8"/>
      <c r="O657" s="271"/>
      <c r="S657" s="89">
        <v>1</v>
      </c>
      <c r="T657" s="8">
        <v>5</v>
      </c>
      <c r="U657" s="89">
        <v>1</v>
      </c>
      <c r="V657" s="87">
        <v>1</v>
      </c>
      <c r="W657">
        <v>1</v>
      </c>
      <c r="X657" s="8">
        <v>1</v>
      </c>
      <c r="Y657">
        <v>0</v>
      </c>
      <c r="Z657" s="33">
        <v>0</v>
      </c>
      <c r="AA657">
        <v>5</v>
      </c>
      <c r="AB657" s="34">
        <v>200</v>
      </c>
      <c r="AC657" s="87">
        <v>100</v>
      </c>
      <c r="AE657" s="90"/>
      <c r="AF657" s="90"/>
      <c r="AG657" s="91"/>
      <c r="AH657" s="91"/>
      <c r="AI657" s="91" t="s">
        <v>1767</v>
      </c>
      <c r="AJ657" s="91"/>
      <c r="AK657" s="91"/>
      <c r="AL657" s="92">
        <v>1</v>
      </c>
      <c r="AM657" s="92"/>
      <c r="AN657" s="93"/>
      <c r="AO657" s="92"/>
      <c r="AP657" s="86"/>
      <c r="AS657">
        <v>1</v>
      </c>
    </row>
    <row r="658" ht="14.25" customHeight="1" spans="1:45">
      <c r="A658" s="8">
        <v>250131</v>
      </c>
      <c r="B658" s="8">
        <v>1001</v>
      </c>
      <c r="C658" s="8">
        <v>1</v>
      </c>
      <c r="D658" s="8">
        <v>1001</v>
      </c>
      <c r="E658" t="s">
        <v>1799</v>
      </c>
      <c r="F658" s="13" t="s">
        <v>1799</v>
      </c>
      <c r="G658" t="s">
        <v>1800</v>
      </c>
      <c r="H658" t="s">
        <v>1801</v>
      </c>
      <c r="I658">
        <v>1</v>
      </c>
      <c r="J658" s="69">
        <v>5</v>
      </c>
      <c r="K658" s="87">
        <v>1</v>
      </c>
      <c r="L658" s="8">
        <v>999</v>
      </c>
      <c r="M658" s="8">
        <v>0</v>
      </c>
      <c r="N658" s="8"/>
      <c r="O658" s="271"/>
      <c r="S658" s="89">
        <v>1</v>
      </c>
      <c r="T658" s="8">
        <v>5</v>
      </c>
      <c r="U658" s="89">
        <v>1</v>
      </c>
      <c r="V658" s="87">
        <v>1</v>
      </c>
      <c r="W658">
        <v>1</v>
      </c>
      <c r="X658" s="8">
        <v>1</v>
      </c>
      <c r="Y658">
        <v>0</v>
      </c>
      <c r="Z658" s="33">
        <v>0</v>
      </c>
      <c r="AA658">
        <v>5</v>
      </c>
      <c r="AB658" s="34">
        <v>200</v>
      </c>
      <c r="AC658" s="87">
        <v>100</v>
      </c>
      <c r="AE658" s="90"/>
      <c r="AF658" s="90"/>
      <c r="AG658" s="91"/>
      <c r="AH658" s="91"/>
      <c r="AI658" s="91" t="s">
        <v>1767</v>
      </c>
      <c r="AJ658" s="91"/>
      <c r="AK658" s="91"/>
      <c r="AL658" s="92">
        <v>1</v>
      </c>
      <c r="AM658" s="92"/>
      <c r="AN658" s="93"/>
      <c r="AO658" s="92"/>
      <c r="AP658" s="86"/>
      <c r="AS658">
        <v>1</v>
      </c>
    </row>
    <row r="659" ht="14.25" customHeight="1" spans="1:45">
      <c r="A659" s="8">
        <v>250132</v>
      </c>
      <c r="B659" s="8">
        <v>1001</v>
      </c>
      <c r="C659" s="8">
        <v>6</v>
      </c>
      <c r="D659" s="8">
        <v>1001</v>
      </c>
      <c r="E659" t="s">
        <v>1802</v>
      </c>
      <c r="F659" s="13" t="s">
        <v>1802</v>
      </c>
      <c r="G659" t="s">
        <v>1803</v>
      </c>
      <c r="H659" t="s">
        <v>1804</v>
      </c>
      <c r="I659">
        <v>1</v>
      </c>
      <c r="J659" s="69">
        <v>4</v>
      </c>
      <c r="K659" s="87">
        <v>2</v>
      </c>
      <c r="L659" s="8">
        <v>999</v>
      </c>
      <c r="M659" s="8">
        <v>0</v>
      </c>
      <c r="N659" s="8">
        <v>1017</v>
      </c>
      <c r="O659" s="271" t="s">
        <v>1805</v>
      </c>
      <c r="S659" s="89">
        <v>1</v>
      </c>
      <c r="T659" s="8">
        <v>5</v>
      </c>
      <c r="U659" s="89">
        <v>1</v>
      </c>
      <c r="V659" s="87">
        <v>1</v>
      </c>
      <c r="W659">
        <v>1</v>
      </c>
      <c r="X659" s="8">
        <v>1</v>
      </c>
      <c r="Y659">
        <v>0</v>
      </c>
      <c r="Z659" s="33">
        <v>0</v>
      </c>
      <c r="AA659">
        <v>5</v>
      </c>
      <c r="AB659" s="34">
        <v>200</v>
      </c>
      <c r="AC659" s="87">
        <v>100</v>
      </c>
      <c r="AE659" s="90">
        <v>4</v>
      </c>
      <c r="AF659" s="90">
        <v>2</v>
      </c>
      <c r="AG659" s="91"/>
      <c r="AH659" s="91"/>
      <c r="AI659" s="91"/>
      <c r="AJ659" s="91"/>
      <c r="AK659" s="91"/>
      <c r="AL659" s="92">
        <v>1</v>
      </c>
      <c r="AM659" s="92"/>
      <c r="AN659" s="93"/>
      <c r="AO659" s="92"/>
      <c r="AP659" s="86"/>
      <c r="AS659">
        <v>1</v>
      </c>
    </row>
    <row r="660" ht="14.25" customHeight="1" spans="1:45">
      <c r="A660" s="8">
        <v>250133</v>
      </c>
      <c r="B660" s="8">
        <v>1001</v>
      </c>
      <c r="C660" s="8">
        <v>6</v>
      </c>
      <c r="D660" s="8">
        <v>1001</v>
      </c>
      <c r="E660" t="s">
        <v>1806</v>
      </c>
      <c r="F660" s="253" t="s">
        <v>1806</v>
      </c>
      <c r="G660" t="s">
        <v>1807</v>
      </c>
      <c r="H660" t="s">
        <v>1808</v>
      </c>
      <c r="I660">
        <v>1</v>
      </c>
      <c r="J660" s="69">
        <v>4</v>
      </c>
      <c r="K660" s="87">
        <v>2</v>
      </c>
      <c r="L660" s="8">
        <v>999</v>
      </c>
      <c r="M660" s="8">
        <v>0</v>
      </c>
      <c r="N660" s="8">
        <v>1017</v>
      </c>
      <c r="O660" s="271" t="s">
        <v>1809</v>
      </c>
      <c r="S660" s="89">
        <v>1</v>
      </c>
      <c r="T660" s="8">
        <v>5</v>
      </c>
      <c r="U660" s="89">
        <v>1</v>
      </c>
      <c r="V660" s="87">
        <v>1</v>
      </c>
      <c r="W660">
        <v>1</v>
      </c>
      <c r="X660" s="8">
        <v>1</v>
      </c>
      <c r="Y660">
        <v>0</v>
      </c>
      <c r="Z660" s="33">
        <v>0</v>
      </c>
      <c r="AA660">
        <v>5</v>
      </c>
      <c r="AB660" s="34">
        <v>200</v>
      </c>
      <c r="AC660" s="87">
        <v>100</v>
      </c>
      <c r="AE660" s="90">
        <v>4</v>
      </c>
      <c r="AF660" s="90">
        <v>2</v>
      </c>
      <c r="AG660" s="91"/>
      <c r="AH660" s="91"/>
      <c r="AI660" s="91"/>
      <c r="AJ660" s="91"/>
      <c r="AK660" s="91"/>
      <c r="AL660" s="92">
        <v>1</v>
      </c>
      <c r="AM660" s="92"/>
      <c r="AN660" s="93"/>
      <c r="AO660" s="92"/>
      <c r="AP660" s="86"/>
      <c r="AS660">
        <v>1</v>
      </c>
    </row>
    <row r="661" ht="14.25" customHeight="1" spans="1:45">
      <c r="A661" s="8">
        <v>250134</v>
      </c>
      <c r="B661" s="8">
        <v>1001</v>
      </c>
      <c r="C661" s="8">
        <v>2</v>
      </c>
      <c r="D661" s="8">
        <v>1001</v>
      </c>
      <c r="E661" t="s">
        <v>1810</v>
      </c>
      <c r="F661" t="s">
        <v>1810</v>
      </c>
      <c r="G661" t="s">
        <v>1811</v>
      </c>
      <c r="H661" t="s">
        <v>1812</v>
      </c>
      <c r="I661">
        <v>1</v>
      </c>
      <c r="J661" s="69">
        <v>4</v>
      </c>
      <c r="K661" s="87">
        <v>1</v>
      </c>
      <c r="L661" s="8">
        <v>999</v>
      </c>
      <c r="M661" s="8">
        <v>0</v>
      </c>
      <c r="N661" s="8"/>
      <c r="O661" s="271"/>
      <c r="S661" s="89">
        <v>1</v>
      </c>
      <c r="T661" s="8">
        <v>5</v>
      </c>
      <c r="U661" s="89">
        <v>1</v>
      </c>
      <c r="V661" s="87">
        <v>1</v>
      </c>
      <c r="W661">
        <v>1</v>
      </c>
      <c r="X661" s="8">
        <v>1</v>
      </c>
      <c r="Y661">
        <v>0</v>
      </c>
      <c r="Z661" s="33">
        <v>0</v>
      </c>
      <c r="AA661">
        <v>5</v>
      </c>
      <c r="AB661" s="34">
        <v>200</v>
      </c>
      <c r="AC661" s="87">
        <v>100</v>
      </c>
      <c r="AE661" s="90"/>
      <c r="AF661" s="90"/>
      <c r="AG661" s="91"/>
      <c r="AH661" s="91"/>
      <c r="AI661" s="91" t="s">
        <v>1813</v>
      </c>
      <c r="AJ661" s="91"/>
      <c r="AK661" s="91"/>
      <c r="AL661" s="92">
        <v>1</v>
      </c>
      <c r="AM661" s="92"/>
      <c r="AN661" s="93"/>
      <c r="AO661" s="92"/>
      <c r="AP661" s="86"/>
      <c r="AS661">
        <v>1</v>
      </c>
    </row>
    <row r="662" s="43" customFormat="1" ht="14.25" customHeight="1" spans="1:45">
      <c r="A662" s="8">
        <v>250135</v>
      </c>
      <c r="B662" s="8">
        <v>1001</v>
      </c>
      <c r="C662" s="8">
        <v>6</v>
      </c>
      <c r="D662" s="8">
        <v>1001</v>
      </c>
      <c r="E662" t="s">
        <v>1744</v>
      </c>
      <c r="F662" t="s">
        <v>1744</v>
      </c>
      <c r="G662" t="s">
        <v>1814</v>
      </c>
      <c r="H662" t="s">
        <v>1717</v>
      </c>
      <c r="I662">
        <v>60</v>
      </c>
      <c r="J662" s="69">
        <v>5</v>
      </c>
      <c r="K662" s="248">
        <v>2</v>
      </c>
      <c r="L662" s="8">
        <v>999</v>
      </c>
      <c r="M662" s="8">
        <v>0</v>
      </c>
      <c r="N662" s="8">
        <v>1017</v>
      </c>
      <c r="O662" s="271" t="s">
        <v>1815</v>
      </c>
      <c r="S662" s="89">
        <v>1</v>
      </c>
      <c r="T662" s="8">
        <v>5</v>
      </c>
      <c r="U662" s="89">
        <v>1</v>
      </c>
      <c r="V662" s="87">
        <v>1</v>
      </c>
      <c r="W662">
        <v>1</v>
      </c>
      <c r="X662" s="8">
        <v>1</v>
      </c>
      <c r="Y662" s="238">
        <v>0</v>
      </c>
      <c r="Z662" s="33">
        <v>0</v>
      </c>
      <c r="AA662">
        <v>5</v>
      </c>
      <c r="AB662" s="34">
        <v>200</v>
      </c>
      <c r="AC662" s="87">
        <v>40</v>
      </c>
      <c r="AE662" s="250">
        <v>4</v>
      </c>
      <c r="AF662" s="250">
        <v>2</v>
      </c>
      <c r="AG662" s="251"/>
      <c r="AH662" s="251"/>
      <c r="AI662" s="251"/>
      <c r="AJ662" s="251"/>
      <c r="AK662" s="251"/>
      <c r="AL662" s="92">
        <v>1</v>
      </c>
      <c r="AM662" s="252">
        <v>60</v>
      </c>
      <c r="AN662" s="93"/>
      <c r="AO662" s="92"/>
      <c r="AP662" s="86"/>
      <c r="AS662">
        <v>1</v>
      </c>
    </row>
    <row r="663" s="43" customFormat="1" spans="1:45">
      <c r="A663" s="8">
        <v>250136</v>
      </c>
      <c r="B663" s="272">
        <v>1001</v>
      </c>
      <c r="C663" s="272">
        <v>6</v>
      </c>
      <c r="D663" s="272">
        <v>1001</v>
      </c>
      <c r="E663" s="43" t="s">
        <v>1816</v>
      </c>
      <c r="F663" s="43" t="s">
        <v>1816</v>
      </c>
      <c r="G663" s="43" t="s">
        <v>1817</v>
      </c>
      <c r="H663" s="43" t="s">
        <v>1818</v>
      </c>
      <c r="I663" s="43">
        <v>1</v>
      </c>
      <c r="J663" s="43">
        <v>5</v>
      </c>
      <c r="K663" s="43">
        <v>2</v>
      </c>
      <c r="L663" s="272">
        <v>999</v>
      </c>
      <c r="M663" s="272">
        <v>0</v>
      </c>
      <c r="N663" s="272">
        <v>1027</v>
      </c>
      <c r="O663" s="273" t="s">
        <v>1819</v>
      </c>
      <c r="S663" s="272">
        <v>1</v>
      </c>
      <c r="T663" s="272">
        <v>5</v>
      </c>
      <c r="U663" s="272">
        <v>200</v>
      </c>
      <c r="V663" s="272">
        <v>1</v>
      </c>
      <c r="W663" s="43">
        <v>1</v>
      </c>
      <c r="X663" s="272">
        <v>1</v>
      </c>
      <c r="Y663" s="272">
        <v>0</v>
      </c>
      <c r="Z663" s="43">
        <v>0</v>
      </c>
      <c r="AA663" s="43">
        <v>5</v>
      </c>
      <c r="AB663" s="43">
        <v>4000</v>
      </c>
      <c r="AC663" s="272">
        <v>110</v>
      </c>
      <c r="AE663" s="43">
        <v>4</v>
      </c>
      <c r="AF663" s="274">
        <v>2</v>
      </c>
      <c r="AH663" s="43">
        <v>1</v>
      </c>
      <c r="AI663" s="275"/>
      <c r="AJ663" s="275"/>
      <c r="AK663" s="275"/>
      <c r="AL663" s="92">
        <v>1</v>
      </c>
      <c r="AM663" s="276">
        <v>80</v>
      </c>
      <c r="AN663" s="93"/>
      <c r="AO663" s="92"/>
      <c r="AS663" s="43">
        <v>1</v>
      </c>
    </row>
    <row r="664" s="43" customFormat="1" spans="1:45">
      <c r="A664" s="8">
        <v>250137</v>
      </c>
      <c r="B664" s="272">
        <v>1001</v>
      </c>
      <c r="C664" s="272">
        <v>6</v>
      </c>
      <c r="D664" s="272">
        <v>1001</v>
      </c>
      <c r="E664" s="43" t="s">
        <v>1820</v>
      </c>
      <c r="F664" s="43" t="s">
        <v>1820</v>
      </c>
      <c r="G664" s="43" t="s">
        <v>1821</v>
      </c>
      <c r="H664" s="43" t="s">
        <v>1822</v>
      </c>
      <c r="I664" s="43">
        <v>1</v>
      </c>
      <c r="J664" s="43">
        <v>5</v>
      </c>
      <c r="K664" s="43">
        <v>2</v>
      </c>
      <c r="L664" s="272">
        <v>999</v>
      </c>
      <c r="M664" s="272">
        <v>0</v>
      </c>
      <c r="N664" s="272">
        <v>1027</v>
      </c>
      <c r="O664" s="273" t="s">
        <v>1823</v>
      </c>
      <c r="S664" s="272">
        <v>1</v>
      </c>
      <c r="T664" s="272">
        <v>5</v>
      </c>
      <c r="U664" s="272">
        <v>200</v>
      </c>
      <c r="V664" s="272">
        <v>1</v>
      </c>
      <c r="W664" s="43">
        <v>1</v>
      </c>
      <c r="X664" s="272">
        <v>1</v>
      </c>
      <c r="Y664" s="272">
        <v>0</v>
      </c>
      <c r="Z664" s="43">
        <v>0</v>
      </c>
      <c r="AA664" s="43">
        <v>5</v>
      </c>
      <c r="AB664" s="43">
        <v>4000</v>
      </c>
      <c r="AC664" s="272">
        <v>110</v>
      </c>
      <c r="AE664" s="43">
        <v>4</v>
      </c>
      <c r="AF664" s="274">
        <v>2</v>
      </c>
      <c r="AH664" s="43">
        <v>1</v>
      </c>
      <c r="AI664" s="275"/>
      <c r="AJ664" s="275"/>
      <c r="AK664" s="275"/>
      <c r="AL664" s="92">
        <v>1</v>
      </c>
      <c r="AM664" s="276">
        <v>80</v>
      </c>
      <c r="AN664" s="93"/>
      <c r="AO664" s="92"/>
      <c r="AS664" s="43">
        <v>1</v>
      </c>
    </row>
    <row r="665" ht="14.25" customHeight="1" spans="1:45">
      <c r="A665" s="8">
        <v>250138</v>
      </c>
      <c r="B665" s="272">
        <v>1001</v>
      </c>
      <c r="C665" s="272">
        <v>6</v>
      </c>
      <c r="D665" s="272">
        <v>1001</v>
      </c>
      <c r="E665" s="43" t="s">
        <v>1824</v>
      </c>
      <c r="F665" s="278" t="s">
        <v>1824</v>
      </c>
      <c r="G665" s="43" t="s">
        <v>1762</v>
      </c>
      <c r="H665" s="43" t="s">
        <v>1825</v>
      </c>
      <c r="I665" s="43">
        <v>1</v>
      </c>
      <c r="J665" s="43">
        <v>5</v>
      </c>
      <c r="K665" s="278">
        <v>2</v>
      </c>
      <c r="L665" s="272">
        <v>999</v>
      </c>
      <c r="M665" s="272">
        <v>0</v>
      </c>
      <c r="N665" s="272">
        <v>1027</v>
      </c>
      <c r="O665" s="273" t="s">
        <v>1826</v>
      </c>
      <c r="S665" s="272">
        <v>1</v>
      </c>
      <c r="T665" s="272">
        <v>5</v>
      </c>
      <c r="U665" s="272">
        <v>200</v>
      </c>
      <c r="V665" s="272">
        <v>1</v>
      </c>
      <c r="W665" s="43">
        <v>1</v>
      </c>
      <c r="X665" s="272">
        <v>1</v>
      </c>
      <c r="Y665" s="277">
        <v>0</v>
      </c>
      <c r="Z665" s="43">
        <v>0</v>
      </c>
      <c r="AA665" s="43">
        <v>5</v>
      </c>
      <c r="AB665" s="43">
        <v>4000</v>
      </c>
      <c r="AC665" s="272">
        <v>110</v>
      </c>
      <c r="AE665" s="43">
        <v>4</v>
      </c>
      <c r="AF665" s="274">
        <v>2</v>
      </c>
      <c r="AG665" s="91"/>
      <c r="AH665" s="278">
        <v>1</v>
      </c>
      <c r="AI665" s="280"/>
      <c r="AJ665" s="280"/>
      <c r="AK665" s="280"/>
      <c r="AL665" s="92">
        <v>1</v>
      </c>
      <c r="AM665" s="281">
        <v>80</v>
      </c>
      <c r="AN665" s="93"/>
      <c r="AO665" s="92"/>
      <c r="AP665" s="86"/>
      <c r="AS665" s="43">
        <v>1</v>
      </c>
    </row>
    <row r="666" ht="14.25" customHeight="1" spans="1:45">
      <c r="A666" s="8">
        <v>250139</v>
      </c>
      <c r="B666" s="8">
        <v>1001</v>
      </c>
      <c r="C666" s="8">
        <v>6</v>
      </c>
      <c r="D666" s="8">
        <v>1001</v>
      </c>
      <c r="E666" t="s">
        <v>1827</v>
      </c>
      <c r="F666" s="13" t="s">
        <v>1827</v>
      </c>
      <c r="G666" t="s">
        <v>1828</v>
      </c>
      <c r="H666" t="s">
        <v>1829</v>
      </c>
      <c r="I666">
        <v>1</v>
      </c>
      <c r="J666" s="69">
        <v>4</v>
      </c>
      <c r="K666" s="87">
        <v>2</v>
      </c>
      <c r="L666" s="8">
        <v>999</v>
      </c>
      <c r="M666" s="8">
        <v>0</v>
      </c>
      <c r="N666" s="8">
        <v>1017</v>
      </c>
      <c r="O666" s="271" t="s">
        <v>1830</v>
      </c>
      <c r="S666" s="89">
        <v>1</v>
      </c>
      <c r="T666" s="8">
        <v>5</v>
      </c>
      <c r="U666" s="89">
        <v>1</v>
      </c>
      <c r="V666" s="87">
        <v>1</v>
      </c>
      <c r="W666">
        <v>1</v>
      </c>
      <c r="X666" s="8">
        <v>1</v>
      </c>
      <c r="Y666">
        <v>0</v>
      </c>
      <c r="Z666" s="33">
        <v>0</v>
      </c>
      <c r="AA666">
        <v>5</v>
      </c>
      <c r="AB666" s="34">
        <v>4000</v>
      </c>
      <c r="AC666" s="87">
        <v>110</v>
      </c>
      <c r="AE666" s="43">
        <v>4</v>
      </c>
      <c r="AF666" s="274">
        <v>2</v>
      </c>
      <c r="AG666" s="91"/>
      <c r="AH666" s="91">
        <v>1</v>
      </c>
      <c r="AI666" s="91"/>
      <c r="AJ666" s="91"/>
      <c r="AK666" s="91"/>
      <c r="AL666" s="92">
        <v>1</v>
      </c>
      <c r="AM666" s="92"/>
      <c r="AN666" s="93"/>
      <c r="AO666" s="92"/>
      <c r="AP666" s="86"/>
      <c r="AS666">
        <v>1</v>
      </c>
    </row>
    <row r="667" ht="14.25" customHeight="1" spans="1:45">
      <c r="A667" s="8">
        <v>250140</v>
      </c>
      <c r="B667" s="8">
        <v>1001</v>
      </c>
      <c r="C667" s="8">
        <v>6</v>
      </c>
      <c r="D667" s="8">
        <v>1001</v>
      </c>
      <c r="E667" t="s">
        <v>1831</v>
      </c>
      <c r="F667" s="253" t="s">
        <v>1831</v>
      </c>
      <c r="G667" t="s">
        <v>1832</v>
      </c>
      <c r="H667" t="s">
        <v>1812</v>
      </c>
      <c r="I667">
        <v>1</v>
      </c>
      <c r="J667" s="69">
        <v>4</v>
      </c>
      <c r="K667" s="87">
        <v>2</v>
      </c>
      <c r="L667" s="8">
        <v>999</v>
      </c>
      <c r="M667" s="8">
        <v>0</v>
      </c>
      <c r="N667" s="8">
        <v>1017</v>
      </c>
      <c r="O667" s="271" t="s">
        <v>1833</v>
      </c>
      <c r="S667" s="89">
        <v>1</v>
      </c>
      <c r="T667" s="8">
        <v>5</v>
      </c>
      <c r="U667" s="89">
        <v>1</v>
      </c>
      <c r="V667" s="87">
        <v>1</v>
      </c>
      <c r="W667">
        <v>1</v>
      </c>
      <c r="X667" s="8">
        <v>1</v>
      </c>
      <c r="Y667">
        <v>0</v>
      </c>
      <c r="Z667" s="33">
        <v>0</v>
      </c>
      <c r="AA667">
        <v>5</v>
      </c>
      <c r="AB667" s="34">
        <v>4000</v>
      </c>
      <c r="AC667" s="87">
        <v>110</v>
      </c>
      <c r="AE667" s="43">
        <v>4</v>
      </c>
      <c r="AF667" s="274">
        <v>2</v>
      </c>
      <c r="AG667" s="91"/>
      <c r="AH667" s="91">
        <v>1</v>
      </c>
      <c r="AI667" s="91"/>
      <c r="AJ667" s="91"/>
      <c r="AK667" s="91"/>
      <c r="AL667" s="92">
        <v>1</v>
      </c>
      <c r="AM667" s="92"/>
      <c r="AN667" s="93"/>
      <c r="AO667" s="92"/>
      <c r="AP667" s="86"/>
      <c r="AS667">
        <v>1</v>
      </c>
    </row>
    <row r="668" ht="14.25" customHeight="1" spans="1:45">
      <c r="A668" s="8">
        <v>250141</v>
      </c>
      <c r="B668" s="8">
        <v>1001</v>
      </c>
      <c r="C668" s="8">
        <v>6</v>
      </c>
      <c r="D668" s="8">
        <v>1001</v>
      </c>
      <c r="E668" t="s">
        <v>1834</v>
      </c>
      <c r="F668" t="s">
        <v>1834</v>
      </c>
      <c r="G668" t="s">
        <v>1835</v>
      </c>
      <c r="H668" t="s">
        <v>1836</v>
      </c>
      <c r="I668">
        <v>1</v>
      </c>
      <c r="J668" s="69">
        <v>4</v>
      </c>
      <c r="K668" s="87">
        <v>2</v>
      </c>
      <c r="L668" s="8">
        <v>999</v>
      </c>
      <c r="M668" s="8">
        <v>0</v>
      </c>
      <c r="N668" s="8">
        <v>1017</v>
      </c>
      <c r="O668" s="271" t="s">
        <v>1833</v>
      </c>
      <c r="S668" s="89">
        <v>1</v>
      </c>
      <c r="T668" s="8">
        <v>5</v>
      </c>
      <c r="U668" s="89">
        <v>1</v>
      </c>
      <c r="V668" s="87">
        <v>1</v>
      </c>
      <c r="W668">
        <v>1</v>
      </c>
      <c r="X668" s="8">
        <v>1</v>
      </c>
      <c r="Y668">
        <v>0</v>
      </c>
      <c r="Z668" s="33">
        <v>0</v>
      </c>
      <c r="AA668">
        <v>5</v>
      </c>
      <c r="AB668" s="34">
        <v>4000</v>
      </c>
      <c r="AC668" s="87">
        <v>110</v>
      </c>
      <c r="AE668" s="43">
        <v>4</v>
      </c>
      <c r="AF668" s="274">
        <v>2</v>
      </c>
      <c r="AG668" s="91"/>
      <c r="AH668" s="91">
        <v>1</v>
      </c>
      <c r="AI668" s="91"/>
      <c r="AJ668" s="91"/>
      <c r="AK668" s="91"/>
      <c r="AL668" s="92">
        <v>1</v>
      </c>
      <c r="AM668" s="92"/>
      <c r="AN668" s="93"/>
      <c r="AO668" s="92"/>
      <c r="AP668" s="86"/>
      <c r="AS668">
        <v>1</v>
      </c>
    </row>
    <row r="669" ht="14.25" customHeight="1" spans="1:45">
      <c r="A669" s="8">
        <v>250142</v>
      </c>
      <c r="B669" s="8">
        <v>1001</v>
      </c>
      <c r="C669" s="8">
        <v>6</v>
      </c>
      <c r="D669" s="8">
        <v>1001</v>
      </c>
      <c r="E669" t="s">
        <v>1837</v>
      </c>
      <c r="F669" t="s">
        <v>1837</v>
      </c>
      <c r="G669" t="s">
        <v>1838</v>
      </c>
      <c r="H669" t="s">
        <v>1839</v>
      </c>
      <c r="I669">
        <v>1</v>
      </c>
      <c r="J669" s="69">
        <v>4</v>
      </c>
      <c r="K669" s="87">
        <v>2</v>
      </c>
      <c r="L669" s="8">
        <v>999</v>
      </c>
      <c r="M669" s="8">
        <v>0</v>
      </c>
      <c r="N669" s="8">
        <v>1017</v>
      </c>
      <c r="O669" s="271" t="s">
        <v>1840</v>
      </c>
      <c r="S669" s="89">
        <v>1</v>
      </c>
      <c r="T669" s="8">
        <v>5</v>
      </c>
      <c r="U669" s="89">
        <v>1</v>
      </c>
      <c r="V669" s="87">
        <v>1</v>
      </c>
      <c r="W669">
        <v>1</v>
      </c>
      <c r="X669" s="8">
        <v>1</v>
      </c>
      <c r="Y669">
        <v>0</v>
      </c>
      <c r="Z669" s="33">
        <v>0</v>
      </c>
      <c r="AA669">
        <v>5</v>
      </c>
      <c r="AB669" s="34">
        <v>4000</v>
      </c>
      <c r="AC669" s="87">
        <v>110</v>
      </c>
      <c r="AE669" s="43">
        <v>4</v>
      </c>
      <c r="AF669" s="274">
        <v>2</v>
      </c>
      <c r="AG669" s="91"/>
      <c r="AH669" s="91">
        <v>1</v>
      </c>
      <c r="AI669" s="91"/>
      <c r="AJ669" s="91"/>
      <c r="AK669" s="91"/>
      <c r="AL669" s="92">
        <v>1</v>
      </c>
      <c r="AM669" s="92"/>
      <c r="AN669" s="93"/>
      <c r="AO669" s="92"/>
      <c r="AP669" s="86"/>
      <c r="AS669">
        <v>1</v>
      </c>
    </row>
    <row r="670" ht="14.25" customHeight="1" spans="1:45">
      <c r="A670" s="8">
        <v>250143</v>
      </c>
      <c r="B670" s="8">
        <v>1001</v>
      </c>
      <c r="C670" s="8">
        <v>6</v>
      </c>
      <c r="D670" s="8">
        <v>1001</v>
      </c>
      <c r="E670" t="s">
        <v>1841</v>
      </c>
      <c r="F670" t="s">
        <v>1841</v>
      </c>
      <c r="G670" t="s">
        <v>1842</v>
      </c>
      <c r="H670" t="s">
        <v>1588</v>
      </c>
      <c r="I670">
        <v>1</v>
      </c>
      <c r="J670" s="69">
        <v>4</v>
      </c>
      <c r="K670" s="87">
        <v>2</v>
      </c>
      <c r="L670" s="8">
        <v>999</v>
      </c>
      <c r="M670" s="8">
        <v>0</v>
      </c>
      <c r="N670" s="8">
        <v>1017</v>
      </c>
      <c r="O670" s="271" t="s">
        <v>1843</v>
      </c>
      <c r="S670" s="89">
        <v>1</v>
      </c>
      <c r="T670" s="8">
        <v>5</v>
      </c>
      <c r="U670" s="89">
        <v>1</v>
      </c>
      <c r="V670" s="87">
        <v>1</v>
      </c>
      <c r="W670">
        <v>1</v>
      </c>
      <c r="X670" s="8">
        <v>1</v>
      </c>
      <c r="Y670">
        <v>0</v>
      </c>
      <c r="Z670" s="33">
        <v>0</v>
      </c>
      <c r="AA670">
        <v>5</v>
      </c>
      <c r="AB670" s="34">
        <v>4000</v>
      </c>
      <c r="AC670" s="87">
        <v>110</v>
      </c>
      <c r="AE670" s="43">
        <v>4</v>
      </c>
      <c r="AF670" s="274">
        <v>2</v>
      </c>
      <c r="AG670" s="91"/>
      <c r="AH670" s="91">
        <v>1</v>
      </c>
      <c r="AI670" s="91"/>
      <c r="AJ670" s="91"/>
      <c r="AK670" s="91"/>
      <c r="AL670" s="92">
        <v>1</v>
      </c>
      <c r="AM670" s="92"/>
      <c r="AN670" s="93"/>
      <c r="AO670" s="92"/>
      <c r="AP670" s="86"/>
      <c r="AS670">
        <v>1</v>
      </c>
    </row>
    <row r="671" ht="14.25" customHeight="1" spans="1:45">
      <c r="A671" s="8">
        <v>250144</v>
      </c>
      <c r="B671" s="8">
        <v>1001</v>
      </c>
      <c r="C671" s="8">
        <v>6</v>
      </c>
      <c r="D671" s="8">
        <v>1001</v>
      </c>
      <c r="E671" t="s">
        <v>1844</v>
      </c>
      <c r="F671" s="238" t="s">
        <v>1844</v>
      </c>
      <c r="G671" t="s">
        <v>1845</v>
      </c>
      <c r="H671" t="s">
        <v>1589</v>
      </c>
      <c r="I671">
        <v>1</v>
      </c>
      <c r="J671" s="69">
        <v>4</v>
      </c>
      <c r="K671" s="87">
        <v>2</v>
      </c>
      <c r="L671" s="8">
        <v>999</v>
      </c>
      <c r="M671" s="8">
        <v>0</v>
      </c>
      <c r="N671" s="8">
        <v>1017</v>
      </c>
      <c r="O671" s="271" t="s">
        <v>1846</v>
      </c>
      <c r="S671" s="89">
        <v>1</v>
      </c>
      <c r="T671" s="8">
        <v>5</v>
      </c>
      <c r="U671" s="89">
        <v>1</v>
      </c>
      <c r="V671" s="87">
        <v>1</v>
      </c>
      <c r="W671">
        <v>1</v>
      </c>
      <c r="X671" s="8">
        <v>1</v>
      </c>
      <c r="Y671">
        <v>0</v>
      </c>
      <c r="Z671" s="33">
        <v>0</v>
      </c>
      <c r="AA671">
        <v>5</v>
      </c>
      <c r="AB671" s="34">
        <v>4000</v>
      </c>
      <c r="AC671" s="87">
        <v>110</v>
      </c>
      <c r="AE671" s="278">
        <v>4</v>
      </c>
      <c r="AF671" s="279">
        <v>2</v>
      </c>
      <c r="AG671" s="91"/>
      <c r="AH671" s="91">
        <v>1</v>
      </c>
      <c r="AI671" s="91"/>
      <c r="AJ671" s="91"/>
      <c r="AK671" s="91"/>
      <c r="AL671" s="92">
        <v>1</v>
      </c>
      <c r="AM671" s="92"/>
      <c r="AN671" s="93"/>
      <c r="AO671" s="92"/>
      <c r="AP671" s="86"/>
      <c r="AS671">
        <v>1</v>
      </c>
    </row>
    <row r="672" ht="14.25" customHeight="1" spans="1:45">
      <c r="A672" s="283">
        <v>250145</v>
      </c>
      <c r="B672" s="8">
        <v>1001</v>
      </c>
      <c r="C672" s="8">
        <v>6</v>
      </c>
      <c r="D672" s="8">
        <v>1001</v>
      </c>
      <c r="E672" t="s">
        <v>1847</v>
      </c>
      <c r="F672" s="13" t="s">
        <v>1611</v>
      </c>
      <c r="G672" t="s">
        <v>1848</v>
      </c>
      <c r="H672" t="s">
        <v>1689</v>
      </c>
      <c r="I672">
        <v>1</v>
      </c>
      <c r="J672" s="69">
        <v>5</v>
      </c>
      <c r="K672" s="87">
        <v>2</v>
      </c>
      <c r="L672" s="8">
        <v>999</v>
      </c>
      <c r="M672" s="8">
        <v>0</v>
      </c>
      <c r="N672" s="8">
        <v>1017</v>
      </c>
      <c r="O672" s="2">
        <v>10307</v>
      </c>
      <c r="S672" s="89">
        <v>1</v>
      </c>
      <c r="T672" s="8">
        <v>5</v>
      </c>
      <c r="U672" s="89">
        <v>200</v>
      </c>
      <c r="V672" s="87">
        <v>1</v>
      </c>
      <c r="W672">
        <v>1</v>
      </c>
      <c r="X672" s="8">
        <v>1</v>
      </c>
      <c r="Y672">
        <v>0</v>
      </c>
      <c r="Z672" s="33">
        <v>0</v>
      </c>
      <c r="AA672">
        <v>5</v>
      </c>
      <c r="AB672" s="34">
        <v>4000</v>
      </c>
      <c r="AC672" s="87">
        <v>110</v>
      </c>
      <c r="AE672" s="90">
        <v>4</v>
      </c>
      <c r="AF672" s="90">
        <v>2</v>
      </c>
      <c r="AG672" s="91"/>
      <c r="AH672" s="91">
        <v>1</v>
      </c>
      <c r="AI672" s="91"/>
      <c r="AJ672" s="91"/>
      <c r="AK672" s="91"/>
      <c r="AL672" s="92">
        <v>1</v>
      </c>
      <c r="AM672" s="92">
        <v>100</v>
      </c>
      <c r="AN672" s="93"/>
      <c r="AO672" s="92"/>
      <c r="AP672" s="86"/>
      <c r="AS672">
        <v>1</v>
      </c>
    </row>
    <row r="673" ht="14.25" customHeight="1" spans="1:45">
      <c r="A673" s="283">
        <v>250146</v>
      </c>
      <c r="B673" s="8">
        <v>1001</v>
      </c>
      <c r="C673" s="8">
        <v>6</v>
      </c>
      <c r="D673" s="8">
        <v>1001</v>
      </c>
      <c r="E673" t="s">
        <v>1849</v>
      </c>
      <c r="F673" s="13" t="s">
        <v>1615</v>
      </c>
      <c r="G673" t="s">
        <v>1850</v>
      </c>
      <c r="H673" t="s">
        <v>1692</v>
      </c>
      <c r="I673">
        <v>1</v>
      </c>
      <c r="J673" s="69">
        <v>5</v>
      </c>
      <c r="K673" s="87">
        <v>2</v>
      </c>
      <c r="L673" s="8">
        <v>999</v>
      </c>
      <c r="M673" s="8">
        <v>0</v>
      </c>
      <c r="N673" s="8">
        <v>1017</v>
      </c>
      <c r="O673" s="2">
        <v>10311</v>
      </c>
      <c r="S673" s="89">
        <v>1</v>
      </c>
      <c r="T673" s="8">
        <v>5</v>
      </c>
      <c r="U673" s="89">
        <v>200</v>
      </c>
      <c r="V673" s="87">
        <v>1</v>
      </c>
      <c r="W673">
        <v>1</v>
      </c>
      <c r="X673" s="8">
        <v>1</v>
      </c>
      <c r="Y673">
        <v>0</v>
      </c>
      <c r="Z673" s="33">
        <v>0</v>
      </c>
      <c r="AA673">
        <v>5</v>
      </c>
      <c r="AB673" s="34">
        <v>4000</v>
      </c>
      <c r="AC673" s="87">
        <v>110</v>
      </c>
      <c r="AE673" s="90">
        <v>4</v>
      </c>
      <c r="AF673" s="90">
        <v>2</v>
      </c>
      <c r="AG673" s="91"/>
      <c r="AH673" s="91">
        <v>1</v>
      </c>
      <c r="AI673" s="91"/>
      <c r="AJ673" s="91"/>
      <c r="AK673" s="91"/>
      <c r="AL673" s="92">
        <v>1</v>
      </c>
      <c r="AM673" s="92">
        <v>100</v>
      </c>
      <c r="AN673" s="93"/>
      <c r="AO673" s="92"/>
      <c r="AP673" s="86"/>
      <c r="AS673">
        <v>1</v>
      </c>
    </row>
    <row r="674" ht="15" customHeight="1" spans="1:45">
      <c r="A674" s="283">
        <v>250147</v>
      </c>
      <c r="B674" s="8">
        <v>1001</v>
      </c>
      <c r="C674" s="8">
        <v>6</v>
      </c>
      <c r="D674" s="8">
        <v>1001</v>
      </c>
      <c r="E674" t="s">
        <v>1851</v>
      </c>
      <c r="F674" s="13" t="s">
        <v>1619</v>
      </c>
      <c r="G674" t="s">
        <v>1852</v>
      </c>
      <c r="H674" t="s">
        <v>1695</v>
      </c>
      <c r="I674">
        <v>1</v>
      </c>
      <c r="J674" s="69">
        <v>5</v>
      </c>
      <c r="K674" s="87">
        <v>2</v>
      </c>
      <c r="L674" s="8">
        <v>999</v>
      </c>
      <c r="M674" s="8">
        <v>0</v>
      </c>
      <c r="N674" s="8">
        <v>1017</v>
      </c>
      <c r="O674" s="2">
        <v>10315</v>
      </c>
      <c r="S674" s="89">
        <v>1</v>
      </c>
      <c r="T674" s="8">
        <v>5</v>
      </c>
      <c r="U674" s="89">
        <v>200</v>
      </c>
      <c r="V674" s="87">
        <v>1</v>
      </c>
      <c r="W674">
        <v>1</v>
      </c>
      <c r="X674" s="8">
        <v>1</v>
      </c>
      <c r="Y674">
        <v>0</v>
      </c>
      <c r="Z674" s="33">
        <v>0</v>
      </c>
      <c r="AA674">
        <v>5</v>
      </c>
      <c r="AB674" s="34">
        <v>4000</v>
      </c>
      <c r="AC674" s="87">
        <v>110</v>
      </c>
      <c r="AE674" s="90">
        <v>4</v>
      </c>
      <c r="AF674" s="90">
        <v>2</v>
      </c>
      <c r="AG674" s="91"/>
      <c r="AH674" s="91">
        <v>1</v>
      </c>
      <c r="AI674" s="91"/>
      <c r="AJ674" s="91"/>
      <c r="AK674" s="91"/>
      <c r="AL674" s="92">
        <v>1</v>
      </c>
      <c r="AM674" s="92">
        <v>100</v>
      </c>
      <c r="AN674" s="93"/>
      <c r="AO674" s="92"/>
      <c r="AP674" s="86"/>
      <c r="AS674">
        <v>1</v>
      </c>
    </row>
    <row r="675" ht="14.25" customHeight="1" spans="1:45">
      <c r="A675" s="283">
        <v>250148</v>
      </c>
      <c r="B675" s="8">
        <v>1001</v>
      </c>
      <c r="C675" s="8">
        <v>6</v>
      </c>
      <c r="D675" s="8">
        <v>1001</v>
      </c>
      <c r="E675" t="s">
        <v>1853</v>
      </c>
      <c r="F675" s="13" t="s">
        <v>1623</v>
      </c>
      <c r="G675" t="s">
        <v>1854</v>
      </c>
      <c r="H675" t="s">
        <v>1698</v>
      </c>
      <c r="I675">
        <v>1</v>
      </c>
      <c r="J675" s="69">
        <v>5</v>
      </c>
      <c r="K675" s="87">
        <v>2</v>
      </c>
      <c r="L675" s="8">
        <v>999</v>
      </c>
      <c r="M675" s="8">
        <v>0</v>
      </c>
      <c r="N675" s="8">
        <v>1017</v>
      </c>
      <c r="O675" s="2">
        <v>10319</v>
      </c>
      <c r="S675" s="89">
        <v>1</v>
      </c>
      <c r="T675" s="8">
        <v>5</v>
      </c>
      <c r="U675" s="89">
        <v>200</v>
      </c>
      <c r="V675" s="87">
        <v>1</v>
      </c>
      <c r="W675">
        <v>1</v>
      </c>
      <c r="X675" s="8">
        <v>1</v>
      </c>
      <c r="Y675">
        <v>0</v>
      </c>
      <c r="Z675" s="33">
        <v>0</v>
      </c>
      <c r="AA675">
        <v>5</v>
      </c>
      <c r="AB675" s="34">
        <v>4000</v>
      </c>
      <c r="AC675" s="87">
        <v>110</v>
      </c>
      <c r="AE675" s="90">
        <v>4</v>
      </c>
      <c r="AF675" s="90">
        <v>2</v>
      </c>
      <c r="AG675" s="91"/>
      <c r="AH675" s="91">
        <v>1</v>
      </c>
      <c r="AI675" s="91"/>
      <c r="AJ675" s="91"/>
      <c r="AK675" s="91"/>
      <c r="AL675" s="92">
        <v>1</v>
      </c>
      <c r="AM675" s="92">
        <v>100</v>
      </c>
      <c r="AN675" s="93"/>
      <c r="AO675" s="92"/>
      <c r="AP675" s="86"/>
      <c r="AS675">
        <v>1</v>
      </c>
    </row>
    <row r="676" ht="14.25" customHeight="1" spans="1:45">
      <c r="A676" s="283">
        <v>250149</v>
      </c>
      <c r="B676" s="8">
        <v>1001</v>
      </c>
      <c r="C676" s="8">
        <v>6</v>
      </c>
      <c r="D676" s="8">
        <v>1001</v>
      </c>
      <c r="E676" t="s">
        <v>1855</v>
      </c>
      <c r="F676" s="13" t="s">
        <v>1611</v>
      </c>
      <c r="G676" t="s">
        <v>1856</v>
      </c>
      <c r="H676" t="s">
        <v>1689</v>
      </c>
      <c r="I676">
        <v>1</v>
      </c>
      <c r="J676" s="69">
        <v>5</v>
      </c>
      <c r="K676" s="87">
        <v>2</v>
      </c>
      <c r="L676" s="8">
        <v>999</v>
      </c>
      <c r="M676" s="8">
        <v>0</v>
      </c>
      <c r="N676" s="8">
        <v>1017</v>
      </c>
      <c r="O676" s="2">
        <v>10323</v>
      </c>
      <c r="S676" s="89">
        <v>1</v>
      </c>
      <c r="T676" s="8">
        <v>5</v>
      </c>
      <c r="U676" s="89">
        <v>200</v>
      </c>
      <c r="V676" s="87">
        <v>1</v>
      </c>
      <c r="W676">
        <v>1</v>
      </c>
      <c r="X676" s="8">
        <v>1</v>
      </c>
      <c r="Y676">
        <v>0</v>
      </c>
      <c r="Z676" s="33">
        <v>0</v>
      </c>
      <c r="AA676">
        <v>5</v>
      </c>
      <c r="AB676" s="34">
        <v>4000</v>
      </c>
      <c r="AC676" s="87">
        <v>110</v>
      </c>
      <c r="AE676" s="90">
        <v>4</v>
      </c>
      <c r="AF676" s="90">
        <v>2</v>
      </c>
      <c r="AG676" s="91"/>
      <c r="AH676" s="91">
        <v>1</v>
      </c>
      <c r="AI676" s="91"/>
      <c r="AJ676" s="91"/>
      <c r="AK676" s="91"/>
      <c r="AL676" s="92">
        <v>1</v>
      </c>
      <c r="AM676" s="92">
        <v>100</v>
      </c>
      <c r="AN676" s="93"/>
      <c r="AO676" s="92"/>
      <c r="AP676" s="86"/>
      <c r="AS676">
        <v>1</v>
      </c>
    </row>
    <row r="677" ht="14.25" customHeight="1" spans="1:45">
      <c r="A677" s="283">
        <v>250150</v>
      </c>
      <c r="B677" s="8">
        <v>1001</v>
      </c>
      <c r="C677" s="8">
        <v>6</v>
      </c>
      <c r="D677" s="8">
        <v>1001</v>
      </c>
      <c r="E677" t="s">
        <v>1857</v>
      </c>
      <c r="F677" s="13" t="s">
        <v>1615</v>
      </c>
      <c r="G677" t="s">
        <v>1858</v>
      </c>
      <c r="H677" t="s">
        <v>1692</v>
      </c>
      <c r="I677">
        <v>1</v>
      </c>
      <c r="J677" s="69">
        <v>5</v>
      </c>
      <c r="K677" s="87">
        <v>2</v>
      </c>
      <c r="L677" s="8">
        <v>999</v>
      </c>
      <c r="M677" s="8">
        <v>0</v>
      </c>
      <c r="N677" s="8">
        <v>1017</v>
      </c>
      <c r="O677" s="2">
        <v>10324</v>
      </c>
      <c r="S677" s="89">
        <v>1</v>
      </c>
      <c r="T677" s="8">
        <v>5</v>
      </c>
      <c r="U677" s="89">
        <v>200</v>
      </c>
      <c r="V677" s="87">
        <v>1</v>
      </c>
      <c r="W677">
        <v>1</v>
      </c>
      <c r="X677" s="8">
        <v>1</v>
      </c>
      <c r="Y677">
        <v>0</v>
      </c>
      <c r="Z677" s="33">
        <v>0</v>
      </c>
      <c r="AA677">
        <v>5</v>
      </c>
      <c r="AB677" s="34">
        <v>4000</v>
      </c>
      <c r="AC677" s="87">
        <v>110</v>
      </c>
      <c r="AE677" s="90">
        <v>4</v>
      </c>
      <c r="AF677" s="90">
        <v>2</v>
      </c>
      <c r="AG677" s="91"/>
      <c r="AH677" s="91">
        <v>1</v>
      </c>
      <c r="AI677" s="91"/>
      <c r="AJ677" s="91"/>
      <c r="AK677" s="91"/>
      <c r="AL677" s="92">
        <v>1</v>
      </c>
      <c r="AM677" s="92">
        <v>100</v>
      </c>
      <c r="AN677" s="93"/>
      <c r="AO677" s="92"/>
      <c r="AP677" s="86"/>
      <c r="AS677">
        <v>1</v>
      </c>
    </row>
    <row r="678" ht="14.25" customHeight="1" spans="1:45">
      <c r="A678" s="283">
        <v>250151</v>
      </c>
      <c r="B678" s="8">
        <v>1001</v>
      </c>
      <c r="C678" s="8">
        <v>6</v>
      </c>
      <c r="D678" s="8">
        <v>1001</v>
      </c>
      <c r="E678" t="s">
        <v>1859</v>
      </c>
      <c r="F678" s="13" t="s">
        <v>1619</v>
      </c>
      <c r="G678" t="s">
        <v>1860</v>
      </c>
      <c r="H678" t="s">
        <v>1695</v>
      </c>
      <c r="I678">
        <v>1</v>
      </c>
      <c r="J678" s="69">
        <v>5</v>
      </c>
      <c r="K678" s="87">
        <v>2</v>
      </c>
      <c r="L678" s="8">
        <v>999</v>
      </c>
      <c r="M678" s="8">
        <v>0</v>
      </c>
      <c r="N678" s="8">
        <v>1017</v>
      </c>
      <c r="O678" s="2">
        <v>10325</v>
      </c>
      <c r="S678" s="89">
        <v>1</v>
      </c>
      <c r="T678" s="8">
        <v>5</v>
      </c>
      <c r="U678" s="89">
        <v>200</v>
      </c>
      <c r="V678" s="87">
        <v>1</v>
      </c>
      <c r="W678">
        <v>1</v>
      </c>
      <c r="X678" s="8">
        <v>1</v>
      </c>
      <c r="Y678">
        <v>0</v>
      </c>
      <c r="Z678" s="33">
        <v>0</v>
      </c>
      <c r="AA678">
        <v>5</v>
      </c>
      <c r="AB678" s="34">
        <v>4000</v>
      </c>
      <c r="AC678" s="87">
        <v>110</v>
      </c>
      <c r="AE678" s="90">
        <v>4</v>
      </c>
      <c r="AF678" s="90">
        <v>2</v>
      </c>
      <c r="AG678" s="91"/>
      <c r="AH678" s="91">
        <v>1</v>
      </c>
      <c r="AI678" s="91"/>
      <c r="AJ678" s="91"/>
      <c r="AK678" s="91"/>
      <c r="AL678" s="92">
        <v>1</v>
      </c>
      <c r="AM678" s="92">
        <v>100</v>
      </c>
      <c r="AN678" s="93"/>
      <c r="AO678" s="92"/>
      <c r="AP678" s="86"/>
      <c r="AS678">
        <v>1</v>
      </c>
    </row>
    <row r="679" ht="14.25" customHeight="1" spans="1:45">
      <c r="A679" s="283">
        <v>250152</v>
      </c>
      <c r="B679" s="8">
        <v>1001</v>
      </c>
      <c r="C679" s="8">
        <v>6</v>
      </c>
      <c r="D679" s="8">
        <v>1001</v>
      </c>
      <c r="E679" t="s">
        <v>1861</v>
      </c>
      <c r="F679" s="13" t="s">
        <v>1623</v>
      </c>
      <c r="G679" t="s">
        <v>1862</v>
      </c>
      <c r="H679" t="s">
        <v>1698</v>
      </c>
      <c r="I679">
        <v>1</v>
      </c>
      <c r="J679" s="69">
        <v>5</v>
      </c>
      <c r="K679" s="87">
        <v>2</v>
      </c>
      <c r="L679" s="8">
        <v>999</v>
      </c>
      <c r="M679" s="8">
        <v>0</v>
      </c>
      <c r="N679" s="8">
        <v>1017</v>
      </c>
      <c r="O679" s="2">
        <v>10326</v>
      </c>
      <c r="S679" s="89">
        <v>1</v>
      </c>
      <c r="T679" s="8">
        <v>5</v>
      </c>
      <c r="U679" s="89">
        <v>200</v>
      </c>
      <c r="V679" s="87">
        <v>1</v>
      </c>
      <c r="W679">
        <v>1</v>
      </c>
      <c r="X679" s="8">
        <v>1</v>
      </c>
      <c r="Y679">
        <v>0</v>
      </c>
      <c r="Z679" s="33">
        <v>0</v>
      </c>
      <c r="AA679">
        <v>5</v>
      </c>
      <c r="AB679" s="34">
        <v>4000</v>
      </c>
      <c r="AC679" s="87">
        <v>110</v>
      </c>
      <c r="AE679" s="90">
        <v>4</v>
      </c>
      <c r="AF679" s="90">
        <v>2</v>
      </c>
      <c r="AG679" s="91"/>
      <c r="AH679" s="91">
        <v>1</v>
      </c>
      <c r="AI679" s="91"/>
      <c r="AJ679" s="91"/>
      <c r="AK679" s="91"/>
      <c r="AL679" s="92">
        <v>1</v>
      </c>
      <c r="AM679" s="92">
        <v>100</v>
      </c>
      <c r="AN679" s="93"/>
      <c r="AO679" s="92"/>
      <c r="AP679" s="86"/>
      <c r="AS679">
        <v>1</v>
      </c>
    </row>
    <row r="680" ht="14.25" customHeight="1" spans="1:45">
      <c r="A680" s="8">
        <v>250153</v>
      </c>
      <c r="B680" s="8">
        <v>1001</v>
      </c>
      <c r="C680" s="8">
        <v>6</v>
      </c>
      <c r="D680" s="8">
        <v>1001</v>
      </c>
      <c r="E680" t="s">
        <v>1863</v>
      </c>
      <c r="F680" s="13" t="s">
        <v>1577</v>
      </c>
      <c r="G680" t="s">
        <v>1578</v>
      </c>
      <c r="H680" t="s">
        <v>1579</v>
      </c>
      <c r="I680">
        <v>1</v>
      </c>
      <c r="J680" s="69">
        <v>5</v>
      </c>
      <c r="K680" s="87">
        <v>2</v>
      </c>
      <c r="L680" s="8">
        <v>999</v>
      </c>
      <c r="M680" s="8">
        <v>0</v>
      </c>
      <c r="N680" s="8">
        <v>1017</v>
      </c>
      <c r="O680" s="2">
        <v>30346</v>
      </c>
      <c r="S680" s="89"/>
      <c r="T680" s="8">
        <v>5</v>
      </c>
      <c r="U680" s="89">
        <v>200</v>
      </c>
      <c r="V680" s="87">
        <v>1</v>
      </c>
      <c r="W680">
        <v>1</v>
      </c>
      <c r="X680" s="8">
        <v>1</v>
      </c>
      <c r="Y680">
        <v>0</v>
      </c>
      <c r="Z680" s="33">
        <v>0</v>
      </c>
      <c r="AA680">
        <v>5</v>
      </c>
      <c r="AB680" s="34">
        <v>4000</v>
      </c>
      <c r="AC680" s="87">
        <v>110</v>
      </c>
      <c r="AE680" s="90">
        <v>4</v>
      </c>
      <c r="AF680" s="90">
        <v>2</v>
      </c>
      <c r="AG680" s="91"/>
      <c r="AH680" s="91">
        <v>1</v>
      </c>
      <c r="AI680" s="91"/>
      <c r="AJ680" s="91"/>
      <c r="AK680" s="91"/>
      <c r="AL680" s="92">
        <v>1</v>
      </c>
      <c r="AM680" s="92">
        <v>100</v>
      </c>
      <c r="AN680" s="93"/>
      <c r="AO680" s="92"/>
      <c r="AP680" s="86"/>
      <c r="AS680">
        <v>1</v>
      </c>
    </row>
    <row r="681" ht="14.25" customHeight="1" spans="1:45">
      <c r="A681" s="8">
        <v>250154</v>
      </c>
      <c r="B681" s="8">
        <v>1001</v>
      </c>
      <c r="C681" s="8">
        <v>6</v>
      </c>
      <c r="D681" s="8">
        <v>1001</v>
      </c>
      <c r="E681" t="s">
        <v>1864</v>
      </c>
      <c r="F681" s="13" t="s">
        <v>1569</v>
      </c>
      <c r="G681" t="s">
        <v>1570</v>
      </c>
      <c r="H681" t="s">
        <v>1574</v>
      </c>
      <c r="I681">
        <v>1</v>
      </c>
      <c r="J681" s="69">
        <v>5</v>
      </c>
      <c r="K681" s="87">
        <v>2</v>
      </c>
      <c r="L681" s="8">
        <v>999</v>
      </c>
      <c r="M681" s="8">
        <v>0</v>
      </c>
      <c r="N681" s="8">
        <v>1017</v>
      </c>
      <c r="O681" s="271" t="s">
        <v>1865</v>
      </c>
      <c r="S681" s="89"/>
      <c r="T681" s="8">
        <v>5</v>
      </c>
      <c r="U681" s="89">
        <v>200</v>
      </c>
      <c r="V681" s="87">
        <v>1</v>
      </c>
      <c r="W681">
        <v>1</v>
      </c>
      <c r="X681" s="8">
        <v>1</v>
      </c>
      <c r="Y681">
        <v>0</v>
      </c>
      <c r="Z681" s="33">
        <v>0</v>
      </c>
      <c r="AA681">
        <v>5</v>
      </c>
      <c r="AB681" s="34">
        <v>4000</v>
      </c>
      <c r="AC681" s="87">
        <v>110</v>
      </c>
      <c r="AE681" s="90">
        <v>4</v>
      </c>
      <c r="AF681" s="90">
        <v>2</v>
      </c>
      <c r="AG681" s="91"/>
      <c r="AH681" s="91">
        <v>1</v>
      </c>
      <c r="AI681" s="91"/>
      <c r="AJ681" s="91"/>
      <c r="AK681" s="91"/>
      <c r="AL681" s="92">
        <v>1</v>
      </c>
      <c r="AM681" s="92">
        <v>100</v>
      </c>
      <c r="AN681" s="93"/>
      <c r="AO681" s="92"/>
      <c r="AP681" s="86"/>
      <c r="AS681">
        <v>1</v>
      </c>
    </row>
    <row r="682" ht="14.25" customHeight="1" spans="1:45">
      <c r="A682" s="8">
        <v>250155</v>
      </c>
      <c r="B682" s="8">
        <v>1001</v>
      </c>
      <c r="C682" s="8">
        <v>6</v>
      </c>
      <c r="D682" s="8">
        <v>1001</v>
      </c>
      <c r="E682" t="s">
        <v>1866</v>
      </c>
      <c r="F682" s="253" t="s">
        <v>1606</v>
      </c>
      <c r="G682" t="s">
        <v>1607</v>
      </c>
      <c r="H682" t="s">
        <v>1579</v>
      </c>
      <c r="I682">
        <v>1</v>
      </c>
      <c r="J682" s="69">
        <v>4</v>
      </c>
      <c r="K682" s="87">
        <v>2</v>
      </c>
      <c r="L682" s="8">
        <v>999</v>
      </c>
      <c r="M682" s="8">
        <v>0</v>
      </c>
      <c r="N682" s="8">
        <v>1017</v>
      </c>
      <c r="O682" s="2">
        <v>30342</v>
      </c>
      <c r="S682" s="89"/>
      <c r="T682" s="8">
        <v>5</v>
      </c>
      <c r="U682" s="89">
        <v>200</v>
      </c>
      <c r="V682" s="87">
        <v>1</v>
      </c>
      <c r="W682">
        <v>1</v>
      </c>
      <c r="X682" s="8">
        <v>1</v>
      </c>
      <c r="Y682">
        <v>0</v>
      </c>
      <c r="Z682" s="33">
        <v>0</v>
      </c>
      <c r="AA682">
        <v>5</v>
      </c>
      <c r="AB682" s="34">
        <v>4000</v>
      </c>
      <c r="AC682" s="87">
        <v>110</v>
      </c>
      <c r="AE682" s="250">
        <v>4</v>
      </c>
      <c r="AF682" s="250">
        <v>2</v>
      </c>
      <c r="AG682" s="91"/>
      <c r="AH682" s="91">
        <v>1</v>
      </c>
      <c r="AI682" s="91"/>
      <c r="AJ682" s="91"/>
      <c r="AK682" s="91"/>
      <c r="AL682" s="92">
        <v>1</v>
      </c>
      <c r="AM682" s="92">
        <v>100</v>
      </c>
      <c r="AN682" s="93"/>
      <c r="AO682" s="92"/>
      <c r="AP682" s="86"/>
      <c r="AS682">
        <v>1</v>
      </c>
    </row>
    <row r="683" ht="14.25" customHeight="1" spans="1:45">
      <c r="A683" s="8">
        <v>251001</v>
      </c>
      <c r="B683" s="8">
        <v>1001</v>
      </c>
      <c r="C683" s="8">
        <v>6</v>
      </c>
      <c r="D683" s="8">
        <v>1001</v>
      </c>
      <c r="E683" t="s">
        <v>1867</v>
      </c>
      <c r="F683" t="s">
        <v>1868</v>
      </c>
      <c r="G683" t="s">
        <v>1869</v>
      </c>
      <c r="H683" t="s">
        <v>1587</v>
      </c>
      <c r="I683">
        <v>1</v>
      </c>
      <c r="J683" s="69">
        <v>2</v>
      </c>
      <c r="K683" s="87">
        <v>2</v>
      </c>
      <c r="L683" s="8">
        <v>999</v>
      </c>
      <c r="M683" s="8">
        <v>0</v>
      </c>
      <c r="N683" s="8">
        <v>1017</v>
      </c>
      <c r="O683" s="271">
        <v>10287</v>
      </c>
      <c r="S683" s="89">
        <v>1</v>
      </c>
      <c r="T683" s="8">
        <v>5</v>
      </c>
      <c r="U683" s="89">
        <v>1</v>
      </c>
      <c r="V683" s="87">
        <v>1</v>
      </c>
      <c r="W683">
        <v>1</v>
      </c>
      <c r="X683" s="8">
        <v>1</v>
      </c>
      <c r="Y683">
        <v>0</v>
      </c>
      <c r="Z683" s="33">
        <v>0</v>
      </c>
      <c r="AA683">
        <v>5</v>
      </c>
      <c r="AB683" s="34">
        <v>4000</v>
      </c>
      <c r="AC683" s="87">
        <v>110</v>
      </c>
      <c r="AE683" s="43">
        <v>4</v>
      </c>
      <c r="AF683" s="274">
        <v>2</v>
      </c>
      <c r="AG683" s="91"/>
      <c r="AH683" s="91">
        <v>1</v>
      </c>
      <c r="AI683" s="91"/>
      <c r="AJ683" s="91"/>
      <c r="AK683" s="91"/>
      <c r="AL683" s="92">
        <v>1</v>
      </c>
      <c r="AM683" s="92"/>
      <c r="AN683" s="93"/>
      <c r="AO683" s="92"/>
      <c r="AP683" s="86"/>
      <c r="AS683">
        <v>1</v>
      </c>
    </row>
    <row r="684" ht="14.25" customHeight="1" spans="1:45">
      <c r="A684" s="8">
        <v>251002</v>
      </c>
      <c r="B684" s="8">
        <v>1001</v>
      </c>
      <c r="C684" s="8">
        <v>6</v>
      </c>
      <c r="D684" s="8">
        <v>1001</v>
      </c>
      <c r="E684" t="s">
        <v>1870</v>
      </c>
      <c r="F684" t="s">
        <v>1871</v>
      </c>
      <c r="G684" t="s">
        <v>1872</v>
      </c>
      <c r="H684" t="s">
        <v>1588</v>
      </c>
      <c r="I684">
        <v>1</v>
      </c>
      <c r="J684" s="69">
        <v>3</v>
      </c>
      <c r="K684" s="87">
        <v>2</v>
      </c>
      <c r="L684" s="8">
        <v>999</v>
      </c>
      <c r="M684" s="8">
        <v>0</v>
      </c>
      <c r="N684" s="8">
        <v>1017</v>
      </c>
      <c r="O684" s="271">
        <v>10288</v>
      </c>
      <c r="S684" s="89">
        <v>1</v>
      </c>
      <c r="T684" s="8">
        <v>5</v>
      </c>
      <c r="U684" s="89">
        <v>1</v>
      </c>
      <c r="V684" s="87">
        <v>1</v>
      </c>
      <c r="W684">
        <v>1</v>
      </c>
      <c r="X684" s="8">
        <v>1</v>
      </c>
      <c r="Y684">
        <v>0</v>
      </c>
      <c r="Z684" s="33">
        <v>0</v>
      </c>
      <c r="AA684">
        <v>5</v>
      </c>
      <c r="AB684" s="34">
        <v>4000</v>
      </c>
      <c r="AC684" s="87">
        <v>110</v>
      </c>
      <c r="AE684" s="43">
        <v>4</v>
      </c>
      <c r="AF684" s="274">
        <v>2</v>
      </c>
      <c r="AG684" s="91"/>
      <c r="AH684" s="91">
        <v>1</v>
      </c>
      <c r="AI684" s="91"/>
      <c r="AJ684" s="91"/>
      <c r="AK684" s="91"/>
      <c r="AL684" s="92">
        <v>1</v>
      </c>
      <c r="AM684" s="92"/>
      <c r="AN684" s="93"/>
      <c r="AO684" s="92"/>
      <c r="AP684" s="86"/>
      <c r="AS684">
        <v>1</v>
      </c>
    </row>
    <row r="685" ht="14.25" customHeight="1" spans="1:45">
      <c r="A685" s="8">
        <v>251003</v>
      </c>
      <c r="B685" s="8">
        <v>1001</v>
      </c>
      <c r="C685" s="8">
        <v>6</v>
      </c>
      <c r="D685" s="8">
        <v>1001</v>
      </c>
      <c r="E685" t="s">
        <v>1873</v>
      </c>
      <c r="F685" t="s">
        <v>1874</v>
      </c>
      <c r="G685" t="s">
        <v>1875</v>
      </c>
      <c r="H685" t="s">
        <v>1589</v>
      </c>
      <c r="I685">
        <v>1</v>
      </c>
      <c r="J685" s="69">
        <v>4</v>
      </c>
      <c r="K685" s="87">
        <v>2</v>
      </c>
      <c r="L685" s="8">
        <v>999</v>
      </c>
      <c r="M685" s="8">
        <v>0</v>
      </c>
      <c r="N685" s="8">
        <v>1017</v>
      </c>
      <c r="O685" s="271">
        <v>10289</v>
      </c>
      <c r="S685" s="89">
        <v>1</v>
      </c>
      <c r="T685" s="8">
        <v>5</v>
      </c>
      <c r="U685" s="89">
        <v>1</v>
      </c>
      <c r="V685" s="87">
        <v>1</v>
      </c>
      <c r="W685">
        <v>1</v>
      </c>
      <c r="X685" s="8">
        <v>1</v>
      </c>
      <c r="Y685">
        <v>0</v>
      </c>
      <c r="Z685" s="33">
        <v>0</v>
      </c>
      <c r="AA685">
        <v>5</v>
      </c>
      <c r="AB685" s="34">
        <v>4000</v>
      </c>
      <c r="AC685" s="87">
        <v>110</v>
      </c>
      <c r="AE685" s="43">
        <v>4</v>
      </c>
      <c r="AF685" s="274">
        <v>2</v>
      </c>
      <c r="AG685" s="91"/>
      <c r="AH685" s="91">
        <v>1</v>
      </c>
      <c r="AI685" s="91"/>
      <c r="AJ685" s="91"/>
      <c r="AK685" s="91"/>
      <c r="AL685" s="92">
        <v>1</v>
      </c>
      <c r="AM685" s="92"/>
      <c r="AN685" s="93"/>
      <c r="AO685" s="92"/>
      <c r="AP685" s="86"/>
      <c r="AS685">
        <v>1</v>
      </c>
    </row>
    <row r="686" ht="14.25" customHeight="1" spans="1:45">
      <c r="A686" s="8">
        <v>251004</v>
      </c>
      <c r="B686" s="8">
        <v>1001</v>
      </c>
      <c r="C686" s="8">
        <v>6</v>
      </c>
      <c r="D686" s="8">
        <v>1001</v>
      </c>
      <c r="E686" t="s">
        <v>1876</v>
      </c>
      <c r="F686" t="s">
        <v>1877</v>
      </c>
      <c r="G686" t="s">
        <v>1878</v>
      </c>
      <c r="H686" t="s">
        <v>1590</v>
      </c>
      <c r="I686">
        <v>1</v>
      </c>
      <c r="J686" s="69">
        <v>5</v>
      </c>
      <c r="K686" s="87">
        <v>2</v>
      </c>
      <c r="L686" s="8">
        <v>999</v>
      </c>
      <c r="M686" s="8">
        <v>0</v>
      </c>
      <c r="N686" s="8">
        <v>1017</v>
      </c>
      <c r="O686" s="271">
        <v>10290</v>
      </c>
      <c r="S686" s="89">
        <v>1</v>
      </c>
      <c r="T686" s="8">
        <v>5</v>
      </c>
      <c r="U686" s="89">
        <v>1</v>
      </c>
      <c r="V686" s="87">
        <v>1</v>
      </c>
      <c r="W686">
        <v>1</v>
      </c>
      <c r="X686" s="8">
        <v>1</v>
      </c>
      <c r="Y686">
        <v>0</v>
      </c>
      <c r="Z686" s="33">
        <v>0</v>
      </c>
      <c r="AA686">
        <v>5</v>
      </c>
      <c r="AB686" s="34">
        <v>4000</v>
      </c>
      <c r="AC686" s="87">
        <v>110</v>
      </c>
      <c r="AE686" s="43">
        <v>4</v>
      </c>
      <c r="AF686" s="274">
        <v>2</v>
      </c>
      <c r="AG686" s="91"/>
      <c r="AH686" s="91">
        <v>1</v>
      </c>
      <c r="AI686" s="91"/>
      <c r="AJ686" s="91"/>
      <c r="AK686" s="91"/>
      <c r="AL686" s="92">
        <v>1</v>
      </c>
      <c r="AM686" s="92"/>
      <c r="AN686" s="93"/>
      <c r="AO686" s="92"/>
      <c r="AP686" s="86"/>
      <c r="AS686">
        <v>1</v>
      </c>
    </row>
    <row r="687" ht="14.25" customHeight="1" spans="1:45">
      <c r="A687" s="8">
        <v>251005</v>
      </c>
      <c r="B687" s="8">
        <v>1001</v>
      </c>
      <c r="C687" s="8">
        <v>6</v>
      </c>
      <c r="D687" s="8">
        <v>1001</v>
      </c>
      <c r="E687" t="s">
        <v>1879</v>
      </c>
      <c r="F687" t="s">
        <v>1518</v>
      </c>
      <c r="G687" t="s">
        <v>1880</v>
      </c>
      <c r="H687" t="s">
        <v>1594</v>
      </c>
      <c r="I687">
        <v>1</v>
      </c>
      <c r="J687" s="69">
        <v>4</v>
      </c>
      <c r="K687" s="87">
        <v>2</v>
      </c>
      <c r="L687" s="8">
        <v>999</v>
      </c>
      <c r="M687" s="8">
        <v>0</v>
      </c>
      <c r="N687" s="8">
        <v>1017</v>
      </c>
      <c r="O687" s="271">
        <v>10291</v>
      </c>
      <c r="S687" s="89">
        <v>1</v>
      </c>
      <c r="T687" s="8">
        <v>5</v>
      </c>
      <c r="U687" s="89">
        <v>1</v>
      </c>
      <c r="V687" s="87">
        <v>1</v>
      </c>
      <c r="W687">
        <v>1</v>
      </c>
      <c r="X687" s="8">
        <v>1</v>
      </c>
      <c r="Y687">
        <v>0</v>
      </c>
      <c r="Z687" s="33">
        <v>0</v>
      </c>
      <c r="AA687">
        <v>5</v>
      </c>
      <c r="AB687" s="34">
        <v>4000</v>
      </c>
      <c r="AC687" s="87">
        <v>110</v>
      </c>
      <c r="AE687" s="43">
        <v>4</v>
      </c>
      <c r="AF687" s="274">
        <v>2</v>
      </c>
      <c r="AG687" s="91"/>
      <c r="AH687" s="91">
        <v>1</v>
      </c>
      <c r="AI687" s="91"/>
      <c r="AJ687" s="91"/>
      <c r="AK687" s="91"/>
      <c r="AL687" s="92">
        <v>1</v>
      </c>
      <c r="AM687" s="92">
        <v>40</v>
      </c>
      <c r="AN687" s="93"/>
      <c r="AO687" s="92"/>
      <c r="AP687" s="86"/>
      <c r="AS687">
        <v>1</v>
      </c>
    </row>
    <row r="688" ht="14.25" customHeight="1" spans="1:45">
      <c r="A688" s="8">
        <v>251006</v>
      </c>
      <c r="B688" s="8">
        <v>1001</v>
      </c>
      <c r="C688" s="8">
        <v>6</v>
      </c>
      <c r="D688" s="8">
        <v>1001</v>
      </c>
      <c r="E688" t="s">
        <v>1881</v>
      </c>
      <c r="F688" t="s">
        <v>1518</v>
      </c>
      <c r="G688" t="s">
        <v>1882</v>
      </c>
      <c r="H688" t="s">
        <v>1594</v>
      </c>
      <c r="I688">
        <v>1</v>
      </c>
      <c r="J688" s="69">
        <v>4</v>
      </c>
      <c r="K688" s="87">
        <v>2</v>
      </c>
      <c r="L688" s="8">
        <v>999</v>
      </c>
      <c r="M688" s="8">
        <v>0</v>
      </c>
      <c r="N688" s="8">
        <v>1017</v>
      </c>
      <c r="O688" s="271" t="s">
        <v>1883</v>
      </c>
      <c r="S688" s="89">
        <v>1</v>
      </c>
      <c r="T688" s="8">
        <v>5</v>
      </c>
      <c r="U688" s="89">
        <v>1</v>
      </c>
      <c r="V688" s="87">
        <v>1</v>
      </c>
      <c r="W688">
        <v>1</v>
      </c>
      <c r="X688" s="8">
        <v>1</v>
      </c>
      <c r="Y688">
        <v>0</v>
      </c>
      <c r="Z688" s="33">
        <v>0</v>
      </c>
      <c r="AA688">
        <v>5</v>
      </c>
      <c r="AB688" s="34">
        <v>4000</v>
      </c>
      <c r="AC688" s="87">
        <v>110</v>
      </c>
      <c r="AE688" s="43">
        <v>4</v>
      </c>
      <c r="AF688" s="274">
        <v>2</v>
      </c>
      <c r="AG688" s="91"/>
      <c r="AH688" s="91">
        <v>1</v>
      </c>
      <c r="AI688" s="91"/>
      <c r="AJ688" s="91"/>
      <c r="AK688" s="91"/>
      <c r="AL688" s="92">
        <v>1</v>
      </c>
      <c r="AM688" s="92">
        <v>50</v>
      </c>
      <c r="AN688" s="93"/>
      <c r="AO688" s="92"/>
      <c r="AP688" s="86"/>
      <c r="AS688">
        <v>1</v>
      </c>
    </row>
    <row r="689" ht="14.25" customHeight="1" spans="1:45">
      <c r="A689" s="8">
        <v>251007</v>
      </c>
      <c r="B689" s="8">
        <v>1001</v>
      </c>
      <c r="C689" s="8">
        <v>6</v>
      </c>
      <c r="D689" s="8">
        <v>1001</v>
      </c>
      <c r="E689" t="s">
        <v>1884</v>
      </c>
      <c r="F689" t="s">
        <v>1518</v>
      </c>
      <c r="G689" t="s">
        <v>1885</v>
      </c>
      <c r="H689" t="s">
        <v>1594</v>
      </c>
      <c r="I689">
        <v>1</v>
      </c>
      <c r="J689" s="69">
        <v>4</v>
      </c>
      <c r="K689" s="87">
        <v>2</v>
      </c>
      <c r="L689" s="8">
        <v>999</v>
      </c>
      <c r="M689" s="8">
        <v>0</v>
      </c>
      <c r="N689" s="8">
        <v>1017</v>
      </c>
      <c r="O689" s="271" t="s">
        <v>1886</v>
      </c>
      <c r="S689" s="89">
        <v>1</v>
      </c>
      <c r="T689" s="8">
        <v>5</v>
      </c>
      <c r="U689" s="89">
        <v>1</v>
      </c>
      <c r="V689" s="87">
        <v>1</v>
      </c>
      <c r="W689">
        <v>1</v>
      </c>
      <c r="X689" s="8">
        <v>1</v>
      </c>
      <c r="Y689">
        <v>0</v>
      </c>
      <c r="Z689" s="33">
        <v>0</v>
      </c>
      <c r="AA689">
        <v>5</v>
      </c>
      <c r="AB689" s="34">
        <v>4000</v>
      </c>
      <c r="AC689" s="87">
        <v>110</v>
      </c>
      <c r="AE689" s="43">
        <v>4</v>
      </c>
      <c r="AF689" s="274">
        <v>2</v>
      </c>
      <c r="AG689" s="91"/>
      <c r="AH689" s="91">
        <v>1</v>
      </c>
      <c r="AI689" s="91"/>
      <c r="AJ689" s="91"/>
      <c r="AK689" s="91"/>
      <c r="AL689" s="92">
        <v>1</v>
      </c>
      <c r="AM689" s="92">
        <v>60</v>
      </c>
      <c r="AN689" s="93"/>
      <c r="AO689" s="92"/>
      <c r="AP689" s="86"/>
      <c r="AS689">
        <v>1</v>
      </c>
    </row>
    <row r="690" ht="14.25" customHeight="1" spans="1:45">
      <c r="A690" s="8">
        <v>251008</v>
      </c>
      <c r="B690" s="8">
        <v>1001</v>
      </c>
      <c r="C690" s="8">
        <v>6</v>
      </c>
      <c r="D690" s="8">
        <v>1001</v>
      </c>
      <c r="E690" t="s">
        <v>1887</v>
      </c>
      <c r="F690" t="s">
        <v>1518</v>
      </c>
      <c r="G690" t="s">
        <v>1885</v>
      </c>
      <c r="H690" t="s">
        <v>1594</v>
      </c>
      <c r="I690">
        <v>1</v>
      </c>
      <c r="J690" s="69">
        <v>4</v>
      </c>
      <c r="K690" s="87">
        <v>2</v>
      </c>
      <c r="L690" s="8">
        <v>999</v>
      </c>
      <c r="M690" s="8">
        <v>0</v>
      </c>
      <c r="N690" s="8">
        <v>1017</v>
      </c>
      <c r="O690" s="271" t="s">
        <v>1886</v>
      </c>
      <c r="S690" s="89">
        <v>1</v>
      </c>
      <c r="T690" s="8">
        <v>5</v>
      </c>
      <c r="U690" s="89">
        <v>1</v>
      </c>
      <c r="V690" s="87">
        <v>1</v>
      </c>
      <c r="W690">
        <v>1</v>
      </c>
      <c r="X690" s="8">
        <v>1</v>
      </c>
      <c r="Y690">
        <v>0</v>
      </c>
      <c r="Z690" s="33">
        <v>0</v>
      </c>
      <c r="AA690">
        <v>5</v>
      </c>
      <c r="AB690" s="34">
        <v>4000</v>
      </c>
      <c r="AC690" s="87">
        <v>110</v>
      </c>
      <c r="AE690" s="43">
        <v>4</v>
      </c>
      <c r="AF690" s="274">
        <v>2</v>
      </c>
      <c r="AG690" s="91"/>
      <c r="AH690" s="91">
        <v>1</v>
      </c>
      <c r="AI690" s="91"/>
      <c r="AJ690" s="91"/>
      <c r="AK690" s="91"/>
      <c r="AL690" s="92">
        <v>1</v>
      </c>
      <c r="AM690" s="92">
        <v>60</v>
      </c>
      <c r="AN690" s="93"/>
      <c r="AO690" s="92"/>
      <c r="AP690" s="86"/>
      <c r="AS690">
        <v>1</v>
      </c>
    </row>
    <row r="691" ht="14.25" customHeight="1" spans="1:45">
      <c r="A691" s="8">
        <v>251009</v>
      </c>
      <c r="B691" s="8">
        <v>1001</v>
      </c>
      <c r="C691" s="8">
        <v>6</v>
      </c>
      <c r="D691" s="8">
        <v>1001</v>
      </c>
      <c r="E691" t="s">
        <v>1888</v>
      </c>
      <c r="F691" t="s">
        <v>1518</v>
      </c>
      <c r="G691" t="s">
        <v>1889</v>
      </c>
      <c r="H691" t="s">
        <v>1594</v>
      </c>
      <c r="I691">
        <v>1</v>
      </c>
      <c r="J691" s="69">
        <v>4</v>
      </c>
      <c r="K691" s="87">
        <v>2</v>
      </c>
      <c r="L691" s="8">
        <v>999</v>
      </c>
      <c r="M691" s="8">
        <v>0</v>
      </c>
      <c r="N691" s="8">
        <v>1017</v>
      </c>
      <c r="O691" s="271" t="s">
        <v>1890</v>
      </c>
      <c r="S691" s="89">
        <v>1</v>
      </c>
      <c r="T691" s="8">
        <v>5</v>
      </c>
      <c r="U691" s="89">
        <v>1</v>
      </c>
      <c r="V691" s="87">
        <v>1</v>
      </c>
      <c r="W691">
        <v>1</v>
      </c>
      <c r="X691" s="8">
        <v>1</v>
      </c>
      <c r="Y691">
        <v>0</v>
      </c>
      <c r="Z691" s="33">
        <v>0</v>
      </c>
      <c r="AA691">
        <v>5</v>
      </c>
      <c r="AB691" s="34">
        <v>4000</v>
      </c>
      <c r="AC691" s="87">
        <v>110</v>
      </c>
      <c r="AE691" s="43">
        <v>4</v>
      </c>
      <c r="AF691" s="274">
        <v>2</v>
      </c>
      <c r="AG691" s="91"/>
      <c r="AH691" s="91">
        <v>1</v>
      </c>
      <c r="AI691" s="91"/>
      <c r="AJ691" s="91"/>
      <c r="AK691" s="91"/>
      <c r="AL691" s="92">
        <v>1</v>
      </c>
      <c r="AM691" s="92">
        <v>80</v>
      </c>
      <c r="AN691" s="93"/>
      <c r="AO691" s="92"/>
      <c r="AP691" s="86"/>
      <c r="AS691">
        <v>1</v>
      </c>
    </row>
    <row r="692" ht="14.25" customHeight="1" spans="1:45">
      <c r="A692" s="8">
        <v>251010</v>
      </c>
      <c r="B692" s="8">
        <v>1001</v>
      </c>
      <c r="C692" s="8">
        <v>6</v>
      </c>
      <c r="D692" s="8">
        <v>1001</v>
      </c>
      <c r="E692" t="s">
        <v>1891</v>
      </c>
      <c r="F692" t="s">
        <v>1892</v>
      </c>
      <c r="G692" t="s">
        <v>1893</v>
      </c>
      <c r="H692" t="s">
        <v>1579</v>
      </c>
      <c r="I692">
        <v>1</v>
      </c>
      <c r="J692" s="69">
        <v>1</v>
      </c>
      <c r="K692" s="87">
        <v>2</v>
      </c>
      <c r="L692" s="8">
        <v>999</v>
      </c>
      <c r="M692" s="8">
        <v>0</v>
      </c>
      <c r="N692" s="8">
        <v>1017</v>
      </c>
      <c r="O692" s="271" t="s">
        <v>1894</v>
      </c>
      <c r="S692" s="89">
        <v>1</v>
      </c>
      <c r="T692" s="8">
        <v>5</v>
      </c>
      <c r="U692" s="89">
        <v>1</v>
      </c>
      <c r="V692" s="87">
        <v>1</v>
      </c>
      <c r="W692">
        <v>1</v>
      </c>
      <c r="X692" s="8">
        <v>1</v>
      </c>
      <c r="Y692">
        <v>0</v>
      </c>
      <c r="Z692" s="33">
        <v>0</v>
      </c>
      <c r="AA692">
        <v>5</v>
      </c>
      <c r="AB692" s="34">
        <v>4000</v>
      </c>
      <c r="AC692" s="87">
        <v>110</v>
      </c>
      <c r="AE692" s="43">
        <v>4</v>
      </c>
      <c r="AF692" s="274">
        <v>2</v>
      </c>
      <c r="AG692" s="91"/>
      <c r="AH692" s="91">
        <v>1</v>
      </c>
      <c r="AI692" s="91"/>
      <c r="AJ692" s="91"/>
      <c r="AK692" s="91"/>
      <c r="AL692" s="92">
        <v>1</v>
      </c>
      <c r="AM692" s="92"/>
      <c r="AN692" s="93"/>
      <c r="AO692" s="92"/>
      <c r="AP692" s="86"/>
      <c r="AS692">
        <v>1</v>
      </c>
    </row>
    <row r="693" ht="14.25" customHeight="1" spans="1:45">
      <c r="A693" s="8">
        <v>251011</v>
      </c>
      <c r="B693" s="8">
        <v>1001</v>
      </c>
      <c r="C693" s="8">
        <v>6</v>
      </c>
      <c r="D693" s="8">
        <v>1001</v>
      </c>
      <c r="E693" t="s">
        <v>1895</v>
      </c>
      <c r="F693" t="s">
        <v>1892</v>
      </c>
      <c r="G693" t="s">
        <v>1896</v>
      </c>
      <c r="H693" t="s">
        <v>1579</v>
      </c>
      <c r="I693">
        <v>1</v>
      </c>
      <c r="J693" s="69">
        <v>1</v>
      </c>
      <c r="K693" s="87">
        <v>2</v>
      </c>
      <c r="L693" s="8">
        <v>999</v>
      </c>
      <c r="M693" s="8">
        <v>0</v>
      </c>
      <c r="N693" s="8">
        <v>1017</v>
      </c>
      <c r="O693" s="249">
        <v>50009</v>
      </c>
      <c r="S693" s="89">
        <v>1</v>
      </c>
      <c r="T693" s="8">
        <v>5</v>
      </c>
      <c r="U693" s="89">
        <v>1</v>
      </c>
      <c r="V693" s="87">
        <v>1</v>
      </c>
      <c r="W693">
        <v>1</v>
      </c>
      <c r="X693" s="8">
        <v>1</v>
      </c>
      <c r="Y693">
        <v>0</v>
      </c>
      <c r="Z693" s="33">
        <v>0</v>
      </c>
      <c r="AA693">
        <v>5</v>
      </c>
      <c r="AB693" s="34">
        <v>4000</v>
      </c>
      <c r="AC693" s="87">
        <v>110</v>
      </c>
      <c r="AE693" s="43">
        <v>4</v>
      </c>
      <c r="AF693" s="274">
        <v>2</v>
      </c>
      <c r="AG693" s="91"/>
      <c r="AH693" s="91">
        <v>1</v>
      </c>
      <c r="AI693" s="91"/>
      <c r="AJ693" s="91"/>
      <c r="AK693" s="91"/>
      <c r="AL693" s="92">
        <v>1</v>
      </c>
      <c r="AM693" s="92"/>
      <c r="AN693" s="93"/>
      <c r="AO693" s="92"/>
      <c r="AP693" s="86"/>
      <c r="AS693">
        <v>1</v>
      </c>
    </row>
    <row r="694" ht="14.25" customHeight="1" spans="1:45">
      <c r="A694" s="8">
        <v>251012</v>
      </c>
      <c r="B694" s="8">
        <v>1001</v>
      </c>
      <c r="C694" s="8">
        <v>6</v>
      </c>
      <c r="D694" s="8">
        <v>1001</v>
      </c>
      <c r="E694" t="s">
        <v>1897</v>
      </c>
      <c r="F694" t="s">
        <v>1892</v>
      </c>
      <c r="G694" t="s">
        <v>1898</v>
      </c>
      <c r="H694" t="s">
        <v>1581</v>
      </c>
      <c r="I694">
        <v>1</v>
      </c>
      <c r="J694" s="69">
        <v>2</v>
      </c>
      <c r="K694" s="87">
        <v>2</v>
      </c>
      <c r="L694" s="8">
        <v>999</v>
      </c>
      <c r="M694" s="8">
        <v>0</v>
      </c>
      <c r="N694" s="8">
        <v>1017</v>
      </c>
      <c r="O694" s="249">
        <v>50023</v>
      </c>
      <c r="S694" s="89">
        <v>1</v>
      </c>
      <c r="T694" s="8">
        <v>5</v>
      </c>
      <c r="U694" s="89">
        <v>1</v>
      </c>
      <c r="V694" s="87">
        <v>1</v>
      </c>
      <c r="W694">
        <v>1</v>
      </c>
      <c r="X694" s="8">
        <v>1</v>
      </c>
      <c r="Y694">
        <v>0</v>
      </c>
      <c r="Z694" s="33">
        <v>0</v>
      </c>
      <c r="AA694">
        <v>5</v>
      </c>
      <c r="AB694" s="34">
        <v>4000</v>
      </c>
      <c r="AC694" s="87">
        <v>110</v>
      </c>
      <c r="AE694" s="43">
        <v>4</v>
      </c>
      <c r="AF694" s="274">
        <v>2</v>
      </c>
      <c r="AG694" s="91"/>
      <c r="AH694" s="91">
        <v>1</v>
      </c>
      <c r="AI694" s="91"/>
      <c r="AJ694" s="91"/>
      <c r="AK694" s="91"/>
      <c r="AL694" s="92">
        <v>1</v>
      </c>
      <c r="AM694" s="92"/>
      <c r="AN694" s="93"/>
      <c r="AO694" s="92"/>
      <c r="AP694" s="86"/>
      <c r="AS694">
        <v>1</v>
      </c>
    </row>
    <row r="695" ht="14.25" customHeight="1" spans="1:45">
      <c r="A695" s="8">
        <v>251013</v>
      </c>
      <c r="B695" s="8">
        <v>1001</v>
      </c>
      <c r="C695" s="8">
        <v>6</v>
      </c>
      <c r="D695" s="8">
        <v>1001</v>
      </c>
      <c r="E695" t="s">
        <v>1899</v>
      </c>
      <c r="F695" t="s">
        <v>1892</v>
      </c>
      <c r="G695" t="s">
        <v>1900</v>
      </c>
      <c r="H695" t="s">
        <v>1581</v>
      </c>
      <c r="I695">
        <v>1</v>
      </c>
      <c r="J695" s="69">
        <v>2</v>
      </c>
      <c r="K695" s="87">
        <v>2</v>
      </c>
      <c r="L695" s="8">
        <v>999</v>
      </c>
      <c r="M695" s="8">
        <v>0</v>
      </c>
      <c r="N695" s="8">
        <v>1017</v>
      </c>
      <c r="O695" s="249">
        <v>50045</v>
      </c>
      <c r="S695" s="89">
        <v>1</v>
      </c>
      <c r="T695" s="8">
        <v>5</v>
      </c>
      <c r="U695" s="89">
        <v>1</v>
      </c>
      <c r="V695" s="87">
        <v>1</v>
      </c>
      <c r="W695">
        <v>1</v>
      </c>
      <c r="X695" s="8">
        <v>1</v>
      </c>
      <c r="Y695">
        <v>0</v>
      </c>
      <c r="Z695" s="33">
        <v>0</v>
      </c>
      <c r="AA695">
        <v>5</v>
      </c>
      <c r="AB695" s="34">
        <v>4000</v>
      </c>
      <c r="AC695" s="87">
        <v>110</v>
      </c>
      <c r="AE695" s="43">
        <v>4</v>
      </c>
      <c r="AF695" s="274">
        <v>2</v>
      </c>
      <c r="AG695" s="91"/>
      <c r="AH695" s="91">
        <v>1</v>
      </c>
      <c r="AI695" s="91"/>
      <c r="AJ695" s="91"/>
      <c r="AK695" s="91"/>
      <c r="AL695" s="92">
        <v>1</v>
      </c>
      <c r="AM695" s="92"/>
      <c r="AN695" s="93"/>
      <c r="AO695" s="92"/>
      <c r="AP695" s="86"/>
      <c r="AS695">
        <v>1</v>
      </c>
    </row>
    <row r="696" ht="14.25" customHeight="1" spans="1:45">
      <c r="A696" s="8">
        <v>251014</v>
      </c>
      <c r="B696" s="8">
        <v>1001</v>
      </c>
      <c r="C696" s="8">
        <v>6</v>
      </c>
      <c r="D696" s="8">
        <v>1001</v>
      </c>
      <c r="E696" t="s">
        <v>1901</v>
      </c>
      <c r="F696" t="s">
        <v>1892</v>
      </c>
      <c r="G696" t="s">
        <v>1902</v>
      </c>
      <c r="H696" t="s">
        <v>1583</v>
      </c>
      <c r="I696">
        <v>1</v>
      </c>
      <c r="J696" s="69">
        <v>3</v>
      </c>
      <c r="K696" s="87">
        <v>2</v>
      </c>
      <c r="L696" s="8">
        <v>999</v>
      </c>
      <c r="M696" s="8">
        <v>0</v>
      </c>
      <c r="N696" s="8">
        <v>1017</v>
      </c>
      <c r="O696" s="249">
        <v>50067</v>
      </c>
      <c r="S696" s="89">
        <v>1</v>
      </c>
      <c r="T696" s="8">
        <v>5</v>
      </c>
      <c r="U696" s="89">
        <v>1</v>
      </c>
      <c r="V696" s="87">
        <v>1</v>
      </c>
      <c r="W696">
        <v>1</v>
      </c>
      <c r="X696" s="8">
        <v>1</v>
      </c>
      <c r="Y696">
        <v>0</v>
      </c>
      <c r="Z696" s="33">
        <v>0</v>
      </c>
      <c r="AA696">
        <v>5</v>
      </c>
      <c r="AB696" s="34">
        <v>4000</v>
      </c>
      <c r="AC696" s="87">
        <v>110</v>
      </c>
      <c r="AE696" s="43">
        <v>4</v>
      </c>
      <c r="AF696" s="274">
        <v>2</v>
      </c>
      <c r="AG696" s="91"/>
      <c r="AH696" s="91">
        <v>1</v>
      </c>
      <c r="AI696" s="91"/>
      <c r="AJ696" s="91"/>
      <c r="AK696" s="91"/>
      <c r="AL696" s="92">
        <v>1</v>
      </c>
      <c r="AM696" s="92"/>
      <c r="AN696" s="93"/>
      <c r="AO696" s="92"/>
      <c r="AP696" s="86"/>
      <c r="AS696">
        <v>1</v>
      </c>
    </row>
    <row r="697" ht="14.25" customHeight="1" spans="1:45">
      <c r="A697" s="8">
        <v>251015</v>
      </c>
      <c r="B697" s="8">
        <v>1001</v>
      </c>
      <c r="C697" s="8">
        <v>6</v>
      </c>
      <c r="D697" s="8">
        <v>1001</v>
      </c>
      <c r="E697" t="s">
        <v>1903</v>
      </c>
      <c r="F697" t="s">
        <v>1903</v>
      </c>
      <c r="G697" t="s">
        <v>1904</v>
      </c>
      <c r="H697" t="s">
        <v>1905</v>
      </c>
      <c r="I697">
        <v>1</v>
      </c>
      <c r="J697" s="69">
        <v>5</v>
      </c>
      <c r="K697" s="87">
        <v>2</v>
      </c>
      <c r="L697" s="8">
        <v>999</v>
      </c>
      <c r="M697" s="8">
        <v>0</v>
      </c>
      <c r="N697" s="8">
        <v>1017</v>
      </c>
      <c r="O697" s="249">
        <v>50093</v>
      </c>
      <c r="S697" s="89">
        <v>1</v>
      </c>
      <c r="T697" s="8">
        <v>5</v>
      </c>
      <c r="U697" s="89">
        <v>1</v>
      </c>
      <c r="V697" s="87">
        <v>1</v>
      </c>
      <c r="W697">
        <v>1</v>
      </c>
      <c r="X697" s="8">
        <v>1</v>
      </c>
      <c r="Y697">
        <v>0</v>
      </c>
      <c r="Z697" s="33">
        <v>0</v>
      </c>
      <c r="AA697">
        <v>5</v>
      </c>
      <c r="AB697" s="34">
        <v>4000</v>
      </c>
      <c r="AC697" s="87">
        <v>110</v>
      </c>
      <c r="AE697" s="43">
        <v>4</v>
      </c>
      <c r="AF697" s="274">
        <v>2</v>
      </c>
      <c r="AG697" s="91"/>
      <c r="AH697" s="91">
        <v>1</v>
      </c>
      <c r="AI697" s="91"/>
      <c r="AJ697" s="91"/>
      <c r="AK697" s="91"/>
      <c r="AL697" s="92">
        <v>1</v>
      </c>
      <c r="AM697" s="92"/>
      <c r="AN697" s="93"/>
      <c r="AO697" s="92"/>
      <c r="AP697" s="86"/>
      <c r="AS697">
        <v>1</v>
      </c>
    </row>
    <row r="698" s="3" customFormat="1" ht="14.25" customHeight="1" spans="1:45">
      <c r="A698" s="8">
        <v>251016</v>
      </c>
      <c r="B698" s="8">
        <v>1001</v>
      </c>
      <c r="C698" s="8">
        <v>6</v>
      </c>
      <c r="D698" s="8">
        <v>1001</v>
      </c>
      <c r="E698" t="s">
        <v>1906</v>
      </c>
      <c r="F698" t="s">
        <v>1906</v>
      </c>
      <c r="G698" t="s">
        <v>1904</v>
      </c>
      <c r="H698" t="s">
        <v>1905</v>
      </c>
      <c r="I698">
        <v>1</v>
      </c>
      <c r="J698" s="69">
        <v>5</v>
      </c>
      <c r="K698" s="87">
        <v>2</v>
      </c>
      <c r="L698" s="8">
        <v>999</v>
      </c>
      <c r="M698" s="8">
        <v>0</v>
      </c>
      <c r="N698" s="8">
        <v>1017</v>
      </c>
      <c r="O698" s="249">
        <v>50093</v>
      </c>
      <c r="S698" s="89">
        <v>1</v>
      </c>
      <c r="T698" s="8">
        <v>5</v>
      </c>
      <c r="U698" s="89">
        <v>1</v>
      </c>
      <c r="V698" s="87">
        <v>1</v>
      </c>
      <c r="W698">
        <v>1</v>
      </c>
      <c r="X698" s="8">
        <v>1</v>
      </c>
      <c r="Y698">
        <v>0</v>
      </c>
      <c r="Z698" s="33">
        <v>0</v>
      </c>
      <c r="AA698">
        <v>5</v>
      </c>
      <c r="AB698" s="34">
        <v>4000</v>
      </c>
      <c r="AC698" s="87">
        <v>110</v>
      </c>
      <c r="AD698" s="62"/>
      <c r="AE698" s="43">
        <v>4</v>
      </c>
      <c r="AF698" s="274">
        <v>2</v>
      </c>
      <c r="AG698" s="91"/>
      <c r="AH698" s="91">
        <v>1</v>
      </c>
      <c r="AI698" s="91"/>
      <c r="AJ698" s="91"/>
      <c r="AK698" s="91"/>
      <c r="AL698" s="92">
        <v>1</v>
      </c>
      <c r="AM698" s="92"/>
      <c r="AN698" s="93"/>
      <c r="AO698" s="92"/>
      <c r="AP698" s="86"/>
      <c r="AS698">
        <v>1</v>
      </c>
    </row>
    <row r="699" s="3" customFormat="1" ht="14.25" customHeight="1" spans="1:45">
      <c r="A699" s="128">
        <v>251017</v>
      </c>
      <c r="B699" s="128">
        <v>1001</v>
      </c>
      <c r="C699" s="128">
        <v>6</v>
      </c>
      <c r="D699" s="128">
        <v>1001</v>
      </c>
      <c r="E699" s="3" t="s">
        <v>1907</v>
      </c>
      <c r="F699" s="3" t="s">
        <v>1907</v>
      </c>
      <c r="G699" s="3" t="s">
        <v>1908</v>
      </c>
      <c r="H699" s="3" t="s">
        <v>1329</v>
      </c>
      <c r="I699" s="3">
        <v>1</v>
      </c>
      <c r="J699" s="151">
        <v>1</v>
      </c>
      <c r="K699" s="128">
        <v>2</v>
      </c>
      <c r="L699" s="128">
        <v>999</v>
      </c>
      <c r="M699" s="128">
        <v>0</v>
      </c>
      <c r="N699" s="128">
        <v>1017</v>
      </c>
      <c r="O699" s="284">
        <v>50099</v>
      </c>
      <c r="S699" s="89">
        <v>1</v>
      </c>
      <c r="T699" s="8">
        <v>5</v>
      </c>
      <c r="U699" s="89">
        <v>1</v>
      </c>
      <c r="V699" s="87">
        <v>1</v>
      </c>
      <c r="W699" s="3">
        <v>1</v>
      </c>
      <c r="X699" s="8">
        <v>1</v>
      </c>
      <c r="Y699" s="3">
        <v>0</v>
      </c>
      <c r="Z699" s="33">
        <v>0</v>
      </c>
      <c r="AA699" s="3">
        <v>5</v>
      </c>
      <c r="AB699" s="34">
        <v>4000</v>
      </c>
      <c r="AC699" s="87">
        <v>110</v>
      </c>
      <c r="AD699" s="62"/>
      <c r="AE699" s="43">
        <v>4</v>
      </c>
      <c r="AF699" s="274">
        <v>2</v>
      </c>
      <c r="AG699" s="91"/>
      <c r="AH699" s="91">
        <v>1</v>
      </c>
      <c r="AI699" s="91"/>
      <c r="AJ699" s="91"/>
      <c r="AK699" s="91"/>
      <c r="AL699" s="92">
        <v>1</v>
      </c>
      <c r="AM699" s="156">
        <v>1</v>
      </c>
      <c r="AN699" s="157"/>
      <c r="AO699" s="156"/>
      <c r="AP699" s="150"/>
      <c r="AS699" s="3">
        <v>1</v>
      </c>
    </row>
    <row r="700" ht="16.5" customHeight="1" spans="1:45">
      <c r="A700" s="128">
        <v>251018</v>
      </c>
      <c r="B700" s="128">
        <v>1001</v>
      </c>
      <c r="C700" s="128">
        <v>6</v>
      </c>
      <c r="D700" s="128">
        <v>1001</v>
      </c>
      <c r="E700" s="3" t="s">
        <v>1907</v>
      </c>
      <c r="F700" s="3" t="s">
        <v>1907</v>
      </c>
      <c r="G700" s="3" t="s">
        <v>1909</v>
      </c>
      <c r="H700" s="3" t="s">
        <v>1329</v>
      </c>
      <c r="I700" s="3">
        <v>1</v>
      </c>
      <c r="J700" s="151">
        <v>1</v>
      </c>
      <c r="K700" s="128">
        <v>2</v>
      </c>
      <c r="L700" s="128">
        <v>999</v>
      </c>
      <c r="M700" s="128">
        <v>0</v>
      </c>
      <c r="N700" s="128">
        <v>1017</v>
      </c>
      <c r="O700" s="284">
        <v>50100</v>
      </c>
      <c r="S700" s="89">
        <v>1</v>
      </c>
      <c r="T700" s="8">
        <v>5</v>
      </c>
      <c r="U700" s="89">
        <v>1</v>
      </c>
      <c r="V700" s="87">
        <v>1</v>
      </c>
      <c r="W700" s="3">
        <v>1</v>
      </c>
      <c r="X700" s="8">
        <v>1</v>
      </c>
      <c r="Y700" s="3">
        <v>0</v>
      </c>
      <c r="Z700" s="33">
        <v>0</v>
      </c>
      <c r="AA700" s="3">
        <v>5</v>
      </c>
      <c r="AB700" s="34">
        <v>4000</v>
      </c>
      <c r="AC700" s="87">
        <v>110</v>
      </c>
      <c r="AE700" s="43">
        <v>4</v>
      </c>
      <c r="AF700" s="274">
        <v>2</v>
      </c>
      <c r="AG700" s="91"/>
      <c r="AH700" s="91">
        <v>1</v>
      </c>
      <c r="AI700" s="91"/>
      <c r="AJ700" s="91"/>
      <c r="AK700" s="91"/>
      <c r="AL700" s="92">
        <v>1</v>
      </c>
      <c r="AM700" s="156">
        <v>2</v>
      </c>
      <c r="AN700" s="157"/>
      <c r="AO700" s="156"/>
      <c r="AP700" s="150"/>
      <c r="AS700" s="3">
        <v>1</v>
      </c>
    </row>
    <row r="701" ht="16.5" customHeight="1" spans="1:45">
      <c r="A701" s="8">
        <v>251019</v>
      </c>
      <c r="B701" s="8">
        <v>1001</v>
      </c>
      <c r="C701" s="8">
        <v>6</v>
      </c>
      <c r="D701" s="8">
        <v>1001</v>
      </c>
      <c r="E701" s="285" t="s">
        <v>1910</v>
      </c>
      <c r="F701" s="285" t="s">
        <v>1910</v>
      </c>
      <c r="G701" t="s">
        <v>1911</v>
      </c>
      <c r="H701" t="s">
        <v>1912</v>
      </c>
      <c r="I701">
        <v>1</v>
      </c>
      <c r="J701" s="69">
        <v>4</v>
      </c>
      <c r="K701" s="87">
        <v>2</v>
      </c>
      <c r="L701" s="8">
        <v>999</v>
      </c>
      <c r="M701" s="8">
        <v>0</v>
      </c>
      <c r="N701" s="8">
        <v>1017</v>
      </c>
      <c r="O701" s="249">
        <v>50142</v>
      </c>
      <c r="S701" s="89">
        <v>1</v>
      </c>
      <c r="T701" s="8">
        <v>5</v>
      </c>
      <c r="U701" s="89">
        <v>1</v>
      </c>
      <c r="V701" s="87">
        <v>1</v>
      </c>
      <c r="W701">
        <v>1</v>
      </c>
      <c r="X701" s="8">
        <v>1</v>
      </c>
      <c r="Y701">
        <v>0</v>
      </c>
      <c r="Z701" s="33">
        <v>0</v>
      </c>
      <c r="AA701">
        <v>5</v>
      </c>
      <c r="AB701" s="34">
        <v>4000</v>
      </c>
      <c r="AC701" s="87">
        <v>110</v>
      </c>
      <c r="AE701" s="43">
        <v>4</v>
      </c>
      <c r="AF701" s="274">
        <v>2</v>
      </c>
      <c r="AG701" s="91"/>
      <c r="AH701" s="91">
        <v>1</v>
      </c>
      <c r="AI701" s="91"/>
      <c r="AJ701" s="91"/>
      <c r="AK701" s="91"/>
      <c r="AL701" s="92">
        <v>1</v>
      </c>
      <c r="AM701" s="92"/>
      <c r="AN701" s="93"/>
      <c r="AO701" s="92"/>
      <c r="AP701" s="86"/>
      <c r="AS701">
        <v>1</v>
      </c>
    </row>
    <row r="702" ht="16.5" customHeight="1" spans="1:45">
      <c r="A702" s="8">
        <v>251020</v>
      </c>
      <c r="B702" s="8">
        <v>1001</v>
      </c>
      <c r="C702" s="8">
        <v>6</v>
      </c>
      <c r="D702" s="8">
        <v>1001</v>
      </c>
      <c r="E702" s="285" t="s">
        <v>1913</v>
      </c>
      <c r="F702" s="285" t="s">
        <v>1913</v>
      </c>
      <c r="G702" t="s">
        <v>1914</v>
      </c>
      <c r="H702" t="s">
        <v>1564</v>
      </c>
      <c r="I702">
        <v>1</v>
      </c>
      <c r="J702" s="69">
        <v>4</v>
      </c>
      <c r="K702" s="87">
        <v>2</v>
      </c>
      <c r="L702" s="8">
        <v>999</v>
      </c>
      <c r="M702" s="8">
        <v>0</v>
      </c>
      <c r="N702" s="8">
        <v>1017</v>
      </c>
      <c r="O702" s="249">
        <v>50143</v>
      </c>
      <c r="S702" s="89">
        <v>1</v>
      </c>
      <c r="T702" s="8">
        <v>5</v>
      </c>
      <c r="U702" s="89">
        <v>1</v>
      </c>
      <c r="V702" s="87">
        <v>1</v>
      </c>
      <c r="W702">
        <v>1</v>
      </c>
      <c r="X702" s="8">
        <v>1</v>
      </c>
      <c r="Y702">
        <v>0</v>
      </c>
      <c r="Z702" s="33">
        <v>0</v>
      </c>
      <c r="AA702">
        <v>5</v>
      </c>
      <c r="AB702" s="34">
        <v>4000</v>
      </c>
      <c r="AC702" s="87">
        <v>110</v>
      </c>
      <c r="AE702" s="43">
        <v>4</v>
      </c>
      <c r="AF702" s="274">
        <v>2</v>
      </c>
      <c r="AG702" s="91"/>
      <c r="AH702" s="91">
        <v>1</v>
      </c>
      <c r="AI702" s="91"/>
      <c r="AJ702" s="91"/>
      <c r="AK702" s="91"/>
      <c r="AL702" s="92">
        <v>1</v>
      </c>
      <c r="AM702" s="92"/>
      <c r="AN702" s="93"/>
      <c r="AO702" s="92"/>
      <c r="AP702" s="86"/>
      <c r="AS702">
        <v>1</v>
      </c>
    </row>
    <row r="703" ht="16.5" customHeight="1" spans="1:45">
      <c r="A703" s="8">
        <v>251021</v>
      </c>
      <c r="B703" s="8">
        <v>1001</v>
      </c>
      <c r="C703" s="8">
        <v>6</v>
      </c>
      <c r="D703" s="8">
        <v>1001</v>
      </c>
      <c r="E703" s="285" t="s">
        <v>1915</v>
      </c>
      <c r="F703" s="285" t="s">
        <v>1915</v>
      </c>
      <c r="G703" t="s">
        <v>1916</v>
      </c>
      <c r="H703" t="s">
        <v>1763</v>
      </c>
      <c r="I703">
        <v>1</v>
      </c>
      <c r="J703" s="69">
        <v>4</v>
      </c>
      <c r="K703" s="87">
        <v>2</v>
      </c>
      <c r="L703" s="8">
        <v>999</v>
      </c>
      <c r="M703" s="8">
        <v>0</v>
      </c>
      <c r="N703" s="8">
        <v>1017</v>
      </c>
      <c r="O703" s="249">
        <v>50144</v>
      </c>
      <c r="S703" s="89">
        <v>1</v>
      </c>
      <c r="T703" s="8">
        <v>5</v>
      </c>
      <c r="U703" s="89">
        <v>1</v>
      </c>
      <c r="V703" s="87">
        <v>1</v>
      </c>
      <c r="W703">
        <v>1</v>
      </c>
      <c r="X703" s="8">
        <v>1</v>
      </c>
      <c r="Y703">
        <v>0</v>
      </c>
      <c r="Z703" s="33">
        <v>0</v>
      </c>
      <c r="AA703">
        <v>5</v>
      </c>
      <c r="AB703" s="34">
        <v>4000</v>
      </c>
      <c r="AC703" s="87">
        <v>110</v>
      </c>
      <c r="AE703" s="43">
        <v>4</v>
      </c>
      <c r="AF703" s="274">
        <v>2</v>
      </c>
      <c r="AG703" s="91"/>
      <c r="AH703" s="91">
        <v>1</v>
      </c>
      <c r="AI703" s="91"/>
      <c r="AJ703" s="91"/>
      <c r="AK703" s="91"/>
      <c r="AL703" s="92">
        <v>1</v>
      </c>
      <c r="AM703" s="92"/>
      <c r="AN703" s="93"/>
      <c r="AO703" s="92"/>
      <c r="AP703" s="86"/>
      <c r="AS703">
        <v>1</v>
      </c>
    </row>
    <row r="704" ht="16.5" customHeight="1" spans="1:45">
      <c r="A704" s="8">
        <v>251022</v>
      </c>
      <c r="B704" s="8">
        <v>1001</v>
      </c>
      <c r="C704" s="8">
        <v>6</v>
      </c>
      <c r="D704" s="8">
        <v>1001</v>
      </c>
      <c r="E704" s="285" t="s">
        <v>1917</v>
      </c>
      <c r="F704" s="285" t="s">
        <v>1917</v>
      </c>
      <c r="G704" t="s">
        <v>1918</v>
      </c>
      <c r="H704" t="s">
        <v>1919</v>
      </c>
      <c r="I704">
        <v>1</v>
      </c>
      <c r="J704" s="69">
        <v>4</v>
      </c>
      <c r="K704" s="87">
        <v>2</v>
      </c>
      <c r="L704" s="8">
        <v>999</v>
      </c>
      <c r="M704" s="8">
        <v>0</v>
      </c>
      <c r="N704" s="8">
        <v>1017</v>
      </c>
      <c r="O704" s="249">
        <v>50145</v>
      </c>
      <c r="S704" s="89">
        <v>1</v>
      </c>
      <c r="T704" s="8">
        <v>5</v>
      </c>
      <c r="U704" s="89">
        <v>1</v>
      </c>
      <c r="V704" s="87">
        <v>1</v>
      </c>
      <c r="W704">
        <v>1</v>
      </c>
      <c r="X704" s="8">
        <v>1</v>
      </c>
      <c r="Y704">
        <v>0</v>
      </c>
      <c r="Z704" s="33">
        <v>0</v>
      </c>
      <c r="AA704">
        <v>5</v>
      </c>
      <c r="AB704" s="34">
        <v>4000</v>
      </c>
      <c r="AC704" s="87">
        <v>110</v>
      </c>
      <c r="AE704" s="43">
        <v>4</v>
      </c>
      <c r="AF704" s="274">
        <v>2</v>
      </c>
      <c r="AG704" s="91"/>
      <c r="AH704" s="91">
        <v>1</v>
      </c>
      <c r="AI704" s="91"/>
      <c r="AJ704" s="91"/>
      <c r="AK704" s="91"/>
      <c r="AL704" s="92">
        <v>1</v>
      </c>
      <c r="AM704" s="92"/>
      <c r="AN704" s="93"/>
      <c r="AO704" s="92"/>
      <c r="AP704" s="86"/>
      <c r="AS704">
        <v>1</v>
      </c>
    </row>
    <row r="705" ht="16.5" customHeight="1" spans="1:45">
      <c r="A705" s="8">
        <v>251023</v>
      </c>
      <c r="B705" s="8">
        <v>1001</v>
      </c>
      <c r="C705" s="8">
        <v>6</v>
      </c>
      <c r="D705" s="8">
        <v>1001</v>
      </c>
      <c r="E705" s="285" t="s">
        <v>1920</v>
      </c>
      <c r="F705" s="285" t="s">
        <v>1920</v>
      </c>
      <c r="G705" t="s">
        <v>1921</v>
      </c>
      <c r="H705" t="s">
        <v>312</v>
      </c>
      <c r="I705">
        <v>1</v>
      </c>
      <c r="J705" s="69">
        <v>4</v>
      </c>
      <c r="K705" s="87">
        <v>2</v>
      </c>
      <c r="L705" s="8">
        <v>999</v>
      </c>
      <c r="M705" s="8">
        <v>0</v>
      </c>
      <c r="N705" s="8">
        <v>1017</v>
      </c>
      <c r="O705" s="249">
        <v>50146</v>
      </c>
      <c r="S705" s="89">
        <v>1</v>
      </c>
      <c r="T705" s="8">
        <v>5</v>
      </c>
      <c r="U705" s="89">
        <v>1</v>
      </c>
      <c r="V705" s="87">
        <v>1</v>
      </c>
      <c r="W705">
        <v>1</v>
      </c>
      <c r="X705" s="8">
        <v>1</v>
      </c>
      <c r="Y705">
        <v>0</v>
      </c>
      <c r="Z705" s="33">
        <v>0</v>
      </c>
      <c r="AA705">
        <v>5</v>
      </c>
      <c r="AB705" s="34">
        <v>4000</v>
      </c>
      <c r="AC705" s="87">
        <v>110</v>
      </c>
      <c r="AE705" s="43">
        <v>4</v>
      </c>
      <c r="AF705" s="274">
        <v>2</v>
      </c>
      <c r="AG705" s="91"/>
      <c r="AH705" s="91">
        <v>1</v>
      </c>
      <c r="AI705" s="91"/>
      <c r="AJ705" s="91"/>
      <c r="AK705" s="91"/>
      <c r="AL705" s="92">
        <v>1</v>
      </c>
      <c r="AM705" s="92"/>
      <c r="AN705" s="93"/>
      <c r="AO705" s="92"/>
      <c r="AP705" s="86"/>
      <c r="AS705">
        <v>1</v>
      </c>
    </row>
    <row r="706" ht="16.5" customHeight="1" spans="1:45">
      <c r="A706" s="8">
        <v>251024</v>
      </c>
      <c r="B706" s="8">
        <v>1001</v>
      </c>
      <c r="C706" s="8">
        <v>6</v>
      </c>
      <c r="D706" s="8">
        <v>1001</v>
      </c>
      <c r="E706" s="285" t="s">
        <v>1922</v>
      </c>
      <c r="F706" s="285" t="s">
        <v>1922</v>
      </c>
      <c r="G706" t="s">
        <v>1923</v>
      </c>
      <c r="H706" t="s">
        <v>1763</v>
      </c>
      <c r="I706">
        <v>1</v>
      </c>
      <c r="J706" s="69">
        <v>4</v>
      </c>
      <c r="K706" s="87">
        <v>2</v>
      </c>
      <c r="L706" s="8">
        <v>999</v>
      </c>
      <c r="M706" s="8">
        <v>0</v>
      </c>
      <c r="N706" s="8">
        <v>1017</v>
      </c>
      <c r="O706" s="249">
        <v>50147</v>
      </c>
      <c r="S706" s="89">
        <v>1</v>
      </c>
      <c r="T706" s="8">
        <v>5</v>
      </c>
      <c r="U706" s="89">
        <v>1</v>
      </c>
      <c r="V706" s="87">
        <v>1</v>
      </c>
      <c r="W706">
        <v>1</v>
      </c>
      <c r="X706" s="8">
        <v>1</v>
      </c>
      <c r="Y706">
        <v>0</v>
      </c>
      <c r="Z706" s="33">
        <v>0</v>
      </c>
      <c r="AA706">
        <v>5</v>
      </c>
      <c r="AB706" s="34">
        <v>4000</v>
      </c>
      <c r="AC706" s="87">
        <v>110</v>
      </c>
      <c r="AE706" s="43">
        <v>4</v>
      </c>
      <c r="AF706" s="274">
        <v>2</v>
      </c>
      <c r="AG706" s="91"/>
      <c r="AH706" s="91">
        <v>1</v>
      </c>
      <c r="AI706" s="91"/>
      <c r="AJ706" s="91"/>
      <c r="AK706" s="91"/>
      <c r="AL706" s="92">
        <v>1</v>
      </c>
      <c r="AM706" s="92"/>
      <c r="AN706" s="93"/>
      <c r="AO706" s="92"/>
      <c r="AP706" s="86"/>
      <c r="AS706">
        <v>1</v>
      </c>
    </row>
    <row r="707" ht="16.5" customHeight="1" spans="1:45">
      <c r="A707" s="8">
        <v>251025</v>
      </c>
      <c r="B707" s="8">
        <v>1001</v>
      </c>
      <c r="C707" s="8">
        <v>6</v>
      </c>
      <c r="D707" s="8">
        <v>1001</v>
      </c>
      <c r="E707" s="285" t="s">
        <v>1924</v>
      </c>
      <c r="F707" s="285" t="s">
        <v>1924</v>
      </c>
      <c r="G707" t="s">
        <v>1925</v>
      </c>
      <c r="H707" t="s">
        <v>1926</v>
      </c>
      <c r="I707">
        <v>1</v>
      </c>
      <c r="J707" s="69">
        <v>4</v>
      </c>
      <c r="K707" s="87">
        <v>2</v>
      </c>
      <c r="L707" s="8">
        <v>999</v>
      </c>
      <c r="M707" s="8">
        <v>0</v>
      </c>
      <c r="N707" s="8">
        <v>1017</v>
      </c>
      <c r="O707" s="249">
        <v>50148</v>
      </c>
      <c r="S707" s="89">
        <v>1</v>
      </c>
      <c r="T707" s="8">
        <v>5</v>
      </c>
      <c r="U707" s="89">
        <v>1</v>
      </c>
      <c r="V707" s="87">
        <v>1</v>
      </c>
      <c r="W707">
        <v>1</v>
      </c>
      <c r="X707" s="8">
        <v>1</v>
      </c>
      <c r="Y707">
        <v>0</v>
      </c>
      <c r="Z707" s="33">
        <v>0</v>
      </c>
      <c r="AA707">
        <v>5</v>
      </c>
      <c r="AB707" s="34">
        <v>4000</v>
      </c>
      <c r="AC707" s="87">
        <v>110</v>
      </c>
      <c r="AE707" s="43">
        <v>4</v>
      </c>
      <c r="AF707" s="274">
        <v>2</v>
      </c>
      <c r="AG707" s="91"/>
      <c r="AH707" s="91">
        <v>1</v>
      </c>
      <c r="AI707" s="91"/>
      <c r="AJ707" s="91"/>
      <c r="AK707" s="91"/>
      <c r="AL707" s="92">
        <v>1</v>
      </c>
      <c r="AM707" s="92"/>
      <c r="AN707" s="93"/>
      <c r="AO707" s="92"/>
      <c r="AP707" s="86"/>
      <c r="AS707">
        <v>1</v>
      </c>
    </row>
    <row r="708" ht="16.5" customHeight="1" spans="1:45">
      <c r="A708" s="8">
        <v>251026</v>
      </c>
      <c r="B708" s="8">
        <v>1001</v>
      </c>
      <c r="C708" s="8">
        <v>6</v>
      </c>
      <c r="D708" s="8">
        <v>1001</v>
      </c>
      <c r="E708" s="285" t="s">
        <v>1927</v>
      </c>
      <c r="F708" s="285" t="s">
        <v>1927</v>
      </c>
      <c r="G708" t="s">
        <v>1928</v>
      </c>
      <c r="H708" t="s">
        <v>1574</v>
      </c>
      <c r="I708">
        <v>1</v>
      </c>
      <c r="J708" s="69">
        <v>4</v>
      </c>
      <c r="K708" s="87">
        <v>2</v>
      </c>
      <c r="L708" s="8">
        <v>999</v>
      </c>
      <c r="M708" s="8">
        <v>0</v>
      </c>
      <c r="N708" s="8">
        <v>1017</v>
      </c>
      <c r="O708" s="249">
        <v>50149</v>
      </c>
      <c r="S708" s="89">
        <v>1</v>
      </c>
      <c r="T708" s="8">
        <v>5</v>
      </c>
      <c r="U708" s="89">
        <v>1</v>
      </c>
      <c r="V708" s="87">
        <v>1</v>
      </c>
      <c r="W708">
        <v>1</v>
      </c>
      <c r="X708" s="8">
        <v>1</v>
      </c>
      <c r="Y708">
        <v>0</v>
      </c>
      <c r="Z708" s="33">
        <v>0</v>
      </c>
      <c r="AA708">
        <v>5</v>
      </c>
      <c r="AB708" s="34">
        <v>4000</v>
      </c>
      <c r="AC708" s="87">
        <v>110</v>
      </c>
      <c r="AE708" s="43">
        <v>4</v>
      </c>
      <c r="AF708" s="274">
        <v>2</v>
      </c>
      <c r="AG708" s="91"/>
      <c r="AH708" s="91">
        <v>1</v>
      </c>
      <c r="AI708" s="91"/>
      <c r="AJ708" s="91"/>
      <c r="AK708" s="91"/>
      <c r="AL708" s="92">
        <v>1</v>
      </c>
      <c r="AM708" s="92"/>
      <c r="AN708" s="93"/>
      <c r="AO708" s="92"/>
      <c r="AP708" s="86"/>
      <c r="AS708">
        <v>1</v>
      </c>
    </row>
    <row r="709" s="44" customFormat="1" ht="16.5" customHeight="1" spans="1:45">
      <c r="A709" s="236">
        <v>251027</v>
      </c>
      <c r="B709" s="8">
        <v>1001</v>
      </c>
      <c r="C709" s="8">
        <v>6</v>
      </c>
      <c r="D709" s="8">
        <v>1001</v>
      </c>
      <c r="E709" s="285" t="s">
        <v>1929</v>
      </c>
      <c r="F709" s="286" t="s">
        <v>1929</v>
      </c>
      <c r="G709" t="s">
        <v>1930</v>
      </c>
      <c r="H709" t="s">
        <v>1931</v>
      </c>
      <c r="I709">
        <v>1</v>
      </c>
      <c r="J709" s="69">
        <v>4</v>
      </c>
      <c r="K709" s="87">
        <v>2</v>
      </c>
      <c r="L709" s="8">
        <v>999</v>
      </c>
      <c r="M709" s="8">
        <v>0</v>
      </c>
      <c r="N709" s="8">
        <v>1017</v>
      </c>
      <c r="O709" s="249">
        <v>50150</v>
      </c>
      <c r="S709" s="89">
        <v>1</v>
      </c>
      <c r="T709" s="8">
        <v>5</v>
      </c>
      <c r="U709" s="89">
        <v>1</v>
      </c>
      <c r="V709" s="87">
        <v>1</v>
      </c>
      <c r="W709">
        <v>1</v>
      </c>
      <c r="X709" s="8">
        <v>1</v>
      </c>
      <c r="Y709">
        <v>0</v>
      </c>
      <c r="Z709" s="33">
        <v>0</v>
      </c>
      <c r="AA709">
        <v>5</v>
      </c>
      <c r="AB709" s="34">
        <v>4000</v>
      </c>
      <c r="AC709" s="87">
        <v>110</v>
      </c>
      <c r="AD709" s="287"/>
      <c r="AE709" s="278">
        <v>4</v>
      </c>
      <c r="AF709" s="279">
        <v>2</v>
      </c>
      <c r="AG709" s="91"/>
      <c r="AH709" s="91">
        <v>1</v>
      </c>
      <c r="AI709" s="91"/>
      <c r="AJ709" s="91"/>
      <c r="AK709" s="91"/>
      <c r="AL709" s="92">
        <v>1</v>
      </c>
      <c r="AM709" s="92"/>
      <c r="AN709" s="93"/>
      <c r="AO709" s="92"/>
      <c r="AP709" s="86"/>
      <c r="AQ709" s="44"/>
      <c r="AS709">
        <v>1</v>
      </c>
    </row>
    <row r="710" s="44" customFormat="1" spans="1:45">
      <c r="A710" s="44">
        <v>411001</v>
      </c>
      <c r="B710" s="288">
        <v>1001</v>
      </c>
      <c r="C710" s="288">
        <v>2</v>
      </c>
      <c r="D710" s="288">
        <v>1004</v>
      </c>
      <c r="E710" s="44" t="s">
        <v>1387</v>
      </c>
      <c r="F710" s="289" t="s">
        <v>1387</v>
      </c>
      <c r="G710" s="44" t="s">
        <v>1388</v>
      </c>
      <c r="H710" s="44" t="s">
        <v>1389</v>
      </c>
      <c r="I710" s="44">
        <v>1</v>
      </c>
      <c r="J710" s="44">
        <v>1</v>
      </c>
      <c r="K710" s="288">
        <v>1</v>
      </c>
      <c r="L710" s="8">
        <v>9999</v>
      </c>
      <c r="M710" s="288">
        <v>0</v>
      </c>
      <c r="N710" s="288"/>
      <c r="O710" s="290"/>
      <c r="S710" s="288">
        <v>1</v>
      </c>
      <c r="T710" s="288">
        <v>5</v>
      </c>
      <c r="U710" s="288">
        <v>80</v>
      </c>
      <c r="V710" s="288">
        <v>1</v>
      </c>
      <c r="W710" s="44">
        <v>1</v>
      </c>
      <c r="X710" s="288">
        <v>1</v>
      </c>
      <c r="Y710" s="44">
        <v>0</v>
      </c>
      <c r="Z710" s="44">
        <v>0</v>
      </c>
      <c r="AA710" s="44">
        <v>5</v>
      </c>
      <c r="AB710" s="44">
        <v>3040</v>
      </c>
      <c r="AC710" s="288">
        <v>825</v>
      </c>
      <c r="AD710" s="287">
        <v>0</v>
      </c>
      <c r="AE710" s="291">
        <v>0</v>
      </c>
      <c r="AF710" s="291">
        <v>0</v>
      </c>
      <c r="AG710" s="292"/>
      <c r="AH710" s="292">
        <v>1</v>
      </c>
      <c r="AI710" s="292"/>
      <c r="AJ710" s="292"/>
      <c r="AK710" s="292"/>
      <c r="AL710" s="293">
        <v>1</v>
      </c>
      <c r="AM710" s="293"/>
      <c r="AN710" s="294"/>
      <c r="AO710" s="293"/>
      <c r="AQ710" s="44" t="s">
        <v>1386</v>
      </c>
      <c r="AS710" s="44">
        <v>1</v>
      </c>
    </row>
    <row r="711" s="44" customFormat="1" spans="1:45">
      <c r="A711" s="44">
        <v>411002</v>
      </c>
      <c r="B711" s="288">
        <v>1001</v>
      </c>
      <c r="C711" s="288">
        <v>2</v>
      </c>
      <c r="D711" s="288">
        <v>1004</v>
      </c>
      <c r="E711" s="44" t="s">
        <v>1932</v>
      </c>
      <c r="F711" s="289" t="s">
        <v>1932</v>
      </c>
      <c r="G711" s="44" t="s">
        <v>1388</v>
      </c>
      <c r="H711" s="44" t="s">
        <v>1933</v>
      </c>
      <c r="I711" s="44">
        <v>1</v>
      </c>
      <c r="J711" s="44">
        <v>1</v>
      </c>
      <c r="K711" s="288">
        <v>1</v>
      </c>
      <c r="L711" s="8">
        <v>9999</v>
      </c>
      <c r="M711" s="288">
        <v>0</v>
      </c>
      <c r="N711" s="288"/>
      <c r="O711" s="290"/>
      <c r="S711" s="288">
        <v>1</v>
      </c>
      <c r="T711" s="288">
        <v>5</v>
      </c>
      <c r="U711" s="288">
        <v>80</v>
      </c>
      <c r="V711" s="288">
        <v>1</v>
      </c>
      <c r="W711" s="44">
        <v>1</v>
      </c>
      <c r="X711" s="288">
        <v>1</v>
      </c>
      <c r="Y711" s="44">
        <v>0</v>
      </c>
      <c r="Z711" s="44">
        <v>0</v>
      </c>
      <c r="AA711" s="44">
        <v>5</v>
      </c>
      <c r="AB711" s="44">
        <v>3040</v>
      </c>
      <c r="AC711" s="288">
        <v>825</v>
      </c>
      <c r="AD711" s="287">
        <v>0</v>
      </c>
      <c r="AE711" s="291">
        <v>0</v>
      </c>
      <c r="AF711" s="291">
        <v>0</v>
      </c>
      <c r="AG711" s="292"/>
      <c r="AH711" s="292">
        <v>1</v>
      </c>
      <c r="AI711" s="292"/>
      <c r="AJ711" s="292"/>
      <c r="AK711" s="292"/>
      <c r="AL711" s="293">
        <v>1</v>
      </c>
      <c r="AM711" s="293"/>
      <c r="AN711" s="294"/>
      <c r="AO711" s="293"/>
      <c r="AQ711" s="44" t="s">
        <v>1934</v>
      </c>
      <c r="AS711" s="44">
        <v>1</v>
      </c>
    </row>
    <row r="712" s="44" customFormat="1" spans="1:45">
      <c r="A712" s="44">
        <v>411003</v>
      </c>
      <c r="B712" s="288">
        <v>1001</v>
      </c>
      <c r="C712" s="288">
        <v>2</v>
      </c>
      <c r="D712" s="288">
        <v>1004</v>
      </c>
      <c r="E712" s="44" t="s">
        <v>1935</v>
      </c>
      <c r="F712" s="289" t="s">
        <v>1935</v>
      </c>
      <c r="G712" s="44" t="s">
        <v>1936</v>
      </c>
      <c r="H712" s="44" t="s">
        <v>1937</v>
      </c>
      <c r="I712" s="44">
        <v>1</v>
      </c>
      <c r="J712" s="44">
        <v>1</v>
      </c>
      <c r="K712" s="288">
        <v>1</v>
      </c>
      <c r="L712" s="8">
        <v>9999</v>
      </c>
      <c r="M712" s="288">
        <v>0</v>
      </c>
      <c r="N712" s="288"/>
      <c r="O712" s="290"/>
      <c r="S712" s="288">
        <v>1</v>
      </c>
      <c r="T712" s="288">
        <v>5</v>
      </c>
      <c r="U712" s="288">
        <v>80</v>
      </c>
      <c r="V712" s="288">
        <v>1</v>
      </c>
      <c r="W712" s="44">
        <v>1</v>
      </c>
      <c r="X712" s="288">
        <v>1</v>
      </c>
      <c r="Y712" s="44">
        <v>0</v>
      </c>
      <c r="Z712" s="44">
        <v>0</v>
      </c>
      <c r="AA712" s="44">
        <v>5</v>
      </c>
      <c r="AB712" s="44">
        <v>3040</v>
      </c>
      <c r="AC712" s="288">
        <v>825</v>
      </c>
      <c r="AD712" s="287">
        <v>0</v>
      </c>
      <c r="AE712" s="291">
        <v>0</v>
      </c>
      <c r="AF712" s="291">
        <v>0</v>
      </c>
      <c r="AG712" s="292"/>
      <c r="AH712" s="292">
        <v>1</v>
      </c>
      <c r="AI712" s="292"/>
      <c r="AJ712" s="292"/>
      <c r="AK712" s="292"/>
      <c r="AL712" s="293">
        <v>1</v>
      </c>
      <c r="AM712" s="293"/>
      <c r="AN712" s="294"/>
      <c r="AO712" s="293"/>
      <c r="AQ712" s="44" t="s">
        <v>1938</v>
      </c>
      <c r="AS712" s="44">
        <v>1</v>
      </c>
    </row>
    <row r="713" s="44" customFormat="1" spans="1:45">
      <c r="A713" s="44">
        <v>411004</v>
      </c>
      <c r="B713" s="288">
        <v>1001</v>
      </c>
      <c r="C713" s="288">
        <v>2</v>
      </c>
      <c r="D713" s="288">
        <v>1004</v>
      </c>
      <c r="E713" s="44" t="s">
        <v>1939</v>
      </c>
      <c r="F713" s="289" t="s">
        <v>1939</v>
      </c>
      <c r="G713" s="44" t="s">
        <v>1936</v>
      </c>
      <c r="H713" s="44" t="s">
        <v>1940</v>
      </c>
      <c r="I713" s="44">
        <v>1</v>
      </c>
      <c r="J713" s="44">
        <v>1</v>
      </c>
      <c r="K713" s="288">
        <v>1</v>
      </c>
      <c r="L713" s="8">
        <v>9999</v>
      </c>
      <c r="M713" s="288">
        <v>0</v>
      </c>
      <c r="N713" s="288"/>
      <c r="O713" s="290"/>
      <c r="S713" s="288">
        <v>1</v>
      </c>
      <c r="T713" s="288">
        <v>5</v>
      </c>
      <c r="U713" s="288">
        <v>80</v>
      </c>
      <c r="V713" s="288">
        <v>1</v>
      </c>
      <c r="W713" s="44">
        <v>1</v>
      </c>
      <c r="X713" s="288">
        <v>1</v>
      </c>
      <c r="Y713" s="44">
        <v>0</v>
      </c>
      <c r="Z713" s="44">
        <v>0</v>
      </c>
      <c r="AA713" s="44">
        <v>5</v>
      </c>
      <c r="AB713" s="44">
        <v>3040</v>
      </c>
      <c r="AC713" s="288">
        <v>825</v>
      </c>
      <c r="AD713" s="287">
        <v>0</v>
      </c>
      <c r="AE713" s="291">
        <v>0</v>
      </c>
      <c r="AF713" s="291">
        <v>0</v>
      </c>
      <c r="AG713" s="292"/>
      <c r="AH713" s="292">
        <v>1</v>
      </c>
      <c r="AI713" s="292"/>
      <c r="AJ713" s="292"/>
      <c r="AK713" s="292"/>
      <c r="AL713" s="293">
        <v>1</v>
      </c>
      <c r="AM713" s="293"/>
      <c r="AN713" s="294"/>
      <c r="AO713" s="293"/>
      <c r="AQ713" s="44" t="s">
        <v>1941</v>
      </c>
      <c r="AS713" s="44">
        <v>1</v>
      </c>
    </row>
    <row r="714" s="44" customFormat="1" spans="1:45">
      <c r="A714" s="44">
        <v>411005</v>
      </c>
      <c r="B714" s="288">
        <v>1001</v>
      </c>
      <c r="C714" s="288">
        <v>2</v>
      </c>
      <c r="D714" s="288">
        <v>1004</v>
      </c>
      <c r="E714" s="44" t="s">
        <v>1942</v>
      </c>
      <c r="F714" s="289" t="s">
        <v>1942</v>
      </c>
      <c r="G714" s="44" t="s">
        <v>1936</v>
      </c>
      <c r="H714" s="44" t="s">
        <v>1943</v>
      </c>
      <c r="I714" s="44">
        <v>1</v>
      </c>
      <c r="J714" s="44">
        <v>1</v>
      </c>
      <c r="K714" s="288">
        <v>1</v>
      </c>
      <c r="L714" s="8">
        <v>9999</v>
      </c>
      <c r="M714" s="288">
        <v>0</v>
      </c>
      <c r="N714" s="288"/>
      <c r="O714" s="290"/>
      <c r="S714" s="288">
        <v>1</v>
      </c>
      <c r="T714" s="288">
        <v>5</v>
      </c>
      <c r="U714" s="288">
        <v>80</v>
      </c>
      <c r="V714" s="288">
        <v>1</v>
      </c>
      <c r="W714" s="44">
        <v>1</v>
      </c>
      <c r="X714" s="288">
        <v>1</v>
      </c>
      <c r="Y714" s="44">
        <v>0</v>
      </c>
      <c r="Z714" s="44">
        <v>0</v>
      </c>
      <c r="AA714" s="44">
        <v>5</v>
      </c>
      <c r="AB714" s="44">
        <v>3040</v>
      </c>
      <c r="AC714" s="288">
        <v>825</v>
      </c>
      <c r="AD714" s="287">
        <v>0</v>
      </c>
      <c r="AE714" s="291">
        <v>0</v>
      </c>
      <c r="AF714" s="291">
        <v>0</v>
      </c>
      <c r="AG714" s="292"/>
      <c r="AH714" s="292">
        <v>1</v>
      </c>
      <c r="AI714" s="292"/>
      <c r="AJ714" s="292"/>
      <c r="AK714" s="292"/>
      <c r="AL714" s="293">
        <v>1</v>
      </c>
      <c r="AM714" s="293"/>
      <c r="AN714" s="294"/>
      <c r="AO714" s="293"/>
      <c r="AQ714" s="44" t="s">
        <v>1944</v>
      </c>
      <c r="AS714" s="44">
        <v>1</v>
      </c>
    </row>
    <row r="715" s="44" customFormat="1" spans="1:45">
      <c r="A715" s="44">
        <v>411006</v>
      </c>
      <c r="B715" s="288">
        <v>1001</v>
      </c>
      <c r="C715" s="288">
        <v>2</v>
      </c>
      <c r="D715" s="288">
        <v>1004</v>
      </c>
      <c r="E715" s="44" t="s">
        <v>1945</v>
      </c>
      <c r="F715" s="289" t="s">
        <v>1945</v>
      </c>
      <c r="G715" s="44" t="s">
        <v>1946</v>
      </c>
      <c r="H715" s="44" t="s">
        <v>1947</v>
      </c>
      <c r="I715" s="44">
        <v>1</v>
      </c>
      <c r="J715" s="44">
        <v>1</v>
      </c>
      <c r="K715" s="288">
        <v>1</v>
      </c>
      <c r="L715" s="8">
        <v>9999</v>
      </c>
      <c r="M715" s="288">
        <v>0</v>
      </c>
      <c r="N715" s="288"/>
      <c r="O715" s="290"/>
      <c r="S715" s="288">
        <v>1</v>
      </c>
      <c r="T715" s="288">
        <v>5</v>
      </c>
      <c r="U715" s="288">
        <v>80</v>
      </c>
      <c r="V715" s="288">
        <v>1</v>
      </c>
      <c r="W715" s="44">
        <v>1</v>
      </c>
      <c r="X715" s="288">
        <v>1</v>
      </c>
      <c r="Y715" s="44">
        <v>0</v>
      </c>
      <c r="Z715" s="44">
        <v>0</v>
      </c>
      <c r="AA715" s="44">
        <v>5</v>
      </c>
      <c r="AB715" s="44">
        <v>3040</v>
      </c>
      <c r="AC715" s="288">
        <v>825</v>
      </c>
      <c r="AD715" s="287">
        <v>0</v>
      </c>
      <c r="AE715" s="291">
        <v>0</v>
      </c>
      <c r="AF715" s="291">
        <v>0</v>
      </c>
      <c r="AG715" s="292"/>
      <c r="AH715" s="292">
        <v>1</v>
      </c>
      <c r="AI715" s="292"/>
      <c r="AJ715" s="292"/>
      <c r="AK715" s="292"/>
      <c r="AL715" s="293">
        <v>1</v>
      </c>
      <c r="AM715" s="293"/>
      <c r="AN715" s="294"/>
      <c r="AO715" s="293"/>
      <c r="AQ715" s="44" t="s">
        <v>1945</v>
      </c>
      <c r="AS715" s="44">
        <v>1</v>
      </c>
    </row>
    <row r="716" s="44" customFormat="1" spans="1:45">
      <c r="A716" s="44">
        <v>411007</v>
      </c>
      <c r="B716" s="288">
        <v>1001</v>
      </c>
      <c r="C716" s="288">
        <v>2</v>
      </c>
      <c r="D716" s="288">
        <v>1004</v>
      </c>
      <c r="E716" s="44" t="s">
        <v>1948</v>
      </c>
      <c r="F716" s="289" t="s">
        <v>1948</v>
      </c>
      <c r="G716" s="44" t="s">
        <v>1946</v>
      </c>
      <c r="H716" s="44" t="s">
        <v>1949</v>
      </c>
      <c r="I716" s="44">
        <v>1</v>
      </c>
      <c r="J716" s="44">
        <v>1</v>
      </c>
      <c r="K716" s="288">
        <v>1</v>
      </c>
      <c r="L716" s="8">
        <v>9999</v>
      </c>
      <c r="M716" s="288">
        <v>0</v>
      </c>
      <c r="N716" s="288"/>
      <c r="O716" s="290"/>
      <c r="S716" s="288">
        <v>1</v>
      </c>
      <c r="T716" s="288">
        <v>5</v>
      </c>
      <c r="U716" s="288">
        <v>80</v>
      </c>
      <c r="V716" s="288">
        <v>1</v>
      </c>
      <c r="W716" s="44">
        <v>1</v>
      </c>
      <c r="X716" s="288">
        <v>1</v>
      </c>
      <c r="Y716" s="44">
        <v>0</v>
      </c>
      <c r="Z716" s="44">
        <v>0</v>
      </c>
      <c r="AA716" s="44">
        <v>5</v>
      </c>
      <c r="AB716" s="44">
        <v>3040</v>
      </c>
      <c r="AC716" s="288">
        <v>825</v>
      </c>
      <c r="AD716" s="287">
        <v>0</v>
      </c>
      <c r="AE716" s="291">
        <v>0</v>
      </c>
      <c r="AF716" s="291">
        <v>0</v>
      </c>
      <c r="AG716" s="292"/>
      <c r="AH716" s="292">
        <v>1</v>
      </c>
      <c r="AI716" s="292"/>
      <c r="AJ716" s="292"/>
      <c r="AK716" s="292"/>
      <c r="AL716" s="293">
        <v>1</v>
      </c>
      <c r="AM716" s="293"/>
      <c r="AN716" s="294"/>
      <c r="AO716" s="293"/>
      <c r="AQ716" s="44" t="s">
        <v>1948</v>
      </c>
      <c r="AS716" s="44">
        <v>1</v>
      </c>
    </row>
    <row r="717" s="44" customFormat="1" spans="1:45">
      <c r="A717" s="44">
        <v>411008</v>
      </c>
      <c r="B717" s="288">
        <v>1001</v>
      </c>
      <c r="C717" s="288">
        <v>2</v>
      </c>
      <c r="D717" s="288">
        <v>1004</v>
      </c>
      <c r="E717" s="44" t="s">
        <v>1950</v>
      </c>
      <c r="F717" s="289" t="s">
        <v>1950</v>
      </c>
      <c r="G717" s="44" t="s">
        <v>1951</v>
      </c>
      <c r="H717" s="44" t="s">
        <v>1952</v>
      </c>
      <c r="I717" s="44">
        <v>1</v>
      </c>
      <c r="J717" s="44">
        <v>5</v>
      </c>
      <c r="K717" s="288">
        <v>1</v>
      </c>
      <c r="L717" s="8">
        <v>9999</v>
      </c>
      <c r="M717" s="288">
        <v>0</v>
      </c>
      <c r="N717" s="288"/>
      <c r="O717" s="290"/>
      <c r="S717" s="288">
        <v>1</v>
      </c>
      <c r="T717" s="288">
        <v>5</v>
      </c>
      <c r="U717" s="288">
        <v>80</v>
      </c>
      <c r="V717" s="288">
        <v>1</v>
      </c>
      <c r="W717" s="44">
        <v>1</v>
      </c>
      <c r="X717" s="288">
        <v>1</v>
      </c>
      <c r="Y717" s="44">
        <v>0</v>
      </c>
      <c r="Z717" s="44">
        <v>0</v>
      </c>
      <c r="AA717" s="44">
        <v>5</v>
      </c>
      <c r="AB717" s="44">
        <v>3040</v>
      </c>
      <c r="AC717" s="288">
        <v>825</v>
      </c>
      <c r="AD717" s="287">
        <v>0</v>
      </c>
      <c r="AE717" s="291">
        <v>0</v>
      </c>
      <c r="AF717" s="291">
        <v>0</v>
      </c>
      <c r="AG717" s="292"/>
      <c r="AH717" s="292">
        <v>1</v>
      </c>
      <c r="AI717" s="292"/>
      <c r="AJ717" s="292"/>
      <c r="AK717" s="292"/>
      <c r="AL717" s="293">
        <v>1</v>
      </c>
      <c r="AM717" s="293"/>
      <c r="AN717" s="294"/>
      <c r="AO717" s="293"/>
      <c r="AQ717" s="44" t="s">
        <v>1953</v>
      </c>
      <c r="AS717" s="44">
        <v>1</v>
      </c>
    </row>
    <row r="718" s="44" customFormat="1" spans="1:45">
      <c r="A718" s="44">
        <v>411009</v>
      </c>
      <c r="B718" s="288">
        <v>1001</v>
      </c>
      <c r="C718" s="288">
        <v>2</v>
      </c>
      <c r="D718" s="288">
        <v>1004</v>
      </c>
      <c r="E718" s="44" t="s">
        <v>1954</v>
      </c>
      <c r="F718" s="289" t="s">
        <v>1954</v>
      </c>
      <c r="G718" s="44" t="s">
        <v>1951</v>
      </c>
      <c r="H718" s="44" t="s">
        <v>1955</v>
      </c>
      <c r="I718" s="44">
        <v>1</v>
      </c>
      <c r="J718" s="44">
        <v>5</v>
      </c>
      <c r="K718" s="288">
        <v>1</v>
      </c>
      <c r="L718" s="8">
        <v>9999</v>
      </c>
      <c r="M718" s="288">
        <v>0</v>
      </c>
      <c r="N718" s="288"/>
      <c r="O718" s="290"/>
      <c r="S718" s="288">
        <v>1</v>
      </c>
      <c r="T718" s="288">
        <v>5</v>
      </c>
      <c r="U718" s="288">
        <v>80</v>
      </c>
      <c r="V718" s="288">
        <v>1</v>
      </c>
      <c r="W718" s="44">
        <v>1</v>
      </c>
      <c r="X718" s="288">
        <v>1</v>
      </c>
      <c r="Y718" s="44">
        <v>0</v>
      </c>
      <c r="Z718" s="44">
        <v>0</v>
      </c>
      <c r="AA718" s="44">
        <v>5</v>
      </c>
      <c r="AB718" s="44">
        <v>3040</v>
      </c>
      <c r="AC718" s="288">
        <v>825</v>
      </c>
      <c r="AD718" s="287">
        <v>0</v>
      </c>
      <c r="AE718" s="291">
        <v>0</v>
      </c>
      <c r="AF718" s="291">
        <v>0</v>
      </c>
      <c r="AG718" s="292"/>
      <c r="AH718" s="292">
        <v>1</v>
      </c>
      <c r="AI718" s="292"/>
      <c r="AJ718" s="292"/>
      <c r="AK718" s="292"/>
      <c r="AL718" s="293">
        <v>1</v>
      </c>
      <c r="AM718" s="293"/>
      <c r="AN718" s="294"/>
      <c r="AO718" s="293"/>
      <c r="AQ718" s="44" t="s">
        <v>1956</v>
      </c>
      <c r="AS718" s="44">
        <v>1</v>
      </c>
    </row>
    <row r="719" s="44" customFormat="1" spans="1:45">
      <c r="A719" s="44">
        <v>411010</v>
      </c>
      <c r="B719" s="288">
        <v>1001</v>
      </c>
      <c r="C719" s="295">
        <v>2</v>
      </c>
      <c r="D719" s="288">
        <v>1004</v>
      </c>
      <c r="E719" s="44" t="s">
        <v>1957</v>
      </c>
      <c r="F719" s="289" t="s">
        <v>1958</v>
      </c>
      <c r="G719" s="44" t="s">
        <v>1951</v>
      </c>
      <c r="H719" s="44" t="s">
        <v>1959</v>
      </c>
      <c r="I719" s="44">
        <v>1</v>
      </c>
      <c r="J719" s="44">
        <v>5</v>
      </c>
      <c r="K719" s="295">
        <v>1</v>
      </c>
      <c r="L719" s="8">
        <v>9999</v>
      </c>
      <c r="M719" s="288">
        <v>0</v>
      </c>
      <c r="N719" s="295"/>
      <c r="O719" s="290"/>
      <c r="S719" s="288">
        <v>1</v>
      </c>
      <c r="T719" s="295">
        <v>5</v>
      </c>
      <c r="U719" s="288">
        <v>80</v>
      </c>
      <c r="V719" s="295">
        <v>1</v>
      </c>
      <c r="W719" s="44">
        <v>1</v>
      </c>
      <c r="X719" s="295">
        <v>1</v>
      </c>
      <c r="Y719" s="44">
        <v>0</v>
      </c>
      <c r="Z719" s="44">
        <v>0</v>
      </c>
      <c r="AA719" s="44">
        <v>5</v>
      </c>
      <c r="AB719" s="44">
        <v>3040</v>
      </c>
      <c r="AC719" s="288">
        <v>825</v>
      </c>
      <c r="AD719" s="287">
        <v>0</v>
      </c>
      <c r="AE719" s="296">
        <v>0</v>
      </c>
      <c r="AF719" s="296">
        <v>0</v>
      </c>
      <c r="AG719" s="297"/>
      <c r="AH719" s="297">
        <v>1</v>
      </c>
      <c r="AI719" s="297"/>
      <c r="AJ719" s="297"/>
      <c r="AK719" s="297"/>
      <c r="AL719" s="298">
        <v>1</v>
      </c>
      <c r="AM719" s="298"/>
      <c r="AN719" s="294"/>
      <c r="AO719" s="293"/>
      <c r="AP719" s="299"/>
      <c r="AQ719" s="44" t="s">
        <v>1957</v>
      </c>
      <c r="AS719" s="44">
        <v>1</v>
      </c>
    </row>
    <row r="720" s="44" customFormat="1" spans="1:45">
      <c r="A720" s="44">
        <v>411011</v>
      </c>
      <c r="B720" s="288">
        <v>1001</v>
      </c>
      <c r="C720" s="300">
        <v>2</v>
      </c>
      <c r="D720" s="288">
        <v>1004</v>
      </c>
      <c r="E720" s="44" t="s">
        <v>1960</v>
      </c>
      <c r="F720" s="289" t="s">
        <v>1961</v>
      </c>
      <c r="G720" s="44" t="s">
        <v>1951</v>
      </c>
      <c r="H720" s="44" t="s">
        <v>1962</v>
      </c>
      <c r="I720" s="44">
        <v>1</v>
      </c>
      <c r="J720" s="44">
        <v>5</v>
      </c>
      <c r="K720" s="300">
        <v>1</v>
      </c>
      <c r="L720" s="8">
        <v>9999</v>
      </c>
      <c r="M720" s="288">
        <v>0</v>
      </c>
      <c r="N720" s="288"/>
      <c r="O720" s="290"/>
      <c r="S720" s="288">
        <v>1</v>
      </c>
      <c r="T720" s="300">
        <v>5</v>
      </c>
      <c r="U720" s="288">
        <v>80</v>
      </c>
      <c r="V720" s="300">
        <v>1</v>
      </c>
      <c r="W720" s="44">
        <v>1</v>
      </c>
      <c r="X720" s="300">
        <v>1</v>
      </c>
      <c r="Y720" s="44">
        <v>0</v>
      </c>
      <c r="Z720" s="44">
        <v>0</v>
      </c>
      <c r="AA720" s="44">
        <v>5</v>
      </c>
      <c r="AB720" s="44">
        <v>3040</v>
      </c>
      <c r="AC720" s="288">
        <v>825</v>
      </c>
      <c r="AD720" s="287">
        <v>0</v>
      </c>
      <c r="AE720" s="301">
        <v>0</v>
      </c>
      <c r="AF720" s="301">
        <v>0</v>
      </c>
      <c r="AG720" s="302"/>
      <c r="AH720" s="302">
        <v>1</v>
      </c>
      <c r="AI720" s="302"/>
      <c r="AJ720" s="302"/>
      <c r="AK720" s="302"/>
      <c r="AL720" s="303">
        <v>1</v>
      </c>
      <c r="AM720" s="303"/>
      <c r="AN720" s="294"/>
      <c r="AO720" s="293"/>
      <c r="AP720" s="299"/>
      <c r="AQ720" s="44" t="s">
        <v>1960</v>
      </c>
      <c r="AS720" s="44">
        <v>1</v>
      </c>
    </row>
    <row r="721" s="44" customFormat="1" spans="1:45">
      <c r="A721" s="44">
        <v>412003</v>
      </c>
      <c r="B721" s="288">
        <v>1001</v>
      </c>
      <c r="C721" s="288">
        <v>2</v>
      </c>
      <c r="D721" s="288">
        <v>1004</v>
      </c>
      <c r="E721" s="44" t="s">
        <v>1963</v>
      </c>
      <c r="F721" s="289" t="s">
        <v>1963</v>
      </c>
      <c r="G721" s="44" t="s">
        <v>1936</v>
      </c>
      <c r="H721" s="44" t="s">
        <v>1964</v>
      </c>
      <c r="I721" s="44">
        <v>1</v>
      </c>
      <c r="J721" s="44">
        <v>2</v>
      </c>
      <c r="K721" s="288">
        <v>1</v>
      </c>
      <c r="L721" s="8">
        <v>9999</v>
      </c>
      <c r="M721" s="288">
        <v>0</v>
      </c>
      <c r="N721" s="288"/>
      <c r="O721" s="290"/>
      <c r="S721" s="288">
        <v>1</v>
      </c>
      <c r="T721" s="288">
        <v>5</v>
      </c>
      <c r="U721" s="288">
        <v>110</v>
      </c>
      <c r="V721" s="288">
        <v>1</v>
      </c>
      <c r="W721" s="44">
        <v>1</v>
      </c>
      <c r="X721" s="288">
        <v>1</v>
      </c>
      <c r="Y721" s="44">
        <v>0</v>
      </c>
      <c r="Z721" s="44">
        <v>0</v>
      </c>
      <c r="AA721" s="44">
        <v>5</v>
      </c>
      <c r="AB721" s="44">
        <v>4180</v>
      </c>
      <c r="AC721" s="288">
        <v>824</v>
      </c>
      <c r="AD721" s="287">
        <v>0</v>
      </c>
      <c r="AE721" s="291">
        <v>0</v>
      </c>
      <c r="AF721" s="291">
        <v>0</v>
      </c>
      <c r="AG721" s="292"/>
      <c r="AH721" s="292">
        <v>1</v>
      </c>
      <c r="AI721" s="292"/>
      <c r="AJ721" s="292"/>
      <c r="AK721" s="292"/>
      <c r="AL721" s="293">
        <v>1</v>
      </c>
      <c r="AM721" s="293"/>
      <c r="AN721" s="294"/>
      <c r="AO721" s="293"/>
      <c r="AQ721" s="44" t="s">
        <v>1965</v>
      </c>
      <c r="AS721" s="44">
        <v>1</v>
      </c>
    </row>
    <row r="722" s="44" customFormat="1" spans="1:45">
      <c r="A722" s="44">
        <v>412004</v>
      </c>
      <c r="B722" s="288">
        <v>1001</v>
      </c>
      <c r="C722" s="288">
        <v>2</v>
      </c>
      <c r="D722" s="288">
        <v>1004</v>
      </c>
      <c r="E722" s="44" t="s">
        <v>1966</v>
      </c>
      <c r="F722" s="289" t="s">
        <v>1966</v>
      </c>
      <c r="G722" s="44" t="s">
        <v>1936</v>
      </c>
      <c r="H722" s="44" t="s">
        <v>1967</v>
      </c>
      <c r="I722" s="44">
        <v>1</v>
      </c>
      <c r="J722" s="44">
        <v>2</v>
      </c>
      <c r="K722" s="288">
        <v>1</v>
      </c>
      <c r="L722" s="8">
        <v>9999</v>
      </c>
      <c r="M722" s="288">
        <v>0</v>
      </c>
      <c r="N722" s="288"/>
      <c r="O722" s="290"/>
      <c r="S722" s="288">
        <v>1</v>
      </c>
      <c r="T722" s="288">
        <v>5</v>
      </c>
      <c r="U722" s="288">
        <v>110</v>
      </c>
      <c r="V722" s="288">
        <v>1</v>
      </c>
      <c r="W722" s="44">
        <v>1</v>
      </c>
      <c r="X722" s="288">
        <v>1</v>
      </c>
      <c r="Y722" s="44">
        <v>0</v>
      </c>
      <c r="Z722" s="44">
        <v>0</v>
      </c>
      <c r="AA722" s="44">
        <v>5</v>
      </c>
      <c r="AB722" s="44">
        <v>4180</v>
      </c>
      <c r="AC722" s="288">
        <v>824</v>
      </c>
      <c r="AD722" s="287">
        <v>0</v>
      </c>
      <c r="AE722" s="291">
        <v>0</v>
      </c>
      <c r="AF722" s="291">
        <v>0</v>
      </c>
      <c r="AG722" s="292"/>
      <c r="AH722" s="292">
        <v>1</v>
      </c>
      <c r="AI722" s="292"/>
      <c r="AJ722" s="292"/>
      <c r="AK722" s="292"/>
      <c r="AL722" s="293">
        <v>1</v>
      </c>
      <c r="AM722" s="293"/>
      <c r="AN722" s="294"/>
      <c r="AO722" s="293"/>
      <c r="AQ722" s="44" t="s">
        <v>1968</v>
      </c>
      <c r="AS722" s="44">
        <v>1</v>
      </c>
    </row>
    <row r="723" s="44" customFormat="1" spans="1:45">
      <c r="A723" s="44">
        <v>412005</v>
      </c>
      <c r="B723" s="288">
        <v>1001</v>
      </c>
      <c r="C723" s="288">
        <v>2</v>
      </c>
      <c r="D723" s="288">
        <v>1004</v>
      </c>
      <c r="E723" s="44" t="s">
        <v>1969</v>
      </c>
      <c r="F723" s="289" t="s">
        <v>1969</v>
      </c>
      <c r="G723" s="44" t="s">
        <v>1936</v>
      </c>
      <c r="H723" s="44" t="s">
        <v>1970</v>
      </c>
      <c r="I723" s="44">
        <v>1</v>
      </c>
      <c r="J723" s="44">
        <v>2</v>
      </c>
      <c r="K723" s="288">
        <v>1</v>
      </c>
      <c r="L723" s="8">
        <v>9999</v>
      </c>
      <c r="M723" s="288">
        <v>0</v>
      </c>
      <c r="N723" s="288"/>
      <c r="O723" s="290"/>
      <c r="S723" s="288">
        <v>1</v>
      </c>
      <c r="T723" s="288">
        <v>5</v>
      </c>
      <c r="U723" s="288">
        <v>110</v>
      </c>
      <c r="V723" s="288">
        <v>1</v>
      </c>
      <c r="W723" s="44">
        <v>1</v>
      </c>
      <c r="X723" s="288">
        <v>1</v>
      </c>
      <c r="Y723" s="44">
        <v>0</v>
      </c>
      <c r="Z723" s="44">
        <v>0</v>
      </c>
      <c r="AA723" s="44">
        <v>5</v>
      </c>
      <c r="AB723" s="44">
        <v>4180</v>
      </c>
      <c r="AC723" s="288">
        <v>824</v>
      </c>
      <c r="AD723" s="287">
        <v>0</v>
      </c>
      <c r="AE723" s="291">
        <v>0</v>
      </c>
      <c r="AF723" s="291">
        <v>0</v>
      </c>
      <c r="AG723" s="292"/>
      <c r="AH723" s="292">
        <v>1</v>
      </c>
      <c r="AI723" s="292"/>
      <c r="AJ723" s="292"/>
      <c r="AK723" s="292"/>
      <c r="AL723" s="293">
        <v>1</v>
      </c>
      <c r="AM723" s="293"/>
      <c r="AN723" s="294"/>
      <c r="AO723" s="293"/>
      <c r="AQ723" s="44" t="s">
        <v>1971</v>
      </c>
      <c r="AS723" s="44">
        <v>1</v>
      </c>
    </row>
    <row r="724" s="44" customFormat="1" spans="1:45">
      <c r="A724" s="44">
        <v>412006</v>
      </c>
      <c r="B724" s="288">
        <v>1001</v>
      </c>
      <c r="C724" s="288">
        <v>2</v>
      </c>
      <c r="D724" s="288">
        <v>1004</v>
      </c>
      <c r="E724" s="44" t="s">
        <v>1972</v>
      </c>
      <c r="F724" s="289" t="s">
        <v>1972</v>
      </c>
      <c r="G724" s="44" t="s">
        <v>1973</v>
      </c>
      <c r="H724" s="44" t="s">
        <v>1974</v>
      </c>
      <c r="I724" s="44">
        <v>1</v>
      </c>
      <c r="J724" s="44">
        <v>1</v>
      </c>
      <c r="K724" s="288">
        <v>1</v>
      </c>
      <c r="L724" s="8">
        <v>9999</v>
      </c>
      <c r="M724" s="288">
        <v>0</v>
      </c>
      <c r="N724" s="288"/>
      <c r="O724" s="290"/>
      <c r="S724" s="288">
        <v>1</v>
      </c>
      <c r="T724" s="288">
        <v>5</v>
      </c>
      <c r="U724" s="288">
        <v>110</v>
      </c>
      <c r="V724" s="288">
        <v>1</v>
      </c>
      <c r="W724" s="44">
        <v>1</v>
      </c>
      <c r="X724" s="288">
        <v>1</v>
      </c>
      <c r="Y724" s="44">
        <v>0</v>
      </c>
      <c r="Z724" s="44">
        <v>0</v>
      </c>
      <c r="AA724" s="44">
        <v>5</v>
      </c>
      <c r="AB724" s="44">
        <v>4180</v>
      </c>
      <c r="AC724" s="288">
        <v>824</v>
      </c>
      <c r="AD724" s="287">
        <v>0</v>
      </c>
      <c r="AE724" s="291">
        <v>0</v>
      </c>
      <c r="AF724" s="291">
        <v>0</v>
      </c>
      <c r="AG724" s="292"/>
      <c r="AH724" s="292">
        <v>1</v>
      </c>
      <c r="AI724" s="292"/>
      <c r="AJ724" s="292"/>
      <c r="AK724" s="292"/>
      <c r="AL724" s="293">
        <v>1</v>
      </c>
      <c r="AM724" s="293"/>
      <c r="AN724" s="294"/>
      <c r="AO724" s="293"/>
      <c r="AQ724" s="44" t="s">
        <v>1972</v>
      </c>
      <c r="AS724" s="44">
        <v>1</v>
      </c>
    </row>
    <row r="725" s="44" customFormat="1" spans="1:45">
      <c r="A725" s="44">
        <v>412007</v>
      </c>
      <c r="B725" s="288">
        <v>1001</v>
      </c>
      <c r="C725" s="288">
        <v>2</v>
      </c>
      <c r="D725" s="288">
        <v>1004</v>
      </c>
      <c r="E725" s="44" t="s">
        <v>1975</v>
      </c>
      <c r="F725" s="289" t="s">
        <v>1975</v>
      </c>
      <c r="G725" s="44" t="s">
        <v>1973</v>
      </c>
      <c r="H725" s="44" t="s">
        <v>1976</v>
      </c>
      <c r="I725" s="44">
        <v>1</v>
      </c>
      <c r="J725" s="44">
        <v>1</v>
      </c>
      <c r="K725" s="288">
        <v>1</v>
      </c>
      <c r="L725" s="8">
        <v>9999</v>
      </c>
      <c r="M725" s="288">
        <v>0</v>
      </c>
      <c r="N725" s="288"/>
      <c r="O725" s="290"/>
      <c r="S725" s="288">
        <v>1</v>
      </c>
      <c r="T725" s="288">
        <v>5</v>
      </c>
      <c r="U725" s="288">
        <v>110</v>
      </c>
      <c r="V725" s="288">
        <v>1</v>
      </c>
      <c r="W725" s="44">
        <v>1</v>
      </c>
      <c r="X725" s="288">
        <v>1</v>
      </c>
      <c r="Y725" s="44">
        <v>0</v>
      </c>
      <c r="Z725" s="44">
        <v>0</v>
      </c>
      <c r="AA725" s="44">
        <v>5</v>
      </c>
      <c r="AB725" s="44">
        <v>4180</v>
      </c>
      <c r="AC725" s="288">
        <v>824</v>
      </c>
      <c r="AD725" s="287">
        <v>0</v>
      </c>
      <c r="AE725" s="291">
        <v>0</v>
      </c>
      <c r="AF725" s="291">
        <v>0</v>
      </c>
      <c r="AG725" s="292"/>
      <c r="AH725" s="292">
        <v>1</v>
      </c>
      <c r="AI725" s="292"/>
      <c r="AJ725" s="292"/>
      <c r="AK725" s="292"/>
      <c r="AL725" s="293">
        <v>1</v>
      </c>
      <c r="AM725" s="293"/>
      <c r="AN725" s="294"/>
      <c r="AO725" s="293"/>
      <c r="AQ725" s="44" t="s">
        <v>1975</v>
      </c>
      <c r="AS725" s="44">
        <v>1</v>
      </c>
    </row>
    <row r="726" s="44" customFormat="1" spans="1:45">
      <c r="A726" s="44">
        <v>413003</v>
      </c>
      <c r="B726" s="288">
        <v>1001</v>
      </c>
      <c r="C726" s="288">
        <v>2</v>
      </c>
      <c r="D726" s="288">
        <v>1004</v>
      </c>
      <c r="E726" s="44" t="s">
        <v>1977</v>
      </c>
      <c r="F726" s="289" t="s">
        <v>1977</v>
      </c>
      <c r="G726" s="44" t="s">
        <v>1936</v>
      </c>
      <c r="H726" s="44" t="s">
        <v>1978</v>
      </c>
      <c r="I726" s="44">
        <v>1</v>
      </c>
      <c r="J726" s="44">
        <v>3</v>
      </c>
      <c r="K726" s="288">
        <v>1</v>
      </c>
      <c r="L726" s="8">
        <v>9999</v>
      </c>
      <c r="M726" s="288">
        <v>0</v>
      </c>
      <c r="N726" s="288"/>
      <c r="O726" s="290"/>
      <c r="S726" s="288">
        <v>1</v>
      </c>
      <c r="T726" s="288">
        <v>5</v>
      </c>
      <c r="U726" s="288">
        <v>140</v>
      </c>
      <c r="V726" s="288">
        <v>1</v>
      </c>
      <c r="W726" s="44">
        <v>1</v>
      </c>
      <c r="X726" s="288">
        <v>1</v>
      </c>
      <c r="Y726" s="44">
        <v>0</v>
      </c>
      <c r="Z726" s="44">
        <v>0</v>
      </c>
      <c r="AA726" s="44">
        <v>5</v>
      </c>
      <c r="AB726" s="44">
        <v>5320</v>
      </c>
      <c r="AC726" s="288">
        <v>823</v>
      </c>
      <c r="AD726" s="287">
        <v>0</v>
      </c>
      <c r="AE726" s="291">
        <v>0</v>
      </c>
      <c r="AF726" s="291">
        <v>0</v>
      </c>
      <c r="AG726" s="292"/>
      <c r="AH726" s="292">
        <v>1</v>
      </c>
      <c r="AI726" s="292"/>
      <c r="AJ726" s="292"/>
      <c r="AK726" s="292"/>
      <c r="AL726" s="293">
        <v>1</v>
      </c>
      <c r="AM726" s="293"/>
      <c r="AN726" s="294"/>
      <c r="AO726" s="293"/>
      <c r="AQ726" s="44" t="s">
        <v>1979</v>
      </c>
      <c r="AS726" s="44">
        <v>1</v>
      </c>
    </row>
    <row r="727" s="44" customFormat="1" spans="1:45">
      <c r="A727" s="44">
        <v>413004</v>
      </c>
      <c r="B727" s="288">
        <v>1001</v>
      </c>
      <c r="C727" s="288">
        <v>2</v>
      </c>
      <c r="D727" s="288">
        <v>1004</v>
      </c>
      <c r="E727" s="44" t="s">
        <v>1980</v>
      </c>
      <c r="F727" s="289" t="s">
        <v>1980</v>
      </c>
      <c r="G727" s="44" t="s">
        <v>1936</v>
      </c>
      <c r="H727" s="44" t="s">
        <v>1981</v>
      </c>
      <c r="I727" s="44">
        <v>1</v>
      </c>
      <c r="J727" s="44">
        <v>3</v>
      </c>
      <c r="K727" s="288">
        <v>1</v>
      </c>
      <c r="L727" s="8">
        <v>9999</v>
      </c>
      <c r="M727" s="288">
        <v>0</v>
      </c>
      <c r="N727" s="288"/>
      <c r="O727" s="290"/>
      <c r="S727" s="288">
        <v>1</v>
      </c>
      <c r="T727" s="288">
        <v>5</v>
      </c>
      <c r="U727" s="288">
        <v>140</v>
      </c>
      <c r="V727" s="288">
        <v>1</v>
      </c>
      <c r="W727" s="44">
        <v>1</v>
      </c>
      <c r="X727" s="288">
        <v>1</v>
      </c>
      <c r="Y727" s="44">
        <v>0</v>
      </c>
      <c r="Z727" s="44">
        <v>0</v>
      </c>
      <c r="AA727" s="44">
        <v>5</v>
      </c>
      <c r="AB727" s="44">
        <v>5320</v>
      </c>
      <c r="AC727" s="288">
        <v>823</v>
      </c>
      <c r="AD727" s="287">
        <v>0</v>
      </c>
      <c r="AE727" s="291">
        <v>0</v>
      </c>
      <c r="AF727" s="291">
        <v>0</v>
      </c>
      <c r="AG727" s="292"/>
      <c r="AH727" s="292">
        <v>1</v>
      </c>
      <c r="AI727" s="292"/>
      <c r="AJ727" s="292"/>
      <c r="AK727" s="292"/>
      <c r="AL727" s="293">
        <v>1</v>
      </c>
      <c r="AM727" s="293"/>
      <c r="AN727" s="294"/>
      <c r="AO727" s="293"/>
      <c r="AQ727" s="44" t="s">
        <v>1982</v>
      </c>
      <c r="AS727" s="44">
        <v>1</v>
      </c>
    </row>
    <row r="728" s="44" customFormat="1" spans="1:45">
      <c r="A728" s="44">
        <v>413005</v>
      </c>
      <c r="B728" s="288">
        <v>1001</v>
      </c>
      <c r="C728" s="288">
        <v>2</v>
      </c>
      <c r="D728" s="288">
        <v>1004</v>
      </c>
      <c r="E728" s="44" t="s">
        <v>1983</v>
      </c>
      <c r="F728" s="289" t="s">
        <v>1983</v>
      </c>
      <c r="G728" s="44" t="s">
        <v>1936</v>
      </c>
      <c r="H728" s="44" t="s">
        <v>1984</v>
      </c>
      <c r="I728" s="44">
        <v>1</v>
      </c>
      <c r="J728" s="44">
        <v>3</v>
      </c>
      <c r="K728" s="288">
        <v>1</v>
      </c>
      <c r="L728" s="8">
        <v>9999</v>
      </c>
      <c r="M728" s="288">
        <v>0</v>
      </c>
      <c r="N728" s="288"/>
      <c r="O728" s="290"/>
      <c r="S728" s="288">
        <v>1</v>
      </c>
      <c r="T728" s="288">
        <v>5</v>
      </c>
      <c r="U728" s="288">
        <v>140</v>
      </c>
      <c r="V728" s="288">
        <v>1</v>
      </c>
      <c r="W728" s="44">
        <v>1</v>
      </c>
      <c r="X728" s="288">
        <v>1</v>
      </c>
      <c r="Y728" s="44">
        <v>0</v>
      </c>
      <c r="Z728" s="44">
        <v>0</v>
      </c>
      <c r="AA728" s="44">
        <v>5</v>
      </c>
      <c r="AB728" s="44">
        <v>5320</v>
      </c>
      <c r="AC728" s="288">
        <v>823</v>
      </c>
      <c r="AD728" s="287">
        <v>0</v>
      </c>
      <c r="AE728" s="291">
        <v>0</v>
      </c>
      <c r="AF728" s="291">
        <v>0</v>
      </c>
      <c r="AG728" s="292"/>
      <c r="AH728" s="292">
        <v>1</v>
      </c>
      <c r="AI728" s="292"/>
      <c r="AJ728" s="292"/>
      <c r="AK728" s="292"/>
      <c r="AL728" s="293">
        <v>1</v>
      </c>
      <c r="AM728" s="293"/>
      <c r="AN728" s="294"/>
      <c r="AO728" s="293"/>
      <c r="AQ728" s="44" t="s">
        <v>1985</v>
      </c>
      <c r="AS728" s="44">
        <v>1</v>
      </c>
    </row>
    <row r="729" s="44" customFormat="1" spans="1:45">
      <c r="A729" s="44">
        <v>413006</v>
      </c>
      <c r="B729" s="288">
        <v>1001</v>
      </c>
      <c r="C729" s="288">
        <v>2</v>
      </c>
      <c r="D729" s="288">
        <v>1004</v>
      </c>
      <c r="E729" s="44" t="s">
        <v>1986</v>
      </c>
      <c r="F729" s="289" t="s">
        <v>1986</v>
      </c>
      <c r="G729" s="44" t="s">
        <v>1973</v>
      </c>
      <c r="H729" s="44" t="s">
        <v>1987</v>
      </c>
      <c r="I729" s="44">
        <v>1</v>
      </c>
      <c r="J729" s="44">
        <v>1</v>
      </c>
      <c r="K729" s="288">
        <v>1</v>
      </c>
      <c r="L729" s="8">
        <v>9999</v>
      </c>
      <c r="M729" s="288">
        <v>0</v>
      </c>
      <c r="N729" s="288"/>
      <c r="O729" s="290"/>
      <c r="S729" s="288">
        <v>1</v>
      </c>
      <c r="T729" s="288">
        <v>5</v>
      </c>
      <c r="U729" s="288">
        <v>140</v>
      </c>
      <c r="V729" s="288">
        <v>1</v>
      </c>
      <c r="W729" s="44">
        <v>1</v>
      </c>
      <c r="X729" s="288">
        <v>1</v>
      </c>
      <c r="Y729" s="44">
        <v>0</v>
      </c>
      <c r="Z729" s="44">
        <v>0</v>
      </c>
      <c r="AA729" s="44">
        <v>5</v>
      </c>
      <c r="AB729" s="44">
        <v>5320</v>
      </c>
      <c r="AC729" s="288">
        <v>823</v>
      </c>
      <c r="AD729" s="287">
        <v>0</v>
      </c>
      <c r="AE729" s="291">
        <v>0</v>
      </c>
      <c r="AF729" s="291">
        <v>0</v>
      </c>
      <c r="AG729" s="292"/>
      <c r="AH729" s="292">
        <v>1</v>
      </c>
      <c r="AI729" s="292"/>
      <c r="AJ729" s="292"/>
      <c r="AK729" s="292"/>
      <c r="AL729" s="293">
        <v>1</v>
      </c>
      <c r="AM729" s="293"/>
      <c r="AN729" s="294"/>
      <c r="AO729" s="293"/>
      <c r="AQ729" s="44" t="s">
        <v>1986</v>
      </c>
      <c r="AS729" s="44">
        <v>1</v>
      </c>
    </row>
    <row r="730" s="44" customFormat="1" spans="1:45">
      <c r="A730" s="44">
        <v>413007</v>
      </c>
      <c r="B730" s="288">
        <v>1001</v>
      </c>
      <c r="C730" s="288">
        <v>2</v>
      </c>
      <c r="D730" s="288">
        <v>1004</v>
      </c>
      <c r="E730" s="44" t="s">
        <v>1988</v>
      </c>
      <c r="F730" s="289" t="s">
        <v>1988</v>
      </c>
      <c r="G730" s="44" t="s">
        <v>1973</v>
      </c>
      <c r="H730" s="44" t="s">
        <v>1989</v>
      </c>
      <c r="I730" s="44">
        <v>1</v>
      </c>
      <c r="J730" s="44">
        <v>1</v>
      </c>
      <c r="K730" s="288">
        <v>1</v>
      </c>
      <c r="L730" s="8">
        <v>9999</v>
      </c>
      <c r="M730" s="288">
        <v>0</v>
      </c>
      <c r="N730" s="288"/>
      <c r="O730" s="290"/>
      <c r="S730" s="288">
        <v>1</v>
      </c>
      <c r="T730" s="288">
        <v>5</v>
      </c>
      <c r="U730" s="288">
        <v>140</v>
      </c>
      <c r="V730" s="288">
        <v>1</v>
      </c>
      <c r="W730" s="44">
        <v>1</v>
      </c>
      <c r="X730" s="288">
        <v>1</v>
      </c>
      <c r="Y730" s="44">
        <v>0</v>
      </c>
      <c r="Z730" s="44">
        <v>0</v>
      </c>
      <c r="AA730" s="44">
        <v>5</v>
      </c>
      <c r="AB730" s="44">
        <v>5320</v>
      </c>
      <c r="AC730" s="288">
        <v>823</v>
      </c>
      <c r="AD730" s="287">
        <v>0</v>
      </c>
      <c r="AE730" s="291">
        <v>0</v>
      </c>
      <c r="AF730" s="291">
        <v>0</v>
      </c>
      <c r="AG730" s="292"/>
      <c r="AH730" s="292">
        <v>1</v>
      </c>
      <c r="AI730" s="292"/>
      <c r="AJ730" s="292"/>
      <c r="AK730" s="292"/>
      <c r="AL730" s="293">
        <v>1</v>
      </c>
      <c r="AM730" s="293"/>
      <c r="AN730" s="294"/>
      <c r="AO730" s="293"/>
      <c r="AQ730" s="44" t="s">
        <v>1988</v>
      </c>
      <c r="AS730" s="44">
        <v>1</v>
      </c>
    </row>
    <row r="731" s="44" customFormat="1" spans="1:45">
      <c r="A731" s="44">
        <v>414003</v>
      </c>
      <c r="B731" s="288">
        <v>1001</v>
      </c>
      <c r="C731" s="288">
        <v>2</v>
      </c>
      <c r="D731" s="288">
        <v>1004</v>
      </c>
      <c r="E731" s="44" t="s">
        <v>1990</v>
      </c>
      <c r="F731" s="289" t="s">
        <v>1990</v>
      </c>
      <c r="G731" s="44" t="s">
        <v>1936</v>
      </c>
      <c r="H731" s="44" t="s">
        <v>1991</v>
      </c>
      <c r="I731" s="44">
        <v>1</v>
      </c>
      <c r="J731" s="44">
        <v>4</v>
      </c>
      <c r="K731" s="288">
        <v>1</v>
      </c>
      <c r="L731" s="8">
        <v>9999</v>
      </c>
      <c r="M731" s="288">
        <v>0</v>
      </c>
      <c r="N731" s="288"/>
      <c r="O731" s="290"/>
      <c r="S731" s="288">
        <v>1</v>
      </c>
      <c r="T731" s="288">
        <v>5</v>
      </c>
      <c r="U731" s="288">
        <v>170</v>
      </c>
      <c r="V731" s="288">
        <v>1</v>
      </c>
      <c r="W731" s="44">
        <v>1</v>
      </c>
      <c r="X731" s="288">
        <v>1</v>
      </c>
      <c r="Y731" s="44">
        <v>0</v>
      </c>
      <c r="Z731" s="44">
        <v>0</v>
      </c>
      <c r="AA731" s="44">
        <v>5</v>
      </c>
      <c r="AB731" s="44">
        <v>6460</v>
      </c>
      <c r="AC731" s="288">
        <v>822</v>
      </c>
      <c r="AD731" s="287">
        <v>0</v>
      </c>
      <c r="AE731" s="291">
        <v>0</v>
      </c>
      <c r="AF731" s="291">
        <v>0</v>
      </c>
      <c r="AG731" s="292"/>
      <c r="AH731" s="292">
        <v>1</v>
      </c>
      <c r="AI731" s="292"/>
      <c r="AJ731" s="292"/>
      <c r="AK731" s="292"/>
      <c r="AL731" s="293">
        <v>1</v>
      </c>
      <c r="AM731" s="293"/>
      <c r="AN731" s="294"/>
      <c r="AO731" s="293"/>
      <c r="AQ731" s="44" t="s">
        <v>1992</v>
      </c>
      <c r="AS731" s="44">
        <v>1</v>
      </c>
    </row>
    <row r="732" s="44" customFormat="1" spans="1:45">
      <c r="A732" s="44">
        <v>414004</v>
      </c>
      <c r="B732" s="288">
        <v>1001</v>
      </c>
      <c r="C732" s="288">
        <v>2</v>
      </c>
      <c r="D732" s="288">
        <v>1004</v>
      </c>
      <c r="E732" s="44" t="s">
        <v>1993</v>
      </c>
      <c r="F732" s="289" t="s">
        <v>1993</v>
      </c>
      <c r="G732" s="44" t="s">
        <v>1936</v>
      </c>
      <c r="H732" s="44" t="s">
        <v>1994</v>
      </c>
      <c r="I732" s="44">
        <v>1</v>
      </c>
      <c r="J732" s="44">
        <v>4</v>
      </c>
      <c r="K732" s="288">
        <v>1</v>
      </c>
      <c r="L732" s="8">
        <v>9999</v>
      </c>
      <c r="M732" s="288">
        <v>0</v>
      </c>
      <c r="N732" s="288"/>
      <c r="O732" s="290"/>
      <c r="S732" s="288">
        <v>1</v>
      </c>
      <c r="T732" s="288">
        <v>5</v>
      </c>
      <c r="U732" s="288">
        <v>170</v>
      </c>
      <c r="V732" s="288">
        <v>1</v>
      </c>
      <c r="W732" s="44">
        <v>1</v>
      </c>
      <c r="X732" s="288">
        <v>1</v>
      </c>
      <c r="Y732" s="44">
        <v>0</v>
      </c>
      <c r="Z732" s="44">
        <v>0</v>
      </c>
      <c r="AA732" s="44">
        <v>5</v>
      </c>
      <c r="AB732" s="44">
        <v>6460</v>
      </c>
      <c r="AC732" s="288">
        <v>822</v>
      </c>
      <c r="AD732" s="287">
        <v>0</v>
      </c>
      <c r="AE732" s="291">
        <v>0</v>
      </c>
      <c r="AF732" s="291">
        <v>0</v>
      </c>
      <c r="AG732" s="292"/>
      <c r="AH732" s="292">
        <v>1</v>
      </c>
      <c r="AI732" s="292"/>
      <c r="AJ732" s="292"/>
      <c r="AK732" s="292"/>
      <c r="AL732" s="293">
        <v>1</v>
      </c>
      <c r="AM732" s="293"/>
      <c r="AN732" s="294"/>
      <c r="AO732" s="293"/>
      <c r="AQ732" s="44" t="s">
        <v>1995</v>
      </c>
      <c r="AS732" s="44">
        <v>1</v>
      </c>
    </row>
    <row r="733" s="44" customFormat="1" spans="1:45">
      <c r="A733" s="44">
        <v>414005</v>
      </c>
      <c r="B733" s="288">
        <v>1001</v>
      </c>
      <c r="C733" s="288">
        <v>2</v>
      </c>
      <c r="D733" s="288">
        <v>1004</v>
      </c>
      <c r="E733" s="44" t="s">
        <v>1996</v>
      </c>
      <c r="F733" s="289" t="s">
        <v>1996</v>
      </c>
      <c r="G733" s="44" t="s">
        <v>1936</v>
      </c>
      <c r="H733" s="44" t="s">
        <v>1997</v>
      </c>
      <c r="I733" s="44">
        <v>1</v>
      </c>
      <c r="J733" s="44">
        <v>4</v>
      </c>
      <c r="K733" s="288">
        <v>1</v>
      </c>
      <c r="L733" s="8">
        <v>9999</v>
      </c>
      <c r="M733" s="288">
        <v>0</v>
      </c>
      <c r="N733" s="288"/>
      <c r="O733" s="290"/>
      <c r="S733" s="288">
        <v>1</v>
      </c>
      <c r="T733" s="288">
        <v>5</v>
      </c>
      <c r="U733" s="288">
        <v>170</v>
      </c>
      <c r="V733" s="288">
        <v>1</v>
      </c>
      <c r="W733" s="44">
        <v>1</v>
      </c>
      <c r="X733" s="288">
        <v>1</v>
      </c>
      <c r="Y733" s="44">
        <v>0</v>
      </c>
      <c r="Z733" s="44">
        <v>0</v>
      </c>
      <c r="AA733" s="44">
        <v>5</v>
      </c>
      <c r="AB733" s="44">
        <v>6460</v>
      </c>
      <c r="AC733" s="288">
        <v>822</v>
      </c>
      <c r="AD733" s="287">
        <v>0</v>
      </c>
      <c r="AE733" s="291">
        <v>0</v>
      </c>
      <c r="AF733" s="291">
        <v>0</v>
      </c>
      <c r="AG733" s="292"/>
      <c r="AH733" s="292">
        <v>1</v>
      </c>
      <c r="AI733" s="292"/>
      <c r="AJ733" s="292"/>
      <c r="AK733" s="292"/>
      <c r="AL733" s="293">
        <v>1</v>
      </c>
      <c r="AM733" s="293"/>
      <c r="AN733" s="294"/>
      <c r="AO733" s="293"/>
      <c r="AQ733" s="44" t="s">
        <v>1998</v>
      </c>
      <c r="AS733" s="44">
        <v>1</v>
      </c>
    </row>
    <row r="734" s="44" customFormat="1" spans="1:45">
      <c r="A734" s="44">
        <v>414006</v>
      </c>
      <c r="B734" s="288">
        <v>1001</v>
      </c>
      <c r="C734" s="288">
        <v>2</v>
      </c>
      <c r="D734" s="288">
        <v>1004</v>
      </c>
      <c r="E734" s="44" t="s">
        <v>1999</v>
      </c>
      <c r="F734" s="289" t="s">
        <v>1999</v>
      </c>
      <c r="G734" s="44" t="s">
        <v>1973</v>
      </c>
      <c r="H734" s="44" t="s">
        <v>2000</v>
      </c>
      <c r="I734" s="44">
        <v>1</v>
      </c>
      <c r="J734" s="44">
        <v>1</v>
      </c>
      <c r="K734" s="288">
        <v>1</v>
      </c>
      <c r="L734" s="8">
        <v>9999</v>
      </c>
      <c r="M734" s="288">
        <v>0</v>
      </c>
      <c r="N734" s="288"/>
      <c r="O734" s="290"/>
      <c r="S734" s="288">
        <v>1</v>
      </c>
      <c r="T734" s="288">
        <v>5</v>
      </c>
      <c r="U734" s="288">
        <v>170</v>
      </c>
      <c r="V734" s="288">
        <v>1</v>
      </c>
      <c r="W734" s="44">
        <v>1</v>
      </c>
      <c r="X734" s="288">
        <v>1</v>
      </c>
      <c r="Y734" s="44">
        <v>0</v>
      </c>
      <c r="Z734" s="44">
        <v>0</v>
      </c>
      <c r="AA734" s="44">
        <v>5</v>
      </c>
      <c r="AB734" s="44">
        <v>6460</v>
      </c>
      <c r="AC734" s="288">
        <v>822</v>
      </c>
      <c r="AD734" s="287">
        <v>0</v>
      </c>
      <c r="AE734" s="291">
        <v>0</v>
      </c>
      <c r="AF734" s="291">
        <v>0</v>
      </c>
      <c r="AG734" s="292"/>
      <c r="AH734" s="292">
        <v>1</v>
      </c>
      <c r="AI734" s="292"/>
      <c r="AJ734" s="292"/>
      <c r="AK734" s="292"/>
      <c r="AL734" s="293">
        <v>1</v>
      </c>
      <c r="AM734" s="293"/>
      <c r="AN734" s="294"/>
      <c r="AO734" s="293"/>
      <c r="AQ734" s="44" t="s">
        <v>2001</v>
      </c>
      <c r="AS734" s="44">
        <v>1</v>
      </c>
    </row>
    <row r="735" s="44" customFormat="1" spans="1:45">
      <c r="A735" s="44">
        <v>414007</v>
      </c>
      <c r="B735" s="288">
        <v>1001</v>
      </c>
      <c r="C735" s="288">
        <v>2</v>
      </c>
      <c r="D735" s="288">
        <v>1004</v>
      </c>
      <c r="E735" s="44" t="s">
        <v>2002</v>
      </c>
      <c r="F735" s="304" t="s">
        <v>2002</v>
      </c>
      <c r="G735" s="44" t="s">
        <v>1973</v>
      </c>
      <c r="H735" s="44" t="s">
        <v>2003</v>
      </c>
      <c r="I735" s="44">
        <v>1</v>
      </c>
      <c r="J735" s="44">
        <v>1</v>
      </c>
      <c r="K735" s="288">
        <v>1</v>
      </c>
      <c r="L735" s="8">
        <v>9999</v>
      </c>
      <c r="M735" s="288">
        <v>0</v>
      </c>
      <c r="N735" s="288"/>
      <c r="O735" s="290"/>
      <c r="S735" s="288">
        <v>1</v>
      </c>
      <c r="T735" s="288">
        <v>5</v>
      </c>
      <c r="U735" s="288">
        <v>170</v>
      </c>
      <c r="V735" s="288">
        <v>1</v>
      </c>
      <c r="W735" s="44">
        <v>1</v>
      </c>
      <c r="X735" s="288">
        <v>1</v>
      </c>
      <c r="Y735" s="44">
        <v>0</v>
      </c>
      <c r="Z735" s="44">
        <v>0</v>
      </c>
      <c r="AA735" s="44">
        <v>5</v>
      </c>
      <c r="AB735" s="44">
        <v>6460</v>
      </c>
      <c r="AC735" s="288">
        <v>822</v>
      </c>
      <c r="AD735" s="287">
        <v>0</v>
      </c>
      <c r="AE735" s="291">
        <v>0</v>
      </c>
      <c r="AF735" s="291">
        <v>0</v>
      </c>
      <c r="AG735" s="292"/>
      <c r="AH735" s="292">
        <v>1</v>
      </c>
      <c r="AI735" s="292"/>
      <c r="AJ735" s="292"/>
      <c r="AK735" s="292"/>
      <c r="AL735" s="293">
        <v>1</v>
      </c>
      <c r="AM735" s="293"/>
      <c r="AN735" s="294"/>
      <c r="AO735" s="293"/>
      <c r="AQ735" s="44" t="s">
        <v>2004</v>
      </c>
      <c r="AS735" s="44">
        <v>1</v>
      </c>
    </row>
    <row r="736" s="44" customFormat="1" spans="1:45">
      <c r="A736" s="44">
        <v>415001</v>
      </c>
      <c r="B736" s="288">
        <v>1001</v>
      </c>
      <c r="C736" s="288">
        <v>2</v>
      </c>
      <c r="D736" s="288">
        <v>1004</v>
      </c>
      <c r="E736" s="44" t="s">
        <v>2005</v>
      </c>
      <c r="F736" s="44" t="s">
        <v>2005</v>
      </c>
      <c r="G736" s="44" t="s">
        <v>1388</v>
      </c>
      <c r="H736" s="44" t="s">
        <v>2006</v>
      </c>
      <c r="I736" s="44">
        <v>1</v>
      </c>
      <c r="J736" s="44">
        <v>5</v>
      </c>
      <c r="K736" s="288">
        <v>1</v>
      </c>
      <c r="L736" s="8">
        <v>9999</v>
      </c>
      <c r="M736" s="288">
        <v>0</v>
      </c>
      <c r="N736" s="288"/>
      <c r="O736" s="290"/>
      <c r="S736" s="288">
        <v>1</v>
      </c>
      <c r="T736" s="288">
        <v>5</v>
      </c>
      <c r="U736" s="288">
        <v>200</v>
      </c>
      <c r="V736" s="288">
        <v>1</v>
      </c>
      <c r="W736" s="44">
        <v>1</v>
      </c>
      <c r="X736" s="288">
        <v>1</v>
      </c>
      <c r="Y736" s="44">
        <v>0</v>
      </c>
      <c r="Z736" s="44">
        <v>0</v>
      </c>
      <c r="AA736" s="44">
        <v>5</v>
      </c>
      <c r="AB736" s="44">
        <v>7600</v>
      </c>
      <c r="AC736" s="288">
        <v>821</v>
      </c>
      <c r="AD736" s="287">
        <v>0</v>
      </c>
      <c r="AE736" s="291">
        <v>0</v>
      </c>
      <c r="AF736" s="291">
        <v>0</v>
      </c>
      <c r="AG736" s="292"/>
      <c r="AH736" s="292">
        <v>1</v>
      </c>
      <c r="AI736" s="292"/>
      <c r="AJ736" s="292"/>
      <c r="AK736" s="292"/>
      <c r="AL736" s="293">
        <v>1</v>
      </c>
      <c r="AM736" s="293"/>
      <c r="AN736" s="294"/>
      <c r="AO736" s="293"/>
      <c r="AQ736" s="44" t="s">
        <v>2005</v>
      </c>
      <c r="AS736" s="44">
        <v>1</v>
      </c>
    </row>
    <row r="737" s="44" customFormat="1" spans="1:45">
      <c r="A737" s="44">
        <v>415002</v>
      </c>
      <c r="B737" s="288">
        <v>1001</v>
      </c>
      <c r="C737" s="288">
        <v>2</v>
      </c>
      <c r="D737" s="288">
        <v>1004</v>
      </c>
      <c r="E737" s="44" t="s">
        <v>2007</v>
      </c>
      <c r="F737" s="300" t="s">
        <v>2007</v>
      </c>
      <c r="G737" s="44" t="s">
        <v>1388</v>
      </c>
      <c r="H737" s="44" t="s">
        <v>2008</v>
      </c>
      <c r="I737" s="44">
        <v>1</v>
      </c>
      <c r="J737" s="44">
        <v>5</v>
      </c>
      <c r="K737" s="288">
        <v>1</v>
      </c>
      <c r="L737" s="8">
        <v>9999</v>
      </c>
      <c r="M737" s="288">
        <v>0</v>
      </c>
      <c r="N737" s="288"/>
      <c r="O737" s="290"/>
      <c r="S737" s="288">
        <v>1</v>
      </c>
      <c r="T737" s="288">
        <v>5</v>
      </c>
      <c r="U737" s="288">
        <v>200</v>
      </c>
      <c r="V737" s="288">
        <v>1</v>
      </c>
      <c r="W737" s="44">
        <v>1</v>
      </c>
      <c r="X737" s="288">
        <v>1</v>
      </c>
      <c r="Y737" s="44">
        <v>0</v>
      </c>
      <c r="Z737" s="44">
        <v>0</v>
      </c>
      <c r="AA737" s="44">
        <v>5</v>
      </c>
      <c r="AB737" s="44">
        <v>7600</v>
      </c>
      <c r="AC737" s="288">
        <v>821</v>
      </c>
      <c r="AD737" s="287">
        <v>0</v>
      </c>
      <c r="AE737" s="291">
        <v>0</v>
      </c>
      <c r="AF737" s="291">
        <v>0</v>
      </c>
      <c r="AG737" s="292"/>
      <c r="AH737" s="292">
        <v>1</v>
      </c>
      <c r="AI737" s="292"/>
      <c r="AJ737" s="292"/>
      <c r="AK737" s="292"/>
      <c r="AL737" s="293">
        <v>1</v>
      </c>
      <c r="AM737" s="293"/>
      <c r="AN737" s="294"/>
      <c r="AO737" s="293"/>
      <c r="AQ737" s="44" t="s">
        <v>2007</v>
      </c>
      <c r="AS737" s="44">
        <v>1</v>
      </c>
    </row>
    <row r="738" s="44" customFormat="1" spans="1:45">
      <c r="A738" s="44">
        <v>415003</v>
      </c>
      <c r="B738" s="288">
        <v>1001</v>
      </c>
      <c r="C738" s="288">
        <v>2</v>
      </c>
      <c r="D738" s="288">
        <v>1004</v>
      </c>
      <c r="E738" s="44" t="s">
        <v>2009</v>
      </c>
      <c r="F738" s="289" t="s">
        <v>2009</v>
      </c>
      <c r="G738" s="44" t="s">
        <v>1936</v>
      </c>
      <c r="H738" s="44" t="s">
        <v>2010</v>
      </c>
      <c r="I738" s="44">
        <v>1</v>
      </c>
      <c r="J738" s="44">
        <v>5</v>
      </c>
      <c r="K738" s="288">
        <v>1</v>
      </c>
      <c r="L738" s="8">
        <v>9999</v>
      </c>
      <c r="M738" s="288">
        <v>0</v>
      </c>
      <c r="N738" s="288"/>
      <c r="O738" s="290"/>
      <c r="S738" s="288">
        <v>1</v>
      </c>
      <c r="T738" s="288">
        <v>5</v>
      </c>
      <c r="U738" s="288">
        <v>200</v>
      </c>
      <c r="V738" s="288">
        <v>1</v>
      </c>
      <c r="W738" s="44">
        <v>1</v>
      </c>
      <c r="X738" s="288">
        <v>1</v>
      </c>
      <c r="Y738" s="44">
        <v>0</v>
      </c>
      <c r="Z738" s="44">
        <v>0</v>
      </c>
      <c r="AA738" s="44">
        <v>5</v>
      </c>
      <c r="AB738" s="44">
        <v>7600</v>
      </c>
      <c r="AC738" s="288">
        <v>821</v>
      </c>
      <c r="AD738" s="287">
        <v>0</v>
      </c>
      <c r="AE738" s="291">
        <v>0</v>
      </c>
      <c r="AF738" s="291">
        <v>0</v>
      </c>
      <c r="AG738" s="292"/>
      <c r="AH738" s="292">
        <v>1</v>
      </c>
      <c r="AI738" s="292"/>
      <c r="AJ738" s="292"/>
      <c r="AK738" s="292"/>
      <c r="AL738" s="293">
        <v>1</v>
      </c>
      <c r="AM738" s="293"/>
      <c r="AN738" s="294"/>
      <c r="AO738" s="293"/>
      <c r="AQ738" s="44" t="s">
        <v>2011</v>
      </c>
      <c r="AS738" s="44">
        <v>1</v>
      </c>
    </row>
    <row r="739" s="44" customFormat="1" spans="1:45">
      <c r="A739" s="44">
        <v>415004</v>
      </c>
      <c r="B739" s="288">
        <v>1001</v>
      </c>
      <c r="C739" s="288">
        <v>2</v>
      </c>
      <c r="D739" s="288">
        <v>1004</v>
      </c>
      <c r="E739" s="44" t="s">
        <v>2012</v>
      </c>
      <c r="F739" s="289" t="s">
        <v>2012</v>
      </c>
      <c r="G739" s="44" t="s">
        <v>1936</v>
      </c>
      <c r="H739" s="44" t="s">
        <v>2013</v>
      </c>
      <c r="I739" s="44">
        <v>1</v>
      </c>
      <c r="J739" s="44">
        <v>5</v>
      </c>
      <c r="K739" s="288">
        <v>1</v>
      </c>
      <c r="L739" s="8">
        <v>9999</v>
      </c>
      <c r="M739" s="288">
        <v>0</v>
      </c>
      <c r="N739" s="288"/>
      <c r="O739" s="290"/>
      <c r="S739" s="288">
        <v>1</v>
      </c>
      <c r="T739" s="288">
        <v>5</v>
      </c>
      <c r="U739" s="288">
        <v>200</v>
      </c>
      <c r="V739" s="288">
        <v>1</v>
      </c>
      <c r="W739" s="44">
        <v>1</v>
      </c>
      <c r="X739" s="288">
        <v>1</v>
      </c>
      <c r="Y739" s="44">
        <v>0</v>
      </c>
      <c r="Z739" s="44">
        <v>0</v>
      </c>
      <c r="AA739" s="44">
        <v>5</v>
      </c>
      <c r="AB739" s="44">
        <v>7600</v>
      </c>
      <c r="AC739" s="288">
        <v>821</v>
      </c>
      <c r="AD739" s="287">
        <v>0</v>
      </c>
      <c r="AE739" s="291">
        <v>0</v>
      </c>
      <c r="AF739" s="291">
        <v>0</v>
      </c>
      <c r="AG739" s="292"/>
      <c r="AH739" s="292">
        <v>1</v>
      </c>
      <c r="AI739" s="292"/>
      <c r="AJ739" s="292"/>
      <c r="AK739" s="292"/>
      <c r="AL739" s="293">
        <v>1</v>
      </c>
      <c r="AM739" s="293"/>
      <c r="AN739" s="294"/>
      <c r="AO739" s="293"/>
      <c r="AQ739" s="44" t="s">
        <v>2014</v>
      </c>
      <c r="AS739" s="44">
        <v>1</v>
      </c>
    </row>
    <row r="740" s="44" customFormat="1" spans="1:45">
      <c r="A740" s="44">
        <v>415005</v>
      </c>
      <c r="B740" s="288">
        <v>1001</v>
      </c>
      <c r="C740" s="288">
        <v>2</v>
      </c>
      <c r="D740" s="288">
        <v>1004</v>
      </c>
      <c r="E740" s="44" t="s">
        <v>2015</v>
      </c>
      <c r="F740" s="289" t="s">
        <v>2015</v>
      </c>
      <c r="G740" s="44" t="s">
        <v>1936</v>
      </c>
      <c r="H740" s="44" t="s">
        <v>2016</v>
      </c>
      <c r="I740" s="44">
        <v>1</v>
      </c>
      <c r="J740" s="44">
        <v>5</v>
      </c>
      <c r="K740" s="288">
        <v>1</v>
      </c>
      <c r="L740" s="8">
        <v>9999</v>
      </c>
      <c r="M740" s="288">
        <v>0</v>
      </c>
      <c r="N740" s="288"/>
      <c r="O740" s="290"/>
      <c r="S740" s="288">
        <v>1</v>
      </c>
      <c r="T740" s="288">
        <v>5</v>
      </c>
      <c r="U740" s="288">
        <v>200</v>
      </c>
      <c r="V740" s="288">
        <v>1</v>
      </c>
      <c r="W740" s="44">
        <v>1</v>
      </c>
      <c r="X740" s="288">
        <v>1</v>
      </c>
      <c r="Y740" s="44">
        <v>0</v>
      </c>
      <c r="Z740" s="44">
        <v>0</v>
      </c>
      <c r="AA740" s="44">
        <v>5</v>
      </c>
      <c r="AB740" s="44">
        <v>7600</v>
      </c>
      <c r="AC740" s="288">
        <v>821</v>
      </c>
      <c r="AD740" s="287">
        <v>0</v>
      </c>
      <c r="AE740" s="291">
        <v>0</v>
      </c>
      <c r="AF740" s="291">
        <v>0</v>
      </c>
      <c r="AG740" s="292"/>
      <c r="AH740" s="292">
        <v>1</v>
      </c>
      <c r="AI740" s="292"/>
      <c r="AJ740" s="292"/>
      <c r="AK740" s="292"/>
      <c r="AL740" s="293">
        <v>1</v>
      </c>
      <c r="AM740" s="293"/>
      <c r="AN740" s="294"/>
      <c r="AO740" s="293"/>
      <c r="AQ740" s="44" t="s">
        <v>2017</v>
      </c>
      <c r="AS740" s="44">
        <v>1</v>
      </c>
    </row>
    <row r="741" s="44" customFormat="1" spans="1:45">
      <c r="A741" s="44">
        <v>415006</v>
      </c>
      <c r="B741" s="288">
        <v>1001</v>
      </c>
      <c r="C741" s="288">
        <v>2</v>
      </c>
      <c r="D741" s="288">
        <v>1004</v>
      </c>
      <c r="E741" s="44" t="s">
        <v>2018</v>
      </c>
      <c r="F741" s="289" t="s">
        <v>2018</v>
      </c>
      <c r="G741" s="44" t="s">
        <v>1946</v>
      </c>
      <c r="H741" s="44" t="s">
        <v>2019</v>
      </c>
      <c r="I741" s="44">
        <v>1</v>
      </c>
      <c r="J741" s="44">
        <v>1</v>
      </c>
      <c r="K741" s="288">
        <v>1</v>
      </c>
      <c r="L741" s="8">
        <v>9999</v>
      </c>
      <c r="M741" s="288">
        <v>0</v>
      </c>
      <c r="N741" s="288"/>
      <c r="O741" s="290"/>
      <c r="S741" s="288">
        <v>1</v>
      </c>
      <c r="T741" s="288">
        <v>5</v>
      </c>
      <c r="U741" s="288">
        <v>200</v>
      </c>
      <c r="V741" s="288">
        <v>1</v>
      </c>
      <c r="W741" s="44">
        <v>1</v>
      </c>
      <c r="X741" s="288">
        <v>1</v>
      </c>
      <c r="Y741" s="44">
        <v>0</v>
      </c>
      <c r="Z741" s="44">
        <v>0</v>
      </c>
      <c r="AA741" s="44">
        <v>5</v>
      </c>
      <c r="AB741" s="44">
        <v>7600</v>
      </c>
      <c r="AC741" s="288">
        <v>821</v>
      </c>
      <c r="AD741" s="287">
        <v>0</v>
      </c>
      <c r="AE741" s="291">
        <v>0</v>
      </c>
      <c r="AF741" s="291">
        <v>0</v>
      </c>
      <c r="AG741" s="292"/>
      <c r="AH741" s="292">
        <v>1</v>
      </c>
      <c r="AI741" s="292"/>
      <c r="AJ741" s="292"/>
      <c r="AK741" s="292"/>
      <c r="AL741" s="293">
        <v>1</v>
      </c>
      <c r="AM741" s="293"/>
      <c r="AN741" s="294"/>
      <c r="AO741" s="293"/>
      <c r="AQ741" s="44" t="s">
        <v>2018</v>
      </c>
      <c r="AS741" s="44">
        <v>1</v>
      </c>
    </row>
    <row r="742" s="44" customFormat="1" spans="1:45">
      <c r="A742" s="44">
        <v>415007</v>
      </c>
      <c r="B742" s="288">
        <v>1001</v>
      </c>
      <c r="C742" s="288">
        <v>2</v>
      </c>
      <c r="D742" s="288">
        <v>1004</v>
      </c>
      <c r="E742" s="300" t="s">
        <v>2020</v>
      </c>
      <c r="F742" s="289" t="s">
        <v>2020</v>
      </c>
      <c r="G742" s="44" t="s">
        <v>1946</v>
      </c>
      <c r="H742" s="44" t="s">
        <v>2021</v>
      </c>
      <c r="I742" s="44">
        <v>1</v>
      </c>
      <c r="J742" s="44">
        <v>1</v>
      </c>
      <c r="K742" s="288">
        <v>1</v>
      </c>
      <c r="L742" s="8">
        <v>9999</v>
      </c>
      <c r="M742" s="288">
        <v>0</v>
      </c>
      <c r="N742" s="288"/>
      <c r="O742" s="290"/>
      <c r="S742" s="288">
        <v>1</v>
      </c>
      <c r="T742" s="288">
        <v>5</v>
      </c>
      <c r="U742" s="288">
        <v>200</v>
      </c>
      <c r="V742" s="288">
        <v>1</v>
      </c>
      <c r="W742" s="44">
        <v>1</v>
      </c>
      <c r="X742" s="288">
        <v>1</v>
      </c>
      <c r="Y742" s="44">
        <v>0</v>
      </c>
      <c r="Z742" s="44">
        <v>0</v>
      </c>
      <c r="AA742" s="44">
        <v>5</v>
      </c>
      <c r="AB742" s="44">
        <v>7600</v>
      </c>
      <c r="AC742" s="288">
        <v>821</v>
      </c>
      <c r="AD742" s="287">
        <v>0</v>
      </c>
      <c r="AE742" s="291">
        <v>0</v>
      </c>
      <c r="AF742" s="291">
        <v>0</v>
      </c>
      <c r="AG742" s="292"/>
      <c r="AH742" s="292">
        <v>1</v>
      </c>
      <c r="AI742" s="292"/>
      <c r="AJ742" s="292"/>
      <c r="AK742" s="292"/>
      <c r="AL742" s="293">
        <v>1</v>
      </c>
      <c r="AM742" s="293"/>
      <c r="AN742" s="294"/>
      <c r="AO742" s="293"/>
      <c r="AQ742" s="300" t="s">
        <v>2020</v>
      </c>
      <c r="AS742" s="44">
        <v>1</v>
      </c>
    </row>
    <row r="743" s="44" customFormat="1" spans="1:45">
      <c r="A743" s="44">
        <v>416001</v>
      </c>
      <c r="B743" s="288">
        <v>1001</v>
      </c>
      <c r="C743" s="288">
        <v>2</v>
      </c>
      <c r="D743" s="288">
        <v>1004</v>
      </c>
      <c r="E743" s="289" t="s">
        <v>2022</v>
      </c>
      <c r="F743" s="289" t="s">
        <v>2022</v>
      </c>
      <c r="G743" s="44" t="s">
        <v>2023</v>
      </c>
      <c r="H743" s="44" t="s">
        <v>2024</v>
      </c>
      <c r="I743" s="44">
        <v>1</v>
      </c>
      <c r="J743" s="44">
        <v>5</v>
      </c>
      <c r="K743" s="288">
        <v>1</v>
      </c>
      <c r="L743" s="8">
        <v>9999</v>
      </c>
      <c r="M743" s="288">
        <v>0</v>
      </c>
      <c r="N743" s="288"/>
      <c r="O743" s="290"/>
      <c r="S743" s="288">
        <v>1</v>
      </c>
      <c r="T743" s="288">
        <v>5</v>
      </c>
      <c r="U743" s="288">
        <v>200</v>
      </c>
      <c r="V743" s="288">
        <v>1</v>
      </c>
      <c r="W743" s="44">
        <v>1</v>
      </c>
      <c r="X743" s="288">
        <v>1</v>
      </c>
      <c r="Y743" s="44">
        <v>0</v>
      </c>
      <c r="Z743" s="44">
        <v>0</v>
      </c>
      <c r="AA743" s="44">
        <v>5</v>
      </c>
      <c r="AB743" s="44">
        <v>7600</v>
      </c>
      <c r="AC743" s="288">
        <v>821</v>
      </c>
      <c r="AD743" s="287">
        <v>0</v>
      </c>
      <c r="AE743" s="291">
        <v>0</v>
      </c>
      <c r="AF743" s="291">
        <v>0</v>
      </c>
      <c r="AG743" s="292"/>
      <c r="AH743" s="292">
        <v>1</v>
      </c>
      <c r="AI743" s="292"/>
      <c r="AJ743" s="292"/>
      <c r="AK743" s="292"/>
      <c r="AL743" s="293">
        <v>1</v>
      </c>
      <c r="AM743" s="293"/>
      <c r="AN743" s="294"/>
      <c r="AO743" s="293"/>
      <c r="AQ743" s="289" t="s">
        <v>2022</v>
      </c>
      <c r="AS743" s="44">
        <v>1</v>
      </c>
    </row>
    <row r="744" s="44" customFormat="1" spans="1:45">
      <c r="A744" s="44">
        <v>416002</v>
      </c>
      <c r="B744" s="288">
        <v>1001</v>
      </c>
      <c r="C744" s="288">
        <v>2</v>
      </c>
      <c r="D744" s="288">
        <v>1004</v>
      </c>
      <c r="E744" s="289" t="s">
        <v>2025</v>
      </c>
      <c r="F744" s="289" t="s">
        <v>2025</v>
      </c>
      <c r="G744" s="44" t="s">
        <v>2023</v>
      </c>
      <c r="H744" s="44" t="s">
        <v>2026</v>
      </c>
      <c r="I744" s="44">
        <v>1</v>
      </c>
      <c r="J744" s="44">
        <v>5</v>
      </c>
      <c r="K744" s="288">
        <v>1</v>
      </c>
      <c r="L744" s="8">
        <v>9999</v>
      </c>
      <c r="M744" s="288">
        <v>0</v>
      </c>
      <c r="N744" s="288"/>
      <c r="O744" s="290"/>
      <c r="S744" s="288">
        <v>1</v>
      </c>
      <c r="T744" s="288">
        <v>5</v>
      </c>
      <c r="U744" s="288">
        <v>200</v>
      </c>
      <c r="V744" s="288">
        <v>1</v>
      </c>
      <c r="W744" s="44">
        <v>1</v>
      </c>
      <c r="X744" s="288">
        <v>1</v>
      </c>
      <c r="Y744" s="44">
        <v>0</v>
      </c>
      <c r="Z744" s="44">
        <v>0</v>
      </c>
      <c r="AA744" s="44">
        <v>5</v>
      </c>
      <c r="AB744" s="44">
        <v>7600</v>
      </c>
      <c r="AC744" s="288">
        <v>821</v>
      </c>
      <c r="AD744" s="287">
        <v>0</v>
      </c>
      <c r="AE744" s="291">
        <v>0</v>
      </c>
      <c r="AF744" s="291">
        <v>0</v>
      </c>
      <c r="AG744" s="292"/>
      <c r="AH744" s="292">
        <v>1</v>
      </c>
      <c r="AI744" s="292"/>
      <c r="AJ744" s="292"/>
      <c r="AK744" s="292"/>
      <c r="AL744" s="293">
        <v>1</v>
      </c>
      <c r="AM744" s="293"/>
      <c r="AN744" s="294"/>
      <c r="AO744" s="293"/>
      <c r="AQ744" s="289" t="s">
        <v>2025</v>
      </c>
      <c r="AS744" s="44">
        <v>1</v>
      </c>
    </row>
    <row r="745" s="44" customFormat="1" spans="1:45">
      <c r="A745" s="44">
        <v>416003</v>
      </c>
      <c r="B745" s="288">
        <v>1001</v>
      </c>
      <c r="C745" s="288">
        <v>2</v>
      </c>
      <c r="D745" s="288">
        <v>1004</v>
      </c>
      <c r="E745" s="289" t="s">
        <v>2027</v>
      </c>
      <c r="F745" s="289" t="s">
        <v>2027</v>
      </c>
      <c r="G745" s="44" t="s">
        <v>2023</v>
      </c>
      <c r="H745" s="44" t="s">
        <v>2028</v>
      </c>
      <c r="I745" s="44">
        <v>1</v>
      </c>
      <c r="J745" s="44">
        <v>5</v>
      </c>
      <c r="K745" s="288">
        <v>1</v>
      </c>
      <c r="L745" s="8">
        <v>9999</v>
      </c>
      <c r="M745" s="288">
        <v>0</v>
      </c>
      <c r="N745" s="288"/>
      <c r="O745" s="290"/>
      <c r="S745" s="288">
        <v>1</v>
      </c>
      <c r="T745" s="288">
        <v>5</v>
      </c>
      <c r="U745" s="288">
        <v>200</v>
      </c>
      <c r="V745" s="288">
        <v>1</v>
      </c>
      <c r="W745" s="44">
        <v>1</v>
      </c>
      <c r="X745" s="288">
        <v>1</v>
      </c>
      <c r="Y745" s="44">
        <v>0</v>
      </c>
      <c r="Z745" s="44">
        <v>0</v>
      </c>
      <c r="AA745" s="44">
        <v>5</v>
      </c>
      <c r="AB745" s="44">
        <v>7600</v>
      </c>
      <c r="AC745" s="288">
        <v>821</v>
      </c>
      <c r="AD745" s="287">
        <v>0</v>
      </c>
      <c r="AE745" s="291">
        <v>0</v>
      </c>
      <c r="AF745" s="291">
        <v>0</v>
      </c>
      <c r="AG745" s="292"/>
      <c r="AH745" s="292">
        <v>1</v>
      </c>
      <c r="AI745" s="292"/>
      <c r="AJ745" s="292"/>
      <c r="AK745" s="292"/>
      <c r="AL745" s="293">
        <v>1</v>
      </c>
      <c r="AM745" s="293"/>
      <c r="AN745" s="294"/>
      <c r="AO745" s="293"/>
      <c r="AQ745" s="289" t="s">
        <v>2027</v>
      </c>
      <c r="AS745" s="44">
        <v>1</v>
      </c>
    </row>
    <row r="746" s="44" customFormat="1" spans="1:45">
      <c r="A746" s="44">
        <v>416004</v>
      </c>
      <c r="B746" s="288">
        <v>1001</v>
      </c>
      <c r="C746" s="288">
        <v>2</v>
      </c>
      <c r="D746" s="288">
        <v>1004</v>
      </c>
      <c r="E746" s="289" t="s">
        <v>2029</v>
      </c>
      <c r="F746" s="289" t="s">
        <v>2029</v>
      </c>
      <c r="G746" s="44" t="s">
        <v>2023</v>
      </c>
      <c r="H746" s="44" t="s">
        <v>2030</v>
      </c>
      <c r="I746" s="44">
        <v>1</v>
      </c>
      <c r="J746" s="44">
        <v>5</v>
      </c>
      <c r="K746" s="288">
        <v>1</v>
      </c>
      <c r="L746" s="8">
        <v>9999</v>
      </c>
      <c r="M746" s="288">
        <v>0</v>
      </c>
      <c r="N746" s="288"/>
      <c r="O746" s="290"/>
      <c r="S746" s="288">
        <v>1</v>
      </c>
      <c r="T746" s="288">
        <v>5</v>
      </c>
      <c r="U746" s="288">
        <v>200</v>
      </c>
      <c r="V746" s="288">
        <v>1</v>
      </c>
      <c r="W746" s="44">
        <v>1</v>
      </c>
      <c r="X746" s="288">
        <v>1</v>
      </c>
      <c r="Y746" s="44">
        <v>0</v>
      </c>
      <c r="Z746" s="44">
        <v>0</v>
      </c>
      <c r="AA746" s="44">
        <v>5</v>
      </c>
      <c r="AB746" s="44">
        <v>7600</v>
      </c>
      <c r="AC746" s="288">
        <v>821</v>
      </c>
      <c r="AD746" s="287">
        <v>0</v>
      </c>
      <c r="AE746" s="291">
        <v>0</v>
      </c>
      <c r="AF746" s="291">
        <v>0</v>
      </c>
      <c r="AG746" s="292"/>
      <c r="AH746" s="292">
        <v>1</v>
      </c>
      <c r="AI746" s="292"/>
      <c r="AJ746" s="292"/>
      <c r="AK746" s="292"/>
      <c r="AL746" s="293">
        <v>1</v>
      </c>
      <c r="AM746" s="293"/>
      <c r="AN746" s="294"/>
      <c r="AO746" s="293"/>
      <c r="AQ746" s="289" t="s">
        <v>2029</v>
      </c>
      <c r="AS746" s="44">
        <v>1</v>
      </c>
    </row>
    <row r="747" s="44" customFormat="1" spans="1:45">
      <c r="A747" s="44">
        <v>416005</v>
      </c>
      <c r="B747" s="288">
        <v>1001</v>
      </c>
      <c r="C747" s="288">
        <v>2</v>
      </c>
      <c r="D747" s="288">
        <v>1004</v>
      </c>
      <c r="E747" s="289" t="s">
        <v>2031</v>
      </c>
      <c r="F747" s="289" t="s">
        <v>2031</v>
      </c>
      <c r="G747" s="44" t="s">
        <v>2023</v>
      </c>
      <c r="H747" s="44" t="s">
        <v>2032</v>
      </c>
      <c r="I747" s="44">
        <v>1</v>
      </c>
      <c r="J747" s="44">
        <v>5</v>
      </c>
      <c r="K747" s="288">
        <v>1</v>
      </c>
      <c r="L747" s="8">
        <v>9999</v>
      </c>
      <c r="M747" s="288">
        <v>0</v>
      </c>
      <c r="N747" s="288"/>
      <c r="O747" s="290"/>
      <c r="S747" s="288">
        <v>1</v>
      </c>
      <c r="T747" s="288">
        <v>5</v>
      </c>
      <c r="U747" s="288">
        <v>200</v>
      </c>
      <c r="V747" s="288">
        <v>1</v>
      </c>
      <c r="W747" s="44">
        <v>1</v>
      </c>
      <c r="X747" s="288">
        <v>1</v>
      </c>
      <c r="Y747" s="44">
        <v>0</v>
      </c>
      <c r="Z747" s="44">
        <v>0</v>
      </c>
      <c r="AA747" s="44">
        <v>5</v>
      </c>
      <c r="AB747" s="44">
        <v>7600</v>
      </c>
      <c r="AC747" s="288">
        <v>821</v>
      </c>
      <c r="AD747" s="287">
        <v>0</v>
      </c>
      <c r="AE747" s="291">
        <v>0</v>
      </c>
      <c r="AF747" s="291">
        <v>0</v>
      </c>
      <c r="AG747" s="292"/>
      <c r="AH747" s="292">
        <v>1</v>
      </c>
      <c r="AI747" s="292"/>
      <c r="AJ747" s="292"/>
      <c r="AK747" s="292"/>
      <c r="AL747" s="293">
        <v>1</v>
      </c>
      <c r="AM747" s="293"/>
      <c r="AN747" s="294"/>
      <c r="AO747" s="293"/>
      <c r="AQ747" s="289" t="s">
        <v>2031</v>
      </c>
      <c r="AS747" s="44">
        <v>1</v>
      </c>
    </row>
    <row r="748" s="44" customFormat="1" spans="1:45">
      <c r="A748" s="44">
        <v>416006</v>
      </c>
      <c r="B748" s="288">
        <v>1001</v>
      </c>
      <c r="C748" s="288">
        <v>2</v>
      </c>
      <c r="D748" s="288">
        <v>1004</v>
      </c>
      <c r="E748" s="289" t="s">
        <v>2033</v>
      </c>
      <c r="F748" s="289" t="s">
        <v>2033</v>
      </c>
      <c r="G748" s="44" t="s">
        <v>2023</v>
      </c>
      <c r="H748" s="44" t="s">
        <v>2034</v>
      </c>
      <c r="I748" s="44">
        <v>1</v>
      </c>
      <c r="J748" s="44">
        <v>5</v>
      </c>
      <c r="K748" s="288">
        <v>1</v>
      </c>
      <c r="L748" s="8">
        <v>9999</v>
      </c>
      <c r="M748" s="288">
        <v>0</v>
      </c>
      <c r="N748" s="288"/>
      <c r="O748" s="290"/>
      <c r="S748" s="288">
        <v>1</v>
      </c>
      <c r="T748" s="288">
        <v>5</v>
      </c>
      <c r="U748" s="288">
        <v>200</v>
      </c>
      <c r="V748" s="288">
        <v>1</v>
      </c>
      <c r="W748" s="44">
        <v>1</v>
      </c>
      <c r="X748" s="288">
        <v>1</v>
      </c>
      <c r="Y748" s="44">
        <v>0</v>
      </c>
      <c r="Z748" s="44">
        <v>0</v>
      </c>
      <c r="AA748" s="44">
        <v>5</v>
      </c>
      <c r="AB748" s="44">
        <v>7600</v>
      </c>
      <c r="AC748" s="288">
        <v>821</v>
      </c>
      <c r="AD748" s="287">
        <v>0</v>
      </c>
      <c r="AE748" s="291">
        <v>0</v>
      </c>
      <c r="AF748" s="291">
        <v>0</v>
      </c>
      <c r="AG748" s="292"/>
      <c r="AH748" s="292">
        <v>1</v>
      </c>
      <c r="AI748" s="292"/>
      <c r="AJ748" s="292"/>
      <c r="AK748" s="292"/>
      <c r="AL748" s="293">
        <v>1</v>
      </c>
      <c r="AM748" s="293"/>
      <c r="AN748" s="294"/>
      <c r="AO748" s="293"/>
      <c r="AQ748" s="289" t="s">
        <v>2033</v>
      </c>
      <c r="AS748" s="44">
        <v>1</v>
      </c>
    </row>
    <row r="749" s="44" customFormat="1" spans="1:45">
      <c r="A749" s="44">
        <v>417001</v>
      </c>
      <c r="B749" s="288">
        <v>1001</v>
      </c>
      <c r="C749" s="288">
        <v>2</v>
      </c>
      <c r="D749" s="288">
        <v>1004</v>
      </c>
      <c r="E749" s="289" t="s">
        <v>2035</v>
      </c>
      <c r="F749" s="289" t="s">
        <v>2035</v>
      </c>
      <c r="G749" s="44" t="s">
        <v>2036</v>
      </c>
      <c r="H749" s="44" t="s">
        <v>2037</v>
      </c>
      <c r="I749" s="44">
        <v>1</v>
      </c>
      <c r="J749" s="44">
        <v>5</v>
      </c>
      <c r="K749" s="288">
        <v>1</v>
      </c>
      <c r="L749" s="8">
        <v>9999</v>
      </c>
      <c r="M749" s="288">
        <v>0</v>
      </c>
      <c r="N749" s="288"/>
      <c r="O749" s="290"/>
      <c r="S749" s="288">
        <v>1</v>
      </c>
      <c r="T749" s="288">
        <v>5</v>
      </c>
      <c r="U749" s="288">
        <v>200</v>
      </c>
      <c r="V749" s="288">
        <v>1</v>
      </c>
      <c r="W749" s="44">
        <v>1</v>
      </c>
      <c r="X749" s="288">
        <v>1</v>
      </c>
      <c r="Y749" s="44">
        <v>0</v>
      </c>
      <c r="Z749" s="44">
        <v>0</v>
      </c>
      <c r="AA749" s="44">
        <v>5</v>
      </c>
      <c r="AB749" s="44">
        <v>7600</v>
      </c>
      <c r="AC749" s="288">
        <v>821</v>
      </c>
      <c r="AD749" s="287">
        <v>0</v>
      </c>
      <c r="AE749" s="291">
        <v>0</v>
      </c>
      <c r="AF749" s="291">
        <v>0</v>
      </c>
      <c r="AG749" s="292"/>
      <c r="AH749" s="292">
        <v>1</v>
      </c>
      <c r="AI749" s="292"/>
      <c r="AJ749" s="292"/>
      <c r="AK749" s="292"/>
      <c r="AL749" s="293">
        <v>1</v>
      </c>
      <c r="AM749" s="293"/>
      <c r="AN749" s="294"/>
      <c r="AO749" s="293"/>
      <c r="AQ749" s="289" t="s">
        <v>2038</v>
      </c>
      <c r="AS749" s="44">
        <v>1</v>
      </c>
    </row>
    <row r="750" spans="1:45">
      <c r="A750" s="44">
        <v>412002</v>
      </c>
      <c r="B750" s="288">
        <v>1001</v>
      </c>
      <c r="C750" s="288">
        <v>2</v>
      </c>
      <c r="D750" s="288">
        <v>1004</v>
      </c>
      <c r="E750" s="304" t="s">
        <v>2035</v>
      </c>
      <c r="F750" s="289" t="s">
        <v>2035</v>
      </c>
      <c r="G750" s="44" t="s">
        <v>2036</v>
      </c>
      <c r="H750" s="44" t="s">
        <v>2039</v>
      </c>
      <c r="I750" s="44">
        <v>1</v>
      </c>
      <c r="J750" s="44">
        <v>5</v>
      </c>
      <c r="K750" s="288">
        <v>1</v>
      </c>
      <c r="L750" s="8">
        <v>9999</v>
      </c>
      <c r="M750" s="288">
        <v>0</v>
      </c>
      <c r="N750" s="288"/>
      <c r="O750" s="290"/>
      <c r="S750" s="288">
        <v>1</v>
      </c>
      <c r="T750" s="288">
        <v>5</v>
      </c>
      <c r="U750" s="288">
        <v>200</v>
      </c>
      <c r="V750" s="288">
        <v>1</v>
      </c>
      <c r="W750" s="44">
        <v>1</v>
      </c>
      <c r="X750" s="295">
        <v>1</v>
      </c>
      <c r="Y750" s="44">
        <v>0</v>
      </c>
      <c r="Z750" s="44">
        <v>0</v>
      </c>
      <c r="AA750" s="44">
        <v>5</v>
      </c>
      <c r="AB750" s="44">
        <v>7600</v>
      </c>
      <c r="AC750" s="288">
        <v>821</v>
      </c>
      <c r="AD750" s="287">
        <v>0</v>
      </c>
      <c r="AE750" s="291">
        <v>0</v>
      </c>
      <c r="AF750" s="296">
        <v>0</v>
      </c>
      <c r="AG750" s="292"/>
      <c r="AH750" s="292">
        <v>1</v>
      </c>
      <c r="AI750" s="292"/>
      <c r="AJ750" s="292"/>
      <c r="AK750" s="292"/>
      <c r="AL750" s="293">
        <v>1</v>
      </c>
      <c r="AM750" s="293"/>
      <c r="AN750" s="294"/>
      <c r="AO750" s="293"/>
      <c r="AQ750" s="304" t="s">
        <v>2040</v>
      </c>
      <c r="AS750" s="44">
        <v>1</v>
      </c>
    </row>
    <row r="751" spans="1:45">
      <c r="A751">
        <v>441001</v>
      </c>
      <c r="B751" s="8">
        <v>1001</v>
      </c>
      <c r="C751" s="8">
        <v>3</v>
      </c>
      <c r="D751" s="8">
        <v>1001</v>
      </c>
      <c r="E751" t="s">
        <v>2041</v>
      </c>
      <c r="F751" s="13" t="s">
        <v>2041</v>
      </c>
      <c r="G751" t="s">
        <v>2042</v>
      </c>
      <c r="H751" t="s">
        <v>2043</v>
      </c>
      <c r="I751">
        <v>1</v>
      </c>
      <c r="J751">
        <v>1</v>
      </c>
      <c r="K751" s="87">
        <v>2</v>
      </c>
      <c r="L751" s="8">
        <v>9999</v>
      </c>
      <c r="M751" s="8">
        <v>0</v>
      </c>
      <c r="N751" s="8">
        <v>1001</v>
      </c>
      <c r="O751" s="2">
        <v>0.2</v>
      </c>
      <c r="S751" s="89">
        <v>1</v>
      </c>
      <c r="T751" s="8">
        <v>5</v>
      </c>
      <c r="U751" s="89">
        <v>150</v>
      </c>
      <c r="V751" s="87">
        <v>0</v>
      </c>
      <c r="W751">
        <v>1</v>
      </c>
      <c r="X751">
        <v>1</v>
      </c>
      <c r="Y751">
        <v>0</v>
      </c>
      <c r="Z751" s="33">
        <v>2</v>
      </c>
      <c r="AA751">
        <v>5</v>
      </c>
      <c r="AB751" s="34">
        <v>2000</v>
      </c>
      <c r="AC751" s="87">
        <v>830</v>
      </c>
      <c r="AD751" s="62">
        <v>1</v>
      </c>
      <c r="AE751" s="250">
        <v>1</v>
      </c>
      <c r="AF751" s="62">
        <v>1</v>
      </c>
      <c r="AG751" s="91">
        <v>15</v>
      </c>
      <c r="AH751" s="91">
        <v>15</v>
      </c>
      <c r="AI751" s="91"/>
      <c r="AJ751" s="91"/>
      <c r="AK751" s="91"/>
      <c r="AL751" s="92">
        <v>1</v>
      </c>
      <c r="AM751" s="92"/>
      <c r="AN751" s="93"/>
      <c r="AO751" s="92" t="s">
        <v>2044</v>
      </c>
      <c r="AQ751" s="305" t="s">
        <v>2045</v>
      </c>
      <c r="AS751">
        <v>1</v>
      </c>
    </row>
    <row r="752" spans="1:45">
      <c r="A752">
        <v>441003</v>
      </c>
      <c r="B752" s="8">
        <v>1001</v>
      </c>
      <c r="C752" s="8">
        <v>3</v>
      </c>
      <c r="D752" s="8">
        <v>1001</v>
      </c>
      <c r="E752" t="s">
        <v>2046</v>
      </c>
      <c r="F752" s="13" t="s">
        <v>2046</v>
      </c>
      <c r="G752" t="s">
        <v>2047</v>
      </c>
      <c r="H752" t="s">
        <v>2048</v>
      </c>
      <c r="I752">
        <v>1</v>
      </c>
      <c r="J752">
        <v>1</v>
      </c>
      <c r="K752" s="87">
        <v>2</v>
      </c>
      <c r="L752" s="8">
        <v>9999</v>
      </c>
      <c r="M752" s="8">
        <v>0</v>
      </c>
      <c r="N752" s="8">
        <v>1001</v>
      </c>
      <c r="O752" s="2">
        <v>0.5</v>
      </c>
      <c r="S752" s="89">
        <v>1</v>
      </c>
      <c r="T752" s="8">
        <v>5</v>
      </c>
      <c r="U752" s="89">
        <v>210</v>
      </c>
      <c r="V752" s="87">
        <v>0</v>
      </c>
      <c r="W752">
        <v>1</v>
      </c>
      <c r="X752">
        <v>1</v>
      </c>
      <c r="Y752">
        <v>0</v>
      </c>
      <c r="Z752" s="33">
        <v>2</v>
      </c>
      <c r="AA752">
        <v>5</v>
      </c>
      <c r="AB752" s="34">
        <v>3000</v>
      </c>
      <c r="AC752" s="87">
        <v>830</v>
      </c>
      <c r="AD752" s="62">
        <v>1</v>
      </c>
      <c r="AE752" s="62">
        <v>1</v>
      </c>
      <c r="AF752" s="62">
        <v>1</v>
      </c>
      <c r="AG752" s="91">
        <v>15</v>
      </c>
      <c r="AH752" s="91">
        <v>15</v>
      </c>
      <c r="AI752" s="91"/>
      <c r="AJ752" s="91"/>
      <c r="AK752" s="91"/>
      <c r="AL752" s="92">
        <v>1</v>
      </c>
      <c r="AM752" s="92"/>
      <c r="AN752" s="93"/>
      <c r="AO752" s="92" t="s">
        <v>2044</v>
      </c>
      <c r="AQ752" s="305" t="s">
        <v>2049</v>
      </c>
      <c r="AS752">
        <v>1</v>
      </c>
    </row>
    <row r="753" spans="1:45">
      <c r="A753">
        <v>441004</v>
      </c>
      <c r="B753" s="8">
        <v>1001</v>
      </c>
      <c r="C753" s="8">
        <v>3</v>
      </c>
      <c r="D753" s="8">
        <v>1001</v>
      </c>
      <c r="E753" t="s">
        <v>2050</v>
      </c>
      <c r="F753" s="13" t="s">
        <v>2050</v>
      </c>
      <c r="G753" t="s">
        <v>2051</v>
      </c>
      <c r="H753" t="s">
        <v>2052</v>
      </c>
      <c r="I753">
        <v>1</v>
      </c>
      <c r="J753">
        <v>1</v>
      </c>
      <c r="K753" s="87">
        <v>2</v>
      </c>
      <c r="L753" s="8">
        <v>9999</v>
      </c>
      <c r="M753" s="8">
        <v>0</v>
      </c>
      <c r="N753" s="8">
        <v>1001</v>
      </c>
      <c r="O753" s="2">
        <v>0.8</v>
      </c>
      <c r="S753" s="89">
        <v>1</v>
      </c>
      <c r="T753" s="8">
        <v>5</v>
      </c>
      <c r="U753" s="89">
        <v>240</v>
      </c>
      <c r="V753" s="87">
        <v>0</v>
      </c>
      <c r="W753">
        <v>1</v>
      </c>
      <c r="X753">
        <v>1</v>
      </c>
      <c r="Y753">
        <v>0</v>
      </c>
      <c r="Z753" s="33">
        <v>2</v>
      </c>
      <c r="AA753">
        <v>5</v>
      </c>
      <c r="AB753" s="34">
        <v>3500</v>
      </c>
      <c r="AC753" s="87">
        <v>830</v>
      </c>
      <c r="AD753" s="62">
        <v>1</v>
      </c>
      <c r="AE753" s="62">
        <v>1</v>
      </c>
      <c r="AF753" s="62">
        <v>1</v>
      </c>
      <c r="AG753" s="91">
        <v>15</v>
      </c>
      <c r="AH753" s="91">
        <v>15</v>
      </c>
      <c r="AI753" s="91"/>
      <c r="AJ753" s="91"/>
      <c r="AK753" s="91"/>
      <c r="AL753" s="92">
        <v>1</v>
      </c>
      <c r="AM753" s="92"/>
      <c r="AN753" s="93"/>
      <c r="AO753" s="92" t="s">
        <v>2044</v>
      </c>
      <c r="AQ753" s="305" t="s">
        <v>2046</v>
      </c>
      <c r="AS753">
        <v>1</v>
      </c>
    </row>
    <row r="754" ht="14.25" customHeight="1" spans="1:45">
      <c r="A754">
        <v>441005</v>
      </c>
      <c r="B754" s="8">
        <v>1001</v>
      </c>
      <c r="C754" s="8">
        <v>3</v>
      </c>
      <c r="D754" s="8">
        <v>1001</v>
      </c>
      <c r="E754" t="s">
        <v>2053</v>
      </c>
      <c r="F754" s="13" t="s">
        <v>2053</v>
      </c>
      <c r="G754" t="s">
        <v>2054</v>
      </c>
      <c r="H754" t="s">
        <v>2055</v>
      </c>
      <c r="I754">
        <v>1</v>
      </c>
      <c r="J754">
        <v>1</v>
      </c>
      <c r="K754" s="87">
        <v>2</v>
      </c>
      <c r="L754" s="8">
        <v>9999</v>
      </c>
      <c r="M754" s="8">
        <v>0</v>
      </c>
      <c r="N754" s="8">
        <v>1001</v>
      </c>
      <c r="O754" s="2">
        <v>1</v>
      </c>
      <c r="S754" s="89">
        <v>1</v>
      </c>
      <c r="T754" s="8">
        <v>5</v>
      </c>
      <c r="U754" s="89">
        <v>270</v>
      </c>
      <c r="V754" s="87">
        <v>0</v>
      </c>
      <c r="W754">
        <v>1</v>
      </c>
      <c r="X754">
        <v>1</v>
      </c>
      <c r="Y754">
        <v>0</v>
      </c>
      <c r="Z754" s="33">
        <v>2</v>
      </c>
      <c r="AA754">
        <v>5</v>
      </c>
      <c r="AB754" s="34">
        <v>4000</v>
      </c>
      <c r="AC754" s="87">
        <v>830</v>
      </c>
      <c r="AD754" s="62">
        <v>1</v>
      </c>
      <c r="AE754" s="62">
        <v>1</v>
      </c>
      <c r="AF754" s="62">
        <v>1</v>
      </c>
      <c r="AG754" s="91">
        <v>15</v>
      </c>
      <c r="AH754" s="91">
        <v>15</v>
      </c>
      <c r="AI754" s="91"/>
      <c r="AJ754" s="91"/>
      <c r="AK754" s="91"/>
      <c r="AL754" s="92">
        <v>1</v>
      </c>
      <c r="AM754" s="92"/>
      <c r="AN754" s="93"/>
      <c r="AO754" s="92" t="s">
        <v>2044</v>
      </c>
      <c r="AQ754" s="305" t="s">
        <v>2056</v>
      </c>
      <c r="AS754">
        <v>1</v>
      </c>
    </row>
    <row r="755" ht="14.25" customHeight="1" spans="1:45">
      <c r="A755">
        <v>491001</v>
      </c>
      <c r="B755" s="8">
        <v>1001</v>
      </c>
      <c r="C755" s="8">
        <v>3</v>
      </c>
      <c r="D755" s="8">
        <v>1001</v>
      </c>
      <c r="E755" t="s">
        <v>2057</v>
      </c>
      <c r="F755" s="13" t="s">
        <v>2057</v>
      </c>
      <c r="G755" t="s">
        <v>2058</v>
      </c>
      <c r="H755" t="s">
        <v>2059</v>
      </c>
      <c r="I755">
        <v>1</v>
      </c>
      <c r="J755">
        <v>1</v>
      </c>
      <c r="K755" s="87">
        <v>2</v>
      </c>
      <c r="L755" s="8">
        <v>9999</v>
      </c>
      <c r="M755" s="8">
        <v>0</v>
      </c>
      <c r="N755" s="8">
        <v>1022</v>
      </c>
      <c r="O755" s="306">
        <v>30038</v>
      </c>
      <c r="S755" s="89">
        <v>1</v>
      </c>
      <c r="T755" s="8">
        <v>5</v>
      </c>
      <c r="U755" s="89">
        <v>500</v>
      </c>
      <c r="V755" s="87">
        <v>0</v>
      </c>
      <c r="W755">
        <v>1</v>
      </c>
      <c r="X755">
        <v>1</v>
      </c>
      <c r="Y755">
        <v>0</v>
      </c>
      <c r="Z755" s="33">
        <v>2</v>
      </c>
      <c r="AA755">
        <v>5</v>
      </c>
      <c r="AB755" s="34">
        <v>5000</v>
      </c>
      <c r="AC755" s="87">
        <v>840</v>
      </c>
      <c r="AD755" s="62">
        <v>0</v>
      </c>
      <c r="AE755" s="62">
        <v>2</v>
      </c>
      <c r="AF755" s="62">
        <v>1</v>
      </c>
      <c r="AG755" s="91">
        <v>1</v>
      </c>
      <c r="AH755" s="91">
        <v>1</v>
      </c>
      <c r="AI755" s="91"/>
      <c r="AJ755" s="91"/>
      <c r="AK755" s="91"/>
      <c r="AL755" s="92">
        <v>1</v>
      </c>
      <c r="AM755" s="92"/>
      <c r="AN755" s="93"/>
      <c r="AO755" s="92" t="s">
        <v>2060</v>
      </c>
      <c r="AQ755" s="305" t="s">
        <v>2061</v>
      </c>
      <c r="AS755">
        <v>1</v>
      </c>
    </row>
    <row r="756" ht="14.25" customHeight="1" spans="1:45">
      <c r="A756">
        <v>491002</v>
      </c>
      <c r="B756" s="8">
        <v>1001</v>
      </c>
      <c r="C756" s="8">
        <v>3</v>
      </c>
      <c r="D756" s="8">
        <v>1001</v>
      </c>
      <c r="E756" t="s">
        <v>2062</v>
      </c>
      <c r="F756" s="13" t="s">
        <v>2062</v>
      </c>
      <c r="G756" t="s">
        <v>2063</v>
      </c>
      <c r="H756" t="s">
        <v>2064</v>
      </c>
      <c r="I756">
        <v>1</v>
      </c>
      <c r="J756">
        <v>1</v>
      </c>
      <c r="K756" s="87">
        <v>2</v>
      </c>
      <c r="L756" s="8">
        <v>9999</v>
      </c>
      <c r="M756" s="8">
        <v>0</v>
      </c>
      <c r="N756" s="8">
        <v>1022</v>
      </c>
      <c r="O756" s="306">
        <v>30073</v>
      </c>
      <c r="S756" s="89">
        <v>1</v>
      </c>
      <c r="T756" s="8">
        <v>5</v>
      </c>
      <c r="U756" s="89">
        <v>500</v>
      </c>
      <c r="V756" s="87">
        <v>0</v>
      </c>
      <c r="W756">
        <v>1</v>
      </c>
      <c r="X756">
        <v>1</v>
      </c>
      <c r="Y756">
        <v>0</v>
      </c>
      <c r="Z756" s="33">
        <v>2</v>
      </c>
      <c r="AA756">
        <v>5</v>
      </c>
      <c r="AB756" s="34">
        <v>5000</v>
      </c>
      <c r="AC756" s="87">
        <v>840</v>
      </c>
      <c r="AD756" s="62">
        <v>0</v>
      </c>
      <c r="AE756" s="62">
        <v>2</v>
      </c>
      <c r="AF756" s="62">
        <v>1</v>
      </c>
      <c r="AG756" s="91">
        <v>1</v>
      </c>
      <c r="AH756" s="91">
        <v>1</v>
      </c>
      <c r="AI756" s="91"/>
      <c r="AJ756" s="91"/>
      <c r="AK756" s="91"/>
      <c r="AL756" s="92">
        <v>1</v>
      </c>
      <c r="AM756" s="92"/>
      <c r="AN756" s="93"/>
      <c r="AO756" s="92" t="s">
        <v>2060</v>
      </c>
      <c r="AQ756" s="305" t="s">
        <v>2065</v>
      </c>
      <c r="AS756">
        <v>1</v>
      </c>
    </row>
    <row r="757" ht="14.25" customHeight="1" spans="1:45">
      <c r="A757">
        <v>491003</v>
      </c>
      <c r="B757" s="8">
        <v>1001</v>
      </c>
      <c r="C757" s="8">
        <v>3</v>
      </c>
      <c r="D757" s="8">
        <v>1001</v>
      </c>
      <c r="E757" t="s">
        <v>2066</v>
      </c>
      <c r="F757" s="13" t="s">
        <v>2066</v>
      </c>
      <c r="G757" t="s">
        <v>2067</v>
      </c>
      <c r="H757" t="s">
        <v>2068</v>
      </c>
      <c r="I757">
        <v>1</v>
      </c>
      <c r="J757">
        <v>1</v>
      </c>
      <c r="K757" s="87">
        <v>2</v>
      </c>
      <c r="L757" s="8">
        <v>9999</v>
      </c>
      <c r="M757" s="8">
        <v>0</v>
      </c>
      <c r="N757" s="8">
        <v>1022</v>
      </c>
      <c r="O757" s="306">
        <v>30035</v>
      </c>
      <c r="S757" s="89">
        <v>1</v>
      </c>
      <c r="T757" s="8">
        <v>5</v>
      </c>
      <c r="U757" s="89">
        <v>500</v>
      </c>
      <c r="V757" s="87">
        <v>0</v>
      </c>
      <c r="W757">
        <v>1</v>
      </c>
      <c r="X757">
        <v>1</v>
      </c>
      <c r="Y757">
        <v>0</v>
      </c>
      <c r="Z757" s="33">
        <v>2</v>
      </c>
      <c r="AA757">
        <v>5</v>
      </c>
      <c r="AB757" s="34">
        <v>5000</v>
      </c>
      <c r="AC757" s="87">
        <v>840</v>
      </c>
      <c r="AD757" s="62">
        <v>0</v>
      </c>
      <c r="AE757" s="62">
        <v>2</v>
      </c>
      <c r="AF757" s="62">
        <v>1</v>
      </c>
      <c r="AG757" s="91">
        <v>1</v>
      </c>
      <c r="AH757" s="91">
        <v>1</v>
      </c>
      <c r="AI757" s="91"/>
      <c r="AJ757" s="91"/>
      <c r="AK757" s="91"/>
      <c r="AL757" s="92">
        <v>1</v>
      </c>
      <c r="AM757" s="92"/>
      <c r="AN757" s="93"/>
      <c r="AO757" s="92" t="s">
        <v>2060</v>
      </c>
      <c r="AQ757" s="305" t="s">
        <v>2069</v>
      </c>
      <c r="AS757">
        <v>1</v>
      </c>
    </row>
    <row r="758" ht="14.25" customHeight="1" spans="1:45">
      <c r="A758">
        <v>491004</v>
      </c>
      <c r="B758" s="8">
        <v>1001</v>
      </c>
      <c r="C758" s="8">
        <v>3</v>
      </c>
      <c r="D758" s="8">
        <v>1001</v>
      </c>
      <c r="E758" t="s">
        <v>2070</v>
      </c>
      <c r="F758" s="13" t="s">
        <v>2071</v>
      </c>
      <c r="G758" t="s">
        <v>2072</v>
      </c>
      <c r="H758" t="s">
        <v>2073</v>
      </c>
      <c r="I758">
        <v>1</v>
      </c>
      <c r="J758">
        <v>1</v>
      </c>
      <c r="K758" s="87">
        <v>2</v>
      </c>
      <c r="L758" s="8">
        <v>9999</v>
      </c>
      <c r="M758" s="8">
        <v>0</v>
      </c>
      <c r="N758" s="8">
        <v>1022</v>
      </c>
      <c r="O758" s="306">
        <v>30034</v>
      </c>
      <c r="S758" s="89">
        <v>1</v>
      </c>
      <c r="T758" s="8">
        <v>5</v>
      </c>
      <c r="U758" s="89">
        <v>500</v>
      </c>
      <c r="V758" s="87">
        <v>0</v>
      </c>
      <c r="W758">
        <v>1</v>
      </c>
      <c r="X758">
        <v>1</v>
      </c>
      <c r="Y758">
        <v>0</v>
      </c>
      <c r="Z758" s="33">
        <v>2</v>
      </c>
      <c r="AA758">
        <v>5</v>
      </c>
      <c r="AB758" s="34">
        <v>5000</v>
      </c>
      <c r="AC758" s="87">
        <v>840</v>
      </c>
      <c r="AD758" s="62">
        <v>0</v>
      </c>
      <c r="AE758" s="62">
        <v>2</v>
      </c>
      <c r="AF758" s="62">
        <v>1</v>
      </c>
      <c r="AG758" s="91">
        <v>1</v>
      </c>
      <c r="AH758" s="91">
        <v>1</v>
      </c>
      <c r="AI758" s="91"/>
      <c r="AJ758" s="91"/>
      <c r="AK758" s="91"/>
      <c r="AL758" s="92">
        <v>1</v>
      </c>
      <c r="AM758" s="92"/>
      <c r="AN758" s="93"/>
      <c r="AO758" s="92" t="s">
        <v>2060</v>
      </c>
      <c r="AQ758" s="305" t="s">
        <v>2074</v>
      </c>
      <c r="AS758">
        <v>1</v>
      </c>
    </row>
    <row r="759" ht="14.25" customHeight="1" spans="1:45">
      <c r="A759">
        <v>491005</v>
      </c>
      <c r="B759" s="8">
        <v>1001</v>
      </c>
      <c r="C759" s="8">
        <v>3</v>
      </c>
      <c r="D759" s="8">
        <v>1001</v>
      </c>
      <c r="E759" t="s">
        <v>2075</v>
      </c>
      <c r="F759" s="13" t="s">
        <v>2075</v>
      </c>
      <c r="G759" t="s">
        <v>2076</v>
      </c>
      <c r="H759" t="s">
        <v>2077</v>
      </c>
      <c r="I759">
        <v>1</v>
      </c>
      <c r="J759">
        <v>1</v>
      </c>
      <c r="K759" s="87">
        <v>2</v>
      </c>
      <c r="L759" s="8">
        <v>9999</v>
      </c>
      <c r="M759" s="8">
        <v>0</v>
      </c>
      <c r="N759" s="8">
        <v>1022</v>
      </c>
      <c r="O759" s="306">
        <v>30037</v>
      </c>
      <c r="S759" s="89">
        <v>1</v>
      </c>
      <c r="T759" s="8">
        <v>5</v>
      </c>
      <c r="U759" s="89">
        <v>500</v>
      </c>
      <c r="V759" s="87">
        <v>0</v>
      </c>
      <c r="W759">
        <v>1</v>
      </c>
      <c r="X759">
        <v>1</v>
      </c>
      <c r="Y759">
        <v>0</v>
      </c>
      <c r="Z759" s="33">
        <v>2</v>
      </c>
      <c r="AA759">
        <v>5</v>
      </c>
      <c r="AB759" s="34">
        <v>5000</v>
      </c>
      <c r="AC759" s="87">
        <v>840</v>
      </c>
      <c r="AD759" s="62">
        <v>0</v>
      </c>
      <c r="AE759" s="62">
        <v>2</v>
      </c>
      <c r="AF759" s="62">
        <v>1</v>
      </c>
      <c r="AG759" s="91">
        <v>1</v>
      </c>
      <c r="AH759" s="91">
        <v>1</v>
      </c>
      <c r="AI759" s="91"/>
      <c r="AJ759" s="91"/>
      <c r="AK759" s="91"/>
      <c r="AL759" s="92">
        <v>1</v>
      </c>
      <c r="AM759" s="92"/>
      <c r="AN759" s="93"/>
      <c r="AO759" s="92" t="s">
        <v>2060</v>
      </c>
      <c r="AQ759" s="305" t="s">
        <v>2078</v>
      </c>
      <c r="AS759">
        <v>1</v>
      </c>
    </row>
    <row r="760" ht="14.25" customHeight="1" spans="1:45">
      <c r="A760">
        <v>491006</v>
      </c>
      <c r="B760" s="8">
        <v>1001</v>
      </c>
      <c r="C760" s="8">
        <v>3</v>
      </c>
      <c r="D760" s="8">
        <v>1001</v>
      </c>
      <c r="E760" t="s">
        <v>2079</v>
      </c>
      <c r="F760" s="13" t="s">
        <v>2079</v>
      </c>
      <c r="G760" t="s">
        <v>2080</v>
      </c>
      <c r="H760" t="s">
        <v>2081</v>
      </c>
      <c r="I760">
        <v>1</v>
      </c>
      <c r="J760">
        <v>1</v>
      </c>
      <c r="K760" s="87">
        <v>2</v>
      </c>
      <c r="L760" s="8">
        <v>9999</v>
      </c>
      <c r="M760" s="8">
        <v>0</v>
      </c>
      <c r="N760" s="8">
        <v>1022</v>
      </c>
      <c r="O760" s="306">
        <v>30036</v>
      </c>
      <c r="S760" s="89">
        <v>1</v>
      </c>
      <c r="T760" s="8">
        <v>5</v>
      </c>
      <c r="U760" s="89">
        <v>500</v>
      </c>
      <c r="V760" s="87">
        <v>0</v>
      </c>
      <c r="W760">
        <v>1</v>
      </c>
      <c r="X760">
        <v>1</v>
      </c>
      <c r="Y760">
        <v>0</v>
      </c>
      <c r="Z760" s="33">
        <v>2</v>
      </c>
      <c r="AA760">
        <v>5</v>
      </c>
      <c r="AB760" s="34">
        <v>5000</v>
      </c>
      <c r="AC760" s="87">
        <v>840</v>
      </c>
      <c r="AD760" s="62">
        <v>0</v>
      </c>
      <c r="AE760" s="62">
        <v>2</v>
      </c>
      <c r="AF760" s="62">
        <v>1</v>
      </c>
      <c r="AG760" s="91">
        <v>1</v>
      </c>
      <c r="AH760" s="91">
        <v>1</v>
      </c>
      <c r="AI760" s="91"/>
      <c r="AJ760" s="91"/>
      <c r="AK760" s="91"/>
      <c r="AL760" s="92">
        <v>1</v>
      </c>
      <c r="AM760" s="92"/>
      <c r="AN760" s="93"/>
      <c r="AO760" s="92" t="s">
        <v>2060</v>
      </c>
      <c r="AQ760" s="305" t="s">
        <v>2082</v>
      </c>
      <c r="AS760">
        <v>1</v>
      </c>
    </row>
    <row r="761" ht="14.25" customHeight="1" spans="1:45">
      <c r="A761">
        <v>491007</v>
      </c>
      <c r="B761" s="8">
        <v>1001</v>
      </c>
      <c r="C761" s="8">
        <v>3</v>
      </c>
      <c r="D761" s="8">
        <v>1001</v>
      </c>
      <c r="E761" t="s">
        <v>2083</v>
      </c>
      <c r="F761" s="13" t="s">
        <v>2083</v>
      </c>
      <c r="G761" t="s">
        <v>2084</v>
      </c>
      <c r="H761" t="s">
        <v>2085</v>
      </c>
      <c r="I761">
        <v>1</v>
      </c>
      <c r="J761">
        <v>1</v>
      </c>
      <c r="K761" s="87">
        <v>2</v>
      </c>
      <c r="L761" s="8">
        <v>9999</v>
      </c>
      <c r="M761" s="8">
        <v>0</v>
      </c>
      <c r="N761" s="8">
        <v>1022</v>
      </c>
      <c r="O761" s="306">
        <v>30040</v>
      </c>
      <c r="S761" s="89">
        <v>1</v>
      </c>
      <c r="T761" s="8">
        <v>5</v>
      </c>
      <c r="U761" s="89">
        <v>500</v>
      </c>
      <c r="V761" s="87">
        <v>0</v>
      </c>
      <c r="W761">
        <v>1</v>
      </c>
      <c r="X761">
        <v>1</v>
      </c>
      <c r="Y761">
        <v>0</v>
      </c>
      <c r="Z761" s="33">
        <v>2</v>
      </c>
      <c r="AA761">
        <v>5</v>
      </c>
      <c r="AB761" s="34">
        <v>5000</v>
      </c>
      <c r="AC761" s="87">
        <v>840</v>
      </c>
      <c r="AD761" s="62">
        <v>0</v>
      </c>
      <c r="AE761" s="62">
        <v>2</v>
      </c>
      <c r="AF761" s="62">
        <v>1</v>
      </c>
      <c r="AG761" s="91">
        <v>1</v>
      </c>
      <c r="AH761" s="91">
        <v>1</v>
      </c>
      <c r="AI761" s="91"/>
      <c r="AJ761" s="91"/>
      <c r="AK761" s="91"/>
      <c r="AL761" s="92">
        <v>1</v>
      </c>
      <c r="AM761" s="92"/>
      <c r="AN761" s="93"/>
      <c r="AO761" s="92" t="s">
        <v>2060</v>
      </c>
      <c r="AQ761" s="305" t="s">
        <v>2086</v>
      </c>
      <c r="AS761">
        <v>1</v>
      </c>
    </row>
    <row r="762" ht="14.25" customHeight="1" spans="1:45">
      <c r="A762">
        <v>491008</v>
      </c>
      <c r="B762" s="8">
        <v>1001</v>
      </c>
      <c r="C762" s="8">
        <v>3</v>
      </c>
      <c r="D762" s="8">
        <v>1001</v>
      </c>
      <c r="E762" t="s">
        <v>2087</v>
      </c>
      <c r="F762" s="13" t="s">
        <v>2087</v>
      </c>
      <c r="G762" t="s">
        <v>2088</v>
      </c>
      <c r="H762" t="s">
        <v>2089</v>
      </c>
      <c r="I762">
        <v>1</v>
      </c>
      <c r="J762">
        <v>1</v>
      </c>
      <c r="K762" s="87">
        <v>2</v>
      </c>
      <c r="L762" s="8">
        <v>9999</v>
      </c>
      <c r="M762" s="8">
        <v>0</v>
      </c>
      <c r="N762" s="8">
        <v>1022</v>
      </c>
      <c r="O762" s="306">
        <v>30041</v>
      </c>
      <c r="S762" s="89">
        <v>1</v>
      </c>
      <c r="T762" s="8">
        <v>5</v>
      </c>
      <c r="U762" s="89">
        <v>500</v>
      </c>
      <c r="V762" s="87">
        <v>0</v>
      </c>
      <c r="W762">
        <v>1</v>
      </c>
      <c r="X762">
        <v>1</v>
      </c>
      <c r="Y762">
        <v>0</v>
      </c>
      <c r="Z762" s="33">
        <v>2</v>
      </c>
      <c r="AA762">
        <v>5</v>
      </c>
      <c r="AB762" s="34">
        <v>5000</v>
      </c>
      <c r="AC762" s="87">
        <v>840</v>
      </c>
      <c r="AD762" s="62">
        <v>0</v>
      </c>
      <c r="AE762" s="62">
        <v>2</v>
      </c>
      <c r="AF762" s="62">
        <v>1</v>
      </c>
      <c r="AG762" s="91">
        <v>1</v>
      </c>
      <c r="AH762" s="91">
        <v>1</v>
      </c>
      <c r="AI762" s="91"/>
      <c r="AJ762" s="91"/>
      <c r="AK762" s="91"/>
      <c r="AL762" s="92">
        <v>1</v>
      </c>
      <c r="AM762" s="92"/>
      <c r="AN762" s="93"/>
      <c r="AO762" s="92" t="s">
        <v>2060</v>
      </c>
      <c r="AQ762" s="305" t="s">
        <v>2090</v>
      </c>
      <c r="AS762">
        <v>1</v>
      </c>
    </row>
    <row r="763" spans="1:45">
      <c r="A763">
        <v>491009</v>
      </c>
      <c r="B763" s="8">
        <v>1001</v>
      </c>
      <c r="C763" s="8">
        <v>3</v>
      </c>
      <c r="D763" s="8">
        <v>1001</v>
      </c>
      <c r="E763" t="s">
        <v>2091</v>
      </c>
      <c r="F763" s="13" t="s">
        <v>2091</v>
      </c>
      <c r="G763" t="s">
        <v>2092</v>
      </c>
      <c r="H763" t="s">
        <v>2093</v>
      </c>
      <c r="I763">
        <v>1</v>
      </c>
      <c r="J763">
        <v>1</v>
      </c>
      <c r="K763" s="87">
        <v>2</v>
      </c>
      <c r="L763" s="8">
        <v>9999</v>
      </c>
      <c r="M763" s="8">
        <v>0</v>
      </c>
      <c r="N763" s="8"/>
      <c r="S763" s="89">
        <v>1</v>
      </c>
      <c r="T763" s="8">
        <v>5</v>
      </c>
      <c r="U763" s="89">
        <v>500</v>
      </c>
      <c r="V763" s="87">
        <v>0</v>
      </c>
      <c r="W763">
        <v>1</v>
      </c>
      <c r="X763">
        <v>1</v>
      </c>
      <c r="Y763">
        <v>0</v>
      </c>
      <c r="Z763" s="33">
        <v>2</v>
      </c>
      <c r="AA763">
        <v>5</v>
      </c>
      <c r="AB763" s="34">
        <v>5000</v>
      </c>
      <c r="AC763" s="87">
        <v>840</v>
      </c>
      <c r="AD763" s="62">
        <v>0</v>
      </c>
      <c r="AE763" s="62">
        <v>2</v>
      </c>
      <c r="AF763" s="62">
        <v>1</v>
      </c>
      <c r="AG763" s="91">
        <v>1</v>
      </c>
      <c r="AH763" s="91">
        <v>1</v>
      </c>
      <c r="AI763" s="91"/>
      <c r="AJ763" s="91"/>
      <c r="AK763" s="91"/>
      <c r="AL763" s="92">
        <v>1</v>
      </c>
      <c r="AM763" s="92"/>
      <c r="AN763" s="93"/>
      <c r="AO763" s="92" t="s">
        <v>2094</v>
      </c>
      <c r="AQ763" s="305" t="s">
        <v>2095</v>
      </c>
      <c r="AS763">
        <v>1</v>
      </c>
    </row>
    <row r="764" spans="1:45">
      <c r="A764">
        <v>491011</v>
      </c>
      <c r="B764" s="8">
        <v>1001</v>
      </c>
      <c r="C764" s="8">
        <v>3</v>
      </c>
      <c r="D764" s="8">
        <v>1001</v>
      </c>
      <c r="E764" t="s">
        <v>2096</v>
      </c>
      <c r="F764" s="13" t="s">
        <v>2096</v>
      </c>
      <c r="G764" t="s">
        <v>2097</v>
      </c>
      <c r="H764" t="s">
        <v>2098</v>
      </c>
      <c r="I764">
        <v>1</v>
      </c>
      <c r="J764">
        <v>1</v>
      </c>
      <c r="K764" s="87">
        <v>2</v>
      </c>
      <c r="L764" s="8">
        <v>9999</v>
      </c>
      <c r="M764" s="8">
        <v>0</v>
      </c>
      <c r="N764" s="8"/>
      <c r="S764" s="89">
        <v>1</v>
      </c>
      <c r="T764" s="8">
        <v>5</v>
      </c>
      <c r="U764" s="89">
        <v>500</v>
      </c>
      <c r="V764" s="87">
        <v>0</v>
      </c>
      <c r="W764">
        <v>1</v>
      </c>
      <c r="X764">
        <v>1</v>
      </c>
      <c r="Y764">
        <v>0</v>
      </c>
      <c r="Z764" s="33">
        <v>2</v>
      </c>
      <c r="AA764">
        <v>5</v>
      </c>
      <c r="AB764" s="34">
        <v>5000</v>
      </c>
      <c r="AC764" s="87">
        <v>840</v>
      </c>
      <c r="AD764" s="62">
        <v>0</v>
      </c>
      <c r="AE764" s="62">
        <v>2</v>
      </c>
      <c r="AF764" s="62">
        <v>1</v>
      </c>
      <c r="AG764" s="91">
        <v>1</v>
      </c>
      <c r="AH764" s="91">
        <v>1</v>
      </c>
      <c r="AI764" s="91"/>
      <c r="AJ764" s="91"/>
      <c r="AK764" s="91"/>
      <c r="AL764" s="92">
        <v>1</v>
      </c>
      <c r="AM764" s="92"/>
      <c r="AN764" s="93"/>
      <c r="AO764" s="92" t="s">
        <v>2094</v>
      </c>
      <c r="AQ764" s="305" t="s">
        <v>2099</v>
      </c>
      <c r="AS764">
        <v>1</v>
      </c>
    </row>
    <row r="765" spans="1:45">
      <c r="A765">
        <v>491012</v>
      </c>
      <c r="B765" s="8">
        <v>1001</v>
      </c>
      <c r="C765" s="8">
        <v>3</v>
      </c>
      <c r="D765" s="8">
        <v>1001</v>
      </c>
      <c r="E765" t="s">
        <v>2100</v>
      </c>
      <c r="F765" s="13" t="s">
        <v>2100</v>
      </c>
      <c r="G765" t="s">
        <v>2101</v>
      </c>
      <c r="H765" t="s">
        <v>2102</v>
      </c>
      <c r="I765">
        <v>1</v>
      </c>
      <c r="J765">
        <v>1</v>
      </c>
      <c r="K765" s="87">
        <v>2</v>
      </c>
      <c r="L765" s="8">
        <v>9999</v>
      </c>
      <c r="M765" s="8">
        <v>0</v>
      </c>
      <c r="N765" s="8"/>
      <c r="S765" s="89">
        <v>1</v>
      </c>
      <c r="T765" s="8">
        <v>5</v>
      </c>
      <c r="U765" s="89">
        <v>500</v>
      </c>
      <c r="V765" s="87">
        <v>0</v>
      </c>
      <c r="W765">
        <v>1</v>
      </c>
      <c r="X765">
        <v>1</v>
      </c>
      <c r="Y765">
        <v>0</v>
      </c>
      <c r="Z765" s="33">
        <v>2</v>
      </c>
      <c r="AA765">
        <v>5</v>
      </c>
      <c r="AB765" s="34">
        <v>5000</v>
      </c>
      <c r="AC765" s="87">
        <v>840</v>
      </c>
      <c r="AD765" s="62">
        <v>0</v>
      </c>
      <c r="AE765" s="62">
        <v>2</v>
      </c>
      <c r="AF765" s="62">
        <v>1</v>
      </c>
      <c r="AG765" s="91">
        <v>1</v>
      </c>
      <c r="AH765" s="91">
        <v>1</v>
      </c>
      <c r="AI765" s="91"/>
      <c r="AJ765" s="91"/>
      <c r="AK765" s="91"/>
      <c r="AL765" s="92">
        <v>1</v>
      </c>
      <c r="AM765" s="92"/>
      <c r="AN765" s="93"/>
      <c r="AO765" s="92" t="s">
        <v>2094</v>
      </c>
      <c r="AQ765" s="305" t="s">
        <v>2103</v>
      </c>
      <c r="AS765">
        <v>1</v>
      </c>
    </row>
    <row r="766" spans="1:45">
      <c r="A766">
        <v>491013</v>
      </c>
      <c r="B766" s="8">
        <v>1001</v>
      </c>
      <c r="C766" s="8">
        <v>3</v>
      </c>
      <c r="D766" s="8">
        <v>1001</v>
      </c>
      <c r="E766" t="s">
        <v>2104</v>
      </c>
      <c r="F766" s="13" t="s">
        <v>2104</v>
      </c>
      <c r="G766" t="s">
        <v>2105</v>
      </c>
      <c r="H766" t="s">
        <v>2106</v>
      </c>
      <c r="I766">
        <v>1</v>
      </c>
      <c r="J766">
        <v>1</v>
      </c>
      <c r="K766" s="87">
        <v>2</v>
      </c>
      <c r="L766" s="8">
        <v>9999</v>
      </c>
      <c r="M766" s="8">
        <v>0</v>
      </c>
      <c r="N766" s="8"/>
      <c r="S766" s="89">
        <v>1</v>
      </c>
      <c r="T766" s="8">
        <v>5</v>
      </c>
      <c r="U766" s="89">
        <v>500</v>
      </c>
      <c r="V766" s="87">
        <v>0</v>
      </c>
      <c r="W766">
        <v>1</v>
      </c>
      <c r="X766">
        <v>1</v>
      </c>
      <c r="Y766">
        <v>0</v>
      </c>
      <c r="Z766" s="33">
        <v>2</v>
      </c>
      <c r="AA766">
        <v>5</v>
      </c>
      <c r="AB766" s="34">
        <v>5000</v>
      </c>
      <c r="AC766" s="87">
        <v>840</v>
      </c>
      <c r="AD766" s="62">
        <v>0</v>
      </c>
      <c r="AE766" s="62">
        <v>2</v>
      </c>
      <c r="AF766" s="62">
        <v>1</v>
      </c>
      <c r="AG766" s="91">
        <v>1</v>
      </c>
      <c r="AH766" s="91">
        <v>1</v>
      </c>
      <c r="AI766" s="91"/>
      <c r="AJ766" s="91"/>
      <c r="AK766" s="91"/>
      <c r="AL766" s="92">
        <v>1</v>
      </c>
      <c r="AM766" s="92"/>
      <c r="AN766" s="93"/>
      <c r="AO766" s="92" t="s">
        <v>2094</v>
      </c>
      <c r="AQ766" s="305" t="s">
        <v>2107</v>
      </c>
      <c r="AS766">
        <v>1</v>
      </c>
    </row>
    <row r="767" spans="1:45">
      <c r="A767">
        <v>491014</v>
      </c>
      <c r="B767" s="8">
        <v>1001</v>
      </c>
      <c r="C767" s="8">
        <v>3</v>
      </c>
      <c r="D767" s="8">
        <v>1001</v>
      </c>
      <c r="E767" t="s">
        <v>2108</v>
      </c>
      <c r="F767" s="13" t="s">
        <v>2108</v>
      </c>
      <c r="G767" t="s">
        <v>2109</v>
      </c>
      <c r="H767" t="s">
        <v>2110</v>
      </c>
      <c r="I767">
        <v>1</v>
      </c>
      <c r="J767">
        <v>1</v>
      </c>
      <c r="K767" s="87">
        <v>2</v>
      </c>
      <c r="L767" s="8">
        <v>9999</v>
      </c>
      <c r="M767" s="8">
        <v>0</v>
      </c>
      <c r="N767" s="8"/>
      <c r="S767" s="89">
        <v>1</v>
      </c>
      <c r="T767" s="8">
        <v>5</v>
      </c>
      <c r="U767" s="89">
        <v>500</v>
      </c>
      <c r="V767" s="87">
        <v>0</v>
      </c>
      <c r="W767">
        <v>1</v>
      </c>
      <c r="X767">
        <v>1</v>
      </c>
      <c r="Y767">
        <v>0</v>
      </c>
      <c r="Z767" s="33">
        <v>2</v>
      </c>
      <c r="AA767">
        <v>5</v>
      </c>
      <c r="AB767" s="34">
        <v>5000</v>
      </c>
      <c r="AC767" s="87">
        <v>840</v>
      </c>
      <c r="AD767" s="62">
        <v>0</v>
      </c>
      <c r="AE767" s="62">
        <v>2</v>
      </c>
      <c r="AF767" s="62">
        <v>1</v>
      </c>
      <c r="AG767" s="91">
        <v>1</v>
      </c>
      <c r="AH767" s="91">
        <v>1</v>
      </c>
      <c r="AI767" s="91"/>
      <c r="AJ767" s="91"/>
      <c r="AK767" s="91"/>
      <c r="AL767" s="92">
        <v>1</v>
      </c>
      <c r="AM767" s="92"/>
      <c r="AN767" s="93"/>
      <c r="AO767" s="92" t="s">
        <v>2094</v>
      </c>
      <c r="AQ767" s="305" t="s">
        <v>2111</v>
      </c>
      <c r="AS767">
        <v>1</v>
      </c>
    </row>
    <row r="768" spans="1:45">
      <c r="A768">
        <v>491015</v>
      </c>
      <c r="B768" s="8">
        <v>1001</v>
      </c>
      <c r="C768" s="8">
        <v>3</v>
      </c>
      <c r="D768" s="8">
        <v>1001</v>
      </c>
      <c r="E768" t="s">
        <v>2112</v>
      </c>
      <c r="F768" s="13" t="s">
        <v>2112</v>
      </c>
      <c r="G768" t="s">
        <v>2113</v>
      </c>
      <c r="H768" t="s">
        <v>2114</v>
      </c>
      <c r="I768">
        <v>1</v>
      </c>
      <c r="J768">
        <v>1</v>
      </c>
      <c r="K768" s="87">
        <v>2</v>
      </c>
      <c r="L768" s="8">
        <v>9999</v>
      </c>
      <c r="M768" s="8">
        <v>0</v>
      </c>
      <c r="N768" s="8"/>
      <c r="S768" s="89">
        <v>1</v>
      </c>
      <c r="T768" s="8">
        <v>5</v>
      </c>
      <c r="U768" s="89">
        <v>500</v>
      </c>
      <c r="V768" s="87">
        <v>0</v>
      </c>
      <c r="W768">
        <v>1</v>
      </c>
      <c r="X768">
        <v>1</v>
      </c>
      <c r="Y768">
        <v>0</v>
      </c>
      <c r="Z768" s="33">
        <v>2</v>
      </c>
      <c r="AA768">
        <v>5</v>
      </c>
      <c r="AB768" s="34">
        <v>5000</v>
      </c>
      <c r="AC768" s="87">
        <v>840</v>
      </c>
      <c r="AD768" s="62">
        <v>0</v>
      </c>
      <c r="AE768" s="62">
        <v>2</v>
      </c>
      <c r="AF768" s="62">
        <v>1</v>
      </c>
      <c r="AG768" s="91">
        <v>1</v>
      </c>
      <c r="AH768" s="91">
        <v>1</v>
      </c>
      <c r="AI768" s="91"/>
      <c r="AJ768" s="91"/>
      <c r="AK768" s="91"/>
      <c r="AL768" s="92">
        <v>1</v>
      </c>
      <c r="AM768" s="92"/>
      <c r="AN768" s="93"/>
      <c r="AO768" s="92" t="s">
        <v>2094</v>
      </c>
      <c r="AQ768" s="305" t="s">
        <v>2115</v>
      </c>
      <c r="AS768">
        <v>1</v>
      </c>
    </row>
    <row r="769" spans="1:45">
      <c r="A769">
        <v>491016</v>
      </c>
      <c r="B769" s="8">
        <v>1001</v>
      </c>
      <c r="C769" s="8">
        <v>3</v>
      </c>
      <c r="D769" s="8">
        <v>1001</v>
      </c>
      <c r="E769" t="s">
        <v>2116</v>
      </c>
      <c r="F769" s="13" t="s">
        <v>2116</v>
      </c>
      <c r="G769" t="s">
        <v>2117</v>
      </c>
      <c r="H769" t="s">
        <v>2118</v>
      </c>
      <c r="I769">
        <v>1</v>
      </c>
      <c r="J769">
        <v>1</v>
      </c>
      <c r="K769" s="87">
        <v>2</v>
      </c>
      <c r="L769" s="8">
        <v>9999</v>
      </c>
      <c r="M769" s="8">
        <v>0</v>
      </c>
      <c r="N769" s="8"/>
      <c r="O769" s="131"/>
      <c r="S769" s="89">
        <v>1</v>
      </c>
      <c r="T769" s="8">
        <v>5</v>
      </c>
      <c r="U769" s="89">
        <v>500</v>
      </c>
      <c r="V769" s="87">
        <v>0</v>
      </c>
      <c r="W769">
        <v>1</v>
      </c>
      <c r="X769">
        <v>1</v>
      </c>
      <c r="Y769">
        <v>0</v>
      </c>
      <c r="Z769" s="33">
        <v>2</v>
      </c>
      <c r="AA769">
        <v>5</v>
      </c>
      <c r="AB769" s="34">
        <v>5000</v>
      </c>
      <c r="AC769" s="87">
        <v>840</v>
      </c>
      <c r="AD769" s="62">
        <v>0</v>
      </c>
      <c r="AE769" s="62">
        <v>2</v>
      </c>
      <c r="AF769" s="62">
        <v>1</v>
      </c>
      <c r="AG769" s="91">
        <v>1</v>
      </c>
      <c r="AH769" s="91">
        <v>1</v>
      </c>
      <c r="AI769" s="91"/>
      <c r="AJ769" s="91"/>
      <c r="AK769" s="91"/>
      <c r="AL769" s="92">
        <v>1</v>
      </c>
      <c r="AM769" s="92"/>
      <c r="AN769" s="93"/>
      <c r="AO769" s="92" t="s">
        <v>2094</v>
      </c>
      <c r="AQ769" s="305" t="s">
        <v>2119</v>
      </c>
      <c r="AS769">
        <v>1</v>
      </c>
    </row>
    <row r="770" spans="1:45">
      <c r="A770">
        <v>491017</v>
      </c>
      <c r="B770" s="8">
        <v>1001</v>
      </c>
      <c r="C770" s="8">
        <v>3</v>
      </c>
      <c r="D770" s="8">
        <v>1001</v>
      </c>
      <c r="E770" t="s">
        <v>2120</v>
      </c>
      <c r="F770" s="13" t="s">
        <v>2120</v>
      </c>
      <c r="G770" t="s">
        <v>2121</v>
      </c>
      <c r="H770" t="s">
        <v>2122</v>
      </c>
      <c r="I770">
        <v>1</v>
      </c>
      <c r="J770">
        <v>1</v>
      </c>
      <c r="K770" s="87">
        <v>2</v>
      </c>
      <c r="L770" s="8">
        <v>9999</v>
      </c>
      <c r="M770" s="8">
        <v>0</v>
      </c>
      <c r="N770" s="8">
        <v>1011</v>
      </c>
      <c r="O770" s="131">
        <v>1</v>
      </c>
      <c r="S770" s="89">
        <v>1</v>
      </c>
      <c r="T770" s="8">
        <v>5</v>
      </c>
      <c r="U770" s="89">
        <v>500</v>
      </c>
      <c r="V770" s="87">
        <v>0</v>
      </c>
      <c r="W770">
        <v>1</v>
      </c>
      <c r="X770">
        <v>1</v>
      </c>
      <c r="Y770">
        <v>0</v>
      </c>
      <c r="Z770" s="33">
        <v>2</v>
      </c>
      <c r="AA770">
        <v>5</v>
      </c>
      <c r="AB770" s="34">
        <v>5000</v>
      </c>
      <c r="AC770" s="87">
        <v>840</v>
      </c>
      <c r="AD770" s="62">
        <v>0</v>
      </c>
      <c r="AE770" s="62">
        <v>2</v>
      </c>
      <c r="AF770" s="62">
        <v>1</v>
      </c>
      <c r="AG770" s="91">
        <v>1</v>
      </c>
      <c r="AH770" s="91">
        <v>1</v>
      </c>
      <c r="AI770" s="91"/>
      <c r="AJ770" s="91"/>
      <c r="AK770" s="91"/>
      <c r="AL770" s="92">
        <v>1</v>
      </c>
      <c r="AM770" s="92"/>
      <c r="AN770" s="93"/>
      <c r="AO770" s="92" t="s">
        <v>2123</v>
      </c>
      <c r="AQ770" s="305" t="s">
        <v>2124</v>
      </c>
      <c r="AS770">
        <v>1</v>
      </c>
    </row>
    <row r="771" spans="1:45">
      <c r="A771">
        <v>491018</v>
      </c>
      <c r="B771" s="8">
        <v>1001</v>
      </c>
      <c r="C771" s="8">
        <v>3</v>
      </c>
      <c r="D771" s="8">
        <v>1001</v>
      </c>
      <c r="E771" t="s">
        <v>2125</v>
      </c>
      <c r="F771" s="13" t="s">
        <v>2125</v>
      </c>
      <c r="G771" t="s">
        <v>2126</v>
      </c>
      <c r="H771" t="s">
        <v>2127</v>
      </c>
      <c r="I771">
        <v>1</v>
      </c>
      <c r="J771">
        <v>1</v>
      </c>
      <c r="K771" s="87">
        <v>2</v>
      </c>
      <c r="L771" s="8">
        <v>9999</v>
      </c>
      <c r="M771" s="8">
        <v>0</v>
      </c>
      <c r="N771" s="8">
        <v>1011</v>
      </c>
      <c r="O771" s="2">
        <v>149</v>
      </c>
      <c r="S771" s="89">
        <v>1</v>
      </c>
      <c r="T771" s="8">
        <v>5</v>
      </c>
      <c r="U771" s="89">
        <v>500</v>
      </c>
      <c r="V771" s="87">
        <v>0</v>
      </c>
      <c r="W771">
        <v>1</v>
      </c>
      <c r="X771">
        <v>1</v>
      </c>
      <c r="Y771">
        <v>0</v>
      </c>
      <c r="Z771" s="33">
        <v>2</v>
      </c>
      <c r="AA771">
        <v>5</v>
      </c>
      <c r="AB771" s="34">
        <v>5000</v>
      </c>
      <c r="AC771" s="87">
        <v>840</v>
      </c>
      <c r="AD771" s="62">
        <v>0</v>
      </c>
      <c r="AE771" s="62">
        <v>2</v>
      </c>
      <c r="AF771" s="62">
        <v>1</v>
      </c>
      <c r="AG771" s="91">
        <v>1</v>
      </c>
      <c r="AH771" s="91">
        <v>1</v>
      </c>
      <c r="AI771" s="91"/>
      <c r="AJ771" s="91"/>
      <c r="AK771" s="91"/>
      <c r="AL771" s="92">
        <v>1</v>
      </c>
      <c r="AM771" s="92"/>
      <c r="AN771" s="93"/>
      <c r="AO771" s="92" t="s">
        <v>2128</v>
      </c>
      <c r="AQ771" s="305" t="s">
        <v>2129</v>
      </c>
      <c r="AS771">
        <v>1</v>
      </c>
    </row>
    <row r="772" spans="1:45">
      <c r="A772">
        <v>491019</v>
      </c>
      <c r="B772" s="8">
        <v>1001</v>
      </c>
      <c r="C772" s="8">
        <v>3</v>
      </c>
      <c r="D772" s="8">
        <v>1001</v>
      </c>
      <c r="E772" t="s">
        <v>2130</v>
      </c>
      <c r="F772" s="13" t="s">
        <v>2130</v>
      </c>
      <c r="G772" t="s">
        <v>2131</v>
      </c>
      <c r="H772" t="s">
        <v>2132</v>
      </c>
      <c r="I772">
        <v>1</v>
      </c>
      <c r="J772">
        <v>1</v>
      </c>
      <c r="K772" s="87">
        <v>2</v>
      </c>
      <c r="L772" s="8">
        <v>9999</v>
      </c>
      <c r="M772" s="8">
        <v>0</v>
      </c>
      <c r="N772" s="8">
        <v>1011</v>
      </c>
      <c r="O772" s="249">
        <v>150</v>
      </c>
      <c r="S772" s="89">
        <v>1</v>
      </c>
      <c r="T772" s="8">
        <v>5</v>
      </c>
      <c r="U772" s="89">
        <v>500</v>
      </c>
      <c r="V772" s="87">
        <v>0</v>
      </c>
      <c r="W772">
        <v>1</v>
      </c>
      <c r="X772">
        <v>1</v>
      </c>
      <c r="Y772">
        <v>0</v>
      </c>
      <c r="Z772" s="33">
        <v>2</v>
      </c>
      <c r="AA772">
        <v>5</v>
      </c>
      <c r="AB772" s="34">
        <v>5000</v>
      </c>
      <c r="AC772" s="87">
        <v>840</v>
      </c>
      <c r="AD772" s="62">
        <v>0</v>
      </c>
      <c r="AE772" s="62">
        <v>2</v>
      </c>
      <c r="AF772" s="62">
        <v>1</v>
      </c>
      <c r="AG772" s="91">
        <v>1</v>
      </c>
      <c r="AH772" s="91">
        <v>1</v>
      </c>
      <c r="AI772" s="91"/>
      <c r="AJ772" s="91"/>
      <c r="AK772" s="91"/>
      <c r="AL772" s="92">
        <v>1</v>
      </c>
      <c r="AM772" s="92"/>
      <c r="AN772" s="93"/>
      <c r="AO772" s="92" t="s">
        <v>2133</v>
      </c>
      <c r="AQ772" s="305" t="s">
        <v>2134</v>
      </c>
      <c r="AS772">
        <v>1</v>
      </c>
    </row>
    <row r="773" spans="1:45">
      <c r="A773">
        <v>491020</v>
      </c>
      <c r="B773" s="8">
        <v>1001</v>
      </c>
      <c r="C773" s="8">
        <v>3</v>
      </c>
      <c r="D773" s="8">
        <v>1001</v>
      </c>
      <c r="E773" t="s">
        <v>2135</v>
      </c>
      <c r="F773" s="13" t="s">
        <v>2135</v>
      </c>
      <c r="G773" t="s">
        <v>2136</v>
      </c>
      <c r="H773" t="s">
        <v>2137</v>
      </c>
      <c r="I773">
        <v>1</v>
      </c>
      <c r="J773">
        <v>1</v>
      </c>
      <c r="K773" s="87">
        <v>2</v>
      </c>
      <c r="L773" s="8">
        <v>9999</v>
      </c>
      <c r="M773" s="8">
        <v>0</v>
      </c>
      <c r="N773" s="8">
        <v>1011</v>
      </c>
      <c r="O773" s="249">
        <v>151</v>
      </c>
      <c r="S773" s="89">
        <v>1</v>
      </c>
      <c r="T773" s="8">
        <v>5</v>
      </c>
      <c r="U773" s="89">
        <v>500</v>
      </c>
      <c r="V773" s="87">
        <v>0</v>
      </c>
      <c r="W773">
        <v>1</v>
      </c>
      <c r="X773">
        <v>1</v>
      </c>
      <c r="Y773">
        <v>0</v>
      </c>
      <c r="Z773" s="33">
        <v>2</v>
      </c>
      <c r="AA773">
        <v>5</v>
      </c>
      <c r="AB773" s="34">
        <v>5000</v>
      </c>
      <c r="AC773" s="87">
        <v>840</v>
      </c>
      <c r="AD773" s="62">
        <v>0</v>
      </c>
      <c r="AE773" s="62">
        <v>2</v>
      </c>
      <c r="AF773" s="62">
        <v>1</v>
      </c>
      <c r="AG773" s="91">
        <v>1</v>
      </c>
      <c r="AH773" s="91">
        <v>1</v>
      </c>
      <c r="AI773" s="91"/>
      <c r="AJ773" s="91"/>
      <c r="AK773" s="91"/>
      <c r="AL773" s="92">
        <v>1</v>
      </c>
      <c r="AM773" s="92"/>
      <c r="AN773" s="93"/>
      <c r="AO773" s="92" t="s">
        <v>2138</v>
      </c>
      <c r="AQ773" s="305" t="s">
        <v>2139</v>
      </c>
      <c r="AS773">
        <v>1</v>
      </c>
    </row>
    <row r="774" spans="1:45">
      <c r="A774">
        <v>491021</v>
      </c>
      <c r="B774" s="8">
        <v>1001</v>
      </c>
      <c r="C774" s="8">
        <v>3</v>
      </c>
      <c r="D774" s="8">
        <v>1001</v>
      </c>
      <c r="E774" t="s">
        <v>2140</v>
      </c>
      <c r="F774" s="13" t="s">
        <v>2140</v>
      </c>
      <c r="G774" t="s">
        <v>2141</v>
      </c>
      <c r="H774" t="s">
        <v>2142</v>
      </c>
      <c r="I774">
        <v>1</v>
      </c>
      <c r="J774">
        <v>1</v>
      </c>
      <c r="K774" s="87">
        <v>2</v>
      </c>
      <c r="L774" s="8">
        <v>9999</v>
      </c>
      <c r="M774" s="8">
        <v>0</v>
      </c>
      <c r="N774" s="8">
        <v>1011</v>
      </c>
      <c r="O774" s="249">
        <v>152</v>
      </c>
      <c r="S774" s="89">
        <v>1</v>
      </c>
      <c r="T774" s="8">
        <v>5</v>
      </c>
      <c r="U774" s="89">
        <v>500</v>
      </c>
      <c r="V774" s="87">
        <v>0</v>
      </c>
      <c r="W774">
        <v>1</v>
      </c>
      <c r="X774">
        <v>1</v>
      </c>
      <c r="Y774">
        <v>0</v>
      </c>
      <c r="Z774" s="33">
        <v>2</v>
      </c>
      <c r="AA774">
        <v>5</v>
      </c>
      <c r="AB774" s="34">
        <v>5000</v>
      </c>
      <c r="AC774" s="87">
        <v>840</v>
      </c>
      <c r="AD774" s="62">
        <v>0</v>
      </c>
      <c r="AE774" s="62">
        <v>2</v>
      </c>
      <c r="AF774" s="62">
        <v>1</v>
      </c>
      <c r="AG774" s="91">
        <v>1</v>
      </c>
      <c r="AH774" s="91">
        <v>1</v>
      </c>
      <c r="AI774" s="91"/>
      <c r="AJ774" s="91"/>
      <c r="AK774" s="91"/>
      <c r="AL774" s="92">
        <v>1</v>
      </c>
      <c r="AM774" s="92"/>
      <c r="AN774" s="93"/>
      <c r="AO774" s="92" t="s">
        <v>2143</v>
      </c>
      <c r="AQ774" s="305" t="s">
        <v>2144</v>
      </c>
      <c r="AS774">
        <v>1</v>
      </c>
    </row>
    <row r="775" spans="1:45">
      <c r="A775">
        <v>491022</v>
      </c>
      <c r="B775" s="8">
        <v>1001</v>
      </c>
      <c r="C775" s="8">
        <v>3</v>
      </c>
      <c r="D775" s="8">
        <v>1001</v>
      </c>
      <c r="E775" t="s">
        <v>2145</v>
      </c>
      <c r="F775" s="13" t="s">
        <v>2145</v>
      </c>
      <c r="G775" t="s">
        <v>2146</v>
      </c>
      <c r="H775" t="s">
        <v>2147</v>
      </c>
      <c r="I775">
        <v>1</v>
      </c>
      <c r="J775">
        <v>1</v>
      </c>
      <c r="K775" s="87">
        <v>2</v>
      </c>
      <c r="L775" s="8">
        <v>9999</v>
      </c>
      <c r="M775" s="8">
        <v>0</v>
      </c>
      <c r="N775" s="8">
        <v>1011</v>
      </c>
      <c r="O775" s="249">
        <v>154</v>
      </c>
      <c r="S775" s="89">
        <v>1</v>
      </c>
      <c r="T775" s="8">
        <v>5</v>
      </c>
      <c r="U775" s="89">
        <v>500</v>
      </c>
      <c r="V775" s="87">
        <v>0</v>
      </c>
      <c r="W775">
        <v>1</v>
      </c>
      <c r="X775">
        <v>1</v>
      </c>
      <c r="Y775">
        <v>0</v>
      </c>
      <c r="Z775" s="33">
        <v>2</v>
      </c>
      <c r="AA775">
        <v>5</v>
      </c>
      <c r="AB775" s="34">
        <v>5000</v>
      </c>
      <c r="AC775" s="87">
        <v>840</v>
      </c>
      <c r="AD775" s="62">
        <v>0</v>
      </c>
      <c r="AE775" s="62">
        <v>2</v>
      </c>
      <c r="AF775" s="62">
        <v>1</v>
      </c>
      <c r="AG775" s="91">
        <v>1</v>
      </c>
      <c r="AH775" s="91">
        <v>1</v>
      </c>
      <c r="AI775" s="91"/>
      <c r="AJ775" s="91"/>
      <c r="AK775" s="91"/>
      <c r="AL775" s="92">
        <v>1</v>
      </c>
      <c r="AM775" s="92"/>
      <c r="AN775" s="93"/>
      <c r="AO775" s="92" t="s">
        <v>2148</v>
      </c>
      <c r="AQ775" s="305" t="s">
        <v>2149</v>
      </c>
      <c r="AS775">
        <v>1</v>
      </c>
    </row>
    <row r="776" spans="1:45">
      <c r="A776">
        <v>491023</v>
      </c>
      <c r="B776" s="8">
        <v>1001</v>
      </c>
      <c r="C776" s="8">
        <v>3</v>
      </c>
      <c r="D776" s="8">
        <v>1001</v>
      </c>
      <c r="E776" t="s">
        <v>2150</v>
      </c>
      <c r="F776" s="13" t="s">
        <v>2150</v>
      </c>
      <c r="G776" t="s">
        <v>2151</v>
      </c>
      <c r="H776" t="s">
        <v>2152</v>
      </c>
      <c r="I776">
        <v>1</v>
      </c>
      <c r="J776">
        <v>1</v>
      </c>
      <c r="K776" s="87">
        <v>2</v>
      </c>
      <c r="L776" s="8">
        <v>9999</v>
      </c>
      <c r="M776" s="8">
        <v>0</v>
      </c>
      <c r="N776" s="8">
        <v>1011</v>
      </c>
      <c r="O776" s="2">
        <v>155</v>
      </c>
      <c r="S776" s="89">
        <v>1</v>
      </c>
      <c r="T776" s="8">
        <v>5</v>
      </c>
      <c r="U776" s="89">
        <v>500</v>
      </c>
      <c r="V776" s="87">
        <v>0</v>
      </c>
      <c r="W776">
        <v>1</v>
      </c>
      <c r="X776">
        <v>1</v>
      </c>
      <c r="Y776">
        <v>0</v>
      </c>
      <c r="Z776" s="33">
        <v>2</v>
      </c>
      <c r="AA776">
        <v>5</v>
      </c>
      <c r="AB776" s="34">
        <v>5000</v>
      </c>
      <c r="AC776" s="87">
        <v>840</v>
      </c>
      <c r="AD776" s="62">
        <v>0</v>
      </c>
      <c r="AE776" s="62">
        <v>2</v>
      </c>
      <c r="AF776" s="62">
        <v>1</v>
      </c>
      <c r="AG776" s="91">
        <v>1</v>
      </c>
      <c r="AH776" s="91">
        <v>1</v>
      </c>
      <c r="AI776" s="91"/>
      <c r="AJ776" s="91"/>
      <c r="AK776" s="91"/>
      <c r="AL776" s="92">
        <v>1</v>
      </c>
      <c r="AM776" s="92"/>
      <c r="AN776" s="93"/>
      <c r="AO776" s="92" t="s">
        <v>2153</v>
      </c>
      <c r="AQ776" s="305" t="s">
        <v>2154</v>
      </c>
      <c r="AS776">
        <v>1</v>
      </c>
    </row>
    <row r="777" spans="1:45">
      <c r="A777">
        <v>491024</v>
      </c>
      <c r="B777" s="8">
        <v>1001</v>
      </c>
      <c r="C777" s="8">
        <v>3</v>
      </c>
      <c r="D777" s="8">
        <v>1001</v>
      </c>
      <c r="E777" t="s">
        <v>2155</v>
      </c>
      <c r="F777" s="13" t="s">
        <v>2155</v>
      </c>
      <c r="G777" t="s">
        <v>2156</v>
      </c>
      <c r="H777" t="s">
        <v>2157</v>
      </c>
      <c r="I777">
        <v>1</v>
      </c>
      <c r="J777">
        <v>1</v>
      </c>
      <c r="K777" s="87">
        <v>2</v>
      </c>
      <c r="L777" s="8">
        <v>9999</v>
      </c>
      <c r="M777" s="8">
        <v>0</v>
      </c>
      <c r="N777" s="8">
        <v>1011</v>
      </c>
      <c r="O777" s="2">
        <v>153</v>
      </c>
      <c r="S777" s="89">
        <v>1</v>
      </c>
      <c r="T777" s="8">
        <v>5</v>
      </c>
      <c r="U777" s="89">
        <v>500</v>
      </c>
      <c r="V777" s="87">
        <v>0</v>
      </c>
      <c r="W777">
        <v>1</v>
      </c>
      <c r="X777">
        <v>1</v>
      </c>
      <c r="Y777">
        <v>0</v>
      </c>
      <c r="Z777" s="33">
        <v>2</v>
      </c>
      <c r="AA777">
        <v>5</v>
      </c>
      <c r="AB777" s="34">
        <v>5000</v>
      </c>
      <c r="AC777" s="87">
        <v>840</v>
      </c>
      <c r="AD777" s="62">
        <v>0</v>
      </c>
      <c r="AE777" s="62">
        <v>2</v>
      </c>
      <c r="AF777" s="62">
        <v>1</v>
      </c>
      <c r="AG777" s="91">
        <v>1</v>
      </c>
      <c r="AH777" s="91">
        <v>1</v>
      </c>
      <c r="AI777" s="91"/>
      <c r="AJ777" s="91"/>
      <c r="AK777" s="91"/>
      <c r="AL777" s="92">
        <v>1</v>
      </c>
      <c r="AM777" s="92"/>
      <c r="AN777" s="93"/>
      <c r="AO777" s="92" t="s">
        <v>2158</v>
      </c>
      <c r="AQ777" s="305" t="s">
        <v>2159</v>
      </c>
      <c r="AS777">
        <v>1</v>
      </c>
    </row>
    <row r="778" spans="1:45">
      <c r="A778">
        <v>491025</v>
      </c>
      <c r="B778" s="8">
        <v>1001</v>
      </c>
      <c r="C778" s="8">
        <v>3</v>
      </c>
      <c r="D778" s="8">
        <v>1001</v>
      </c>
      <c r="E778" t="s">
        <v>2160</v>
      </c>
      <c r="F778" s="13" t="s">
        <v>2160</v>
      </c>
      <c r="G778" t="s">
        <v>2161</v>
      </c>
      <c r="H778" t="s">
        <v>2162</v>
      </c>
      <c r="I778">
        <v>1</v>
      </c>
      <c r="J778">
        <v>1</v>
      </c>
      <c r="K778" s="87">
        <v>2</v>
      </c>
      <c r="L778" s="8">
        <v>9999</v>
      </c>
      <c r="M778" s="8">
        <v>0</v>
      </c>
      <c r="N778" s="8">
        <v>1011</v>
      </c>
      <c r="O778" s="2">
        <v>158</v>
      </c>
      <c r="S778" s="89">
        <v>1</v>
      </c>
      <c r="T778" s="8">
        <v>5</v>
      </c>
      <c r="U778" s="89">
        <v>500</v>
      </c>
      <c r="V778" s="87">
        <v>0</v>
      </c>
      <c r="W778">
        <v>1</v>
      </c>
      <c r="X778">
        <v>1</v>
      </c>
      <c r="Y778">
        <v>0</v>
      </c>
      <c r="Z778" s="33">
        <v>2</v>
      </c>
      <c r="AA778">
        <v>5</v>
      </c>
      <c r="AB778" s="34">
        <v>5000</v>
      </c>
      <c r="AC778" s="87">
        <v>840</v>
      </c>
      <c r="AD778" s="62">
        <v>0</v>
      </c>
      <c r="AE778" s="62">
        <v>1</v>
      </c>
      <c r="AF778" s="62">
        <v>1</v>
      </c>
      <c r="AG778" s="91">
        <v>1</v>
      </c>
      <c r="AH778" s="91">
        <v>1</v>
      </c>
      <c r="AI778" s="91"/>
      <c r="AJ778" s="91"/>
      <c r="AK778" s="91"/>
      <c r="AL778" s="92">
        <v>1</v>
      </c>
      <c r="AM778" s="92"/>
      <c r="AN778" s="93"/>
      <c r="AO778" s="92" t="s">
        <v>2163</v>
      </c>
      <c r="AQ778" s="305" t="s">
        <v>2164</v>
      </c>
      <c r="AS778">
        <v>1</v>
      </c>
    </row>
    <row r="779" spans="1:45">
      <c r="A779">
        <v>491026</v>
      </c>
      <c r="B779" s="8">
        <v>1001</v>
      </c>
      <c r="C779" s="8">
        <v>3</v>
      </c>
      <c r="D779" s="8">
        <v>1001</v>
      </c>
      <c r="E779" t="s">
        <v>2165</v>
      </c>
      <c r="F779" s="13" t="s">
        <v>2165</v>
      </c>
      <c r="G779" t="s">
        <v>2166</v>
      </c>
      <c r="H779" t="s">
        <v>2167</v>
      </c>
      <c r="I779">
        <v>1</v>
      </c>
      <c r="J779">
        <v>1</v>
      </c>
      <c r="K779" s="87">
        <v>2</v>
      </c>
      <c r="L779" s="8">
        <v>9999</v>
      </c>
      <c r="M779" s="8">
        <v>0</v>
      </c>
      <c r="N779" s="8">
        <v>1011</v>
      </c>
      <c r="O779" s="131">
        <v>1</v>
      </c>
      <c r="S779" s="89">
        <v>1</v>
      </c>
      <c r="T779" s="8">
        <v>5</v>
      </c>
      <c r="U779" s="89">
        <v>500</v>
      </c>
      <c r="V779" s="87">
        <v>0</v>
      </c>
      <c r="W779">
        <v>1</v>
      </c>
      <c r="X779">
        <v>1</v>
      </c>
      <c r="Y779">
        <v>0</v>
      </c>
      <c r="Z779" s="33">
        <v>2</v>
      </c>
      <c r="AA779">
        <v>5</v>
      </c>
      <c r="AB779" s="34">
        <v>5000</v>
      </c>
      <c r="AC779" s="87">
        <v>840</v>
      </c>
      <c r="AD779" s="62">
        <v>0</v>
      </c>
      <c r="AE779" s="62">
        <v>2</v>
      </c>
      <c r="AF779" s="62">
        <v>1</v>
      </c>
      <c r="AG779" s="91">
        <v>1</v>
      </c>
      <c r="AH779" s="91">
        <v>1</v>
      </c>
      <c r="AI779" s="91"/>
      <c r="AJ779" s="91"/>
      <c r="AK779" s="91"/>
      <c r="AL779" s="92">
        <v>1</v>
      </c>
      <c r="AM779" s="92"/>
      <c r="AN779" s="93"/>
      <c r="AO779" s="92" t="s">
        <v>2168</v>
      </c>
      <c r="AQ779" s="305" t="s">
        <v>2169</v>
      </c>
      <c r="AS779">
        <v>1</v>
      </c>
    </row>
    <row r="780" spans="1:45">
      <c r="A780">
        <v>491027</v>
      </c>
      <c r="B780" s="8">
        <v>1001</v>
      </c>
      <c r="C780" s="8">
        <v>3</v>
      </c>
      <c r="D780" s="8">
        <v>1001</v>
      </c>
      <c r="E780" t="s">
        <v>2170</v>
      </c>
      <c r="F780" s="13" t="s">
        <v>2170</v>
      </c>
      <c r="G780" t="s">
        <v>2171</v>
      </c>
      <c r="H780" t="s">
        <v>2172</v>
      </c>
      <c r="I780">
        <v>1</v>
      </c>
      <c r="J780">
        <v>1</v>
      </c>
      <c r="K780" s="87">
        <v>2</v>
      </c>
      <c r="L780" s="8">
        <v>9999</v>
      </c>
      <c r="M780" s="8">
        <v>0</v>
      </c>
      <c r="N780" s="8">
        <v>1011</v>
      </c>
      <c r="O780" s="131">
        <v>1</v>
      </c>
      <c r="S780" s="89">
        <v>1</v>
      </c>
      <c r="T780" s="8">
        <v>5</v>
      </c>
      <c r="U780" s="89">
        <v>500</v>
      </c>
      <c r="V780" s="87">
        <v>0</v>
      </c>
      <c r="W780">
        <v>1</v>
      </c>
      <c r="X780">
        <v>1</v>
      </c>
      <c r="Y780">
        <v>0</v>
      </c>
      <c r="Z780" s="33">
        <v>2</v>
      </c>
      <c r="AA780">
        <v>5</v>
      </c>
      <c r="AB780" s="34">
        <v>5000</v>
      </c>
      <c r="AC780" s="87">
        <v>840</v>
      </c>
      <c r="AD780" s="62">
        <v>0</v>
      </c>
      <c r="AE780" s="62">
        <v>2</v>
      </c>
      <c r="AF780" s="62">
        <v>1</v>
      </c>
      <c r="AG780" s="91">
        <v>1</v>
      </c>
      <c r="AH780" s="91">
        <v>1</v>
      </c>
      <c r="AI780" s="91"/>
      <c r="AJ780" s="91"/>
      <c r="AK780" s="91"/>
      <c r="AL780" s="92">
        <v>1</v>
      </c>
      <c r="AM780" s="92"/>
      <c r="AN780" s="93"/>
      <c r="AO780" s="92" t="s">
        <v>2173</v>
      </c>
      <c r="AQ780" s="305" t="s">
        <v>2174</v>
      </c>
      <c r="AS780">
        <v>1</v>
      </c>
    </row>
    <row r="781" spans="1:45">
      <c r="A781">
        <v>491028</v>
      </c>
      <c r="B781" s="8">
        <v>1001</v>
      </c>
      <c r="C781" s="8">
        <v>3</v>
      </c>
      <c r="D781" s="8">
        <v>1001</v>
      </c>
      <c r="E781" t="s">
        <v>2175</v>
      </c>
      <c r="F781" s="13" t="s">
        <v>2175</v>
      </c>
      <c r="G781" t="s">
        <v>2176</v>
      </c>
      <c r="H781" t="s">
        <v>2177</v>
      </c>
      <c r="I781">
        <v>1</v>
      </c>
      <c r="J781">
        <v>1</v>
      </c>
      <c r="K781" s="87">
        <v>2</v>
      </c>
      <c r="L781" s="8">
        <v>9999</v>
      </c>
      <c r="M781" s="8">
        <v>0</v>
      </c>
      <c r="N781" s="8">
        <v>1011</v>
      </c>
      <c r="O781" s="2">
        <v>156</v>
      </c>
      <c r="S781" s="89">
        <v>1</v>
      </c>
      <c r="T781" s="8">
        <v>5</v>
      </c>
      <c r="U781" s="89">
        <v>500</v>
      </c>
      <c r="V781" s="87">
        <v>0</v>
      </c>
      <c r="W781">
        <v>1</v>
      </c>
      <c r="X781">
        <v>1</v>
      </c>
      <c r="Y781">
        <v>0</v>
      </c>
      <c r="Z781" s="33">
        <v>2</v>
      </c>
      <c r="AA781">
        <v>5</v>
      </c>
      <c r="AB781" s="34">
        <v>5000</v>
      </c>
      <c r="AC781" s="87">
        <v>840</v>
      </c>
      <c r="AD781" s="62">
        <v>0</v>
      </c>
      <c r="AE781" s="62">
        <v>2</v>
      </c>
      <c r="AF781" s="62">
        <v>1</v>
      </c>
      <c r="AG781" s="91">
        <v>1</v>
      </c>
      <c r="AH781" s="91">
        <v>1</v>
      </c>
      <c r="AI781" s="91"/>
      <c r="AJ781" s="91"/>
      <c r="AK781" s="91"/>
      <c r="AL781" s="92">
        <v>1</v>
      </c>
      <c r="AM781" s="92"/>
      <c r="AN781" s="93"/>
      <c r="AO781" s="92"/>
      <c r="AQ781" t="s">
        <v>2175</v>
      </c>
      <c r="AS781">
        <v>1</v>
      </c>
    </row>
    <row r="782" s="45" customFormat="1" spans="1:45">
      <c r="A782">
        <v>491029</v>
      </c>
      <c r="B782" s="8">
        <v>1001</v>
      </c>
      <c r="C782" s="8">
        <v>3</v>
      </c>
      <c r="D782" s="8">
        <v>1001</v>
      </c>
      <c r="E782" t="s">
        <v>2178</v>
      </c>
      <c r="F782" s="253" t="s">
        <v>2178</v>
      </c>
      <c r="G782" t="s">
        <v>2179</v>
      </c>
      <c r="H782" t="s">
        <v>2177</v>
      </c>
      <c r="I782">
        <v>1</v>
      </c>
      <c r="J782">
        <v>1</v>
      </c>
      <c r="K782" s="87">
        <v>2</v>
      </c>
      <c r="L782" s="8">
        <v>9999</v>
      </c>
      <c r="M782" s="8">
        <v>0</v>
      </c>
      <c r="N782" s="8">
        <v>1011</v>
      </c>
      <c r="O782" s="2">
        <v>157</v>
      </c>
      <c r="S782" s="89">
        <v>1</v>
      </c>
      <c r="T782" s="8">
        <v>5</v>
      </c>
      <c r="U782" s="89">
        <v>500</v>
      </c>
      <c r="V782" s="87">
        <v>0</v>
      </c>
      <c r="W782">
        <v>1</v>
      </c>
      <c r="X782">
        <v>1</v>
      </c>
      <c r="Y782">
        <v>0</v>
      </c>
      <c r="Z782" s="33">
        <v>2</v>
      </c>
      <c r="AA782">
        <v>5</v>
      </c>
      <c r="AB782" s="34">
        <v>5000</v>
      </c>
      <c r="AC782" s="87">
        <v>840</v>
      </c>
      <c r="AD782" s="62">
        <v>0</v>
      </c>
      <c r="AE782" s="62">
        <v>2</v>
      </c>
      <c r="AF782" s="62">
        <v>1</v>
      </c>
      <c r="AG782" s="91">
        <v>1</v>
      </c>
      <c r="AH782" s="91">
        <v>1</v>
      </c>
      <c r="AI782" s="91"/>
      <c r="AJ782" s="91"/>
      <c r="AK782" s="91"/>
      <c r="AL782" s="92">
        <v>1</v>
      </c>
      <c r="AM782" s="92"/>
      <c r="AN782" s="93"/>
      <c r="AO782" s="92"/>
      <c r="AP782" s="307"/>
      <c r="AQ782" t="s">
        <v>2178</v>
      </c>
      <c r="AS782">
        <v>1</v>
      </c>
    </row>
    <row r="783" s="45" customFormat="1" spans="1:45">
      <c r="A783" s="45">
        <v>491030</v>
      </c>
      <c r="B783" s="308">
        <v>1001</v>
      </c>
      <c r="C783" s="308">
        <v>3</v>
      </c>
      <c r="D783" s="308">
        <v>1001</v>
      </c>
      <c r="E783" s="45" t="s">
        <v>2180</v>
      </c>
      <c r="F783" s="45" t="s">
        <v>2180</v>
      </c>
      <c r="G783" s="45" t="s">
        <v>2181</v>
      </c>
      <c r="H783" s="45" t="s">
        <v>2182</v>
      </c>
      <c r="I783" s="45">
        <v>1</v>
      </c>
      <c r="J783" s="45">
        <v>4</v>
      </c>
      <c r="K783" s="308">
        <v>2</v>
      </c>
      <c r="L783" s="8">
        <v>9999</v>
      </c>
      <c r="M783" s="308">
        <v>0</v>
      </c>
      <c r="N783" s="308">
        <v>1011</v>
      </c>
      <c r="O783" s="309">
        <v>169</v>
      </c>
      <c r="S783" s="308">
        <v>1</v>
      </c>
      <c r="T783" s="308">
        <v>5</v>
      </c>
      <c r="U783" s="308">
        <v>500</v>
      </c>
      <c r="V783" s="308">
        <v>0</v>
      </c>
      <c r="W783" s="45">
        <v>1</v>
      </c>
      <c r="X783" s="45">
        <v>1</v>
      </c>
      <c r="Y783" s="45">
        <v>0</v>
      </c>
      <c r="Z783" s="45">
        <v>2</v>
      </c>
      <c r="AA783" s="45">
        <v>5</v>
      </c>
      <c r="AB783" s="45">
        <v>5000</v>
      </c>
      <c r="AC783" s="308">
        <v>840</v>
      </c>
      <c r="AD783" s="310">
        <v>0</v>
      </c>
      <c r="AE783" s="310">
        <v>2</v>
      </c>
      <c r="AF783" s="310">
        <v>1</v>
      </c>
      <c r="AG783" s="311">
        <v>1</v>
      </c>
      <c r="AH783" s="311">
        <v>1</v>
      </c>
      <c r="AI783" s="311"/>
      <c r="AJ783" s="311"/>
      <c r="AK783" s="311"/>
      <c r="AL783" s="312">
        <v>1</v>
      </c>
      <c r="AM783" s="312"/>
      <c r="AN783" s="313"/>
      <c r="AO783" s="92" t="s">
        <v>2128</v>
      </c>
      <c r="AP783" s="307"/>
      <c r="AQ783" s="45" t="s">
        <v>2180</v>
      </c>
      <c r="AS783" s="45">
        <v>1</v>
      </c>
    </row>
    <row r="784" s="45" customFormat="1" spans="1:45">
      <c r="A784" s="45">
        <v>491031</v>
      </c>
      <c r="B784" s="308">
        <v>1001</v>
      </c>
      <c r="C784" s="308">
        <v>3</v>
      </c>
      <c r="D784" s="308">
        <v>1001</v>
      </c>
      <c r="E784" s="45" t="s">
        <v>2183</v>
      </c>
      <c r="F784" s="45" t="s">
        <v>2183</v>
      </c>
      <c r="G784" s="45" t="s">
        <v>2184</v>
      </c>
      <c r="H784" s="45" t="s">
        <v>2185</v>
      </c>
      <c r="I784" s="45">
        <v>1</v>
      </c>
      <c r="J784" s="45">
        <v>4</v>
      </c>
      <c r="K784" s="308">
        <v>2</v>
      </c>
      <c r="L784" s="8">
        <v>9999</v>
      </c>
      <c r="M784" s="308">
        <v>0</v>
      </c>
      <c r="N784" s="308">
        <v>1011</v>
      </c>
      <c r="O784" s="309">
        <v>170</v>
      </c>
      <c r="S784" s="308">
        <v>1</v>
      </c>
      <c r="T784" s="308">
        <v>5</v>
      </c>
      <c r="U784" s="308">
        <v>500</v>
      </c>
      <c r="V784" s="308">
        <v>0</v>
      </c>
      <c r="W784" s="45">
        <v>1</v>
      </c>
      <c r="X784" s="45">
        <v>1</v>
      </c>
      <c r="Y784" s="45">
        <v>0</v>
      </c>
      <c r="Z784" s="45">
        <v>2</v>
      </c>
      <c r="AA784" s="45">
        <v>5</v>
      </c>
      <c r="AB784" s="45">
        <v>5000</v>
      </c>
      <c r="AC784" s="308">
        <v>840</v>
      </c>
      <c r="AD784" s="310">
        <v>0</v>
      </c>
      <c r="AE784" s="310">
        <v>2</v>
      </c>
      <c r="AF784" s="310">
        <v>1</v>
      </c>
      <c r="AG784" s="311">
        <v>1</v>
      </c>
      <c r="AH784" s="311">
        <v>1</v>
      </c>
      <c r="AI784" s="311"/>
      <c r="AJ784" s="311"/>
      <c r="AK784" s="311"/>
      <c r="AL784" s="312">
        <v>1</v>
      </c>
      <c r="AM784" s="312"/>
      <c r="AN784" s="313"/>
      <c r="AO784" s="312" t="s">
        <v>2186</v>
      </c>
      <c r="AP784" s="307"/>
      <c r="AQ784" s="45" t="s">
        <v>2183</v>
      </c>
      <c r="AS784" s="45">
        <v>1</v>
      </c>
    </row>
    <row r="785" s="45" customFormat="1" spans="1:45">
      <c r="A785" s="45">
        <v>491032</v>
      </c>
      <c r="B785" s="308">
        <v>1001</v>
      </c>
      <c r="C785" s="308">
        <v>3</v>
      </c>
      <c r="D785" s="308">
        <v>1001</v>
      </c>
      <c r="E785" s="45" t="s">
        <v>2187</v>
      </c>
      <c r="F785" s="45" t="s">
        <v>2187</v>
      </c>
      <c r="G785" s="45" t="s">
        <v>2188</v>
      </c>
      <c r="H785" s="45" t="s">
        <v>2189</v>
      </c>
      <c r="I785" s="45">
        <v>1</v>
      </c>
      <c r="J785" s="45">
        <v>4</v>
      </c>
      <c r="K785" s="308">
        <v>2</v>
      </c>
      <c r="L785" s="8">
        <v>9999</v>
      </c>
      <c r="M785" s="308">
        <v>0</v>
      </c>
      <c r="N785" s="308">
        <v>1022</v>
      </c>
      <c r="O785" s="309">
        <v>30141</v>
      </c>
      <c r="S785" s="308">
        <v>1</v>
      </c>
      <c r="T785" s="308">
        <v>5</v>
      </c>
      <c r="U785" s="308">
        <v>500</v>
      </c>
      <c r="V785" s="308">
        <v>0</v>
      </c>
      <c r="W785" s="45">
        <v>1</v>
      </c>
      <c r="X785" s="45">
        <v>1</v>
      </c>
      <c r="Y785" s="45">
        <v>0</v>
      </c>
      <c r="Z785" s="45">
        <v>2</v>
      </c>
      <c r="AA785" s="45">
        <v>5</v>
      </c>
      <c r="AB785" s="45">
        <v>5000</v>
      </c>
      <c r="AC785" s="308">
        <v>840</v>
      </c>
      <c r="AD785" s="310">
        <v>0</v>
      </c>
      <c r="AE785" s="310">
        <v>2</v>
      </c>
      <c r="AF785" s="310">
        <v>1</v>
      </c>
      <c r="AG785" s="311">
        <v>1</v>
      </c>
      <c r="AH785" s="311">
        <v>1</v>
      </c>
      <c r="AI785" s="311"/>
      <c r="AJ785" s="311"/>
      <c r="AK785" s="311"/>
      <c r="AL785" s="312">
        <v>1</v>
      </c>
      <c r="AM785" s="312"/>
      <c r="AN785" s="313"/>
      <c r="AO785" s="312" t="s">
        <v>2190</v>
      </c>
      <c r="AP785" s="307"/>
      <c r="AQ785" s="45" t="s">
        <v>2187</v>
      </c>
      <c r="AS785" s="45">
        <v>1</v>
      </c>
    </row>
    <row r="786" s="45" customFormat="1" spans="1:45">
      <c r="A786" s="45">
        <v>491033</v>
      </c>
      <c r="B786" s="308">
        <v>1001</v>
      </c>
      <c r="C786" s="308">
        <v>3</v>
      </c>
      <c r="D786" s="308">
        <v>1001</v>
      </c>
      <c r="E786" s="45" t="s">
        <v>2191</v>
      </c>
      <c r="F786" s="45" t="s">
        <v>2191</v>
      </c>
      <c r="G786" s="45" t="s">
        <v>2192</v>
      </c>
      <c r="H786" s="45" t="s">
        <v>2193</v>
      </c>
      <c r="I786" s="45">
        <v>1</v>
      </c>
      <c r="J786" s="45">
        <v>4</v>
      </c>
      <c r="K786" s="308">
        <v>2</v>
      </c>
      <c r="L786" s="8">
        <v>9999</v>
      </c>
      <c r="M786" s="308">
        <v>0</v>
      </c>
      <c r="N786" s="308">
        <v>1011</v>
      </c>
      <c r="O786" s="309">
        <v>171</v>
      </c>
      <c r="S786" s="308">
        <v>1</v>
      </c>
      <c r="T786" s="308">
        <v>5</v>
      </c>
      <c r="U786" s="308">
        <v>500</v>
      </c>
      <c r="V786" s="308">
        <v>0</v>
      </c>
      <c r="W786" s="45">
        <v>1</v>
      </c>
      <c r="X786" s="45">
        <v>1</v>
      </c>
      <c r="Y786" s="45">
        <v>0</v>
      </c>
      <c r="Z786" s="45">
        <v>2</v>
      </c>
      <c r="AA786" s="45">
        <v>5</v>
      </c>
      <c r="AB786" s="45">
        <v>5000</v>
      </c>
      <c r="AC786" s="308">
        <v>840</v>
      </c>
      <c r="AD786" s="310">
        <v>0</v>
      </c>
      <c r="AE786" s="310">
        <v>2</v>
      </c>
      <c r="AF786" s="310">
        <v>1</v>
      </c>
      <c r="AG786" s="311">
        <v>1</v>
      </c>
      <c r="AH786" s="311">
        <v>1</v>
      </c>
      <c r="AI786" s="311"/>
      <c r="AJ786" s="311"/>
      <c r="AK786" s="311"/>
      <c r="AL786" s="312">
        <v>1</v>
      </c>
      <c r="AM786" s="312"/>
      <c r="AN786" s="313"/>
      <c r="AO786" s="312" t="s">
        <v>2194</v>
      </c>
      <c r="AP786" s="307"/>
      <c r="AQ786" s="45" t="s">
        <v>2191</v>
      </c>
      <c r="AS786" s="45">
        <v>1</v>
      </c>
    </row>
    <row r="787" s="45" customFormat="1" spans="1:45">
      <c r="A787" s="45">
        <v>491034</v>
      </c>
      <c r="B787" s="308">
        <v>1001</v>
      </c>
      <c r="C787" s="308">
        <v>3</v>
      </c>
      <c r="D787" s="308">
        <v>1001</v>
      </c>
      <c r="E787" s="45" t="s">
        <v>2195</v>
      </c>
      <c r="F787" s="45" t="s">
        <v>2195</v>
      </c>
      <c r="G787" s="45" t="s">
        <v>2196</v>
      </c>
      <c r="H787" s="45" t="s">
        <v>2197</v>
      </c>
      <c r="I787" s="45">
        <v>1</v>
      </c>
      <c r="J787" s="45">
        <v>4</v>
      </c>
      <c r="K787" s="308">
        <v>2</v>
      </c>
      <c r="L787" s="8">
        <v>9999</v>
      </c>
      <c r="M787" s="308">
        <v>0</v>
      </c>
      <c r="N787" s="308">
        <v>1011</v>
      </c>
      <c r="O787" s="309">
        <v>172</v>
      </c>
      <c r="S787" s="308">
        <v>1</v>
      </c>
      <c r="T787" s="308">
        <v>5</v>
      </c>
      <c r="U787" s="308">
        <v>500</v>
      </c>
      <c r="V787" s="308">
        <v>0</v>
      </c>
      <c r="W787" s="45">
        <v>1</v>
      </c>
      <c r="X787" s="45">
        <v>1</v>
      </c>
      <c r="Y787" s="45">
        <v>0</v>
      </c>
      <c r="Z787" s="45">
        <v>2</v>
      </c>
      <c r="AA787" s="45">
        <v>5</v>
      </c>
      <c r="AB787" s="45">
        <v>5000</v>
      </c>
      <c r="AC787" s="308">
        <v>840</v>
      </c>
      <c r="AD787" s="310">
        <v>0</v>
      </c>
      <c r="AE787" s="310">
        <v>2</v>
      </c>
      <c r="AF787" s="310">
        <v>1</v>
      </c>
      <c r="AG787" s="311">
        <v>1</v>
      </c>
      <c r="AH787" s="311">
        <v>1</v>
      </c>
      <c r="AI787" s="311"/>
      <c r="AJ787" s="311"/>
      <c r="AK787" s="311"/>
      <c r="AL787" s="312">
        <v>1</v>
      </c>
      <c r="AM787" s="312"/>
      <c r="AN787" s="313"/>
      <c r="AO787" s="312" t="s">
        <v>2060</v>
      </c>
      <c r="AP787" s="307"/>
      <c r="AQ787" s="45" t="s">
        <v>2195</v>
      </c>
      <c r="AS787" s="45">
        <v>1</v>
      </c>
    </row>
    <row r="788" s="45" customFormat="1" spans="1:45">
      <c r="A788" s="45">
        <v>491035</v>
      </c>
      <c r="B788" s="308">
        <v>1001</v>
      </c>
      <c r="C788" s="308">
        <v>3</v>
      </c>
      <c r="D788" s="308">
        <v>1001</v>
      </c>
      <c r="E788" s="45" t="s">
        <v>2198</v>
      </c>
      <c r="F788" s="45" t="s">
        <v>2198</v>
      </c>
      <c r="G788" s="45" t="s">
        <v>2199</v>
      </c>
      <c r="H788" s="45" t="s">
        <v>2200</v>
      </c>
      <c r="I788" s="45">
        <v>1</v>
      </c>
      <c r="J788" s="45">
        <v>4</v>
      </c>
      <c r="K788" s="308">
        <v>2</v>
      </c>
      <c r="L788" s="8">
        <v>9999</v>
      </c>
      <c r="M788" s="308">
        <v>0</v>
      </c>
      <c r="N788" s="308">
        <v>1022</v>
      </c>
      <c r="O788" s="309">
        <v>30142</v>
      </c>
      <c r="S788" s="308">
        <v>1</v>
      </c>
      <c r="T788" s="308">
        <v>5</v>
      </c>
      <c r="U788" s="308">
        <v>500</v>
      </c>
      <c r="V788" s="308">
        <v>0</v>
      </c>
      <c r="W788" s="45">
        <v>1</v>
      </c>
      <c r="X788" s="45">
        <v>1</v>
      </c>
      <c r="Y788" s="45">
        <v>0</v>
      </c>
      <c r="Z788" s="45">
        <v>2</v>
      </c>
      <c r="AA788" s="45">
        <v>5</v>
      </c>
      <c r="AB788" s="45">
        <v>5000</v>
      </c>
      <c r="AC788" s="308">
        <v>840</v>
      </c>
      <c r="AD788" s="310">
        <v>0</v>
      </c>
      <c r="AE788" s="310">
        <v>2</v>
      </c>
      <c r="AF788" s="310">
        <v>1</v>
      </c>
      <c r="AG788" s="311">
        <v>1</v>
      </c>
      <c r="AH788" s="311">
        <v>1</v>
      </c>
      <c r="AI788" s="311"/>
      <c r="AJ788" s="311"/>
      <c r="AK788" s="311"/>
      <c r="AL788" s="312">
        <v>1</v>
      </c>
      <c r="AM788" s="312"/>
      <c r="AN788" s="313"/>
      <c r="AO788" s="312" t="s">
        <v>2123</v>
      </c>
      <c r="AP788" s="307"/>
      <c r="AQ788" s="45" t="s">
        <v>2198</v>
      </c>
      <c r="AS788" s="45">
        <v>1</v>
      </c>
    </row>
    <row r="789" s="45" customFormat="1" spans="1:45">
      <c r="A789" s="45">
        <v>491036</v>
      </c>
      <c r="B789" s="308">
        <v>1001</v>
      </c>
      <c r="C789" s="308">
        <v>3</v>
      </c>
      <c r="D789" s="308">
        <v>1001</v>
      </c>
      <c r="E789" s="45" t="s">
        <v>2201</v>
      </c>
      <c r="F789" s="45" t="s">
        <v>2201</v>
      </c>
      <c r="G789" s="45" t="s">
        <v>2202</v>
      </c>
      <c r="H789" s="45" t="s">
        <v>2203</v>
      </c>
      <c r="I789" s="45">
        <v>1</v>
      </c>
      <c r="J789" s="45">
        <v>5</v>
      </c>
      <c r="K789" s="308">
        <v>2</v>
      </c>
      <c r="L789" s="8">
        <v>9999</v>
      </c>
      <c r="M789" s="308">
        <v>0</v>
      </c>
      <c r="N789" s="308">
        <v>1011</v>
      </c>
      <c r="O789" s="309">
        <v>173</v>
      </c>
      <c r="S789" s="308">
        <v>1</v>
      </c>
      <c r="T789" s="308">
        <v>5</v>
      </c>
      <c r="U789" s="308">
        <v>700</v>
      </c>
      <c r="V789" s="308">
        <v>0</v>
      </c>
      <c r="W789" s="45">
        <v>1</v>
      </c>
      <c r="X789" s="45">
        <v>1</v>
      </c>
      <c r="Y789" s="45">
        <v>0</v>
      </c>
      <c r="Z789" s="45">
        <v>2</v>
      </c>
      <c r="AA789" s="45">
        <v>5</v>
      </c>
      <c r="AB789" s="45">
        <v>8000</v>
      </c>
      <c r="AC789" s="308">
        <v>850</v>
      </c>
      <c r="AD789" s="310">
        <v>0</v>
      </c>
      <c r="AE789" s="310">
        <v>2</v>
      </c>
      <c r="AF789" s="310">
        <v>1</v>
      </c>
      <c r="AG789" s="311">
        <v>1</v>
      </c>
      <c r="AH789" s="311">
        <v>1</v>
      </c>
      <c r="AI789" s="311"/>
      <c r="AJ789" s="311"/>
      <c r="AK789" s="311"/>
      <c r="AL789" s="312">
        <v>1</v>
      </c>
      <c r="AM789" s="312"/>
      <c r="AN789" s="313"/>
      <c r="AO789" s="312" t="s">
        <v>2128</v>
      </c>
      <c r="AP789" s="307"/>
      <c r="AQ789" s="45" t="s">
        <v>2201</v>
      </c>
      <c r="AS789" s="45">
        <v>1</v>
      </c>
    </row>
    <row r="790" s="45" customFormat="1" spans="1:45">
      <c r="A790" s="45">
        <v>491037</v>
      </c>
      <c r="B790" s="308">
        <v>1001</v>
      </c>
      <c r="C790" s="308">
        <v>3</v>
      </c>
      <c r="D790" s="308">
        <v>1001</v>
      </c>
      <c r="E790" s="45" t="s">
        <v>2204</v>
      </c>
      <c r="F790" s="45" t="s">
        <v>2204</v>
      </c>
      <c r="G790" s="45" t="s">
        <v>2205</v>
      </c>
      <c r="H790" s="45" t="s">
        <v>2206</v>
      </c>
      <c r="I790" s="45">
        <v>1</v>
      </c>
      <c r="J790" s="45">
        <v>5</v>
      </c>
      <c r="K790" s="308">
        <v>2</v>
      </c>
      <c r="L790" s="8">
        <v>9999</v>
      </c>
      <c r="M790" s="308">
        <v>0</v>
      </c>
      <c r="N790" s="308">
        <v>1011</v>
      </c>
      <c r="O790" s="309">
        <v>174</v>
      </c>
      <c r="S790" s="308">
        <v>1</v>
      </c>
      <c r="T790" s="308">
        <v>5</v>
      </c>
      <c r="U790" s="308">
        <v>700</v>
      </c>
      <c r="V790" s="308">
        <v>0</v>
      </c>
      <c r="W790" s="45">
        <v>1</v>
      </c>
      <c r="X790" s="45">
        <v>1</v>
      </c>
      <c r="Y790" s="45">
        <v>0</v>
      </c>
      <c r="Z790" s="45">
        <v>2</v>
      </c>
      <c r="AA790" s="45">
        <v>5</v>
      </c>
      <c r="AB790" s="45">
        <v>8000</v>
      </c>
      <c r="AC790" s="308">
        <v>850</v>
      </c>
      <c r="AD790" s="310">
        <v>0</v>
      </c>
      <c r="AE790" s="310">
        <v>2</v>
      </c>
      <c r="AF790" s="310">
        <v>1</v>
      </c>
      <c r="AG790" s="311">
        <v>1</v>
      </c>
      <c r="AH790" s="311">
        <v>1</v>
      </c>
      <c r="AI790" s="311"/>
      <c r="AJ790" s="311"/>
      <c r="AK790" s="311"/>
      <c r="AL790" s="312">
        <v>1</v>
      </c>
      <c r="AM790" s="312"/>
      <c r="AN790" s="313"/>
      <c r="AO790" s="312" t="s">
        <v>2123</v>
      </c>
      <c r="AP790" s="307"/>
      <c r="AQ790" s="45" t="s">
        <v>2204</v>
      </c>
      <c r="AS790" s="45">
        <v>1</v>
      </c>
    </row>
    <row r="791" s="45" customFormat="1" spans="1:45">
      <c r="A791" s="45">
        <v>491038</v>
      </c>
      <c r="B791" s="308">
        <v>1001</v>
      </c>
      <c r="C791" s="308">
        <v>3</v>
      </c>
      <c r="D791" s="308">
        <v>1001</v>
      </c>
      <c r="E791" s="45" t="s">
        <v>2207</v>
      </c>
      <c r="F791" s="45" t="s">
        <v>2207</v>
      </c>
      <c r="G791" s="45" t="s">
        <v>2208</v>
      </c>
      <c r="H791" s="45" t="s">
        <v>2209</v>
      </c>
      <c r="I791" s="45">
        <v>1</v>
      </c>
      <c r="J791" s="45">
        <v>5</v>
      </c>
      <c r="K791" s="308">
        <v>2</v>
      </c>
      <c r="L791" s="8">
        <v>9999</v>
      </c>
      <c r="M791" s="308">
        <v>0</v>
      </c>
      <c r="N791" s="308">
        <v>1022</v>
      </c>
      <c r="O791" s="309">
        <v>30143</v>
      </c>
      <c r="S791" s="308">
        <v>1</v>
      </c>
      <c r="T791" s="308">
        <v>5</v>
      </c>
      <c r="U791" s="308">
        <v>700</v>
      </c>
      <c r="V791" s="308">
        <v>0</v>
      </c>
      <c r="W791" s="45">
        <v>1</v>
      </c>
      <c r="X791" s="45">
        <v>1</v>
      </c>
      <c r="Y791" s="45">
        <v>0</v>
      </c>
      <c r="Z791" s="45">
        <v>2</v>
      </c>
      <c r="AA791" s="45">
        <v>5</v>
      </c>
      <c r="AB791" s="45">
        <v>8000</v>
      </c>
      <c r="AC791" s="308">
        <v>850</v>
      </c>
      <c r="AD791" s="310">
        <v>0</v>
      </c>
      <c r="AE791" s="310">
        <v>2</v>
      </c>
      <c r="AF791" s="310">
        <v>1</v>
      </c>
      <c r="AG791" s="311">
        <v>1</v>
      </c>
      <c r="AH791" s="311">
        <v>1</v>
      </c>
      <c r="AI791" s="311"/>
      <c r="AJ791" s="311"/>
      <c r="AK791" s="311"/>
      <c r="AL791" s="312">
        <v>1</v>
      </c>
      <c r="AM791" s="312"/>
      <c r="AN791" s="313"/>
      <c r="AO791" s="312" t="s">
        <v>2194</v>
      </c>
      <c r="AP791" s="307"/>
      <c r="AQ791" s="45" t="s">
        <v>2207</v>
      </c>
      <c r="AS791" s="45">
        <v>1</v>
      </c>
    </row>
    <row r="792" s="45" customFormat="1" spans="1:45">
      <c r="A792" s="45">
        <v>491039</v>
      </c>
      <c r="B792" s="308">
        <v>1001</v>
      </c>
      <c r="C792" s="308">
        <v>3</v>
      </c>
      <c r="D792" s="308">
        <v>1001</v>
      </c>
      <c r="E792" s="45" t="s">
        <v>2210</v>
      </c>
      <c r="F792" s="45" t="s">
        <v>2210</v>
      </c>
      <c r="G792" s="45" t="s">
        <v>2211</v>
      </c>
      <c r="H792" s="45" t="s">
        <v>2212</v>
      </c>
      <c r="I792" s="45">
        <v>1</v>
      </c>
      <c r="J792" s="45">
        <v>5</v>
      </c>
      <c r="K792" s="308">
        <v>2</v>
      </c>
      <c r="L792" s="8">
        <v>9999</v>
      </c>
      <c r="M792" s="308">
        <v>0</v>
      </c>
      <c r="N792" s="308">
        <v>1022</v>
      </c>
      <c r="O792" s="309">
        <v>30144</v>
      </c>
      <c r="S792" s="308">
        <v>1</v>
      </c>
      <c r="T792" s="308">
        <v>5</v>
      </c>
      <c r="U792" s="308">
        <v>700</v>
      </c>
      <c r="V792" s="308">
        <v>0</v>
      </c>
      <c r="W792" s="45">
        <v>1</v>
      </c>
      <c r="X792" s="45">
        <v>1</v>
      </c>
      <c r="Y792" s="45">
        <v>0</v>
      </c>
      <c r="Z792" s="45">
        <v>2</v>
      </c>
      <c r="AA792" s="45">
        <v>5</v>
      </c>
      <c r="AB792" s="45">
        <v>8000</v>
      </c>
      <c r="AC792" s="308">
        <v>850</v>
      </c>
      <c r="AD792" s="310">
        <v>0</v>
      </c>
      <c r="AE792" s="310">
        <v>2</v>
      </c>
      <c r="AF792" s="310">
        <v>1</v>
      </c>
      <c r="AG792" s="311">
        <v>1</v>
      </c>
      <c r="AH792" s="311">
        <v>1</v>
      </c>
      <c r="AI792" s="311"/>
      <c r="AJ792" s="311"/>
      <c r="AK792" s="311"/>
      <c r="AL792" s="312">
        <v>1</v>
      </c>
      <c r="AM792" s="312"/>
      <c r="AN792" s="313"/>
      <c r="AO792" s="312" t="s">
        <v>2128</v>
      </c>
      <c r="AP792" s="307"/>
      <c r="AQ792" s="45" t="s">
        <v>2210</v>
      </c>
      <c r="AS792" s="45">
        <v>1</v>
      </c>
    </row>
    <row r="793" s="45" customFormat="1" spans="1:45">
      <c r="A793" s="45">
        <v>491040</v>
      </c>
      <c r="B793" s="308">
        <v>1001</v>
      </c>
      <c r="C793" s="308">
        <v>3</v>
      </c>
      <c r="D793" s="308">
        <v>1001</v>
      </c>
      <c r="E793" s="45" t="s">
        <v>2213</v>
      </c>
      <c r="F793" s="45" t="s">
        <v>2213</v>
      </c>
      <c r="G793" s="45" t="s">
        <v>2214</v>
      </c>
      <c r="H793" s="45" t="s">
        <v>2215</v>
      </c>
      <c r="I793" s="45">
        <v>1</v>
      </c>
      <c r="J793" s="45">
        <v>5</v>
      </c>
      <c r="K793" s="308">
        <v>2</v>
      </c>
      <c r="L793" s="8">
        <v>9999</v>
      </c>
      <c r="M793" s="308">
        <v>0</v>
      </c>
      <c r="N793" s="308">
        <v>1022</v>
      </c>
      <c r="O793" s="309">
        <v>30145</v>
      </c>
      <c r="S793" s="308">
        <v>1</v>
      </c>
      <c r="T793" s="308">
        <v>5</v>
      </c>
      <c r="U793" s="308">
        <v>700</v>
      </c>
      <c r="V793" s="308">
        <v>0</v>
      </c>
      <c r="W793" s="45">
        <v>1</v>
      </c>
      <c r="X793" s="45">
        <v>1</v>
      </c>
      <c r="Y793" s="45">
        <v>0</v>
      </c>
      <c r="Z793" s="45">
        <v>2</v>
      </c>
      <c r="AA793" s="45">
        <v>5</v>
      </c>
      <c r="AB793" s="45">
        <v>8000</v>
      </c>
      <c r="AC793" s="308">
        <v>850</v>
      </c>
      <c r="AD793" s="310">
        <v>0</v>
      </c>
      <c r="AE793" s="310">
        <v>2</v>
      </c>
      <c r="AF793" s="310">
        <v>1</v>
      </c>
      <c r="AG793" s="311">
        <v>1</v>
      </c>
      <c r="AH793" s="311">
        <v>1</v>
      </c>
      <c r="AI793" s="311"/>
      <c r="AJ793" s="311"/>
      <c r="AK793" s="311"/>
      <c r="AL793" s="312">
        <v>1</v>
      </c>
      <c r="AM793" s="312"/>
      <c r="AN793" s="313"/>
      <c r="AO793" s="312" t="s">
        <v>2123</v>
      </c>
      <c r="AP793" s="307"/>
      <c r="AQ793" s="45" t="s">
        <v>2213</v>
      </c>
      <c r="AS793" s="45">
        <v>1</v>
      </c>
    </row>
    <row r="794" s="45" customFormat="1" spans="1:45">
      <c r="A794" s="45">
        <v>491041</v>
      </c>
      <c r="B794" s="308">
        <v>1001</v>
      </c>
      <c r="C794" s="308">
        <v>3</v>
      </c>
      <c r="D794" s="308">
        <v>1001</v>
      </c>
      <c r="E794" s="45" t="s">
        <v>2216</v>
      </c>
      <c r="F794" s="45" t="s">
        <v>2216</v>
      </c>
      <c r="G794" s="45" t="s">
        <v>2217</v>
      </c>
      <c r="H794" s="45" t="s">
        <v>2218</v>
      </c>
      <c r="I794" s="45">
        <v>1</v>
      </c>
      <c r="J794" s="45">
        <v>5</v>
      </c>
      <c r="K794" s="308">
        <v>2</v>
      </c>
      <c r="L794" s="8">
        <v>9999</v>
      </c>
      <c r="M794" s="308">
        <v>0</v>
      </c>
      <c r="N794" s="308">
        <v>1022</v>
      </c>
      <c r="O794" s="309">
        <v>30146</v>
      </c>
      <c r="S794" s="308">
        <v>1</v>
      </c>
      <c r="T794" s="308">
        <v>5</v>
      </c>
      <c r="U794" s="308">
        <v>700</v>
      </c>
      <c r="V794" s="308">
        <v>0</v>
      </c>
      <c r="W794" s="45">
        <v>1</v>
      </c>
      <c r="X794" s="45">
        <v>1</v>
      </c>
      <c r="Y794" s="45">
        <v>0</v>
      </c>
      <c r="Z794" s="45">
        <v>2</v>
      </c>
      <c r="AA794" s="45">
        <v>5</v>
      </c>
      <c r="AB794" s="45">
        <v>8000</v>
      </c>
      <c r="AC794" s="308">
        <v>850</v>
      </c>
      <c r="AD794" s="310">
        <v>0</v>
      </c>
      <c r="AE794" s="310">
        <v>2</v>
      </c>
      <c r="AF794" s="310">
        <v>1</v>
      </c>
      <c r="AG794" s="311">
        <v>1</v>
      </c>
      <c r="AH794" s="311">
        <v>1</v>
      </c>
      <c r="AI794" s="311"/>
      <c r="AJ794" s="311"/>
      <c r="AK794" s="311"/>
      <c r="AL794" s="312">
        <v>1</v>
      </c>
      <c r="AM794" s="312"/>
      <c r="AN794" s="313"/>
      <c r="AO794" s="312" t="s">
        <v>2133</v>
      </c>
      <c r="AP794" s="307"/>
      <c r="AQ794" s="45" t="s">
        <v>2216</v>
      </c>
      <c r="AS794" s="45">
        <v>1</v>
      </c>
    </row>
    <row r="795" s="46" customFormat="1" spans="1:45">
      <c r="A795" s="45">
        <v>491042</v>
      </c>
      <c r="B795" s="308">
        <v>1001</v>
      </c>
      <c r="C795" s="308">
        <v>3</v>
      </c>
      <c r="D795" s="308">
        <v>1001</v>
      </c>
      <c r="E795" s="46"/>
      <c r="F795" s="314"/>
      <c r="G795" s="46"/>
      <c r="H795" s="45" t="s">
        <v>2219</v>
      </c>
      <c r="I795" s="45">
        <v>1</v>
      </c>
      <c r="J795" s="45">
        <v>5</v>
      </c>
      <c r="K795" s="308">
        <v>2</v>
      </c>
      <c r="L795" s="308">
        <v>999</v>
      </c>
      <c r="M795" s="308">
        <v>0</v>
      </c>
      <c r="N795" s="308"/>
      <c r="O795" s="309"/>
      <c r="S795" s="308">
        <v>1</v>
      </c>
      <c r="T795" s="308">
        <v>5</v>
      </c>
      <c r="U795" s="308">
        <v>700</v>
      </c>
      <c r="V795" s="308">
        <v>0</v>
      </c>
      <c r="W795" s="45">
        <v>1</v>
      </c>
      <c r="X795" s="45">
        <v>1</v>
      </c>
      <c r="Y795" s="45">
        <v>0</v>
      </c>
      <c r="Z795" s="45">
        <v>2</v>
      </c>
      <c r="AA795" s="45">
        <v>5</v>
      </c>
      <c r="AB795" s="45">
        <v>5000</v>
      </c>
      <c r="AC795" s="308">
        <v>850</v>
      </c>
      <c r="AD795" s="310">
        <v>0</v>
      </c>
      <c r="AE795" s="310">
        <v>2</v>
      </c>
      <c r="AF795" s="310">
        <v>1</v>
      </c>
      <c r="AG795" s="311">
        <v>1</v>
      </c>
      <c r="AH795" s="311">
        <v>1</v>
      </c>
      <c r="AI795" s="311"/>
      <c r="AJ795" s="311"/>
      <c r="AK795" s="311"/>
      <c r="AL795" s="312">
        <v>1</v>
      </c>
      <c r="AM795" s="312"/>
      <c r="AN795" s="313"/>
      <c r="AO795" s="312" t="s">
        <v>2220</v>
      </c>
      <c r="AP795" s="307"/>
      <c r="AQ795" s="45" t="s">
        <v>2221</v>
      </c>
      <c r="AS795" s="45">
        <v>1</v>
      </c>
    </row>
    <row r="796" s="46" customFormat="1" spans="1:45">
      <c r="A796" s="46">
        <v>491043</v>
      </c>
      <c r="B796" s="315">
        <v>1001</v>
      </c>
      <c r="C796" s="315">
        <v>3</v>
      </c>
      <c r="D796" s="315">
        <v>1001</v>
      </c>
      <c r="E796" s="46" t="s">
        <v>2222</v>
      </c>
      <c r="F796" s="314" t="s">
        <v>2125</v>
      </c>
      <c r="G796" s="46" t="s">
        <v>2223</v>
      </c>
      <c r="H796" s="46" t="s">
        <v>2127</v>
      </c>
      <c r="I796" s="46">
        <v>1</v>
      </c>
      <c r="J796" s="46">
        <v>1</v>
      </c>
      <c r="K796" s="315">
        <v>2</v>
      </c>
      <c r="L796" s="315">
        <v>999</v>
      </c>
      <c r="M796" s="315">
        <v>0</v>
      </c>
      <c r="N796" s="315">
        <v>1011</v>
      </c>
      <c r="O796" s="316">
        <v>1001</v>
      </c>
      <c r="S796" s="315">
        <v>1</v>
      </c>
      <c r="T796" s="315">
        <v>5</v>
      </c>
      <c r="U796" s="315">
        <v>500</v>
      </c>
      <c r="V796" s="315">
        <v>0</v>
      </c>
      <c r="W796" s="46">
        <v>1</v>
      </c>
      <c r="X796" s="46">
        <v>1</v>
      </c>
      <c r="Y796" s="46">
        <v>0</v>
      </c>
      <c r="Z796" s="46">
        <v>2</v>
      </c>
      <c r="AA796" s="46">
        <v>5</v>
      </c>
      <c r="AB796" s="46">
        <v>5000</v>
      </c>
      <c r="AC796" s="315">
        <v>840</v>
      </c>
      <c r="AD796" s="317">
        <v>0</v>
      </c>
      <c r="AE796" s="317">
        <v>2</v>
      </c>
      <c r="AF796" s="317">
        <v>1</v>
      </c>
      <c r="AG796" s="318">
        <v>1</v>
      </c>
      <c r="AH796" s="318">
        <v>1</v>
      </c>
      <c r="AI796" s="318"/>
      <c r="AJ796" s="318"/>
      <c r="AK796" s="318"/>
      <c r="AL796" s="319">
        <v>1</v>
      </c>
      <c r="AM796" s="319"/>
      <c r="AN796" s="320"/>
      <c r="AO796" s="319" t="s">
        <v>2128</v>
      </c>
      <c r="AQ796" s="321" t="s">
        <v>2129</v>
      </c>
      <c r="AS796" s="46">
        <v>1</v>
      </c>
    </row>
    <row r="797" s="46" customFormat="1" spans="1:45">
      <c r="A797" s="46">
        <v>491044</v>
      </c>
      <c r="B797" s="315">
        <v>1001</v>
      </c>
      <c r="C797" s="315">
        <v>3</v>
      </c>
      <c r="D797" s="315">
        <v>1001</v>
      </c>
      <c r="E797" s="46" t="s">
        <v>2224</v>
      </c>
      <c r="F797" s="314" t="s">
        <v>2125</v>
      </c>
      <c r="G797" s="46" t="s">
        <v>2225</v>
      </c>
      <c r="H797" s="46" t="s">
        <v>2127</v>
      </c>
      <c r="I797" s="46">
        <v>1</v>
      </c>
      <c r="J797" s="46">
        <v>1</v>
      </c>
      <c r="K797" s="315">
        <v>2</v>
      </c>
      <c r="L797" s="315">
        <v>999</v>
      </c>
      <c r="M797" s="315">
        <v>0</v>
      </c>
      <c r="N797" s="315">
        <v>1011</v>
      </c>
      <c r="O797" s="316">
        <v>1002</v>
      </c>
      <c r="S797" s="315">
        <v>1</v>
      </c>
      <c r="T797" s="315">
        <v>5</v>
      </c>
      <c r="U797" s="315">
        <v>500</v>
      </c>
      <c r="V797" s="315">
        <v>0</v>
      </c>
      <c r="W797" s="46">
        <v>1</v>
      </c>
      <c r="X797" s="46">
        <v>1</v>
      </c>
      <c r="Y797" s="46">
        <v>0</v>
      </c>
      <c r="Z797" s="46">
        <v>2</v>
      </c>
      <c r="AA797" s="46">
        <v>5</v>
      </c>
      <c r="AB797" s="46">
        <v>5000</v>
      </c>
      <c r="AC797" s="315">
        <v>840</v>
      </c>
      <c r="AD797" s="317">
        <v>0</v>
      </c>
      <c r="AE797" s="317">
        <v>2</v>
      </c>
      <c r="AF797" s="317">
        <v>1</v>
      </c>
      <c r="AG797" s="318">
        <v>1</v>
      </c>
      <c r="AH797" s="318">
        <v>1</v>
      </c>
      <c r="AI797" s="318"/>
      <c r="AJ797" s="318"/>
      <c r="AK797" s="318"/>
      <c r="AL797" s="319">
        <v>1</v>
      </c>
      <c r="AM797" s="319"/>
      <c r="AN797" s="320"/>
      <c r="AO797" s="319" t="s">
        <v>2128</v>
      </c>
      <c r="AQ797" s="321" t="s">
        <v>2129</v>
      </c>
      <c r="AS797" s="46">
        <v>1</v>
      </c>
    </row>
    <row r="798" spans="1:45">
      <c r="A798" s="46">
        <v>491045</v>
      </c>
      <c r="B798" s="315">
        <v>1001</v>
      </c>
      <c r="C798" s="315">
        <v>3</v>
      </c>
      <c r="D798" s="315">
        <v>1001</v>
      </c>
      <c r="E798" s="46" t="s">
        <v>2226</v>
      </c>
      <c r="F798" s="314" t="s">
        <v>2125</v>
      </c>
      <c r="G798" s="46" t="s">
        <v>2227</v>
      </c>
      <c r="H798" s="46" t="s">
        <v>2127</v>
      </c>
      <c r="I798" s="46">
        <v>1</v>
      </c>
      <c r="J798" s="46">
        <v>1</v>
      </c>
      <c r="K798" s="315">
        <v>2</v>
      </c>
      <c r="L798" s="315">
        <v>999</v>
      </c>
      <c r="M798" s="315">
        <v>0</v>
      </c>
      <c r="N798" s="315">
        <v>1011</v>
      </c>
      <c r="O798" s="316">
        <v>1003</v>
      </c>
      <c r="S798" s="315">
        <v>1</v>
      </c>
      <c r="T798" s="315">
        <v>5</v>
      </c>
      <c r="U798" s="315">
        <v>500</v>
      </c>
      <c r="V798" s="315">
        <v>0</v>
      </c>
      <c r="W798" s="46">
        <v>1</v>
      </c>
      <c r="X798" s="46">
        <v>1</v>
      </c>
      <c r="Y798" s="46">
        <v>0</v>
      </c>
      <c r="Z798" s="46">
        <v>2</v>
      </c>
      <c r="AA798" s="46">
        <v>5</v>
      </c>
      <c r="AB798" s="46">
        <v>5000</v>
      </c>
      <c r="AC798" s="315">
        <v>840</v>
      </c>
      <c r="AD798" s="317">
        <v>0</v>
      </c>
      <c r="AE798" s="317">
        <v>1</v>
      </c>
      <c r="AF798" s="317">
        <v>1</v>
      </c>
      <c r="AG798" s="318">
        <v>1</v>
      </c>
      <c r="AH798" s="318">
        <v>1</v>
      </c>
      <c r="AI798" s="318"/>
      <c r="AJ798" s="318"/>
      <c r="AK798" s="318"/>
      <c r="AL798" s="319">
        <v>1</v>
      </c>
      <c r="AM798" s="319"/>
      <c r="AN798" s="320"/>
      <c r="AO798" s="319" t="s">
        <v>2128</v>
      </c>
      <c r="AQ798" s="321" t="s">
        <v>2129</v>
      </c>
      <c r="AS798" s="46">
        <v>1</v>
      </c>
    </row>
    <row r="799" spans="1:45">
      <c r="A799">
        <v>492001</v>
      </c>
      <c r="B799" s="8">
        <v>1001</v>
      </c>
      <c r="C799" s="8">
        <v>3</v>
      </c>
      <c r="D799" s="8">
        <v>1001</v>
      </c>
      <c r="E799" s="322" t="s">
        <v>2228</v>
      </c>
      <c r="F799" s="13" t="s">
        <v>2229</v>
      </c>
      <c r="G799" t="s">
        <v>2230</v>
      </c>
      <c r="H799" t="s">
        <v>2059</v>
      </c>
      <c r="I799">
        <v>1</v>
      </c>
      <c r="J799">
        <v>1</v>
      </c>
      <c r="K799" s="87">
        <v>2</v>
      </c>
      <c r="L799" s="8">
        <v>9999</v>
      </c>
      <c r="M799" s="8">
        <v>0</v>
      </c>
      <c r="N799" s="8">
        <v>1011</v>
      </c>
      <c r="O799" s="131">
        <v>1</v>
      </c>
      <c r="S799" s="89">
        <v>1</v>
      </c>
      <c r="T799" s="8">
        <v>5</v>
      </c>
      <c r="U799" s="89">
        <v>700</v>
      </c>
      <c r="V799" s="87">
        <v>0</v>
      </c>
      <c r="W799">
        <v>1</v>
      </c>
      <c r="X799">
        <v>1</v>
      </c>
      <c r="Y799">
        <v>0</v>
      </c>
      <c r="Z799" s="33">
        <v>2</v>
      </c>
      <c r="AA799">
        <v>5</v>
      </c>
      <c r="AB799" s="34">
        <v>8000</v>
      </c>
      <c r="AC799" s="87">
        <v>850</v>
      </c>
      <c r="AD799" s="62">
        <v>0</v>
      </c>
      <c r="AE799" s="62">
        <v>2</v>
      </c>
      <c r="AF799" s="62">
        <v>1</v>
      </c>
      <c r="AG799" s="91">
        <v>1</v>
      </c>
      <c r="AH799" s="91">
        <v>1</v>
      </c>
      <c r="AI799" s="91"/>
      <c r="AJ799" s="91"/>
      <c r="AK799" s="91"/>
      <c r="AL799" s="92">
        <v>1</v>
      </c>
      <c r="AM799" s="92"/>
      <c r="AN799" s="93"/>
      <c r="AO799" s="92" t="s">
        <v>2060</v>
      </c>
      <c r="AQ799" s="305" t="s">
        <v>2231</v>
      </c>
      <c r="AS799">
        <v>1</v>
      </c>
    </row>
    <row r="800" spans="1:45">
      <c r="A800">
        <v>492002</v>
      </c>
      <c r="B800" s="8">
        <v>1001</v>
      </c>
      <c r="C800" s="8">
        <v>3</v>
      </c>
      <c r="D800" s="8">
        <v>1001</v>
      </c>
      <c r="E800" s="322" t="s">
        <v>2232</v>
      </c>
      <c r="F800" s="13" t="s">
        <v>2233</v>
      </c>
      <c r="G800" t="s">
        <v>2234</v>
      </c>
      <c r="H800" t="s">
        <v>2064</v>
      </c>
      <c r="I800">
        <v>1</v>
      </c>
      <c r="J800">
        <v>1</v>
      </c>
      <c r="K800" s="87">
        <v>2</v>
      </c>
      <c r="L800" s="8">
        <v>9999</v>
      </c>
      <c r="M800" s="8">
        <v>0</v>
      </c>
      <c r="N800" s="8">
        <v>1011</v>
      </c>
      <c r="O800" s="131">
        <v>1</v>
      </c>
      <c r="S800" s="89">
        <v>1</v>
      </c>
      <c r="T800" s="8">
        <v>5</v>
      </c>
      <c r="U800" s="89">
        <v>700</v>
      </c>
      <c r="V800" s="87">
        <v>0</v>
      </c>
      <c r="W800">
        <v>1</v>
      </c>
      <c r="X800">
        <v>1</v>
      </c>
      <c r="Y800">
        <v>0</v>
      </c>
      <c r="Z800" s="33">
        <v>2</v>
      </c>
      <c r="AA800">
        <v>5</v>
      </c>
      <c r="AB800" s="34">
        <v>8000</v>
      </c>
      <c r="AC800" s="87">
        <v>850</v>
      </c>
      <c r="AD800" s="62">
        <v>0</v>
      </c>
      <c r="AE800" s="62">
        <v>2</v>
      </c>
      <c r="AF800" s="62">
        <v>1</v>
      </c>
      <c r="AG800" s="91">
        <v>1</v>
      </c>
      <c r="AH800" s="91">
        <v>1</v>
      </c>
      <c r="AI800" s="91"/>
      <c r="AJ800" s="91"/>
      <c r="AK800" s="91"/>
      <c r="AL800" s="92">
        <v>1</v>
      </c>
      <c r="AM800" s="92"/>
      <c r="AN800" s="93"/>
      <c r="AO800" s="92" t="s">
        <v>2060</v>
      </c>
      <c r="AQ800" s="305" t="s">
        <v>2062</v>
      </c>
      <c r="AS800">
        <v>1</v>
      </c>
    </row>
    <row r="801" spans="1:45">
      <c r="A801">
        <v>492003</v>
      </c>
      <c r="B801" s="8">
        <v>1001</v>
      </c>
      <c r="C801" s="8">
        <v>3</v>
      </c>
      <c r="D801" s="8">
        <v>1001</v>
      </c>
      <c r="E801" s="322" t="s">
        <v>2235</v>
      </c>
      <c r="F801" s="13" t="s">
        <v>2235</v>
      </c>
      <c r="G801" t="s">
        <v>2236</v>
      </c>
      <c r="H801" t="s">
        <v>2068</v>
      </c>
      <c r="I801">
        <v>1</v>
      </c>
      <c r="J801">
        <v>1</v>
      </c>
      <c r="K801" s="87">
        <v>2</v>
      </c>
      <c r="L801" s="8">
        <v>9999</v>
      </c>
      <c r="M801" s="8">
        <v>0</v>
      </c>
      <c r="N801" s="8">
        <v>1011</v>
      </c>
      <c r="O801" s="131">
        <v>1</v>
      </c>
      <c r="S801" s="89">
        <v>1</v>
      </c>
      <c r="T801" s="8">
        <v>5</v>
      </c>
      <c r="U801" s="89">
        <v>700</v>
      </c>
      <c r="V801" s="87">
        <v>0</v>
      </c>
      <c r="W801">
        <v>1</v>
      </c>
      <c r="X801">
        <v>1</v>
      </c>
      <c r="Y801">
        <v>0</v>
      </c>
      <c r="Z801" s="33">
        <v>2</v>
      </c>
      <c r="AA801">
        <v>5</v>
      </c>
      <c r="AB801" s="34">
        <v>8000</v>
      </c>
      <c r="AC801" s="87">
        <v>850</v>
      </c>
      <c r="AD801" s="62">
        <v>0</v>
      </c>
      <c r="AE801" s="62">
        <v>2</v>
      </c>
      <c r="AF801" s="62">
        <v>1</v>
      </c>
      <c r="AG801" s="91">
        <v>1</v>
      </c>
      <c r="AH801" s="91">
        <v>1</v>
      </c>
      <c r="AI801" s="91"/>
      <c r="AJ801" s="91"/>
      <c r="AK801" s="91"/>
      <c r="AL801" s="92">
        <v>1</v>
      </c>
      <c r="AM801" s="92"/>
      <c r="AN801" s="93"/>
      <c r="AO801" s="92" t="s">
        <v>2060</v>
      </c>
      <c r="AQ801" s="305" t="s">
        <v>2237</v>
      </c>
      <c r="AS801">
        <v>1</v>
      </c>
    </row>
    <row r="802" spans="1:45">
      <c r="A802">
        <v>492004</v>
      </c>
      <c r="B802" s="8">
        <v>1001</v>
      </c>
      <c r="C802" s="8">
        <v>3</v>
      </c>
      <c r="D802" s="8">
        <v>1001</v>
      </c>
      <c r="E802" s="322" t="s">
        <v>2238</v>
      </c>
      <c r="F802" s="13" t="s">
        <v>2238</v>
      </c>
      <c r="G802" t="s">
        <v>2239</v>
      </c>
      <c r="H802" t="s">
        <v>2073</v>
      </c>
      <c r="I802">
        <v>1</v>
      </c>
      <c r="J802">
        <v>1</v>
      </c>
      <c r="K802" s="87">
        <v>2</v>
      </c>
      <c r="L802" s="8">
        <v>9999</v>
      </c>
      <c r="M802" s="8">
        <v>0</v>
      </c>
      <c r="N802" s="8">
        <v>1011</v>
      </c>
      <c r="O802" s="131">
        <v>1</v>
      </c>
      <c r="S802" s="89">
        <v>1</v>
      </c>
      <c r="T802" s="8">
        <v>5</v>
      </c>
      <c r="U802" s="89">
        <v>700</v>
      </c>
      <c r="V802" s="87">
        <v>0</v>
      </c>
      <c r="W802">
        <v>1</v>
      </c>
      <c r="X802">
        <v>1</v>
      </c>
      <c r="Y802">
        <v>0</v>
      </c>
      <c r="Z802" s="33">
        <v>2</v>
      </c>
      <c r="AA802">
        <v>5</v>
      </c>
      <c r="AB802" s="34">
        <v>8000</v>
      </c>
      <c r="AC802" s="87">
        <v>850</v>
      </c>
      <c r="AD802" s="62">
        <v>0</v>
      </c>
      <c r="AE802" s="62">
        <v>2</v>
      </c>
      <c r="AF802" s="62">
        <v>1</v>
      </c>
      <c r="AG802" s="91">
        <v>1</v>
      </c>
      <c r="AH802" s="91">
        <v>1</v>
      </c>
      <c r="AI802" s="91"/>
      <c r="AJ802" s="91"/>
      <c r="AK802" s="91"/>
      <c r="AL802" s="92">
        <v>1</v>
      </c>
      <c r="AM802" s="92"/>
      <c r="AN802" s="93"/>
      <c r="AO802" s="92" t="s">
        <v>2060</v>
      </c>
      <c r="AQ802" s="305" t="s">
        <v>2240</v>
      </c>
      <c r="AS802">
        <v>1</v>
      </c>
    </row>
    <row r="803" spans="1:45">
      <c r="A803">
        <v>492005</v>
      </c>
      <c r="B803" s="8">
        <v>1001</v>
      </c>
      <c r="C803" s="8">
        <v>3</v>
      </c>
      <c r="D803" s="8">
        <v>1001</v>
      </c>
      <c r="E803" s="322" t="s">
        <v>2241</v>
      </c>
      <c r="F803" s="13" t="s">
        <v>2241</v>
      </c>
      <c r="G803" t="s">
        <v>2242</v>
      </c>
      <c r="H803" t="s">
        <v>2077</v>
      </c>
      <c r="I803">
        <v>1</v>
      </c>
      <c r="J803">
        <v>1</v>
      </c>
      <c r="K803" s="87">
        <v>2</v>
      </c>
      <c r="L803" s="8">
        <v>9999</v>
      </c>
      <c r="M803" s="8">
        <v>0</v>
      </c>
      <c r="N803" s="8">
        <v>1011</v>
      </c>
      <c r="O803" s="131">
        <v>1</v>
      </c>
      <c r="S803" s="89">
        <v>1</v>
      </c>
      <c r="T803" s="8">
        <v>5</v>
      </c>
      <c r="U803" s="89">
        <v>700</v>
      </c>
      <c r="V803" s="87">
        <v>0</v>
      </c>
      <c r="W803">
        <v>1</v>
      </c>
      <c r="X803">
        <v>1</v>
      </c>
      <c r="Y803">
        <v>0</v>
      </c>
      <c r="Z803" s="33">
        <v>2</v>
      </c>
      <c r="AA803">
        <v>5</v>
      </c>
      <c r="AB803" s="34">
        <v>8000</v>
      </c>
      <c r="AC803" s="87">
        <v>850</v>
      </c>
      <c r="AD803" s="62">
        <v>0</v>
      </c>
      <c r="AE803" s="62">
        <v>2</v>
      </c>
      <c r="AF803" s="62">
        <v>1</v>
      </c>
      <c r="AG803" s="91">
        <v>1</v>
      </c>
      <c r="AH803" s="91">
        <v>1</v>
      </c>
      <c r="AI803" s="91"/>
      <c r="AJ803" s="91"/>
      <c r="AK803" s="91"/>
      <c r="AL803" s="92">
        <v>1</v>
      </c>
      <c r="AM803" s="92"/>
      <c r="AN803" s="93"/>
      <c r="AO803" s="92" t="s">
        <v>2060</v>
      </c>
      <c r="AQ803" s="305" t="s">
        <v>2243</v>
      </c>
      <c r="AS803">
        <v>1</v>
      </c>
    </row>
    <row r="804" spans="1:45">
      <c r="A804">
        <v>492006</v>
      </c>
      <c r="B804" s="8">
        <v>1001</v>
      </c>
      <c r="C804" s="8">
        <v>3</v>
      </c>
      <c r="D804" s="8">
        <v>1001</v>
      </c>
      <c r="E804" s="322" t="s">
        <v>2244</v>
      </c>
      <c r="F804" s="13" t="s">
        <v>2244</v>
      </c>
      <c r="G804" t="s">
        <v>2245</v>
      </c>
      <c r="H804" t="s">
        <v>2081</v>
      </c>
      <c r="I804">
        <v>1</v>
      </c>
      <c r="J804">
        <v>1</v>
      </c>
      <c r="K804" s="87">
        <v>2</v>
      </c>
      <c r="L804" s="8">
        <v>9999</v>
      </c>
      <c r="M804" s="8">
        <v>0</v>
      </c>
      <c r="N804" s="8">
        <v>1011</v>
      </c>
      <c r="O804" s="131">
        <v>1</v>
      </c>
      <c r="S804" s="89">
        <v>1</v>
      </c>
      <c r="T804" s="8">
        <v>5</v>
      </c>
      <c r="U804" s="89">
        <v>700</v>
      </c>
      <c r="V804" s="87">
        <v>0</v>
      </c>
      <c r="W804">
        <v>1</v>
      </c>
      <c r="X804">
        <v>1</v>
      </c>
      <c r="Y804">
        <v>0</v>
      </c>
      <c r="Z804" s="33">
        <v>2</v>
      </c>
      <c r="AA804">
        <v>5</v>
      </c>
      <c r="AB804" s="34">
        <v>8000</v>
      </c>
      <c r="AC804" s="87">
        <v>850</v>
      </c>
      <c r="AD804" s="62">
        <v>0</v>
      </c>
      <c r="AE804" s="62">
        <v>2</v>
      </c>
      <c r="AF804" s="62">
        <v>1</v>
      </c>
      <c r="AG804" s="91">
        <v>1</v>
      </c>
      <c r="AH804" s="91">
        <v>1</v>
      </c>
      <c r="AI804" s="91"/>
      <c r="AJ804" s="91"/>
      <c r="AK804" s="91"/>
      <c r="AL804" s="92">
        <v>1</v>
      </c>
      <c r="AM804" s="92"/>
      <c r="AN804" s="93"/>
      <c r="AO804" s="92" t="s">
        <v>2060</v>
      </c>
      <c r="AQ804" s="305" t="s">
        <v>2246</v>
      </c>
      <c r="AS804">
        <v>1</v>
      </c>
    </row>
    <row r="805" spans="1:45">
      <c r="A805">
        <v>492007</v>
      </c>
      <c r="B805" s="8">
        <v>1001</v>
      </c>
      <c r="C805" s="8">
        <v>3</v>
      </c>
      <c r="D805" s="8">
        <v>1001</v>
      </c>
      <c r="E805" s="322" t="s">
        <v>2247</v>
      </c>
      <c r="F805" s="13" t="s">
        <v>2247</v>
      </c>
      <c r="G805" t="s">
        <v>2248</v>
      </c>
      <c r="H805" t="s">
        <v>2085</v>
      </c>
      <c r="I805">
        <v>1</v>
      </c>
      <c r="J805">
        <v>1</v>
      </c>
      <c r="K805" s="87">
        <v>2</v>
      </c>
      <c r="L805" s="8">
        <v>9999</v>
      </c>
      <c r="M805" s="8">
        <v>0</v>
      </c>
      <c r="N805" s="8">
        <v>1011</v>
      </c>
      <c r="O805" s="131">
        <v>1</v>
      </c>
      <c r="S805" s="89">
        <v>1</v>
      </c>
      <c r="T805" s="8">
        <v>5</v>
      </c>
      <c r="U805" s="89">
        <v>700</v>
      </c>
      <c r="V805" s="87">
        <v>0</v>
      </c>
      <c r="W805">
        <v>1</v>
      </c>
      <c r="X805">
        <v>1</v>
      </c>
      <c r="Y805">
        <v>0</v>
      </c>
      <c r="Z805" s="33">
        <v>2</v>
      </c>
      <c r="AA805">
        <v>5</v>
      </c>
      <c r="AB805" s="34">
        <v>8000</v>
      </c>
      <c r="AC805" s="87">
        <v>850</v>
      </c>
      <c r="AD805" s="62">
        <v>0</v>
      </c>
      <c r="AE805" s="62">
        <v>2</v>
      </c>
      <c r="AF805" s="62">
        <v>1</v>
      </c>
      <c r="AG805" s="91">
        <v>1</v>
      </c>
      <c r="AH805" s="91">
        <v>1</v>
      </c>
      <c r="AI805" s="91"/>
      <c r="AJ805" s="91"/>
      <c r="AK805" s="91"/>
      <c r="AL805" s="92">
        <v>1</v>
      </c>
      <c r="AM805" s="92"/>
      <c r="AN805" s="93"/>
      <c r="AO805" s="92" t="s">
        <v>2060</v>
      </c>
      <c r="AQ805" s="305" t="s">
        <v>2249</v>
      </c>
      <c r="AS805">
        <v>1</v>
      </c>
    </row>
    <row r="806" ht="14.25" customHeight="1" spans="1:45">
      <c r="A806">
        <v>492008</v>
      </c>
      <c r="B806" s="8">
        <v>1001</v>
      </c>
      <c r="C806" s="8">
        <v>3</v>
      </c>
      <c r="D806" s="8">
        <v>1001</v>
      </c>
      <c r="E806" s="322" t="s">
        <v>2250</v>
      </c>
      <c r="F806" s="13" t="s">
        <v>2250</v>
      </c>
      <c r="G806" t="s">
        <v>2251</v>
      </c>
      <c r="H806" t="s">
        <v>2089</v>
      </c>
      <c r="I806">
        <v>1</v>
      </c>
      <c r="J806">
        <v>1</v>
      </c>
      <c r="K806" s="87">
        <v>2</v>
      </c>
      <c r="L806" s="8">
        <v>9999</v>
      </c>
      <c r="M806" s="8">
        <v>0</v>
      </c>
      <c r="N806" s="8">
        <v>1011</v>
      </c>
      <c r="O806" s="131">
        <v>1</v>
      </c>
      <c r="S806" s="89">
        <v>1</v>
      </c>
      <c r="T806" s="8">
        <v>5</v>
      </c>
      <c r="U806" s="89">
        <v>700</v>
      </c>
      <c r="V806" s="87">
        <v>0</v>
      </c>
      <c r="W806">
        <v>1</v>
      </c>
      <c r="X806">
        <v>1</v>
      </c>
      <c r="Y806">
        <v>0</v>
      </c>
      <c r="Z806" s="33">
        <v>2</v>
      </c>
      <c r="AA806">
        <v>5</v>
      </c>
      <c r="AB806" s="34">
        <v>8000</v>
      </c>
      <c r="AC806" s="87">
        <v>850</v>
      </c>
      <c r="AD806" s="62">
        <v>0</v>
      </c>
      <c r="AE806" s="62">
        <v>2</v>
      </c>
      <c r="AF806" s="62">
        <v>1</v>
      </c>
      <c r="AG806" s="91">
        <v>1</v>
      </c>
      <c r="AH806" s="91">
        <v>1</v>
      </c>
      <c r="AI806" s="91"/>
      <c r="AJ806" s="91"/>
      <c r="AK806" s="91"/>
      <c r="AL806" s="92">
        <v>1</v>
      </c>
      <c r="AM806" s="92"/>
      <c r="AN806" s="93"/>
      <c r="AO806" s="92" t="s">
        <v>2060</v>
      </c>
      <c r="AQ806" s="305" t="s">
        <v>2252</v>
      </c>
      <c r="AS806">
        <v>1</v>
      </c>
    </row>
    <row r="807" ht="14.25" customHeight="1" spans="1:45">
      <c r="A807">
        <v>492009</v>
      </c>
      <c r="B807" s="8">
        <v>1001</v>
      </c>
      <c r="C807" s="8">
        <v>3</v>
      </c>
      <c r="D807" s="8">
        <v>1001</v>
      </c>
      <c r="E807" s="322" t="s">
        <v>2253</v>
      </c>
      <c r="F807" s="13" t="s">
        <v>2253</v>
      </c>
      <c r="G807" t="s">
        <v>2092</v>
      </c>
      <c r="H807" t="s">
        <v>2093</v>
      </c>
      <c r="I807">
        <v>1</v>
      </c>
      <c r="J807">
        <v>1</v>
      </c>
      <c r="K807" s="87">
        <v>2</v>
      </c>
      <c r="L807" s="8">
        <v>9999</v>
      </c>
      <c r="M807" s="8">
        <v>0</v>
      </c>
      <c r="N807" s="8">
        <v>1022</v>
      </c>
      <c r="O807" s="306">
        <v>30046</v>
      </c>
      <c r="S807" s="89">
        <v>1</v>
      </c>
      <c r="T807" s="8">
        <v>5</v>
      </c>
      <c r="U807" s="89">
        <v>700</v>
      </c>
      <c r="V807" s="87">
        <v>0</v>
      </c>
      <c r="W807">
        <v>1</v>
      </c>
      <c r="X807">
        <v>1</v>
      </c>
      <c r="Y807">
        <v>0</v>
      </c>
      <c r="Z807" s="33">
        <v>2</v>
      </c>
      <c r="AA807">
        <v>5</v>
      </c>
      <c r="AB807" s="34">
        <v>8000</v>
      </c>
      <c r="AC807" s="87">
        <v>850</v>
      </c>
      <c r="AD807" s="62">
        <v>0</v>
      </c>
      <c r="AE807" s="62">
        <v>2</v>
      </c>
      <c r="AF807" s="62">
        <v>1</v>
      </c>
      <c r="AG807" s="91">
        <v>1</v>
      </c>
      <c r="AH807" s="91">
        <v>1</v>
      </c>
      <c r="AI807" s="91"/>
      <c r="AJ807" s="91"/>
      <c r="AK807" s="91"/>
      <c r="AL807" s="92">
        <v>1</v>
      </c>
      <c r="AM807" s="92"/>
      <c r="AN807" s="93"/>
      <c r="AO807" s="92" t="s">
        <v>2094</v>
      </c>
      <c r="AQ807" s="305" t="s">
        <v>2091</v>
      </c>
      <c r="AS807">
        <v>1</v>
      </c>
    </row>
    <row r="808" ht="14.25" customHeight="1" spans="1:45">
      <c r="A808">
        <v>492010</v>
      </c>
      <c r="B808" s="8">
        <v>1001</v>
      </c>
      <c r="C808" s="8">
        <v>3</v>
      </c>
      <c r="D808" s="8">
        <v>1001</v>
      </c>
      <c r="E808" s="322" t="s">
        <v>2254</v>
      </c>
      <c r="F808" s="13" t="s">
        <v>2254</v>
      </c>
      <c r="G808" t="s">
        <v>2255</v>
      </c>
      <c r="H808" t="s">
        <v>2256</v>
      </c>
      <c r="I808">
        <v>1</v>
      </c>
      <c r="J808">
        <v>1</v>
      </c>
      <c r="K808" s="87">
        <v>2</v>
      </c>
      <c r="L808" s="8">
        <v>9999</v>
      </c>
      <c r="M808" s="8">
        <v>0</v>
      </c>
      <c r="N808" s="8">
        <v>1022</v>
      </c>
      <c r="O808" s="306">
        <v>30075</v>
      </c>
      <c r="S808" s="89">
        <v>1</v>
      </c>
      <c r="T808" s="8">
        <v>5</v>
      </c>
      <c r="U808" s="89">
        <v>700</v>
      </c>
      <c r="V808" s="87">
        <v>0</v>
      </c>
      <c r="W808">
        <v>1</v>
      </c>
      <c r="X808">
        <v>1</v>
      </c>
      <c r="Y808">
        <v>0</v>
      </c>
      <c r="Z808" s="33">
        <v>2</v>
      </c>
      <c r="AA808">
        <v>5</v>
      </c>
      <c r="AB808" s="34">
        <v>8000</v>
      </c>
      <c r="AC808" s="87">
        <v>850</v>
      </c>
      <c r="AD808" s="62">
        <v>0</v>
      </c>
      <c r="AE808" s="62">
        <v>2</v>
      </c>
      <c r="AF808" s="62">
        <v>1</v>
      </c>
      <c r="AG808" s="91">
        <v>1</v>
      </c>
      <c r="AH808" s="91">
        <v>1</v>
      </c>
      <c r="AI808" s="91"/>
      <c r="AJ808" s="91"/>
      <c r="AK808" s="91"/>
      <c r="AL808" s="92">
        <v>1</v>
      </c>
      <c r="AM808" s="92"/>
      <c r="AN808" s="93"/>
      <c r="AO808" s="92" t="s">
        <v>2094</v>
      </c>
      <c r="AQ808" s="305" t="s">
        <v>2257</v>
      </c>
      <c r="AS808">
        <v>1</v>
      </c>
    </row>
    <row r="809" ht="14.25" customHeight="1" spans="1:45">
      <c r="A809">
        <v>492011</v>
      </c>
      <c r="B809" s="8">
        <v>1001</v>
      </c>
      <c r="C809" s="8">
        <v>3</v>
      </c>
      <c r="D809" s="8">
        <v>1001</v>
      </c>
      <c r="E809" s="322" t="s">
        <v>2258</v>
      </c>
      <c r="F809" s="13" t="s">
        <v>2258</v>
      </c>
      <c r="G809" t="s">
        <v>2097</v>
      </c>
      <c r="H809" t="s">
        <v>2098</v>
      </c>
      <c r="I809">
        <v>1</v>
      </c>
      <c r="J809">
        <v>1</v>
      </c>
      <c r="K809" s="87">
        <v>2</v>
      </c>
      <c r="L809" s="8">
        <v>9999</v>
      </c>
      <c r="M809" s="8">
        <v>0</v>
      </c>
      <c r="N809" s="8">
        <v>1022</v>
      </c>
      <c r="O809" s="306">
        <v>30043</v>
      </c>
      <c r="S809" s="89">
        <v>1</v>
      </c>
      <c r="T809" s="8">
        <v>5</v>
      </c>
      <c r="U809" s="89">
        <v>700</v>
      </c>
      <c r="V809" s="87">
        <v>0</v>
      </c>
      <c r="W809">
        <v>1</v>
      </c>
      <c r="X809">
        <v>1</v>
      </c>
      <c r="Y809">
        <v>0</v>
      </c>
      <c r="Z809" s="33">
        <v>2</v>
      </c>
      <c r="AA809">
        <v>5</v>
      </c>
      <c r="AB809" s="34">
        <v>8000</v>
      </c>
      <c r="AC809" s="87">
        <v>850</v>
      </c>
      <c r="AD809" s="62">
        <v>0</v>
      </c>
      <c r="AE809" s="62">
        <v>2</v>
      </c>
      <c r="AF809" s="62">
        <v>1</v>
      </c>
      <c r="AG809" s="91">
        <v>1</v>
      </c>
      <c r="AH809" s="91">
        <v>1</v>
      </c>
      <c r="AI809" s="91"/>
      <c r="AJ809" s="91"/>
      <c r="AK809" s="91"/>
      <c r="AL809" s="92">
        <v>1</v>
      </c>
      <c r="AM809" s="92"/>
      <c r="AN809" s="93"/>
      <c r="AO809" s="92" t="s">
        <v>2094</v>
      </c>
      <c r="AQ809" s="305" t="s">
        <v>2096</v>
      </c>
      <c r="AS809">
        <v>1</v>
      </c>
    </row>
    <row r="810" ht="14.25" customHeight="1" spans="1:45">
      <c r="A810">
        <v>492012</v>
      </c>
      <c r="B810" s="8">
        <v>1001</v>
      </c>
      <c r="C810" s="8">
        <v>3</v>
      </c>
      <c r="D810" s="8">
        <v>1001</v>
      </c>
      <c r="E810" s="322" t="s">
        <v>2259</v>
      </c>
      <c r="F810" s="13" t="s">
        <v>2259</v>
      </c>
      <c r="G810" t="s">
        <v>2101</v>
      </c>
      <c r="H810" t="s">
        <v>2102</v>
      </c>
      <c r="I810">
        <v>1</v>
      </c>
      <c r="J810">
        <v>1</v>
      </c>
      <c r="K810" s="87">
        <v>2</v>
      </c>
      <c r="L810" s="8">
        <v>9999</v>
      </c>
      <c r="M810" s="8">
        <v>0</v>
      </c>
      <c r="N810" s="8">
        <v>1022</v>
      </c>
      <c r="O810" s="306">
        <v>30045</v>
      </c>
      <c r="S810" s="89">
        <v>1</v>
      </c>
      <c r="T810" s="8">
        <v>5</v>
      </c>
      <c r="U810" s="89">
        <v>700</v>
      </c>
      <c r="V810" s="87">
        <v>0</v>
      </c>
      <c r="W810">
        <v>1</v>
      </c>
      <c r="X810">
        <v>1</v>
      </c>
      <c r="Y810">
        <v>0</v>
      </c>
      <c r="Z810" s="33">
        <v>2</v>
      </c>
      <c r="AA810">
        <v>5</v>
      </c>
      <c r="AB810" s="34">
        <v>8000</v>
      </c>
      <c r="AC810" s="87">
        <v>850</v>
      </c>
      <c r="AD810" s="62">
        <v>0</v>
      </c>
      <c r="AE810" s="62">
        <v>2</v>
      </c>
      <c r="AF810" s="62">
        <v>1</v>
      </c>
      <c r="AG810" s="91">
        <v>1</v>
      </c>
      <c r="AH810" s="91">
        <v>1</v>
      </c>
      <c r="AI810" s="91"/>
      <c r="AJ810" s="91"/>
      <c r="AK810" s="91"/>
      <c r="AL810" s="92">
        <v>1</v>
      </c>
      <c r="AM810" s="92"/>
      <c r="AN810" s="93"/>
      <c r="AO810" s="92" t="s">
        <v>2094</v>
      </c>
      <c r="AQ810" s="305" t="s">
        <v>2100</v>
      </c>
      <c r="AS810">
        <v>1</v>
      </c>
    </row>
    <row r="811" ht="14.25" customHeight="1" spans="1:45">
      <c r="A811">
        <v>492013</v>
      </c>
      <c r="B811" s="8">
        <v>1001</v>
      </c>
      <c r="C811" s="8">
        <v>3</v>
      </c>
      <c r="D811" s="8">
        <v>1001</v>
      </c>
      <c r="E811" s="322" t="s">
        <v>2260</v>
      </c>
      <c r="F811" s="13" t="s">
        <v>2260</v>
      </c>
      <c r="G811" t="s">
        <v>2105</v>
      </c>
      <c r="H811" t="s">
        <v>2106</v>
      </c>
      <c r="I811">
        <v>1</v>
      </c>
      <c r="J811">
        <v>1</v>
      </c>
      <c r="K811" s="87">
        <v>2</v>
      </c>
      <c r="L811" s="8">
        <v>9999</v>
      </c>
      <c r="M811" s="8">
        <v>0</v>
      </c>
      <c r="N811" s="8">
        <v>1022</v>
      </c>
      <c r="O811" s="306">
        <v>30042</v>
      </c>
      <c r="S811" s="89">
        <v>1</v>
      </c>
      <c r="T811" s="8">
        <v>5</v>
      </c>
      <c r="U811" s="89">
        <v>700</v>
      </c>
      <c r="V811" s="87">
        <v>0</v>
      </c>
      <c r="W811">
        <v>1</v>
      </c>
      <c r="X811">
        <v>1</v>
      </c>
      <c r="Y811">
        <v>0</v>
      </c>
      <c r="Z811" s="33">
        <v>2</v>
      </c>
      <c r="AA811">
        <v>5</v>
      </c>
      <c r="AB811" s="34">
        <v>8000</v>
      </c>
      <c r="AC811" s="87">
        <v>850</v>
      </c>
      <c r="AD811" s="62">
        <v>0</v>
      </c>
      <c r="AE811" s="62">
        <v>2</v>
      </c>
      <c r="AF811" s="62">
        <v>1</v>
      </c>
      <c r="AG811" s="91">
        <v>1</v>
      </c>
      <c r="AH811" s="91">
        <v>1</v>
      </c>
      <c r="AI811" s="91"/>
      <c r="AJ811" s="91"/>
      <c r="AK811" s="91"/>
      <c r="AL811" s="92">
        <v>1</v>
      </c>
      <c r="AM811" s="92"/>
      <c r="AN811" s="93"/>
      <c r="AO811" s="92" t="s">
        <v>2094</v>
      </c>
      <c r="AQ811" s="305" t="s">
        <v>2261</v>
      </c>
      <c r="AS811">
        <v>1</v>
      </c>
    </row>
    <row r="812" ht="14.25" customHeight="1" spans="1:45">
      <c r="A812">
        <v>492014</v>
      </c>
      <c r="B812" s="8">
        <v>1001</v>
      </c>
      <c r="C812" s="8">
        <v>3</v>
      </c>
      <c r="D812" s="8">
        <v>1001</v>
      </c>
      <c r="E812" s="322" t="s">
        <v>2262</v>
      </c>
      <c r="F812" s="13" t="s">
        <v>2262</v>
      </c>
      <c r="G812" t="s">
        <v>2109</v>
      </c>
      <c r="H812" t="s">
        <v>2110</v>
      </c>
      <c r="I812">
        <v>1</v>
      </c>
      <c r="J812">
        <v>1</v>
      </c>
      <c r="K812" s="87">
        <v>2</v>
      </c>
      <c r="L812" s="8">
        <v>9999</v>
      </c>
      <c r="M812" s="8">
        <v>0</v>
      </c>
      <c r="N812" s="8">
        <v>1022</v>
      </c>
      <c r="O812" s="306">
        <v>30044</v>
      </c>
      <c r="S812" s="89">
        <v>1</v>
      </c>
      <c r="T812" s="8">
        <v>5</v>
      </c>
      <c r="U812" s="89">
        <v>700</v>
      </c>
      <c r="V812" s="87">
        <v>0</v>
      </c>
      <c r="W812">
        <v>1</v>
      </c>
      <c r="X812">
        <v>1</v>
      </c>
      <c r="Y812">
        <v>0</v>
      </c>
      <c r="Z812" s="33">
        <v>2</v>
      </c>
      <c r="AA812">
        <v>5</v>
      </c>
      <c r="AB812" s="34">
        <v>8000</v>
      </c>
      <c r="AC812" s="87">
        <v>850</v>
      </c>
      <c r="AD812" s="62">
        <v>0</v>
      </c>
      <c r="AE812" s="62">
        <v>2</v>
      </c>
      <c r="AF812" s="62">
        <v>1</v>
      </c>
      <c r="AG812" s="91">
        <v>1</v>
      </c>
      <c r="AH812" s="91">
        <v>1</v>
      </c>
      <c r="AI812" s="91"/>
      <c r="AJ812" s="91"/>
      <c r="AK812" s="91"/>
      <c r="AL812" s="92">
        <v>1</v>
      </c>
      <c r="AM812" s="92"/>
      <c r="AN812" s="93"/>
      <c r="AO812" s="92" t="s">
        <v>2094</v>
      </c>
      <c r="AQ812" s="305" t="s">
        <v>2108</v>
      </c>
      <c r="AS812">
        <v>1</v>
      </c>
    </row>
    <row r="813" ht="14.25" customHeight="1" spans="1:45">
      <c r="A813">
        <v>492015</v>
      </c>
      <c r="B813" s="8">
        <v>1001</v>
      </c>
      <c r="C813" s="8">
        <v>3</v>
      </c>
      <c r="D813" s="8">
        <v>1001</v>
      </c>
      <c r="E813" s="322" t="s">
        <v>2263</v>
      </c>
      <c r="F813" s="13" t="s">
        <v>2263</v>
      </c>
      <c r="G813" t="s">
        <v>2113</v>
      </c>
      <c r="H813" t="s">
        <v>2114</v>
      </c>
      <c r="I813">
        <v>1</v>
      </c>
      <c r="J813">
        <v>1</v>
      </c>
      <c r="K813" s="87">
        <v>2</v>
      </c>
      <c r="L813" s="8">
        <v>9999</v>
      </c>
      <c r="M813" s="8">
        <v>0</v>
      </c>
      <c r="N813" s="8">
        <v>1022</v>
      </c>
      <c r="O813" s="306">
        <v>30047</v>
      </c>
      <c r="S813" s="89">
        <v>1</v>
      </c>
      <c r="T813" s="8">
        <v>5</v>
      </c>
      <c r="U813" s="89">
        <v>700</v>
      </c>
      <c r="V813" s="87">
        <v>0</v>
      </c>
      <c r="W813">
        <v>1</v>
      </c>
      <c r="X813">
        <v>1</v>
      </c>
      <c r="Y813">
        <v>0</v>
      </c>
      <c r="Z813" s="33">
        <v>2</v>
      </c>
      <c r="AA813">
        <v>5</v>
      </c>
      <c r="AB813" s="34">
        <v>8000</v>
      </c>
      <c r="AC813" s="87">
        <v>850</v>
      </c>
      <c r="AD813" s="62">
        <v>0</v>
      </c>
      <c r="AE813" s="62">
        <v>2</v>
      </c>
      <c r="AF813" s="62">
        <v>1</v>
      </c>
      <c r="AG813" s="91">
        <v>1</v>
      </c>
      <c r="AH813" s="91">
        <v>1</v>
      </c>
      <c r="AI813" s="91"/>
      <c r="AJ813" s="91"/>
      <c r="AK813" s="91"/>
      <c r="AL813" s="92">
        <v>1</v>
      </c>
      <c r="AM813" s="92"/>
      <c r="AN813" s="93"/>
      <c r="AO813" s="92" t="s">
        <v>2094</v>
      </c>
      <c r="AQ813" s="305" t="s">
        <v>2112</v>
      </c>
      <c r="AS813">
        <v>1</v>
      </c>
    </row>
    <row r="814" ht="14.25" customHeight="1" spans="1:45">
      <c r="A814">
        <v>492016</v>
      </c>
      <c r="B814" s="8">
        <v>1001</v>
      </c>
      <c r="C814" s="8">
        <v>3</v>
      </c>
      <c r="D814" s="8">
        <v>1001</v>
      </c>
      <c r="E814" s="322" t="s">
        <v>2264</v>
      </c>
      <c r="F814" s="13" t="s">
        <v>2264</v>
      </c>
      <c r="G814" t="s">
        <v>2117</v>
      </c>
      <c r="H814" t="s">
        <v>2118</v>
      </c>
      <c r="I814">
        <v>1</v>
      </c>
      <c r="J814">
        <v>1</v>
      </c>
      <c r="K814" s="87">
        <v>2</v>
      </c>
      <c r="L814" s="8">
        <v>9999</v>
      </c>
      <c r="M814" s="8">
        <v>0</v>
      </c>
      <c r="N814" s="8">
        <v>1022</v>
      </c>
      <c r="O814" s="306">
        <v>30048</v>
      </c>
      <c r="S814" s="89">
        <v>1</v>
      </c>
      <c r="T814" s="8">
        <v>5</v>
      </c>
      <c r="U814" s="89">
        <v>700</v>
      </c>
      <c r="V814" s="87">
        <v>0</v>
      </c>
      <c r="W814">
        <v>1</v>
      </c>
      <c r="X814">
        <v>1</v>
      </c>
      <c r="Y814">
        <v>0</v>
      </c>
      <c r="Z814" s="33">
        <v>2</v>
      </c>
      <c r="AA814">
        <v>5</v>
      </c>
      <c r="AB814" s="34">
        <v>8000</v>
      </c>
      <c r="AC814" s="87">
        <v>850</v>
      </c>
      <c r="AD814" s="62">
        <v>0</v>
      </c>
      <c r="AE814" s="62">
        <v>2</v>
      </c>
      <c r="AF814" s="62">
        <v>1</v>
      </c>
      <c r="AG814" s="91">
        <v>1</v>
      </c>
      <c r="AH814" s="91">
        <v>1</v>
      </c>
      <c r="AI814" s="91"/>
      <c r="AJ814" s="91"/>
      <c r="AK814" s="91"/>
      <c r="AL814" s="92">
        <v>1</v>
      </c>
      <c r="AM814" s="92"/>
      <c r="AN814" s="93"/>
      <c r="AO814" s="92" t="s">
        <v>2094</v>
      </c>
      <c r="AQ814" s="305" t="s">
        <v>2116</v>
      </c>
      <c r="AS814">
        <v>1</v>
      </c>
    </row>
    <row r="815" spans="1:45">
      <c r="A815">
        <v>492017</v>
      </c>
      <c r="B815" s="8">
        <v>1001</v>
      </c>
      <c r="C815" s="8">
        <v>3</v>
      </c>
      <c r="D815" s="8">
        <v>1001</v>
      </c>
      <c r="E815" s="322" t="s">
        <v>2265</v>
      </c>
      <c r="F815" s="13" t="s">
        <v>2265</v>
      </c>
      <c r="G815" t="s">
        <v>2121</v>
      </c>
      <c r="H815" t="s">
        <v>2122</v>
      </c>
      <c r="I815">
        <v>1</v>
      </c>
      <c r="J815">
        <v>1</v>
      </c>
      <c r="K815" s="87">
        <v>2</v>
      </c>
      <c r="L815" s="8">
        <v>9999</v>
      </c>
      <c r="M815" s="8">
        <v>0</v>
      </c>
      <c r="N815" s="8">
        <v>1011</v>
      </c>
      <c r="O815" s="131">
        <v>1</v>
      </c>
      <c r="S815" s="89">
        <v>1</v>
      </c>
      <c r="T815" s="8">
        <v>5</v>
      </c>
      <c r="U815" s="89">
        <v>700</v>
      </c>
      <c r="V815" s="87">
        <v>0</v>
      </c>
      <c r="W815">
        <v>1</v>
      </c>
      <c r="X815">
        <v>1</v>
      </c>
      <c r="Y815">
        <v>0</v>
      </c>
      <c r="Z815" s="33">
        <v>2</v>
      </c>
      <c r="AA815">
        <v>5</v>
      </c>
      <c r="AB815" s="34">
        <v>8000</v>
      </c>
      <c r="AC815" s="87">
        <v>850</v>
      </c>
      <c r="AD815" s="62">
        <v>0</v>
      </c>
      <c r="AE815" s="62">
        <v>2</v>
      </c>
      <c r="AF815" s="62">
        <v>1</v>
      </c>
      <c r="AG815" s="91">
        <v>1</v>
      </c>
      <c r="AH815" s="91">
        <v>1</v>
      </c>
      <c r="AI815" s="91"/>
      <c r="AJ815" s="91"/>
      <c r="AK815" s="91"/>
      <c r="AL815" s="92">
        <v>1</v>
      </c>
      <c r="AM815" s="92"/>
      <c r="AN815" s="93"/>
      <c r="AO815" s="92" t="s">
        <v>2123</v>
      </c>
      <c r="AQ815" s="305" t="s">
        <v>2120</v>
      </c>
      <c r="AS815">
        <v>1</v>
      </c>
    </row>
    <row r="816" spans="1:45">
      <c r="A816">
        <v>492018</v>
      </c>
      <c r="B816" s="8">
        <v>1001</v>
      </c>
      <c r="C816" s="8">
        <v>3</v>
      </c>
      <c r="D816" s="8">
        <v>1001</v>
      </c>
      <c r="E816" s="322" t="s">
        <v>2266</v>
      </c>
      <c r="F816" s="13" t="s">
        <v>2266</v>
      </c>
      <c r="G816" t="s">
        <v>2267</v>
      </c>
      <c r="H816" t="s">
        <v>2127</v>
      </c>
      <c r="I816">
        <v>1</v>
      </c>
      <c r="J816">
        <v>1</v>
      </c>
      <c r="K816" s="87">
        <v>2</v>
      </c>
      <c r="L816" s="8">
        <v>9999</v>
      </c>
      <c r="M816" s="8">
        <v>0</v>
      </c>
      <c r="N816" s="8">
        <v>1011</v>
      </c>
      <c r="O816" s="2">
        <v>159</v>
      </c>
      <c r="S816" s="89">
        <v>1</v>
      </c>
      <c r="T816" s="8">
        <v>5</v>
      </c>
      <c r="U816" s="89">
        <v>700</v>
      </c>
      <c r="V816" s="87">
        <v>0</v>
      </c>
      <c r="W816">
        <v>1</v>
      </c>
      <c r="X816">
        <v>1</v>
      </c>
      <c r="Y816">
        <v>0</v>
      </c>
      <c r="Z816" s="33">
        <v>2</v>
      </c>
      <c r="AA816">
        <v>5</v>
      </c>
      <c r="AB816" s="34">
        <v>8000</v>
      </c>
      <c r="AC816" s="87">
        <v>850</v>
      </c>
      <c r="AD816" s="62">
        <v>0</v>
      </c>
      <c r="AE816" s="62">
        <v>2</v>
      </c>
      <c r="AF816" s="62">
        <v>1</v>
      </c>
      <c r="AG816" s="91">
        <v>1</v>
      </c>
      <c r="AH816" s="91">
        <v>1</v>
      </c>
      <c r="AI816" s="91"/>
      <c r="AJ816" s="91"/>
      <c r="AK816" s="91"/>
      <c r="AL816" s="92">
        <v>1</v>
      </c>
      <c r="AM816" s="92"/>
      <c r="AN816" s="93"/>
      <c r="AO816" s="92" t="s">
        <v>2128</v>
      </c>
      <c r="AQ816" s="305" t="s">
        <v>2125</v>
      </c>
      <c r="AS816">
        <v>1</v>
      </c>
    </row>
    <row r="817" spans="1:45">
      <c r="A817">
        <v>492019</v>
      </c>
      <c r="B817" s="8">
        <v>1001</v>
      </c>
      <c r="C817" s="8">
        <v>3</v>
      </c>
      <c r="D817" s="8">
        <v>1001</v>
      </c>
      <c r="E817" s="322" t="s">
        <v>2268</v>
      </c>
      <c r="F817" s="13" t="s">
        <v>2268</v>
      </c>
      <c r="G817" t="s">
        <v>2269</v>
      </c>
      <c r="H817" t="s">
        <v>2132</v>
      </c>
      <c r="I817">
        <v>1</v>
      </c>
      <c r="J817">
        <v>1</v>
      </c>
      <c r="K817" s="87">
        <v>2</v>
      </c>
      <c r="L817" s="8">
        <v>9999</v>
      </c>
      <c r="M817" s="8">
        <v>0</v>
      </c>
      <c r="N817" s="8">
        <v>1011</v>
      </c>
      <c r="O817" s="2">
        <v>160</v>
      </c>
      <c r="S817" s="89">
        <v>1</v>
      </c>
      <c r="T817" s="8">
        <v>5</v>
      </c>
      <c r="U817" s="89">
        <v>700</v>
      </c>
      <c r="V817" s="87">
        <v>0</v>
      </c>
      <c r="W817">
        <v>1</v>
      </c>
      <c r="X817">
        <v>1</v>
      </c>
      <c r="Y817">
        <v>0</v>
      </c>
      <c r="Z817" s="33">
        <v>2</v>
      </c>
      <c r="AA817">
        <v>5</v>
      </c>
      <c r="AB817" s="34">
        <v>8000</v>
      </c>
      <c r="AC817" s="87">
        <v>850</v>
      </c>
      <c r="AD817" s="62">
        <v>0</v>
      </c>
      <c r="AE817" s="62">
        <v>2</v>
      </c>
      <c r="AF817" s="62">
        <v>1</v>
      </c>
      <c r="AG817" s="91">
        <v>1</v>
      </c>
      <c r="AH817" s="91">
        <v>1</v>
      </c>
      <c r="AI817" s="91"/>
      <c r="AJ817" s="91"/>
      <c r="AK817" s="91"/>
      <c r="AL817" s="92">
        <v>1</v>
      </c>
      <c r="AM817" s="92"/>
      <c r="AN817" s="93"/>
      <c r="AO817" s="92" t="s">
        <v>2133</v>
      </c>
      <c r="AQ817" s="305" t="s">
        <v>2130</v>
      </c>
      <c r="AS817">
        <v>1</v>
      </c>
    </row>
    <row r="818" spans="1:45">
      <c r="A818">
        <v>492020</v>
      </c>
      <c r="B818" s="8">
        <v>1001</v>
      </c>
      <c r="C818" s="8">
        <v>3</v>
      </c>
      <c r="D818" s="8">
        <v>1001</v>
      </c>
      <c r="E818" s="322" t="s">
        <v>2270</v>
      </c>
      <c r="F818" s="13" t="s">
        <v>2270</v>
      </c>
      <c r="G818" t="s">
        <v>2271</v>
      </c>
      <c r="H818" t="s">
        <v>2137</v>
      </c>
      <c r="I818">
        <v>1</v>
      </c>
      <c r="J818">
        <v>1</v>
      </c>
      <c r="K818" s="87">
        <v>2</v>
      </c>
      <c r="L818" s="8">
        <v>9999</v>
      </c>
      <c r="M818" s="8">
        <v>0</v>
      </c>
      <c r="N818" s="8">
        <v>1011</v>
      </c>
      <c r="O818" s="2">
        <v>161</v>
      </c>
      <c r="S818" s="89">
        <v>1</v>
      </c>
      <c r="T818" s="8">
        <v>5</v>
      </c>
      <c r="U818" s="89">
        <v>700</v>
      </c>
      <c r="V818" s="87">
        <v>0</v>
      </c>
      <c r="W818">
        <v>1</v>
      </c>
      <c r="X818">
        <v>1</v>
      </c>
      <c r="Y818">
        <v>0</v>
      </c>
      <c r="Z818" s="33">
        <v>2</v>
      </c>
      <c r="AA818">
        <v>5</v>
      </c>
      <c r="AB818" s="34">
        <v>8000</v>
      </c>
      <c r="AC818" s="87">
        <v>850</v>
      </c>
      <c r="AD818" s="62">
        <v>0</v>
      </c>
      <c r="AE818" s="62">
        <v>2</v>
      </c>
      <c r="AF818" s="62">
        <v>1</v>
      </c>
      <c r="AG818" s="91">
        <v>1</v>
      </c>
      <c r="AH818" s="91">
        <v>1</v>
      </c>
      <c r="AI818" s="91"/>
      <c r="AJ818" s="91"/>
      <c r="AK818" s="91"/>
      <c r="AL818" s="92">
        <v>1</v>
      </c>
      <c r="AM818" s="92"/>
      <c r="AN818" s="93"/>
      <c r="AO818" s="92" t="s">
        <v>2138</v>
      </c>
      <c r="AQ818" s="305" t="s">
        <v>2135</v>
      </c>
      <c r="AS818">
        <v>1</v>
      </c>
    </row>
    <row r="819" spans="1:45">
      <c r="A819">
        <v>492021</v>
      </c>
      <c r="B819" s="8">
        <v>1001</v>
      </c>
      <c r="C819" s="8">
        <v>3</v>
      </c>
      <c r="D819" s="8">
        <v>1001</v>
      </c>
      <c r="E819" s="322" t="s">
        <v>2272</v>
      </c>
      <c r="F819" s="13" t="s">
        <v>2272</v>
      </c>
      <c r="G819" t="s">
        <v>2273</v>
      </c>
      <c r="H819" t="s">
        <v>2142</v>
      </c>
      <c r="I819">
        <v>1</v>
      </c>
      <c r="J819">
        <v>1</v>
      </c>
      <c r="K819" s="87">
        <v>2</v>
      </c>
      <c r="L819" s="8">
        <v>9999</v>
      </c>
      <c r="M819" s="8">
        <v>0</v>
      </c>
      <c r="N819" s="8">
        <v>1011</v>
      </c>
      <c r="O819" s="2">
        <v>162</v>
      </c>
      <c r="S819" s="89">
        <v>1</v>
      </c>
      <c r="T819" s="8">
        <v>5</v>
      </c>
      <c r="U819" s="89">
        <v>700</v>
      </c>
      <c r="V819" s="87">
        <v>0</v>
      </c>
      <c r="W819">
        <v>1</v>
      </c>
      <c r="X819">
        <v>1</v>
      </c>
      <c r="Y819">
        <v>0</v>
      </c>
      <c r="Z819" s="33">
        <v>2</v>
      </c>
      <c r="AA819">
        <v>5</v>
      </c>
      <c r="AB819" s="34">
        <v>8000</v>
      </c>
      <c r="AC819" s="87">
        <v>850</v>
      </c>
      <c r="AD819" s="62">
        <v>0</v>
      </c>
      <c r="AE819" s="62">
        <v>2</v>
      </c>
      <c r="AF819" s="62">
        <v>1</v>
      </c>
      <c r="AG819" s="91">
        <v>1</v>
      </c>
      <c r="AH819" s="91">
        <v>1</v>
      </c>
      <c r="AI819" s="91"/>
      <c r="AJ819" s="91"/>
      <c r="AK819" s="91"/>
      <c r="AL819" s="92">
        <v>1</v>
      </c>
      <c r="AM819" s="92"/>
      <c r="AN819" s="93"/>
      <c r="AO819" s="92" t="s">
        <v>2143</v>
      </c>
      <c r="AQ819" s="305" t="s">
        <v>2140</v>
      </c>
      <c r="AS819">
        <v>1</v>
      </c>
    </row>
    <row r="820" spans="1:45">
      <c r="A820">
        <v>492022</v>
      </c>
      <c r="B820" s="8">
        <v>1001</v>
      </c>
      <c r="C820" s="8">
        <v>3</v>
      </c>
      <c r="D820" s="8">
        <v>1001</v>
      </c>
      <c r="E820" s="322" t="s">
        <v>2274</v>
      </c>
      <c r="F820" s="13" t="s">
        <v>2274</v>
      </c>
      <c r="G820" t="s">
        <v>2275</v>
      </c>
      <c r="H820" t="s">
        <v>2147</v>
      </c>
      <c r="I820">
        <v>1</v>
      </c>
      <c r="J820">
        <v>1</v>
      </c>
      <c r="K820" s="87">
        <v>2</v>
      </c>
      <c r="L820" s="8">
        <v>9999</v>
      </c>
      <c r="M820" s="8">
        <v>0</v>
      </c>
      <c r="N820" s="8">
        <v>1011</v>
      </c>
      <c r="O820" s="2">
        <v>164</v>
      </c>
      <c r="S820" s="89">
        <v>1</v>
      </c>
      <c r="T820" s="8">
        <v>5</v>
      </c>
      <c r="U820" s="89">
        <v>700</v>
      </c>
      <c r="V820" s="87">
        <v>0</v>
      </c>
      <c r="W820">
        <v>1</v>
      </c>
      <c r="X820">
        <v>1</v>
      </c>
      <c r="Y820">
        <v>0</v>
      </c>
      <c r="Z820" s="33">
        <v>2</v>
      </c>
      <c r="AA820">
        <v>5</v>
      </c>
      <c r="AB820" s="34">
        <v>8000</v>
      </c>
      <c r="AC820" s="87">
        <v>850</v>
      </c>
      <c r="AD820" s="62">
        <v>0</v>
      </c>
      <c r="AE820" s="62">
        <v>2</v>
      </c>
      <c r="AF820" s="62">
        <v>1</v>
      </c>
      <c r="AG820" s="91">
        <v>1</v>
      </c>
      <c r="AH820" s="91">
        <v>1</v>
      </c>
      <c r="AI820" s="91"/>
      <c r="AJ820" s="91"/>
      <c r="AK820" s="91"/>
      <c r="AL820" s="92">
        <v>1</v>
      </c>
      <c r="AM820" s="92"/>
      <c r="AN820" s="93"/>
      <c r="AO820" s="92" t="s">
        <v>2148</v>
      </c>
      <c r="AQ820" s="305" t="s">
        <v>2145</v>
      </c>
      <c r="AS820">
        <v>1</v>
      </c>
    </row>
    <row r="821" spans="1:45">
      <c r="A821">
        <v>492023</v>
      </c>
      <c r="B821" s="8">
        <v>1001</v>
      </c>
      <c r="C821" s="8">
        <v>3</v>
      </c>
      <c r="D821" s="8">
        <v>1001</v>
      </c>
      <c r="E821" s="322" t="s">
        <v>2276</v>
      </c>
      <c r="F821" s="13" t="s">
        <v>2276</v>
      </c>
      <c r="G821" t="s">
        <v>2277</v>
      </c>
      <c r="H821" t="s">
        <v>2152</v>
      </c>
      <c r="I821">
        <v>1</v>
      </c>
      <c r="J821">
        <v>1</v>
      </c>
      <c r="K821" s="87">
        <v>2</v>
      </c>
      <c r="L821" s="8">
        <v>9999</v>
      </c>
      <c r="M821" s="8">
        <v>0</v>
      </c>
      <c r="N821" s="8">
        <v>1011</v>
      </c>
      <c r="O821" s="2">
        <v>165</v>
      </c>
      <c r="S821" s="89">
        <v>1</v>
      </c>
      <c r="T821" s="8">
        <v>5</v>
      </c>
      <c r="U821" s="89">
        <v>700</v>
      </c>
      <c r="V821" s="87">
        <v>0</v>
      </c>
      <c r="W821">
        <v>1</v>
      </c>
      <c r="X821">
        <v>1</v>
      </c>
      <c r="Y821">
        <v>0</v>
      </c>
      <c r="Z821" s="33">
        <v>2</v>
      </c>
      <c r="AA821">
        <v>5</v>
      </c>
      <c r="AB821" s="34">
        <v>8000</v>
      </c>
      <c r="AC821" s="87">
        <v>850</v>
      </c>
      <c r="AD821" s="62">
        <v>0</v>
      </c>
      <c r="AE821" s="62">
        <v>2</v>
      </c>
      <c r="AF821" s="62">
        <v>1</v>
      </c>
      <c r="AG821" s="91">
        <v>1</v>
      </c>
      <c r="AH821" s="91">
        <v>1</v>
      </c>
      <c r="AI821" s="91"/>
      <c r="AJ821" s="91"/>
      <c r="AK821" s="91"/>
      <c r="AL821" s="92">
        <v>1</v>
      </c>
      <c r="AM821" s="92"/>
      <c r="AN821" s="93"/>
      <c r="AO821" s="92" t="s">
        <v>2153</v>
      </c>
      <c r="AQ821" s="305" t="s">
        <v>2150</v>
      </c>
      <c r="AS821">
        <v>1</v>
      </c>
    </row>
    <row r="822" spans="1:45">
      <c r="A822">
        <v>492024</v>
      </c>
      <c r="B822" s="8">
        <v>1001</v>
      </c>
      <c r="C822" s="8">
        <v>3</v>
      </c>
      <c r="D822" s="8">
        <v>1001</v>
      </c>
      <c r="E822" s="322" t="s">
        <v>2278</v>
      </c>
      <c r="F822" s="13" t="s">
        <v>2278</v>
      </c>
      <c r="G822" t="s">
        <v>2279</v>
      </c>
      <c r="H822" t="s">
        <v>2157</v>
      </c>
      <c r="I822">
        <v>1</v>
      </c>
      <c r="J822">
        <v>1</v>
      </c>
      <c r="K822" s="87">
        <v>2</v>
      </c>
      <c r="L822" s="8">
        <v>9999</v>
      </c>
      <c r="M822" s="8">
        <v>0</v>
      </c>
      <c r="N822" s="8">
        <v>1011</v>
      </c>
      <c r="O822" s="2">
        <v>163</v>
      </c>
      <c r="S822" s="89">
        <v>1</v>
      </c>
      <c r="T822" s="8">
        <v>5</v>
      </c>
      <c r="U822" s="89">
        <v>700</v>
      </c>
      <c r="V822" s="87">
        <v>0</v>
      </c>
      <c r="W822">
        <v>1</v>
      </c>
      <c r="X822">
        <v>1</v>
      </c>
      <c r="Y822">
        <v>0</v>
      </c>
      <c r="Z822" s="33">
        <v>2</v>
      </c>
      <c r="AA822">
        <v>5</v>
      </c>
      <c r="AB822" s="34">
        <v>8000</v>
      </c>
      <c r="AC822" s="87">
        <v>850</v>
      </c>
      <c r="AD822" s="62">
        <v>0</v>
      </c>
      <c r="AE822" s="62">
        <v>2</v>
      </c>
      <c r="AF822" s="62">
        <v>1</v>
      </c>
      <c r="AG822" s="91">
        <v>1</v>
      </c>
      <c r="AH822" s="91">
        <v>1</v>
      </c>
      <c r="AI822" s="91"/>
      <c r="AJ822" s="91"/>
      <c r="AK822" s="91"/>
      <c r="AL822" s="92">
        <v>1</v>
      </c>
      <c r="AM822" s="92"/>
      <c r="AN822" s="93"/>
      <c r="AO822" s="92" t="s">
        <v>2158</v>
      </c>
      <c r="AQ822" s="305" t="s">
        <v>2155</v>
      </c>
      <c r="AS822">
        <v>1</v>
      </c>
    </row>
    <row r="823" spans="1:45">
      <c r="A823">
        <v>492025</v>
      </c>
      <c r="B823" s="8">
        <v>1001</v>
      </c>
      <c r="C823" s="8">
        <v>3</v>
      </c>
      <c r="D823" s="8">
        <v>1001</v>
      </c>
      <c r="E823" s="322" t="s">
        <v>2280</v>
      </c>
      <c r="F823" s="13" t="s">
        <v>2280</v>
      </c>
      <c r="G823" t="s">
        <v>2281</v>
      </c>
      <c r="H823" t="s">
        <v>2162</v>
      </c>
      <c r="I823">
        <v>1</v>
      </c>
      <c r="J823">
        <v>1</v>
      </c>
      <c r="K823" s="87">
        <v>2</v>
      </c>
      <c r="L823" s="8">
        <v>9999</v>
      </c>
      <c r="M823" s="8">
        <v>0</v>
      </c>
      <c r="N823" s="8">
        <v>1011</v>
      </c>
      <c r="O823" s="2">
        <v>166</v>
      </c>
      <c r="S823" s="89">
        <v>1</v>
      </c>
      <c r="T823" s="8">
        <v>5</v>
      </c>
      <c r="U823" s="89">
        <v>700</v>
      </c>
      <c r="V823" s="87">
        <v>0</v>
      </c>
      <c r="W823">
        <v>1</v>
      </c>
      <c r="X823">
        <v>1</v>
      </c>
      <c r="Y823">
        <v>0</v>
      </c>
      <c r="Z823" s="33">
        <v>2</v>
      </c>
      <c r="AA823">
        <v>5</v>
      </c>
      <c r="AB823" s="34">
        <v>8000</v>
      </c>
      <c r="AC823" s="87">
        <v>850</v>
      </c>
      <c r="AD823" s="62">
        <v>0</v>
      </c>
      <c r="AE823" s="62">
        <v>1</v>
      </c>
      <c r="AF823" s="62">
        <v>1</v>
      </c>
      <c r="AG823" s="91">
        <v>1</v>
      </c>
      <c r="AH823" s="91">
        <v>1</v>
      </c>
      <c r="AI823" s="91"/>
      <c r="AJ823" s="91"/>
      <c r="AK823" s="91"/>
      <c r="AL823" s="92">
        <v>1</v>
      </c>
      <c r="AM823" s="92"/>
      <c r="AN823" s="93"/>
      <c r="AO823" s="92" t="s">
        <v>2163</v>
      </c>
      <c r="AQ823" s="305" t="s">
        <v>2160</v>
      </c>
      <c r="AS823">
        <v>1</v>
      </c>
    </row>
    <row r="824" spans="1:45">
      <c r="A824">
        <v>492026</v>
      </c>
      <c r="B824" s="8">
        <v>1001</v>
      </c>
      <c r="C824" s="8">
        <v>3</v>
      </c>
      <c r="D824" s="8">
        <v>1001</v>
      </c>
      <c r="E824" s="322" t="s">
        <v>2282</v>
      </c>
      <c r="F824" s="13" t="s">
        <v>2282</v>
      </c>
      <c r="G824" t="s">
        <v>2283</v>
      </c>
      <c r="H824" t="s">
        <v>2167</v>
      </c>
      <c r="I824">
        <v>1</v>
      </c>
      <c r="J824">
        <v>1</v>
      </c>
      <c r="K824" s="87">
        <v>2</v>
      </c>
      <c r="L824" s="8">
        <v>9999</v>
      </c>
      <c r="M824" s="8">
        <v>0</v>
      </c>
      <c r="N824" s="8">
        <v>1011</v>
      </c>
      <c r="O824" s="131">
        <v>1</v>
      </c>
      <c r="S824" s="89">
        <v>1</v>
      </c>
      <c r="T824" s="8">
        <v>5</v>
      </c>
      <c r="U824" s="89">
        <v>700</v>
      </c>
      <c r="V824" s="87">
        <v>0</v>
      </c>
      <c r="W824">
        <v>1</v>
      </c>
      <c r="X824">
        <v>1</v>
      </c>
      <c r="Y824">
        <v>0</v>
      </c>
      <c r="Z824" s="33">
        <v>0</v>
      </c>
      <c r="AA824">
        <v>5</v>
      </c>
      <c r="AB824" s="34">
        <v>8000</v>
      </c>
      <c r="AC824" s="87">
        <v>850</v>
      </c>
      <c r="AD824" s="62">
        <v>0</v>
      </c>
      <c r="AE824" s="62">
        <v>2</v>
      </c>
      <c r="AF824" s="62">
        <v>1</v>
      </c>
      <c r="AG824" s="91">
        <v>1</v>
      </c>
      <c r="AH824" s="91">
        <v>1</v>
      </c>
      <c r="AI824" s="91"/>
      <c r="AJ824" s="91"/>
      <c r="AK824" s="91"/>
      <c r="AL824" s="92">
        <v>1</v>
      </c>
      <c r="AM824" s="92"/>
      <c r="AN824" s="93"/>
      <c r="AO824" s="92" t="s">
        <v>2168</v>
      </c>
      <c r="AQ824" s="305" t="s">
        <v>2165</v>
      </c>
      <c r="AS824">
        <v>1</v>
      </c>
    </row>
    <row r="825" spans="1:45">
      <c r="A825">
        <v>492027</v>
      </c>
      <c r="B825" s="8">
        <v>1001</v>
      </c>
      <c r="C825" s="8">
        <v>3</v>
      </c>
      <c r="D825" s="8">
        <v>1001</v>
      </c>
      <c r="E825" s="322" t="s">
        <v>2284</v>
      </c>
      <c r="F825" s="253" t="s">
        <v>2284</v>
      </c>
      <c r="G825" t="s">
        <v>2285</v>
      </c>
      <c r="H825" t="s">
        <v>2172</v>
      </c>
      <c r="I825">
        <v>1</v>
      </c>
      <c r="J825">
        <v>1</v>
      </c>
      <c r="K825" s="87">
        <v>2</v>
      </c>
      <c r="L825" s="8">
        <v>9999</v>
      </c>
      <c r="M825" s="8">
        <v>0</v>
      </c>
      <c r="N825" s="8">
        <v>1011</v>
      </c>
      <c r="O825" s="131">
        <v>1</v>
      </c>
      <c r="S825" s="89">
        <v>1</v>
      </c>
      <c r="T825" s="8">
        <v>5</v>
      </c>
      <c r="U825" s="89">
        <v>700</v>
      </c>
      <c r="V825" s="87">
        <v>0</v>
      </c>
      <c r="W825">
        <v>1</v>
      </c>
      <c r="X825">
        <v>1</v>
      </c>
      <c r="Y825">
        <v>0</v>
      </c>
      <c r="Z825" s="33">
        <v>0</v>
      </c>
      <c r="AA825">
        <v>5</v>
      </c>
      <c r="AB825" s="34">
        <v>8000</v>
      </c>
      <c r="AC825" s="87">
        <v>850</v>
      </c>
      <c r="AD825" s="62">
        <v>0</v>
      </c>
      <c r="AE825" s="62">
        <v>2</v>
      </c>
      <c r="AF825" s="62">
        <v>1</v>
      </c>
      <c r="AG825" s="91">
        <v>1</v>
      </c>
      <c r="AH825" s="91">
        <v>1</v>
      </c>
      <c r="AI825" s="91"/>
      <c r="AJ825" s="91"/>
      <c r="AK825" s="91"/>
      <c r="AL825" s="92">
        <v>1</v>
      </c>
      <c r="AM825" s="92"/>
      <c r="AN825" s="93"/>
      <c r="AO825" s="92" t="s">
        <v>2173</v>
      </c>
      <c r="AQ825" s="305" t="s">
        <v>2170</v>
      </c>
      <c r="AS825">
        <v>1</v>
      </c>
    </row>
    <row r="826" spans="1:45">
      <c r="A826">
        <v>493001</v>
      </c>
      <c r="B826" s="8">
        <v>1001</v>
      </c>
      <c r="C826" s="8">
        <v>3</v>
      </c>
      <c r="D826" s="8">
        <v>1001</v>
      </c>
      <c r="E826" t="s">
        <v>2286</v>
      </c>
      <c r="F826" t="s">
        <v>2286</v>
      </c>
      <c r="G826" t="s">
        <v>2287</v>
      </c>
      <c r="H826" t="s">
        <v>2288</v>
      </c>
      <c r="I826">
        <v>1</v>
      </c>
      <c r="J826">
        <v>1</v>
      </c>
      <c r="K826" s="87">
        <v>2</v>
      </c>
      <c r="L826" s="8">
        <v>999</v>
      </c>
      <c r="M826" s="8">
        <v>0</v>
      </c>
      <c r="N826" s="8">
        <v>1011</v>
      </c>
      <c r="O826" s="2">
        <v>167</v>
      </c>
      <c r="S826" s="89">
        <v>1</v>
      </c>
      <c r="T826" s="8">
        <v>5</v>
      </c>
      <c r="U826" s="89">
        <v>700</v>
      </c>
      <c r="V826" s="87">
        <v>1</v>
      </c>
      <c r="W826">
        <v>1</v>
      </c>
      <c r="X826">
        <v>1</v>
      </c>
      <c r="Y826">
        <v>0</v>
      </c>
      <c r="Z826" s="33">
        <v>0</v>
      </c>
      <c r="AA826">
        <v>5</v>
      </c>
      <c r="AB826" s="34">
        <v>8000</v>
      </c>
      <c r="AC826" s="87">
        <v>850</v>
      </c>
      <c r="AD826" s="62">
        <v>0</v>
      </c>
      <c r="AE826" s="62">
        <v>1</v>
      </c>
      <c r="AF826" s="62">
        <v>1</v>
      </c>
      <c r="AG826" s="91">
        <v>1</v>
      </c>
      <c r="AH826" s="91">
        <v>1</v>
      </c>
      <c r="AI826" s="91"/>
      <c r="AJ826" s="91"/>
      <c r="AK826" s="91"/>
      <c r="AL826" s="92">
        <v>1</v>
      </c>
      <c r="AM826" s="92"/>
      <c r="AN826" s="93"/>
      <c r="AO826" s="92" t="s">
        <v>2163</v>
      </c>
      <c r="AQ826" s="305" t="s">
        <v>2286</v>
      </c>
      <c r="AS826">
        <v>1</v>
      </c>
    </row>
    <row r="827" spans="1:45">
      <c r="A827">
        <v>493002</v>
      </c>
      <c r="B827" s="8">
        <v>1001</v>
      </c>
      <c r="C827" s="8">
        <v>3</v>
      </c>
      <c r="D827" s="8">
        <v>1001</v>
      </c>
      <c r="E827" t="s">
        <v>2289</v>
      </c>
      <c r="F827" s="238" t="s">
        <v>2289</v>
      </c>
      <c r="G827" t="s">
        <v>2290</v>
      </c>
      <c r="H827" t="s">
        <v>2291</v>
      </c>
      <c r="I827">
        <v>1</v>
      </c>
      <c r="J827">
        <v>1</v>
      </c>
      <c r="K827" s="87">
        <v>2</v>
      </c>
      <c r="L827" s="8">
        <v>999</v>
      </c>
      <c r="M827" s="8">
        <v>0</v>
      </c>
      <c r="N827" s="8">
        <v>1011</v>
      </c>
      <c r="O827" s="2">
        <v>168</v>
      </c>
      <c r="S827" s="89">
        <v>1</v>
      </c>
      <c r="T827" s="8">
        <v>5</v>
      </c>
      <c r="U827" s="89">
        <v>700</v>
      </c>
      <c r="V827" s="87">
        <v>1</v>
      </c>
      <c r="W827">
        <v>1</v>
      </c>
      <c r="X827" s="238">
        <v>1</v>
      </c>
      <c r="Y827">
        <v>0</v>
      </c>
      <c r="Z827" s="33">
        <v>0</v>
      </c>
      <c r="AA827">
        <v>5</v>
      </c>
      <c r="AB827" s="34">
        <v>8000</v>
      </c>
      <c r="AC827" s="87">
        <v>850</v>
      </c>
      <c r="AD827" s="62">
        <v>0</v>
      </c>
      <c r="AE827" s="255">
        <v>1</v>
      </c>
      <c r="AF827" s="255">
        <v>1</v>
      </c>
      <c r="AG827" s="91">
        <v>1</v>
      </c>
      <c r="AH827" s="91">
        <v>1</v>
      </c>
      <c r="AI827" s="91"/>
      <c r="AJ827" s="91"/>
      <c r="AK827" s="91"/>
      <c r="AL827" s="92">
        <v>1</v>
      </c>
      <c r="AM827" s="92"/>
      <c r="AN827" s="93"/>
      <c r="AO827" s="92" t="s">
        <v>2163</v>
      </c>
      <c r="AQ827" s="305" t="s">
        <v>2289</v>
      </c>
      <c r="AS827">
        <v>1</v>
      </c>
    </row>
    <row r="828" spans="1:45">
      <c r="A828">
        <v>421001</v>
      </c>
      <c r="B828" s="8">
        <v>1001</v>
      </c>
      <c r="C828" s="8">
        <v>2</v>
      </c>
      <c r="D828" s="8">
        <v>1004</v>
      </c>
      <c r="E828" t="s">
        <v>2292</v>
      </c>
      <c r="F828" s="13" t="s">
        <v>2292</v>
      </c>
      <c r="G828" t="s">
        <v>2292</v>
      </c>
      <c r="H828" t="s">
        <v>1389</v>
      </c>
      <c r="I828">
        <v>1</v>
      </c>
      <c r="J828">
        <v>1</v>
      </c>
      <c r="K828" s="87">
        <v>1</v>
      </c>
      <c r="L828" s="8">
        <v>999</v>
      </c>
      <c r="M828" s="8">
        <v>0</v>
      </c>
      <c r="N828" s="8"/>
      <c r="S828" s="89">
        <v>1</v>
      </c>
      <c r="T828" s="8">
        <v>5</v>
      </c>
      <c r="U828" s="89">
        <v>80</v>
      </c>
      <c r="V828" s="87">
        <v>1</v>
      </c>
      <c r="W828">
        <v>1</v>
      </c>
      <c r="X828" s="8">
        <v>1</v>
      </c>
      <c r="Y828">
        <v>0</v>
      </c>
      <c r="Z828" s="33">
        <v>0</v>
      </c>
      <c r="AA828">
        <v>5</v>
      </c>
      <c r="AB828" s="34">
        <v>3040</v>
      </c>
      <c r="AC828" s="87">
        <v>825</v>
      </c>
      <c r="AD828" s="62">
        <v>0</v>
      </c>
      <c r="AE828" s="90">
        <v>0</v>
      </c>
      <c r="AF828" s="90">
        <v>0</v>
      </c>
      <c r="AG828" s="91"/>
      <c r="AH828" s="91">
        <v>1</v>
      </c>
      <c r="AI828" s="91"/>
      <c r="AJ828" s="91"/>
      <c r="AK828" s="91"/>
      <c r="AL828" s="92">
        <v>1</v>
      </c>
      <c r="AM828" s="92"/>
      <c r="AN828" s="93"/>
      <c r="AO828" s="92"/>
      <c r="AQ828" t="s">
        <v>2292</v>
      </c>
      <c r="AS828">
        <v>1</v>
      </c>
    </row>
    <row r="829" spans="1:45">
      <c r="A829">
        <v>421002</v>
      </c>
      <c r="B829" s="8">
        <v>1001</v>
      </c>
      <c r="C829" s="8">
        <v>2</v>
      </c>
      <c r="D829" s="8">
        <v>1004</v>
      </c>
      <c r="E829" t="s">
        <v>2293</v>
      </c>
      <c r="F829" s="13" t="s">
        <v>2293</v>
      </c>
      <c r="G829" t="s">
        <v>2293</v>
      </c>
      <c r="H829" t="s">
        <v>1389</v>
      </c>
      <c r="I829">
        <v>1</v>
      </c>
      <c r="J829">
        <v>1</v>
      </c>
      <c r="K829" s="87">
        <v>1</v>
      </c>
      <c r="L829" s="8">
        <v>999</v>
      </c>
      <c r="M829" s="8">
        <v>0</v>
      </c>
      <c r="N829" s="8"/>
      <c r="S829" s="89">
        <v>1</v>
      </c>
      <c r="T829" s="8">
        <v>5</v>
      </c>
      <c r="U829" s="89">
        <v>80</v>
      </c>
      <c r="V829" s="87">
        <v>1</v>
      </c>
      <c r="W829">
        <v>1</v>
      </c>
      <c r="X829" s="8">
        <v>1</v>
      </c>
      <c r="Y829">
        <v>0</v>
      </c>
      <c r="Z829" s="33">
        <v>0</v>
      </c>
      <c r="AA829">
        <v>5</v>
      </c>
      <c r="AB829" s="34">
        <v>3040</v>
      </c>
      <c r="AC829" s="87">
        <v>825</v>
      </c>
      <c r="AD829" s="62">
        <v>0</v>
      </c>
      <c r="AE829" s="90">
        <v>0</v>
      </c>
      <c r="AF829" s="90">
        <v>0</v>
      </c>
      <c r="AG829" s="91"/>
      <c r="AH829" s="91">
        <v>1</v>
      </c>
      <c r="AI829" s="91"/>
      <c r="AJ829" s="91"/>
      <c r="AK829" s="91"/>
      <c r="AL829" s="92">
        <v>1</v>
      </c>
      <c r="AM829" s="92"/>
      <c r="AN829" s="93"/>
      <c r="AO829" s="92"/>
      <c r="AQ829" t="s">
        <v>2293</v>
      </c>
      <c r="AS829">
        <v>1</v>
      </c>
    </row>
    <row r="830" ht="12" customHeight="1" spans="1:45">
      <c r="A830">
        <v>421003</v>
      </c>
      <c r="B830" s="8">
        <v>1001</v>
      </c>
      <c r="C830" s="8">
        <v>2</v>
      </c>
      <c r="D830" s="8">
        <v>1004</v>
      </c>
      <c r="E830" t="s">
        <v>2294</v>
      </c>
      <c r="F830" s="13" t="s">
        <v>2294</v>
      </c>
      <c r="G830" t="s">
        <v>2294</v>
      </c>
      <c r="H830" t="s">
        <v>1389</v>
      </c>
      <c r="I830">
        <v>1</v>
      </c>
      <c r="J830">
        <v>1</v>
      </c>
      <c r="K830" s="87">
        <v>1</v>
      </c>
      <c r="L830" s="8">
        <v>999</v>
      </c>
      <c r="M830" s="8">
        <v>0</v>
      </c>
      <c r="N830" s="8"/>
      <c r="S830" s="89">
        <v>1</v>
      </c>
      <c r="T830" s="8">
        <v>5</v>
      </c>
      <c r="U830" s="89">
        <v>80</v>
      </c>
      <c r="V830" s="87">
        <v>1</v>
      </c>
      <c r="W830">
        <v>1</v>
      </c>
      <c r="X830" s="8">
        <v>1</v>
      </c>
      <c r="Y830">
        <v>0</v>
      </c>
      <c r="Z830" s="33">
        <v>0</v>
      </c>
      <c r="AA830">
        <v>5</v>
      </c>
      <c r="AB830" s="34">
        <v>3040</v>
      </c>
      <c r="AC830" s="87">
        <v>825</v>
      </c>
      <c r="AD830" s="62">
        <v>0</v>
      </c>
      <c r="AE830" s="90">
        <v>0</v>
      </c>
      <c r="AF830" s="90">
        <v>0</v>
      </c>
      <c r="AG830" s="91"/>
      <c r="AH830" s="91">
        <v>1</v>
      </c>
      <c r="AI830" s="91"/>
      <c r="AJ830" s="91"/>
      <c r="AK830" s="91"/>
      <c r="AL830" s="92">
        <v>1</v>
      </c>
      <c r="AM830" s="92"/>
      <c r="AN830" s="93"/>
      <c r="AO830" s="92"/>
      <c r="AQ830" t="s">
        <v>2294</v>
      </c>
      <c r="AS830">
        <v>1</v>
      </c>
    </row>
    <row r="831" spans="1:45">
      <c r="A831">
        <v>421004</v>
      </c>
      <c r="B831" s="8">
        <v>1001</v>
      </c>
      <c r="C831" s="8">
        <v>2</v>
      </c>
      <c r="D831" s="8">
        <v>1004</v>
      </c>
      <c r="E831" t="s">
        <v>2295</v>
      </c>
      <c r="F831" s="13" t="s">
        <v>2295</v>
      </c>
      <c r="G831" t="s">
        <v>2295</v>
      </c>
      <c r="H831" t="s">
        <v>1389</v>
      </c>
      <c r="I831">
        <v>1</v>
      </c>
      <c r="J831">
        <v>1</v>
      </c>
      <c r="K831" s="87">
        <v>1</v>
      </c>
      <c r="L831" s="8">
        <v>999</v>
      </c>
      <c r="M831" s="8">
        <v>0</v>
      </c>
      <c r="N831" s="8"/>
      <c r="S831" s="89">
        <v>1</v>
      </c>
      <c r="T831" s="8">
        <v>5</v>
      </c>
      <c r="U831" s="89">
        <v>80</v>
      </c>
      <c r="V831" s="87">
        <v>1</v>
      </c>
      <c r="W831">
        <v>1</v>
      </c>
      <c r="X831" s="8">
        <v>1</v>
      </c>
      <c r="Y831">
        <v>0</v>
      </c>
      <c r="Z831" s="33">
        <v>0</v>
      </c>
      <c r="AA831">
        <v>5</v>
      </c>
      <c r="AB831" s="34">
        <v>3040</v>
      </c>
      <c r="AC831" s="87">
        <v>825</v>
      </c>
      <c r="AD831" s="62">
        <v>0</v>
      </c>
      <c r="AE831" s="90">
        <v>0</v>
      </c>
      <c r="AF831" s="90">
        <v>0</v>
      </c>
      <c r="AG831" s="91"/>
      <c r="AH831" s="91">
        <v>1</v>
      </c>
      <c r="AI831" s="91"/>
      <c r="AJ831" s="91"/>
      <c r="AK831" s="91"/>
      <c r="AL831" s="92">
        <v>1</v>
      </c>
      <c r="AM831" s="92"/>
      <c r="AN831" s="93"/>
      <c r="AO831" s="92"/>
      <c r="AQ831" t="s">
        <v>2295</v>
      </c>
      <c r="AS831">
        <v>1</v>
      </c>
    </row>
    <row r="832" spans="1:45">
      <c r="A832">
        <v>421005</v>
      </c>
      <c r="B832" s="8">
        <v>1001</v>
      </c>
      <c r="C832" s="8">
        <v>2</v>
      </c>
      <c r="D832" s="8">
        <v>1004</v>
      </c>
      <c r="E832" t="s">
        <v>2296</v>
      </c>
      <c r="F832" s="13" t="s">
        <v>2296</v>
      </c>
      <c r="G832" t="s">
        <v>2296</v>
      </c>
      <c r="H832" t="s">
        <v>1389</v>
      </c>
      <c r="I832">
        <v>1</v>
      </c>
      <c r="J832">
        <v>1</v>
      </c>
      <c r="K832" s="87">
        <v>1</v>
      </c>
      <c r="L832" s="8">
        <v>999</v>
      </c>
      <c r="M832" s="8">
        <v>0</v>
      </c>
      <c r="N832" s="8"/>
      <c r="S832" s="89">
        <v>1</v>
      </c>
      <c r="T832" s="8">
        <v>5</v>
      </c>
      <c r="U832" s="89">
        <v>80</v>
      </c>
      <c r="V832" s="87">
        <v>1</v>
      </c>
      <c r="W832">
        <v>1</v>
      </c>
      <c r="X832" s="8">
        <v>1</v>
      </c>
      <c r="Y832">
        <v>0</v>
      </c>
      <c r="Z832" s="33">
        <v>0</v>
      </c>
      <c r="AA832">
        <v>5</v>
      </c>
      <c r="AB832" s="34">
        <v>3040</v>
      </c>
      <c r="AC832" s="87">
        <v>825</v>
      </c>
      <c r="AD832" s="62">
        <v>0</v>
      </c>
      <c r="AE832" s="90">
        <v>0</v>
      </c>
      <c r="AF832" s="90">
        <v>0</v>
      </c>
      <c r="AG832" s="91"/>
      <c r="AH832" s="91">
        <v>1</v>
      </c>
      <c r="AI832" s="91"/>
      <c r="AJ832" s="91"/>
      <c r="AK832" s="91"/>
      <c r="AL832" s="92">
        <v>1</v>
      </c>
      <c r="AM832" s="92"/>
      <c r="AN832" s="93"/>
      <c r="AO832" s="92"/>
      <c r="AQ832" t="s">
        <v>2296</v>
      </c>
      <c r="AS832">
        <v>1</v>
      </c>
    </row>
    <row r="833" spans="1:45">
      <c r="A833">
        <v>421006</v>
      </c>
      <c r="B833" s="8">
        <v>1001</v>
      </c>
      <c r="C833" s="8">
        <v>2</v>
      </c>
      <c r="D833" s="8">
        <v>1004</v>
      </c>
      <c r="E833" t="s">
        <v>2297</v>
      </c>
      <c r="F833" s="13" t="s">
        <v>2297</v>
      </c>
      <c r="G833" t="s">
        <v>2297</v>
      </c>
      <c r="H833" t="s">
        <v>1389</v>
      </c>
      <c r="I833">
        <v>1</v>
      </c>
      <c r="J833">
        <v>1</v>
      </c>
      <c r="K833" s="87">
        <v>1</v>
      </c>
      <c r="L833" s="8">
        <v>999</v>
      </c>
      <c r="M833" s="8">
        <v>0</v>
      </c>
      <c r="N833" s="8"/>
      <c r="S833" s="89">
        <v>1</v>
      </c>
      <c r="T833" s="8">
        <v>5</v>
      </c>
      <c r="U833" s="89">
        <v>80</v>
      </c>
      <c r="V833" s="87">
        <v>1</v>
      </c>
      <c r="W833">
        <v>1</v>
      </c>
      <c r="X833" s="8">
        <v>1</v>
      </c>
      <c r="Y833">
        <v>0</v>
      </c>
      <c r="Z833" s="33">
        <v>0</v>
      </c>
      <c r="AA833">
        <v>5</v>
      </c>
      <c r="AB833" s="34">
        <v>3040</v>
      </c>
      <c r="AC833" s="87">
        <v>825</v>
      </c>
      <c r="AD833" s="62">
        <v>0</v>
      </c>
      <c r="AE833" s="90">
        <v>0</v>
      </c>
      <c r="AF833" s="90">
        <v>0</v>
      </c>
      <c r="AG833" s="91"/>
      <c r="AH833" s="91">
        <v>1</v>
      </c>
      <c r="AI833" s="91"/>
      <c r="AJ833" s="91"/>
      <c r="AK833" s="91"/>
      <c r="AL833" s="92">
        <v>1</v>
      </c>
      <c r="AM833" s="92"/>
      <c r="AN833" s="93"/>
      <c r="AO833" s="92"/>
      <c r="AQ833" t="s">
        <v>2297</v>
      </c>
      <c r="AS833">
        <v>1</v>
      </c>
    </row>
    <row r="834" spans="1:45">
      <c r="A834">
        <v>421007</v>
      </c>
      <c r="B834" s="8">
        <v>1001</v>
      </c>
      <c r="C834" s="8">
        <v>2</v>
      </c>
      <c r="D834" s="8">
        <v>1004</v>
      </c>
      <c r="E834" t="s">
        <v>2298</v>
      </c>
      <c r="F834" s="13" t="s">
        <v>2298</v>
      </c>
      <c r="G834" t="s">
        <v>2298</v>
      </c>
      <c r="H834" t="s">
        <v>1389</v>
      </c>
      <c r="I834">
        <v>1</v>
      </c>
      <c r="J834">
        <v>1</v>
      </c>
      <c r="K834" s="87">
        <v>1</v>
      </c>
      <c r="L834" s="8">
        <v>999</v>
      </c>
      <c r="M834" s="8">
        <v>0</v>
      </c>
      <c r="N834" s="8"/>
      <c r="S834" s="89">
        <v>1</v>
      </c>
      <c r="T834" s="8">
        <v>5</v>
      </c>
      <c r="U834" s="89">
        <v>80</v>
      </c>
      <c r="V834" s="87">
        <v>1</v>
      </c>
      <c r="W834">
        <v>1</v>
      </c>
      <c r="X834" s="8">
        <v>1</v>
      </c>
      <c r="Y834">
        <v>0</v>
      </c>
      <c r="Z834" s="33">
        <v>0</v>
      </c>
      <c r="AA834">
        <v>5</v>
      </c>
      <c r="AB834" s="34">
        <v>3040</v>
      </c>
      <c r="AC834" s="87">
        <v>825</v>
      </c>
      <c r="AD834" s="62">
        <v>0</v>
      </c>
      <c r="AE834" s="90">
        <v>0</v>
      </c>
      <c r="AF834" s="90">
        <v>0</v>
      </c>
      <c r="AG834" s="91"/>
      <c r="AH834" s="91">
        <v>1</v>
      </c>
      <c r="AI834" s="91"/>
      <c r="AJ834" s="91"/>
      <c r="AK834" s="91"/>
      <c r="AL834" s="92">
        <v>1</v>
      </c>
      <c r="AM834" s="92"/>
      <c r="AN834" s="93"/>
      <c r="AO834" s="92"/>
      <c r="AQ834" t="s">
        <v>2298</v>
      </c>
      <c r="AS834">
        <v>1</v>
      </c>
    </row>
    <row r="835" spans="1:45">
      <c r="A835">
        <v>422001</v>
      </c>
      <c r="B835" s="8">
        <v>1001</v>
      </c>
      <c r="C835" s="8">
        <v>2</v>
      </c>
      <c r="D835" s="8">
        <v>1004</v>
      </c>
      <c r="E835" s="38" t="s">
        <v>2299</v>
      </c>
      <c r="F835" s="13" t="s">
        <v>2299</v>
      </c>
      <c r="G835" t="s">
        <v>2299</v>
      </c>
      <c r="H835" t="s">
        <v>1389</v>
      </c>
      <c r="I835">
        <v>1</v>
      </c>
      <c r="J835">
        <v>2</v>
      </c>
      <c r="K835" s="87">
        <v>1</v>
      </c>
      <c r="L835" s="8">
        <v>999</v>
      </c>
      <c r="M835" s="8">
        <v>0</v>
      </c>
      <c r="N835" s="8"/>
      <c r="S835" s="89">
        <v>1</v>
      </c>
      <c r="T835" s="8">
        <v>5</v>
      </c>
      <c r="U835" s="89">
        <v>110</v>
      </c>
      <c r="V835" s="87">
        <v>1</v>
      </c>
      <c r="W835">
        <v>1</v>
      </c>
      <c r="X835" s="8">
        <v>1</v>
      </c>
      <c r="Y835">
        <v>0</v>
      </c>
      <c r="Z835" s="33">
        <v>0</v>
      </c>
      <c r="AA835">
        <v>5</v>
      </c>
      <c r="AB835" s="34">
        <v>4180</v>
      </c>
      <c r="AC835" s="87">
        <v>824</v>
      </c>
      <c r="AD835" s="62">
        <v>0</v>
      </c>
      <c r="AE835" s="90">
        <v>0</v>
      </c>
      <c r="AF835" s="90">
        <v>0</v>
      </c>
      <c r="AG835" s="91"/>
      <c r="AH835" s="91">
        <v>1</v>
      </c>
      <c r="AI835" s="91"/>
      <c r="AJ835" s="91"/>
      <c r="AK835" s="91"/>
      <c r="AL835" s="92">
        <v>1</v>
      </c>
      <c r="AM835" s="92"/>
      <c r="AN835" s="93"/>
      <c r="AO835" s="92"/>
      <c r="AQ835" s="38" t="s">
        <v>2299</v>
      </c>
      <c r="AS835">
        <v>1</v>
      </c>
    </row>
    <row r="836" spans="1:45">
      <c r="A836">
        <v>422002</v>
      </c>
      <c r="B836" s="8">
        <v>1001</v>
      </c>
      <c r="C836" s="8">
        <v>2</v>
      </c>
      <c r="D836" s="8">
        <v>1004</v>
      </c>
      <c r="E836" s="38" t="s">
        <v>2300</v>
      </c>
      <c r="F836" s="13" t="s">
        <v>2300</v>
      </c>
      <c r="G836" t="s">
        <v>2300</v>
      </c>
      <c r="H836" t="s">
        <v>1389</v>
      </c>
      <c r="I836">
        <v>1</v>
      </c>
      <c r="J836">
        <v>2</v>
      </c>
      <c r="K836" s="87">
        <v>1</v>
      </c>
      <c r="L836" s="8">
        <v>999</v>
      </c>
      <c r="M836" s="8">
        <v>0</v>
      </c>
      <c r="N836" s="8"/>
      <c r="S836" s="89">
        <v>1</v>
      </c>
      <c r="T836" s="8">
        <v>5</v>
      </c>
      <c r="U836" s="89">
        <v>110</v>
      </c>
      <c r="V836" s="87">
        <v>1</v>
      </c>
      <c r="W836">
        <v>1</v>
      </c>
      <c r="X836" s="8">
        <v>1</v>
      </c>
      <c r="Y836">
        <v>0</v>
      </c>
      <c r="Z836" s="33">
        <v>0</v>
      </c>
      <c r="AA836">
        <v>5</v>
      </c>
      <c r="AB836" s="34">
        <v>4180</v>
      </c>
      <c r="AC836" s="87">
        <v>824</v>
      </c>
      <c r="AD836" s="62">
        <v>0</v>
      </c>
      <c r="AE836" s="90">
        <v>0</v>
      </c>
      <c r="AF836" s="90">
        <v>0</v>
      </c>
      <c r="AG836" s="91"/>
      <c r="AH836" s="91">
        <v>1</v>
      </c>
      <c r="AI836" s="91"/>
      <c r="AJ836" s="91"/>
      <c r="AK836" s="91"/>
      <c r="AL836" s="92">
        <v>1</v>
      </c>
      <c r="AM836" s="92"/>
      <c r="AN836" s="93"/>
      <c r="AO836" s="92"/>
      <c r="AQ836" s="38" t="s">
        <v>2300</v>
      </c>
      <c r="AS836">
        <v>1</v>
      </c>
    </row>
    <row r="837" spans="1:45">
      <c r="A837">
        <v>422003</v>
      </c>
      <c r="B837" s="8">
        <v>1001</v>
      </c>
      <c r="C837" s="8">
        <v>2</v>
      </c>
      <c r="D837" s="8">
        <v>1004</v>
      </c>
      <c r="E837" s="38" t="s">
        <v>2301</v>
      </c>
      <c r="F837" s="13" t="s">
        <v>2301</v>
      </c>
      <c r="G837" t="s">
        <v>2301</v>
      </c>
      <c r="H837" t="s">
        <v>1389</v>
      </c>
      <c r="I837">
        <v>1</v>
      </c>
      <c r="J837">
        <v>2</v>
      </c>
      <c r="K837" s="87">
        <v>1</v>
      </c>
      <c r="L837" s="8">
        <v>999</v>
      </c>
      <c r="M837" s="8">
        <v>0</v>
      </c>
      <c r="N837" s="8"/>
      <c r="S837" s="89">
        <v>1</v>
      </c>
      <c r="T837" s="8">
        <v>5</v>
      </c>
      <c r="U837" s="89">
        <v>110</v>
      </c>
      <c r="V837" s="87">
        <v>1</v>
      </c>
      <c r="W837">
        <v>1</v>
      </c>
      <c r="X837" s="8">
        <v>1</v>
      </c>
      <c r="Y837">
        <v>0</v>
      </c>
      <c r="Z837" s="33">
        <v>0</v>
      </c>
      <c r="AA837">
        <v>5</v>
      </c>
      <c r="AB837" s="34">
        <v>4180</v>
      </c>
      <c r="AC837" s="87">
        <v>824</v>
      </c>
      <c r="AD837" s="62">
        <v>0</v>
      </c>
      <c r="AE837" s="90">
        <v>0</v>
      </c>
      <c r="AF837" s="90">
        <v>0</v>
      </c>
      <c r="AG837" s="91"/>
      <c r="AH837" s="91">
        <v>1</v>
      </c>
      <c r="AI837" s="91"/>
      <c r="AJ837" s="91"/>
      <c r="AK837" s="91"/>
      <c r="AL837" s="92">
        <v>1</v>
      </c>
      <c r="AM837" s="92"/>
      <c r="AN837" s="93"/>
      <c r="AO837" s="92"/>
      <c r="AQ837" s="38" t="s">
        <v>2301</v>
      </c>
      <c r="AS837">
        <v>1</v>
      </c>
    </row>
    <row r="838" spans="1:45">
      <c r="A838">
        <v>422004</v>
      </c>
      <c r="B838" s="8">
        <v>1001</v>
      </c>
      <c r="C838" s="8">
        <v>2</v>
      </c>
      <c r="D838" s="8">
        <v>1004</v>
      </c>
      <c r="E838" s="38" t="s">
        <v>2302</v>
      </c>
      <c r="F838" s="13" t="s">
        <v>2302</v>
      </c>
      <c r="G838" t="s">
        <v>2302</v>
      </c>
      <c r="H838" t="s">
        <v>1389</v>
      </c>
      <c r="I838">
        <v>1</v>
      </c>
      <c r="J838">
        <v>2</v>
      </c>
      <c r="K838" s="87">
        <v>1</v>
      </c>
      <c r="L838" s="8">
        <v>999</v>
      </c>
      <c r="M838" s="8">
        <v>0</v>
      </c>
      <c r="N838" s="8"/>
      <c r="S838" s="89">
        <v>1</v>
      </c>
      <c r="T838" s="8">
        <v>5</v>
      </c>
      <c r="U838" s="89">
        <v>110</v>
      </c>
      <c r="V838" s="87">
        <v>1</v>
      </c>
      <c r="W838">
        <v>1</v>
      </c>
      <c r="X838" s="8">
        <v>1</v>
      </c>
      <c r="Y838">
        <v>0</v>
      </c>
      <c r="Z838" s="33">
        <v>0</v>
      </c>
      <c r="AA838">
        <v>5</v>
      </c>
      <c r="AB838" s="34">
        <v>4180</v>
      </c>
      <c r="AC838" s="87">
        <v>824</v>
      </c>
      <c r="AD838" s="62">
        <v>0</v>
      </c>
      <c r="AE838" s="90">
        <v>0</v>
      </c>
      <c r="AF838" s="90">
        <v>0</v>
      </c>
      <c r="AG838" s="91"/>
      <c r="AH838" s="91">
        <v>1</v>
      </c>
      <c r="AI838" s="91"/>
      <c r="AJ838" s="91"/>
      <c r="AK838" s="91"/>
      <c r="AL838" s="92">
        <v>1</v>
      </c>
      <c r="AM838" s="92"/>
      <c r="AN838" s="93"/>
      <c r="AO838" s="92"/>
      <c r="AQ838" s="38" t="s">
        <v>2302</v>
      </c>
      <c r="AS838">
        <v>1</v>
      </c>
    </row>
    <row r="839" spans="1:45">
      <c r="A839">
        <v>422005</v>
      </c>
      <c r="B839" s="8">
        <v>1001</v>
      </c>
      <c r="C839" s="8">
        <v>2</v>
      </c>
      <c r="D839" s="8">
        <v>1004</v>
      </c>
      <c r="E839" s="38" t="s">
        <v>2303</v>
      </c>
      <c r="F839" s="13" t="s">
        <v>2303</v>
      </c>
      <c r="G839" t="s">
        <v>2303</v>
      </c>
      <c r="H839" t="s">
        <v>1389</v>
      </c>
      <c r="I839">
        <v>1</v>
      </c>
      <c r="J839">
        <v>2</v>
      </c>
      <c r="K839" s="87">
        <v>1</v>
      </c>
      <c r="L839" s="8">
        <v>999</v>
      </c>
      <c r="M839" s="8">
        <v>0</v>
      </c>
      <c r="N839" s="8"/>
      <c r="S839" s="89">
        <v>1</v>
      </c>
      <c r="T839" s="8">
        <v>5</v>
      </c>
      <c r="U839" s="89">
        <v>110</v>
      </c>
      <c r="V839" s="87">
        <v>1</v>
      </c>
      <c r="W839">
        <v>1</v>
      </c>
      <c r="X839" s="8">
        <v>1</v>
      </c>
      <c r="Y839">
        <v>0</v>
      </c>
      <c r="Z839" s="33">
        <v>0</v>
      </c>
      <c r="AA839">
        <v>5</v>
      </c>
      <c r="AB839" s="34">
        <v>4180</v>
      </c>
      <c r="AC839" s="87">
        <v>824</v>
      </c>
      <c r="AD839" s="62">
        <v>0</v>
      </c>
      <c r="AE839" s="90">
        <v>0</v>
      </c>
      <c r="AF839" s="90">
        <v>0</v>
      </c>
      <c r="AG839" s="91"/>
      <c r="AH839" s="91">
        <v>1</v>
      </c>
      <c r="AI839" s="91"/>
      <c r="AJ839" s="91"/>
      <c r="AK839" s="91"/>
      <c r="AL839" s="92">
        <v>1</v>
      </c>
      <c r="AM839" s="92"/>
      <c r="AN839" s="93"/>
      <c r="AO839" s="92"/>
      <c r="AQ839" s="38" t="s">
        <v>2303</v>
      </c>
      <c r="AS839">
        <v>1</v>
      </c>
    </row>
    <row r="840" spans="1:45">
      <c r="A840">
        <v>422006</v>
      </c>
      <c r="B840" s="8">
        <v>1001</v>
      </c>
      <c r="C840" s="8">
        <v>2</v>
      </c>
      <c r="D840" s="8">
        <v>1004</v>
      </c>
      <c r="E840" s="38" t="s">
        <v>2304</v>
      </c>
      <c r="F840" s="13" t="s">
        <v>2304</v>
      </c>
      <c r="G840" t="s">
        <v>2304</v>
      </c>
      <c r="H840" t="s">
        <v>1389</v>
      </c>
      <c r="I840">
        <v>1</v>
      </c>
      <c r="J840">
        <v>2</v>
      </c>
      <c r="K840" s="87">
        <v>1</v>
      </c>
      <c r="L840" s="8">
        <v>999</v>
      </c>
      <c r="M840" s="8">
        <v>0</v>
      </c>
      <c r="N840" s="8"/>
      <c r="S840" s="89">
        <v>1</v>
      </c>
      <c r="T840" s="8">
        <v>5</v>
      </c>
      <c r="U840" s="89">
        <v>110</v>
      </c>
      <c r="V840" s="87">
        <v>1</v>
      </c>
      <c r="W840">
        <v>1</v>
      </c>
      <c r="X840" s="8">
        <v>1</v>
      </c>
      <c r="Y840">
        <v>0</v>
      </c>
      <c r="Z840" s="33">
        <v>0</v>
      </c>
      <c r="AA840">
        <v>5</v>
      </c>
      <c r="AB840" s="34">
        <v>4180</v>
      </c>
      <c r="AC840" s="87">
        <v>824</v>
      </c>
      <c r="AD840" s="62">
        <v>0</v>
      </c>
      <c r="AE840" s="90">
        <v>0</v>
      </c>
      <c r="AF840" s="90">
        <v>0</v>
      </c>
      <c r="AG840" s="91"/>
      <c r="AH840" s="91">
        <v>1</v>
      </c>
      <c r="AI840" s="91"/>
      <c r="AJ840" s="91"/>
      <c r="AK840" s="91"/>
      <c r="AL840" s="92">
        <v>1</v>
      </c>
      <c r="AM840" s="92"/>
      <c r="AN840" s="93"/>
      <c r="AO840" s="92"/>
      <c r="AQ840" s="38" t="s">
        <v>2304</v>
      </c>
      <c r="AS840">
        <v>1</v>
      </c>
    </row>
    <row r="841" spans="1:45">
      <c r="A841">
        <v>422007</v>
      </c>
      <c r="B841" s="8">
        <v>1001</v>
      </c>
      <c r="C841" s="8">
        <v>2</v>
      </c>
      <c r="D841" s="8">
        <v>1004</v>
      </c>
      <c r="E841" s="38" t="s">
        <v>2305</v>
      </c>
      <c r="F841" s="13" t="s">
        <v>2305</v>
      </c>
      <c r="G841" t="s">
        <v>2305</v>
      </c>
      <c r="H841" t="s">
        <v>1389</v>
      </c>
      <c r="I841">
        <v>1</v>
      </c>
      <c r="J841">
        <v>2</v>
      </c>
      <c r="K841" s="87">
        <v>1</v>
      </c>
      <c r="L841" s="8">
        <v>999</v>
      </c>
      <c r="M841" s="8">
        <v>0</v>
      </c>
      <c r="N841" s="8"/>
      <c r="S841" s="89">
        <v>1</v>
      </c>
      <c r="T841" s="8">
        <v>5</v>
      </c>
      <c r="U841" s="89">
        <v>110</v>
      </c>
      <c r="V841" s="87">
        <v>1</v>
      </c>
      <c r="W841">
        <v>1</v>
      </c>
      <c r="X841" s="8">
        <v>1</v>
      </c>
      <c r="Y841">
        <v>0</v>
      </c>
      <c r="Z841" s="33">
        <v>0</v>
      </c>
      <c r="AA841">
        <v>5</v>
      </c>
      <c r="AB841" s="34">
        <v>4180</v>
      </c>
      <c r="AC841" s="87">
        <v>824</v>
      </c>
      <c r="AD841" s="62">
        <v>0</v>
      </c>
      <c r="AE841" s="90">
        <v>0</v>
      </c>
      <c r="AF841" s="90">
        <v>0</v>
      </c>
      <c r="AG841" s="91"/>
      <c r="AH841" s="91">
        <v>1</v>
      </c>
      <c r="AI841" s="91"/>
      <c r="AJ841" s="91"/>
      <c r="AK841" s="91"/>
      <c r="AL841" s="92">
        <v>1</v>
      </c>
      <c r="AM841" s="92"/>
      <c r="AN841" s="93"/>
      <c r="AO841" s="92"/>
      <c r="AQ841" s="38" t="s">
        <v>2305</v>
      </c>
      <c r="AS841">
        <v>1</v>
      </c>
    </row>
    <row r="842" spans="1:45">
      <c r="A842">
        <v>423001</v>
      </c>
      <c r="B842" s="8">
        <v>1001</v>
      </c>
      <c r="C842" s="8">
        <v>2</v>
      </c>
      <c r="D842" s="8">
        <v>1004</v>
      </c>
      <c r="E842" s="237" t="s">
        <v>2306</v>
      </c>
      <c r="F842" s="13" t="s">
        <v>2306</v>
      </c>
      <c r="G842" t="s">
        <v>2306</v>
      </c>
      <c r="H842" t="s">
        <v>1389</v>
      </c>
      <c r="I842">
        <v>1</v>
      </c>
      <c r="J842">
        <v>3</v>
      </c>
      <c r="K842" s="87">
        <v>1</v>
      </c>
      <c r="L842" s="8">
        <v>999</v>
      </c>
      <c r="M842" s="8">
        <v>0</v>
      </c>
      <c r="N842" s="8"/>
      <c r="S842" s="89">
        <v>1</v>
      </c>
      <c r="T842" s="8">
        <v>5</v>
      </c>
      <c r="U842" s="89">
        <v>140</v>
      </c>
      <c r="V842" s="87">
        <v>1</v>
      </c>
      <c r="W842">
        <v>1</v>
      </c>
      <c r="X842" s="8">
        <v>1</v>
      </c>
      <c r="Y842">
        <v>0</v>
      </c>
      <c r="Z842" s="33">
        <v>0</v>
      </c>
      <c r="AA842">
        <v>5</v>
      </c>
      <c r="AB842" s="34">
        <v>5320</v>
      </c>
      <c r="AC842" s="87">
        <v>823</v>
      </c>
      <c r="AD842" s="62">
        <v>0</v>
      </c>
      <c r="AE842" s="90">
        <v>0</v>
      </c>
      <c r="AF842" s="90">
        <v>0</v>
      </c>
      <c r="AG842" s="91"/>
      <c r="AH842" s="91">
        <v>1</v>
      </c>
      <c r="AI842" s="91"/>
      <c r="AJ842" s="91"/>
      <c r="AK842" s="91"/>
      <c r="AL842" s="92">
        <v>1</v>
      </c>
      <c r="AM842" s="92"/>
      <c r="AN842" s="93"/>
      <c r="AO842" s="92"/>
      <c r="AQ842" s="237" t="s">
        <v>2306</v>
      </c>
      <c r="AS842">
        <v>1</v>
      </c>
    </row>
    <row r="843" spans="1:45">
      <c r="A843">
        <v>423002</v>
      </c>
      <c r="B843" s="8">
        <v>1001</v>
      </c>
      <c r="C843" s="8">
        <v>2</v>
      </c>
      <c r="D843" s="8">
        <v>1004</v>
      </c>
      <c r="E843" s="237" t="s">
        <v>2307</v>
      </c>
      <c r="F843" s="13" t="s">
        <v>2307</v>
      </c>
      <c r="G843" t="s">
        <v>2307</v>
      </c>
      <c r="H843" t="s">
        <v>1389</v>
      </c>
      <c r="I843">
        <v>1</v>
      </c>
      <c r="J843">
        <v>3</v>
      </c>
      <c r="K843" s="87">
        <v>1</v>
      </c>
      <c r="L843" s="8">
        <v>999</v>
      </c>
      <c r="M843" s="8">
        <v>0</v>
      </c>
      <c r="N843" s="8"/>
      <c r="S843" s="89">
        <v>1</v>
      </c>
      <c r="T843" s="8">
        <v>5</v>
      </c>
      <c r="U843" s="89">
        <v>140</v>
      </c>
      <c r="V843" s="87">
        <v>1</v>
      </c>
      <c r="W843">
        <v>1</v>
      </c>
      <c r="X843" s="8">
        <v>1</v>
      </c>
      <c r="Y843">
        <v>0</v>
      </c>
      <c r="Z843" s="33">
        <v>0</v>
      </c>
      <c r="AA843">
        <v>5</v>
      </c>
      <c r="AB843" s="34">
        <v>5320</v>
      </c>
      <c r="AC843" s="87">
        <v>823</v>
      </c>
      <c r="AD843" s="62">
        <v>0</v>
      </c>
      <c r="AE843" s="90">
        <v>0</v>
      </c>
      <c r="AF843" s="90">
        <v>0</v>
      </c>
      <c r="AG843" s="91"/>
      <c r="AH843" s="91">
        <v>1</v>
      </c>
      <c r="AI843" s="91"/>
      <c r="AJ843" s="91"/>
      <c r="AK843" s="91"/>
      <c r="AL843" s="92">
        <v>1</v>
      </c>
      <c r="AM843" s="92"/>
      <c r="AN843" s="93"/>
      <c r="AO843" s="92"/>
      <c r="AQ843" s="237" t="s">
        <v>2307</v>
      </c>
      <c r="AS843">
        <v>1</v>
      </c>
    </row>
    <row r="844" spans="1:45">
      <c r="A844">
        <v>423003</v>
      </c>
      <c r="B844" s="8">
        <v>1001</v>
      </c>
      <c r="C844" s="8">
        <v>2</v>
      </c>
      <c r="D844" s="8">
        <v>1004</v>
      </c>
      <c r="E844" s="237" t="s">
        <v>2308</v>
      </c>
      <c r="F844" s="13" t="s">
        <v>2308</v>
      </c>
      <c r="G844" t="s">
        <v>2308</v>
      </c>
      <c r="H844" t="s">
        <v>1389</v>
      </c>
      <c r="I844">
        <v>1</v>
      </c>
      <c r="J844">
        <v>3</v>
      </c>
      <c r="K844" s="87">
        <v>1</v>
      </c>
      <c r="L844" s="8">
        <v>999</v>
      </c>
      <c r="M844" s="8">
        <v>0</v>
      </c>
      <c r="N844" s="8"/>
      <c r="S844" s="89">
        <v>1</v>
      </c>
      <c r="T844" s="8">
        <v>5</v>
      </c>
      <c r="U844" s="89">
        <v>140</v>
      </c>
      <c r="V844" s="87">
        <v>1</v>
      </c>
      <c r="W844">
        <v>1</v>
      </c>
      <c r="X844" s="8">
        <v>1</v>
      </c>
      <c r="Y844">
        <v>0</v>
      </c>
      <c r="Z844" s="33">
        <v>0</v>
      </c>
      <c r="AA844">
        <v>5</v>
      </c>
      <c r="AB844" s="34">
        <v>5320</v>
      </c>
      <c r="AC844" s="87">
        <v>823</v>
      </c>
      <c r="AD844" s="62">
        <v>0</v>
      </c>
      <c r="AE844" s="90">
        <v>0</v>
      </c>
      <c r="AF844" s="90">
        <v>0</v>
      </c>
      <c r="AG844" s="91"/>
      <c r="AH844" s="91">
        <v>1</v>
      </c>
      <c r="AI844" s="91"/>
      <c r="AJ844" s="91"/>
      <c r="AK844" s="91"/>
      <c r="AL844" s="92">
        <v>1</v>
      </c>
      <c r="AM844" s="92"/>
      <c r="AN844" s="93"/>
      <c r="AO844" s="92"/>
      <c r="AQ844" s="237" t="s">
        <v>2308</v>
      </c>
      <c r="AS844">
        <v>1</v>
      </c>
    </row>
    <row r="845" spans="1:45">
      <c r="A845">
        <v>423004</v>
      </c>
      <c r="B845" s="8">
        <v>1001</v>
      </c>
      <c r="C845" s="8">
        <v>2</v>
      </c>
      <c r="D845" s="8">
        <v>1004</v>
      </c>
      <c r="E845" s="237" t="s">
        <v>2309</v>
      </c>
      <c r="F845" s="13" t="s">
        <v>2309</v>
      </c>
      <c r="G845" t="s">
        <v>2309</v>
      </c>
      <c r="H845" t="s">
        <v>1389</v>
      </c>
      <c r="I845">
        <v>1</v>
      </c>
      <c r="J845">
        <v>3</v>
      </c>
      <c r="K845" s="87">
        <v>1</v>
      </c>
      <c r="L845" s="8">
        <v>999</v>
      </c>
      <c r="M845" s="8">
        <v>0</v>
      </c>
      <c r="N845" s="8"/>
      <c r="S845" s="89">
        <v>1</v>
      </c>
      <c r="T845" s="8">
        <v>5</v>
      </c>
      <c r="U845" s="89">
        <v>140</v>
      </c>
      <c r="V845" s="87">
        <v>1</v>
      </c>
      <c r="W845">
        <v>1</v>
      </c>
      <c r="X845" s="8">
        <v>1</v>
      </c>
      <c r="Y845">
        <v>0</v>
      </c>
      <c r="Z845" s="33">
        <v>0</v>
      </c>
      <c r="AA845">
        <v>5</v>
      </c>
      <c r="AB845" s="34">
        <v>5320</v>
      </c>
      <c r="AC845" s="87">
        <v>823</v>
      </c>
      <c r="AD845" s="62">
        <v>0</v>
      </c>
      <c r="AE845" s="90">
        <v>0</v>
      </c>
      <c r="AF845" s="90">
        <v>0</v>
      </c>
      <c r="AG845" s="91"/>
      <c r="AH845" s="91">
        <v>1</v>
      </c>
      <c r="AI845" s="91"/>
      <c r="AJ845" s="91"/>
      <c r="AK845" s="91"/>
      <c r="AL845" s="92">
        <v>1</v>
      </c>
      <c r="AM845" s="92"/>
      <c r="AN845" s="93"/>
      <c r="AO845" s="92"/>
      <c r="AQ845" s="237" t="s">
        <v>2309</v>
      </c>
      <c r="AS845">
        <v>1</v>
      </c>
    </row>
    <row r="846" spans="1:45">
      <c r="A846">
        <v>423005</v>
      </c>
      <c r="B846" s="8">
        <v>1001</v>
      </c>
      <c r="C846" s="8">
        <v>2</v>
      </c>
      <c r="D846" s="8">
        <v>1004</v>
      </c>
      <c r="E846" s="237" t="s">
        <v>2310</v>
      </c>
      <c r="F846" s="13" t="s">
        <v>2310</v>
      </c>
      <c r="G846" t="s">
        <v>2310</v>
      </c>
      <c r="H846" t="s">
        <v>1389</v>
      </c>
      <c r="I846">
        <v>1</v>
      </c>
      <c r="J846">
        <v>3</v>
      </c>
      <c r="K846" s="87">
        <v>1</v>
      </c>
      <c r="L846" s="8">
        <v>999</v>
      </c>
      <c r="M846" s="8">
        <v>0</v>
      </c>
      <c r="N846" s="8"/>
      <c r="S846" s="89">
        <v>1</v>
      </c>
      <c r="T846" s="8">
        <v>5</v>
      </c>
      <c r="U846" s="89">
        <v>140</v>
      </c>
      <c r="V846" s="87">
        <v>1</v>
      </c>
      <c r="W846">
        <v>1</v>
      </c>
      <c r="X846" s="8">
        <v>1</v>
      </c>
      <c r="Y846">
        <v>0</v>
      </c>
      <c r="Z846" s="33">
        <v>0</v>
      </c>
      <c r="AA846">
        <v>5</v>
      </c>
      <c r="AB846" s="34">
        <v>5320</v>
      </c>
      <c r="AC846" s="87">
        <v>823</v>
      </c>
      <c r="AD846" s="62">
        <v>0</v>
      </c>
      <c r="AE846" s="90">
        <v>0</v>
      </c>
      <c r="AF846" s="90">
        <v>0</v>
      </c>
      <c r="AG846" s="91"/>
      <c r="AH846" s="91">
        <v>1</v>
      </c>
      <c r="AI846" s="91"/>
      <c r="AJ846" s="91"/>
      <c r="AK846" s="91"/>
      <c r="AL846" s="92">
        <v>1</v>
      </c>
      <c r="AM846" s="92"/>
      <c r="AN846" s="93"/>
      <c r="AO846" s="92"/>
      <c r="AQ846" s="237" t="s">
        <v>2310</v>
      </c>
      <c r="AS846">
        <v>1</v>
      </c>
    </row>
    <row r="847" spans="1:45">
      <c r="A847">
        <v>423006</v>
      </c>
      <c r="B847" s="8">
        <v>1001</v>
      </c>
      <c r="C847" s="8">
        <v>2</v>
      </c>
      <c r="D847" s="8">
        <v>1004</v>
      </c>
      <c r="E847" s="237" t="s">
        <v>2311</v>
      </c>
      <c r="F847" s="13" t="s">
        <v>2311</v>
      </c>
      <c r="G847" t="s">
        <v>2311</v>
      </c>
      <c r="H847" t="s">
        <v>1389</v>
      </c>
      <c r="I847">
        <v>1</v>
      </c>
      <c r="J847">
        <v>3</v>
      </c>
      <c r="K847" s="87">
        <v>1</v>
      </c>
      <c r="L847" s="8">
        <v>999</v>
      </c>
      <c r="M847" s="8">
        <v>0</v>
      </c>
      <c r="N847" s="8"/>
      <c r="S847" s="89">
        <v>1</v>
      </c>
      <c r="T847" s="8">
        <v>5</v>
      </c>
      <c r="U847" s="89">
        <v>140</v>
      </c>
      <c r="V847" s="87">
        <v>1</v>
      </c>
      <c r="W847">
        <v>1</v>
      </c>
      <c r="X847" s="8">
        <v>1</v>
      </c>
      <c r="Y847">
        <v>0</v>
      </c>
      <c r="Z847" s="33">
        <v>0</v>
      </c>
      <c r="AA847">
        <v>5</v>
      </c>
      <c r="AB847" s="34">
        <v>5320</v>
      </c>
      <c r="AC847" s="87">
        <v>823</v>
      </c>
      <c r="AD847" s="62">
        <v>0</v>
      </c>
      <c r="AE847" s="90">
        <v>0</v>
      </c>
      <c r="AF847" s="90">
        <v>0</v>
      </c>
      <c r="AG847" s="91"/>
      <c r="AH847" s="91">
        <v>1</v>
      </c>
      <c r="AI847" s="91"/>
      <c r="AJ847" s="91"/>
      <c r="AK847" s="91"/>
      <c r="AL847" s="92">
        <v>1</v>
      </c>
      <c r="AM847" s="92"/>
      <c r="AN847" s="93"/>
      <c r="AO847" s="92"/>
      <c r="AQ847" s="237" t="s">
        <v>2311</v>
      </c>
      <c r="AS847">
        <v>1</v>
      </c>
    </row>
    <row r="848" spans="1:45">
      <c r="A848">
        <v>423007</v>
      </c>
      <c r="B848" s="8">
        <v>1001</v>
      </c>
      <c r="C848" s="8">
        <v>2</v>
      </c>
      <c r="D848" s="8">
        <v>1004</v>
      </c>
      <c r="E848" s="237" t="s">
        <v>2312</v>
      </c>
      <c r="F848" s="13" t="s">
        <v>2312</v>
      </c>
      <c r="G848" t="s">
        <v>2312</v>
      </c>
      <c r="H848" t="s">
        <v>1389</v>
      </c>
      <c r="I848">
        <v>1</v>
      </c>
      <c r="J848">
        <v>3</v>
      </c>
      <c r="K848" s="87">
        <v>1</v>
      </c>
      <c r="L848" s="8">
        <v>999</v>
      </c>
      <c r="M848" s="8">
        <v>0</v>
      </c>
      <c r="N848" s="8"/>
      <c r="S848" s="89">
        <v>1</v>
      </c>
      <c r="T848" s="8">
        <v>5</v>
      </c>
      <c r="U848" s="89">
        <v>140</v>
      </c>
      <c r="V848" s="87">
        <v>1</v>
      </c>
      <c r="W848">
        <v>1</v>
      </c>
      <c r="X848" s="8">
        <v>1</v>
      </c>
      <c r="Y848">
        <v>0</v>
      </c>
      <c r="Z848" s="33">
        <v>0</v>
      </c>
      <c r="AA848">
        <v>5</v>
      </c>
      <c r="AB848" s="34">
        <v>5320</v>
      </c>
      <c r="AC848" s="87">
        <v>823</v>
      </c>
      <c r="AD848" s="62">
        <v>0</v>
      </c>
      <c r="AE848" s="90">
        <v>0</v>
      </c>
      <c r="AF848" s="90">
        <v>0</v>
      </c>
      <c r="AG848" s="91"/>
      <c r="AH848" s="91">
        <v>1</v>
      </c>
      <c r="AI848" s="91"/>
      <c r="AJ848" s="91"/>
      <c r="AK848" s="91"/>
      <c r="AL848" s="92">
        <v>1</v>
      </c>
      <c r="AM848" s="92"/>
      <c r="AN848" s="93"/>
      <c r="AO848" s="92"/>
      <c r="AQ848" s="237" t="s">
        <v>2312</v>
      </c>
      <c r="AS848">
        <v>1</v>
      </c>
    </row>
    <row r="849" spans="1:45">
      <c r="A849">
        <v>424001</v>
      </c>
      <c r="B849" s="8">
        <v>1001</v>
      </c>
      <c r="C849" s="8">
        <v>2</v>
      </c>
      <c r="D849" s="8">
        <v>1004</v>
      </c>
      <c r="E849" s="323" t="s">
        <v>2313</v>
      </c>
      <c r="F849" s="13" t="s">
        <v>2313</v>
      </c>
      <c r="G849" t="s">
        <v>2313</v>
      </c>
      <c r="H849" t="s">
        <v>1389</v>
      </c>
      <c r="I849">
        <v>1</v>
      </c>
      <c r="J849">
        <v>4</v>
      </c>
      <c r="K849" s="87">
        <v>1</v>
      </c>
      <c r="L849" s="8">
        <v>999</v>
      </c>
      <c r="M849" s="8">
        <v>0</v>
      </c>
      <c r="N849" s="8"/>
      <c r="S849" s="89">
        <v>1</v>
      </c>
      <c r="T849" s="8">
        <v>5</v>
      </c>
      <c r="U849" s="89">
        <v>170</v>
      </c>
      <c r="V849" s="87">
        <v>1</v>
      </c>
      <c r="W849">
        <v>1</v>
      </c>
      <c r="X849" s="8">
        <v>1</v>
      </c>
      <c r="Y849">
        <v>0</v>
      </c>
      <c r="Z849" s="33">
        <v>0</v>
      </c>
      <c r="AA849">
        <v>5</v>
      </c>
      <c r="AB849" s="34">
        <v>6460</v>
      </c>
      <c r="AC849" s="87">
        <v>822</v>
      </c>
      <c r="AD849" s="62">
        <v>0</v>
      </c>
      <c r="AE849" s="90">
        <v>0</v>
      </c>
      <c r="AF849" s="90">
        <v>0</v>
      </c>
      <c r="AG849" s="91"/>
      <c r="AH849" s="91">
        <v>1</v>
      </c>
      <c r="AI849" s="91"/>
      <c r="AJ849" s="91"/>
      <c r="AK849" s="91"/>
      <c r="AL849" s="92">
        <v>1</v>
      </c>
      <c r="AM849" s="92"/>
      <c r="AN849" s="93"/>
      <c r="AO849" s="92"/>
      <c r="AQ849" s="323" t="s">
        <v>2313</v>
      </c>
      <c r="AS849">
        <v>1</v>
      </c>
    </row>
    <row r="850" spans="1:45">
      <c r="A850">
        <v>424002</v>
      </c>
      <c r="B850" s="8">
        <v>1001</v>
      </c>
      <c r="C850" s="8">
        <v>2</v>
      </c>
      <c r="D850" s="8">
        <v>1004</v>
      </c>
      <c r="E850" s="323" t="s">
        <v>2314</v>
      </c>
      <c r="F850" s="13" t="s">
        <v>2314</v>
      </c>
      <c r="G850" t="s">
        <v>2314</v>
      </c>
      <c r="H850" t="s">
        <v>1389</v>
      </c>
      <c r="I850">
        <v>1</v>
      </c>
      <c r="J850">
        <v>4</v>
      </c>
      <c r="K850" s="87">
        <v>1</v>
      </c>
      <c r="L850" s="8">
        <v>999</v>
      </c>
      <c r="M850" s="8">
        <v>0</v>
      </c>
      <c r="N850" s="8"/>
      <c r="S850" s="89">
        <v>1</v>
      </c>
      <c r="T850" s="8">
        <v>5</v>
      </c>
      <c r="U850" s="89">
        <v>170</v>
      </c>
      <c r="V850" s="87">
        <v>1</v>
      </c>
      <c r="W850">
        <v>1</v>
      </c>
      <c r="X850" s="8">
        <v>1</v>
      </c>
      <c r="Y850">
        <v>0</v>
      </c>
      <c r="Z850" s="33">
        <v>0</v>
      </c>
      <c r="AA850">
        <v>5</v>
      </c>
      <c r="AB850" s="34">
        <v>6460</v>
      </c>
      <c r="AC850" s="87">
        <v>822</v>
      </c>
      <c r="AD850" s="62">
        <v>0</v>
      </c>
      <c r="AE850" s="90">
        <v>0</v>
      </c>
      <c r="AF850" s="90">
        <v>0</v>
      </c>
      <c r="AG850" s="91"/>
      <c r="AH850" s="91">
        <v>1</v>
      </c>
      <c r="AI850" s="91"/>
      <c r="AJ850" s="91"/>
      <c r="AK850" s="91"/>
      <c r="AL850" s="92">
        <v>1</v>
      </c>
      <c r="AM850" s="92"/>
      <c r="AN850" s="93"/>
      <c r="AO850" s="92"/>
      <c r="AQ850" s="323" t="s">
        <v>2314</v>
      </c>
      <c r="AS850">
        <v>1</v>
      </c>
    </row>
    <row r="851" spans="1:45">
      <c r="A851">
        <v>424003</v>
      </c>
      <c r="B851" s="8">
        <v>1001</v>
      </c>
      <c r="C851" s="8">
        <v>2</v>
      </c>
      <c r="D851" s="8">
        <v>1004</v>
      </c>
      <c r="E851" s="323" t="s">
        <v>2315</v>
      </c>
      <c r="F851" s="13" t="s">
        <v>2315</v>
      </c>
      <c r="G851" t="s">
        <v>2315</v>
      </c>
      <c r="H851" t="s">
        <v>1389</v>
      </c>
      <c r="I851">
        <v>1</v>
      </c>
      <c r="J851">
        <v>4</v>
      </c>
      <c r="K851" s="87">
        <v>1</v>
      </c>
      <c r="L851" s="8">
        <v>999</v>
      </c>
      <c r="M851" s="8">
        <v>0</v>
      </c>
      <c r="N851" s="8"/>
      <c r="S851" s="89">
        <v>1</v>
      </c>
      <c r="T851" s="8">
        <v>5</v>
      </c>
      <c r="U851" s="89">
        <v>170</v>
      </c>
      <c r="V851" s="87">
        <v>1</v>
      </c>
      <c r="W851">
        <v>1</v>
      </c>
      <c r="X851" s="8">
        <v>1</v>
      </c>
      <c r="Y851">
        <v>0</v>
      </c>
      <c r="Z851" s="33">
        <v>0</v>
      </c>
      <c r="AA851">
        <v>5</v>
      </c>
      <c r="AB851" s="34">
        <v>6460</v>
      </c>
      <c r="AC851" s="87">
        <v>822</v>
      </c>
      <c r="AD851" s="62">
        <v>0</v>
      </c>
      <c r="AE851" s="90">
        <v>0</v>
      </c>
      <c r="AF851" s="90">
        <v>0</v>
      </c>
      <c r="AG851" s="91"/>
      <c r="AH851" s="91">
        <v>1</v>
      </c>
      <c r="AI851" s="91"/>
      <c r="AJ851" s="91"/>
      <c r="AK851" s="91"/>
      <c r="AL851" s="92">
        <v>1</v>
      </c>
      <c r="AM851" s="92"/>
      <c r="AN851" s="93"/>
      <c r="AO851" s="92"/>
      <c r="AQ851" s="323" t="s">
        <v>2315</v>
      </c>
      <c r="AS851">
        <v>1</v>
      </c>
    </row>
    <row r="852" spans="1:45">
      <c r="A852">
        <v>424004</v>
      </c>
      <c r="B852" s="8">
        <v>1001</v>
      </c>
      <c r="C852" s="8">
        <v>2</v>
      </c>
      <c r="D852" s="8">
        <v>1004</v>
      </c>
      <c r="E852" s="323" t="s">
        <v>2316</v>
      </c>
      <c r="F852" s="13" t="s">
        <v>2316</v>
      </c>
      <c r="G852" t="s">
        <v>2316</v>
      </c>
      <c r="H852" t="s">
        <v>1389</v>
      </c>
      <c r="I852">
        <v>1</v>
      </c>
      <c r="J852">
        <v>4</v>
      </c>
      <c r="K852" s="87">
        <v>1</v>
      </c>
      <c r="L852" s="8">
        <v>999</v>
      </c>
      <c r="M852" s="8">
        <v>0</v>
      </c>
      <c r="N852" s="8"/>
      <c r="S852" s="89">
        <v>1</v>
      </c>
      <c r="T852" s="8">
        <v>5</v>
      </c>
      <c r="U852" s="89">
        <v>170</v>
      </c>
      <c r="V852" s="87">
        <v>1</v>
      </c>
      <c r="W852">
        <v>1</v>
      </c>
      <c r="X852" s="8">
        <v>1</v>
      </c>
      <c r="Y852">
        <v>0</v>
      </c>
      <c r="Z852" s="33">
        <v>0</v>
      </c>
      <c r="AA852">
        <v>5</v>
      </c>
      <c r="AB852" s="34">
        <v>6460</v>
      </c>
      <c r="AC852" s="87">
        <v>822</v>
      </c>
      <c r="AD852" s="62">
        <v>0</v>
      </c>
      <c r="AE852" s="90">
        <v>0</v>
      </c>
      <c r="AF852" s="90">
        <v>0</v>
      </c>
      <c r="AG852" s="91"/>
      <c r="AH852" s="91">
        <v>1</v>
      </c>
      <c r="AI852" s="91"/>
      <c r="AJ852" s="91"/>
      <c r="AK852" s="91"/>
      <c r="AL852" s="92">
        <v>1</v>
      </c>
      <c r="AM852" s="92"/>
      <c r="AN852" s="93"/>
      <c r="AO852" s="92"/>
      <c r="AQ852" s="323" t="s">
        <v>2316</v>
      </c>
      <c r="AS852">
        <v>1</v>
      </c>
    </row>
    <row r="853" spans="1:45">
      <c r="A853">
        <v>424005</v>
      </c>
      <c r="B853" s="8">
        <v>1001</v>
      </c>
      <c r="C853" s="8">
        <v>2</v>
      </c>
      <c r="D853" s="8">
        <v>1004</v>
      </c>
      <c r="E853" s="323" t="s">
        <v>2317</v>
      </c>
      <c r="F853" s="13" t="s">
        <v>2317</v>
      </c>
      <c r="G853" t="s">
        <v>2317</v>
      </c>
      <c r="H853" t="s">
        <v>1389</v>
      </c>
      <c r="I853">
        <v>1</v>
      </c>
      <c r="J853">
        <v>4</v>
      </c>
      <c r="K853" s="87">
        <v>1</v>
      </c>
      <c r="L853" s="8">
        <v>999</v>
      </c>
      <c r="M853" s="8">
        <v>0</v>
      </c>
      <c r="N853" s="8"/>
      <c r="S853" s="89">
        <v>1</v>
      </c>
      <c r="T853" s="8">
        <v>5</v>
      </c>
      <c r="U853" s="89">
        <v>170</v>
      </c>
      <c r="V853" s="87">
        <v>1</v>
      </c>
      <c r="W853">
        <v>1</v>
      </c>
      <c r="X853" s="8">
        <v>1</v>
      </c>
      <c r="Y853">
        <v>0</v>
      </c>
      <c r="Z853" s="33">
        <v>0</v>
      </c>
      <c r="AA853">
        <v>5</v>
      </c>
      <c r="AB853" s="34">
        <v>6460</v>
      </c>
      <c r="AC853" s="87">
        <v>822</v>
      </c>
      <c r="AD853" s="62">
        <v>0</v>
      </c>
      <c r="AE853" s="90">
        <v>0</v>
      </c>
      <c r="AF853" s="90">
        <v>0</v>
      </c>
      <c r="AG853" s="91"/>
      <c r="AH853" s="91">
        <v>1</v>
      </c>
      <c r="AI853" s="91"/>
      <c r="AJ853" s="91"/>
      <c r="AK853" s="91"/>
      <c r="AL853" s="92">
        <v>1</v>
      </c>
      <c r="AM853" s="92"/>
      <c r="AN853" s="93"/>
      <c r="AO853" s="92"/>
      <c r="AQ853" s="323" t="s">
        <v>2317</v>
      </c>
      <c r="AS853">
        <v>1</v>
      </c>
    </row>
    <row r="854" spans="1:45">
      <c r="A854">
        <v>424006</v>
      </c>
      <c r="B854" s="8">
        <v>1001</v>
      </c>
      <c r="C854" s="8">
        <v>2</v>
      </c>
      <c r="D854" s="8">
        <v>1004</v>
      </c>
      <c r="E854" s="323" t="s">
        <v>2318</v>
      </c>
      <c r="F854" s="13" t="s">
        <v>2318</v>
      </c>
      <c r="G854" t="s">
        <v>2318</v>
      </c>
      <c r="H854" t="s">
        <v>1389</v>
      </c>
      <c r="I854">
        <v>1</v>
      </c>
      <c r="J854">
        <v>4</v>
      </c>
      <c r="K854" s="87">
        <v>1</v>
      </c>
      <c r="L854" s="8">
        <v>999</v>
      </c>
      <c r="M854" s="8">
        <v>0</v>
      </c>
      <c r="N854" s="8"/>
      <c r="S854" s="89">
        <v>1</v>
      </c>
      <c r="T854" s="8">
        <v>5</v>
      </c>
      <c r="U854" s="89">
        <v>170</v>
      </c>
      <c r="V854" s="87">
        <v>1</v>
      </c>
      <c r="W854">
        <v>1</v>
      </c>
      <c r="X854" s="8">
        <v>1</v>
      </c>
      <c r="Y854">
        <v>0</v>
      </c>
      <c r="Z854" s="33">
        <v>0</v>
      </c>
      <c r="AA854">
        <v>5</v>
      </c>
      <c r="AB854" s="34">
        <v>6460</v>
      </c>
      <c r="AC854" s="87">
        <v>822</v>
      </c>
      <c r="AD854" s="62">
        <v>0</v>
      </c>
      <c r="AE854" s="90">
        <v>0</v>
      </c>
      <c r="AF854" s="90">
        <v>0</v>
      </c>
      <c r="AG854" s="91"/>
      <c r="AH854" s="91">
        <v>1</v>
      </c>
      <c r="AI854" s="91"/>
      <c r="AJ854" s="91"/>
      <c r="AK854" s="91"/>
      <c r="AL854" s="92">
        <v>1</v>
      </c>
      <c r="AM854" s="92"/>
      <c r="AN854" s="93"/>
      <c r="AO854" s="92"/>
      <c r="AQ854" s="323" t="s">
        <v>2318</v>
      </c>
      <c r="AS854">
        <v>1</v>
      </c>
    </row>
    <row r="855" spans="1:45">
      <c r="A855">
        <v>424007</v>
      </c>
      <c r="B855" s="8">
        <v>1001</v>
      </c>
      <c r="C855" s="8">
        <v>2</v>
      </c>
      <c r="D855" s="8">
        <v>1004</v>
      </c>
      <c r="E855" s="323" t="s">
        <v>2319</v>
      </c>
      <c r="F855" s="13" t="s">
        <v>2319</v>
      </c>
      <c r="G855" t="s">
        <v>2319</v>
      </c>
      <c r="H855" t="s">
        <v>1389</v>
      </c>
      <c r="I855">
        <v>1</v>
      </c>
      <c r="J855">
        <v>4</v>
      </c>
      <c r="K855" s="87">
        <v>1</v>
      </c>
      <c r="L855" s="8">
        <v>999</v>
      </c>
      <c r="M855" s="8">
        <v>0</v>
      </c>
      <c r="N855" s="8"/>
      <c r="S855" s="89">
        <v>1</v>
      </c>
      <c r="T855" s="8">
        <v>5</v>
      </c>
      <c r="U855" s="89">
        <v>170</v>
      </c>
      <c r="V855" s="87">
        <v>1</v>
      </c>
      <c r="W855">
        <v>1</v>
      </c>
      <c r="X855" s="8">
        <v>1</v>
      </c>
      <c r="Y855">
        <v>0</v>
      </c>
      <c r="Z855" s="33">
        <v>0</v>
      </c>
      <c r="AA855">
        <v>5</v>
      </c>
      <c r="AB855" s="34">
        <v>6460</v>
      </c>
      <c r="AC855" s="87">
        <v>822</v>
      </c>
      <c r="AD855" s="62">
        <v>0</v>
      </c>
      <c r="AE855" s="90">
        <v>0</v>
      </c>
      <c r="AF855" s="90">
        <v>0</v>
      </c>
      <c r="AG855" s="91"/>
      <c r="AH855" s="91">
        <v>1</v>
      </c>
      <c r="AI855" s="91"/>
      <c r="AJ855" s="91"/>
      <c r="AK855" s="91"/>
      <c r="AL855" s="92">
        <v>1</v>
      </c>
      <c r="AM855" s="92"/>
      <c r="AN855" s="93"/>
      <c r="AO855" s="92"/>
      <c r="AQ855" s="323" t="s">
        <v>2319</v>
      </c>
      <c r="AS855">
        <v>1</v>
      </c>
    </row>
    <row r="856" spans="1:45">
      <c r="A856">
        <v>425001</v>
      </c>
      <c r="B856" s="8">
        <v>1001</v>
      </c>
      <c r="C856" s="8">
        <v>2</v>
      </c>
      <c r="D856" s="8">
        <v>1004</v>
      </c>
      <c r="E856" s="56" t="s">
        <v>2320</v>
      </c>
      <c r="F856" s="13" t="s">
        <v>2320</v>
      </c>
      <c r="G856" t="s">
        <v>2320</v>
      </c>
      <c r="H856" t="s">
        <v>1389</v>
      </c>
      <c r="I856">
        <v>1</v>
      </c>
      <c r="J856">
        <v>5</v>
      </c>
      <c r="K856" s="87">
        <v>1</v>
      </c>
      <c r="L856" s="8">
        <v>999</v>
      </c>
      <c r="M856" s="8">
        <v>0</v>
      </c>
      <c r="N856" s="8"/>
      <c r="S856" s="89">
        <v>1</v>
      </c>
      <c r="T856" s="8">
        <v>5</v>
      </c>
      <c r="U856" s="89">
        <v>200</v>
      </c>
      <c r="V856" s="87">
        <v>1</v>
      </c>
      <c r="W856">
        <v>1</v>
      </c>
      <c r="X856" s="8">
        <v>1</v>
      </c>
      <c r="Y856">
        <v>0</v>
      </c>
      <c r="Z856" s="33">
        <v>0</v>
      </c>
      <c r="AA856">
        <v>5</v>
      </c>
      <c r="AB856" s="34">
        <v>7600</v>
      </c>
      <c r="AC856" s="87">
        <v>821</v>
      </c>
      <c r="AD856" s="62">
        <v>0</v>
      </c>
      <c r="AE856" s="90">
        <v>0</v>
      </c>
      <c r="AF856" s="90">
        <v>0</v>
      </c>
      <c r="AG856" s="91"/>
      <c r="AH856" s="91">
        <v>1</v>
      </c>
      <c r="AI856" s="91"/>
      <c r="AJ856" s="91"/>
      <c r="AK856" s="91"/>
      <c r="AL856" s="92">
        <v>1</v>
      </c>
      <c r="AM856" s="92"/>
      <c r="AN856" s="93"/>
      <c r="AO856" s="92"/>
      <c r="AQ856" s="56" t="s">
        <v>2320</v>
      </c>
      <c r="AS856">
        <v>1</v>
      </c>
    </row>
    <row r="857" spans="1:45">
      <c r="A857">
        <v>425002</v>
      </c>
      <c r="B857" s="8">
        <v>1001</v>
      </c>
      <c r="C857" s="8">
        <v>2</v>
      </c>
      <c r="D857" s="8">
        <v>1004</v>
      </c>
      <c r="E857" s="56" t="s">
        <v>2321</v>
      </c>
      <c r="F857" s="13" t="s">
        <v>2321</v>
      </c>
      <c r="G857" t="s">
        <v>2321</v>
      </c>
      <c r="H857" t="s">
        <v>1389</v>
      </c>
      <c r="I857">
        <v>1</v>
      </c>
      <c r="J857">
        <v>5</v>
      </c>
      <c r="K857" s="87">
        <v>1</v>
      </c>
      <c r="L857" s="8">
        <v>999</v>
      </c>
      <c r="M857" s="8">
        <v>0</v>
      </c>
      <c r="N857" s="8"/>
      <c r="S857" s="89">
        <v>1</v>
      </c>
      <c r="T857" s="8">
        <v>5</v>
      </c>
      <c r="U857" s="89">
        <v>200</v>
      </c>
      <c r="V857" s="87">
        <v>1</v>
      </c>
      <c r="W857">
        <v>1</v>
      </c>
      <c r="X857" s="8">
        <v>1</v>
      </c>
      <c r="Y857">
        <v>0</v>
      </c>
      <c r="Z857" s="33">
        <v>0</v>
      </c>
      <c r="AA857">
        <v>5</v>
      </c>
      <c r="AB857" s="34">
        <v>7600</v>
      </c>
      <c r="AC857" s="87">
        <v>821</v>
      </c>
      <c r="AD857" s="62">
        <v>0</v>
      </c>
      <c r="AE857" s="90">
        <v>0</v>
      </c>
      <c r="AF857" s="90">
        <v>0</v>
      </c>
      <c r="AG857" s="91"/>
      <c r="AH857" s="91">
        <v>1</v>
      </c>
      <c r="AI857" s="91"/>
      <c r="AJ857" s="91"/>
      <c r="AK857" s="91"/>
      <c r="AL857" s="92">
        <v>1</v>
      </c>
      <c r="AM857" s="92"/>
      <c r="AN857" s="93"/>
      <c r="AO857" s="92"/>
      <c r="AQ857" s="56" t="s">
        <v>2321</v>
      </c>
      <c r="AS857">
        <v>1</v>
      </c>
    </row>
    <row r="858" spans="1:45">
      <c r="A858">
        <v>425003</v>
      </c>
      <c r="B858" s="8">
        <v>1001</v>
      </c>
      <c r="C858" s="8">
        <v>2</v>
      </c>
      <c r="D858" s="8">
        <v>1004</v>
      </c>
      <c r="E858" s="56" t="s">
        <v>2322</v>
      </c>
      <c r="F858" s="13" t="s">
        <v>2322</v>
      </c>
      <c r="G858" t="s">
        <v>2322</v>
      </c>
      <c r="H858" t="s">
        <v>1389</v>
      </c>
      <c r="I858">
        <v>1</v>
      </c>
      <c r="J858">
        <v>5</v>
      </c>
      <c r="K858" s="87">
        <v>1</v>
      </c>
      <c r="L858" s="8">
        <v>999</v>
      </c>
      <c r="M858" s="8">
        <v>0</v>
      </c>
      <c r="N858" s="8"/>
      <c r="S858" s="89">
        <v>1</v>
      </c>
      <c r="T858" s="8">
        <v>5</v>
      </c>
      <c r="U858" s="89">
        <v>200</v>
      </c>
      <c r="V858" s="87">
        <v>1</v>
      </c>
      <c r="W858">
        <v>1</v>
      </c>
      <c r="X858" s="8">
        <v>1</v>
      </c>
      <c r="Y858">
        <v>0</v>
      </c>
      <c r="Z858" s="33">
        <v>0</v>
      </c>
      <c r="AA858">
        <v>5</v>
      </c>
      <c r="AB858" s="34">
        <v>7600</v>
      </c>
      <c r="AC858" s="87">
        <v>821</v>
      </c>
      <c r="AD858" s="62">
        <v>0</v>
      </c>
      <c r="AE858" s="90">
        <v>0</v>
      </c>
      <c r="AF858" s="90">
        <v>0</v>
      </c>
      <c r="AG858" s="91"/>
      <c r="AH858" s="91">
        <v>1</v>
      </c>
      <c r="AI858" s="91"/>
      <c r="AJ858" s="91"/>
      <c r="AK858" s="91"/>
      <c r="AL858" s="92">
        <v>1</v>
      </c>
      <c r="AM858" s="92"/>
      <c r="AN858" s="93"/>
      <c r="AO858" s="92"/>
      <c r="AQ858" s="56" t="s">
        <v>2322</v>
      </c>
      <c r="AS858">
        <v>1</v>
      </c>
    </row>
    <row r="859" spans="1:45">
      <c r="A859">
        <v>425004</v>
      </c>
      <c r="B859" s="8">
        <v>1001</v>
      </c>
      <c r="C859" s="8">
        <v>2</v>
      </c>
      <c r="D859" s="8">
        <v>1004</v>
      </c>
      <c r="E859" s="56" t="s">
        <v>2323</v>
      </c>
      <c r="F859" s="13" t="s">
        <v>2323</v>
      </c>
      <c r="G859" t="s">
        <v>2323</v>
      </c>
      <c r="H859" t="s">
        <v>1389</v>
      </c>
      <c r="I859">
        <v>1</v>
      </c>
      <c r="J859">
        <v>5</v>
      </c>
      <c r="K859" s="87">
        <v>1</v>
      </c>
      <c r="L859" s="8">
        <v>999</v>
      </c>
      <c r="M859" s="8">
        <v>0</v>
      </c>
      <c r="N859" s="8"/>
      <c r="S859" s="89">
        <v>1</v>
      </c>
      <c r="T859" s="8">
        <v>5</v>
      </c>
      <c r="U859" s="89">
        <v>200</v>
      </c>
      <c r="V859" s="87">
        <v>1</v>
      </c>
      <c r="W859">
        <v>1</v>
      </c>
      <c r="X859" s="8">
        <v>1</v>
      </c>
      <c r="Y859">
        <v>0</v>
      </c>
      <c r="Z859" s="33">
        <v>0</v>
      </c>
      <c r="AA859">
        <v>5</v>
      </c>
      <c r="AB859" s="34">
        <v>7600</v>
      </c>
      <c r="AC859" s="87">
        <v>821</v>
      </c>
      <c r="AD859" s="62">
        <v>0</v>
      </c>
      <c r="AE859" s="90">
        <v>0</v>
      </c>
      <c r="AF859" s="90">
        <v>0</v>
      </c>
      <c r="AG859" s="91"/>
      <c r="AH859" s="91">
        <v>1</v>
      </c>
      <c r="AI859" s="91"/>
      <c r="AJ859" s="91"/>
      <c r="AK859" s="91"/>
      <c r="AL859" s="92">
        <v>1</v>
      </c>
      <c r="AM859" s="92"/>
      <c r="AN859" s="93"/>
      <c r="AO859" s="92"/>
      <c r="AQ859" s="56" t="s">
        <v>2323</v>
      </c>
      <c r="AS859">
        <v>1</v>
      </c>
    </row>
    <row r="860" spans="1:45">
      <c r="A860">
        <v>425005</v>
      </c>
      <c r="B860" s="8">
        <v>1001</v>
      </c>
      <c r="C860" s="8">
        <v>2</v>
      </c>
      <c r="D860" s="8">
        <v>1004</v>
      </c>
      <c r="E860" s="56" t="s">
        <v>2324</v>
      </c>
      <c r="F860" s="13" t="s">
        <v>2324</v>
      </c>
      <c r="G860" t="s">
        <v>2324</v>
      </c>
      <c r="H860" t="s">
        <v>1389</v>
      </c>
      <c r="I860">
        <v>1</v>
      </c>
      <c r="J860">
        <v>5</v>
      </c>
      <c r="K860" s="87">
        <v>1</v>
      </c>
      <c r="L860" s="8">
        <v>999</v>
      </c>
      <c r="M860" s="8">
        <v>0</v>
      </c>
      <c r="N860" s="8"/>
      <c r="S860" s="89">
        <v>1</v>
      </c>
      <c r="T860" s="8">
        <v>5</v>
      </c>
      <c r="U860" s="89">
        <v>200</v>
      </c>
      <c r="V860" s="87">
        <v>1</v>
      </c>
      <c r="W860">
        <v>1</v>
      </c>
      <c r="X860" s="8">
        <v>1</v>
      </c>
      <c r="Y860">
        <v>0</v>
      </c>
      <c r="Z860" s="33">
        <v>0</v>
      </c>
      <c r="AA860">
        <v>5</v>
      </c>
      <c r="AB860" s="34">
        <v>7600</v>
      </c>
      <c r="AC860" s="87">
        <v>821</v>
      </c>
      <c r="AD860" s="62">
        <v>0</v>
      </c>
      <c r="AE860" s="90">
        <v>0</v>
      </c>
      <c r="AF860" s="90">
        <v>0</v>
      </c>
      <c r="AG860" s="91"/>
      <c r="AH860" s="91">
        <v>1</v>
      </c>
      <c r="AI860" s="91"/>
      <c r="AJ860" s="91"/>
      <c r="AK860" s="91"/>
      <c r="AL860" s="92">
        <v>1</v>
      </c>
      <c r="AM860" s="92"/>
      <c r="AN860" s="93"/>
      <c r="AO860" s="92"/>
      <c r="AQ860" s="56" t="s">
        <v>2324</v>
      </c>
      <c r="AS860">
        <v>1</v>
      </c>
    </row>
    <row r="861" spans="1:45">
      <c r="A861">
        <v>425006</v>
      </c>
      <c r="B861" s="8">
        <v>1001</v>
      </c>
      <c r="C861" s="8">
        <v>2</v>
      </c>
      <c r="D861" s="8">
        <v>1004</v>
      </c>
      <c r="E861" s="56" t="s">
        <v>2325</v>
      </c>
      <c r="F861" s="13" t="s">
        <v>2325</v>
      </c>
      <c r="G861" t="s">
        <v>2325</v>
      </c>
      <c r="H861" t="s">
        <v>1389</v>
      </c>
      <c r="I861">
        <v>1</v>
      </c>
      <c r="J861">
        <v>5</v>
      </c>
      <c r="K861" s="87">
        <v>1</v>
      </c>
      <c r="L861" s="8">
        <v>999</v>
      </c>
      <c r="M861" s="8">
        <v>0</v>
      </c>
      <c r="N861" s="8"/>
      <c r="S861" s="89">
        <v>1</v>
      </c>
      <c r="T861" s="8">
        <v>5</v>
      </c>
      <c r="U861" s="89">
        <v>200</v>
      </c>
      <c r="V861" s="87">
        <v>1</v>
      </c>
      <c r="W861">
        <v>1</v>
      </c>
      <c r="X861" s="8">
        <v>1</v>
      </c>
      <c r="Y861">
        <v>0</v>
      </c>
      <c r="Z861" s="33">
        <v>0</v>
      </c>
      <c r="AA861">
        <v>5</v>
      </c>
      <c r="AB861" s="34">
        <v>7600</v>
      </c>
      <c r="AC861" s="87">
        <v>821</v>
      </c>
      <c r="AD861" s="62">
        <v>0</v>
      </c>
      <c r="AE861" s="90">
        <v>0</v>
      </c>
      <c r="AF861" s="90">
        <v>0</v>
      </c>
      <c r="AG861" s="91"/>
      <c r="AH861" s="91">
        <v>1</v>
      </c>
      <c r="AI861" s="91"/>
      <c r="AJ861" s="91"/>
      <c r="AK861" s="91"/>
      <c r="AL861" s="92">
        <v>1</v>
      </c>
      <c r="AM861" s="92"/>
      <c r="AN861" s="93"/>
      <c r="AO861" s="92"/>
      <c r="AQ861" s="56" t="s">
        <v>2325</v>
      </c>
      <c r="AS861">
        <v>1</v>
      </c>
    </row>
    <row r="862" spans="1:45">
      <c r="A862">
        <v>425007</v>
      </c>
      <c r="B862" s="8">
        <v>1001</v>
      </c>
      <c r="C862" s="8">
        <v>2</v>
      </c>
      <c r="D862" s="8">
        <v>1004</v>
      </c>
      <c r="E862" s="56" t="s">
        <v>2326</v>
      </c>
      <c r="F862" s="13" t="s">
        <v>2326</v>
      </c>
      <c r="G862" t="s">
        <v>2326</v>
      </c>
      <c r="H862" t="s">
        <v>1389</v>
      </c>
      <c r="I862">
        <v>1</v>
      </c>
      <c r="J862">
        <v>5</v>
      </c>
      <c r="K862" s="87">
        <v>1</v>
      </c>
      <c r="L862" s="8">
        <v>999</v>
      </c>
      <c r="M862" s="8">
        <v>0</v>
      </c>
      <c r="N862" s="8"/>
      <c r="S862" s="89">
        <v>1</v>
      </c>
      <c r="T862" s="8">
        <v>5</v>
      </c>
      <c r="U862" s="89">
        <v>200</v>
      </c>
      <c r="V862" s="87">
        <v>1</v>
      </c>
      <c r="W862">
        <v>1</v>
      </c>
      <c r="X862" s="8">
        <v>1</v>
      </c>
      <c r="Y862">
        <v>0</v>
      </c>
      <c r="Z862" s="33">
        <v>0</v>
      </c>
      <c r="AA862">
        <v>5</v>
      </c>
      <c r="AB862" s="34">
        <v>7600</v>
      </c>
      <c r="AC862" s="87">
        <v>821</v>
      </c>
      <c r="AD862" s="62">
        <v>0</v>
      </c>
      <c r="AE862" s="90">
        <v>0</v>
      </c>
      <c r="AF862" s="90">
        <v>0</v>
      </c>
      <c r="AG862" s="91"/>
      <c r="AH862" s="91">
        <v>1</v>
      </c>
      <c r="AI862" s="91"/>
      <c r="AJ862" s="91"/>
      <c r="AK862" s="91"/>
      <c r="AL862" s="92">
        <v>1</v>
      </c>
      <c r="AM862" s="92"/>
      <c r="AN862" s="93"/>
      <c r="AO862" s="92"/>
      <c r="AQ862" s="56" t="s">
        <v>2326</v>
      </c>
      <c r="AS862">
        <v>1</v>
      </c>
    </row>
    <row r="863" spans="1:45">
      <c r="A863" s="51">
        <v>451001</v>
      </c>
      <c r="B863" s="8">
        <v>1001</v>
      </c>
      <c r="C863" s="8">
        <v>3</v>
      </c>
      <c r="D863" s="8">
        <v>1001</v>
      </c>
      <c r="E863" t="s">
        <v>2327</v>
      </c>
      <c r="F863" s="13" t="s">
        <v>2328</v>
      </c>
      <c r="G863" t="s">
        <v>2329</v>
      </c>
      <c r="H863" t="s">
        <v>2330</v>
      </c>
      <c r="I863">
        <v>10</v>
      </c>
      <c r="J863">
        <v>1</v>
      </c>
      <c r="K863" s="87">
        <v>2</v>
      </c>
      <c r="L863" s="8">
        <v>999</v>
      </c>
      <c r="M863" s="8">
        <v>0</v>
      </c>
      <c r="N863" s="8">
        <v>1002</v>
      </c>
      <c r="O863" s="2">
        <v>1000</v>
      </c>
      <c r="S863" s="89">
        <v>1</v>
      </c>
      <c r="T863" s="8">
        <v>5</v>
      </c>
      <c r="U863" s="89">
        <v>80</v>
      </c>
      <c r="V863" s="87">
        <v>1</v>
      </c>
      <c r="W863">
        <v>1</v>
      </c>
      <c r="X863" s="8">
        <v>1</v>
      </c>
      <c r="Y863">
        <v>0</v>
      </c>
      <c r="Z863" s="33">
        <v>0</v>
      </c>
      <c r="AA863">
        <v>5</v>
      </c>
      <c r="AB863" s="34">
        <v>3040</v>
      </c>
      <c r="AC863" s="87">
        <v>456</v>
      </c>
      <c r="AD863" s="62">
        <v>1</v>
      </c>
      <c r="AE863" s="90">
        <v>1</v>
      </c>
      <c r="AF863" s="90">
        <v>1</v>
      </c>
      <c r="AG863" s="91">
        <v>101</v>
      </c>
      <c r="AH863" s="91">
        <v>10</v>
      </c>
      <c r="AI863" s="91"/>
      <c r="AJ863" s="91"/>
      <c r="AK863" s="91"/>
      <c r="AL863" s="92">
        <v>1</v>
      </c>
      <c r="AM863" s="92"/>
      <c r="AN863" s="93" t="s">
        <v>2331</v>
      </c>
      <c r="AO863" s="92"/>
      <c r="AQ863" t="s">
        <v>2327</v>
      </c>
      <c r="AS863">
        <v>1</v>
      </c>
    </row>
    <row r="864" spans="1:45">
      <c r="A864" s="51">
        <v>451007</v>
      </c>
      <c r="B864" s="8">
        <v>1001</v>
      </c>
      <c r="C864" s="8">
        <v>3</v>
      </c>
      <c r="D864" s="8">
        <v>1001</v>
      </c>
      <c r="E864" t="s">
        <v>2332</v>
      </c>
      <c r="F864" s="13" t="s">
        <v>2333</v>
      </c>
      <c r="G864" t="s">
        <v>2334</v>
      </c>
      <c r="H864" t="s">
        <v>2335</v>
      </c>
      <c r="I864">
        <v>10</v>
      </c>
      <c r="J864">
        <v>1</v>
      </c>
      <c r="K864" s="87">
        <v>2</v>
      </c>
      <c r="L864" s="8">
        <v>999</v>
      </c>
      <c r="M864" s="8">
        <v>0</v>
      </c>
      <c r="N864" s="8">
        <v>1011</v>
      </c>
      <c r="O864" s="2">
        <v>43</v>
      </c>
      <c r="S864" s="89">
        <v>1</v>
      </c>
      <c r="T864" s="8">
        <v>5</v>
      </c>
      <c r="U864" s="89">
        <v>80</v>
      </c>
      <c r="V864" s="87">
        <v>1</v>
      </c>
      <c r="W864">
        <v>1</v>
      </c>
      <c r="X864" s="8">
        <v>1</v>
      </c>
      <c r="Y864">
        <v>0</v>
      </c>
      <c r="Z864" s="33">
        <v>0</v>
      </c>
      <c r="AA864">
        <v>5</v>
      </c>
      <c r="AB864" s="34">
        <v>3040</v>
      </c>
      <c r="AC864" s="87">
        <v>452</v>
      </c>
      <c r="AD864" s="62">
        <v>1</v>
      </c>
      <c r="AE864" s="90">
        <v>1</v>
      </c>
      <c r="AF864" s="90">
        <v>1</v>
      </c>
      <c r="AG864" s="91">
        <v>102</v>
      </c>
      <c r="AH864" s="91">
        <v>15</v>
      </c>
      <c r="AI864" s="91"/>
      <c r="AJ864" s="91"/>
      <c r="AK864" s="91"/>
      <c r="AL864" s="92">
        <v>1</v>
      </c>
      <c r="AM864" s="92"/>
      <c r="AN864" s="93" t="s">
        <v>2331</v>
      </c>
      <c r="AO864" s="92"/>
      <c r="AQ864" t="s">
        <v>2332</v>
      </c>
      <c r="AS864">
        <v>1</v>
      </c>
    </row>
    <row r="865" spans="1:45">
      <c r="A865" s="51">
        <v>452001</v>
      </c>
      <c r="B865" s="8">
        <v>1001</v>
      </c>
      <c r="C865" s="8">
        <v>3</v>
      </c>
      <c r="D865" s="8">
        <v>1001</v>
      </c>
      <c r="E865" s="38" t="s">
        <v>2336</v>
      </c>
      <c r="F865" s="13" t="s">
        <v>2337</v>
      </c>
      <c r="G865" t="s">
        <v>2338</v>
      </c>
      <c r="H865" t="s">
        <v>2339</v>
      </c>
      <c r="I865">
        <v>20</v>
      </c>
      <c r="J865">
        <v>2</v>
      </c>
      <c r="K865" s="87">
        <v>2</v>
      </c>
      <c r="L865" s="8">
        <v>999</v>
      </c>
      <c r="M865" s="8">
        <v>0</v>
      </c>
      <c r="N865" s="8">
        <v>1002</v>
      </c>
      <c r="O865" s="2">
        <v>1500</v>
      </c>
      <c r="S865" s="89">
        <v>1</v>
      </c>
      <c r="T865" s="8">
        <v>5</v>
      </c>
      <c r="U865" s="89">
        <v>110</v>
      </c>
      <c r="V865" s="87">
        <v>1</v>
      </c>
      <c r="W865">
        <v>1</v>
      </c>
      <c r="X865" s="8">
        <v>1</v>
      </c>
      <c r="Y865">
        <v>0</v>
      </c>
      <c r="Z865" s="33">
        <v>0</v>
      </c>
      <c r="AA865">
        <v>5</v>
      </c>
      <c r="AB865" s="34">
        <v>4180</v>
      </c>
      <c r="AC865" s="87">
        <v>446</v>
      </c>
      <c r="AD865" s="62">
        <v>1</v>
      </c>
      <c r="AE865" s="90">
        <v>1</v>
      </c>
      <c r="AF865" s="90">
        <v>1</v>
      </c>
      <c r="AG865" s="91">
        <v>101</v>
      </c>
      <c r="AH865" s="91">
        <v>10</v>
      </c>
      <c r="AI865" s="91"/>
      <c r="AJ865" s="91"/>
      <c r="AK865" s="91"/>
      <c r="AL865" s="92">
        <v>1</v>
      </c>
      <c r="AM865" s="92"/>
      <c r="AN865" s="93" t="s">
        <v>2331</v>
      </c>
      <c r="AO865" s="92"/>
      <c r="AQ865" s="38" t="s">
        <v>2336</v>
      </c>
      <c r="AS865">
        <v>1</v>
      </c>
    </row>
    <row r="866" spans="1:45">
      <c r="A866" s="51">
        <v>452004</v>
      </c>
      <c r="B866" s="8">
        <v>1001</v>
      </c>
      <c r="C866" s="8">
        <v>3</v>
      </c>
      <c r="D866" s="8">
        <v>1001</v>
      </c>
      <c r="E866" s="38" t="s">
        <v>2340</v>
      </c>
      <c r="F866" s="13" t="s">
        <v>2341</v>
      </c>
      <c r="G866" t="s">
        <v>2342</v>
      </c>
      <c r="H866" t="s">
        <v>2343</v>
      </c>
      <c r="I866">
        <v>20</v>
      </c>
      <c r="J866">
        <v>2</v>
      </c>
      <c r="K866" s="87">
        <v>2</v>
      </c>
      <c r="L866" s="8">
        <v>999</v>
      </c>
      <c r="M866" s="8">
        <v>0</v>
      </c>
      <c r="N866" s="8">
        <v>1011</v>
      </c>
      <c r="O866" s="2">
        <v>49</v>
      </c>
      <c r="S866" s="89">
        <v>1</v>
      </c>
      <c r="T866" s="8">
        <v>5</v>
      </c>
      <c r="U866" s="89">
        <v>110</v>
      </c>
      <c r="V866" s="87">
        <v>1</v>
      </c>
      <c r="W866">
        <v>1</v>
      </c>
      <c r="X866" s="8">
        <v>1</v>
      </c>
      <c r="Y866">
        <v>0</v>
      </c>
      <c r="Z866" s="33">
        <v>0</v>
      </c>
      <c r="AA866">
        <v>5</v>
      </c>
      <c r="AB866" s="34">
        <v>4180</v>
      </c>
      <c r="AC866" s="87">
        <v>445</v>
      </c>
      <c r="AD866" s="62">
        <v>1</v>
      </c>
      <c r="AE866" s="90">
        <v>1</v>
      </c>
      <c r="AF866" s="90">
        <v>1</v>
      </c>
      <c r="AG866" s="91">
        <v>102</v>
      </c>
      <c r="AH866" s="91">
        <v>15</v>
      </c>
      <c r="AI866" s="91"/>
      <c r="AJ866" s="91"/>
      <c r="AK866" s="91"/>
      <c r="AL866" s="92">
        <v>1</v>
      </c>
      <c r="AM866" s="92"/>
      <c r="AN866" s="93" t="s">
        <v>2331</v>
      </c>
      <c r="AO866" s="92"/>
      <c r="AQ866" s="38" t="s">
        <v>2340</v>
      </c>
      <c r="AS866">
        <v>1</v>
      </c>
    </row>
    <row r="867" spans="1:45">
      <c r="A867" s="51">
        <v>453001</v>
      </c>
      <c r="B867" s="8">
        <v>1001</v>
      </c>
      <c r="C867" s="8">
        <v>3</v>
      </c>
      <c r="D867" s="8">
        <v>1001</v>
      </c>
      <c r="E867" s="237" t="s">
        <v>2344</v>
      </c>
      <c r="F867" s="13" t="s">
        <v>2345</v>
      </c>
      <c r="G867" t="s">
        <v>2346</v>
      </c>
      <c r="H867" t="s">
        <v>2347</v>
      </c>
      <c r="I867">
        <v>30</v>
      </c>
      <c r="J867">
        <v>3</v>
      </c>
      <c r="K867" s="87">
        <v>2</v>
      </c>
      <c r="L867" s="8">
        <v>999</v>
      </c>
      <c r="M867" s="8">
        <v>0</v>
      </c>
      <c r="N867" s="8">
        <v>1002</v>
      </c>
      <c r="O867" s="2">
        <v>2000</v>
      </c>
      <c r="S867" s="89">
        <v>1</v>
      </c>
      <c r="T867" s="8">
        <v>5</v>
      </c>
      <c r="U867" s="89">
        <v>140</v>
      </c>
      <c r="V867" s="87">
        <v>1</v>
      </c>
      <c r="W867">
        <v>1</v>
      </c>
      <c r="X867" s="8">
        <v>1</v>
      </c>
      <c r="Y867">
        <v>0</v>
      </c>
      <c r="Z867" s="33">
        <v>0</v>
      </c>
      <c r="AA867">
        <v>5</v>
      </c>
      <c r="AB867" s="34">
        <v>5320</v>
      </c>
      <c r="AC867" s="87">
        <v>436</v>
      </c>
      <c r="AD867" s="62">
        <v>1</v>
      </c>
      <c r="AE867" s="90">
        <v>1</v>
      </c>
      <c r="AF867" s="90">
        <v>1</v>
      </c>
      <c r="AG867" s="91">
        <v>101</v>
      </c>
      <c r="AH867" s="91">
        <v>10</v>
      </c>
      <c r="AI867" s="91"/>
      <c r="AJ867" s="91"/>
      <c r="AK867" s="91"/>
      <c r="AL867" s="92">
        <v>1</v>
      </c>
      <c r="AM867" s="92"/>
      <c r="AN867" s="93" t="s">
        <v>2331</v>
      </c>
      <c r="AO867" s="92"/>
      <c r="AQ867" s="237" t="s">
        <v>2344</v>
      </c>
      <c r="AS867">
        <v>1</v>
      </c>
    </row>
    <row r="868" spans="1:45">
      <c r="A868" s="51">
        <v>453004</v>
      </c>
      <c r="B868" s="8">
        <v>1001</v>
      </c>
      <c r="C868" s="8">
        <v>3</v>
      </c>
      <c r="D868" s="8">
        <v>1001</v>
      </c>
      <c r="E868" s="237" t="s">
        <v>2348</v>
      </c>
      <c r="F868" s="13" t="s">
        <v>2349</v>
      </c>
      <c r="G868" t="s">
        <v>2350</v>
      </c>
      <c r="H868" t="s">
        <v>2351</v>
      </c>
      <c r="I868">
        <v>30</v>
      </c>
      <c r="J868">
        <v>3</v>
      </c>
      <c r="K868" s="87">
        <v>2</v>
      </c>
      <c r="L868" s="8">
        <v>999</v>
      </c>
      <c r="M868" s="8">
        <v>0</v>
      </c>
      <c r="N868" s="8">
        <v>1011</v>
      </c>
      <c r="O868" s="2">
        <v>57</v>
      </c>
      <c r="S868" s="89">
        <v>1</v>
      </c>
      <c r="T868" s="8">
        <v>5</v>
      </c>
      <c r="U868" s="89">
        <v>140</v>
      </c>
      <c r="V868" s="87">
        <v>1</v>
      </c>
      <c r="W868" s="238">
        <v>1</v>
      </c>
      <c r="X868" s="8">
        <v>1</v>
      </c>
      <c r="Y868">
        <v>0</v>
      </c>
      <c r="Z868" s="33">
        <v>0</v>
      </c>
      <c r="AA868">
        <v>5</v>
      </c>
      <c r="AB868" s="34">
        <v>5320</v>
      </c>
      <c r="AC868" s="87">
        <v>435</v>
      </c>
      <c r="AD868" s="62">
        <v>1</v>
      </c>
      <c r="AE868" s="90">
        <v>1</v>
      </c>
      <c r="AF868" s="90">
        <v>1</v>
      </c>
      <c r="AG868" s="91">
        <v>102</v>
      </c>
      <c r="AH868" s="91">
        <v>15</v>
      </c>
      <c r="AI868" s="91"/>
      <c r="AJ868" s="91"/>
      <c r="AK868" s="91"/>
      <c r="AL868" s="92">
        <v>1</v>
      </c>
      <c r="AM868" s="92"/>
      <c r="AN868" s="93"/>
      <c r="AO868" s="92"/>
      <c r="AQ868" s="237" t="s">
        <v>2348</v>
      </c>
      <c r="AS868">
        <v>1</v>
      </c>
    </row>
    <row r="869" spans="1:45">
      <c r="A869">
        <v>460001</v>
      </c>
      <c r="B869" s="8">
        <v>1001</v>
      </c>
      <c r="C869" s="8">
        <v>2</v>
      </c>
      <c r="D869" s="8">
        <v>1004</v>
      </c>
      <c r="E869" t="s">
        <v>2352</v>
      </c>
      <c r="F869" s="13" t="s">
        <v>2352</v>
      </c>
      <c r="G869" t="s">
        <v>2353</v>
      </c>
      <c r="H869" t="s">
        <v>2354</v>
      </c>
      <c r="I869">
        <v>1</v>
      </c>
      <c r="J869">
        <v>1</v>
      </c>
      <c r="K869" s="87">
        <v>1</v>
      </c>
      <c r="L869" s="8">
        <v>999</v>
      </c>
      <c r="M869" s="8">
        <v>0</v>
      </c>
      <c r="N869" s="8"/>
      <c r="S869" s="89">
        <v>1</v>
      </c>
      <c r="T869" s="8">
        <v>5</v>
      </c>
      <c r="U869" s="89">
        <v>100</v>
      </c>
      <c r="V869" s="87">
        <v>1</v>
      </c>
      <c r="W869" s="8">
        <v>1</v>
      </c>
      <c r="X869" s="8">
        <v>1</v>
      </c>
      <c r="Y869">
        <v>0</v>
      </c>
      <c r="Z869" s="33">
        <v>0</v>
      </c>
      <c r="AA869">
        <v>5</v>
      </c>
      <c r="AB869" s="34">
        <v>4000</v>
      </c>
      <c r="AC869" s="87">
        <v>850</v>
      </c>
      <c r="AE869" s="90"/>
      <c r="AF869" s="90"/>
      <c r="AG869" s="91"/>
      <c r="AH869" s="91"/>
      <c r="AI869" s="91"/>
      <c r="AJ869" s="91"/>
      <c r="AK869" s="91"/>
      <c r="AL869" s="92">
        <v>1</v>
      </c>
      <c r="AM869" s="92"/>
      <c r="AN869" s="93"/>
      <c r="AO869" s="92"/>
      <c r="AQ869" t="s">
        <v>2352</v>
      </c>
      <c r="AS869">
        <v>1</v>
      </c>
    </row>
    <row r="870" spans="1:45">
      <c r="A870">
        <v>460002</v>
      </c>
      <c r="B870" s="8">
        <v>1001</v>
      </c>
      <c r="C870" s="8">
        <v>2</v>
      </c>
      <c r="D870" s="8">
        <v>1004</v>
      </c>
      <c r="E870" t="s">
        <v>2355</v>
      </c>
      <c r="F870" s="13" t="s">
        <v>2355</v>
      </c>
      <c r="G870" t="s">
        <v>2353</v>
      </c>
      <c r="H870" t="s">
        <v>2356</v>
      </c>
      <c r="I870">
        <v>1</v>
      </c>
      <c r="J870">
        <v>1</v>
      </c>
      <c r="K870" s="87">
        <v>1</v>
      </c>
      <c r="L870" s="8">
        <v>999</v>
      </c>
      <c r="M870" s="8">
        <v>0</v>
      </c>
      <c r="N870" s="8"/>
      <c r="S870" s="89">
        <v>1</v>
      </c>
      <c r="T870" s="8">
        <v>5</v>
      </c>
      <c r="U870" s="89">
        <v>100</v>
      </c>
      <c r="V870" s="87">
        <v>1</v>
      </c>
      <c r="W870" s="8">
        <v>1</v>
      </c>
      <c r="X870" s="8">
        <v>1</v>
      </c>
      <c r="Y870">
        <v>0</v>
      </c>
      <c r="Z870" s="33">
        <v>0</v>
      </c>
      <c r="AA870">
        <v>5</v>
      </c>
      <c r="AB870" s="34">
        <v>4000</v>
      </c>
      <c r="AC870" s="87">
        <v>850</v>
      </c>
      <c r="AE870" s="90"/>
      <c r="AF870" s="90"/>
      <c r="AG870" s="91"/>
      <c r="AH870" s="91"/>
      <c r="AI870" s="91"/>
      <c r="AJ870" s="91"/>
      <c r="AK870" s="91"/>
      <c r="AL870" s="92">
        <v>1</v>
      </c>
      <c r="AM870" s="92"/>
      <c r="AN870" s="93"/>
      <c r="AO870" s="92"/>
      <c r="AQ870" t="s">
        <v>2355</v>
      </c>
      <c r="AS870">
        <v>1</v>
      </c>
    </row>
    <row r="871" spans="1:45">
      <c r="A871">
        <v>460003</v>
      </c>
      <c r="B871" s="8">
        <v>1001</v>
      </c>
      <c r="C871" s="8">
        <v>2</v>
      </c>
      <c r="D871" s="8">
        <v>1004</v>
      </c>
      <c r="E871" t="s">
        <v>2357</v>
      </c>
      <c r="F871" s="13" t="s">
        <v>2357</v>
      </c>
      <c r="G871" t="s">
        <v>2353</v>
      </c>
      <c r="H871" t="s">
        <v>2358</v>
      </c>
      <c r="I871">
        <v>1</v>
      </c>
      <c r="J871">
        <v>1</v>
      </c>
      <c r="K871" s="87">
        <v>1</v>
      </c>
      <c r="L871" s="8">
        <v>999</v>
      </c>
      <c r="M871" s="8">
        <v>0</v>
      </c>
      <c r="N871" s="8"/>
      <c r="S871" s="89">
        <v>1</v>
      </c>
      <c r="T871" s="8">
        <v>5</v>
      </c>
      <c r="U871" s="89">
        <v>100</v>
      </c>
      <c r="V871" s="87">
        <v>1</v>
      </c>
      <c r="W871" s="8">
        <v>1</v>
      </c>
      <c r="X871" s="8">
        <v>1</v>
      </c>
      <c r="Y871">
        <v>0</v>
      </c>
      <c r="Z871" s="33">
        <v>0</v>
      </c>
      <c r="AA871">
        <v>5</v>
      </c>
      <c r="AB871" s="34">
        <v>4000</v>
      </c>
      <c r="AC871" s="87">
        <v>850</v>
      </c>
      <c r="AE871" s="90"/>
      <c r="AF871" s="90"/>
      <c r="AG871" s="91"/>
      <c r="AH871" s="91"/>
      <c r="AI871" s="91"/>
      <c r="AJ871" s="91"/>
      <c r="AK871" s="91"/>
      <c r="AL871" s="92">
        <v>1</v>
      </c>
      <c r="AM871" s="92"/>
      <c r="AN871" s="93"/>
      <c r="AO871" s="92"/>
      <c r="AQ871" t="s">
        <v>2357</v>
      </c>
      <c r="AS871">
        <v>1</v>
      </c>
    </row>
    <row r="872" spans="1:45">
      <c r="A872">
        <v>460004</v>
      </c>
      <c r="B872" s="8">
        <v>1001</v>
      </c>
      <c r="C872" s="8">
        <v>2</v>
      </c>
      <c r="D872" s="8">
        <v>1004</v>
      </c>
      <c r="E872" t="s">
        <v>2359</v>
      </c>
      <c r="F872" s="13" t="s">
        <v>2359</v>
      </c>
      <c r="G872" t="s">
        <v>2353</v>
      </c>
      <c r="H872" t="s">
        <v>2177</v>
      </c>
      <c r="I872">
        <v>1</v>
      </c>
      <c r="J872">
        <v>1</v>
      </c>
      <c r="K872" s="87">
        <v>1</v>
      </c>
      <c r="L872" s="8">
        <v>999</v>
      </c>
      <c r="M872" s="8">
        <v>0</v>
      </c>
      <c r="N872" s="8"/>
      <c r="S872" s="89">
        <v>1</v>
      </c>
      <c r="T872" s="8">
        <v>5</v>
      </c>
      <c r="U872" s="89">
        <v>100</v>
      </c>
      <c r="V872" s="87">
        <v>1</v>
      </c>
      <c r="W872" s="8">
        <v>1</v>
      </c>
      <c r="X872" s="8">
        <v>1</v>
      </c>
      <c r="Y872">
        <v>0</v>
      </c>
      <c r="Z872" s="33">
        <v>0</v>
      </c>
      <c r="AA872">
        <v>5</v>
      </c>
      <c r="AB872" s="34">
        <v>4000</v>
      </c>
      <c r="AC872" s="87">
        <v>850</v>
      </c>
      <c r="AE872" s="90"/>
      <c r="AF872" s="90"/>
      <c r="AG872" s="91"/>
      <c r="AH872" s="91"/>
      <c r="AI872" s="91"/>
      <c r="AJ872" s="91"/>
      <c r="AK872" s="91"/>
      <c r="AL872" s="92">
        <v>1</v>
      </c>
      <c r="AM872" s="92"/>
      <c r="AN872" s="93"/>
      <c r="AO872" s="92"/>
      <c r="AQ872" t="s">
        <v>2359</v>
      </c>
      <c r="AS872">
        <v>1</v>
      </c>
    </row>
    <row r="873" spans="1:45">
      <c r="A873">
        <v>460005</v>
      </c>
      <c r="B873" s="8">
        <v>1001</v>
      </c>
      <c r="C873" s="8">
        <v>2</v>
      </c>
      <c r="D873" s="8">
        <v>1004</v>
      </c>
      <c r="E873" t="s">
        <v>2360</v>
      </c>
      <c r="F873" s="13" t="s">
        <v>2360</v>
      </c>
      <c r="G873" t="s">
        <v>2353</v>
      </c>
      <c r="H873" t="s">
        <v>2361</v>
      </c>
      <c r="I873">
        <v>1</v>
      </c>
      <c r="J873">
        <v>1</v>
      </c>
      <c r="K873" s="87">
        <v>1</v>
      </c>
      <c r="L873" s="8">
        <v>999</v>
      </c>
      <c r="M873" s="8">
        <v>0</v>
      </c>
      <c r="N873" s="8"/>
      <c r="S873" s="89">
        <v>1</v>
      </c>
      <c r="T873" s="8">
        <v>5</v>
      </c>
      <c r="U873" s="89">
        <v>100</v>
      </c>
      <c r="V873" s="87">
        <v>1</v>
      </c>
      <c r="W873" s="8">
        <v>1</v>
      </c>
      <c r="X873" s="8">
        <v>1</v>
      </c>
      <c r="Y873">
        <v>0</v>
      </c>
      <c r="Z873" s="33">
        <v>0</v>
      </c>
      <c r="AA873">
        <v>5</v>
      </c>
      <c r="AB873" s="34">
        <v>4000</v>
      </c>
      <c r="AC873" s="87">
        <v>850</v>
      </c>
      <c r="AE873" s="90"/>
      <c r="AF873" s="90"/>
      <c r="AG873" s="91"/>
      <c r="AH873" s="91"/>
      <c r="AI873" s="91"/>
      <c r="AJ873" s="91"/>
      <c r="AK873" s="91"/>
      <c r="AL873" s="92">
        <v>1</v>
      </c>
      <c r="AM873" s="92"/>
      <c r="AN873" s="93"/>
      <c r="AO873" s="92"/>
      <c r="AQ873" t="s">
        <v>2360</v>
      </c>
      <c r="AS873">
        <v>1</v>
      </c>
    </row>
    <row r="874" spans="1:45">
      <c r="A874">
        <v>460006</v>
      </c>
      <c r="B874" s="8">
        <v>1001</v>
      </c>
      <c r="C874" s="8">
        <v>2</v>
      </c>
      <c r="D874" s="8">
        <v>1004</v>
      </c>
      <c r="E874" t="s">
        <v>2362</v>
      </c>
      <c r="F874" s="13" t="s">
        <v>2362</v>
      </c>
      <c r="G874" t="s">
        <v>2353</v>
      </c>
      <c r="H874" t="s">
        <v>2363</v>
      </c>
      <c r="I874">
        <v>1</v>
      </c>
      <c r="J874">
        <v>1</v>
      </c>
      <c r="K874" s="87">
        <v>1</v>
      </c>
      <c r="L874" s="8">
        <v>999</v>
      </c>
      <c r="M874" s="8">
        <v>0</v>
      </c>
      <c r="N874" s="8"/>
      <c r="S874" s="89">
        <v>1</v>
      </c>
      <c r="T874" s="8">
        <v>5</v>
      </c>
      <c r="U874" s="89">
        <v>100</v>
      </c>
      <c r="V874" s="87">
        <v>1</v>
      </c>
      <c r="W874" s="8">
        <v>1</v>
      </c>
      <c r="X874" s="8">
        <v>1</v>
      </c>
      <c r="Y874">
        <v>0</v>
      </c>
      <c r="Z874" s="33">
        <v>0</v>
      </c>
      <c r="AA874">
        <v>5</v>
      </c>
      <c r="AB874" s="34">
        <v>4000</v>
      </c>
      <c r="AC874" s="87">
        <v>850</v>
      </c>
      <c r="AE874" s="90"/>
      <c r="AF874" s="90"/>
      <c r="AG874" s="91"/>
      <c r="AH874" s="91"/>
      <c r="AI874" s="91"/>
      <c r="AJ874" s="91"/>
      <c r="AK874" s="91"/>
      <c r="AL874" s="92">
        <v>1</v>
      </c>
      <c r="AM874" s="92"/>
      <c r="AN874" s="93"/>
      <c r="AO874" s="92"/>
      <c r="AQ874" t="s">
        <v>2362</v>
      </c>
      <c r="AS874">
        <v>1</v>
      </c>
    </row>
    <row r="875" spans="1:45">
      <c r="A875">
        <v>460007</v>
      </c>
      <c r="B875" s="8">
        <v>1001</v>
      </c>
      <c r="C875" s="8">
        <v>2</v>
      </c>
      <c r="D875" s="8">
        <v>1004</v>
      </c>
      <c r="E875" t="s">
        <v>2364</v>
      </c>
      <c r="F875" s="13" t="s">
        <v>2364</v>
      </c>
      <c r="G875" t="s">
        <v>2353</v>
      </c>
      <c r="H875" t="s">
        <v>2365</v>
      </c>
      <c r="I875">
        <v>1</v>
      </c>
      <c r="J875">
        <v>1</v>
      </c>
      <c r="K875" s="87">
        <v>1</v>
      </c>
      <c r="L875" s="8">
        <v>999</v>
      </c>
      <c r="M875" s="8">
        <v>0</v>
      </c>
      <c r="N875" s="8"/>
      <c r="S875" s="89">
        <v>1</v>
      </c>
      <c r="T875" s="8">
        <v>5</v>
      </c>
      <c r="U875" s="89">
        <v>100</v>
      </c>
      <c r="V875" s="87">
        <v>1</v>
      </c>
      <c r="W875" s="8">
        <v>1</v>
      </c>
      <c r="X875" s="8">
        <v>1</v>
      </c>
      <c r="Y875">
        <v>0</v>
      </c>
      <c r="Z875" s="33">
        <v>0</v>
      </c>
      <c r="AA875">
        <v>5</v>
      </c>
      <c r="AB875" s="34">
        <v>4000</v>
      </c>
      <c r="AC875" s="87">
        <v>850</v>
      </c>
      <c r="AE875" s="90"/>
      <c r="AF875" s="90"/>
      <c r="AG875" s="91"/>
      <c r="AH875" s="91"/>
      <c r="AI875" s="91"/>
      <c r="AJ875" s="91"/>
      <c r="AK875" s="91"/>
      <c r="AL875" s="92">
        <v>1</v>
      </c>
      <c r="AM875" s="92"/>
      <c r="AN875" s="93"/>
      <c r="AO875" s="92"/>
      <c r="AQ875" t="s">
        <v>2364</v>
      </c>
      <c r="AS875">
        <v>1</v>
      </c>
    </row>
    <row r="876" spans="1:45">
      <c r="A876">
        <v>460008</v>
      </c>
      <c r="B876" s="8">
        <v>1001</v>
      </c>
      <c r="C876" s="8">
        <v>2</v>
      </c>
      <c r="D876" s="8">
        <v>1004</v>
      </c>
      <c r="E876" t="s">
        <v>2366</v>
      </c>
      <c r="F876" s="13" t="s">
        <v>2366</v>
      </c>
      <c r="G876" t="s">
        <v>2353</v>
      </c>
      <c r="H876" t="s">
        <v>2367</v>
      </c>
      <c r="I876">
        <v>1</v>
      </c>
      <c r="J876">
        <v>1</v>
      </c>
      <c r="K876" s="87">
        <v>1</v>
      </c>
      <c r="L876" s="8">
        <v>999</v>
      </c>
      <c r="M876" s="8">
        <v>0</v>
      </c>
      <c r="N876" s="8"/>
      <c r="S876" s="89">
        <v>1</v>
      </c>
      <c r="T876" s="8">
        <v>5</v>
      </c>
      <c r="U876" s="89">
        <v>100</v>
      </c>
      <c r="V876" s="87">
        <v>1</v>
      </c>
      <c r="W876" s="8">
        <v>1</v>
      </c>
      <c r="X876" s="8">
        <v>1</v>
      </c>
      <c r="Y876">
        <v>0</v>
      </c>
      <c r="Z876" s="33">
        <v>0</v>
      </c>
      <c r="AA876">
        <v>5</v>
      </c>
      <c r="AB876" s="34">
        <v>4000</v>
      </c>
      <c r="AC876" s="87">
        <v>850</v>
      </c>
      <c r="AE876" s="90"/>
      <c r="AF876" s="90"/>
      <c r="AG876" s="91"/>
      <c r="AH876" s="91"/>
      <c r="AI876" s="91"/>
      <c r="AJ876" s="91"/>
      <c r="AK876" s="91"/>
      <c r="AL876" s="92">
        <v>1</v>
      </c>
      <c r="AM876" s="92"/>
      <c r="AN876" s="93"/>
      <c r="AO876" s="92"/>
      <c r="AQ876" t="s">
        <v>2366</v>
      </c>
      <c r="AS876">
        <v>1</v>
      </c>
    </row>
    <row r="877" spans="1:45">
      <c r="A877">
        <v>460009</v>
      </c>
      <c r="B877" s="8">
        <v>1001</v>
      </c>
      <c r="C877" s="8">
        <v>2</v>
      </c>
      <c r="D877" s="8">
        <v>1004</v>
      </c>
      <c r="E877" t="s">
        <v>2368</v>
      </c>
      <c r="F877" s="13" t="s">
        <v>2368</v>
      </c>
      <c r="G877" t="s">
        <v>2353</v>
      </c>
      <c r="H877" t="s">
        <v>2369</v>
      </c>
      <c r="I877">
        <v>1</v>
      </c>
      <c r="J877">
        <v>1</v>
      </c>
      <c r="K877" s="87">
        <v>1</v>
      </c>
      <c r="L877" s="8">
        <v>999</v>
      </c>
      <c r="M877" s="8">
        <v>0</v>
      </c>
      <c r="N877" s="8"/>
      <c r="S877" s="89">
        <v>1</v>
      </c>
      <c r="T877" s="8">
        <v>5</v>
      </c>
      <c r="U877" s="89">
        <v>100</v>
      </c>
      <c r="V877" s="87">
        <v>1</v>
      </c>
      <c r="W877" s="8">
        <v>1</v>
      </c>
      <c r="X877" s="8">
        <v>1</v>
      </c>
      <c r="Y877">
        <v>0</v>
      </c>
      <c r="Z877" s="33">
        <v>0</v>
      </c>
      <c r="AA877">
        <v>5</v>
      </c>
      <c r="AB877" s="34">
        <v>4000</v>
      </c>
      <c r="AC877" s="87">
        <v>850</v>
      </c>
      <c r="AE877" s="90"/>
      <c r="AF877" s="90"/>
      <c r="AG877" s="91"/>
      <c r="AH877" s="91"/>
      <c r="AI877" s="91"/>
      <c r="AJ877" s="91"/>
      <c r="AK877" s="91"/>
      <c r="AL877" s="92">
        <v>1</v>
      </c>
      <c r="AM877" s="92"/>
      <c r="AN877" s="93"/>
      <c r="AO877" s="92"/>
      <c r="AQ877" t="s">
        <v>2368</v>
      </c>
      <c r="AS877">
        <v>1</v>
      </c>
    </row>
    <row r="878" spans="1:45">
      <c r="A878">
        <v>460010</v>
      </c>
      <c r="B878" s="8">
        <v>1001</v>
      </c>
      <c r="C878" s="8">
        <v>2</v>
      </c>
      <c r="D878" s="8">
        <v>1004</v>
      </c>
      <c r="E878" t="s">
        <v>2370</v>
      </c>
      <c r="F878" s="13" t="s">
        <v>2370</v>
      </c>
      <c r="G878" t="s">
        <v>2353</v>
      </c>
      <c r="H878" t="s">
        <v>2371</v>
      </c>
      <c r="I878">
        <v>1</v>
      </c>
      <c r="J878">
        <v>1</v>
      </c>
      <c r="K878" s="87">
        <v>1</v>
      </c>
      <c r="L878" s="8">
        <v>999</v>
      </c>
      <c r="M878" s="8">
        <v>0</v>
      </c>
      <c r="N878" s="8"/>
      <c r="S878" s="89">
        <v>1</v>
      </c>
      <c r="T878" s="8">
        <v>5</v>
      </c>
      <c r="U878" s="89">
        <v>100</v>
      </c>
      <c r="V878" s="87">
        <v>1</v>
      </c>
      <c r="W878" s="8">
        <v>1</v>
      </c>
      <c r="X878" s="8">
        <v>1</v>
      </c>
      <c r="Y878">
        <v>0</v>
      </c>
      <c r="Z878" s="33">
        <v>0</v>
      </c>
      <c r="AA878">
        <v>5</v>
      </c>
      <c r="AB878" s="34">
        <v>4000</v>
      </c>
      <c r="AC878" s="87">
        <v>850</v>
      </c>
      <c r="AE878" s="90"/>
      <c r="AF878" s="90"/>
      <c r="AG878" s="91"/>
      <c r="AH878" s="91"/>
      <c r="AI878" s="91"/>
      <c r="AJ878" s="91"/>
      <c r="AK878" s="91"/>
      <c r="AL878" s="92">
        <v>1</v>
      </c>
      <c r="AM878" s="92"/>
      <c r="AN878" s="93"/>
      <c r="AO878" s="92"/>
      <c r="AQ878" t="s">
        <v>2370</v>
      </c>
      <c r="AS878">
        <v>1</v>
      </c>
    </row>
    <row r="879" spans="1:45">
      <c r="A879">
        <v>460011</v>
      </c>
      <c r="B879" s="8">
        <v>1001</v>
      </c>
      <c r="C879" s="8">
        <v>2</v>
      </c>
      <c r="D879" s="8">
        <v>1004</v>
      </c>
      <c r="E879" t="s">
        <v>2372</v>
      </c>
      <c r="F879" s="13" t="s">
        <v>2372</v>
      </c>
      <c r="G879" t="s">
        <v>2353</v>
      </c>
      <c r="H879" t="s">
        <v>2373</v>
      </c>
      <c r="I879">
        <v>1</v>
      </c>
      <c r="J879">
        <v>1</v>
      </c>
      <c r="K879" s="87">
        <v>1</v>
      </c>
      <c r="L879" s="8">
        <v>999</v>
      </c>
      <c r="M879" s="8">
        <v>0</v>
      </c>
      <c r="N879" s="8"/>
      <c r="S879" s="89">
        <v>1</v>
      </c>
      <c r="T879" s="8">
        <v>5</v>
      </c>
      <c r="U879" s="89">
        <v>100</v>
      </c>
      <c r="V879" s="87">
        <v>1</v>
      </c>
      <c r="W879" s="8">
        <v>1</v>
      </c>
      <c r="X879" s="8">
        <v>1</v>
      </c>
      <c r="Y879">
        <v>0</v>
      </c>
      <c r="Z879" s="33">
        <v>0</v>
      </c>
      <c r="AA879">
        <v>5</v>
      </c>
      <c r="AB879" s="34">
        <v>4000</v>
      </c>
      <c r="AC879" s="87">
        <v>850</v>
      </c>
      <c r="AE879" s="90"/>
      <c r="AF879" s="90"/>
      <c r="AG879" s="91"/>
      <c r="AH879" s="91"/>
      <c r="AI879" s="91"/>
      <c r="AJ879" s="91"/>
      <c r="AK879" s="91"/>
      <c r="AL879" s="92">
        <v>1</v>
      </c>
      <c r="AM879" s="92"/>
      <c r="AN879" s="93"/>
      <c r="AO879" s="92"/>
      <c r="AQ879" t="s">
        <v>2372</v>
      </c>
      <c r="AS879">
        <v>1</v>
      </c>
    </row>
    <row r="880" spans="1:45">
      <c r="A880">
        <v>460012</v>
      </c>
      <c r="B880" s="8">
        <v>1001</v>
      </c>
      <c r="C880" s="8">
        <v>2</v>
      </c>
      <c r="D880" s="8">
        <v>1004</v>
      </c>
      <c r="E880" t="s">
        <v>2374</v>
      </c>
      <c r="F880" s="13" t="s">
        <v>2374</v>
      </c>
      <c r="G880" t="s">
        <v>2353</v>
      </c>
      <c r="H880" t="s">
        <v>2375</v>
      </c>
      <c r="I880">
        <v>1</v>
      </c>
      <c r="J880">
        <v>1</v>
      </c>
      <c r="K880" s="87">
        <v>1</v>
      </c>
      <c r="L880" s="8">
        <v>999</v>
      </c>
      <c r="M880" s="8">
        <v>0</v>
      </c>
      <c r="N880" s="8"/>
      <c r="S880" s="89">
        <v>1</v>
      </c>
      <c r="T880" s="8">
        <v>5</v>
      </c>
      <c r="U880" s="89">
        <v>100</v>
      </c>
      <c r="V880" s="87">
        <v>1</v>
      </c>
      <c r="W880" s="8">
        <v>1</v>
      </c>
      <c r="X880" s="8">
        <v>1</v>
      </c>
      <c r="Y880">
        <v>0</v>
      </c>
      <c r="Z880" s="33">
        <v>0</v>
      </c>
      <c r="AA880">
        <v>5</v>
      </c>
      <c r="AB880" s="34">
        <v>4000</v>
      </c>
      <c r="AC880" s="87">
        <v>850</v>
      </c>
      <c r="AE880" s="90"/>
      <c r="AF880" s="90"/>
      <c r="AG880" s="91"/>
      <c r="AH880" s="91"/>
      <c r="AI880" s="91"/>
      <c r="AJ880" s="91"/>
      <c r="AK880" s="91"/>
      <c r="AL880" s="92">
        <v>1</v>
      </c>
      <c r="AM880" s="92"/>
      <c r="AN880" s="93"/>
      <c r="AO880" s="92"/>
      <c r="AQ880" t="s">
        <v>2374</v>
      </c>
      <c r="AS880">
        <v>1</v>
      </c>
    </row>
    <row r="881" spans="1:45">
      <c r="A881">
        <v>460013</v>
      </c>
      <c r="B881" s="8">
        <v>1001</v>
      </c>
      <c r="C881" s="8">
        <v>2</v>
      </c>
      <c r="D881" s="8">
        <v>1004</v>
      </c>
      <c r="E881" t="s">
        <v>2376</v>
      </c>
      <c r="F881" s="13" t="s">
        <v>2376</v>
      </c>
      <c r="G881" t="s">
        <v>2353</v>
      </c>
      <c r="H881" t="s">
        <v>2377</v>
      </c>
      <c r="I881">
        <v>1</v>
      </c>
      <c r="J881">
        <v>1</v>
      </c>
      <c r="K881" s="87">
        <v>1</v>
      </c>
      <c r="L881" s="8">
        <v>999</v>
      </c>
      <c r="M881" s="8">
        <v>0</v>
      </c>
      <c r="N881" s="8"/>
      <c r="S881" s="89">
        <v>1</v>
      </c>
      <c r="T881" s="8">
        <v>5</v>
      </c>
      <c r="U881" s="89">
        <v>100</v>
      </c>
      <c r="V881" s="87">
        <v>1</v>
      </c>
      <c r="W881" s="8">
        <v>1</v>
      </c>
      <c r="X881" s="8">
        <v>1</v>
      </c>
      <c r="Y881">
        <v>0</v>
      </c>
      <c r="Z881" s="33">
        <v>0</v>
      </c>
      <c r="AA881">
        <v>5</v>
      </c>
      <c r="AB881" s="34">
        <v>4000</v>
      </c>
      <c r="AC881" s="87">
        <v>850</v>
      </c>
      <c r="AE881" s="90"/>
      <c r="AF881" s="90"/>
      <c r="AG881" s="91"/>
      <c r="AH881" s="91"/>
      <c r="AI881" s="91"/>
      <c r="AJ881" s="91"/>
      <c r="AK881" s="91"/>
      <c r="AL881" s="92">
        <v>1</v>
      </c>
      <c r="AM881" s="92"/>
      <c r="AN881" s="93"/>
      <c r="AO881" s="92"/>
      <c r="AQ881" t="s">
        <v>2376</v>
      </c>
      <c r="AS881">
        <v>1</v>
      </c>
    </row>
    <row r="882" spans="1:45">
      <c r="A882">
        <v>460014</v>
      </c>
      <c r="B882" s="8">
        <v>1001</v>
      </c>
      <c r="C882" s="8">
        <v>2</v>
      </c>
      <c r="D882" s="8">
        <v>1004</v>
      </c>
      <c r="E882" t="s">
        <v>2378</v>
      </c>
      <c r="F882" s="13" t="s">
        <v>2378</v>
      </c>
      <c r="G882" t="s">
        <v>2353</v>
      </c>
      <c r="H882" t="s">
        <v>2379</v>
      </c>
      <c r="I882">
        <v>1</v>
      </c>
      <c r="J882">
        <v>1</v>
      </c>
      <c r="K882" s="87">
        <v>1</v>
      </c>
      <c r="L882" s="8">
        <v>999</v>
      </c>
      <c r="M882" s="8">
        <v>0</v>
      </c>
      <c r="N882" s="8"/>
      <c r="S882" s="89">
        <v>1</v>
      </c>
      <c r="T882" s="8">
        <v>5</v>
      </c>
      <c r="U882" s="89">
        <v>100</v>
      </c>
      <c r="V882" s="87">
        <v>1</v>
      </c>
      <c r="W882" s="8">
        <v>1</v>
      </c>
      <c r="X882" s="8">
        <v>1</v>
      </c>
      <c r="Y882">
        <v>0</v>
      </c>
      <c r="Z882" s="33">
        <v>0</v>
      </c>
      <c r="AA882">
        <v>5</v>
      </c>
      <c r="AB882" s="34">
        <v>4000</v>
      </c>
      <c r="AC882" s="87">
        <v>850</v>
      </c>
      <c r="AE882" s="90"/>
      <c r="AF882" s="90"/>
      <c r="AG882" s="91"/>
      <c r="AH882" s="91"/>
      <c r="AI882" s="91"/>
      <c r="AJ882" s="91"/>
      <c r="AK882" s="91"/>
      <c r="AL882" s="92">
        <v>1</v>
      </c>
      <c r="AM882" s="92"/>
      <c r="AN882" s="93"/>
      <c r="AO882" s="92"/>
      <c r="AQ882" t="s">
        <v>2378</v>
      </c>
      <c r="AS882">
        <v>1</v>
      </c>
    </row>
    <row r="883" spans="1:45">
      <c r="A883">
        <v>460015</v>
      </c>
      <c r="B883" s="8">
        <v>1001</v>
      </c>
      <c r="C883" s="8">
        <v>2</v>
      </c>
      <c r="D883" s="8">
        <v>1004</v>
      </c>
      <c r="E883" t="s">
        <v>2380</v>
      </c>
      <c r="F883" s="13" t="s">
        <v>2380</v>
      </c>
      <c r="G883" t="s">
        <v>2353</v>
      </c>
      <c r="H883" t="s">
        <v>2381</v>
      </c>
      <c r="I883">
        <v>1</v>
      </c>
      <c r="J883">
        <v>1</v>
      </c>
      <c r="K883" s="87">
        <v>1</v>
      </c>
      <c r="L883" s="8">
        <v>999</v>
      </c>
      <c r="M883" s="8">
        <v>0</v>
      </c>
      <c r="N883" s="8"/>
      <c r="S883" s="89">
        <v>1</v>
      </c>
      <c r="T883" s="8">
        <v>5</v>
      </c>
      <c r="U883" s="89">
        <v>100</v>
      </c>
      <c r="V883" s="87">
        <v>1</v>
      </c>
      <c r="W883" s="8">
        <v>1</v>
      </c>
      <c r="X883" s="8">
        <v>1</v>
      </c>
      <c r="Y883">
        <v>0</v>
      </c>
      <c r="Z883" s="33">
        <v>0</v>
      </c>
      <c r="AA883">
        <v>5</v>
      </c>
      <c r="AB883" s="34">
        <v>4000</v>
      </c>
      <c r="AC883" s="87">
        <v>850</v>
      </c>
      <c r="AE883" s="90"/>
      <c r="AF883" s="90"/>
      <c r="AG883" s="91"/>
      <c r="AH883" s="91"/>
      <c r="AI883" s="91"/>
      <c r="AJ883" s="91"/>
      <c r="AK883" s="91"/>
      <c r="AL883" s="92">
        <v>1</v>
      </c>
      <c r="AM883" s="92"/>
      <c r="AN883" s="93"/>
      <c r="AO883" s="92"/>
      <c r="AQ883" t="s">
        <v>2380</v>
      </c>
      <c r="AS883">
        <v>1</v>
      </c>
    </row>
    <row r="884" spans="1:45">
      <c r="A884">
        <v>460016</v>
      </c>
      <c r="B884" s="8">
        <v>1001</v>
      </c>
      <c r="C884" s="8">
        <v>2</v>
      </c>
      <c r="D884" s="8">
        <v>1004</v>
      </c>
      <c r="E884" t="s">
        <v>2382</v>
      </c>
      <c r="F884" s="13" t="s">
        <v>2382</v>
      </c>
      <c r="G884" t="s">
        <v>2353</v>
      </c>
      <c r="H884" t="s">
        <v>2383</v>
      </c>
      <c r="I884">
        <v>1</v>
      </c>
      <c r="J884">
        <v>1</v>
      </c>
      <c r="K884" s="87">
        <v>1</v>
      </c>
      <c r="L884" s="8">
        <v>999</v>
      </c>
      <c r="M884" s="8">
        <v>0</v>
      </c>
      <c r="N884" s="8"/>
      <c r="S884" s="89">
        <v>1</v>
      </c>
      <c r="T884" s="8">
        <v>5</v>
      </c>
      <c r="U884" s="89">
        <v>100</v>
      </c>
      <c r="V884" s="87">
        <v>1</v>
      </c>
      <c r="W884" s="8">
        <v>1</v>
      </c>
      <c r="X884" s="8">
        <v>1</v>
      </c>
      <c r="Y884">
        <v>0</v>
      </c>
      <c r="Z884" s="33">
        <v>0</v>
      </c>
      <c r="AA884">
        <v>5</v>
      </c>
      <c r="AB884" s="34">
        <v>4000</v>
      </c>
      <c r="AC884" s="87">
        <v>850</v>
      </c>
      <c r="AE884" s="90"/>
      <c r="AF884" s="90"/>
      <c r="AG884" s="91"/>
      <c r="AH884" s="91"/>
      <c r="AI884" s="91"/>
      <c r="AJ884" s="91"/>
      <c r="AK884" s="91"/>
      <c r="AL884" s="92">
        <v>1</v>
      </c>
      <c r="AM884" s="92"/>
      <c r="AN884" s="93"/>
      <c r="AO884" s="92"/>
      <c r="AQ884" t="s">
        <v>2382</v>
      </c>
      <c r="AS884">
        <v>1</v>
      </c>
    </row>
    <row r="885" spans="1:45">
      <c r="A885">
        <v>460017</v>
      </c>
      <c r="B885" s="8">
        <v>1001</v>
      </c>
      <c r="C885" s="8">
        <v>2</v>
      </c>
      <c r="D885" s="8">
        <v>1004</v>
      </c>
      <c r="E885" t="s">
        <v>2384</v>
      </c>
      <c r="F885" s="13" t="s">
        <v>2384</v>
      </c>
      <c r="G885" t="s">
        <v>2353</v>
      </c>
      <c r="H885" t="s">
        <v>2385</v>
      </c>
      <c r="I885">
        <v>1</v>
      </c>
      <c r="J885">
        <v>1</v>
      </c>
      <c r="K885" s="87">
        <v>1</v>
      </c>
      <c r="L885" s="8">
        <v>999</v>
      </c>
      <c r="M885" s="8">
        <v>0</v>
      </c>
      <c r="N885" s="8"/>
      <c r="S885" s="89">
        <v>1</v>
      </c>
      <c r="T885" s="8">
        <v>5</v>
      </c>
      <c r="U885" s="89">
        <v>100</v>
      </c>
      <c r="V885" s="87">
        <v>1</v>
      </c>
      <c r="W885" s="8">
        <v>1</v>
      </c>
      <c r="X885" s="8">
        <v>1</v>
      </c>
      <c r="Y885">
        <v>0</v>
      </c>
      <c r="Z885" s="33">
        <v>0</v>
      </c>
      <c r="AA885">
        <v>5</v>
      </c>
      <c r="AB885" s="34">
        <v>4000</v>
      </c>
      <c r="AC885" s="87">
        <v>850</v>
      </c>
      <c r="AE885" s="90"/>
      <c r="AF885" s="90"/>
      <c r="AG885" s="91"/>
      <c r="AH885" s="91"/>
      <c r="AI885" s="91"/>
      <c r="AJ885" s="91"/>
      <c r="AK885" s="91"/>
      <c r="AL885" s="92">
        <v>1</v>
      </c>
      <c r="AM885" s="92"/>
      <c r="AN885" s="93"/>
      <c r="AO885" s="92"/>
      <c r="AQ885" t="s">
        <v>2384</v>
      </c>
      <c r="AS885">
        <v>1</v>
      </c>
    </row>
    <row r="886" spans="1:45">
      <c r="A886">
        <v>460018</v>
      </c>
      <c r="B886" s="8">
        <v>1001</v>
      </c>
      <c r="C886" s="8">
        <v>2</v>
      </c>
      <c r="D886" s="8">
        <v>1004</v>
      </c>
      <c r="E886" t="s">
        <v>2386</v>
      </c>
      <c r="F886" s="13" t="s">
        <v>2386</v>
      </c>
      <c r="G886" t="s">
        <v>2353</v>
      </c>
      <c r="H886" t="s">
        <v>2387</v>
      </c>
      <c r="I886">
        <v>1</v>
      </c>
      <c r="J886">
        <v>1</v>
      </c>
      <c r="K886" s="87">
        <v>1</v>
      </c>
      <c r="L886" s="8">
        <v>999</v>
      </c>
      <c r="M886" s="8">
        <v>0</v>
      </c>
      <c r="N886" s="8"/>
      <c r="S886" s="89">
        <v>1</v>
      </c>
      <c r="T886" s="8">
        <v>5</v>
      </c>
      <c r="U886" s="89">
        <v>100</v>
      </c>
      <c r="V886" s="87">
        <v>1</v>
      </c>
      <c r="W886" s="8">
        <v>1</v>
      </c>
      <c r="X886" s="8">
        <v>1</v>
      </c>
      <c r="Y886">
        <v>0</v>
      </c>
      <c r="Z886" s="33">
        <v>0</v>
      </c>
      <c r="AA886">
        <v>5</v>
      </c>
      <c r="AB886" s="34">
        <v>4000</v>
      </c>
      <c r="AC886" s="87">
        <v>850</v>
      </c>
      <c r="AE886" s="90"/>
      <c r="AF886" s="90"/>
      <c r="AG886" s="91"/>
      <c r="AH886" s="91"/>
      <c r="AI886" s="91"/>
      <c r="AJ886" s="91"/>
      <c r="AK886" s="91"/>
      <c r="AL886" s="92">
        <v>1</v>
      </c>
      <c r="AM886" s="92"/>
      <c r="AN886" s="93"/>
      <c r="AO886" s="92"/>
      <c r="AQ886" t="s">
        <v>2386</v>
      </c>
      <c r="AS886">
        <v>1</v>
      </c>
    </row>
    <row r="887" spans="1:45">
      <c r="A887">
        <v>460019</v>
      </c>
      <c r="B887" s="8">
        <v>1001</v>
      </c>
      <c r="C887" s="8">
        <v>2</v>
      </c>
      <c r="D887" s="8">
        <v>1004</v>
      </c>
      <c r="E887" t="s">
        <v>2388</v>
      </c>
      <c r="F887" s="13" t="s">
        <v>2388</v>
      </c>
      <c r="G887" t="s">
        <v>2353</v>
      </c>
      <c r="H887" t="s">
        <v>2389</v>
      </c>
      <c r="I887">
        <v>1</v>
      </c>
      <c r="J887">
        <v>1</v>
      </c>
      <c r="K887" s="87">
        <v>1</v>
      </c>
      <c r="L887" s="8">
        <v>999</v>
      </c>
      <c r="M887" s="8">
        <v>0</v>
      </c>
      <c r="N887" s="8"/>
      <c r="S887" s="89">
        <v>1</v>
      </c>
      <c r="T887" s="8">
        <v>5</v>
      </c>
      <c r="U887" s="89">
        <v>100</v>
      </c>
      <c r="V887" s="87">
        <v>1</v>
      </c>
      <c r="W887" s="8">
        <v>1</v>
      </c>
      <c r="X887" s="8">
        <v>1</v>
      </c>
      <c r="Y887">
        <v>0</v>
      </c>
      <c r="Z887" s="33">
        <v>0</v>
      </c>
      <c r="AA887">
        <v>5</v>
      </c>
      <c r="AB887" s="34">
        <v>4000</v>
      </c>
      <c r="AC887" s="87">
        <v>850</v>
      </c>
      <c r="AE887" s="90"/>
      <c r="AF887" s="90"/>
      <c r="AG887" s="91"/>
      <c r="AH887" s="91"/>
      <c r="AI887" s="91"/>
      <c r="AJ887" s="91"/>
      <c r="AK887" s="91"/>
      <c r="AL887" s="92">
        <v>1</v>
      </c>
      <c r="AM887" s="92"/>
      <c r="AN887" s="93"/>
      <c r="AO887" s="92"/>
      <c r="AQ887" t="s">
        <v>2388</v>
      </c>
      <c r="AS887">
        <v>1</v>
      </c>
    </row>
    <row r="888" spans="1:45">
      <c r="A888">
        <v>460020</v>
      </c>
      <c r="B888" s="8">
        <v>1001</v>
      </c>
      <c r="C888" s="8">
        <v>2</v>
      </c>
      <c r="D888" s="8">
        <v>1004</v>
      </c>
      <c r="E888" t="s">
        <v>2390</v>
      </c>
      <c r="F888" s="13" t="s">
        <v>2390</v>
      </c>
      <c r="G888" t="s">
        <v>2353</v>
      </c>
      <c r="H888" t="s">
        <v>2391</v>
      </c>
      <c r="I888">
        <v>1</v>
      </c>
      <c r="J888">
        <v>1</v>
      </c>
      <c r="K888" s="87">
        <v>1</v>
      </c>
      <c r="L888" s="8">
        <v>999</v>
      </c>
      <c r="M888" s="8">
        <v>0</v>
      </c>
      <c r="N888" s="8"/>
      <c r="S888" s="89">
        <v>1</v>
      </c>
      <c r="T888" s="8">
        <v>5</v>
      </c>
      <c r="U888" s="89">
        <v>100</v>
      </c>
      <c r="V888" s="87">
        <v>1</v>
      </c>
      <c r="W888" s="8">
        <v>1</v>
      </c>
      <c r="X888" s="8">
        <v>1</v>
      </c>
      <c r="Y888">
        <v>0</v>
      </c>
      <c r="Z888" s="33">
        <v>0</v>
      </c>
      <c r="AA888">
        <v>5</v>
      </c>
      <c r="AB888" s="34">
        <v>4000</v>
      </c>
      <c r="AC888" s="87">
        <v>850</v>
      </c>
      <c r="AE888" s="90"/>
      <c r="AF888" s="90"/>
      <c r="AG888" s="91"/>
      <c r="AH888" s="91"/>
      <c r="AI888" s="91"/>
      <c r="AJ888" s="91"/>
      <c r="AK888" s="91"/>
      <c r="AL888" s="92">
        <v>1</v>
      </c>
      <c r="AM888" s="92"/>
      <c r="AN888" s="93"/>
      <c r="AO888" s="92"/>
      <c r="AQ888" t="s">
        <v>2390</v>
      </c>
      <c r="AS888">
        <v>1</v>
      </c>
    </row>
    <row r="889" spans="1:45">
      <c r="A889">
        <v>460021</v>
      </c>
      <c r="B889" s="8">
        <v>1001</v>
      </c>
      <c r="C889" s="8">
        <v>2</v>
      </c>
      <c r="D889" s="8">
        <v>1004</v>
      </c>
      <c r="E889" t="s">
        <v>2392</v>
      </c>
      <c r="F889" s="13" t="s">
        <v>2392</v>
      </c>
      <c r="G889" t="s">
        <v>2353</v>
      </c>
      <c r="H889" t="s">
        <v>2393</v>
      </c>
      <c r="I889">
        <v>1</v>
      </c>
      <c r="J889">
        <v>1</v>
      </c>
      <c r="K889" s="87">
        <v>1</v>
      </c>
      <c r="L889" s="8">
        <v>999</v>
      </c>
      <c r="M889" s="8">
        <v>0</v>
      </c>
      <c r="N889" s="8"/>
      <c r="S889" s="89">
        <v>1</v>
      </c>
      <c r="T889" s="8">
        <v>5</v>
      </c>
      <c r="U889" s="89">
        <v>100</v>
      </c>
      <c r="V889" s="87">
        <v>1</v>
      </c>
      <c r="W889" s="8">
        <v>1</v>
      </c>
      <c r="X889" s="8">
        <v>1</v>
      </c>
      <c r="Y889">
        <v>0</v>
      </c>
      <c r="Z889" s="33">
        <v>0</v>
      </c>
      <c r="AA889">
        <v>5</v>
      </c>
      <c r="AB889" s="34">
        <v>4000</v>
      </c>
      <c r="AC889" s="87">
        <v>850</v>
      </c>
      <c r="AE889" s="90"/>
      <c r="AF889" s="90"/>
      <c r="AG889" s="91"/>
      <c r="AH889" s="91"/>
      <c r="AI889" s="91"/>
      <c r="AJ889" s="91"/>
      <c r="AK889" s="91"/>
      <c r="AL889" s="92">
        <v>1</v>
      </c>
      <c r="AM889" s="92"/>
      <c r="AN889" s="93"/>
      <c r="AO889" s="92"/>
      <c r="AQ889" t="s">
        <v>2392</v>
      </c>
      <c r="AS889">
        <v>1</v>
      </c>
    </row>
    <row r="890" spans="1:45">
      <c r="A890">
        <v>460022</v>
      </c>
      <c r="B890" s="8">
        <v>1001</v>
      </c>
      <c r="C890" s="8">
        <v>2</v>
      </c>
      <c r="D890" s="8">
        <v>1004</v>
      </c>
      <c r="E890" t="s">
        <v>2394</v>
      </c>
      <c r="F890" s="13" t="s">
        <v>2394</v>
      </c>
      <c r="G890" t="s">
        <v>2353</v>
      </c>
      <c r="H890" t="s">
        <v>2395</v>
      </c>
      <c r="I890">
        <v>1</v>
      </c>
      <c r="J890">
        <v>1</v>
      </c>
      <c r="K890" s="87">
        <v>1</v>
      </c>
      <c r="L890" s="8">
        <v>999</v>
      </c>
      <c r="M890" s="8">
        <v>0</v>
      </c>
      <c r="N890" s="8"/>
      <c r="S890" s="89">
        <v>1</v>
      </c>
      <c r="T890" s="8">
        <v>5</v>
      </c>
      <c r="U890" s="89">
        <v>100</v>
      </c>
      <c r="V890" s="87">
        <v>1</v>
      </c>
      <c r="W890" s="8">
        <v>1</v>
      </c>
      <c r="X890" s="8">
        <v>1</v>
      </c>
      <c r="Y890">
        <v>0</v>
      </c>
      <c r="Z890" s="33">
        <v>0</v>
      </c>
      <c r="AA890">
        <v>5</v>
      </c>
      <c r="AB890" s="34">
        <v>4000</v>
      </c>
      <c r="AC890" s="87">
        <v>850</v>
      </c>
      <c r="AE890" s="90"/>
      <c r="AF890" s="90"/>
      <c r="AG890" s="91"/>
      <c r="AH890" s="91"/>
      <c r="AI890" s="91"/>
      <c r="AJ890" s="91"/>
      <c r="AK890" s="91"/>
      <c r="AL890" s="92">
        <v>1</v>
      </c>
      <c r="AM890" s="92"/>
      <c r="AN890" s="93"/>
      <c r="AO890" s="92"/>
      <c r="AQ890" t="s">
        <v>2394</v>
      </c>
      <c r="AS890">
        <v>1</v>
      </c>
    </row>
    <row r="891" spans="1:45">
      <c r="A891">
        <v>460023</v>
      </c>
      <c r="B891" s="8">
        <v>1001</v>
      </c>
      <c r="C891" s="8">
        <v>2</v>
      </c>
      <c r="D891" s="8">
        <v>1004</v>
      </c>
      <c r="E891" t="s">
        <v>2396</v>
      </c>
      <c r="F891" s="13" t="s">
        <v>2396</v>
      </c>
      <c r="G891" t="s">
        <v>2353</v>
      </c>
      <c r="H891" t="s">
        <v>2397</v>
      </c>
      <c r="I891">
        <v>1</v>
      </c>
      <c r="J891">
        <v>1</v>
      </c>
      <c r="K891" s="87">
        <v>1</v>
      </c>
      <c r="L891" s="8">
        <v>999</v>
      </c>
      <c r="M891" s="8">
        <v>0</v>
      </c>
      <c r="N891" s="8"/>
      <c r="S891" s="89">
        <v>1</v>
      </c>
      <c r="T891" s="8">
        <v>5</v>
      </c>
      <c r="U891" s="89">
        <v>100</v>
      </c>
      <c r="V891" s="87">
        <v>1</v>
      </c>
      <c r="W891" s="8">
        <v>1</v>
      </c>
      <c r="X891" s="8">
        <v>1</v>
      </c>
      <c r="Y891">
        <v>0</v>
      </c>
      <c r="Z891" s="33">
        <v>0</v>
      </c>
      <c r="AA891">
        <v>5</v>
      </c>
      <c r="AB891" s="34">
        <v>4000</v>
      </c>
      <c r="AC891" s="87">
        <v>850</v>
      </c>
      <c r="AE891" s="90"/>
      <c r="AF891" s="90"/>
      <c r="AG891" s="91"/>
      <c r="AH891" s="91"/>
      <c r="AI891" s="91"/>
      <c r="AJ891" s="91"/>
      <c r="AK891" s="91"/>
      <c r="AL891" s="92">
        <v>1</v>
      </c>
      <c r="AM891" s="92"/>
      <c r="AN891" s="93"/>
      <c r="AO891" s="92"/>
      <c r="AQ891" t="s">
        <v>2396</v>
      </c>
      <c r="AS891">
        <v>1</v>
      </c>
    </row>
    <row r="892" spans="1:45">
      <c r="A892">
        <v>460024</v>
      </c>
      <c r="B892" s="8">
        <v>1001</v>
      </c>
      <c r="C892" s="8">
        <v>2</v>
      </c>
      <c r="D892" s="8">
        <v>1004</v>
      </c>
      <c r="E892" t="s">
        <v>2398</v>
      </c>
      <c r="F892" s="13" t="s">
        <v>2399</v>
      </c>
      <c r="G892" t="s">
        <v>2353</v>
      </c>
      <c r="H892" t="s">
        <v>2400</v>
      </c>
      <c r="I892">
        <v>1</v>
      </c>
      <c r="J892">
        <v>1</v>
      </c>
      <c r="K892" s="87">
        <v>1</v>
      </c>
      <c r="L892" s="8">
        <v>999</v>
      </c>
      <c r="M892" s="8">
        <v>0</v>
      </c>
      <c r="N892" s="8"/>
      <c r="S892" s="89">
        <v>1</v>
      </c>
      <c r="T892" s="8">
        <v>5</v>
      </c>
      <c r="U892" s="89">
        <v>100</v>
      </c>
      <c r="V892" s="87">
        <v>1</v>
      </c>
      <c r="W892" s="8">
        <v>1</v>
      </c>
      <c r="X892" s="8">
        <v>1</v>
      </c>
      <c r="Y892">
        <v>0</v>
      </c>
      <c r="Z892" s="33">
        <v>0</v>
      </c>
      <c r="AA892">
        <v>5</v>
      </c>
      <c r="AB892" s="34">
        <v>4000</v>
      </c>
      <c r="AC892" s="87">
        <v>850</v>
      </c>
      <c r="AE892" s="90"/>
      <c r="AF892" s="90"/>
      <c r="AG892" s="91"/>
      <c r="AH892" s="91"/>
      <c r="AI892" s="91"/>
      <c r="AJ892" s="91"/>
      <c r="AK892" s="91"/>
      <c r="AL892" s="92">
        <v>1</v>
      </c>
      <c r="AM892" s="92"/>
      <c r="AN892" s="93"/>
      <c r="AO892" s="92"/>
      <c r="AQ892" t="s">
        <v>2398</v>
      </c>
      <c r="AS892">
        <v>1</v>
      </c>
    </row>
    <row r="893" spans="1:45">
      <c r="A893">
        <v>460025</v>
      </c>
      <c r="B893" s="8">
        <v>1001</v>
      </c>
      <c r="C893" s="8">
        <v>2</v>
      </c>
      <c r="D893" s="8">
        <v>1004</v>
      </c>
      <c r="E893" t="s">
        <v>2401</v>
      </c>
      <c r="F893" s="13" t="s">
        <v>2401</v>
      </c>
      <c r="G893" t="s">
        <v>2353</v>
      </c>
      <c r="H893" t="s">
        <v>2402</v>
      </c>
      <c r="I893">
        <v>1</v>
      </c>
      <c r="J893">
        <v>1</v>
      </c>
      <c r="K893" s="87">
        <v>1</v>
      </c>
      <c r="L893" s="8">
        <v>999</v>
      </c>
      <c r="M893" s="8">
        <v>0</v>
      </c>
      <c r="N893" s="8"/>
      <c r="S893" s="89">
        <v>1</v>
      </c>
      <c r="T893" s="8">
        <v>5</v>
      </c>
      <c r="U893" s="89">
        <v>100</v>
      </c>
      <c r="V893" s="87">
        <v>1</v>
      </c>
      <c r="W893" s="8">
        <v>1</v>
      </c>
      <c r="X893" s="8">
        <v>1</v>
      </c>
      <c r="Y893">
        <v>0</v>
      </c>
      <c r="Z893" s="33">
        <v>0</v>
      </c>
      <c r="AA893">
        <v>5</v>
      </c>
      <c r="AB893" s="34">
        <v>4000</v>
      </c>
      <c r="AC893" s="87">
        <v>850</v>
      </c>
      <c r="AE893" s="90"/>
      <c r="AF893" s="90"/>
      <c r="AG893" s="91"/>
      <c r="AH893" s="91"/>
      <c r="AI893" s="91"/>
      <c r="AJ893" s="91"/>
      <c r="AK893" s="91"/>
      <c r="AL893" s="92">
        <v>1</v>
      </c>
      <c r="AM893" s="92"/>
      <c r="AN893" s="93"/>
      <c r="AO893" s="92"/>
      <c r="AQ893" t="s">
        <v>2401</v>
      </c>
      <c r="AS893">
        <v>1</v>
      </c>
    </row>
    <row r="894" spans="1:45">
      <c r="A894">
        <v>461001</v>
      </c>
      <c r="B894" s="8">
        <v>1001</v>
      </c>
      <c r="C894" s="8">
        <v>2</v>
      </c>
      <c r="D894" s="8">
        <v>1004</v>
      </c>
      <c r="E894" s="324" t="s">
        <v>2403</v>
      </c>
      <c r="F894" s="13" t="s">
        <v>2403</v>
      </c>
      <c r="G894" t="s">
        <v>2353</v>
      </c>
      <c r="H894" t="s">
        <v>2177</v>
      </c>
      <c r="I894">
        <v>1</v>
      </c>
      <c r="J894">
        <v>2</v>
      </c>
      <c r="K894" s="87">
        <v>1</v>
      </c>
      <c r="L894" s="8">
        <v>999</v>
      </c>
      <c r="M894" s="8">
        <v>0</v>
      </c>
      <c r="N894" s="8"/>
      <c r="S894" s="89">
        <v>1</v>
      </c>
      <c r="T894" s="8">
        <v>5</v>
      </c>
      <c r="U894" s="89">
        <v>200</v>
      </c>
      <c r="V894" s="87">
        <v>1</v>
      </c>
      <c r="W894" s="8">
        <v>1</v>
      </c>
      <c r="X894" s="8">
        <v>1</v>
      </c>
      <c r="Y894">
        <v>0</v>
      </c>
      <c r="Z894" s="33">
        <v>0</v>
      </c>
      <c r="AA894">
        <v>5</v>
      </c>
      <c r="AB894" s="34">
        <v>5000</v>
      </c>
      <c r="AC894" s="87">
        <v>851</v>
      </c>
      <c r="AE894" s="90"/>
      <c r="AF894" s="90"/>
      <c r="AG894" s="91"/>
      <c r="AH894" s="91"/>
      <c r="AI894" s="91"/>
      <c r="AJ894" s="91"/>
      <c r="AK894" s="91"/>
      <c r="AL894" s="92">
        <v>1</v>
      </c>
      <c r="AM894" s="92"/>
      <c r="AN894" s="93"/>
      <c r="AO894" s="92"/>
      <c r="AQ894" s="56" t="s">
        <v>2403</v>
      </c>
      <c r="AS894">
        <v>1</v>
      </c>
    </row>
    <row r="895" spans="1:45">
      <c r="A895">
        <v>461002</v>
      </c>
      <c r="B895" s="8">
        <v>1001</v>
      </c>
      <c r="C895" s="8">
        <v>2</v>
      </c>
      <c r="D895" s="8">
        <v>1004</v>
      </c>
      <c r="E895" s="324" t="s">
        <v>2404</v>
      </c>
      <c r="F895" s="13" t="s">
        <v>2404</v>
      </c>
      <c r="G895" t="s">
        <v>2353</v>
      </c>
      <c r="H895" t="s">
        <v>2177</v>
      </c>
      <c r="I895">
        <v>1</v>
      </c>
      <c r="J895">
        <v>2</v>
      </c>
      <c r="K895" s="87">
        <v>1</v>
      </c>
      <c r="L895" s="8">
        <v>999</v>
      </c>
      <c r="M895" s="8">
        <v>0</v>
      </c>
      <c r="N895" s="8"/>
      <c r="S895" s="89">
        <v>1</v>
      </c>
      <c r="T895" s="8">
        <v>5</v>
      </c>
      <c r="U895" s="89">
        <v>200</v>
      </c>
      <c r="V895" s="87">
        <v>1</v>
      </c>
      <c r="W895" s="8">
        <v>1</v>
      </c>
      <c r="X895" s="8">
        <v>1</v>
      </c>
      <c r="Y895">
        <v>0</v>
      </c>
      <c r="Z895" s="33">
        <v>0</v>
      </c>
      <c r="AA895">
        <v>5</v>
      </c>
      <c r="AB895" s="34">
        <v>5000</v>
      </c>
      <c r="AC895" s="87">
        <v>851</v>
      </c>
      <c r="AE895" s="90"/>
      <c r="AF895" s="90"/>
      <c r="AG895" s="91"/>
      <c r="AH895" s="91"/>
      <c r="AI895" s="91"/>
      <c r="AJ895" s="91"/>
      <c r="AK895" s="91"/>
      <c r="AL895" s="92">
        <v>1</v>
      </c>
      <c r="AM895" s="92"/>
      <c r="AN895" s="93"/>
      <c r="AO895" s="92"/>
      <c r="AQ895" s="56" t="s">
        <v>2404</v>
      </c>
      <c r="AS895">
        <v>1</v>
      </c>
    </row>
    <row r="896" spans="1:45">
      <c r="A896">
        <v>461003</v>
      </c>
      <c r="B896" s="8">
        <v>1001</v>
      </c>
      <c r="C896" s="8">
        <v>2</v>
      </c>
      <c r="D896" s="8">
        <v>1004</v>
      </c>
      <c r="E896" s="324" t="s">
        <v>2405</v>
      </c>
      <c r="F896" s="13" t="s">
        <v>2405</v>
      </c>
      <c r="G896" t="s">
        <v>2353</v>
      </c>
      <c r="H896" t="s">
        <v>2177</v>
      </c>
      <c r="I896">
        <v>1</v>
      </c>
      <c r="J896">
        <v>2</v>
      </c>
      <c r="K896" s="87">
        <v>1</v>
      </c>
      <c r="L896" s="8">
        <v>999</v>
      </c>
      <c r="M896" s="8">
        <v>0</v>
      </c>
      <c r="N896" s="8"/>
      <c r="S896" s="89">
        <v>1</v>
      </c>
      <c r="T896" s="8">
        <v>5</v>
      </c>
      <c r="U896" s="89">
        <v>200</v>
      </c>
      <c r="V896" s="87">
        <v>1</v>
      </c>
      <c r="W896" s="8">
        <v>1</v>
      </c>
      <c r="X896" s="8">
        <v>1</v>
      </c>
      <c r="Y896">
        <v>0</v>
      </c>
      <c r="Z896" s="33">
        <v>0</v>
      </c>
      <c r="AA896">
        <v>5</v>
      </c>
      <c r="AB896" s="34">
        <v>5000</v>
      </c>
      <c r="AC896" s="87">
        <v>851</v>
      </c>
      <c r="AE896" s="90"/>
      <c r="AF896" s="90"/>
      <c r="AG896" s="91"/>
      <c r="AH896" s="91"/>
      <c r="AI896" s="91"/>
      <c r="AJ896" s="91"/>
      <c r="AK896" s="91"/>
      <c r="AL896" s="92">
        <v>1</v>
      </c>
      <c r="AM896" s="92"/>
      <c r="AN896" s="93"/>
      <c r="AO896" s="92"/>
      <c r="AQ896" s="56" t="s">
        <v>2405</v>
      </c>
      <c r="AS896">
        <v>1</v>
      </c>
    </row>
    <row r="897" spans="1:45">
      <c r="A897">
        <v>461004</v>
      </c>
      <c r="B897" s="8">
        <v>1001</v>
      </c>
      <c r="C897" s="8">
        <v>2</v>
      </c>
      <c r="D897" s="8">
        <v>1004</v>
      </c>
      <c r="E897" s="324" t="s">
        <v>2406</v>
      </c>
      <c r="F897" s="13" t="s">
        <v>2406</v>
      </c>
      <c r="G897" t="s">
        <v>2353</v>
      </c>
      <c r="H897" t="s">
        <v>2177</v>
      </c>
      <c r="I897">
        <v>1</v>
      </c>
      <c r="J897">
        <v>2</v>
      </c>
      <c r="K897" s="87">
        <v>1</v>
      </c>
      <c r="L897" s="8">
        <v>999</v>
      </c>
      <c r="M897" s="8">
        <v>0</v>
      </c>
      <c r="N897" s="8"/>
      <c r="S897" s="89">
        <v>1</v>
      </c>
      <c r="T897" s="8">
        <v>5</v>
      </c>
      <c r="U897" s="89">
        <v>200</v>
      </c>
      <c r="V897" s="87">
        <v>1</v>
      </c>
      <c r="W897" s="8">
        <v>1</v>
      </c>
      <c r="X897" s="8">
        <v>1</v>
      </c>
      <c r="Y897">
        <v>0</v>
      </c>
      <c r="Z897" s="33">
        <v>0</v>
      </c>
      <c r="AA897">
        <v>5</v>
      </c>
      <c r="AB897" s="34">
        <v>5000</v>
      </c>
      <c r="AC897" s="87">
        <v>851</v>
      </c>
      <c r="AE897" s="90"/>
      <c r="AF897" s="90"/>
      <c r="AG897" s="91"/>
      <c r="AH897" s="91"/>
      <c r="AI897" s="91"/>
      <c r="AJ897" s="91"/>
      <c r="AK897" s="91"/>
      <c r="AL897" s="92">
        <v>1</v>
      </c>
      <c r="AM897" s="92"/>
      <c r="AN897" s="93"/>
      <c r="AO897" s="92"/>
      <c r="AQ897" s="56" t="s">
        <v>2406</v>
      </c>
      <c r="AS897">
        <v>1</v>
      </c>
    </row>
    <row r="898" spans="1:45">
      <c r="A898">
        <v>461005</v>
      </c>
      <c r="B898" s="8">
        <v>1001</v>
      </c>
      <c r="C898" s="8">
        <v>2</v>
      </c>
      <c r="D898" s="8">
        <v>1004</v>
      </c>
      <c r="E898" s="324" t="s">
        <v>2407</v>
      </c>
      <c r="F898" s="13" t="s">
        <v>2407</v>
      </c>
      <c r="G898" t="s">
        <v>2353</v>
      </c>
      <c r="H898" t="s">
        <v>2177</v>
      </c>
      <c r="I898">
        <v>1</v>
      </c>
      <c r="J898">
        <v>2</v>
      </c>
      <c r="K898" s="87">
        <v>1</v>
      </c>
      <c r="L898" s="8">
        <v>999</v>
      </c>
      <c r="M898" s="8">
        <v>0</v>
      </c>
      <c r="N898" s="8"/>
      <c r="S898" s="89">
        <v>1</v>
      </c>
      <c r="T898" s="8">
        <v>5</v>
      </c>
      <c r="U898" s="89">
        <v>200</v>
      </c>
      <c r="V898" s="87">
        <v>1</v>
      </c>
      <c r="W898" s="8">
        <v>1</v>
      </c>
      <c r="X898" s="8">
        <v>1</v>
      </c>
      <c r="Y898">
        <v>0</v>
      </c>
      <c r="Z898" s="33">
        <v>0</v>
      </c>
      <c r="AA898">
        <v>5</v>
      </c>
      <c r="AB898" s="34">
        <v>5000</v>
      </c>
      <c r="AC898" s="87">
        <v>851</v>
      </c>
      <c r="AE898" s="90"/>
      <c r="AF898" s="90"/>
      <c r="AG898" s="91"/>
      <c r="AH898" s="91"/>
      <c r="AI898" s="91"/>
      <c r="AJ898" s="91"/>
      <c r="AK898" s="91"/>
      <c r="AL898" s="92">
        <v>1</v>
      </c>
      <c r="AM898" s="92"/>
      <c r="AN898" s="93"/>
      <c r="AO898" s="92"/>
      <c r="AQ898" s="56" t="s">
        <v>2407</v>
      </c>
      <c r="AS898">
        <v>1</v>
      </c>
    </row>
    <row r="899" spans="1:45">
      <c r="A899">
        <v>461006</v>
      </c>
      <c r="B899" s="8">
        <v>1001</v>
      </c>
      <c r="C899" s="8">
        <v>2</v>
      </c>
      <c r="D899" s="8">
        <v>1004</v>
      </c>
      <c r="E899" s="324" t="s">
        <v>2408</v>
      </c>
      <c r="F899" s="13" t="s">
        <v>2408</v>
      </c>
      <c r="G899" t="s">
        <v>2353</v>
      </c>
      <c r="H899" t="s">
        <v>2177</v>
      </c>
      <c r="I899">
        <v>1</v>
      </c>
      <c r="J899">
        <v>2</v>
      </c>
      <c r="K899" s="87">
        <v>1</v>
      </c>
      <c r="L899" s="8">
        <v>999</v>
      </c>
      <c r="M899" s="8">
        <v>0</v>
      </c>
      <c r="N899" s="8"/>
      <c r="S899" s="89">
        <v>1</v>
      </c>
      <c r="T899" s="8">
        <v>5</v>
      </c>
      <c r="U899" s="89">
        <v>200</v>
      </c>
      <c r="V899" s="87">
        <v>1</v>
      </c>
      <c r="W899" s="8">
        <v>1</v>
      </c>
      <c r="X899" s="8">
        <v>1</v>
      </c>
      <c r="Y899">
        <v>0</v>
      </c>
      <c r="Z899" s="33">
        <v>0</v>
      </c>
      <c r="AA899">
        <v>5</v>
      </c>
      <c r="AB899" s="34">
        <v>5000</v>
      </c>
      <c r="AC899" s="87">
        <v>851</v>
      </c>
      <c r="AE899" s="90"/>
      <c r="AF899" s="90"/>
      <c r="AG899" s="91"/>
      <c r="AH899" s="91"/>
      <c r="AI899" s="91"/>
      <c r="AJ899" s="91"/>
      <c r="AK899" s="91"/>
      <c r="AL899" s="92">
        <v>1</v>
      </c>
      <c r="AM899" s="92"/>
      <c r="AN899" s="93"/>
      <c r="AO899" s="92"/>
      <c r="AQ899" s="56" t="s">
        <v>2408</v>
      </c>
      <c r="AS899">
        <v>1</v>
      </c>
    </row>
    <row r="900" spans="1:45">
      <c r="A900">
        <v>461007</v>
      </c>
      <c r="B900" s="8">
        <v>1001</v>
      </c>
      <c r="C900" s="8">
        <v>2</v>
      </c>
      <c r="D900" s="8">
        <v>1004</v>
      </c>
      <c r="E900" s="324" t="s">
        <v>2409</v>
      </c>
      <c r="F900" s="13" t="s">
        <v>2409</v>
      </c>
      <c r="G900" t="s">
        <v>2353</v>
      </c>
      <c r="H900" t="s">
        <v>2177</v>
      </c>
      <c r="I900">
        <v>1</v>
      </c>
      <c r="J900">
        <v>2</v>
      </c>
      <c r="K900" s="87">
        <v>1</v>
      </c>
      <c r="L900" s="8">
        <v>999</v>
      </c>
      <c r="M900" s="8">
        <v>0</v>
      </c>
      <c r="N900" s="8"/>
      <c r="S900" s="89">
        <v>1</v>
      </c>
      <c r="T900" s="8">
        <v>5</v>
      </c>
      <c r="U900" s="89">
        <v>200</v>
      </c>
      <c r="V900" s="87">
        <v>1</v>
      </c>
      <c r="W900" s="8">
        <v>1</v>
      </c>
      <c r="X900" s="8">
        <v>1</v>
      </c>
      <c r="Y900">
        <v>0</v>
      </c>
      <c r="Z900" s="33">
        <v>0</v>
      </c>
      <c r="AA900">
        <v>5</v>
      </c>
      <c r="AB900" s="34">
        <v>5000</v>
      </c>
      <c r="AC900" s="87">
        <v>851</v>
      </c>
      <c r="AE900" s="90"/>
      <c r="AF900" s="90"/>
      <c r="AG900" s="91"/>
      <c r="AH900" s="91"/>
      <c r="AI900" s="91"/>
      <c r="AJ900" s="91"/>
      <c r="AK900" s="91"/>
      <c r="AL900" s="92">
        <v>1</v>
      </c>
      <c r="AM900" s="92"/>
      <c r="AN900" s="93"/>
      <c r="AO900" s="92"/>
      <c r="AQ900" s="56" t="s">
        <v>2409</v>
      </c>
      <c r="AS900">
        <v>1</v>
      </c>
    </row>
    <row r="901" spans="1:45">
      <c r="A901">
        <v>461008</v>
      </c>
      <c r="B901" s="8">
        <v>1001</v>
      </c>
      <c r="C901" s="8">
        <v>2</v>
      </c>
      <c r="D901" s="8">
        <v>1004</v>
      </c>
      <c r="E901" s="324" t="s">
        <v>2410</v>
      </c>
      <c r="F901" s="13" t="s">
        <v>2410</v>
      </c>
      <c r="G901" t="s">
        <v>2353</v>
      </c>
      <c r="H901" t="s">
        <v>2177</v>
      </c>
      <c r="I901">
        <v>1</v>
      </c>
      <c r="J901">
        <v>2</v>
      </c>
      <c r="K901" s="87">
        <v>1</v>
      </c>
      <c r="L901" s="8">
        <v>999</v>
      </c>
      <c r="M901" s="8">
        <v>0</v>
      </c>
      <c r="N901" s="8"/>
      <c r="S901" s="89">
        <v>1</v>
      </c>
      <c r="T901" s="8">
        <v>5</v>
      </c>
      <c r="U901" s="89">
        <v>200</v>
      </c>
      <c r="V901" s="87">
        <v>1</v>
      </c>
      <c r="W901" s="8">
        <v>1</v>
      </c>
      <c r="X901" s="8">
        <v>1</v>
      </c>
      <c r="Y901">
        <v>0</v>
      </c>
      <c r="Z901" s="33">
        <v>0</v>
      </c>
      <c r="AA901">
        <v>5</v>
      </c>
      <c r="AB901" s="34">
        <v>5000</v>
      </c>
      <c r="AC901" s="87">
        <v>851</v>
      </c>
      <c r="AE901" s="90"/>
      <c r="AF901" s="90"/>
      <c r="AG901" s="91"/>
      <c r="AH901" s="91"/>
      <c r="AI901" s="91"/>
      <c r="AJ901" s="91"/>
      <c r="AK901" s="91"/>
      <c r="AL901" s="92">
        <v>1</v>
      </c>
      <c r="AM901" s="92"/>
      <c r="AN901" s="93"/>
      <c r="AO901" s="92"/>
      <c r="AQ901" s="56" t="s">
        <v>2410</v>
      </c>
      <c r="AS901">
        <v>1</v>
      </c>
    </row>
    <row r="902" spans="1:45">
      <c r="A902">
        <v>461009</v>
      </c>
      <c r="B902" s="8">
        <v>1001</v>
      </c>
      <c r="C902" s="8">
        <v>2</v>
      </c>
      <c r="D902" s="8">
        <v>1004</v>
      </c>
      <c r="E902" s="324" t="s">
        <v>2411</v>
      </c>
      <c r="F902" s="13" t="s">
        <v>2411</v>
      </c>
      <c r="G902" t="s">
        <v>2353</v>
      </c>
      <c r="H902" t="s">
        <v>2177</v>
      </c>
      <c r="I902">
        <v>1</v>
      </c>
      <c r="J902">
        <v>2</v>
      </c>
      <c r="K902" s="87">
        <v>1</v>
      </c>
      <c r="L902" s="8">
        <v>999</v>
      </c>
      <c r="M902" s="8">
        <v>0</v>
      </c>
      <c r="N902" s="8"/>
      <c r="S902" s="89">
        <v>1</v>
      </c>
      <c r="T902" s="8">
        <v>5</v>
      </c>
      <c r="U902" s="89">
        <v>200</v>
      </c>
      <c r="V902" s="87">
        <v>1</v>
      </c>
      <c r="W902" s="8">
        <v>1</v>
      </c>
      <c r="X902" s="8">
        <v>1</v>
      </c>
      <c r="Y902">
        <v>0</v>
      </c>
      <c r="Z902" s="33">
        <v>0</v>
      </c>
      <c r="AA902">
        <v>5</v>
      </c>
      <c r="AB902" s="34">
        <v>5000</v>
      </c>
      <c r="AC902" s="87">
        <v>851</v>
      </c>
      <c r="AE902" s="90"/>
      <c r="AF902" s="90"/>
      <c r="AG902" s="91"/>
      <c r="AH902" s="91"/>
      <c r="AI902" s="91"/>
      <c r="AJ902" s="91"/>
      <c r="AK902" s="91"/>
      <c r="AL902" s="92">
        <v>1</v>
      </c>
      <c r="AM902" s="92"/>
      <c r="AN902" s="93"/>
      <c r="AO902" s="92"/>
      <c r="AQ902" s="56" t="s">
        <v>2411</v>
      </c>
      <c r="AS902">
        <v>1</v>
      </c>
    </row>
    <row r="903" spans="1:45">
      <c r="A903">
        <v>461010</v>
      </c>
      <c r="B903" s="8">
        <v>1001</v>
      </c>
      <c r="C903" s="8">
        <v>2</v>
      </c>
      <c r="D903" s="8">
        <v>1004</v>
      </c>
      <c r="E903" s="324" t="s">
        <v>2412</v>
      </c>
      <c r="F903" s="13" t="s">
        <v>2412</v>
      </c>
      <c r="G903" t="s">
        <v>2353</v>
      </c>
      <c r="H903" t="s">
        <v>2177</v>
      </c>
      <c r="I903">
        <v>1</v>
      </c>
      <c r="J903">
        <v>2</v>
      </c>
      <c r="K903" s="87">
        <v>1</v>
      </c>
      <c r="L903" s="8">
        <v>999</v>
      </c>
      <c r="M903" s="8">
        <v>0</v>
      </c>
      <c r="N903" s="8"/>
      <c r="S903" s="89">
        <v>1</v>
      </c>
      <c r="T903" s="8">
        <v>5</v>
      </c>
      <c r="U903" s="89">
        <v>200</v>
      </c>
      <c r="V903" s="87">
        <v>1</v>
      </c>
      <c r="W903" s="8">
        <v>1</v>
      </c>
      <c r="X903" s="8">
        <v>1</v>
      </c>
      <c r="Y903">
        <v>0</v>
      </c>
      <c r="Z903" s="33">
        <v>0</v>
      </c>
      <c r="AA903">
        <v>5</v>
      </c>
      <c r="AB903" s="34">
        <v>5000</v>
      </c>
      <c r="AC903" s="87">
        <v>851</v>
      </c>
      <c r="AE903" s="90"/>
      <c r="AF903" s="90"/>
      <c r="AG903" s="91"/>
      <c r="AH903" s="91"/>
      <c r="AI903" s="91"/>
      <c r="AJ903" s="91"/>
      <c r="AK903" s="91"/>
      <c r="AL903" s="92">
        <v>1</v>
      </c>
      <c r="AM903" s="92"/>
      <c r="AN903" s="93"/>
      <c r="AO903" s="92"/>
      <c r="AQ903" s="56" t="s">
        <v>2412</v>
      </c>
      <c r="AS903">
        <v>1</v>
      </c>
    </row>
    <row r="904" spans="1:45">
      <c r="A904">
        <v>461011</v>
      </c>
      <c r="B904" s="8">
        <v>1001</v>
      </c>
      <c r="C904" s="8">
        <v>2</v>
      </c>
      <c r="D904" s="8">
        <v>1004</v>
      </c>
      <c r="E904" s="324" t="s">
        <v>2413</v>
      </c>
      <c r="F904" s="13" t="s">
        <v>2413</v>
      </c>
      <c r="G904" t="s">
        <v>2353</v>
      </c>
      <c r="H904" t="s">
        <v>2177</v>
      </c>
      <c r="I904">
        <v>1</v>
      </c>
      <c r="J904">
        <v>2</v>
      </c>
      <c r="K904" s="87">
        <v>1</v>
      </c>
      <c r="L904" s="8">
        <v>999</v>
      </c>
      <c r="M904" s="8">
        <v>0</v>
      </c>
      <c r="N904" s="8"/>
      <c r="S904" s="89">
        <v>1</v>
      </c>
      <c r="T904" s="8">
        <v>5</v>
      </c>
      <c r="U904" s="89">
        <v>200</v>
      </c>
      <c r="V904" s="87">
        <v>1</v>
      </c>
      <c r="W904" s="8">
        <v>1</v>
      </c>
      <c r="X904" s="8">
        <v>1</v>
      </c>
      <c r="Y904">
        <v>0</v>
      </c>
      <c r="Z904" s="33">
        <v>0</v>
      </c>
      <c r="AA904">
        <v>5</v>
      </c>
      <c r="AB904" s="34">
        <v>5000</v>
      </c>
      <c r="AC904" s="87">
        <v>851</v>
      </c>
      <c r="AE904" s="90"/>
      <c r="AF904" s="90"/>
      <c r="AG904" s="91"/>
      <c r="AH904" s="91"/>
      <c r="AI904" s="91"/>
      <c r="AJ904" s="91"/>
      <c r="AK904" s="91"/>
      <c r="AL904" s="92">
        <v>1</v>
      </c>
      <c r="AM904" s="92"/>
      <c r="AN904" s="93"/>
      <c r="AO904" s="92"/>
      <c r="AQ904" s="56" t="s">
        <v>2413</v>
      </c>
      <c r="AS904">
        <v>1</v>
      </c>
    </row>
    <row r="905" spans="1:45">
      <c r="A905">
        <v>461012</v>
      </c>
      <c r="B905" s="8">
        <v>1001</v>
      </c>
      <c r="C905" s="8">
        <v>2</v>
      </c>
      <c r="D905" s="8">
        <v>1004</v>
      </c>
      <c r="E905" s="324" t="s">
        <v>2414</v>
      </c>
      <c r="F905" s="13" t="s">
        <v>2414</v>
      </c>
      <c r="G905" t="s">
        <v>2353</v>
      </c>
      <c r="H905" t="s">
        <v>2177</v>
      </c>
      <c r="I905">
        <v>1</v>
      </c>
      <c r="J905">
        <v>2</v>
      </c>
      <c r="K905" s="87">
        <v>1</v>
      </c>
      <c r="L905" s="8">
        <v>999</v>
      </c>
      <c r="M905" s="8">
        <v>0</v>
      </c>
      <c r="N905" s="8"/>
      <c r="S905" s="89">
        <v>1</v>
      </c>
      <c r="T905" s="8">
        <v>5</v>
      </c>
      <c r="U905" s="89">
        <v>200</v>
      </c>
      <c r="V905" s="87">
        <v>1</v>
      </c>
      <c r="W905" s="8">
        <v>1</v>
      </c>
      <c r="X905" s="8">
        <v>1</v>
      </c>
      <c r="Y905">
        <v>0</v>
      </c>
      <c r="Z905" s="33">
        <v>0</v>
      </c>
      <c r="AA905">
        <v>5</v>
      </c>
      <c r="AB905" s="34">
        <v>5000</v>
      </c>
      <c r="AC905" s="87">
        <v>851</v>
      </c>
      <c r="AE905" s="90"/>
      <c r="AF905" s="90"/>
      <c r="AG905" s="91"/>
      <c r="AH905" s="91"/>
      <c r="AI905" s="91"/>
      <c r="AJ905" s="91"/>
      <c r="AK905" s="91"/>
      <c r="AL905" s="92">
        <v>1</v>
      </c>
      <c r="AM905" s="92"/>
      <c r="AN905" s="93"/>
      <c r="AO905" s="92"/>
      <c r="AQ905" s="56" t="s">
        <v>2414</v>
      </c>
      <c r="AS905">
        <v>1</v>
      </c>
    </row>
    <row r="906" spans="1:45">
      <c r="A906">
        <v>461013</v>
      </c>
      <c r="B906" s="8">
        <v>1001</v>
      </c>
      <c r="C906" s="8">
        <v>2</v>
      </c>
      <c r="D906" s="8">
        <v>1004</v>
      </c>
      <c r="E906" s="324" t="s">
        <v>2415</v>
      </c>
      <c r="F906" s="13" t="s">
        <v>2415</v>
      </c>
      <c r="G906" t="s">
        <v>2353</v>
      </c>
      <c r="H906" t="s">
        <v>2177</v>
      </c>
      <c r="I906">
        <v>1</v>
      </c>
      <c r="J906">
        <v>2</v>
      </c>
      <c r="K906" s="87">
        <v>1</v>
      </c>
      <c r="L906" s="8">
        <v>999</v>
      </c>
      <c r="M906" s="8">
        <v>0</v>
      </c>
      <c r="N906" s="8"/>
      <c r="S906" s="89">
        <v>1</v>
      </c>
      <c r="T906" s="8">
        <v>5</v>
      </c>
      <c r="U906" s="89">
        <v>200</v>
      </c>
      <c r="V906" s="87">
        <v>1</v>
      </c>
      <c r="W906" s="8">
        <v>1</v>
      </c>
      <c r="X906" s="8">
        <v>1</v>
      </c>
      <c r="Y906">
        <v>0</v>
      </c>
      <c r="Z906" s="33">
        <v>0</v>
      </c>
      <c r="AA906">
        <v>5</v>
      </c>
      <c r="AB906" s="34">
        <v>5000</v>
      </c>
      <c r="AC906" s="87">
        <v>851</v>
      </c>
      <c r="AE906" s="90"/>
      <c r="AF906" s="90"/>
      <c r="AG906" s="91"/>
      <c r="AH906" s="91"/>
      <c r="AI906" s="91"/>
      <c r="AJ906" s="91"/>
      <c r="AK906" s="91"/>
      <c r="AL906" s="92">
        <v>1</v>
      </c>
      <c r="AM906" s="92"/>
      <c r="AN906" s="93"/>
      <c r="AO906" s="92"/>
      <c r="AQ906" s="56" t="s">
        <v>2415</v>
      </c>
      <c r="AS906">
        <v>1</v>
      </c>
    </row>
    <row r="907" spans="1:45">
      <c r="A907">
        <v>461014</v>
      </c>
      <c r="B907" s="8">
        <v>1001</v>
      </c>
      <c r="C907" s="8">
        <v>2</v>
      </c>
      <c r="D907" s="8">
        <v>1004</v>
      </c>
      <c r="E907" s="324" t="s">
        <v>2416</v>
      </c>
      <c r="F907" s="13" t="s">
        <v>2416</v>
      </c>
      <c r="G907" t="s">
        <v>2353</v>
      </c>
      <c r="H907" t="s">
        <v>2177</v>
      </c>
      <c r="I907">
        <v>1</v>
      </c>
      <c r="J907">
        <v>2</v>
      </c>
      <c r="K907" s="87">
        <v>1</v>
      </c>
      <c r="L907" s="8">
        <v>999</v>
      </c>
      <c r="M907" s="8">
        <v>0</v>
      </c>
      <c r="N907" s="8"/>
      <c r="S907" s="89">
        <v>1</v>
      </c>
      <c r="T907" s="8">
        <v>5</v>
      </c>
      <c r="U907" s="89">
        <v>200</v>
      </c>
      <c r="V907" s="87">
        <v>1</v>
      </c>
      <c r="W907" s="8">
        <v>1</v>
      </c>
      <c r="X907" s="8">
        <v>1</v>
      </c>
      <c r="Y907">
        <v>0</v>
      </c>
      <c r="Z907" s="33">
        <v>0</v>
      </c>
      <c r="AA907">
        <v>5</v>
      </c>
      <c r="AB907" s="34">
        <v>5000</v>
      </c>
      <c r="AC907" s="87">
        <v>851</v>
      </c>
      <c r="AE907" s="90"/>
      <c r="AF907" s="90"/>
      <c r="AG907" s="91"/>
      <c r="AH907" s="91"/>
      <c r="AI907" s="91"/>
      <c r="AJ907" s="91"/>
      <c r="AK907" s="91"/>
      <c r="AL907" s="92">
        <v>1</v>
      </c>
      <c r="AM907" s="92"/>
      <c r="AN907" s="93"/>
      <c r="AO907" s="92"/>
      <c r="AQ907" s="56" t="s">
        <v>2416</v>
      </c>
      <c r="AS907">
        <v>1</v>
      </c>
    </row>
    <row r="908" spans="1:45">
      <c r="A908">
        <v>461015</v>
      </c>
      <c r="B908" s="8">
        <v>1001</v>
      </c>
      <c r="C908" s="8">
        <v>2</v>
      </c>
      <c r="D908" s="8">
        <v>1004</v>
      </c>
      <c r="E908" s="324" t="s">
        <v>2417</v>
      </c>
      <c r="F908" s="13" t="s">
        <v>2417</v>
      </c>
      <c r="G908" t="s">
        <v>2353</v>
      </c>
      <c r="H908" t="s">
        <v>2177</v>
      </c>
      <c r="I908">
        <v>1</v>
      </c>
      <c r="J908">
        <v>2</v>
      </c>
      <c r="K908" s="87">
        <v>1</v>
      </c>
      <c r="L908" s="8">
        <v>999</v>
      </c>
      <c r="M908" s="8">
        <v>0</v>
      </c>
      <c r="N908" s="8"/>
      <c r="S908" s="89">
        <v>1</v>
      </c>
      <c r="T908" s="8">
        <v>5</v>
      </c>
      <c r="U908" s="89">
        <v>200</v>
      </c>
      <c r="V908" s="87">
        <v>1</v>
      </c>
      <c r="W908" s="8">
        <v>1</v>
      </c>
      <c r="X908" s="8">
        <v>1</v>
      </c>
      <c r="Y908">
        <v>0</v>
      </c>
      <c r="Z908" s="33">
        <v>0</v>
      </c>
      <c r="AA908">
        <v>5</v>
      </c>
      <c r="AB908" s="34">
        <v>5000</v>
      </c>
      <c r="AC908" s="87">
        <v>851</v>
      </c>
      <c r="AE908" s="90"/>
      <c r="AF908" s="90"/>
      <c r="AG908" s="91"/>
      <c r="AH908" s="91"/>
      <c r="AI908" s="91"/>
      <c r="AJ908" s="91"/>
      <c r="AK908" s="91"/>
      <c r="AL908" s="92">
        <v>1</v>
      </c>
      <c r="AM908" s="92"/>
      <c r="AN908" s="93"/>
      <c r="AO908" s="92"/>
      <c r="AQ908" s="56" t="s">
        <v>2417</v>
      </c>
      <c r="AS908">
        <v>1</v>
      </c>
    </row>
    <row r="909" spans="1:45">
      <c r="A909">
        <v>461016</v>
      </c>
      <c r="B909" s="8">
        <v>1001</v>
      </c>
      <c r="C909" s="8">
        <v>2</v>
      </c>
      <c r="D909" s="8">
        <v>1004</v>
      </c>
      <c r="E909" s="324" t="s">
        <v>2418</v>
      </c>
      <c r="F909" s="13" t="s">
        <v>2418</v>
      </c>
      <c r="G909" t="s">
        <v>2353</v>
      </c>
      <c r="H909" t="s">
        <v>2177</v>
      </c>
      <c r="I909">
        <v>1</v>
      </c>
      <c r="J909">
        <v>2</v>
      </c>
      <c r="K909" s="87">
        <v>1</v>
      </c>
      <c r="L909" s="8">
        <v>999</v>
      </c>
      <c r="M909" s="8">
        <v>0</v>
      </c>
      <c r="N909" s="8"/>
      <c r="S909" s="89">
        <v>1</v>
      </c>
      <c r="T909" s="8">
        <v>5</v>
      </c>
      <c r="U909" s="89">
        <v>200</v>
      </c>
      <c r="V909" s="87">
        <v>1</v>
      </c>
      <c r="W909" s="8">
        <v>1</v>
      </c>
      <c r="X909" s="8">
        <v>1</v>
      </c>
      <c r="Y909">
        <v>0</v>
      </c>
      <c r="Z909" s="33">
        <v>0</v>
      </c>
      <c r="AA909">
        <v>5</v>
      </c>
      <c r="AB909" s="34">
        <v>5000</v>
      </c>
      <c r="AC909" s="87">
        <v>851</v>
      </c>
      <c r="AE909" s="90"/>
      <c r="AF909" s="90"/>
      <c r="AG909" s="91"/>
      <c r="AH909" s="91"/>
      <c r="AI909" s="91"/>
      <c r="AJ909" s="91"/>
      <c r="AK909" s="91"/>
      <c r="AL909" s="92">
        <v>1</v>
      </c>
      <c r="AM909" s="92"/>
      <c r="AN909" s="93"/>
      <c r="AO909" s="92"/>
      <c r="AQ909" s="56" t="s">
        <v>2418</v>
      </c>
      <c r="AS909">
        <v>1</v>
      </c>
    </row>
    <row r="910" spans="1:45">
      <c r="A910">
        <v>461017</v>
      </c>
      <c r="B910" s="8">
        <v>1001</v>
      </c>
      <c r="C910" s="8">
        <v>2</v>
      </c>
      <c r="D910" s="8">
        <v>1004</v>
      </c>
      <c r="E910" s="324" t="s">
        <v>2419</v>
      </c>
      <c r="F910" s="13" t="s">
        <v>2419</v>
      </c>
      <c r="G910" t="s">
        <v>2353</v>
      </c>
      <c r="H910" t="s">
        <v>2177</v>
      </c>
      <c r="I910">
        <v>1</v>
      </c>
      <c r="J910">
        <v>2</v>
      </c>
      <c r="K910" s="87">
        <v>1</v>
      </c>
      <c r="L910" s="8">
        <v>999</v>
      </c>
      <c r="M910" s="8">
        <v>0</v>
      </c>
      <c r="N910" s="8"/>
      <c r="S910" s="89">
        <v>1</v>
      </c>
      <c r="T910" s="8">
        <v>5</v>
      </c>
      <c r="U910" s="89">
        <v>200</v>
      </c>
      <c r="V910" s="87">
        <v>1</v>
      </c>
      <c r="W910" s="8">
        <v>1</v>
      </c>
      <c r="X910" s="8">
        <v>1</v>
      </c>
      <c r="Y910">
        <v>0</v>
      </c>
      <c r="Z910" s="33">
        <v>0</v>
      </c>
      <c r="AA910">
        <v>5</v>
      </c>
      <c r="AB910" s="34">
        <v>5000</v>
      </c>
      <c r="AC910" s="87">
        <v>851</v>
      </c>
      <c r="AE910" s="90"/>
      <c r="AF910" s="90"/>
      <c r="AG910" s="91"/>
      <c r="AH910" s="91"/>
      <c r="AI910" s="91"/>
      <c r="AJ910" s="91"/>
      <c r="AK910" s="91"/>
      <c r="AL910" s="92">
        <v>1</v>
      </c>
      <c r="AM910" s="92"/>
      <c r="AN910" s="93"/>
      <c r="AO910" s="92"/>
      <c r="AQ910" s="56" t="s">
        <v>2419</v>
      </c>
      <c r="AS910">
        <v>1</v>
      </c>
    </row>
    <row r="911" spans="1:45">
      <c r="A911">
        <v>461018</v>
      </c>
      <c r="B911" s="8">
        <v>1001</v>
      </c>
      <c r="C911" s="8">
        <v>2</v>
      </c>
      <c r="D911" s="8">
        <v>1004</v>
      </c>
      <c r="E911" s="324" t="s">
        <v>2420</v>
      </c>
      <c r="F911" s="13" t="s">
        <v>2420</v>
      </c>
      <c r="G911" t="s">
        <v>2353</v>
      </c>
      <c r="H911" t="s">
        <v>2177</v>
      </c>
      <c r="I911">
        <v>1</v>
      </c>
      <c r="J911">
        <v>2</v>
      </c>
      <c r="K911" s="87">
        <v>1</v>
      </c>
      <c r="L911" s="8">
        <v>999</v>
      </c>
      <c r="M911" s="8">
        <v>0</v>
      </c>
      <c r="N911" s="8"/>
      <c r="S911" s="89">
        <v>1</v>
      </c>
      <c r="T911" s="8">
        <v>5</v>
      </c>
      <c r="U911" s="89">
        <v>200</v>
      </c>
      <c r="V911" s="87">
        <v>1</v>
      </c>
      <c r="W911" s="8">
        <v>1</v>
      </c>
      <c r="X911" s="8">
        <v>1</v>
      </c>
      <c r="Y911">
        <v>0</v>
      </c>
      <c r="Z911" s="33">
        <v>0</v>
      </c>
      <c r="AA911">
        <v>5</v>
      </c>
      <c r="AB911" s="34">
        <v>5000</v>
      </c>
      <c r="AC911" s="87">
        <v>851</v>
      </c>
      <c r="AE911" s="90"/>
      <c r="AF911" s="90"/>
      <c r="AG911" s="91"/>
      <c r="AH911" s="91"/>
      <c r="AI911" s="91"/>
      <c r="AJ911" s="91"/>
      <c r="AK911" s="91"/>
      <c r="AL911" s="92">
        <v>1</v>
      </c>
      <c r="AM911" s="92"/>
      <c r="AN911" s="93"/>
      <c r="AO911" s="92"/>
      <c r="AQ911" s="56" t="s">
        <v>2420</v>
      </c>
      <c r="AS911">
        <v>1</v>
      </c>
    </row>
    <row r="912" spans="1:45">
      <c r="A912">
        <v>461019</v>
      </c>
      <c r="B912" s="8">
        <v>1001</v>
      </c>
      <c r="C912" s="8">
        <v>2</v>
      </c>
      <c r="D912" s="8">
        <v>1004</v>
      </c>
      <c r="E912" s="324" t="s">
        <v>2421</v>
      </c>
      <c r="F912" s="13" t="s">
        <v>2421</v>
      </c>
      <c r="G912" t="s">
        <v>2353</v>
      </c>
      <c r="H912" t="s">
        <v>2177</v>
      </c>
      <c r="I912">
        <v>1</v>
      </c>
      <c r="J912">
        <v>2</v>
      </c>
      <c r="K912" s="87">
        <v>1</v>
      </c>
      <c r="L912" s="8">
        <v>999</v>
      </c>
      <c r="M912" s="8">
        <v>0</v>
      </c>
      <c r="N912" s="8"/>
      <c r="S912" s="89">
        <v>1</v>
      </c>
      <c r="T912" s="8">
        <v>5</v>
      </c>
      <c r="U912" s="89">
        <v>200</v>
      </c>
      <c r="V912" s="87">
        <v>1</v>
      </c>
      <c r="W912" s="8">
        <v>1</v>
      </c>
      <c r="X912" s="8">
        <v>1</v>
      </c>
      <c r="Y912">
        <v>0</v>
      </c>
      <c r="Z912" s="33">
        <v>0</v>
      </c>
      <c r="AA912">
        <v>5</v>
      </c>
      <c r="AB912" s="34">
        <v>5000</v>
      </c>
      <c r="AC912" s="87">
        <v>851</v>
      </c>
      <c r="AE912" s="90"/>
      <c r="AF912" s="90"/>
      <c r="AG912" s="91"/>
      <c r="AH912" s="91"/>
      <c r="AI912" s="91"/>
      <c r="AJ912" s="91"/>
      <c r="AK912" s="91"/>
      <c r="AL912" s="92">
        <v>1</v>
      </c>
      <c r="AM912" s="92"/>
      <c r="AN912" s="93"/>
      <c r="AO912" s="92"/>
      <c r="AQ912" s="56" t="s">
        <v>2421</v>
      </c>
      <c r="AS912">
        <v>1</v>
      </c>
    </row>
    <row r="913" spans="1:45">
      <c r="A913">
        <v>461020</v>
      </c>
      <c r="B913" s="8">
        <v>1001</v>
      </c>
      <c r="C913" s="8">
        <v>2</v>
      </c>
      <c r="D913" s="8">
        <v>1004</v>
      </c>
      <c r="E913" s="324" t="s">
        <v>2422</v>
      </c>
      <c r="F913" s="13" t="s">
        <v>2422</v>
      </c>
      <c r="G913" t="s">
        <v>2353</v>
      </c>
      <c r="H913" t="s">
        <v>2177</v>
      </c>
      <c r="I913">
        <v>1</v>
      </c>
      <c r="J913">
        <v>2</v>
      </c>
      <c r="K913" s="87">
        <v>1</v>
      </c>
      <c r="L913" s="8">
        <v>999</v>
      </c>
      <c r="M913" s="8">
        <v>0</v>
      </c>
      <c r="N913" s="8"/>
      <c r="S913" s="89">
        <v>1</v>
      </c>
      <c r="T913" s="8">
        <v>5</v>
      </c>
      <c r="U913" s="89">
        <v>200</v>
      </c>
      <c r="V913" s="87">
        <v>1</v>
      </c>
      <c r="W913" s="8">
        <v>1</v>
      </c>
      <c r="X913" s="8">
        <v>1</v>
      </c>
      <c r="Y913">
        <v>0</v>
      </c>
      <c r="Z913" s="33">
        <v>0</v>
      </c>
      <c r="AA913">
        <v>5</v>
      </c>
      <c r="AB913" s="34">
        <v>5000</v>
      </c>
      <c r="AC913" s="87">
        <v>851</v>
      </c>
      <c r="AE913" s="90"/>
      <c r="AF913" s="90"/>
      <c r="AG913" s="91"/>
      <c r="AH913" s="91"/>
      <c r="AI913" s="91"/>
      <c r="AJ913" s="91"/>
      <c r="AK913" s="91"/>
      <c r="AL913" s="92">
        <v>1</v>
      </c>
      <c r="AM913" s="92"/>
      <c r="AN913" s="93"/>
      <c r="AO913" s="92"/>
      <c r="AQ913" s="56" t="s">
        <v>2422</v>
      </c>
      <c r="AS913">
        <v>1</v>
      </c>
    </row>
    <row r="914" spans="1:45">
      <c r="A914">
        <v>461021</v>
      </c>
      <c r="B914" s="8">
        <v>1001</v>
      </c>
      <c r="C914" s="8">
        <v>2</v>
      </c>
      <c r="D914" s="8">
        <v>1004</v>
      </c>
      <c r="E914" s="324" t="s">
        <v>2423</v>
      </c>
      <c r="F914" s="13" t="s">
        <v>2423</v>
      </c>
      <c r="G914" t="s">
        <v>2353</v>
      </c>
      <c r="H914" t="s">
        <v>2177</v>
      </c>
      <c r="I914">
        <v>1</v>
      </c>
      <c r="J914">
        <v>2</v>
      </c>
      <c r="K914" s="87">
        <v>1</v>
      </c>
      <c r="L914" s="8">
        <v>999</v>
      </c>
      <c r="M914" s="8">
        <v>0</v>
      </c>
      <c r="N914" s="8"/>
      <c r="S914" s="89">
        <v>1</v>
      </c>
      <c r="T914" s="8">
        <v>5</v>
      </c>
      <c r="U914" s="89">
        <v>200</v>
      </c>
      <c r="V914" s="87">
        <v>1</v>
      </c>
      <c r="W914" s="8">
        <v>1</v>
      </c>
      <c r="X914" s="8">
        <v>1</v>
      </c>
      <c r="Y914">
        <v>0</v>
      </c>
      <c r="Z914" s="33">
        <v>0</v>
      </c>
      <c r="AA914">
        <v>5</v>
      </c>
      <c r="AB914" s="34">
        <v>5000</v>
      </c>
      <c r="AC914" s="87">
        <v>851</v>
      </c>
      <c r="AE914" s="90"/>
      <c r="AF914" s="90"/>
      <c r="AG914" s="91"/>
      <c r="AH914" s="91"/>
      <c r="AI914" s="91"/>
      <c r="AJ914" s="91"/>
      <c r="AK914" s="91"/>
      <c r="AL914" s="92">
        <v>1</v>
      </c>
      <c r="AM914" s="92"/>
      <c r="AN914" s="93"/>
      <c r="AO914" s="92"/>
      <c r="AQ914" s="56" t="s">
        <v>2423</v>
      </c>
      <c r="AS914">
        <v>1</v>
      </c>
    </row>
    <row r="915" spans="1:45">
      <c r="A915">
        <v>461022</v>
      </c>
      <c r="B915" s="8">
        <v>1001</v>
      </c>
      <c r="C915" s="8">
        <v>2</v>
      </c>
      <c r="D915" s="8">
        <v>1004</v>
      </c>
      <c r="E915" s="324" t="s">
        <v>2424</v>
      </c>
      <c r="F915" s="13" t="s">
        <v>2424</v>
      </c>
      <c r="G915" t="s">
        <v>2353</v>
      </c>
      <c r="H915" t="s">
        <v>2177</v>
      </c>
      <c r="I915">
        <v>1</v>
      </c>
      <c r="J915">
        <v>2</v>
      </c>
      <c r="K915" s="87">
        <v>1</v>
      </c>
      <c r="L915" s="8">
        <v>999</v>
      </c>
      <c r="M915" s="8">
        <v>0</v>
      </c>
      <c r="N915" s="8"/>
      <c r="S915" s="89">
        <v>1</v>
      </c>
      <c r="T915" s="8">
        <v>5</v>
      </c>
      <c r="U915" s="89">
        <v>200</v>
      </c>
      <c r="V915" s="87">
        <v>1</v>
      </c>
      <c r="W915" s="8">
        <v>1</v>
      </c>
      <c r="X915" s="8">
        <v>1</v>
      </c>
      <c r="Y915">
        <v>0</v>
      </c>
      <c r="Z915" s="33">
        <v>0</v>
      </c>
      <c r="AA915">
        <v>5</v>
      </c>
      <c r="AB915" s="34">
        <v>5000</v>
      </c>
      <c r="AC915" s="87">
        <v>851</v>
      </c>
      <c r="AE915" s="90"/>
      <c r="AF915" s="90"/>
      <c r="AG915" s="91"/>
      <c r="AH915" s="91"/>
      <c r="AI915" s="91"/>
      <c r="AJ915" s="91"/>
      <c r="AK915" s="91"/>
      <c r="AL915" s="92">
        <v>1</v>
      </c>
      <c r="AM915" s="92"/>
      <c r="AN915" s="93"/>
      <c r="AO915" s="92"/>
      <c r="AQ915" s="56" t="s">
        <v>2424</v>
      </c>
      <c r="AS915">
        <v>1</v>
      </c>
    </row>
    <row r="916" spans="1:45">
      <c r="A916">
        <v>461023</v>
      </c>
      <c r="B916" s="8">
        <v>1001</v>
      </c>
      <c r="C916" s="8">
        <v>2</v>
      </c>
      <c r="D916" s="8">
        <v>1004</v>
      </c>
      <c r="E916" s="324" t="s">
        <v>2425</v>
      </c>
      <c r="F916" s="13" t="s">
        <v>2425</v>
      </c>
      <c r="G916" t="s">
        <v>2353</v>
      </c>
      <c r="H916" t="s">
        <v>2177</v>
      </c>
      <c r="I916">
        <v>1</v>
      </c>
      <c r="J916">
        <v>2</v>
      </c>
      <c r="K916" s="87">
        <v>1</v>
      </c>
      <c r="L916" s="8">
        <v>999</v>
      </c>
      <c r="M916" s="8">
        <v>0</v>
      </c>
      <c r="N916" s="8"/>
      <c r="S916" s="89">
        <v>1</v>
      </c>
      <c r="T916" s="8">
        <v>5</v>
      </c>
      <c r="U916" s="89">
        <v>200</v>
      </c>
      <c r="V916" s="87">
        <v>1</v>
      </c>
      <c r="W916" s="8">
        <v>1</v>
      </c>
      <c r="X916" s="8">
        <v>1</v>
      </c>
      <c r="Y916">
        <v>0</v>
      </c>
      <c r="Z916" s="33">
        <v>0</v>
      </c>
      <c r="AA916">
        <v>5</v>
      </c>
      <c r="AB916" s="34">
        <v>5000</v>
      </c>
      <c r="AC916" s="87">
        <v>851</v>
      </c>
      <c r="AE916" s="90"/>
      <c r="AF916" s="90"/>
      <c r="AG916" s="91"/>
      <c r="AH916" s="91"/>
      <c r="AI916" s="91"/>
      <c r="AJ916" s="91"/>
      <c r="AK916" s="91"/>
      <c r="AL916" s="92">
        <v>1</v>
      </c>
      <c r="AM916" s="92"/>
      <c r="AN916" s="93"/>
      <c r="AO916" s="92"/>
      <c r="AQ916" s="56" t="s">
        <v>2425</v>
      </c>
      <c r="AS916">
        <v>1</v>
      </c>
    </row>
    <row r="917" spans="1:45">
      <c r="A917">
        <v>461024</v>
      </c>
      <c r="B917" s="8">
        <v>1001</v>
      </c>
      <c r="C917" s="8">
        <v>2</v>
      </c>
      <c r="D917" s="8">
        <v>1004</v>
      </c>
      <c r="E917" s="324" t="s">
        <v>2426</v>
      </c>
      <c r="F917" s="13" t="s">
        <v>2427</v>
      </c>
      <c r="G917" t="s">
        <v>2353</v>
      </c>
      <c r="H917" t="s">
        <v>2177</v>
      </c>
      <c r="I917">
        <v>1</v>
      </c>
      <c r="J917">
        <v>2</v>
      </c>
      <c r="K917" s="87">
        <v>1</v>
      </c>
      <c r="L917" s="8">
        <v>999</v>
      </c>
      <c r="M917" s="8">
        <v>0</v>
      </c>
      <c r="N917" s="8"/>
      <c r="S917" s="89">
        <v>1</v>
      </c>
      <c r="T917" s="8">
        <v>5</v>
      </c>
      <c r="U917" s="89">
        <v>200</v>
      </c>
      <c r="V917" s="87">
        <v>1</v>
      </c>
      <c r="W917" s="8">
        <v>1</v>
      </c>
      <c r="X917" s="8">
        <v>1</v>
      </c>
      <c r="Y917">
        <v>0</v>
      </c>
      <c r="Z917" s="33">
        <v>0</v>
      </c>
      <c r="AA917">
        <v>5</v>
      </c>
      <c r="AB917" s="34">
        <v>5000</v>
      </c>
      <c r="AC917" s="87">
        <v>851</v>
      </c>
      <c r="AE917" s="90"/>
      <c r="AF917" s="90"/>
      <c r="AG917" s="91"/>
      <c r="AH917" s="91"/>
      <c r="AI917" s="91"/>
      <c r="AJ917" s="91"/>
      <c r="AK917" s="91"/>
      <c r="AL917" s="92">
        <v>1</v>
      </c>
      <c r="AM917" s="92"/>
      <c r="AN917" s="93"/>
      <c r="AO917" s="92"/>
      <c r="AQ917" s="56" t="s">
        <v>2426</v>
      </c>
      <c r="AS917">
        <v>1</v>
      </c>
    </row>
    <row r="918" spans="1:45">
      <c r="A918">
        <v>461025</v>
      </c>
      <c r="B918" s="8">
        <v>1001</v>
      </c>
      <c r="C918" s="8">
        <v>2</v>
      </c>
      <c r="D918" s="8">
        <v>1004</v>
      </c>
      <c r="E918" s="324" t="s">
        <v>2428</v>
      </c>
      <c r="F918" s="13" t="s">
        <v>2428</v>
      </c>
      <c r="G918" t="s">
        <v>2353</v>
      </c>
      <c r="H918" t="s">
        <v>2177</v>
      </c>
      <c r="I918">
        <v>1</v>
      </c>
      <c r="J918">
        <v>2</v>
      </c>
      <c r="K918" s="87">
        <v>1</v>
      </c>
      <c r="L918" s="8">
        <v>999</v>
      </c>
      <c r="M918" s="8">
        <v>0</v>
      </c>
      <c r="N918" s="8"/>
      <c r="S918" s="89">
        <v>1</v>
      </c>
      <c r="T918" s="8">
        <v>5</v>
      </c>
      <c r="U918" s="89">
        <v>200</v>
      </c>
      <c r="V918" s="87">
        <v>1</v>
      </c>
      <c r="W918" s="8">
        <v>1</v>
      </c>
      <c r="X918" s="8">
        <v>1</v>
      </c>
      <c r="Y918">
        <v>0</v>
      </c>
      <c r="Z918" s="33">
        <v>0</v>
      </c>
      <c r="AA918">
        <v>5</v>
      </c>
      <c r="AB918" s="34">
        <v>5000</v>
      </c>
      <c r="AC918" s="87">
        <v>851</v>
      </c>
      <c r="AE918" s="90"/>
      <c r="AF918" s="90"/>
      <c r="AG918" s="91"/>
      <c r="AH918" s="91"/>
      <c r="AI918" s="91"/>
      <c r="AJ918" s="91"/>
      <c r="AK918" s="91"/>
      <c r="AL918" s="92">
        <v>1</v>
      </c>
      <c r="AM918" s="92"/>
      <c r="AN918" s="93"/>
      <c r="AO918" s="92"/>
      <c r="AQ918" s="56" t="s">
        <v>2428</v>
      </c>
      <c r="AS918">
        <v>1</v>
      </c>
    </row>
    <row r="919" spans="1:45">
      <c r="A919">
        <v>462001</v>
      </c>
      <c r="B919" s="8">
        <v>1001</v>
      </c>
      <c r="C919" s="8">
        <v>2</v>
      </c>
      <c r="D919" s="8">
        <v>1004</v>
      </c>
      <c r="E919" s="325" t="s">
        <v>2429</v>
      </c>
      <c r="F919" s="13" t="s">
        <v>2429</v>
      </c>
      <c r="G919" t="s">
        <v>2353</v>
      </c>
      <c r="H919" t="s">
        <v>2177</v>
      </c>
      <c r="I919">
        <v>1</v>
      </c>
      <c r="J919">
        <v>3</v>
      </c>
      <c r="K919" s="87">
        <v>1</v>
      </c>
      <c r="L919" s="8">
        <v>999</v>
      </c>
      <c r="M919" s="8">
        <v>0</v>
      </c>
      <c r="N919" s="8"/>
      <c r="S919" s="89">
        <v>1</v>
      </c>
      <c r="T919" s="8">
        <v>5</v>
      </c>
      <c r="U919" s="89">
        <v>300</v>
      </c>
      <c r="V919" s="87">
        <v>1</v>
      </c>
      <c r="W919" s="8">
        <v>1</v>
      </c>
      <c r="X919" s="8">
        <v>1</v>
      </c>
      <c r="Y919">
        <v>0</v>
      </c>
      <c r="Z919" s="33">
        <v>0</v>
      </c>
      <c r="AA919">
        <v>5</v>
      </c>
      <c r="AB919" s="34">
        <v>6000</v>
      </c>
      <c r="AC919" s="87">
        <v>852</v>
      </c>
      <c r="AE919" s="90"/>
      <c r="AF919" s="90"/>
      <c r="AG919" s="91"/>
      <c r="AH919" s="91"/>
      <c r="AI919" s="91"/>
      <c r="AJ919" s="91"/>
      <c r="AK919" s="91"/>
      <c r="AL919" s="92">
        <v>1</v>
      </c>
      <c r="AM919" s="92"/>
      <c r="AN919" s="93"/>
      <c r="AO919" s="92"/>
      <c r="AQ919" s="56" t="s">
        <v>2429</v>
      </c>
      <c r="AS919">
        <v>1</v>
      </c>
    </row>
    <row r="920" spans="1:45">
      <c r="A920">
        <v>462002</v>
      </c>
      <c r="B920" s="8">
        <v>1001</v>
      </c>
      <c r="C920" s="8">
        <v>2</v>
      </c>
      <c r="D920" s="8">
        <v>1004</v>
      </c>
      <c r="E920" s="325" t="s">
        <v>2430</v>
      </c>
      <c r="F920" s="13" t="s">
        <v>2430</v>
      </c>
      <c r="G920" t="s">
        <v>2353</v>
      </c>
      <c r="H920" t="s">
        <v>2177</v>
      </c>
      <c r="I920">
        <v>1</v>
      </c>
      <c r="J920">
        <v>3</v>
      </c>
      <c r="K920" s="87">
        <v>1</v>
      </c>
      <c r="L920" s="8">
        <v>999</v>
      </c>
      <c r="M920" s="8">
        <v>0</v>
      </c>
      <c r="N920" s="8"/>
      <c r="S920" s="89">
        <v>1</v>
      </c>
      <c r="T920" s="8">
        <v>5</v>
      </c>
      <c r="U920" s="89">
        <v>300</v>
      </c>
      <c r="V920" s="87">
        <v>1</v>
      </c>
      <c r="W920" s="8">
        <v>1</v>
      </c>
      <c r="X920" s="8">
        <v>1</v>
      </c>
      <c r="Y920">
        <v>0</v>
      </c>
      <c r="Z920" s="33">
        <v>0</v>
      </c>
      <c r="AA920">
        <v>5</v>
      </c>
      <c r="AB920" s="34">
        <v>6000</v>
      </c>
      <c r="AC920" s="87">
        <v>852</v>
      </c>
      <c r="AE920" s="90"/>
      <c r="AF920" s="90"/>
      <c r="AG920" s="91"/>
      <c r="AH920" s="91"/>
      <c r="AI920" s="91"/>
      <c r="AJ920" s="91"/>
      <c r="AK920" s="91"/>
      <c r="AL920" s="92">
        <v>1</v>
      </c>
      <c r="AM920" s="92"/>
      <c r="AN920" s="93"/>
      <c r="AO920" s="92"/>
      <c r="AQ920" s="56" t="s">
        <v>2430</v>
      </c>
      <c r="AS920">
        <v>1</v>
      </c>
    </row>
    <row r="921" spans="1:45">
      <c r="A921">
        <v>462003</v>
      </c>
      <c r="B921" s="8">
        <v>1001</v>
      </c>
      <c r="C921" s="8">
        <v>2</v>
      </c>
      <c r="D921" s="8">
        <v>1004</v>
      </c>
      <c r="E921" s="325" t="s">
        <v>2431</v>
      </c>
      <c r="F921" s="13" t="s">
        <v>2431</v>
      </c>
      <c r="G921" t="s">
        <v>2353</v>
      </c>
      <c r="H921" t="s">
        <v>2177</v>
      </c>
      <c r="I921">
        <v>1</v>
      </c>
      <c r="J921">
        <v>3</v>
      </c>
      <c r="K921" s="87">
        <v>1</v>
      </c>
      <c r="L921" s="8">
        <v>999</v>
      </c>
      <c r="M921" s="8">
        <v>0</v>
      </c>
      <c r="N921" s="8"/>
      <c r="S921" s="89">
        <v>1</v>
      </c>
      <c r="T921" s="8">
        <v>5</v>
      </c>
      <c r="U921" s="89">
        <v>300</v>
      </c>
      <c r="V921" s="87">
        <v>1</v>
      </c>
      <c r="W921" s="8">
        <v>1</v>
      </c>
      <c r="X921" s="8">
        <v>1</v>
      </c>
      <c r="Y921">
        <v>0</v>
      </c>
      <c r="Z921" s="33">
        <v>0</v>
      </c>
      <c r="AA921">
        <v>5</v>
      </c>
      <c r="AB921" s="34">
        <v>6000</v>
      </c>
      <c r="AC921" s="87">
        <v>852</v>
      </c>
      <c r="AE921" s="90"/>
      <c r="AF921" s="90"/>
      <c r="AG921" s="91"/>
      <c r="AH921" s="91"/>
      <c r="AI921" s="91"/>
      <c r="AJ921" s="91"/>
      <c r="AK921" s="91"/>
      <c r="AL921" s="92">
        <v>1</v>
      </c>
      <c r="AM921" s="92"/>
      <c r="AN921" s="93"/>
      <c r="AO921" s="92"/>
      <c r="AQ921" s="56" t="s">
        <v>2431</v>
      </c>
      <c r="AS921">
        <v>1</v>
      </c>
    </row>
    <row r="922" spans="1:45">
      <c r="A922">
        <v>462004</v>
      </c>
      <c r="B922" s="8">
        <v>1001</v>
      </c>
      <c r="C922" s="8">
        <v>2</v>
      </c>
      <c r="D922" s="8">
        <v>1004</v>
      </c>
      <c r="E922" s="325" t="s">
        <v>2432</v>
      </c>
      <c r="F922" s="13" t="s">
        <v>2432</v>
      </c>
      <c r="G922" t="s">
        <v>2353</v>
      </c>
      <c r="H922" t="s">
        <v>2177</v>
      </c>
      <c r="I922">
        <v>1</v>
      </c>
      <c r="J922">
        <v>3</v>
      </c>
      <c r="K922" s="87">
        <v>1</v>
      </c>
      <c r="L922" s="8">
        <v>999</v>
      </c>
      <c r="M922" s="8">
        <v>0</v>
      </c>
      <c r="N922" s="8"/>
      <c r="S922" s="89">
        <v>1</v>
      </c>
      <c r="T922" s="8">
        <v>5</v>
      </c>
      <c r="U922" s="89">
        <v>300</v>
      </c>
      <c r="V922" s="87">
        <v>1</v>
      </c>
      <c r="W922" s="8">
        <v>1</v>
      </c>
      <c r="X922" s="8">
        <v>1</v>
      </c>
      <c r="Y922">
        <v>0</v>
      </c>
      <c r="Z922" s="33">
        <v>0</v>
      </c>
      <c r="AA922">
        <v>5</v>
      </c>
      <c r="AB922" s="34">
        <v>6000</v>
      </c>
      <c r="AC922" s="87">
        <v>852</v>
      </c>
      <c r="AE922" s="90"/>
      <c r="AF922" s="90"/>
      <c r="AG922" s="91"/>
      <c r="AH922" s="91"/>
      <c r="AI922" s="91"/>
      <c r="AJ922" s="91"/>
      <c r="AK922" s="91"/>
      <c r="AL922" s="92">
        <v>1</v>
      </c>
      <c r="AM922" s="92"/>
      <c r="AN922" s="93"/>
      <c r="AO922" s="92"/>
      <c r="AQ922" s="56" t="s">
        <v>2432</v>
      </c>
      <c r="AS922">
        <v>1</v>
      </c>
    </row>
    <row r="923" spans="1:45">
      <c r="A923">
        <v>462005</v>
      </c>
      <c r="B923" s="8">
        <v>1001</v>
      </c>
      <c r="C923" s="8">
        <v>2</v>
      </c>
      <c r="D923" s="8">
        <v>1004</v>
      </c>
      <c r="E923" s="325" t="s">
        <v>2433</v>
      </c>
      <c r="F923" s="13" t="s">
        <v>2433</v>
      </c>
      <c r="G923" t="s">
        <v>2353</v>
      </c>
      <c r="H923" t="s">
        <v>2177</v>
      </c>
      <c r="I923">
        <v>1</v>
      </c>
      <c r="J923">
        <v>3</v>
      </c>
      <c r="K923" s="87">
        <v>1</v>
      </c>
      <c r="L923" s="8">
        <v>999</v>
      </c>
      <c r="M923" s="8">
        <v>0</v>
      </c>
      <c r="N923" s="8"/>
      <c r="S923" s="89">
        <v>1</v>
      </c>
      <c r="T923" s="8">
        <v>5</v>
      </c>
      <c r="U923" s="89">
        <v>300</v>
      </c>
      <c r="V923" s="87">
        <v>1</v>
      </c>
      <c r="W923" s="8">
        <v>1</v>
      </c>
      <c r="X923" s="8">
        <v>1</v>
      </c>
      <c r="Y923">
        <v>0</v>
      </c>
      <c r="Z923" s="33">
        <v>0</v>
      </c>
      <c r="AA923">
        <v>5</v>
      </c>
      <c r="AB923" s="34">
        <v>6000</v>
      </c>
      <c r="AC923" s="87">
        <v>852</v>
      </c>
      <c r="AE923" s="90"/>
      <c r="AF923" s="90"/>
      <c r="AG923" s="91"/>
      <c r="AH923" s="91"/>
      <c r="AI923" s="91"/>
      <c r="AJ923" s="91"/>
      <c r="AK923" s="91"/>
      <c r="AL923" s="92">
        <v>1</v>
      </c>
      <c r="AM923" s="92"/>
      <c r="AN923" s="93"/>
      <c r="AO923" s="92"/>
      <c r="AQ923" s="56" t="s">
        <v>2433</v>
      </c>
      <c r="AS923">
        <v>1</v>
      </c>
    </row>
    <row r="924" spans="1:45">
      <c r="A924">
        <v>462006</v>
      </c>
      <c r="B924" s="8">
        <v>1001</v>
      </c>
      <c r="C924" s="8">
        <v>2</v>
      </c>
      <c r="D924" s="8">
        <v>1004</v>
      </c>
      <c r="E924" s="325" t="s">
        <v>2434</v>
      </c>
      <c r="F924" s="13" t="s">
        <v>2434</v>
      </c>
      <c r="G924" t="s">
        <v>2353</v>
      </c>
      <c r="H924" t="s">
        <v>2177</v>
      </c>
      <c r="I924">
        <v>1</v>
      </c>
      <c r="J924">
        <v>3</v>
      </c>
      <c r="K924" s="87">
        <v>1</v>
      </c>
      <c r="L924" s="8">
        <v>999</v>
      </c>
      <c r="M924" s="8">
        <v>0</v>
      </c>
      <c r="N924" s="8"/>
      <c r="S924" s="89">
        <v>1</v>
      </c>
      <c r="T924" s="8">
        <v>5</v>
      </c>
      <c r="U924" s="89">
        <v>300</v>
      </c>
      <c r="V924" s="87">
        <v>1</v>
      </c>
      <c r="W924" s="8">
        <v>1</v>
      </c>
      <c r="X924" s="8">
        <v>1</v>
      </c>
      <c r="Y924">
        <v>0</v>
      </c>
      <c r="Z924" s="33">
        <v>0</v>
      </c>
      <c r="AA924">
        <v>5</v>
      </c>
      <c r="AB924" s="34">
        <v>6000</v>
      </c>
      <c r="AC924" s="87">
        <v>852</v>
      </c>
      <c r="AE924" s="90"/>
      <c r="AF924" s="90"/>
      <c r="AG924" s="91"/>
      <c r="AH924" s="91"/>
      <c r="AI924" s="91"/>
      <c r="AJ924" s="91"/>
      <c r="AK924" s="91"/>
      <c r="AL924" s="92">
        <v>1</v>
      </c>
      <c r="AM924" s="92"/>
      <c r="AN924" s="93"/>
      <c r="AO924" s="92"/>
      <c r="AQ924" s="56" t="s">
        <v>2434</v>
      </c>
      <c r="AS924">
        <v>1</v>
      </c>
    </row>
    <row r="925" spans="1:45">
      <c r="A925">
        <v>462007</v>
      </c>
      <c r="B925" s="8">
        <v>1001</v>
      </c>
      <c r="C925" s="8">
        <v>2</v>
      </c>
      <c r="D925" s="8">
        <v>1004</v>
      </c>
      <c r="E925" s="325" t="s">
        <v>2435</v>
      </c>
      <c r="F925" s="13" t="s">
        <v>2435</v>
      </c>
      <c r="G925" t="s">
        <v>2353</v>
      </c>
      <c r="H925" t="s">
        <v>2177</v>
      </c>
      <c r="I925">
        <v>1</v>
      </c>
      <c r="J925">
        <v>3</v>
      </c>
      <c r="K925" s="87">
        <v>1</v>
      </c>
      <c r="L925" s="8">
        <v>999</v>
      </c>
      <c r="M925" s="8">
        <v>0</v>
      </c>
      <c r="N925" s="8"/>
      <c r="S925" s="89">
        <v>1</v>
      </c>
      <c r="T925" s="8">
        <v>5</v>
      </c>
      <c r="U925" s="89">
        <v>300</v>
      </c>
      <c r="V925" s="87">
        <v>1</v>
      </c>
      <c r="W925" s="8">
        <v>1</v>
      </c>
      <c r="X925" s="8">
        <v>1</v>
      </c>
      <c r="Y925">
        <v>0</v>
      </c>
      <c r="Z925" s="33">
        <v>0</v>
      </c>
      <c r="AA925">
        <v>5</v>
      </c>
      <c r="AB925" s="34">
        <v>6000</v>
      </c>
      <c r="AC925" s="87">
        <v>852</v>
      </c>
      <c r="AE925" s="90"/>
      <c r="AF925" s="90"/>
      <c r="AG925" s="91"/>
      <c r="AH925" s="91"/>
      <c r="AI925" s="91"/>
      <c r="AJ925" s="91"/>
      <c r="AK925" s="91"/>
      <c r="AL925" s="92">
        <v>1</v>
      </c>
      <c r="AM925" s="92"/>
      <c r="AN925" s="93"/>
      <c r="AO925" s="92"/>
      <c r="AQ925" s="56" t="s">
        <v>2435</v>
      </c>
      <c r="AS925">
        <v>1</v>
      </c>
    </row>
    <row r="926" spans="1:45">
      <c r="A926">
        <v>462008</v>
      </c>
      <c r="B926" s="8">
        <v>1001</v>
      </c>
      <c r="C926" s="8">
        <v>2</v>
      </c>
      <c r="D926" s="8">
        <v>1004</v>
      </c>
      <c r="E926" s="325" t="s">
        <v>2436</v>
      </c>
      <c r="F926" s="13" t="s">
        <v>2436</v>
      </c>
      <c r="G926" t="s">
        <v>2353</v>
      </c>
      <c r="H926" t="s">
        <v>2177</v>
      </c>
      <c r="I926">
        <v>1</v>
      </c>
      <c r="J926">
        <v>3</v>
      </c>
      <c r="K926" s="87">
        <v>1</v>
      </c>
      <c r="L926" s="8">
        <v>999</v>
      </c>
      <c r="M926" s="8">
        <v>0</v>
      </c>
      <c r="N926" s="8"/>
      <c r="S926" s="89">
        <v>1</v>
      </c>
      <c r="T926" s="8">
        <v>5</v>
      </c>
      <c r="U926" s="89">
        <v>300</v>
      </c>
      <c r="V926" s="87">
        <v>1</v>
      </c>
      <c r="W926" s="8">
        <v>1</v>
      </c>
      <c r="X926" s="8">
        <v>1</v>
      </c>
      <c r="Y926">
        <v>0</v>
      </c>
      <c r="Z926" s="33">
        <v>0</v>
      </c>
      <c r="AA926">
        <v>5</v>
      </c>
      <c r="AB926" s="34">
        <v>6000</v>
      </c>
      <c r="AC926" s="87">
        <v>852</v>
      </c>
      <c r="AE926" s="90"/>
      <c r="AF926" s="90"/>
      <c r="AG926" s="91"/>
      <c r="AH926" s="91"/>
      <c r="AI926" s="91"/>
      <c r="AJ926" s="91"/>
      <c r="AK926" s="91"/>
      <c r="AL926" s="92">
        <v>1</v>
      </c>
      <c r="AM926" s="92"/>
      <c r="AN926" s="93"/>
      <c r="AO926" s="92"/>
      <c r="AQ926" s="56" t="s">
        <v>2436</v>
      </c>
      <c r="AS926">
        <v>1</v>
      </c>
    </row>
    <row r="927" spans="1:45">
      <c r="A927">
        <v>462009</v>
      </c>
      <c r="B927" s="8">
        <v>1001</v>
      </c>
      <c r="C927" s="8">
        <v>2</v>
      </c>
      <c r="D927" s="8">
        <v>1004</v>
      </c>
      <c r="E927" s="325" t="s">
        <v>2437</v>
      </c>
      <c r="F927" s="13" t="s">
        <v>2437</v>
      </c>
      <c r="G927" t="s">
        <v>2353</v>
      </c>
      <c r="H927" t="s">
        <v>2177</v>
      </c>
      <c r="I927">
        <v>1</v>
      </c>
      <c r="J927">
        <v>3</v>
      </c>
      <c r="K927" s="87">
        <v>1</v>
      </c>
      <c r="L927" s="8">
        <v>999</v>
      </c>
      <c r="M927" s="8">
        <v>0</v>
      </c>
      <c r="N927" s="8"/>
      <c r="S927" s="89">
        <v>1</v>
      </c>
      <c r="T927" s="8">
        <v>5</v>
      </c>
      <c r="U927" s="89">
        <v>300</v>
      </c>
      <c r="V927" s="87">
        <v>1</v>
      </c>
      <c r="W927" s="8">
        <v>1</v>
      </c>
      <c r="X927" s="8">
        <v>1</v>
      </c>
      <c r="Y927">
        <v>0</v>
      </c>
      <c r="Z927" s="33">
        <v>0</v>
      </c>
      <c r="AA927">
        <v>5</v>
      </c>
      <c r="AB927" s="34">
        <v>6000</v>
      </c>
      <c r="AC927" s="87">
        <v>852</v>
      </c>
      <c r="AE927" s="90"/>
      <c r="AF927" s="90"/>
      <c r="AG927" s="91"/>
      <c r="AH927" s="91"/>
      <c r="AI927" s="91"/>
      <c r="AJ927" s="91"/>
      <c r="AK927" s="91"/>
      <c r="AL927" s="92">
        <v>1</v>
      </c>
      <c r="AM927" s="92"/>
      <c r="AN927" s="93"/>
      <c r="AO927" s="92"/>
      <c r="AQ927" s="56" t="s">
        <v>2437</v>
      </c>
      <c r="AS927">
        <v>1</v>
      </c>
    </row>
    <row r="928" spans="1:45">
      <c r="A928">
        <v>462010</v>
      </c>
      <c r="B928" s="8">
        <v>1001</v>
      </c>
      <c r="C928" s="8">
        <v>2</v>
      </c>
      <c r="D928" s="8">
        <v>1004</v>
      </c>
      <c r="E928" s="325" t="s">
        <v>2438</v>
      </c>
      <c r="F928" s="13" t="s">
        <v>2438</v>
      </c>
      <c r="G928" t="s">
        <v>2353</v>
      </c>
      <c r="H928" t="s">
        <v>2177</v>
      </c>
      <c r="I928">
        <v>1</v>
      </c>
      <c r="J928">
        <v>3</v>
      </c>
      <c r="K928" s="87">
        <v>1</v>
      </c>
      <c r="L928" s="8">
        <v>999</v>
      </c>
      <c r="M928" s="8">
        <v>0</v>
      </c>
      <c r="N928" s="8"/>
      <c r="S928" s="89">
        <v>1</v>
      </c>
      <c r="T928" s="8">
        <v>5</v>
      </c>
      <c r="U928" s="89">
        <v>300</v>
      </c>
      <c r="V928" s="87">
        <v>1</v>
      </c>
      <c r="W928" s="8">
        <v>1</v>
      </c>
      <c r="X928" s="8">
        <v>1</v>
      </c>
      <c r="Y928">
        <v>0</v>
      </c>
      <c r="Z928" s="33">
        <v>0</v>
      </c>
      <c r="AA928">
        <v>5</v>
      </c>
      <c r="AB928" s="34">
        <v>6000</v>
      </c>
      <c r="AC928" s="87">
        <v>852</v>
      </c>
      <c r="AE928" s="90"/>
      <c r="AF928" s="90"/>
      <c r="AG928" s="91"/>
      <c r="AH928" s="91"/>
      <c r="AI928" s="91"/>
      <c r="AJ928" s="91"/>
      <c r="AK928" s="91"/>
      <c r="AL928" s="92">
        <v>1</v>
      </c>
      <c r="AM928" s="92"/>
      <c r="AN928" s="93"/>
      <c r="AO928" s="92"/>
      <c r="AQ928" s="56" t="s">
        <v>2438</v>
      </c>
      <c r="AS928">
        <v>1</v>
      </c>
    </row>
    <row r="929" spans="1:45">
      <c r="A929">
        <v>462011</v>
      </c>
      <c r="B929" s="8">
        <v>1001</v>
      </c>
      <c r="C929" s="8">
        <v>2</v>
      </c>
      <c r="D929" s="8">
        <v>1004</v>
      </c>
      <c r="E929" s="325" t="s">
        <v>2439</v>
      </c>
      <c r="F929" s="13" t="s">
        <v>2439</v>
      </c>
      <c r="G929" t="s">
        <v>2353</v>
      </c>
      <c r="H929" t="s">
        <v>2177</v>
      </c>
      <c r="I929">
        <v>1</v>
      </c>
      <c r="J929">
        <v>3</v>
      </c>
      <c r="K929" s="87">
        <v>1</v>
      </c>
      <c r="L929" s="8">
        <v>999</v>
      </c>
      <c r="M929" s="8">
        <v>0</v>
      </c>
      <c r="N929" s="8"/>
      <c r="S929" s="89">
        <v>1</v>
      </c>
      <c r="T929" s="8">
        <v>5</v>
      </c>
      <c r="U929" s="89">
        <v>300</v>
      </c>
      <c r="V929" s="87">
        <v>1</v>
      </c>
      <c r="W929" s="8">
        <v>1</v>
      </c>
      <c r="X929" s="8">
        <v>1</v>
      </c>
      <c r="Y929">
        <v>0</v>
      </c>
      <c r="Z929" s="33">
        <v>0</v>
      </c>
      <c r="AA929">
        <v>5</v>
      </c>
      <c r="AB929" s="34">
        <v>6000</v>
      </c>
      <c r="AC929" s="87">
        <v>852</v>
      </c>
      <c r="AE929" s="90"/>
      <c r="AF929" s="90"/>
      <c r="AG929" s="91"/>
      <c r="AH929" s="91"/>
      <c r="AI929" s="91"/>
      <c r="AJ929" s="91"/>
      <c r="AK929" s="91"/>
      <c r="AL929" s="92">
        <v>1</v>
      </c>
      <c r="AM929" s="92"/>
      <c r="AN929" s="93"/>
      <c r="AO929" s="92"/>
      <c r="AQ929" s="56" t="s">
        <v>2439</v>
      </c>
      <c r="AS929">
        <v>1</v>
      </c>
    </row>
    <row r="930" spans="1:45">
      <c r="A930">
        <v>462012</v>
      </c>
      <c r="B930" s="8">
        <v>1001</v>
      </c>
      <c r="C930" s="8">
        <v>2</v>
      </c>
      <c r="D930" s="8">
        <v>1004</v>
      </c>
      <c r="E930" s="325" t="s">
        <v>2440</v>
      </c>
      <c r="F930" s="13" t="s">
        <v>2440</v>
      </c>
      <c r="G930" t="s">
        <v>2353</v>
      </c>
      <c r="H930" t="s">
        <v>2177</v>
      </c>
      <c r="I930">
        <v>1</v>
      </c>
      <c r="J930">
        <v>3</v>
      </c>
      <c r="K930" s="87">
        <v>1</v>
      </c>
      <c r="L930" s="8">
        <v>999</v>
      </c>
      <c r="M930" s="8">
        <v>0</v>
      </c>
      <c r="N930" s="8"/>
      <c r="S930" s="89">
        <v>1</v>
      </c>
      <c r="T930" s="8">
        <v>5</v>
      </c>
      <c r="U930" s="89">
        <v>300</v>
      </c>
      <c r="V930" s="87">
        <v>1</v>
      </c>
      <c r="W930" s="8">
        <v>1</v>
      </c>
      <c r="X930" s="8">
        <v>1</v>
      </c>
      <c r="Y930">
        <v>0</v>
      </c>
      <c r="Z930" s="33">
        <v>0</v>
      </c>
      <c r="AA930">
        <v>5</v>
      </c>
      <c r="AB930" s="34">
        <v>6000</v>
      </c>
      <c r="AC930" s="87">
        <v>852</v>
      </c>
      <c r="AE930" s="90"/>
      <c r="AF930" s="90"/>
      <c r="AG930" s="91"/>
      <c r="AH930" s="91"/>
      <c r="AI930" s="91"/>
      <c r="AJ930" s="91"/>
      <c r="AK930" s="91"/>
      <c r="AL930" s="92">
        <v>1</v>
      </c>
      <c r="AM930" s="92"/>
      <c r="AN930" s="93"/>
      <c r="AO930" s="92"/>
      <c r="AQ930" s="56" t="s">
        <v>2440</v>
      </c>
      <c r="AS930">
        <v>1</v>
      </c>
    </row>
    <row r="931" spans="1:45">
      <c r="A931">
        <v>462013</v>
      </c>
      <c r="B931" s="8">
        <v>1001</v>
      </c>
      <c r="C931" s="8">
        <v>2</v>
      </c>
      <c r="D931" s="8">
        <v>1004</v>
      </c>
      <c r="E931" s="325" t="s">
        <v>2441</v>
      </c>
      <c r="F931" s="13" t="s">
        <v>2441</v>
      </c>
      <c r="G931" t="s">
        <v>2353</v>
      </c>
      <c r="H931" t="s">
        <v>2177</v>
      </c>
      <c r="I931">
        <v>1</v>
      </c>
      <c r="J931">
        <v>3</v>
      </c>
      <c r="K931" s="87">
        <v>1</v>
      </c>
      <c r="L931" s="8">
        <v>999</v>
      </c>
      <c r="M931" s="8">
        <v>0</v>
      </c>
      <c r="N931" s="8"/>
      <c r="S931" s="89">
        <v>1</v>
      </c>
      <c r="T931" s="8">
        <v>5</v>
      </c>
      <c r="U931" s="89">
        <v>300</v>
      </c>
      <c r="V931" s="87">
        <v>1</v>
      </c>
      <c r="W931" s="8">
        <v>1</v>
      </c>
      <c r="X931" s="8">
        <v>1</v>
      </c>
      <c r="Y931">
        <v>0</v>
      </c>
      <c r="Z931" s="33">
        <v>0</v>
      </c>
      <c r="AA931">
        <v>5</v>
      </c>
      <c r="AB931" s="34">
        <v>6000</v>
      </c>
      <c r="AC931" s="87">
        <v>852</v>
      </c>
      <c r="AE931" s="90"/>
      <c r="AF931" s="90"/>
      <c r="AG931" s="91"/>
      <c r="AH931" s="91"/>
      <c r="AI931" s="91"/>
      <c r="AJ931" s="91"/>
      <c r="AK931" s="91"/>
      <c r="AL931" s="92">
        <v>1</v>
      </c>
      <c r="AM931" s="92"/>
      <c r="AN931" s="93"/>
      <c r="AO931" s="92"/>
      <c r="AQ931" s="56" t="s">
        <v>2441</v>
      </c>
      <c r="AS931">
        <v>1</v>
      </c>
    </row>
    <row r="932" spans="1:45">
      <c r="A932">
        <v>462014</v>
      </c>
      <c r="B932" s="8">
        <v>1001</v>
      </c>
      <c r="C932" s="8">
        <v>2</v>
      </c>
      <c r="D932" s="8">
        <v>1004</v>
      </c>
      <c r="E932" s="325" t="s">
        <v>2442</v>
      </c>
      <c r="F932" s="13" t="s">
        <v>2442</v>
      </c>
      <c r="G932" t="s">
        <v>2353</v>
      </c>
      <c r="H932" t="s">
        <v>2177</v>
      </c>
      <c r="I932">
        <v>1</v>
      </c>
      <c r="J932">
        <v>3</v>
      </c>
      <c r="K932" s="87">
        <v>1</v>
      </c>
      <c r="L932" s="8">
        <v>999</v>
      </c>
      <c r="M932" s="8">
        <v>0</v>
      </c>
      <c r="N932" s="8"/>
      <c r="S932" s="89">
        <v>1</v>
      </c>
      <c r="T932" s="8">
        <v>5</v>
      </c>
      <c r="U932" s="89">
        <v>300</v>
      </c>
      <c r="V932" s="87">
        <v>1</v>
      </c>
      <c r="W932" s="8">
        <v>1</v>
      </c>
      <c r="X932" s="8">
        <v>1</v>
      </c>
      <c r="Y932">
        <v>0</v>
      </c>
      <c r="Z932" s="33">
        <v>0</v>
      </c>
      <c r="AA932">
        <v>5</v>
      </c>
      <c r="AB932" s="34">
        <v>6000</v>
      </c>
      <c r="AC932" s="87">
        <v>852</v>
      </c>
      <c r="AE932" s="90"/>
      <c r="AF932" s="90"/>
      <c r="AG932" s="91"/>
      <c r="AH932" s="91"/>
      <c r="AI932" s="91"/>
      <c r="AJ932" s="91"/>
      <c r="AK932" s="91"/>
      <c r="AL932" s="92">
        <v>1</v>
      </c>
      <c r="AM932" s="92"/>
      <c r="AN932" s="93"/>
      <c r="AO932" s="92"/>
      <c r="AQ932" s="56" t="s">
        <v>2442</v>
      </c>
      <c r="AS932">
        <v>1</v>
      </c>
    </row>
    <row r="933" spans="1:45">
      <c r="A933">
        <v>462015</v>
      </c>
      <c r="B933" s="8">
        <v>1001</v>
      </c>
      <c r="C933" s="8">
        <v>2</v>
      </c>
      <c r="D933" s="8">
        <v>1004</v>
      </c>
      <c r="E933" s="325" t="s">
        <v>2443</v>
      </c>
      <c r="F933" s="13" t="s">
        <v>2443</v>
      </c>
      <c r="G933" t="s">
        <v>2353</v>
      </c>
      <c r="H933" t="s">
        <v>2177</v>
      </c>
      <c r="I933">
        <v>1</v>
      </c>
      <c r="J933">
        <v>3</v>
      </c>
      <c r="K933" s="87">
        <v>1</v>
      </c>
      <c r="L933" s="8">
        <v>999</v>
      </c>
      <c r="M933" s="8">
        <v>0</v>
      </c>
      <c r="N933" s="8"/>
      <c r="S933" s="89">
        <v>1</v>
      </c>
      <c r="T933" s="8">
        <v>5</v>
      </c>
      <c r="U933" s="89">
        <v>300</v>
      </c>
      <c r="V933" s="87">
        <v>1</v>
      </c>
      <c r="W933" s="8">
        <v>1</v>
      </c>
      <c r="X933" s="8">
        <v>1</v>
      </c>
      <c r="Y933">
        <v>0</v>
      </c>
      <c r="Z933" s="33">
        <v>0</v>
      </c>
      <c r="AA933">
        <v>5</v>
      </c>
      <c r="AB933" s="34">
        <v>6000</v>
      </c>
      <c r="AC933" s="87">
        <v>852</v>
      </c>
      <c r="AE933" s="90"/>
      <c r="AF933" s="90"/>
      <c r="AG933" s="91"/>
      <c r="AH933" s="91"/>
      <c r="AI933" s="91"/>
      <c r="AJ933" s="91"/>
      <c r="AK933" s="91"/>
      <c r="AL933" s="92">
        <v>1</v>
      </c>
      <c r="AM933" s="92"/>
      <c r="AN933" s="93"/>
      <c r="AO933" s="92"/>
      <c r="AQ933" s="56" t="s">
        <v>2443</v>
      </c>
      <c r="AS933">
        <v>1</v>
      </c>
    </row>
    <row r="934" spans="1:45">
      <c r="A934">
        <v>462016</v>
      </c>
      <c r="B934" s="8">
        <v>1001</v>
      </c>
      <c r="C934" s="8">
        <v>2</v>
      </c>
      <c r="D934" s="8">
        <v>1004</v>
      </c>
      <c r="E934" s="325" t="s">
        <v>2444</v>
      </c>
      <c r="F934" s="13" t="s">
        <v>2444</v>
      </c>
      <c r="G934" t="s">
        <v>2353</v>
      </c>
      <c r="H934" t="s">
        <v>2177</v>
      </c>
      <c r="I934">
        <v>1</v>
      </c>
      <c r="J934">
        <v>3</v>
      </c>
      <c r="K934" s="87">
        <v>1</v>
      </c>
      <c r="L934" s="8">
        <v>999</v>
      </c>
      <c r="M934" s="8">
        <v>0</v>
      </c>
      <c r="N934" s="8"/>
      <c r="S934" s="89">
        <v>1</v>
      </c>
      <c r="T934" s="8">
        <v>5</v>
      </c>
      <c r="U934" s="89">
        <v>300</v>
      </c>
      <c r="V934" s="87">
        <v>1</v>
      </c>
      <c r="W934" s="8">
        <v>1</v>
      </c>
      <c r="X934" s="8">
        <v>1</v>
      </c>
      <c r="Y934">
        <v>0</v>
      </c>
      <c r="Z934" s="33">
        <v>0</v>
      </c>
      <c r="AA934">
        <v>5</v>
      </c>
      <c r="AB934" s="34">
        <v>6000</v>
      </c>
      <c r="AC934" s="87">
        <v>852</v>
      </c>
      <c r="AE934" s="90"/>
      <c r="AF934" s="90"/>
      <c r="AG934" s="91"/>
      <c r="AH934" s="91"/>
      <c r="AI934" s="91"/>
      <c r="AJ934" s="91"/>
      <c r="AK934" s="91"/>
      <c r="AL934" s="92">
        <v>1</v>
      </c>
      <c r="AM934" s="92"/>
      <c r="AN934" s="93"/>
      <c r="AO934" s="92"/>
      <c r="AQ934" s="56" t="s">
        <v>2444</v>
      </c>
      <c r="AS934">
        <v>1</v>
      </c>
    </row>
    <row r="935" spans="1:45">
      <c r="A935">
        <v>462017</v>
      </c>
      <c r="B935" s="8">
        <v>1001</v>
      </c>
      <c r="C935" s="8">
        <v>2</v>
      </c>
      <c r="D935" s="8">
        <v>1004</v>
      </c>
      <c r="E935" s="325" t="s">
        <v>2445</v>
      </c>
      <c r="F935" s="13" t="s">
        <v>2445</v>
      </c>
      <c r="G935" t="s">
        <v>2353</v>
      </c>
      <c r="H935" t="s">
        <v>2177</v>
      </c>
      <c r="I935">
        <v>1</v>
      </c>
      <c r="J935">
        <v>3</v>
      </c>
      <c r="K935" s="87">
        <v>1</v>
      </c>
      <c r="L935" s="8">
        <v>999</v>
      </c>
      <c r="M935" s="8">
        <v>0</v>
      </c>
      <c r="N935" s="8"/>
      <c r="S935" s="89">
        <v>1</v>
      </c>
      <c r="T935" s="8">
        <v>5</v>
      </c>
      <c r="U935" s="89">
        <v>300</v>
      </c>
      <c r="V935" s="87">
        <v>1</v>
      </c>
      <c r="W935" s="8">
        <v>1</v>
      </c>
      <c r="X935" s="8">
        <v>1</v>
      </c>
      <c r="Y935">
        <v>0</v>
      </c>
      <c r="Z935" s="33">
        <v>0</v>
      </c>
      <c r="AA935">
        <v>5</v>
      </c>
      <c r="AB935" s="34">
        <v>6000</v>
      </c>
      <c r="AC935" s="87">
        <v>852</v>
      </c>
      <c r="AE935" s="90"/>
      <c r="AF935" s="90"/>
      <c r="AG935" s="91"/>
      <c r="AH935" s="91"/>
      <c r="AI935" s="91"/>
      <c r="AJ935" s="91"/>
      <c r="AK935" s="91"/>
      <c r="AL935" s="92">
        <v>1</v>
      </c>
      <c r="AM935" s="92"/>
      <c r="AN935" s="93"/>
      <c r="AO935" s="92"/>
      <c r="AQ935" s="56" t="s">
        <v>2445</v>
      </c>
      <c r="AS935">
        <v>1</v>
      </c>
    </row>
    <row r="936" spans="1:45">
      <c r="A936">
        <v>462018</v>
      </c>
      <c r="B936" s="8">
        <v>1001</v>
      </c>
      <c r="C936" s="8">
        <v>2</v>
      </c>
      <c r="D936" s="8">
        <v>1004</v>
      </c>
      <c r="E936" s="325" t="s">
        <v>2446</v>
      </c>
      <c r="F936" s="13" t="s">
        <v>2446</v>
      </c>
      <c r="G936" t="s">
        <v>2353</v>
      </c>
      <c r="H936" t="s">
        <v>2177</v>
      </c>
      <c r="I936">
        <v>1</v>
      </c>
      <c r="J936">
        <v>3</v>
      </c>
      <c r="K936" s="87">
        <v>1</v>
      </c>
      <c r="L936" s="8">
        <v>999</v>
      </c>
      <c r="M936" s="8">
        <v>0</v>
      </c>
      <c r="N936" s="8"/>
      <c r="S936" s="89">
        <v>1</v>
      </c>
      <c r="T936" s="8">
        <v>5</v>
      </c>
      <c r="U936" s="89">
        <v>300</v>
      </c>
      <c r="V936" s="87">
        <v>1</v>
      </c>
      <c r="W936" s="8">
        <v>1</v>
      </c>
      <c r="X936" s="8">
        <v>1</v>
      </c>
      <c r="Y936">
        <v>0</v>
      </c>
      <c r="Z936" s="33">
        <v>0</v>
      </c>
      <c r="AA936">
        <v>5</v>
      </c>
      <c r="AB936" s="34">
        <v>6000</v>
      </c>
      <c r="AC936" s="87">
        <v>852</v>
      </c>
      <c r="AE936" s="90"/>
      <c r="AF936" s="90"/>
      <c r="AG936" s="91"/>
      <c r="AH936" s="91"/>
      <c r="AI936" s="91"/>
      <c r="AJ936" s="91"/>
      <c r="AK936" s="91"/>
      <c r="AL936" s="92">
        <v>1</v>
      </c>
      <c r="AM936" s="92"/>
      <c r="AN936" s="93"/>
      <c r="AO936" s="92"/>
      <c r="AQ936" s="56" t="s">
        <v>2446</v>
      </c>
      <c r="AS936">
        <v>1</v>
      </c>
    </row>
    <row r="937" spans="1:45">
      <c r="A937">
        <v>462019</v>
      </c>
      <c r="B937" s="8">
        <v>1001</v>
      </c>
      <c r="C937" s="8">
        <v>2</v>
      </c>
      <c r="D937" s="8">
        <v>1004</v>
      </c>
      <c r="E937" s="325" t="s">
        <v>2447</v>
      </c>
      <c r="F937" s="13" t="s">
        <v>2447</v>
      </c>
      <c r="G937" t="s">
        <v>2353</v>
      </c>
      <c r="H937" t="s">
        <v>2177</v>
      </c>
      <c r="I937">
        <v>1</v>
      </c>
      <c r="J937">
        <v>3</v>
      </c>
      <c r="K937" s="87">
        <v>1</v>
      </c>
      <c r="L937" s="8">
        <v>999</v>
      </c>
      <c r="M937" s="8">
        <v>0</v>
      </c>
      <c r="N937" s="8"/>
      <c r="S937" s="89">
        <v>1</v>
      </c>
      <c r="T937" s="8">
        <v>5</v>
      </c>
      <c r="U937" s="89">
        <v>300</v>
      </c>
      <c r="V937" s="87">
        <v>1</v>
      </c>
      <c r="W937" s="8">
        <v>1</v>
      </c>
      <c r="X937" s="8">
        <v>1</v>
      </c>
      <c r="Y937">
        <v>0</v>
      </c>
      <c r="Z937" s="33">
        <v>0</v>
      </c>
      <c r="AA937">
        <v>5</v>
      </c>
      <c r="AB937" s="34">
        <v>6000</v>
      </c>
      <c r="AC937" s="87">
        <v>852</v>
      </c>
      <c r="AE937" s="90"/>
      <c r="AF937" s="90"/>
      <c r="AG937" s="91"/>
      <c r="AH937" s="91"/>
      <c r="AI937" s="91"/>
      <c r="AJ937" s="91"/>
      <c r="AK937" s="91"/>
      <c r="AL937" s="92">
        <v>1</v>
      </c>
      <c r="AM937" s="92"/>
      <c r="AN937" s="93"/>
      <c r="AO937" s="92"/>
      <c r="AQ937" s="56" t="s">
        <v>2447</v>
      </c>
      <c r="AS937">
        <v>1</v>
      </c>
    </row>
    <row r="938" spans="1:45">
      <c r="A938">
        <v>462020</v>
      </c>
      <c r="B938" s="8">
        <v>1001</v>
      </c>
      <c r="C938" s="8">
        <v>2</v>
      </c>
      <c r="D938" s="8">
        <v>1004</v>
      </c>
      <c r="E938" s="325" t="s">
        <v>2448</v>
      </c>
      <c r="F938" s="13" t="s">
        <v>2448</v>
      </c>
      <c r="G938" t="s">
        <v>2353</v>
      </c>
      <c r="H938" t="s">
        <v>2177</v>
      </c>
      <c r="I938">
        <v>1</v>
      </c>
      <c r="J938">
        <v>3</v>
      </c>
      <c r="K938" s="87">
        <v>1</v>
      </c>
      <c r="L938" s="8">
        <v>999</v>
      </c>
      <c r="M938" s="8">
        <v>0</v>
      </c>
      <c r="N938" s="8"/>
      <c r="S938" s="89">
        <v>1</v>
      </c>
      <c r="T938" s="8">
        <v>5</v>
      </c>
      <c r="U938" s="89">
        <v>300</v>
      </c>
      <c r="V938" s="87">
        <v>1</v>
      </c>
      <c r="W938" s="8">
        <v>1</v>
      </c>
      <c r="X938" s="8">
        <v>1</v>
      </c>
      <c r="Y938">
        <v>0</v>
      </c>
      <c r="Z938" s="33">
        <v>0</v>
      </c>
      <c r="AA938">
        <v>5</v>
      </c>
      <c r="AB938" s="34">
        <v>6000</v>
      </c>
      <c r="AC938" s="87">
        <v>852</v>
      </c>
      <c r="AE938" s="90"/>
      <c r="AF938" s="90"/>
      <c r="AG938" s="91"/>
      <c r="AH938" s="91"/>
      <c r="AI938" s="91"/>
      <c r="AJ938" s="91"/>
      <c r="AK938" s="91"/>
      <c r="AL938" s="92">
        <v>1</v>
      </c>
      <c r="AM938" s="92"/>
      <c r="AN938" s="93"/>
      <c r="AO938" s="92"/>
      <c r="AQ938" s="56" t="s">
        <v>2448</v>
      </c>
      <c r="AS938">
        <v>1</v>
      </c>
    </row>
    <row r="939" spans="1:45">
      <c r="A939">
        <v>462021</v>
      </c>
      <c r="B939" s="8">
        <v>1001</v>
      </c>
      <c r="C939" s="8">
        <v>2</v>
      </c>
      <c r="D939" s="8">
        <v>1004</v>
      </c>
      <c r="E939" s="325" t="s">
        <v>2449</v>
      </c>
      <c r="F939" s="13" t="s">
        <v>2449</v>
      </c>
      <c r="G939" t="s">
        <v>2353</v>
      </c>
      <c r="H939" t="s">
        <v>2177</v>
      </c>
      <c r="I939">
        <v>1</v>
      </c>
      <c r="J939">
        <v>3</v>
      </c>
      <c r="K939" s="87">
        <v>1</v>
      </c>
      <c r="L939" s="8">
        <v>999</v>
      </c>
      <c r="M939" s="8">
        <v>0</v>
      </c>
      <c r="N939" s="8"/>
      <c r="S939" s="89">
        <v>1</v>
      </c>
      <c r="T939" s="8">
        <v>5</v>
      </c>
      <c r="U939" s="89">
        <v>300</v>
      </c>
      <c r="V939" s="87">
        <v>1</v>
      </c>
      <c r="W939" s="8">
        <v>1</v>
      </c>
      <c r="X939" s="8">
        <v>1</v>
      </c>
      <c r="Y939">
        <v>0</v>
      </c>
      <c r="Z939" s="33">
        <v>0</v>
      </c>
      <c r="AA939">
        <v>5</v>
      </c>
      <c r="AB939" s="34">
        <v>6000</v>
      </c>
      <c r="AC939" s="87">
        <v>852</v>
      </c>
      <c r="AE939" s="90"/>
      <c r="AF939" s="90"/>
      <c r="AG939" s="91"/>
      <c r="AH939" s="91"/>
      <c r="AI939" s="91"/>
      <c r="AJ939" s="91"/>
      <c r="AK939" s="91"/>
      <c r="AL939" s="92">
        <v>1</v>
      </c>
      <c r="AM939" s="92"/>
      <c r="AN939" s="93"/>
      <c r="AO939" s="92"/>
      <c r="AQ939" s="56" t="s">
        <v>2449</v>
      </c>
      <c r="AS939">
        <v>1</v>
      </c>
    </row>
    <row r="940" spans="1:45">
      <c r="A940">
        <v>462022</v>
      </c>
      <c r="B940" s="8">
        <v>1001</v>
      </c>
      <c r="C940" s="8">
        <v>2</v>
      </c>
      <c r="D940" s="8">
        <v>1004</v>
      </c>
      <c r="E940" s="325" t="s">
        <v>2450</v>
      </c>
      <c r="F940" s="13" t="s">
        <v>2450</v>
      </c>
      <c r="G940" t="s">
        <v>2353</v>
      </c>
      <c r="H940" t="s">
        <v>2177</v>
      </c>
      <c r="I940">
        <v>1</v>
      </c>
      <c r="J940">
        <v>3</v>
      </c>
      <c r="K940" s="87">
        <v>1</v>
      </c>
      <c r="L940" s="8">
        <v>999</v>
      </c>
      <c r="M940" s="8">
        <v>0</v>
      </c>
      <c r="N940" s="8"/>
      <c r="S940" s="89">
        <v>1</v>
      </c>
      <c r="T940" s="8">
        <v>5</v>
      </c>
      <c r="U940" s="89">
        <v>300</v>
      </c>
      <c r="V940" s="87">
        <v>1</v>
      </c>
      <c r="W940" s="8">
        <v>1</v>
      </c>
      <c r="X940" s="8">
        <v>1</v>
      </c>
      <c r="Y940">
        <v>0</v>
      </c>
      <c r="Z940" s="33">
        <v>0</v>
      </c>
      <c r="AA940">
        <v>5</v>
      </c>
      <c r="AB940" s="34">
        <v>6000</v>
      </c>
      <c r="AC940" s="87">
        <v>852</v>
      </c>
      <c r="AE940" s="90"/>
      <c r="AF940" s="90"/>
      <c r="AG940" s="91"/>
      <c r="AH940" s="91"/>
      <c r="AI940" s="91"/>
      <c r="AJ940" s="91"/>
      <c r="AK940" s="91"/>
      <c r="AL940" s="92">
        <v>1</v>
      </c>
      <c r="AM940" s="92"/>
      <c r="AN940" s="93"/>
      <c r="AO940" s="92"/>
      <c r="AQ940" s="56" t="s">
        <v>2450</v>
      </c>
      <c r="AS940">
        <v>1</v>
      </c>
    </row>
    <row r="941" spans="1:45">
      <c r="A941">
        <v>462023</v>
      </c>
      <c r="B941" s="8">
        <v>1001</v>
      </c>
      <c r="C941" s="8">
        <v>2</v>
      </c>
      <c r="D941" s="8">
        <v>1004</v>
      </c>
      <c r="E941" s="325" t="s">
        <v>2451</v>
      </c>
      <c r="F941" s="13" t="s">
        <v>2451</v>
      </c>
      <c r="G941" t="s">
        <v>2353</v>
      </c>
      <c r="H941" t="s">
        <v>2177</v>
      </c>
      <c r="I941">
        <v>1</v>
      </c>
      <c r="J941">
        <v>3</v>
      </c>
      <c r="K941" s="87">
        <v>1</v>
      </c>
      <c r="L941" s="8">
        <v>999</v>
      </c>
      <c r="M941" s="8">
        <v>0</v>
      </c>
      <c r="N941" s="8"/>
      <c r="S941" s="89">
        <v>1</v>
      </c>
      <c r="T941" s="8">
        <v>5</v>
      </c>
      <c r="U941" s="89">
        <v>300</v>
      </c>
      <c r="V941" s="87">
        <v>1</v>
      </c>
      <c r="W941" s="8">
        <v>1</v>
      </c>
      <c r="X941" s="8">
        <v>1</v>
      </c>
      <c r="Y941">
        <v>0</v>
      </c>
      <c r="Z941" s="33">
        <v>0</v>
      </c>
      <c r="AA941">
        <v>5</v>
      </c>
      <c r="AB941" s="34">
        <v>6000</v>
      </c>
      <c r="AC941" s="87">
        <v>852</v>
      </c>
      <c r="AE941" s="90"/>
      <c r="AF941" s="90"/>
      <c r="AG941" s="91"/>
      <c r="AH941" s="91"/>
      <c r="AI941" s="91"/>
      <c r="AJ941" s="91"/>
      <c r="AK941" s="91"/>
      <c r="AL941" s="92">
        <v>1</v>
      </c>
      <c r="AM941" s="92"/>
      <c r="AN941" s="93"/>
      <c r="AO941" s="92"/>
      <c r="AQ941" s="56" t="s">
        <v>2451</v>
      </c>
      <c r="AS941">
        <v>1</v>
      </c>
    </row>
    <row r="942" spans="1:45">
      <c r="A942">
        <v>462024</v>
      </c>
      <c r="B942" s="8">
        <v>1001</v>
      </c>
      <c r="C942" s="8">
        <v>2</v>
      </c>
      <c r="D942" s="8">
        <v>1004</v>
      </c>
      <c r="E942" s="325" t="s">
        <v>2452</v>
      </c>
      <c r="F942" s="13" t="s">
        <v>2453</v>
      </c>
      <c r="G942" t="s">
        <v>2353</v>
      </c>
      <c r="H942" t="s">
        <v>2177</v>
      </c>
      <c r="I942">
        <v>1</v>
      </c>
      <c r="J942">
        <v>3</v>
      </c>
      <c r="K942" s="87">
        <v>1</v>
      </c>
      <c r="L942" s="8">
        <v>999</v>
      </c>
      <c r="M942" s="8">
        <v>0</v>
      </c>
      <c r="N942" s="8"/>
      <c r="S942" s="89">
        <v>1</v>
      </c>
      <c r="T942" s="8">
        <v>5</v>
      </c>
      <c r="U942" s="89">
        <v>300</v>
      </c>
      <c r="V942" s="87">
        <v>1</v>
      </c>
      <c r="W942" s="8">
        <v>1</v>
      </c>
      <c r="X942" s="8">
        <v>1</v>
      </c>
      <c r="Y942">
        <v>0</v>
      </c>
      <c r="Z942" s="33">
        <v>0</v>
      </c>
      <c r="AA942">
        <v>5</v>
      </c>
      <c r="AB942" s="34">
        <v>6000</v>
      </c>
      <c r="AC942" s="87">
        <v>852</v>
      </c>
      <c r="AE942" s="90"/>
      <c r="AF942" s="90"/>
      <c r="AG942" s="91"/>
      <c r="AH942" s="91"/>
      <c r="AI942" s="91"/>
      <c r="AJ942" s="91"/>
      <c r="AK942" s="91"/>
      <c r="AL942" s="92">
        <v>1</v>
      </c>
      <c r="AM942" s="92"/>
      <c r="AN942" s="93"/>
      <c r="AO942" s="92"/>
      <c r="AQ942" s="56" t="s">
        <v>2452</v>
      </c>
      <c r="AS942">
        <v>1</v>
      </c>
    </row>
    <row r="943" spans="1:45">
      <c r="A943">
        <v>462025</v>
      </c>
      <c r="B943" s="8">
        <v>1001</v>
      </c>
      <c r="C943" s="8">
        <v>2</v>
      </c>
      <c r="D943" s="8">
        <v>1004</v>
      </c>
      <c r="E943" s="325" t="s">
        <v>2454</v>
      </c>
      <c r="F943" s="13" t="s">
        <v>2454</v>
      </c>
      <c r="G943" t="s">
        <v>2353</v>
      </c>
      <c r="H943" t="s">
        <v>2177</v>
      </c>
      <c r="I943">
        <v>1</v>
      </c>
      <c r="J943">
        <v>3</v>
      </c>
      <c r="K943" s="87">
        <v>1</v>
      </c>
      <c r="L943" s="8">
        <v>999</v>
      </c>
      <c r="M943" s="8">
        <v>0</v>
      </c>
      <c r="N943" s="8"/>
      <c r="S943" s="89">
        <v>1</v>
      </c>
      <c r="T943" s="8">
        <v>5</v>
      </c>
      <c r="U943" s="89">
        <v>300</v>
      </c>
      <c r="V943" s="87">
        <v>1</v>
      </c>
      <c r="W943" s="8">
        <v>1</v>
      </c>
      <c r="X943" s="8">
        <v>1</v>
      </c>
      <c r="Y943">
        <v>0</v>
      </c>
      <c r="Z943" s="33">
        <v>0</v>
      </c>
      <c r="AA943">
        <v>5</v>
      </c>
      <c r="AB943" s="34">
        <v>6000</v>
      </c>
      <c r="AC943" s="87">
        <v>852</v>
      </c>
      <c r="AE943" s="90"/>
      <c r="AF943" s="90"/>
      <c r="AG943" s="91"/>
      <c r="AH943" s="91"/>
      <c r="AI943" s="91"/>
      <c r="AJ943" s="91"/>
      <c r="AK943" s="91"/>
      <c r="AL943" s="92">
        <v>1</v>
      </c>
      <c r="AM943" s="92"/>
      <c r="AN943" s="93"/>
      <c r="AO943" s="92"/>
      <c r="AQ943" s="56" t="s">
        <v>2454</v>
      </c>
      <c r="AS943">
        <v>1</v>
      </c>
    </row>
    <row r="944" spans="1:45">
      <c r="A944">
        <v>463001</v>
      </c>
      <c r="B944" s="8">
        <v>1001</v>
      </c>
      <c r="C944" s="8">
        <v>2</v>
      </c>
      <c r="D944" s="8">
        <v>1004</v>
      </c>
      <c r="E944" s="326" t="s">
        <v>2455</v>
      </c>
      <c r="F944" s="13" t="s">
        <v>2455</v>
      </c>
      <c r="G944" t="s">
        <v>2353</v>
      </c>
      <c r="H944" t="s">
        <v>2177</v>
      </c>
      <c r="I944">
        <v>1</v>
      </c>
      <c r="J944">
        <v>4</v>
      </c>
      <c r="K944" s="87">
        <v>1</v>
      </c>
      <c r="L944" s="8">
        <v>999</v>
      </c>
      <c r="M944" s="8">
        <v>0</v>
      </c>
      <c r="N944" s="8"/>
      <c r="S944" s="89">
        <v>1</v>
      </c>
      <c r="T944" s="8">
        <v>5</v>
      </c>
      <c r="U944" s="89">
        <v>400</v>
      </c>
      <c r="V944" s="87">
        <v>1</v>
      </c>
      <c r="W944" s="8">
        <v>1</v>
      </c>
      <c r="X944" s="8">
        <v>1</v>
      </c>
      <c r="Y944">
        <v>0</v>
      </c>
      <c r="Z944" s="33">
        <v>0</v>
      </c>
      <c r="AA944">
        <v>5</v>
      </c>
      <c r="AB944" s="34">
        <v>7000</v>
      </c>
      <c r="AC944" s="87">
        <v>853</v>
      </c>
      <c r="AE944" s="90"/>
      <c r="AF944" s="90"/>
      <c r="AG944" s="91"/>
      <c r="AH944" s="91"/>
      <c r="AI944" s="91"/>
      <c r="AJ944" s="91"/>
      <c r="AK944" s="91"/>
      <c r="AL944" s="92">
        <v>1</v>
      </c>
      <c r="AM944" s="92"/>
      <c r="AN944" s="93"/>
      <c r="AO944" s="92"/>
      <c r="AQ944" s="56" t="s">
        <v>2456</v>
      </c>
      <c r="AS944">
        <v>1</v>
      </c>
    </row>
    <row r="945" spans="1:45">
      <c r="A945">
        <v>463002</v>
      </c>
      <c r="B945" s="8">
        <v>1001</v>
      </c>
      <c r="C945" s="8">
        <v>2</v>
      </c>
      <c r="D945" s="8">
        <v>1004</v>
      </c>
      <c r="E945" s="326" t="s">
        <v>2457</v>
      </c>
      <c r="F945" s="13" t="s">
        <v>2457</v>
      </c>
      <c r="G945" t="s">
        <v>2353</v>
      </c>
      <c r="H945" t="s">
        <v>2177</v>
      </c>
      <c r="I945">
        <v>1</v>
      </c>
      <c r="J945">
        <v>4</v>
      </c>
      <c r="K945" s="87">
        <v>1</v>
      </c>
      <c r="L945" s="8">
        <v>999</v>
      </c>
      <c r="M945" s="8">
        <v>0</v>
      </c>
      <c r="N945" s="8"/>
      <c r="S945" s="89">
        <v>1</v>
      </c>
      <c r="T945" s="8">
        <v>5</v>
      </c>
      <c r="U945" s="89">
        <v>400</v>
      </c>
      <c r="V945" s="87">
        <v>1</v>
      </c>
      <c r="W945" s="8">
        <v>1</v>
      </c>
      <c r="X945" s="8">
        <v>1</v>
      </c>
      <c r="Y945">
        <v>0</v>
      </c>
      <c r="Z945" s="33">
        <v>0</v>
      </c>
      <c r="AA945">
        <v>5</v>
      </c>
      <c r="AB945" s="34">
        <v>7000</v>
      </c>
      <c r="AC945" s="87">
        <v>853</v>
      </c>
      <c r="AE945" s="90"/>
      <c r="AF945" s="90"/>
      <c r="AG945" s="91"/>
      <c r="AH945" s="91"/>
      <c r="AI945" s="91"/>
      <c r="AJ945" s="91"/>
      <c r="AK945" s="91"/>
      <c r="AL945" s="92">
        <v>1</v>
      </c>
      <c r="AM945" s="92"/>
      <c r="AN945" s="93"/>
      <c r="AO945" s="92"/>
      <c r="AQ945" s="56" t="s">
        <v>2458</v>
      </c>
      <c r="AS945">
        <v>1</v>
      </c>
    </row>
    <row r="946" spans="1:45">
      <c r="A946">
        <v>463003</v>
      </c>
      <c r="B946" s="8">
        <v>1001</v>
      </c>
      <c r="C946" s="8">
        <v>2</v>
      </c>
      <c r="D946" s="8">
        <v>1004</v>
      </c>
      <c r="E946" s="326" t="s">
        <v>2459</v>
      </c>
      <c r="F946" s="13" t="s">
        <v>2459</v>
      </c>
      <c r="G946" t="s">
        <v>2353</v>
      </c>
      <c r="H946" t="s">
        <v>2177</v>
      </c>
      <c r="I946">
        <v>1</v>
      </c>
      <c r="J946">
        <v>4</v>
      </c>
      <c r="K946" s="87">
        <v>1</v>
      </c>
      <c r="L946" s="8">
        <v>999</v>
      </c>
      <c r="M946" s="8">
        <v>0</v>
      </c>
      <c r="N946" s="8"/>
      <c r="S946" s="89">
        <v>1</v>
      </c>
      <c r="T946" s="8">
        <v>5</v>
      </c>
      <c r="U946" s="89">
        <v>400</v>
      </c>
      <c r="V946" s="87">
        <v>1</v>
      </c>
      <c r="W946" s="8">
        <v>1</v>
      </c>
      <c r="X946" s="8">
        <v>1</v>
      </c>
      <c r="Y946">
        <v>0</v>
      </c>
      <c r="Z946" s="33">
        <v>0</v>
      </c>
      <c r="AA946">
        <v>5</v>
      </c>
      <c r="AB946" s="34">
        <v>7000</v>
      </c>
      <c r="AC946" s="87">
        <v>853</v>
      </c>
      <c r="AE946" s="90"/>
      <c r="AF946" s="90"/>
      <c r="AG946" s="91"/>
      <c r="AH946" s="91"/>
      <c r="AI946" s="91"/>
      <c r="AJ946" s="91"/>
      <c r="AK946" s="91"/>
      <c r="AL946" s="92">
        <v>1</v>
      </c>
      <c r="AM946" s="92"/>
      <c r="AN946" s="93"/>
      <c r="AO946" s="92"/>
      <c r="AQ946" s="56" t="s">
        <v>2460</v>
      </c>
      <c r="AS946">
        <v>1</v>
      </c>
    </row>
    <row r="947" spans="1:45">
      <c r="A947">
        <v>463004</v>
      </c>
      <c r="B947" s="8">
        <v>1001</v>
      </c>
      <c r="C947" s="8">
        <v>2</v>
      </c>
      <c r="D947" s="8">
        <v>1004</v>
      </c>
      <c r="E947" s="326" t="s">
        <v>2461</v>
      </c>
      <c r="F947" s="13" t="s">
        <v>2461</v>
      </c>
      <c r="G947" t="s">
        <v>2353</v>
      </c>
      <c r="H947" t="s">
        <v>2177</v>
      </c>
      <c r="I947">
        <v>1</v>
      </c>
      <c r="J947">
        <v>4</v>
      </c>
      <c r="K947" s="87">
        <v>1</v>
      </c>
      <c r="L947" s="8">
        <v>999</v>
      </c>
      <c r="M947" s="8">
        <v>0</v>
      </c>
      <c r="N947" s="8"/>
      <c r="S947" s="89">
        <v>1</v>
      </c>
      <c r="T947" s="8">
        <v>5</v>
      </c>
      <c r="U947" s="89">
        <v>400</v>
      </c>
      <c r="V947" s="87">
        <v>1</v>
      </c>
      <c r="W947" s="8">
        <v>1</v>
      </c>
      <c r="X947" s="8">
        <v>1</v>
      </c>
      <c r="Y947">
        <v>0</v>
      </c>
      <c r="Z947" s="33">
        <v>0</v>
      </c>
      <c r="AA947">
        <v>5</v>
      </c>
      <c r="AB947" s="34">
        <v>7000</v>
      </c>
      <c r="AC947" s="87">
        <v>853</v>
      </c>
      <c r="AE947" s="90"/>
      <c r="AF947" s="90"/>
      <c r="AG947" s="91"/>
      <c r="AH947" s="91"/>
      <c r="AI947" s="91"/>
      <c r="AJ947" s="91"/>
      <c r="AK947" s="91"/>
      <c r="AL947" s="92">
        <v>1</v>
      </c>
      <c r="AM947" s="92"/>
      <c r="AN947" s="93"/>
      <c r="AO947" s="92"/>
      <c r="AQ947" s="56" t="s">
        <v>2462</v>
      </c>
      <c r="AS947">
        <v>1</v>
      </c>
    </row>
    <row r="948" spans="1:45">
      <c r="A948">
        <v>463005</v>
      </c>
      <c r="B948" s="8">
        <v>1001</v>
      </c>
      <c r="C948" s="8">
        <v>2</v>
      </c>
      <c r="D948" s="8">
        <v>1004</v>
      </c>
      <c r="E948" s="326" t="s">
        <v>2463</v>
      </c>
      <c r="F948" s="13" t="s">
        <v>2463</v>
      </c>
      <c r="G948" t="s">
        <v>2353</v>
      </c>
      <c r="H948" t="s">
        <v>2177</v>
      </c>
      <c r="I948">
        <v>1</v>
      </c>
      <c r="J948">
        <v>4</v>
      </c>
      <c r="K948" s="87">
        <v>1</v>
      </c>
      <c r="L948" s="8">
        <v>999</v>
      </c>
      <c r="M948" s="8">
        <v>0</v>
      </c>
      <c r="N948" s="8"/>
      <c r="S948" s="89">
        <v>1</v>
      </c>
      <c r="T948" s="8">
        <v>5</v>
      </c>
      <c r="U948" s="89">
        <v>400</v>
      </c>
      <c r="V948" s="87">
        <v>1</v>
      </c>
      <c r="W948" s="8">
        <v>1</v>
      </c>
      <c r="X948" s="8">
        <v>1</v>
      </c>
      <c r="Y948">
        <v>0</v>
      </c>
      <c r="Z948" s="33">
        <v>0</v>
      </c>
      <c r="AA948">
        <v>5</v>
      </c>
      <c r="AB948" s="34">
        <v>7000</v>
      </c>
      <c r="AC948" s="87">
        <v>853</v>
      </c>
      <c r="AE948" s="90"/>
      <c r="AF948" s="90"/>
      <c r="AG948" s="91"/>
      <c r="AH948" s="91"/>
      <c r="AI948" s="91"/>
      <c r="AJ948" s="91"/>
      <c r="AK948" s="91"/>
      <c r="AL948" s="92">
        <v>1</v>
      </c>
      <c r="AM948" s="92"/>
      <c r="AN948" s="93"/>
      <c r="AO948" s="92"/>
      <c r="AQ948" s="56" t="s">
        <v>2464</v>
      </c>
      <c r="AS948">
        <v>1</v>
      </c>
    </row>
    <row r="949" spans="1:45">
      <c r="A949">
        <v>463006</v>
      </c>
      <c r="B949" s="8">
        <v>1001</v>
      </c>
      <c r="C949" s="8">
        <v>2</v>
      </c>
      <c r="D949" s="8">
        <v>1004</v>
      </c>
      <c r="E949" s="326" t="s">
        <v>2465</v>
      </c>
      <c r="F949" s="13" t="s">
        <v>2465</v>
      </c>
      <c r="G949" t="s">
        <v>2353</v>
      </c>
      <c r="H949" t="s">
        <v>2177</v>
      </c>
      <c r="I949">
        <v>1</v>
      </c>
      <c r="J949">
        <v>4</v>
      </c>
      <c r="K949" s="87">
        <v>1</v>
      </c>
      <c r="L949" s="8">
        <v>999</v>
      </c>
      <c r="M949" s="8">
        <v>0</v>
      </c>
      <c r="N949" s="8"/>
      <c r="S949" s="89">
        <v>1</v>
      </c>
      <c r="T949" s="8">
        <v>5</v>
      </c>
      <c r="U949" s="89">
        <v>400</v>
      </c>
      <c r="V949" s="87">
        <v>1</v>
      </c>
      <c r="W949" s="8">
        <v>1</v>
      </c>
      <c r="X949" s="8">
        <v>1</v>
      </c>
      <c r="Y949">
        <v>0</v>
      </c>
      <c r="Z949" s="33">
        <v>0</v>
      </c>
      <c r="AA949">
        <v>5</v>
      </c>
      <c r="AB949" s="34">
        <v>7000</v>
      </c>
      <c r="AC949" s="87">
        <v>853</v>
      </c>
      <c r="AE949" s="90"/>
      <c r="AF949" s="90"/>
      <c r="AG949" s="91"/>
      <c r="AH949" s="91"/>
      <c r="AI949" s="91"/>
      <c r="AJ949" s="91"/>
      <c r="AK949" s="91"/>
      <c r="AL949" s="92">
        <v>1</v>
      </c>
      <c r="AM949" s="92"/>
      <c r="AN949" s="93"/>
      <c r="AO949" s="92"/>
      <c r="AQ949" s="56" t="s">
        <v>2466</v>
      </c>
      <c r="AS949">
        <v>1</v>
      </c>
    </row>
    <row r="950" spans="1:45">
      <c r="A950">
        <v>463007</v>
      </c>
      <c r="B950" s="8">
        <v>1001</v>
      </c>
      <c r="C950" s="8">
        <v>2</v>
      </c>
      <c r="D950" s="8">
        <v>1004</v>
      </c>
      <c r="E950" s="326" t="s">
        <v>2467</v>
      </c>
      <c r="F950" s="13" t="s">
        <v>2467</v>
      </c>
      <c r="G950" t="s">
        <v>2353</v>
      </c>
      <c r="H950" t="s">
        <v>2177</v>
      </c>
      <c r="I950">
        <v>1</v>
      </c>
      <c r="J950">
        <v>4</v>
      </c>
      <c r="K950" s="87">
        <v>1</v>
      </c>
      <c r="L950" s="8">
        <v>999</v>
      </c>
      <c r="M950" s="8">
        <v>0</v>
      </c>
      <c r="N950" s="8"/>
      <c r="S950" s="89">
        <v>1</v>
      </c>
      <c r="T950" s="8">
        <v>5</v>
      </c>
      <c r="U950" s="89">
        <v>400</v>
      </c>
      <c r="V950" s="87">
        <v>1</v>
      </c>
      <c r="W950" s="8">
        <v>1</v>
      </c>
      <c r="X950" s="8">
        <v>1</v>
      </c>
      <c r="Y950">
        <v>0</v>
      </c>
      <c r="Z950" s="33">
        <v>0</v>
      </c>
      <c r="AA950">
        <v>5</v>
      </c>
      <c r="AB950" s="34">
        <v>7000</v>
      </c>
      <c r="AC950" s="87">
        <v>853</v>
      </c>
      <c r="AE950" s="90"/>
      <c r="AF950" s="90"/>
      <c r="AG950" s="91"/>
      <c r="AH950" s="91"/>
      <c r="AI950" s="91"/>
      <c r="AJ950" s="91"/>
      <c r="AK950" s="91"/>
      <c r="AL950" s="92">
        <v>1</v>
      </c>
      <c r="AM950" s="92"/>
      <c r="AN950" s="93"/>
      <c r="AO950" s="92"/>
      <c r="AQ950" s="56" t="s">
        <v>2468</v>
      </c>
      <c r="AS950">
        <v>1</v>
      </c>
    </row>
    <row r="951" spans="1:45">
      <c r="A951">
        <v>463008</v>
      </c>
      <c r="B951" s="8">
        <v>1001</v>
      </c>
      <c r="C951" s="8">
        <v>2</v>
      </c>
      <c r="D951" s="8">
        <v>1004</v>
      </c>
      <c r="E951" s="326" t="s">
        <v>2469</v>
      </c>
      <c r="F951" s="13" t="s">
        <v>2469</v>
      </c>
      <c r="G951" t="s">
        <v>2353</v>
      </c>
      <c r="H951" t="s">
        <v>2177</v>
      </c>
      <c r="I951">
        <v>1</v>
      </c>
      <c r="J951">
        <v>4</v>
      </c>
      <c r="K951" s="87">
        <v>1</v>
      </c>
      <c r="L951" s="8">
        <v>999</v>
      </c>
      <c r="M951" s="8">
        <v>0</v>
      </c>
      <c r="N951" s="8"/>
      <c r="S951" s="89">
        <v>1</v>
      </c>
      <c r="T951" s="8">
        <v>5</v>
      </c>
      <c r="U951" s="89">
        <v>400</v>
      </c>
      <c r="V951" s="87">
        <v>1</v>
      </c>
      <c r="W951" s="8">
        <v>1</v>
      </c>
      <c r="X951" s="8">
        <v>1</v>
      </c>
      <c r="Y951">
        <v>0</v>
      </c>
      <c r="Z951" s="33">
        <v>0</v>
      </c>
      <c r="AA951">
        <v>5</v>
      </c>
      <c r="AB951" s="34">
        <v>7000</v>
      </c>
      <c r="AC951" s="87">
        <v>853</v>
      </c>
      <c r="AE951" s="90"/>
      <c r="AF951" s="90"/>
      <c r="AG951" s="91"/>
      <c r="AH951" s="91"/>
      <c r="AI951" s="91"/>
      <c r="AJ951" s="91"/>
      <c r="AK951" s="91"/>
      <c r="AL951" s="92">
        <v>1</v>
      </c>
      <c r="AM951" s="92"/>
      <c r="AN951" s="93"/>
      <c r="AO951" s="92"/>
      <c r="AQ951" s="56" t="s">
        <v>2470</v>
      </c>
      <c r="AS951">
        <v>1</v>
      </c>
    </row>
    <row r="952" spans="1:45">
      <c r="A952">
        <v>463009</v>
      </c>
      <c r="B952" s="8">
        <v>1001</v>
      </c>
      <c r="C952" s="8">
        <v>2</v>
      </c>
      <c r="D952" s="8">
        <v>1004</v>
      </c>
      <c r="E952" s="326" t="s">
        <v>2471</v>
      </c>
      <c r="F952" s="13" t="s">
        <v>2471</v>
      </c>
      <c r="G952" t="s">
        <v>2353</v>
      </c>
      <c r="H952" t="s">
        <v>2177</v>
      </c>
      <c r="I952">
        <v>1</v>
      </c>
      <c r="J952">
        <v>4</v>
      </c>
      <c r="K952" s="87">
        <v>1</v>
      </c>
      <c r="L952" s="8">
        <v>999</v>
      </c>
      <c r="M952" s="8">
        <v>0</v>
      </c>
      <c r="N952" s="8"/>
      <c r="S952" s="89">
        <v>1</v>
      </c>
      <c r="T952" s="8">
        <v>5</v>
      </c>
      <c r="U952" s="89">
        <v>400</v>
      </c>
      <c r="V952" s="87">
        <v>1</v>
      </c>
      <c r="W952" s="8">
        <v>1</v>
      </c>
      <c r="X952" s="8">
        <v>1</v>
      </c>
      <c r="Y952">
        <v>0</v>
      </c>
      <c r="Z952" s="33">
        <v>0</v>
      </c>
      <c r="AA952">
        <v>5</v>
      </c>
      <c r="AB952" s="34">
        <v>7000</v>
      </c>
      <c r="AC952" s="87">
        <v>853</v>
      </c>
      <c r="AE952" s="90"/>
      <c r="AF952" s="90"/>
      <c r="AG952" s="91"/>
      <c r="AH952" s="91"/>
      <c r="AI952" s="91"/>
      <c r="AJ952" s="91"/>
      <c r="AK952" s="91"/>
      <c r="AL952" s="92">
        <v>1</v>
      </c>
      <c r="AM952" s="92"/>
      <c r="AN952" s="93"/>
      <c r="AO952" s="92"/>
      <c r="AQ952" s="56" t="s">
        <v>2472</v>
      </c>
      <c r="AS952">
        <v>1</v>
      </c>
    </row>
    <row r="953" spans="1:45">
      <c r="A953">
        <v>463010</v>
      </c>
      <c r="B953" s="8">
        <v>1001</v>
      </c>
      <c r="C953" s="8">
        <v>2</v>
      </c>
      <c r="D953" s="8">
        <v>1004</v>
      </c>
      <c r="E953" s="326" t="s">
        <v>2473</v>
      </c>
      <c r="F953" s="13" t="s">
        <v>2473</v>
      </c>
      <c r="G953" t="s">
        <v>2353</v>
      </c>
      <c r="H953" t="s">
        <v>2177</v>
      </c>
      <c r="I953">
        <v>1</v>
      </c>
      <c r="J953">
        <v>4</v>
      </c>
      <c r="K953" s="87">
        <v>1</v>
      </c>
      <c r="L953" s="8">
        <v>999</v>
      </c>
      <c r="M953" s="8">
        <v>0</v>
      </c>
      <c r="N953" s="8"/>
      <c r="S953" s="89">
        <v>1</v>
      </c>
      <c r="T953" s="8">
        <v>5</v>
      </c>
      <c r="U953" s="89">
        <v>400</v>
      </c>
      <c r="V953" s="87">
        <v>1</v>
      </c>
      <c r="W953" s="8">
        <v>1</v>
      </c>
      <c r="X953" s="8">
        <v>1</v>
      </c>
      <c r="Y953">
        <v>0</v>
      </c>
      <c r="Z953" s="33">
        <v>0</v>
      </c>
      <c r="AA953">
        <v>5</v>
      </c>
      <c r="AB953" s="34">
        <v>7000</v>
      </c>
      <c r="AC953" s="87">
        <v>853</v>
      </c>
      <c r="AE953" s="90"/>
      <c r="AF953" s="90"/>
      <c r="AG953" s="91"/>
      <c r="AH953" s="91"/>
      <c r="AI953" s="91"/>
      <c r="AJ953" s="91"/>
      <c r="AK953" s="91"/>
      <c r="AL953" s="92">
        <v>1</v>
      </c>
      <c r="AM953" s="92"/>
      <c r="AN953" s="93"/>
      <c r="AO953" s="92"/>
      <c r="AQ953" s="56" t="s">
        <v>2474</v>
      </c>
      <c r="AS953">
        <v>1</v>
      </c>
    </row>
    <row r="954" spans="1:45">
      <c r="A954">
        <v>463011</v>
      </c>
      <c r="B954" s="8">
        <v>1001</v>
      </c>
      <c r="C954" s="8">
        <v>2</v>
      </c>
      <c r="D954" s="8">
        <v>1004</v>
      </c>
      <c r="E954" s="326" t="s">
        <v>2475</v>
      </c>
      <c r="F954" s="13" t="s">
        <v>2475</v>
      </c>
      <c r="G954" t="s">
        <v>2353</v>
      </c>
      <c r="H954" t="s">
        <v>2177</v>
      </c>
      <c r="I954">
        <v>1</v>
      </c>
      <c r="J954">
        <v>4</v>
      </c>
      <c r="K954" s="87">
        <v>1</v>
      </c>
      <c r="L954" s="8">
        <v>999</v>
      </c>
      <c r="M954" s="8">
        <v>0</v>
      </c>
      <c r="N954" s="8"/>
      <c r="S954" s="89">
        <v>1</v>
      </c>
      <c r="T954" s="8">
        <v>5</v>
      </c>
      <c r="U954" s="89">
        <v>400</v>
      </c>
      <c r="V954" s="87">
        <v>1</v>
      </c>
      <c r="W954" s="8">
        <v>1</v>
      </c>
      <c r="X954" s="8">
        <v>1</v>
      </c>
      <c r="Y954">
        <v>0</v>
      </c>
      <c r="Z954" s="33">
        <v>0</v>
      </c>
      <c r="AA954">
        <v>5</v>
      </c>
      <c r="AB954" s="34">
        <v>7000</v>
      </c>
      <c r="AC954" s="87">
        <v>853</v>
      </c>
      <c r="AE954" s="90"/>
      <c r="AF954" s="90"/>
      <c r="AG954" s="91"/>
      <c r="AH954" s="91"/>
      <c r="AI954" s="91"/>
      <c r="AJ954" s="91"/>
      <c r="AK954" s="91"/>
      <c r="AL954" s="92">
        <v>1</v>
      </c>
      <c r="AM954" s="92"/>
      <c r="AN954" s="93"/>
      <c r="AO954" s="92"/>
      <c r="AQ954" s="56" t="s">
        <v>2476</v>
      </c>
      <c r="AS954">
        <v>1</v>
      </c>
    </row>
    <row r="955" spans="1:45">
      <c r="A955">
        <v>463012</v>
      </c>
      <c r="B955" s="8">
        <v>1001</v>
      </c>
      <c r="C955" s="8">
        <v>2</v>
      </c>
      <c r="D955" s="8">
        <v>1004</v>
      </c>
      <c r="E955" s="326" t="s">
        <v>2477</v>
      </c>
      <c r="F955" s="13" t="s">
        <v>2477</v>
      </c>
      <c r="G955" t="s">
        <v>2353</v>
      </c>
      <c r="H955" t="s">
        <v>2177</v>
      </c>
      <c r="I955">
        <v>1</v>
      </c>
      <c r="J955">
        <v>4</v>
      </c>
      <c r="K955" s="87">
        <v>1</v>
      </c>
      <c r="L955" s="8">
        <v>999</v>
      </c>
      <c r="M955" s="8">
        <v>0</v>
      </c>
      <c r="N955" s="8"/>
      <c r="S955" s="89">
        <v>1</v>
      </c>
      <c r="T955" s="8">
        <v>5</v>
      </c>
      <c r="U955" s="89">
        <v>400</v>
      </c>
      <c r="V955" s="87">
        <v>1</v>
      </c>
      <c r="W955" s="8">
        <v>1</v>
      </c>
      <c r="X955" s="8">
        <v>1</v>
      </c>
      <c r="Y955">
        <v>0</v>
      </c>
      <c r="Z955" s="33">
        <v>0</v>
      </c>
      <c r="AA955">
        <v>5</v>
      </c>
      <c r="AB955" s="34">
        <v>7000</v>
      </c>
      <c r="AC955" s="87">
        <v>853</v>
      </c>
      <c r="AE955" s="90"/>
      <c r="AF955" s="90"/>
      <c r="AG955" s="91"/>
      <c r="AH955" s="91"/>
      <c r="AI955" s="91"/>
      <c r="AJ955" s="91"/>
      <c r="AK955" s="91"/>
      <c r="AL955" s="92">
        <v>1</v>
      </c>
      <c r="AM955" s="92"/>
      <c r="AN955" s="93"/>
      <c r="AO955" s="92"/>
      <c r="AQ955" s="56" t="s">
        <v>2478</v>
      </c>
      <c r="AS955">
        <v>1</v>
      </c>
    </row>
    <row r="956" spans="1:45">
      <c r="A956">
        <v>463013</v>
      </c>
      <c r="B956" s="8">
        <v>1001</v>
      </c>
      <c r="C956" s="8">
        <v>2</v>
      </c>
      <c r="D956" s="8">
        <v>1004</v>
      </c>
      <c r="E956" s="326" t="s">
        <v>2479</v>
      </c>
      <c r="F956" s="13" t="s">
        <v>2479</v>
      </c>
      <c r="G956" t="s">
        <v>2353</v>
      </c>
      <c r="H956" t="s">
        <v>2177</v>
      </c>
      <c r="I956">
        <v>1</v>
      </c>
      <c r="J956">
        <v>4</v>
      </c>
      <c r="K956" s="87">
        <v>1</v>
      </c>
      <c r="L956" s="8">
        <v>999</v>
      </c>
      <c r="M956" s="8">
        <v>0</v>
      </c>
      <c r="N956" s="8"/>
      <c r="S956" s="89">
        <v>1</v>
      </c>
      <c r="T956" s="8">
        <v>5</v>
      </c>
      <c r="U956" s="89">
        <v>400</v>
      </c>
      <c r="V956" s="87">
        <v>1</v>
      </c>
      <c r="W956" s="8">
        <v>1</v>
      </c>
      <c r="X956" s="8">
        <v>1</v>
      </c>
      <c r="Y956">
        <v>0</v>
      </c>
      <c r="Z956" s="33">
        <v>0</v>
      </c>
      <c r="AA956">
        <v>5</v>
      </c>
      <c r="AB956" s="34">
        <v>7000</v>
      </c>
      <c r="AC956" s="87">
        <v>853</v>
      </c>
      <c r="AE956" s="90"/>
      <c r="AF956" s="90"/>
      <c r="AG956" s="91"/>
      <c r="AH956" s="91"/>
      <c r="AI956" s="91"/>
      <c r="AJ956" s="91"/>
      <c r="AK956" s="91"/>
      <c r="AL956" s="92">
        <v>1</v>
      </c>
      <c r="AM956" s="92"/>
      <c r="AN956" s="93"/>
      <c r="AO956" s="92"/>
      <c r="AQ956" s="56" t="s">
        <v>2480</v>
      </c>
      <c r="AS956">
        <v>1</v>
      </c>
    </row>
    <row r="957" spans="1:45">
      <c r="A957">
        <v>463014</v>
      </c>
      <c r="B957" s="8">
        <v>1001</v>
      </c>
      <c r="C957" s="8">
        <v>2</v>
      </c>
      <c r="D957" s="8">
        <v>1004</v>
      </c>
      <c r="E957" s="326" t="s">
        <v>2481</v>
      </c>
      <c r="F957" s="13" t="s">
        <v>2481</v>
      </c>
      <c r="G957" t="s">
        <v>2353</v>
      </c>
      <c r="H957" t="s">
        <v>2177</v>
      </c>
      <c r="I957">
        <v>1</v>
      </c>
      <c r="J957">
        <v>4</v>
      </c>
      <c r="K957" s="87">
        <v>1</v>
      </c>
      <c r="L957" s="8">
        <v>999</v>
      </c>
      <c r="M957" s="8">
        <v>0</v>
      </c>
      <c r="N957" s="8"/>
      <c r="S957" s="89">
        <v>1</v>
      </c>
      <c r="T957" s="8">
        <v>5</v>
      </c>
      <c r="U957" s="89">
        <v>400</v>
      </c>
      <c r="V957" s="87">
        <v>1</v>
      </c>
      <c r="W957" s="8">
        <v>1</v>
      </c>
      <c r="X957" s="8">
        <v>1</v>
      </c>
      <c r="Y957">
        <v>0</v>
      </c>
      <c r="Z957" s="33">
        <v>0</v>
      </c>
      <c r="AA957">
        <v>5</v>
      </c>
      <c r="AB957" s="34">
        <v>7000</v>
      </c>
      <c r="AC957" s="87">
        <v>853</v>
      </c>
      <c r="AE957" s="90"/>
      <c r="AF957" s="90"/>
      <c r="AG957" s="91"/>
      <c r="AH957" s="91"/>
      <c r="AI957" s="91"/>
      <c r="AJ957" s="91"/>
      <c r="AK957" s="91"/>
      <c r="AL957" s="92">
        <v>1</v>
      </c>
      <c r="AM957" s="92"/>
      <c r="AN957" s="93"/>
      <c r="AO957" s="92"/>
      <c r="AQ957" s="56" t="s">
        <v>2482</v>
      </c>
      <c r="AS957">
        <v>1</v>
      </c>
    </row>
    <row r="958" spans="1:45">
      <c r="A958">
        <v>463015</v>
      </c>
      <c r="B958" s="8">
        <v>1001</v>
      </c>
      <c r="C958" s="8">
        <v>2</v>
      </c>
      <c r="D958" s="8">
        <v>1004</v>
      </c>
      <c r="E958" s="326" t="s">
        <v>2483</v>
      </c>
      <c r="F958" s="13" t="s">
        <v>2483</v>
      </c>
      <c r="G958" t="s">
        <v>2353</v>
      </c>
      <c r="H958" t="s">
        <v>2177</v>
      </c>
      <c r="I958">
        <v>1</v>
      </c>
      <c r="J958">
        <v>4</v>
      </c>
      <c r="K958" s="87">
        <v>1</v>
      </c>
      <c r="L958" s="8">
        <v>999</v>
      </c>
      <c r="M958" s="8">
        <v>0</v>
      </c>
      <c r="N958" s="8"/>
      <c r="S958" s="89">
        <v>1</v>
      </c>
      <c r="T958" s="8">
        <v>5</v>
      </c>
      <c r="U958" s="89">
        <v>400</v>
      </c>
      <c r="V958" s="87">
        <v>1</v>
      </c>
      <c r="W958" s="8">
        <v>1</v>
      </c>
      <c r="X958" s="8">
        <v>1</v>
      </c>
      <c r="Y958">
        <v>0</v>
      </c>
      <c r="Z958" s="33">
        <v>0</v>
      </c>
      <c r="AA958">
        <v>5</v>
      </c>
      <c r="AB958" s="34">
        <v>7000</v>
      </c>
      <c r="AC958" s="87">
        <v>853</v>
      </c>
      <c r="AE958" s="90"/>
      <c r="AF958" s="90"/>
      <c r="AG958" s="91"/>
      <c r="AH958" s="91"/>
      <c r="AI958" s="91"/>
      <c r="AJ958" s="91"/>
      <c r="AK958" s="91"/>
      <c r="AL958" s="92">
        <v>1</v>
      </c>
      <c r="AM958" s="92"/>
      <c r="AN958" s="93"/>
      <c r="AO958" s="92"/>
      <c r="AQ958" s="56" t="s">
        <v>2484</v>
      </c>
      <c r="AS958">
        <v>1</v>
      </c>
    </row>
    <row r="959" spans="1:45">
      <c r="A959">
        <v>463016</v>
      </c>
      <c r="B959" s="8">
        <v>1001</v>
      </c>
      <c r="C959" s="8">
        <v>2</v>
      </c>
      <c r="D959" s="8">
        <v>1004</v>
      </c>
      <c r="E959" s="326" t="s">
        <v>2485</v>
      </c>
      <c r="F959" s="13" t="s">
        <v>2485</v>
      </c>
      <c r="G959" t="s">
        <v>2353</v>
      </c>
      <c r="H959" t="s">
        <v>2177</v>
      </c>
      <c r="I959">
        <v>1</v>
      </c>
      <c r="J959">
        <v>4</v>
      </c>
      <c r="K959" s="87">
        <v>1</v>
      </c>
      <c r="L959" s="8">
        <v>999</v>
      </c>
      <c r="M959" s="8">
        <v>0</v>
      </c>
      <c r="N959" s="8"/>
      <c r="S959" s="89">
        <v>1</v>
      </c>
      <c r="T959" s="8">
        <v>5</v>
      </c>
      <c r="U959" s="89">
        <v>400</v>
      </c>
      <c r="V959" s="87">
        <v>1</v>
      </c>
      <c r="W959" s="8">
        <v>1</v>
      </c>
      <c r="X959" s="8">
        <v>1</v>
      </c>
      <c r="Y959">
        <v>0</v>
      </c>
      <c r="Z959" s="33">
        <v>0</v>
      </c>
      <c r="AA959">
        <v>5</v>
      </c>
      <c r="AB959" s="34">
        <v>7000</v>
      </c>
      <c r="AC959" s="87">
        <v>853</v>
      </c>
      <c r="AE959" s="90"/>
      <c r="AF959" s="90"/>
      <c r="AG959" s="91"/>
      <c r="AH959" s="91"/>
      <c r="AI959" s="91"/>
      <c r="AJ959" s="91"/>
      <c r="AK959" s="91"/>
      <c r="AL959" s="92">
        <v>1</v>
      </c>
      <c r="AM959" s="92"/>
      <c r="AN959" s="93"/>
      <c r="AO959" s="92"/>
      <c r="AQ959" s="56" t="s">
        <v>2486</v>
      </c>
      <c r="AS959">
        <v>1</v>
      </c>
    </row>
    <row r="960" spans="1:45">
      <c r="A960">
        <v>463017</v>
      </c>
      <c r="B960" s="8">
        <v>1001</v>
      </c>
      <c r="C960" s="8">
        <v>2</v>
      </c>
      <c r="D960" s="8">
        <v>1004</v>
      </c>
      <c r="E960" s="326" t="s">
        <v>2487</v>
      </c>
      <c r="F960" s="13" t="s">
        <v>2487</v>
      </c>
      <c r="G960" t="s">
        <v>2353</v>
      </c>
      <c r="H960" t="s">
        <v>2177</v>
      </c>
      <c r="I960">
        <v>1</v>
      </c>
      <c r="J960">
        <v>4</v>
      </c>
      <c r="K960" s="87">
        <v>1</v>
      </c>
      <c r="L960" s="8">
        <v>999</v>
      </c>
      <c r="M960" s="8">
        <v>0</v>
      </c>
      <c r="N960" s="8"/>
      <c r="S960" s="89">
        <v>1</v>
      </c>
      <c r="T960" s="8">
        <v>5</v>
      </c>
      <c r="U960" s="89">
        <v>400</v>
      </c>
      <c r="V960" s="87">
        <v>1</v>
      </c>
      <c r="W960" s="8">
        <v>1</v>
      </c>
      <c r="X960" s="8">
        <v>1</v>
      </c>
      <c r="Y960">
        <v>0</v>
      </c>
      <c r="Z960" s="33">
        <v>0</v>
      </c>
      <c r="AA960">
        <v>5</v>
      </c>
      <c r="AB960" s="34">
        <v>7000</v>
      </c>
      <c r="AC960" s="87">
        <v>853</v>
      </c>
      <c r="AE960" s="90"/>
      <c r="AF960" s="90"/>
      <c r="AG960" s="91"/>
      <c r="AH960" s="91"/>
      <c r="AI960" s="91"/>
      <c r="AJ960" s="91"/>
      <c r="AK960" s="91"/>
      <c r="AL960" s="92">
        <v>1</v>
      </c>
      <c r="AM960" s="92"/>
      <c r="AN960" s="93"/>
      <c r="AO960" s="92"/>
      <c r="AQ960" s="56" t="s">
        <v>2488</v>
      </c>
      <c r="AS960">
        <v>1</v>
      </c>
    </row>
    <row r="961" spans="1:45">
      <c r="A961">
        <v>463018</v>
      </c>
      <c r="B961" s="8">
        <v>1001</v>
      </c>
      <c r="C961" s="8">
        <v>2</v>
      </c>
      <c r="D961" s="8">
        <v>1004</v>
      </c>
      <c r="E961" s="326" t="s">
        <v>2489</v>
      </c>
      <c r="F961" s="13" t="s">
        <v>2489</v>
      </c>
      <c r="G961" t="s">
        <v>2353</v>
      </c>
      <c r="H961" t="s">
        <v>2177</v>
      </c>
      <c r="I961">
        <v>1</v>
      </c>
      <c r="J961">
        <v>4</v>
      </c>
      <c r="K961" s="87">
        <v>1</v>
      </c>
      <c r="L961" s="8">
        <v>999</v>
      </c>
      <c r="M961" s="8">
        <v>0</v>
      </c>
      <c r="N961" s="8"/>
      <c r="S961" s="89">
        <v>1</v>
      </c>
      <c r="T961" s="8">
        <v>5</v>
      </c>
      <c r="U961" s="89">
        <v>400</v>
      </c>
      <c r="V961" s="87">
        <v>1</v>
      </c>
      <c r="W961" s="8">
        <v>1</v>
      </c>
      <c r="X961" s="8">
        <v>1</v>
      </c>
      <c r="Y961">
        <v>0</v>
      </c>
      <c r="Z961" s="33">
        <v>0</v>
      </c>
      <c r="AA961">
        <v>5</v>
      </c>
      <c r="AB961" s="34">
        <v>7000</v>
      </c>
      <c r="AC961" s="87">
        <v>853</v>
      </c>
      <c r="AE961" s="90"/>
      <c r="AF961" s="90"/>
      <c r="AG961" s="91"/>
      <c r="AH961" s="91"/>
      <c r="AI961" s="91"/>
      <c r="AJ961" s="91"/>
      <c r="AK961" s="91"/>
      <c r="AL961" s="92">
        <v>1</v>
      </c>
      <c r="AM961" s="92"/>
      <c r="AN961" s="93"/>
      <c r="AO961" s="92"/>
      <c r="AQ961" s="56" t="s">
        <v>2490</v>
      </c>
      <c r="AS961">
        <v>1</v>
      </c>
    </row>
    <row r="962" spans="1:45">
      <c r="A962">
        <v>463019</v>
      </c>
      <c r="B962" s="8">
        <v>1001</v>
      </c>
      <c r="C962" s="8">
        <v>2</v>
      </c>
      <c r="D962" s="8">
        <v>1004</v>
      </c>
      <c r="E962" s="326" t="s">
        <v>2491</v>
      </c>
      <c r="F962" s="13" t="s">
        <v>2491</v>
      </c>
      <c r="G962" t="s">
        <v>2353</v>
      </c>
      <c r="H962" t="s">
        <v>2177</v>
      </c>
      <c r="I962">
        <v>1</v>
      </c>
      <c r="J962">
        <v>4</v>
      </c>
      <c r="K962" s="87">
        <v>1</v>
      </c>
      <c r="L962" s="8">
        <v>999</v>
      </c>
      <c r="M962" s="8">
        <v>0</v>
      </c>
      <c r="N962" s="8"/>
      <c r="S962" s="89">
        <v>1</v>
      </c>
      <c r="T962" s="8">
        <v>5</v>
      </c>
      <c r="U962" s="89">
        <v>400</v>
      </c>
      <c r="V962" s="87">
        <v>1</v>
      </c>
      <c r="W962" s="8">
        <v>1</v>
      </c>
      <c r="X962" s="8">
        <v>1</v>
      </c>
      <c r="Y962">
        <v>0</v>
      </c>
      <c r="Z962" s="33">
        <v>0</v>
      </c>
      <c r="AA962">
        <v>5</v>
      </c>
      <c r="AB962" s="34">
        <v>7000</v>
      </c>
      <c r="AC962" s="87">
        <v>853</v>
      </c>
      <c r="AE962" s="90"/>
      <c r="AF962" s="90"/>
      <c r="AG962" s="91"/>
      <c r="AH962" s="91"/>
      <c r="AI962" s="91"/>
      <c r="AJ962" s="91"/>
      <c r="AK962" s="91"/>
      <c r="AL962" s="92">
        <v>1</v>
      </c>
      <c r="AM962" s="92"/>
      <c r="AN962" s="93"/>
      <c r="AO962" s="92"/>
      <c r="AQ962" s="56" t="s">
        <v>2492</v>
      </c>
      <c r="AS962">
        <v>1</v>
      </c>
    </row>
    <row r="963" spans="1:45">
      <c r="A963">
        <v>463020</v>
      </c>
      <c r="B963" s="8">
        <v>1001</v>
      </c>
      <c r="C963" s="8">
        <v>2</v>
      </c>
      <c r="D963" s="8">
        <v>1004</v>
      </c>
      <c r="E963" s="326" t="s">
        <v>2493</v>
      </c>
      <c r="F963" s="13" t="s">
        <v>2493</v>
      </c>
      <c r="G963" t="s">
        <v>2353</v>
      </c>
      <c r="H963" t="s">
        <v>2177</v>
      </c>
      <c r="I963">
        <v>1</v>
      </c>
      <c r="J963">
        <v>4</v>
      </c>
      <c r="K963" s="87">
        <v>1</v>
      </c>
      <c r="L963" s="8">
        <v>999</v>
      </c>
      <c r="M963" s="8">
        <v>0</v>
      </c>
      <c r="N963" s="8"/>
      <c r="S963" s="89">
        <v>1</v>
      </c>
      <c r="T963" s="8">
        <v>5</v>
      </c>
      <c r="U963" s="89">
        <v>400</v>
      </c>
      <c r="V963" s="87">
        <v>1</v>
      </c>
      <c r="W963" s="8">
        <v>1</v>
      </c>
      <c r="X963" s="8">
        <v>1</v>
      </c>
      <c r="Y963">
        <v>0</v>
      </c>
      <c r="Z963" s="33">
        <v>0</v>
      </c>
      <c r="AA963">
        <v>5</v>
      </c>
      <c r="AB963" s="34">
        <v>7000</v>
      </c>
      <c r="AC963" s="87">
        <v>853</v>
      </c>
      <c r="AE963" s="90"/>
      <c r="AF963" s="90"/>
      <c r="AG963" s="91"/>
      <c r="AH963" s="91"/>
      <c r="AI963" s="91"/>
      <c r="AJ963" s="91"/>
      <c r="AK963" s="91"/>
      <c r="AL963" s="92">
        <v>1</v>
      </c>
      <c r="AM963" s="92"/>
      <c r="AN963" s="93"/>
      <c r="AO963" s="92"/>
      <c r="AQ963" s="56" t="s">
        <v>2494</v>
      </c>
      <c r="AS963">
        <v>1</v>
      </c>
    </row>
    <row r="964" spans="1:45">
      <c r="A964">
        <v>463021</v>
      </c>
      <c r="B964" s="8">
        <v>1001</v>
      </c>
      <c r="C964" s="8">
        <v>2</v>
      </c>
      <c r="D964" s="8">
        <v>1004</v>
      </c>
      <c r="E964" s="326" t="s">
        <v>2495</v>
      </c>
      <c r="F964" s="13" t="s">
        <v>2495</v>
      </c>
      <c r="G964" t="s">
        <v>2353</v>
      </c>
      <c r="H964" t="s">
        <v>2177</v>
      </c>
      <c r="I964">
        <v>1</v>
      </c>
      <c r="J964">
        <v>4</v>
      </c>
      <c r="K964" s="87">
        <v>1</v>
      </c>
      <c r="L964" s="8">
        <v>999</v>
      </c>
      <c r="M964" s="8">
        <v>0</v>
      </c>
      <c r="N964" s="8"/>
      <c r="S964" s="89">
        <v>1</v>
      </c>
      <c r="T964" s="8">
        <v>5</v>
      </c>
      <c r="U964" s="89">
        <v>400</v>
      </c>
      <c r="V964" s="87">
        <v>1</v>
      </c>
      <c r="W964" s="8">
        <v>1</v>
      </c>
      <c r="X964" s="8">
        <v>1</v>
      </c>
      <c r="Y964">
        <v>0</v>
      </c>
      <c r="Z964" s="33">
        <v>0</v>
      </c>
      <c r="AA964">
        <v>5</v>
      </c>
      <c r="AB964" s="34">
        <v>7000</v>
      </c>
      <c r="AC964" s="87">
        <v>853</v>
      </c>
      <c r="AE964" s="90"/>
      <c r="AF964" s="90"/>
      <c r="AG964" s="91"/>
      <c r="AH964" s="91"/>
      <c r="AI964" s="91"/>
      <c r="AJ964" s="91"/>
      <c r="AK964" s="91"/>
      <c r="AL964" s="92">
        <v>1</v>
      </c>
      <c r="AM964" s="92"/>
      <c r="AN964" s="93"/>
      <c r="AO964" s="92"/>
      <c r="AQ964" s="56" t="s">
        <v>2496</v>
      </c>
      <c r="AS964">
        <v>1</v>
      </c>
    </row>
    <row r="965" spans="1:45">
      <c r="A965">
        <v>463022</v>
      </c>
      <c r="B965" s="8">
        <v>1001</v>
      </c>
      <c r="C965" s="8">
        <v>2</v>
      </c>
      <c r="D965" s="8">
        <v>1004</v>
      </c>
      <c r="E965" s="326" t="s">
        <v>2497</v>
      </c>
      <c r="F965" s="13" t="s">
        <v>2497</v>
      </c>
      <c r="G965" t="s">
        <v>2353</v>
      </c>
      <c r="H965" t="s">
        <v>2177</v>
      </c>
      <c r="I965">
        <v>1</v>
      </c>
      <c r="J965">
        <v>4</v>
      </c>
      <c r="K965" s="87">
        <v>1</v>
      </c>
      <c r="L965" s="8">
        <v>999</v>
      </c>
      <c r="M965" s="8">
        <v>0</v>
      </c>
      <c r="N965" s="8"/>
      <c r="S965" s="89">
        <v>1</v>
      </c>
      <c r="T965" s="8">
        <v>5</v>
      </c>
      <c r="U965" s="89">
        <v>400</v>
      </c>
      <c r="V965" s="87">
        <v>1</v>
      </c>
      <c r="W965" s="8">
        <v>1</v>
      </c>
      <c r="X965" s="8">
        <v>1</v>
      </c>
      <c r="Y965">
        <v>0</v>
      </c>
      <c r="Z965" s="33">
        <v>0</v>
      </c>
      <c r="AA965">
        <v>5</v>
      </c>
      <c r="AB965" s="34">
        <v>7000</v>
      </c>
      <c r="AC965" s="87">
        <v>853</v>
      </c>
      <c r="AE965" s="90"/>
      <c r="AF965" s="90"/>
      <c r="AG965" s="91"/>
      <c r="AH965" s="91"/>
      <c r="AI965" s="91"/>
      <c r="AJ965" s="91"/>
      <c r="AK965" s="91"/>
      <c r="AL965" s="92">
        <v>1</v>
      </c>
      <c r="AM965" s="92"/>
      <c r="AN965" s="93"/>
      <c r="AO965" s="92"/>
      <c r="AQ965" s="56" t="s">
        <v>2498</v>
      </c>
      <c r="AS965">
        <v>1</v>
      </c>
    </row>
    <row r="966" spans="1:45">
      <c r="A966">
        <v>463023</v>
      </c>
      <c r="B966" s="8">
        <v>1001</v>
      </c>
      <c r="C966" s="8">
        <v>2</v>
      </c>
      <c r="D966" s="8">
        <v>1004</v>
      </c>
      <c r="E966" s="326" t="s">
        <v>2499</v>
      </c>
      <c r="F966" s="13" t="s">
        <v>2499</v>
      </c>
      <c r="G966" t="s">
        <v>2353</v>
      </c>
      <c r="H966" t="s">
        <v>2177</v>
      </c>
      <c r="I966">
        <v>1</v>
      </c>
      <c r="J966">
        <v>4</v>
      </c>
      <c r="K966" s="87">
        <v>1</v>
      </c>
      <c r="L966" s="8">
        <v>999</v>
      </c>
      <c r="M966" s="8">
        <v>0</v>
      </c>
      <c r="N966" s="8"/>
      <c r="S966" s="89">
        <v>1</v>
      </c>
      <c r="T966" s="8">
        <v>5</v>
      </c>
      <c r="U966" s="89">
        <v>400</v>
      </c>
      <c r="V966" s="87">
        <v>1</v>
      </c>
      <c r="W966" s="8">
        <v>1</v>
      </c>
      <c r="X966" s="8">
        <v>1</v>
      </c>
      <c r="Y966">
        <v>0</v>
      </c>
      <c r="Z966" s="33">
        <v>0</v>
      </c>
      <c r="AA966">
        <v>5</v>
      </c>
      <c r="AB966" s="34">
        <v>7000</v>
      </c>
      <c r="AC966" s="87">
        <v>853</v>
      </c>
      <c r="AE966" s="90"/>
      <c r="AF966" s="90"/>
      <c r="AG966" s="91"/>
      <c r="AH966" s="91"/>
      <c r="AI966" s="91"/>
      <c r="AJ966" s="91"/>
      <c r="AK966" s="91"/>
      <c r="AL966" s="92">
        <v>1</v>
      </c>
      <c r="AM966" s="92"/>
      <c r="AN966" s="93"/>
      <c r="AO966" s="92"/>
      <c r="AQ966" s="56" t="s">
        <v>2500</v>
      </c>
      <c r="AS966">
        <v>1</v>
      </c>
    </row>
    <row r="967" spans="1:45">
      <c r="A967">
        <v>463024</v>
      </c>
      <c r="B967" s="8">
        <v>1001</v>
      </c>
      <c r="C967" s="8">
        <v>2</v>
      </c>
      <c r="D967" s="8">
        <v>1004</v>
      </c>
      <c r="E967" s="326" t="s">
        <v>2501</v>
      </c>
      <c r="F967" s="13" t="s">
        <v>2502</v>
      </c>
      <c r="G967" t="s">
        <v>2353</v>
      </c>
      <c r="H967" t="s">
        <v>2177</v>
      </c>
      <c r="I967">
        <v>1</v>
      </c>
      <c r="J967">
        <v>4</v>
      </c>
      <c r="K967" s="87">
        <v>1</v>
      </c>
      <c r="L967" s="8">
        <v>999</v>
      </c>
      <c r="M967" s="8">
        <v>0</v>
      </c>
      <c r="N967" s="8"/>
      <c r="S967" s="89">
        <v>1</v>
      </c>
      <c r="T967" s="8">
        <v>5</v>
      </c>
      <c r="U967" s="89">
        <v>400</v>
      </c>
      <c r="V967" s="87">
        <v>1</v>
      </c>
      <c r="W967" s="8">
        <v>1</v>
      </c>
      <c r="X967" s="8">
        <v>1</v>
      </c>
      <c r="Y967">
        <v>0</v>
      </c>
      <c r="Z967" s="33">
        <v>0</v>
      </c>
      <c r="AA967">
        <v>5</v>
      </c>
      <c r="AB967" s="34">
        <v>7000</v>
      </c>
      <c r="AC967" s="87">
        <v>853</v>
      </c>
      <c r="AE967" s="90"/>
      <c r="AF967" s="90"/>
      <c r="AG967" s="91"/>
      <c r="AH967" s="91"/>
      <c r="AI967" s="91"/>
      <c r="AJ967" s="91"/>
      <c r="AK967" s="91"/>
      <c r="AL967" s="92">
        <v>1</v>
      </c>
      <c r="AM967" s="92"/>
      <c r="AN967" s="93"/>
      <c r="AO967" s="92"/>
      <c r="AQ967" s="56" t="s">
        <v>2503</v>
      </c>
      <c r="AS967">
        <v>1</v>
      </c>
    </row>
    <row r="968" spans="1:45">
      <c r="A968">
        <v>463025</v>
      </c>
      <c r="B968" s="8">
        <v>1001</v>
      </c>
      <c r="C968" s="8">
        <v>2</v>
      </c>
      <c r="D968" s="8">
        <v>1004</v>
      </c>
      <c r="E968" s="326" t="s">
        <v>2504</v>
      </c>
      <c r="F968" s="13" t="s">
        <v>2504</v>
      </c>
      <c r="G968" t="s">
        <v>2353</v>
      </c>
      <c r="H968" t="s">
        <v>2177</v>
      </c>
      <c r="I968">
        <v>1</v>
      </c>
      <c r="J968">
        <v>4</v>
      </c>
      <c r="K968" s="87">
        <v>1</v>
      </c>
      <c r="L968" s="8">
        <v>999</v>
      </c>
      <c r="M968" s="8">
        <v>0</v>
      </c>
      <c r="N968" s="8"/>
      <c r="S968" s="89">
        <v>1</v>
      </c>
      <c r="T968" s="8">
        <v>5</v>
      </c>
      <c r="U968" s="89">
        <v>400</v>
      </c>
      <c r="V968" s="87">
        <v>1</v>
      </c>
      <c r="W968" s="8">
        <v>1</v>
      </c>
      <c r="X968" s="8">
        <v>1</v>
      </c>
      <c r="Y968">
        <v>0</v>
      </c>
      <c r="Z968" s="33">
        <v>0</v>
      </c>
      <c r="AA968">
        <v>5</v>
      </c>
      <c r="AB968" s="34">
        <v>7000</v>
      </c>
      <c r="AC968" s="87">
        <v>853</v>
      </c>
      <c r="AE968" s="90"/>
      <c r="AF968" s="90"/>
      <c r="AG968" s="91"/>
      <c r="AH968" s="91"/>
      <c r="AI968" s="91"/>
      <c r="AJ968" s="91"/>
      <c r="AK968" s="91"/>
      <c r="AL968" s="92">
        <v>1</v>
      </c>
      <c r="AM968" s="92"/>
      <c r="AN968" s="93"/>
      <c r="AO968" s="92"/>
      <c r="AQ968" s="56" t="s">
        <v>2505</v>
      </c>
      <c r="AS968">
        <v>1</v>
      </c>
    </row>
    <row r="969" spans="1:45">
      <c r="A969">
        <v>464001</v>
      </c>
      <c r="B969" s="8">
        <v>1001</v>
      </c>
      <c r="C969" s="8">
        <v>2</v>
      </c>
      <c r="D969" s="8">
        <v>1004</v>
      </c>
      <c r="E969" s="3" t="s">
        <v>2506</v>
      </c>
      <c r="F969" s="13" t="s">
        <v>2506</v>
      </c>
      <c r="G969" t="s">
        <v>2353</v>
      </c>
      <c r="H969" t="s">
        <v>2177</v>
      </c>
      <c r="I969">
        <v>1</v>
      </c>
      <c r="J969">
        <v>5</v>
      </c>
      <c r="K969" s="87">
        <v>1</v>
      </c>
      <c r="L969" s="8">
        <v>999</v>
      </c>
      <c r="M969" s="8">
        <v>0</v>
      </c>
      <c r="N969" s="8"/>
      <c r="S969" s="89">
        <v>1</v>
      </c>
      <c r="T969" s="8">
        <v>5</v>
      </c>
      <c r="U969" s="89">
        <v>500</v>
      </c>
      <c r="V969" s="87">
        <v>1</v>
      </c>
      <c r="W969" s="8">
        <v>1</v>
      </c>
      <c r="X969" s="8">
        <v>1</v>
      </c>
      <c r="Y969">
        <v>0</v>
      </c>
      <c r="Z969" s="33">
        <v>0</v>
      </c>
      <c r="AA969">
        <v>5</v>
      </c>
      <c r="AB969" s="34">
        <v>8000</v>
      </c>
      <c r="AC969" s="87">
        <v>854</v>
      </c>
      <c r="AE969" s="90"/>
      <c r="AF969" s="90"/>
      <c r="AG969" s="91"/>
      <c r="AH969" s="91"/>
      <c r="AI969" s="91"/>
      <c r="AJ969" s="91"/>
      <c r="AK969" s="91"/>
      <c r="AL969" s="92">
        <v>1</v>
      </c>
      <c r="AM969" s="92"/>
      <c r="AN969" s="93"/>
      <c r="AO969" s="92"/>
      <c r="AQ969" s="56" t="s">
        <v>2456</v>
      </c>
      <c r="AS969">
        <v>1</v>
      </c>
    </row>
    <row r="970" spans="1:45">
      <c r="A970">
        <v>464002</v>
      </c>
      <c r="B970" s="8">
        <v>1001</v>
      </c>
      <c r="C970" s="8">
        <v>2</v>
      </c>
      <c r="D970" s="8">
        <v>1004</v>
      </c>
      <c r="E970" s="3" t="s">
        <v>2507</v>
      </c>
      <c r="F970" s="13" t="s">
        <v>2507</v>
      </c>
      <c r="G970" t="s">
        <v>2353</v>
      </c>
      <c r="H970" t="s">
        <v>2177</v>
      </c>
      <c r="I970">
        <v>1</v>
      </c>
      <c r="J970">
        <v>5</v>
      </c>
      <c r="K970" s="87">
        <v>1</v>
      </c>
      <c r="L970" s="8">
        <v>999</v>
      </c>
      <c r="M970" s="8">
        <v>0</v>
      </c>
      <c r="N970" s="8"/>
      <c r="S970" s="89">
        <v>1</v>
      </c>
      <c r="T970" s="8">
        <v>5</v>
      </c>
      <c r="U970" s="89">
        <v>500</v>
      </c>
      <c r="V970" s="87">
        <v>1</v>
      </c>
      <c r="W970" s="8">
        <v>1</v>
      </c>
      <c r="X970" s="8">
        <v>1</v>
      </c>
      <c r="Y970">
        <v>0</v>
      </c>
      <c r="Z970" s="33">
        <v>0</v>
      </c>
      <c r="AA970">
        <v>5</v>
      </c>
      <c r="AB970" s="34">
        <v>8000</v>
      </c>
      <c r="AC970" s="87">
        <v>854</v>
      </c>
      <c r="AE970" s="90"/>
      <c r="AF970" s="90"/>
      <c r="AG970" s="91"/>
      <c r="AH970" s="91"/>
      <c r="AI970" s="91"/>
      <c r="AJ970" s="91"/>
      <c r="AK970" s="91"/>
      <c r="AL970" s="92">
        <v>1</v>
      </c>
      <c r="AM970" s="92"/>
      <c r="AN970" s="93"/>
      <c r="AO970" s="92"/>
      <c r="AQ970" s="56" t="s">
        <v>2458</v>
      </c>
      <c r="AS970">
        <v>1</v>
      </c>
    </row>
    <row r="971" spans="1:45">
      <c r="A971">
        <v>464003</v>
      </c>
      <c r="B971" s="8">
        <v>1001</v>
      </c>
      <c r="C971" s="8">
        <v>2</v>
      </c>
      <c r="D971" s="8">
        <v>1004</v>
      </c>
      <c r="E971" s="3" t="s">
        <v>2508</v>
      </c>
      <c r="F971" s="13" t="s">
        <v>2508</v>
      </c>
      <c r="G971" t="s">
        <v>2353</v>
      </c>
      <c r="H971" t="s">
        <v>2177</v>
      </c>
      <c r="I971">
        <v>1</v>
      </c>
      <c r="J971">
        <v>5</v>
      </c>
      <c r="K971" s="87">
        <v>1</v>
      </c>
      <c r="L971" s="8">
        <v>999</v>
      </c>
      <c r="M971" s="8">
        <v>0</v>
      </c>
      <c r="N971" s="8"/>
      <c r="S971" s="89">
        <v>1</v>
      </c>
      <c r="T971" s="8">
        <v>5</v>
      </c>
      <c r="U971" s="89">
        <v>500</v>
      </c>
      <c r="V971" s="87">
        <v>1</v>
      </c>
      <c r="W971" s="8">
        <v>1</v>
      </c>
      <c r="X971" s="8">
        <v>1</v>
      </c>
      <c r="Y971">
        <v>0</v>
      </c>
      <c r="Z971" s="33">
        <v>0</v>
      </c>
      <c r="AA971">
        <v>5</v>
      </c>
      <c r="AB971" s="34">
        <v>8000</v>
      </c>
      <c r="AC971" s="87">
        <v>854</v>
      </c>
      <c r="AE971" s="90"/>
      <c r="AF971" s="90"/>
      <c r="AG971" s="91"/>
      <c r="AH971" s="91"/>
      <c r="AI971" s="91"/>
      <c r="AJ971" s="91"/>
      <c r="AK971" s="91"/>
      <c r="AL971" s="92">
        <v>1</v>
      </c>
      <c r="AM971" s="92"/>
      <c r="AN971" s="93"/>
      <c r="AO971" s="92"/>
      <c r="AQ971" s="56" t="s">
        <v>2460</v>
      </c>
      <c r="AS971">
        <v>1</v>
      </c>
    </row>
    <row r="972" spans="1:45">
      <c r="A972">
        <v>464004</v>
      </c>
      <c r="B972" s="8">
        <v>1001</v>
      </c>
      <c r="C972" s="8">
        <v>2</v>
      </c>
      <c r="D972" s="8">
        <v>1004</v>
      </c>
      <c r="E972" s="3" t="s">
        <v>2509</v>
      </c>
      <c r="F972" s="13" t="s">
        <v>2509</v>
      </c>
      <c r="G972" t="s">
        <v>2353</v>
      </c>
      <c r="H972" t="s">
        <v>2177</v>
      </c>
      <c r="I972">
        <v>1</v>
      </c>
      <c r="J972">
        <v>5</v>
      </c>
      <c r="K972" s="87">
        <v>1</v>
      </c>
      <c r="L972" s="8">
        <v>999</v>
      </c>
      <c r="M972" s="8">
        <v>0</v>
      </c>
      <c r="N972" s="8"/>
      <c r="S972" s="89">
        <v>1</v>
      </c>
      <c r="T972" s="8">
        <v>5</v>
      </c>
      <c r="U972" s="89">
        <v>500</v>
      </c>
      <c r="V972" s="87">
        <v>1</v>
      </c>
      <c r="W972" s="8">
        <v>1</v>
      </c>
      <c r="X972" s="8">
        <v>1</v>
      </c>
      <c r="Y972">
        <v>0</v>
      </c>
      <c r="Z972" s="33">
        <v>0</v>
      </c>
      <c r="AA972">
        <v>5</v>
      </c>
      <c r="AB972" s="34">
        <v>8000</v>
      </c>
      <c r="AC972" s="87">
        <v>854</v>
      </c>
      <c r="AE972" s="90"/>
      <c r="AF972" s="90"/>
      <c r="AG972" s="91"/>
      <c r="AH972" s="91"/>
      <c r="AI972" s="91"/>
      <c r="AJ972" s="91"/>
      <c r="AK972" s="91"/>
      <c r="AL972" s="92">
        <v>1</v>
      </c>
      <c r="AM972" s="92"/>
      <c r="AN972" s="93"/>
      <c r="AO972" s="92"/>
      <c r="AQ972" s="56" t="s">
        <v>2462</v>
      </c>
      <c r="AS972">
        <v>1</v>
      </c>
    </row>
    <row r="973" spans="1:45">
      <c r="A973">
        <v>464005</v>
      </c>
      <c r="B973" s="8">
        <v>1001</v>
      </c>
      <c r="C973" s="8">
        <v>2</v>
      </c>
      <c r="D973" s="8">
        <v>1004</v>
      </c>
      <c r="E973" s="3" t="s">
        <v>2510</v>
      </c>
      <c r="F973" s="13" t="s">
        <v>2510</v>
      </c>
      <c r="G973" t="s">
        <v>2353</v>
      </c>
      <c r="H973" t="s">
        <v>2177</v>
      </c>
      <c r="I973">
        <v>1</v>
      </c>
      <c r="J973">
        <v>5</v>
      </c>
      <c r="K973" s="87">
        <v>1</v>
      </c>
      <c r="L973" s="8">
        <v>999</v>
      </c>
      <c r="M973" s="8">
        <v>0</v>
      </c>
      <c r="N973" s="8"/>
      <c r="S973" s="89">
        <v>1</v>
      </c>
      <c r="T973" s="8">
        <v>5</v>
      </c>
      <c r="U973" s="89">
        <v>500</v>
      </c>
      <c r="V973" s="87">
        <v>1</v>
      </c>
      <c r="W973" s="8">
        <v>1</v>
      </c>
      <c r="X973" s="8">
        <v>1</v>
      </c>
      <c r="Y973">
        <v>0</v>
      </c>
      <c r="Z973" s="33">
        <v>0</v>
      </c>
      <c r="AA973">
        <v>5</v>
      </c>
      <c r="AB973" s="34">
        <v>8000</v>
      </c>
      <c r="AC973" s="87">
        <v>854</v>
      </c>
      <c r="AE973" s="90"/>
      <c r="AF973" s="90"/>
      <c r="AG973" s="91"/>
      <c r="AH973" s="91"/>
      <c r="AI973" s="91"/>
      <c r="AJ973" s="91"/>
      <c r="AK973" s="91"/>
      <c r="AL973" s="92">
        <v>1</v>
      </c>
      <c r="AM973" s="92"/>
      <c r="AN973" s="93"/>
      <c r="AO973" s="92"/>
      <c r="AQ973" s="56" t="s">
        <v>2464</v>
      </c>
      <c r="AS973">
        <v>1</v>
      </c>
    </row>
    <row r="974" spans="1:45">
      <c r="A974">
        <v>464006</v>
      </c>
      <c r="B974" s="8">
        <v>1001</v>
      </c>
      <c r="C974" s="8">
        <v>2</v>
      </c>
      <c r="D974" s="8">
        <v>1004</v>
      </c>
      <c r="E974" s="3" t="s">
        <v>2511</v>
      </c>
      <c r="F974" s="13" t="s">
        <v>2511</v>
      </c>
      <c r="G974" t="s">
        <v>2353</v>
      </c>
      <c r="H974" t="s">
        <v>2177</v>
      </c>
      <c r="I974">
        <v>1</v>
      </c>
      <c r="J974">
        <v>5</v>
      </c>
      <c r="K974" s="87">
        <v>1</v>
      </c>
      <c r="L974" s="8">
        <v>999</v>
      </c>
      <c r="M974" s="8">
        <v>0</v>
      </c>
      <c r="N974" s="8"/>
      <c r="S974" s="89">
        <v>1</v>
      </c>
      <c r="T974" s="8">
        <v>5</v>
      </c>
      <c r="U974" s="89">
        <v>500</v>
      </c>
      <c r="V974" s="87">
        <v>1</v>
      </c>
      <c r="W974" s="8">
        <v>1</v>
      </c>
      <c r="X974" s="8">
        <v>1</v>
      </c>
      <c r="Y974">
        <v>0</v>
      </c>
      <c r="Z974" s="33">
        <v>0</v>
      </c>
      <c r="AA974">
        <v>5</v>
      </c>
      <c r="AB974" s="34">
        <v>8000</v>
      </c>
      <c r="AC974" s="87">
        <v>854</v>
      </c>
      <c r="AE974" s="90"/>
      <c r="AF974" s="90"/>
      <c r="AG974" s="91"/>
      <c r="AH974" s="91"/>
      <c r="AI974" s="91"/>
      <c r="AJ974" s="91"/>
      <c r="AK974" s="91"/>
      <c r="AL974" s="92">
        <v>1</v>
      </c>
      <c r="AM974" s="92"/>
      <c r="AN974" s="93"/>
      <c r="AO974" s="92"/>
      <c r="AQ974" s="56" t="s">
        <v>2466</v>
      </c>
      <c r="AS974">
        <v>1</v>
      </c>
    </row>
    <row r="975" spans="1:45">
      <c r="A975">
        <v>464007</v>
      </c>
      <c r="B975" s="8">
        <v>1001</v>
      </c>
      <c r="C975" s="8">
        <v>2</v>
      </c>
      <c r="D975" s="8">
        <v>1004</v>
      </c>
      <c r="E975" s="3" t="s">
        <v>2512</v>
      </c>
      <c r="F975" s="13" t="s">
        <v>2512</v>
      </c>
      <c r="G975" t="s">
        <v>2353</v>
      </c>
      <c r="H975" t="s">
        <v>2177</v>
      </c>
      <c r="I975">
        <v>1</v>
      </c>
      <c r="J975">
        <v>5</v>
      </c>
      <c r="K975" s="87">
        <v>1</v>
      </c>
      <c r="L975" s="8">
        <v>999</v>
      </c>
      <c r="M975" s="8">
        <v>0</v>
      </c>
      <c r="N975" s="8"/>
      <c r="S975" s="89">
        <v>1</v>
      </c>
      <c r="T975" s="8">
        <v>5</v>
      </c>
      <c r="U975" s="89">
        <v>500</v>
      </c>
      <c r="V975" s="87">
        <v>1</v>
      </c>
      <c r="W975" s="8">
        <v>1</v>
      </c>
      <c r="X975" s="8">
        <v>1</v>
      </c>
      <c r="Y975">
        <v>0</v>
      </c>
      <c r="Z975" s="33">
        <v>0</v>
      </c>
      <c r="AA975">
        <v>5</v>
      </c>
      <c r="AB975" s="34">
        <v>8000</v>
      </c>
      <c r="AC975" s="87">
        <v>854</v>
      </c>
      <c r="AE975" s="90"/>
      <c r="AF975" s="90"/>
      <c r="AG975" s="91"/>
      <c r="AH975" s="91"/>
      <c r="AI975" s="91"/>
      <c r="AJ975" s="91"/>
      <c r="AK975" s="91"/>
      <c r="AL975" s="92">
        <v>1</v>
      </c>
      <c r="AM975" s="92"/>
      <c r="AN975" s="93"/>
      <c r="AO975" s="92"/>
      <c r="AQ975" s="56" t="s">
        <v>2468</v>
      </c>
      <c r="AS975">
        <v>1</v>
      </c>
    </row>
    <row r="976" spans="1:45">
      <c r="A976">
        <v>464008</v>
      </c>
      <c r="B976" s="8">
        <v>1001</v>
      </c>
      <c r="C976" s="8">
        <v>2</v>
      </c>
      <c r="D976" s="8">
        <v>1004</v>
      </c>
      <c r="E976" s="3" t="s">
        <v>2513</v>
      </c>
      <c r="F976" s="13" t="s">
        <v>2513</v>
      </c>
      <c r="G976" t="s">
        <v>2353</v>
      </c>
      <c r="H976" t="s">
        <v>2177</v>
      </c>
      <c r="I976">
        <v>1</v>
      </c>
      <c r="J976">
        <v>5</v>
      </c>
      <c r="K976" s="87">
        <v>1</v>
      </c>
      <c r="L976" s="8">
        <v>999</v>
      </c>
      <c r="M976" s="8">
        <v>0</v>
      </c>
      <c r="N976" s="8"/>
      <c r="S976" s="89">
        <v>1</v>
      </c>
      <c r="T976" s="8">
        <v>5</v>
      </c>
      <c r="U976" s="89">
        <v>500</v>
      </c>
      <c r="V976" s="87">
        <v>1</v>
      </c>
      <c r="W976" s="8">
        <v>1</v>
      </c>
      <c r="X976" s="8">
        <v>1</v>
      </c>
      <c r="Y976">
        <v>0</v>
      </c>
      <c r="Z976" s="33">
        <v>0</v>
      </c>
      <c r="AA976">
        <v>5</v>
      </c>
      <c r="AB976" s="34">
        <v>8000</v>
      </c>
      <c r="AC976" s="87">
        <v>854</v>
      </c>
      <c r="AE976" s="90"/>
      <c r="AF976" s="90"/>
      <c r="AG976" s="91"/>
      <c r="AH976" s="91"/>
      <c r="AI976" s="91"/>
      <c r="AJ976" s="91"/>
      <c r="AK976" s="91"/>
      <c r="AL976" s="92">
        <v>1</v>
      </c>
      <c r="AM976" s="92"/>
      <c r="AN976" s="93"/>
      <c r="AO976" s="92"/>
      <c r="AQ976" s="56" t="s">
        <v>2470</v>
      </c>
      <c r="AS976">
        <v>1</v>
      </c>
    </row>
    <row r="977" spans="1:45">
      <c r="A977">
        <v>464009</v>
      </c>
      <c r="B977" s="8">
        <v>1001</v>
      </c>
      <c r="C977" s="8">
        <v>2</v>
      </c>
      <c r="D977" s="8">
        <v>1004</v>
      </c>
      <c r="E977" s="3" t="s">
        <v>2514</v>
      </c>
      <c r="F977" s="13" t="s">
        <v>2514</v>
      </c>
      <c r="G977" t="s">
        <v>2353</v>
      </c>
      <c r="H977" t="s">
        <v>2177</v>
      </c>
      <c r="I977">
        <v>1</v>
      </c>
      <c r="J977">
        <v>5</v>
      </c>
      <c r="K977" s="87">
        <v>1</v>
      </c>
      <c r="L977" s="8">
        <v>999</v>
      </c>
      <c r="M977" s="8">
        <v>0</v>
      </c>
      <c r="N977" s="8"/>
      <c r="S977" s="89">
        <v>1</v>
      </c>
      <c r="T977" s="8">
        <v>5</v>
      </c>
      <c r="U977" s="89">
        <v>500</v>
      </c>
      <c r="V977" s="87">
        <v>1</v>
      </c>
      <c r="W977" s="8">
        <v>1</v>
      </c>
      <c r="X977" s="8">
        <v>1</v>
      </c>
      <c r="Y977">
        <v>0</v>
      </c>
      <c r="Z977" s="33">
        <v>0</v>
      </c>
      <c r="AA977">
        <v>5</v>
      </c>
      <c r="AB977" s="34">
        <v>8000</v>
      </c>
      <c r="AC977" s="87">
        <v>854</v>
      </c>
      <c r="AE977" s="90"/>
      <c r="AF977" s="90"/>
      <c r="AG977" s="91"/>
      <c r="AH977" s="91"/>
      <c r="AI977" s="91"/>
      <c r="AJ977" s="91"/>
      <c r="AK977" s="91"/>
      <c r="AL977" s="92">
        <v>1</v>
      </c>
      <c r="AM977" s="92"/>
      <c r="AN977" s="93"/>
      <c r="AO977" s="92"/>
      <c r="AQ977" s="56" t="s">
        <v>2472</v>
      </c>
      <c r="AS977">
        <v>1</v>
      </c>
    </row>
    <row r="978" spans="1:45">
      <c r="A978">
        <v>464010</v>
      </c>
      <c r="B978" s="8">
        <v>1001</v>
      </c>
      <c r="C978" s="8">
        <v>2</v>
      </c>
      <c r="D978" s="8">
        <v>1004</v>
      </c>
      <c r="E978" s="3" t="s">
        <v>2515</v>
      </c>
      <c r="F978" s="13" t="s">
        <v>2515</v>
      </c>
      <c r="G978" t="s">
        <v>2353</v>
      </c>
      <c r="H978" t="s">
        <v>2177</v>
      </c>
      <c r="I978">
        <v>1</v>
      </c>
      <c r="J978">
        <v>5</v>
      </c>
      <c r="K978" s="87">
        <v>1</v>
      </c>
      <c r="L978" s="8">
        <v>999</v>
      </c>
      <c r="M978" s="8">
        <v>0</v>
      </c>
      <c r="N978" s="8"/>
      <c r="S978" s="89">
        <v>1</v>
      </c>
      <c r="T978" s="8">
        <v>5</v>
      </c>
      <c r="U978" s="89">
        <v>500</v>
      </c>
      <c r="V978" s="87">
        <v>1</v>
      </c>
      <c r="W978" s="8">
        <v>1</v>
      </c>
      <c r="X978" s="8">
        <v>1</v>
      </c>
      <c r="Y978">
        <v>0</v>
      </c>
      <c r="Z978" s="33">
        <v>0</v>
      </c>
      <c r="AA978">
        <v>5</v>
      </c>
      <c r="AB978" s="34">
        <v>8000</v>
      </c>
      <c r="AC978" s="87">
        <v>854</v>
      </c>
      <c r="AE978" s="90"/>
      <c r="AF978" s="90"/>
      <c r="AG978" s="91"/>
      <c r="AH978" s="91"/>
      <c r="AI978" s="91"/>
      <c r="AJ978" s="91"/>
      <c r="AK978" s="91"/>
      <c r="AL978" s="92">
        <v>1</v>
      </c>
      <c r="AM978" s="92"/>
      <c r="AN978" s="93"/>
      <c r="AO978" s="92"/>
      <c r="AQ978" s="56" t="s">
        <v>2474</v>
      </c>
      <c r="AS978">
        <v>1</v>
      </c>
    </row>
    <row r="979" spans="1:45">
      <c r="A979">
        <v>464011</v>
      </c>
      <c r="B979" s="8">
        <v>1001</v>
      </c>
      <c r="C979" s="8">
        <v>2</v>
      </c>
      <c r="D979" s="8">
        <v>1004</v>
      </c>
      <c r="E979" s="3" t="s">
        <v>2516</v>
      </c>
      <c r="F979" s="13" t="s">
        <v>2516</v>
      </c>
      <c r="G979" t="s">
        <v>2353</v>
      </c>
      <c r="H979" t="s">
        <v>2177</v>
      </c>
      <c r="I979">
        <v>1</v>
      </c>
      <c r="J979">
        <v>5</v>
      </c>
      <c r="K979" s="87">
        <v>1</v>
      </c>
      <c r="L979" s="8">
        <v>999</v>
      </c>
      <c r="M979" s="8">
        <v>0</v>
      </c>
      <c r="N979" s="8"/>
      <c r="S979" s="89">
        <v>1</v>
      </c>
      <c r="T979" s="8">
        <v>5</v>
      </c>
      <c r="U979" s="89">
        <v>500</v>
      </c>
      <c r="V979" s="87">
        <v>1</v>
      </c>
      <c r="W979" s="8">
        <v>1</v>
      </c>
      <c r="X979" s="8">
        <v>1</v>
      </c>
      <c r="Y979">
        <v>0</v>
      </c>
      <c r="Z979" s="33">
        <v>0</v>
      </c>
      <c r="AA979">
        <v>5</v>
      </c>
      <c r="AB979" s="34">
        <v>8000</v>
      </c>
      <c r="AC979" s="87">
        <v>854</v>
      </c>
      <c r="AE979" s="90"/>
      <c r="AF979" s="90"/>
      <c r="AG979" s="91"/>
      <c r="AH979" s="91"/>
      <c r="AI979" s="91"/>
      <c r="AJ979" s="91"/>
      <c r="AK979" s="91"/>
      <c r="AL979" s="92">
        <v>1</v>
      </c>
      <c r="AM979" s="92"/>
      <c r="AN979" s="93"/>
      <c r="AO979" s="92"/>
      <c r="AQ979" s="56" t="s">
        <v>2476</v>
      </c>
      <c r="AS979">
        <v>1</v>
      </c>
    </row>
    <row r="980" spans="1:45">
      <c r="A980">
        <v>464012</v>
      </c>
      <c r="B980" s="8">
        <v>1001</v>
      </c>
      <c r="C980" s="8">
        <v>2</v>
      </c>
      <c r="D980" s="8">
        <v>1004</v>
      </c>
      <c r="E980" s="3" t="s">
        <v>2517</v>
      </c>
      <c r="F980" s="13" t="s">
        <v>2517</v>
      </c>
      <c r="G980" t="s">
        <v>2353</v>
      </c>
      <c r="H980" t="s">
        <v>2177</v>
      </c>
      <c r="I980">
        <v>1</v>
      </c>
      <c r="J980">
        <v>5</v>
      </c>
      <c r="K980" s="87">
        <v>1</v>
      </c>
      <c r="L980" s="8">
        <v>999</v>
      </c>
      <c r="M980" s="8">
        <v>0</v>
      </c>
      <c r="N980" s="8"/>
      <c r="S980" s="89">
        <v>1</v>
      </c>
      <c r="T980" s="8">
        <v>5</v>
      </c>
      <c r="U980" s="89">
        <v>500</v>
      </c>
      <c r="V980" s="87">
        <v>1</v>
      </c>
      <c r="W980" s="8">
        <v>1</v>
      </c>
      <c r="X980" s="8">
        <v>1</v>
      </c>
      <c r="Y980">
        <v>0</v>
      </c>
      <c r="Z980" s="33">
        <v>0</v>
      </c>
      <c r="AA980">
        <v>5</v>
      </c>
      <c r="AB980" s="34">
        <v>8000</v>
      </c>
      <c r="AC980" s="87">
        <v>854</v>
      </c>
      <c r="AE980" s="90"/>
      <c r="AF980" s="90"/>
      <c r="AG980" s="91"/>
      <c r="AH980" s="91"/>
      <c r="AI980" s="91"/>
      <c r="AJ980" s="91"/>
      <c r="AK980" s="91"/>
      <c r="AL980" s="92">
        <v>1</v>
      </c>
      <c r="AM980" s="92"/>
      <c r="AN980" s="93"/>
      <c r="AO980" s="92"/>
      <c r="AQ980" s="56" t="s">
        <v>2478</v>
      </c>
      <c r="AS980">
        <v>1</v>
      </c>
    </row>
    <row r="981" spans="1:45">
      <c r="A981">
        <v>464013</v>
      </c>
      <c r="B981" s="8">
        <v>1001</v>
      </c>
      <c r="C981" s="8">
        <v>2</v>
      </c>
      <c r="D981" s="8">
        <v>1004</v>
      </c>
      <c r="E981" s="3" t="s">
        <v>2518</v>
      </c>
      <c r="F981" s="13" t="s">
        <v>2518</v>
      </c>
      <c r="G981" t="s">
        <v>2353</v>
      </c>
      <c r="H981" t="s">
        <v>2177</v>
      </c>
      <c r="I981">
        <v>1</v>
      </c>
      <c r="J981">
        <v>5</v>
      </c>
      <c r="K981" s="87">
        <v>1</v>
      </c>
      <c r="L981" s="8">
        <v>999</v>
      </c>
      <c r="M981" s="8">
        <v>0</v>
      </c>
      <c r="N981" s="8"/>
      <c r="S981" s="89">
        <v>1</v>
      </c>
      <c r="T981" s="8">
        <v>5</v>
      </c>
      <c r="U981" s="89">
        <v>500</v>
      </c>
      <c r="V981" s="87">
        <v>1</v>
      </c>
      <c r="W981" s="8">
        <v>1</v>
      </c>
      <c r="X981" s="8">
        <v>1</v>
      </c>
      <c r="Y981">
        <v>0</v>
      </c>
      <c r="Z981" s="33">
        <v>0</v>
      </c>
      <c r="AA981">
        <v>5</v>
      </c>
      <c r="AB981" s="34">
        <v>8000</v>
      </c>
      <c r="AC981" s="87">
        <v>854</v>
      </c>
      <c r="AE981" s="90"/>
      <c r="AF981" s="90"/>
      <c r="AG981" s="91"/>
      <c r="AH981" s="91"/>
      <c r="AI981" s="91"/>
      <c r="AJ981" s="91"/>
      <c r="AK981" s="91"/>
      <c r="AL981" s="92">
        <v>1</v>
      </c>
      <c r="AM981" s="92"/>
      <c r="AN981" s="93"/>
      <c r="AO981" s="92"/>
      <c r="AQ981" s="56" t="s">
        <v>2480</v>
      </c>
      <c r="AS981">
        <v>1</v>
      </c>
    </row>
    <row r="982" spans="1:45">
      <c r="A982">
        <v>464014</v>
      </c>
      <c r="B982" s="8">
        <v>1001</v>
      </c>
      <c r="C982" s="8">
        <v>2</v>
      </c>
      <c r="D982" s="8">
        <v>1004</v>
      </c>
      <c r="E982" s="3" t="s">
        <v>2519</v>
      </c>
      <c r="F982" s="13" t="s">
        <v>2519</v>
      </c>
      <c r="G982" t="s">
        <v>2353</v>
      </c>
      <c r="H982" t="s">
        <v>2177</v>
      </c>
      <c r="I982">
        <v>1</v>
      </c>
      <c r="J982">
        <v>5</v>
      </c>
      <c r="K982" s="87">
        <v>1</v>
      </c>
      <c r="L982" s="8">
        <v>999</v>
      </c>
      <c r="M982" s="8">
        <v>0</v>
      </c>
      <c r="N982" s="8"/>
      <c r="S982" s="89">
        <v>1</v>
      </c>
      <c r="T982" s="8">
        <v>5</v>
      </c>
      <c r="U982" s="89">
        <v>500</v>
      </c>
      <c r="V982" s="87">
        <v>1</v>
      </c>
      <c r="W982" s="8">
        <v>1</v>
      </c>
      <c r="X982" s="8">
        <v>1</v>
      </c>
      <c r="Y982">
        <v>0</v>
      </c>
      <c r="Z982" s="33">
        <v>0</v>
      </c>
      <c r="AA982">
        <v>5</v>
      </c>
      <c r="AB982" s="34">
        <v>8000</v>
      </c>
      <c r="AC982" s="87">
        <v>854</v>
      </c>
      <c r="AE982" s="90"/>
      <c r="AF982" s="90"/>
      <c r="AG982" s="91"/>
      <c r="AH982" s="91"/>
      <c r="AI982" s="91"/>
      <c r="AJ982" s="91"/>
      <c r="AK982" s="91"/>
      <c r="AL982" s="92">
        <v>1</v>
      </c>
      <c r="AM982" s="92"/>
      <c r="AN982" s="93"/>
      <c r="AO982" s="92"/>
      <c r="AQ982" s="56" t="s">
        <v>2482</v>
      </c>
      <c r="AS982">
        <v>1</v>
      </c>
    </row>
    <row r="983" spans="1:45">
      <c r="A983">
        <v>464015</v>
      </c>
      <c r="B983" s="8">
        <v>1001</v>
      </c>
      <c r="C983" s="8">
        <v>2</v>
      </c>
      <c r="D983" s="8">
        <v>1004</v>
      </c>
      <c r="E983" s="3" t="s">
        <v>2520</v>
      </c>
      <c r="F983" s="13" t="s">
        <v>2520</v>
      </c>
      <c r="G983" t="s">
        <v>2353</v>
      </c>
      <c r="H983" t="s">
        <v>2177</v>
      </c>
      <c r="I983">
        <v>1</v>
      </c>
      <c r="J983">
        <v>5</v>
      </c>
      <c r="K983" s="87">
        <v>1</v>
      </c>
      <c r="L983" s="8">
        <v>999</v>
      </c>
      <c r="M983" s="8">
        <v>0</v>
      </c>
      <c r="N983" s="8"/>
      <c r="S983" s="89">
        <v>1</v>
      </c>
      <c r="T983" s="8">
        <v>5</v>
      </c>
      <c r="U983" s="89">
        <v>500</v>
      </c>
      <c r="V983" s="87">
        <v>1</v>
      </c>
      <c r="W983" s="8">
        <v>1</v>
      </c>
      <c r="X983" s="8">
        <v>1</v>
      </c>
      <c r="Y983">
        <v>0</v>
      </c>
      <c r="Z983" s="33">
        <v>0</v>
      </c>
      <c r="AA983">
        <v>5</v>
      </c>
      <c r="AB983" s="34">
        <v>8000</v>
      </c>
      <c r="AC983" s="87">
        <v>854</v>
      </c>
      <c r="AE983" s="90"/>
      <c r="AF983" s="90"/>
      <c r="AG983" s="91"/>
      <c r="AH983" s="91"/>
      <c r="AI983" s="91"/>
      <c r="AJ983" s="91"/>
      <c r="AK983" s="91"/>
      <c r="AL983" s="92">
        <v>1</v>
      </c>
      <c r="AM983" s="92"/>
      <c r="AN983" s="93"/>
      <c r="AO983" s="92"/>
      <c r="AQ983" s="56" t="s">
        <v>2484</v>
      </c>
      <c r="AS983">
        <v>1</v>
      </c>
    </row>
    <row r="984" spans="1:45">
      <c r="A984">
        <v>464016</v>
      </c>
      <c r="B984" s="8">
        <v>1001</v>
      </c>
      <c r="C984" s="8">
        <v>2</v>
      </c>
      <c r="D984" s="8">
        <v>1004</v>
      </c>
      <c r="E984" s="3" t="s">
        <v>2521</v>
      </c>
      <c r="F984" s="13" t="s">
        <v>2521</v>
      </c>
      <c r="G984" t="s">
        <v>2353</v>
      </c>
      <c r="H984" t="s">
        <v>2177</v>
      </c>
      <c r="I984">
        <v>1</v>
      </c>
      <c r="J984">
        <v>5</v>
      </c>
      <c r="K984" s="87">
        <v>1</v>
      </c>
      <c r="L984" s="8">
        <v>999</v>
      </c>
      <c r="M984" s="8">
        <v>0</v>
      </c>
      <c r="N984" s="8"/>
      <c r="S984" s="89">
        <v>1</v>
      </c>
      <c r="T984" s="8">
        <v>5</v>
      </c>
      <c r="U984" s="89">
        <v>500</v>
      </c>
      <c r="V984" s="87">
        <v>1</v>
      </c>
      <c r="W984" s="8">
        <v>1</v>
      </c>
      <c r="X984" s="8">
        <v>1</v>
      </c>
      <c r="Y984">
        <v>0</v>
      </c>
      <c r="Z984" s="33">
        <v>0</v>
      </c>
      <c r="AA984">
        <v>5</v>
      </c>
      <c r="AB984" s="34">
        <v>8000</v>
      </c>
      <c r="AC984" s="87">
        <v>854</v>
      </c>
      <c r="AE984" s="90"/>
      <c r="AF984" s="90"/>
      <c r="AG984" s="91"/>
      <c r="AH984" s="91"/>
      <c r="AI984" s="91"/>
      <c r="AJ984" s="91"/>
      <c r="AK984" s="91"/>
      <c r="AL984" s="92">
        <v>1</v>
      </c>
      <c r="AM984" s="92"/>
      <c r="AN984" s="93"/>
      <c r="AO984" s="92"/>
      <c r="AQ984" s="56" t="s">
        <v>2486</v>
      </c>
      <c r="AS984">
        <v>1</v>
      </c>
    </row>
    <row r="985" spans="1:45">
      <c r="A985">
        <v>464017</v>
      </c>
      <c r="B985" s="8">
        <v>1001</v>
      </c>
      <c r="C985" s="8">
        <v>2</v>
      </c>
      <c r="D985" s="8">
        <v>1004</v>
      </c>
      <c r="E985" s="3" t="s">
        <v>2522</v>
      </c>
      <c r="F985" s="13" t="s">
        <v>2522</v>
      </c>
      <c r="G985" t="s">
        <v>2353</v>
      </c>
      <c r="H985" t="s">
        <v>2177</v>
      </c>
      <c r="I985">
        <v>1</v>
      </c>
      <c r="J985">
        <v>5</v>
      </c>
      <c r="K985" s="87">
        <v>1</v>
      </c>
      <c r="L985" s="8">
        <v>999</v>
      </c>
      <c r="M985" s="8">
        <v>0</v>
      </c>
      <c r="N985" s="8"/>
      <c r="S985" s="89">
        <v>1</v>
      </c>
      <c r="T985" s="8">
        <v>5</v>
      </c>
      <c r="U985" s="89">
        <v>500</v>
      </c>
      <c r="V985" s="87">
        <v>1</v>
      </c>
      <c r="W985" s="8">
        <v>1</v>
      </c>
      <c r="X985" s="8">
        <v>1</v>
      </c>
      <c r="Y985">
        <v>0</v>
      </c>
      <c r="Z985" s="33">
        <v>0</v>
      </c>
      <c r="AA985">
        <v>5</v>
      </c>
      <c r="AB985" s="34">
        <v>8000</v>
      </c>
      <c r="AC985" s="87">
        <v>854</v>
      </c>
      <c r="AE985" s="90"/>
      <c r="AF985" s="90"/>
      <c r="AG985" s="91"/>
      <c r="AH985" s="91"/>
      <c r="AI985" s="91"/>
      <c r="AJ985" s="91"/>
      <c r="AK985" s="91"/>
      <c r="AL985" s="92">
        <v>1</v>
      </c>
      <c r="AM985" s="92"/>
      <c r="AN985" s="93"/>
      <c r="AO985" s="92"/>
      <c r="AQ985" s="56" t="s">
        <v>2488</v>
      </c>
      <c r="AS985">
        <v>1</v>
      </c>
    </row>
    <row r="986" spans="1:45">
      <c r="A986">
        <v>464018</v>
      </c>
      <c r="B986" s="8">
        <v>1001</v>
      </c>
      <c r="C986" s="8">
        <v>2</v>
      </c>
      <c r="D986" s="8">
        <v>1004</v>
      </c>
      <c r="E986" s="3" t="s">
        <v>2523</v>
      </c>
      <c r="F986" s="13" t="s">
        <v>2523</v>
      </c>
      <c r="G986" t="s">
        <v>2353</v>
      </c>
      <c r="H986" t="s">
        <v>2177</v>
      </c>
      <c r="I986">
        <v>1</v>
      </c>
      <c r="J986">
        <v>5</v>
      </c>
      <c r="K986" s="87">
        <v>1</v>
      </c>
      <c r="L986" s="8">
        <v>999</v>
      </c>
      <c r="M986" s="8">
        <v>0</v>
      </c>
      <c r="N986" s="8"/>
      <c r="S986" s="89">
        <v>1</v>
      </c>
      <c r="T986" s="8">
        <v>5</v>
      </c>
      <c r="U986" s="89">
        <v>500</v>
      </c>
      <c r="V986" s="87">
        <v>1</v>
      </c>
      <c r="W986" s="8">
        <v>1</v>
      </c>
      <c r="X986" s="8">
        <v>1</v>
      </c>
      <c r="Y986">
        <v>0</v>
      </c>
      <c r="Z986" s="33">
        <v>0</v>
      </c>
      <c r="AA986">
        <v>5</v>
      </c>
      <c r="AB986" s="34">
        <v>8000</v>
      </c>
      <c r="AC986" s="87">
        <v>854</v>
      </c>
      <c r="AE986" s="90"/>
      <c r="AF986" s="90"/>
      <c r="AG986" s="91"/>
      <c r="AH986" s="91"/>
      <c r="AI986" s="91"/>
      <c r="AJ986" s="91"/>
      <c r="AK986" s="91"/>
      <c r="AL986" s="92">
        <v>1</v>
      </c>
      <c r="AM986" s="92"/>
      <c r="AN986" s="93"/>
      <c r="AO986" s="92"/>
      <c r="AQ986" s="56" t="s">
        <v>2490</v>
      </c>
      <c r="AS986">
        <v>1</v>
      </c>
    </row>
    <row r="987" spans="1:45">
      <c r="A987">
        <v>464019</v>
      </c>
      <c r="B987" s="8">
        <v>1001</v>
      </c>
      <c r="C987" s="8">
        <v>2</v>
      </c>
      <c r="D987" s="8">
        <v>1004</v>
      </c>
      <c r="E987" s="3" t="s">
        <v>2524</v>
      </c>
      <c r="F987" s="13" t="s">
        <v>2524</v>
      </c>
      <c r="G987" t="s">
        <v>2353</v>
      </c>
      <c r="H987" t="s">
        <v>2177</v>
      </c>
      <c r="I987">
        <v>1</v>
      </c>
      <c r="J987">
        <v>5</v>
      </c>
      <c r="K987" s="87">
        <v>1</v>
      </c>
      <c r="L987" s="8">
        <v>999</v>
      </c>
      <c r="M987" s="8">
        <v>0</v>
      </c>
      <c r="N987" s="8"/>
      <c r="S987" s="89">
        <v>1</v>
      </c>
      <c r="T987" s="8">
        <v>5</v>
      </c>
      <c r="U987" s="89">
        <v>500</v>
      </c>
      <c r="V987" s="87">
        <v>1</v>
      </c>
      <c r="W987" s="8">
        <v>1</v>
      </c>
      <c r="X987" s="8">
        <v>1</v>
      </c>
      <c r="Y987">
        <v>0</v>
      </c>
      <c r="Z987" s="33">
        <v>0</v>
      </c>
      <c r="AA987">
        <v>5</v>
      </c>
      <c r="AB987" s="34">
        <v>8000</v>
      </c>
      <c r="AC987" s="87">
        <v>854</v>
      </c>
      <c r="AE987" s="90"/>
      <c r="AF987" s="90"/>
      <c r="AG987" s="91"/>
      <c r="AH987" s="91"/>
      <c r="AI987" s="91"/>
      <c r="AJ987" s="91"/>
      <c r="AK987" s="91"/>
      <c r="AL987" s="92">
        <v>1</v>
      </c>
      <c r="AM987" s="92"/>
      <c r="AN987" s="93"/>
      <c r="AO987" s="92"/>
      <c r="AQ987" s="56" t="s">
        <v>2492</v>
      </c>
      <c r="AS987">
        <v>1</v>
      </c>
    </row>
    <row r="988" spans="1:45">
      <c r="A988">
        <v>464020</v>
      </c>
      <c r="B988" s="8">
        <v>1001</v>
      </c>
      <c r="C988" s="8">
        <v>2</v>
      </c>
      <c r="D988" s="8">
        <v>1004</v>
      </c>
      <c r="E988" s="3" t="s">
        <v>2525</v>
      </c>
      <c r="F988" s="13" t="s">
        <v>2525</v>
      </c>
      <c r="G988" t="s">
        <v>2353</v>
      </c>
      <c r="H988" t="s">
        <v>2177</v>
      </c>
      <c r="I988">
        <v>1</v>
      </c>
      <c r="J988">
        <v>5</v>
      </c>
      <c r="K988" s="87">
        <v>1</v>
      </c>
      <c r="L988" s="8">
        <v>999</v>
      </c>
      <c r="M988" s="8">
        <v>0</v>
      </c>
      <c r="N988" s="8"/>
      <c r="S988" s="89">
        <v>1</v>
      </c>
      <c r="T988" s="8">
        <v>5</v>
      </c>
      <c r="U988" s="89">
        <v>500</v>
      </c>
      <c r="V988" s="87">
        <v>1</v>
      </c>
      <c r="W988" s="8">
        <v>1</v>
      </c>
      <c r="X988" s="8">
        <v>1</v>
      </c>
      <c r="Y988">
        <v>0</v>
      </c>
      <c r="Z988" s="33">
        <v>0</v>
      </c>
      <c r="AA988">
        <v>5</v>
      </c>
      <c r="AB988" s="34">
        <v>8000</v>
      </c>
      <c r="AC988" s="87">
        <v>854</v>
      </c>
      <c r="AE988" s="90"/>
      <c r="AF988" s="90"/>
      <c r="AG988" s="91"/>
      <c r="AH988" s="91"/>
      <c r="AI988" s="91"/>
      <c r="AJ988" s="91"/>
      <c r="AK988" s="91"/>
      <c r="AL988" s="92">
        <v>1</v>
      </c>
      <c r="AM988" s="92"/>
      <c r="AN988" s="93"/>
      <c r="AO988" s="92"/>
      <c r="AQ988" s="56" t="s">
        <v>2494</v>
      </c>
      <c r="AS988">
        <v>1</v>
      </c>
    </row>
    <row r="989" spans="1:45">
      <c r="A989">
        <v>464021</v>
      </c>
      <c r="B989" s="8">
        <v>1001</v>
      </c>
      <c r="C989" s="8">
        <v>2</v>
      </c>
      <c r="D989" s="8">
        <v>1004</v>
      </c>
      <c r="E989" s="3" t="s">
        <v>2526</v>
      </c>
      <c r="F989" s="13" t="s">
        <v>2526</v>
      </c>
      <c r="G989" t="s">
        <v>2353</v>
      </c>
      <c r="H989" t="s">
        <v>2177</v>
      </c>
      <c r="I989">
        <v>1</v>
      </c>
      <c r="J989">
        <v>5</v>
      </c>
      <c r="K989" s="87">
        <v>1</v>
      </c>
      <c r="L989" s="8">
        <v>999</v>
      </c>
      <c r="M989" s="8">
        <v>0</v>
      </c>
      <c r="N989" s="8"/>
      <c r="S989" s="89">
        <v>1</v>
      </c>
      <c r="T989" s="8">
        <v>5</v>
      </c>
      <c r="U989" s="89">
        <v>500</v>
      </c>
      <c r="V989" s="87">
        <v>1</v>
      </c>
      <c r="W989" s="8">
        <v>1</v>
      </c>
      <c r="X989" s="8">
        <v>1</v>
      </c>
      <c r="Y989">
        <v>0</v>
      </c>
      <c r="Z989" s="33">
        <v>0</v>
      </c>
      <c r="AA989">
        <v>5</v>
      </c>
      <c r="AB989" s="34">
        <v>8000</v>
      </c>
      <c r="AC989" s="87">
        <v>854</v>
      </c>
      <c r="AE989" s="90"/>
      <c r="AF989" s="90"/>
      <c r="AG989" s="91"/>
      <c r="AH989" s="91"/>
      <c r="AI989" s="91"/>
      <c r="AJ989" s="91"/>
      <c r="AK989" s="91"/>
      <c r="AL989" s="92">
        <v>1</v>
      </c>
      <c r="AM989" s="92"/>
      <c r="AN989" s="93"/>
      <c r="AO989" s="92"/>
      <c r="AQ989" s="56" t="s">
        <v>2496</v>
      </c>
      <c r="AS989">
        <v>1</v>
      </c>
    </row>
    <row r="990" spans="1:45">
      <c r="A990">
        <v>464022</v>
      </c>
      <c r="B990" s="8">
        <v>1001</v>
      </c>
      <c r="C990" s="8">
        <v>2</v>
      </c>
      <c r="D990" s="8">
        <v>1004</v>
      </c>
      <c r="E990" s="3" t="s">
        <v>2527</v>
      </c>
      <c r="F990" s="13" t="s">
        <v>2527</v>
      </c>
      <c r="G990" t="s">
        <v>2353</v>
      </c>
      <c r="H990" t="s">
        <v>2177</v>
      </c>
      <c r="I990">
        <v>1</v>
      </c>
      <c r="J990">
        <v>5</v>
      </c>
      <c r="K990" s="87">
        <v>1</v>
      </c>
      <c r="L990" s="8">
        <v>999</v>
      </c>
      <c r="M990" s="8">
        <v>0</v>
      </c>
      <c r="N990" s="8"/>
      <c r="S990" s="89">
        <v>1</v>
      </c>
      <c r="T990" s="8">
        <v>5</v>
      </c>
      <c r="U990" s="89">
        <v>500</v>
      </c>
      <c r="V990" s="87">
        <v>1</v>
      </c>
      <c r="W990" s="8">
        <v>1</v>
      </c>
      <c r="X990" s="8">
        <v>1</v>
      </c>
      <c r="Y990">
        <v>0</v>
      </c>
      <c r="Z990" s="33">
        <v>0</v>
      </c>
      <c r="AA990">
        <v>5</v>
      </c>
      <c r="AB990" s="34">
        <v>8000</v>
      </c>
      <c r="AC990" s="87">
        <v>854</v>
      </c>
      <c r="AE990" s="90"/>
      <c r="AF990" s="90"/>
      <c r="AG990" s="91"/>
      <c r="AH990" s="91"/>
      <c r="AI990" s="91"/>
      <c r="AJ990" s="91"/>
      <c r="AK990" s="91"/>
      <c r="AL990" s="92">
        <v>1</v>
      </c>
      <c r="AM990" s="92"/>
      <c r="AN990" s="93"/>
      <c r="AO990" s="92"/>
      <c r="AQ990" s="56" t="s">
        <v>2498</v>
      </c>
      <c r="AS990">
        <v>1</v>
      </c>
    </row>
    <row r="991" spans="1:45">
      <c r="A991">
        <v>464023</v>
      </c>
      <c r="B991" s="8">
        <v>1001</v>
      </c>
      <c r="C991" s="8">
        <v>2</v>
      </c>
      <c r="D991" s="8">
        <v>1004</v>
      </c>
      <c r="E991" s="3" t="s">
        <v>2528</v>
      </c>
      <c r="F991" s="13" t="s">
        <v>2528</v>
      </c>
      <c r="G991" t="s">
        <v>2353</v>
      </c>
      <c r="H991" t="s">
        <v>2177</v>
      </c>
      <c r="I991">
        <v>1</v>
      </c>
      <c r="J991">
        <v>5</v>
      </c>
      <c r="K991" s="87">
        <v>1</v>
      </c>
      <c r="L991" s="8">
        <v>999</v>
      </c>
      <c r="M991" s="8">
        <v>0</v>
      </c>
      <c r="N991" s="8"/>
      <c r="S991" s="89">
        <v>1</v>
      </c>
      <c r="T991" s="8">
        <v>5</v>
      </c>
      <c r="U991" s="89">
        <v>500</v>
      </c>
      <c r="V991" s="87">
        <v>1</v>
      </c>
      <c r="W991" s="8">
        <v>1</v>
      </c>
      <c r="X991" s="8">
        <v>1</v>
      </c>
      <c r="Y991">
        <v>0</v>
      </c>
      <c r="Z991" s="33">
        <v>0</v>
      </c>
      <c r="AA991">
        <v>5</v>
      </c>
      <c r="AB991" s="34">
        <v>8000</v>
      </c>
      <c r="AC991" s="87">
        <v>854</v>
      </c>
      <c r="AE991" s="90"/>
      <c r="AF991" s="90"/>
      <c r="AG991" s="91"/>
      <c r="AH991" s="91"/>
      <c r="AI991" s="91"/>
      <c r="AJ991" s="91"/>
      <c r="AK991" s="91"/>
      <c r="AL991" s="92">
        <v>1</v>
      </c>
      <c r="AM991" s="92"/>
      <c r="AN991" s="93"/>
      <c r="AO991" s="92"/>
      <c r="AQ991" s="56" t="s">
        <v>2500</v>
      </c>
      <c r="AS991">
        <v>1</v>
      </c>
    </row>
    <row r="992" spans="1:45">
      <c r="A992">
        <v>464024</v>
      </c>
      <c r="B992" s="8">
        <v>1001</v>
      </c>
      <c r="C992" s="8">
        <v>2</v>
      </c>
      <c r="D992" s="8">
        <v>1004</v>
      </c>
      <c r="E992" s="3" t="s">
        <v>2529</v>
      </c>
      <c r="F992" s="13" t="s">
        <v>2530</v>
      </c>
      <c r="G992" t="s">
        <v>2353</v>
      </c>
      <c r="H992" t="s">
        <v>2177</v>
      </c>
      <c r="I992">
        <v>1</v>
      </c>
      <c r="J992">
        <v>5</v>
      </c>
      <c r="K992" s="87">
        <v>1</v>
      </c>
      <c r="L992" s="8">
        <v>999</v>
      </c>
      <c r="M992" s="8">
        <v>0</v>
      </c>
      <c r="N992" s="8"/>
      <c r="S992" s="89">
        <v>1</v>
      </c>
      <c r="T992" s="8">
        <v>5</v>
      </c>
      <c r="U992" s="89">
        <v>500</v>
      </c>
      <c r="V992" s="87">
        <v>1</v>
      </c>
      <c r="W992" s="8">
        <v>1</v>
      </c>
      <c r="X992" s="8">
        <v>1</v>
      </c>
      <c r="Y992">
        <v>0</v>
      </c>
      <c r="Z992" s="33">
        <v>0</v>
      </c>
      <c r="AA992">
        <v>5</v>
      </c>
      <c r="AB992" s="34">
        <v>8000</v>
      </c>
      <c r="AC992" s="87">
        <v>854</v>
      </c>
      <c r="AE992" s="90"/>
      <c r="AF992" s="90"/>
      <c r="AG992" s="91"/>
      <c r="AH992" s="91"/>
      <c r="AI992" s="91"/>
      <c r="AJ992" s="91"/>
      <c r="AK992" s="91"/>
      <c r="AL992" s="92">
        <v>1</v>
      </c>
      <c r="AM992" s="92"/>
      <c r="AN992" s="93"/>
      <c r="AO992" s="92"/>
      <c r="AQ992" s="56" t="s">
        <v>2503</v>
      </c>
      <c r="AS992">
        <v>1</v>
      </c>
    </row>
    <row r="993" spans="1:45">
      <c r="A993">
        <v>464025</v>
      </c>
      <c r="B993" s="8">
        <v>1001</v>
      </c>
      <c r="C993" s="8">
        <v>2</v>
      </c>
      <c r="D993" s="8">
        <v>1004</v>
      </c>
      <c r="E993" s="3" t="s">
        <v>2531</v>
      </c>
      <c r="F993" s="13" t="s">
        <v>2531</v>
      </c>
      <c r="G993" t="s">
        <v>2353</v>
      </c>
      <c r="H993" t="s">
        <v>2177</v>
      </c>
      <c r="I993">
        <v>1</v>
      </c>
      <c r="J993">
        <v>5</v>
      </c>
      <c r="K993" s="87">
        <v>1</v>
      </c>
      <c r="L993" s="8">
        <v>999</v>
      </c>
      <c r="M993" s="8">
        <v>0</v>
      </c>
      <c r="N993" s="8"/>
      <c r="S993" s="89">
        <v>1</v>
      </c>
      <c r="T993" s="8">
        <v>5</v>
      </c>
      <c r="U993" s="89">
        <v>500</v>
      </c>
      <c r="V993" s="87">
        <v>1</v>
      </c>
      <c r="W993" s="8">
        <v>1</v>
      </c>
      <c r="X993" s="8">
        <v>1</v>
      </c>
      <c r="Y993">
        <v>0</v>
      </c>
      <c r="Z993" s="33">
        <v>0</v>
      </c>
      <c r="AA993">
        <v>5</v>
      </c>
      <c r="AB993" s="34">
        <v>8000</v>
      </c>
      <c r="AC993" s="87">
        <v>854</v>
      </c>
      <c r="AE993" s="90"/>
      <c r="AF993" s="90"/>
      <c r="AG993" s="91"/>
      <c r="AH993" s="91"/>
      <c r="AI993" s="91"/>
      <c r="AJ993" s="91"/>
      <c r="AK993" s="91"/>
      <c r="AL993" s="92">
        <v>1</v>
      </c>
      <c r="AM993" s="92"/>
      <c r="AN993" s="93"/>
      <c r="AO993" s="92"/>
      <c r="AQ993" s="56" t="s">
        <v>2505</v>
      </c>
      <c r="AS993">
        <v>1</v>
      </c>
    </row>
    <row r="994" spans="1:45">
      <c r="A994">
        <v>465001</v>
      </c>
      <c r="B994" s="8">
        <v>1001</v>
      </c>
      <c r="C994" s="8">
        <v>2</v>
      </c>
      <c r="D994" s="8">
        <v>1004</v>
      </c>
      <c r="E994" t="s">
        <v>2532</v>
      </c>
      <c r="F994" s="13" t="s">
        <v>2532</v>
      </c>
      <c r="G994" t="s">
        <v>2353</v>
      </c>
      <c r="H994" t="s">
        <v>2533</v>
      </c>
      <c r="I994">
        <v>1</v>
      </c>
      <c r="J994">
        <v>1</v>
      </c>
      <c r="K994" s="87">
        <v>1</v>
      </c>
      <c r="L994" s="8">
        <v>999</v>
      </c>
      <c r="M994" s="8">
        <v>0</v>
      </c>
      <c r="N994" s="8"/>
      <c r="S994" s="89">
        <v>1</v>
      </c>
      <c r="T994" s="8">
        <v>5</v>
      </c>
      <c r="U994" s="89">
        <v>500</v>
      </c>
      <c r="V994" s="87">
        <v>1</v>
      </c>
      <c r="W994" s="8">
        <v>1</v>
      </c>
      <c r="X994" s="8">
        <v>1</v>
      </c>
      <c r="Y994">
        <v>0</v>
      </c>
      <c r="Z994" s="33">
        <v>0</v>
      </c>
      <c r="AA994">
        <v>5</v>
      </c>
      <c r="AB994" s="34">
        <v>6000</v>
      </c>
      <c r="AC994" s="87">
        <v>855</v>
      </c>
      <c r="AE994" s="90"/>
      <c r="AF994" s="90"/>
      <c r="AG994" s="91"/>
      <c r="AH994" s="91"/>
      <c r="AI994" s="91"/>
      <c r="AJ994" s="91"/>
      <c r="AK994" s="91"/>
      <c r="AL994" s="92">
        <v>1</v>
      </c>
      <c r="AM994" s="92"/>
      <c r="AN994" s="93"/>
      <c r="AO994" s="92"/>
      <c r="AQ994" s="56" t="s">
        <v>2532</v>
      </c>
      <c r="AS994">
        <v>1</v>
      </c>
    </row>
    <row r="995" spans="1:45">
      <c r="A995">
        <v>465002</v>
      </c>
      <c r="B995" s="8">
        <v>1001</v>
      </c>
      <c r="C995" s="8">
        <v>2</v>
      </c>
      <c r="D995" s="8">
        <v>1004</v>
      </c>
      <c r="E995" t="s">
        <v>2534</v>
      </c>
      <c r="F995" s="13" t="s">
        <v>2534</v>
      </c>
      <c r="G995" t="s">
        <v>2353</v>
      </c>
      <c r="H995" t="s">
        <v>2535</v>
      </c>
      <c r="I995">
        <v>1</v>
      </c>
      <c r="J995">
        <v>1</v>
      </c>
      <c r="K995" s="87">
        <v>1</v>
      </c>
      <c r="L995" s="8">
        <v>999</v>
      </c>
      <c r="M995" s="8">
        <v>0</v>
      </c>
      <c r="N995" s="8"/>
      <c r="S995" s="89">
        <v>1</v>
      </c>
      <c r="T995" s="8">
        <v>5</v>
      </c>
      <c r="U995" s="89">
        <v>500</v>
      </c>
      <c r="V995" s="87">
        <v>1</v>
      </c>
      <c r="W995" s="8">
        <v>1</v>
      </c>
      <c r="X995" s="8">
        <v>1</v>
      </c>
      <c r="Y995">
        <v>0</v>
      </c>
      <c r="Z995" s="33">
        <v>0</v>
      </c>
      <c r="AA995">
        <v>5</v>
      </c>
      <c r="AB995" s="34">
        <v>6000</v>
      </c>
      <c r="AC995" s="87">
        <v>855</v>
      </c>
      <c r="AE995" s="90"/>
      <c r="AF995" s="90"/>
      <c r="AG995" s="91"/>
      <c r="AH995" s="91"/>
      <c r="AI995" s="91"/>
      <c r="AJ995" s="91"/>
      <c r="AK995" s="91"/>
      <c r="AL995" s="92">
        <v>1</v>
      </c>
      <c r="AM995" s="92"/>
      <c r="AN995" s="93"/>
      <c r="AO995" s="92"/>
      <c r="AQ995" s="56" t="s">
        <v>2534</v>
      </c>
      <c r="AS995">
        <v>1</v>
      </c>
    </row>
    <row r="996" spans="1:45">
      <c r="A996">
        <v>465003</v>
      </c>
      <c r="B996" s="8">
        <v>1001</v>
      </c>
      <c r="C996" s="8">
        <v>2</v>
      </c>
      <c r="D996" s="8">
        <v>1004</v>
      </c>
      <c r="E996" t="s">
        <v>2536</v>
      </c>
      <c r="F996" s="13" t="s">
        <v>2536</v>
      </c>
      <c r="G996" t="s">
        <v>2353</v>
      </c>
      <c r="H996" t="s">
        <v>2537</v>
      </c>
      <c r="I996">
        <v>1</v>
      </c>
      <c r="J996">
        <v>1</v>
      </c>
      <c r="K996" s="87">
        <v>1</v>
      </c>
      <c r="L996" s="8">
        <v>999</v>
      </c>
      <c r="M996" s="8">
        <v>0</v>
      </c>
      <c r="N996" s="8"/>
      <c r="S996" s="89">
        <v>1</v>
      </c>
      <c r="T996" s="8">
        <v>5</v>
      </c>
      <c r="U996" s="89">
        <v>500</v>
      </c>
      <c r="V996" s="87">
        <v>1</v>
      </c>
      <c r="W996" s="8">
        <v>1</v>
      </c>
      <c r="X996" s="8">
        <v>1</v>
      </c>
      <c r="Y996">
        <v>0</v>
      </c>
      <c r="Z996" s="33">
        <v>0</v>
      </c>
      <c r="AA996">
        <v>5</v>
      </c>
      <c r="AB996" s="34">
        <v>6000</v>
      </c>
      <c r="AC996" s="87">
        <v>855</v>
      </c>
      <c r="AE996" s="90"/>
      <c r="AF996" s="90"/>
      <c r="AG996" s="91"/>
      <c r="AH996" s="91"/>
      <c r="AI996" s="91"/>
      <c r="AJ996" s="91"/>
      <c r="AK996" s="91"/>
      <c r="AL996" s="92">
        <v>1</v>
      </c>
      <c r="AM996" s="92"/>
      <c r="AN996" s="93"/>
      <c r="AO996" s="92"/>
      <c r="AQ996" s="56" t="s">
        <v>2536</v>
      </c>
      <c r="AS996">
        <v>1</v>
      </c>
    </row>
    <row r="997" spans="1:45">
      <c r="A997">
        <v>465005</v>
      </c>
      <c r="B997" s="8">
        <v>1001</v>
      </c>
      <c r="C997" s="8">
        <v>2</v>
      </c>
      <c r="D997" s="8">
        <v>1004</v>
      </c>
      <c r="E997" t="s">
        <v>2538</v>
      </c>
      <c r="F997" s="13" t="s">
        <v>2538</v>
      </c>
      <c r="G997" t="s">
        <v>2353</v>
      </c>
      <c r="H997" t="s">
        <v>2539</v>
      </c>
      <c r="I997">
        <v>1</v>
      </c>
      <c r="J997">
        <v>1</v>
      </c>
      <c r="K997" s="87">
        <v>1</v>
      </c>
      <c r="L997" s="8">
        <v>999</v>
      </c>
      <c r="M997" s="8">
        <v>0</v>
      </c>
      <c r="N997" s="8"/>
      <c r="S997" s="89">
        <v>1</v>
      </c>
      <c r="T997" s="8">
        <v>5</v>
      </c>
      <c r="U997" s="89">
        <v>500</v>
      </c>
      <c r="V997" s="87">
        <v>1</v>
      </c>
      <c r="W997" s="8">
        <v>1</v>
      </c>
      <c r="X997" s="8">
        <v>1</v>
      </c>
      <c r="Y997">
        <v>0</v>
      </c>
      <c r="Z997" s="33">
        <v>0</v>
      </c>
      <c r="AA997">
        <v>5</v>
      </c>
      <c r="AB997" s="34">
        <v>6000</v>
      </c>
      <c r="AC997" s="87">
        <v>855</v>
      </c>
      <c r="AE997" s="90"/>
      <c r="AF997" s="90"/>
      <c r="AG997" s="91"/>
      <c r="AH997" s="91"/>
      <c r="AI997" s="91"/>
      <c r="AJ997" s="91"/>
      <c r="AK997" s="91"/>
      <c r="AL997" s="92">
        <v>1</v>
      </c>
      <c r="AM997" s="92"/>
      <c r="AN997" s="93"/>
      <c r="AO997" s="92"/>
      <c r="AQ997" s="56" t="s">
        <v>2538</v>
      </c>
      <c r="AS997">
        <v>1</v>
      </c>
    </row>
    <row r="998" spans="1:45">
      <c r="A998">
        <v>465006</v>
      </c>
      <c r="B998" s="8">
        <v>1001</v>
      </c>
      <c r="C998" s="8">
        <v>2</v>
      </c>
      <c r="D998" s="8">
        <v>1004</v>
      </c>
      <c r="E998" t="s">
        <v>2540</v>
      </c>
      <c r="F998" s="13" t="s">
        <v>2540</v>
      </c>
      <c r="G998" t="s">
        <v>2353</v>
      </c>
      <c r="H998" t="s">
        <v>2541</v>
      </c>
      <c r="I998">
        <v>1</v>
      </c>
      <c r="J998">
        <v>1</v>
      </c>
      <c r="K998" s="87">
        <v>1</v>
      </c>
      <c r="L998" s="8">
        <v>999</v>
      </c>
      <c r="M998" s="8">
        <v>0</v>
      </c>
      <c r="N998" s="8"/>
      <c r="S998" s="89">
        <v>1</v>
      </c>
      <c r="T998" s="8">
        <v>5</v>
      </c>
      <c r="U998" s="89">
        <v>500</v>
      </c>
      <c r="V998" s="87">
        <v>1</v>
      </c>
      <c r="W998" s="8">
        <v>1</v>
      </c>
      <c r="X998" s="8">
        <v>1</v>
      </c>
      <c r="Y998">
        <v>0</v>
      </c>
      <c r="Z998" s="33">
        <v>0</v>
      </c>
      <c r="AA998">
        <v>5</v>
      </c>
      <c r="AB998" s="34">
        <v>6000</v>
      </c>
      <c r="AC998" s="87">
        <v>855</v>
      </c>
      <c r="AE998" s="90"/>
      <c r="AF998" s="90"/>
      <c r="AG998" s="91"/>
      <c r="AH998" s="91"/>
      <c r="AI998" s="91"/>
      <c r="AJ998" s="91"/>
      <c r="AK998" s="91"/>
      <c r="AL998" s="92">
        <v>1</v>
      </c>
      <c r="AM998" s="92"/>
      <c r="AN998" s="93"/>
      <c r="AO998" s="92"/>
      <c r="AQ998" s="56" t="s">
        <v>2540</v>
      </c>
      <c r="AS998">
        <v>1</v>
      </c>
    </row>
    <row r="999" spans="1:45">
      <c r="A999">
        <v>465007</v>
      </c>
      <c r="B999" s="8">
        <v>1001</v>
      </c>
      <c r="C999" s="8">
        <v>2</v>
      </c>
      <c r="D999" s="8">
        <v>1004</v>
      </c>
      <c r="E999" t="s">
        <v>2542</v>
      </c>
      <c r="F999" s="13" t="s">
        <v>2542</v>
      </c>
      <c r="G999" t="s">
        <v>2353</v>
      </c>
      <c r="H999" t="s">
        <v>2543</v>
      </c>
      <c r="I999">
        <v>1</v>
      </c>
      <c r="J999">
        <v>1</v>
      </c>
      <c r="K999" s="87">
        <v>1</v>
      </c>
      <c r="L999" s="8">
        <v>999</v>
      </c>
      <c r="M999" s="8">
        <v>0</v>
      </c>
      <c r="N999" s="8"/>
      <c r="S999" s="89">
        <v>1</v>
      </c>
      <c r="T999" s="8">
        <v>5</v>
      </c>
      <c r="U999" s="89">
        <v>500</v>
      </c>
      <c r="V999" s="87">
        <v>1</v>
      </c>
      <c r="W999" s="8">
        <v>1</v>
      </c>
      <c r="X999" s="8">
        <v>1</v>
      </c>
      <c r="Y999">
        <v>0</v>
      </c>
      <c r="Z999" s="33">
        <v>0</v>
      </c>
      <c r="AA999">
        <v>5</v>
      </c>
      <c r="AB999" s="34">
        <v>6000</v>
      </c>
      <c r="AC999" s="87">
        <v>855</v>
      </c>
      <c r="AE999" s="90"/>
      <c r="AF999" s="90"/>
      <c r="AG999" s="91"/>
      <c r="AH999" s="91"/>
      <c r="AI999" s="91"/>
      <c r="AJ999" s="91"/>
      <c r="AK999" s="91"/>
      <c r="AL999" s="92">
        <v>1</v>
      </c>
      <c r="AM999" s="92"/>
      <c r="AN999" s="93"/>
      <c r="AO999" s="92"/>
      <c r="AQ999" s="56" t="s">
        <v>2542</v>
      </c>
      <c r="AS999">
        <v>1</v>
      </c>
    </row>
    <row r="1000" spans="1:45">
      <c r="A1000">
        <v>465008</v>
      </c>
      <c r="B1000" s="8">
        <v>1001</v>
      </c>
      <c r="C1000" s="8">
        <v>2</v>
      </c>
      <c r="D1000" s="8">
        <v>1004</v>
      </c>
      <c r="E1000" t="s">
        <v>2544</v>
      </c>
      <c r="F1000" s="13" t="s">
        <v>2544</v>
      </c>
      <c r="G1000" t="s">
        <v>2353</v>
      </c>
      <c r="H1000" t="s">
        <v>2545</v>
      </c>
      <c r="I1000">
        <v>1</v>
      </c>
      <c r="J1000">
        <v>1</v>
      </c>
      <c r="K1000" s="87">
        <v>1</v>
      </c>
      <c r="L1000" s="8">
        <v>999</v>
      </c>
      <c r="M1000" s="8">
        <v>0</v>
      </c>
      <c r="N1000" s="8"/>
      <c r="S1000" s="89">
        <v>1</v>
      </c>
      <c r="T1000" s="8">
        <v>5</v>
      </c>
      <c r="U1000" s="89">
        <v>500</v>
      </c>
      <c r="V1000" s="87">
        <v>1</v>
      </c>
      <c r="W1000" s="8">
        <v>1</v>
      </c>
      <c r="X1000" s="8">
        <v>1</v>
      </c>
      <c r="Y1000">
        <v>0</v>
      </c>
      <c r="Z1000" s="33">
        <v>0</v>
      </c>
      <c r="AA1000">
        <v>5</v>
      </c>
      <c r="AB1000" s="34">
        <v>6000</v>
      </c>
      <c r="AC1000" s="87">
        <v>855</v>
      </c>
      <c r="AE1000" s="90"/>
      <c r="AF1000" s="90"/>
      <c r="AG1000" s="91"/>
      <c r="AH1000" s="91"/>
      <c r="AI1000" s="91"/>
      <c r="AJ1000" s="91"/>
      <c r="AK1000" s="91"/>
      <c r="AL1000" s="92">
        <v>1</v>
      </c>
      <c r="AM1000" s="92"/>
      <c r="AN1000" s="93"/>
      <c r="AO1000" s="92"/>
      <c r="AQ1000" s="56" t="s">
        <v>2544</v>
      </c>
      <c r="AS1000">
        <v>1</v>
      </c>
    </row>
    <row r="1001" spans="1:45">
      <c r="A1001">
        <v>465009</v>
      </c>
      <c r="B1001" s="8">
        <v>1001</v>
      </c>
      <c r="C1001" s="8">
        <v>2</v>
      </c>
      <c r="D1001" s="8">
        <v>1004</v>
      </c>
      <c r="E1001" t="s">
        <v>2546</v>
      </c>
      <c r="F1001" s="13" t="s">
        <v>2546</v>
      </c>
      <c r="G1001" t="s">
        <v>2353</v>
      </c>
      <c r="H1001" t="s">
        <v>2547</v>
      </c>
      <c r="I1001">
        <v>1</v>
      </c>
      <c r="J1001">
        <v>1</v>
      </c>
      <c r="K1001" s="87">
        <v>1</v>
      </c>
      <c r="L1001" s="8">
        <v>999</v>
      </c>
      <c r="M1001" s="8">
        <v>0</v>
      </c>
      <c r="N1001" s="8"/>
      <c r="S1001" s="89">
        <v>1</v>
      </c>
      <c r="T1001" s="8">
        <v>5</v>
      </c>
      <c r="U1001" s="89">
        <v>500</v>
      </c>
      <c r="V1001" s="87">
        <v>1</v>
      </c>
      <c r="W1001" s="8">
        <v>1</v>
      </c>
      <c r="X1001" s="8">
        <v>1</v>
      </c>
      <c r="Y1001">
        <v>0</v>
      </c>
      <c r="Z1001" s="33">
        <v>0</v>
      </c>
      <c r="AA1001">
        <v>5</v>
      </c>
      <c r="AB1001" s="34">
        <v>6000</v>
      </c>
      <c r="AC1001" s="87">
        <v>855</v>
      </c>
      <c r="AE1001" s="90"/>
      <c r="AF1001" s="90"/>
      <c r="AG1001" s="91"/>
      <c r="AH1001" s="91"/>
      <c r="AI1001" s="91"/>
      <c r="AJ1001" s="91"/>
      <c r="AK1001" s="91"/>
      <c r="AL1001" s="92">
        <v>1</v>
      </c>
      <c r="AM1001" s="92"/>
      <c r="AN1001" s="93"/>
      <c r="AO1001" s="92"/>
      <c r="AQ1001" s="56" t="s">
        <v>2546</v>
      </c>
      <c r="AS1001">
        <v>1</v>
      </c>
    </row>
    <row r="1002" spans="1:45">
      <c r="A1002">
        <v>465010</v>
      </c>
      <c r="B1002" s="8">
        <v>1001</v>
      </c>
      <c r="C1002" s="8">
        <v>2</v>
      </c>
      <c r="D1002" s="8">
        <v>1004</v>
      </c>
      <c r="E1002" t="s">
        <v>2548</v>
      </c>
      <c r="F1002" s="13" t="s">
        <v>2548</v>
      </c>
      <c r="G1002" t="s">
        <v>2353</v>
      </c>
      <c r="H1002" t="s">
        <v>2549</v>
      </c>
      <c r="I1002">
        <v>1</v>
      </c>
      <c r="J1002">
        <v>1</v>
      </c>
      <c r="K1002" s="87">
        <v>1</v>
      </c>
      <c r="L1002" s="8">
        <v>999</v>
      </c>
      <c r="M1002" s="8">
        <v>0</v>
      </c>
      <c r="N1002" s="8"/>
      <c r="S1002" s="89">
        <v>1</v>
      </c>
      <c r="T1002" s="8">
        <v>5</v>
      </c>
      <c r="U1002" s="89">
        <v>500</v>
      </c>
      <c r="V1002" s="87">
        <v>1</v>
      </c>
      <c r="W1002" s="8">
        <v>1</v>
      </c>
      <c r="X1002" s="8">
        <v>1</v>
      </c>
      <c r="Y1002">
        <v>0</v>
      </c>
      <c r="Z1002" s="33">
        <v>0</v>
      </c>
      <c r="AA1002">
        <v>5</v>
      </c>
      <c r="AB1002" s="34">
        <v>6000</v>
      </c>
      <c r="AC1002" s="87">
        <v>855</v>
      </c>
      <c r="AE1002" s="90"/>
      <c r="AF1002" s="90"/>
      <c r="AG1002" s="91"/>
      <c r="AH1002" s="91"/>
      <c r="AI1002" s="91"/>
      <c r="AJ1002" s="91"/>
      <c r="AK1002" s="91"/>
      <c r="AL1002" s="92">
        <v>1</v>
      </c>
      <c r="AM1002" s="92"/>
      <c r="AN1002" s="93"/>
      <c r="AO1002" s="92"/>
      <c r="AQ1002" s="56" t="s">
        <v>2548</v>
      </c>
      <c r="AS1002">
        <v>1</v>
      </c>
    </row>
    <row r="1003" spans="1:45">
      <c r="A1003">
        <v>465011</v>
      </c>
      <c r="B1003" s="8">
        <v>1001</v>
      </c>
      <c r="C1003" s="8">
        <v>2</v>
      </c>
      <c r="D1003" s="8">
        <v>1004</v>
      </c>
      <c r="E1003" t="s">
        <v>2550</v>
      </c>
      <c r="F1003" s="13" t="s">
        <v>2550</v>
      </c>
      <c r="G1003" t="s">
        <v>2353</v>
      </c>
      <c r="H1003" t="s">
        <v>2551</v>
      </c>
      <c r="I1003">
        <v>1</v>
      </c>
      <c r="J1003">
        <v>1</v>
      </c>
      <c r="K1003" s="87">
        <v>1</v>
      </c>
      <c r="L1003" s="8">
        <v>999</v>
      </c>
      <c r="M1003" s="8">
        <v>0</v>
      </c>
      <c r="N1003" s="8"/>
      <c r="S1003" s="89">
        <v>1</v>
      </c>
      <c r="T1003" s="8">
        <v>5</v>
      </c>
      <c r="U1003" s="89">
        <v>500</v>
      </c>
      <c r="V1003" s="87">
        <v>1</v>
      </c>
      <c r="W1003" s="8">
        <v>1</v>
      </c>
      <c r="X1003" s="8">
        <v>1</v>
      </c>
      <c r="Y1003">
        <v>0</v>
      </c>
      <c r="Z1003" s="33">
        <v>0</v>
      </c>
      <c r="AA1003">
        <v>5</v>
      </c>
      <c r="AB1003" s="34">
        <v>6000</v>
      </c>
      <c r="AC1003" s="87">
        <v>855</v>
      </c>
      <c r="AE1003" s="90"/>
      <c r="AF1003" s="90"/>
      <c r="AG1003" s="91"/>
      <c r="AH1003" s="91"/>
      <c r="AI1003" s="91"/>
      <c r="AJ1003" s="91"/>
      <c r="AK1003" s="91"/>
      <c r="AL1003" s="92">
        <v>1</v>
      </c>
      <c r="AM1003" s="92"/>
      <c r="AN1003" s="93"/>
      <c r="AO1003" s="92"/>
      <c r="AQ1003" s="56" t="s">
        <v>2550</v>
      </c>
      <c r="AS1003">
        <v>1</v>
      </c>
    </row>
    <row r="1004" spans="1:45">
      <c r="A1004">
        <v>465012</v>
      </c>
      <c r="B1004" s="8">
        <v>1001</v>
      </c>
      <c r="C1004" s="8">
        <v>2</v>
      </c>
      <c r="D1004" s="8">
        <v>1004</v>
      </c>
      <c r="E1004" t="s">
        <v>2552</v>
      </c>
      <c r="F1004" s="13" t="s">
        <v>2552</v>
      </c>
      <c r="G1004" t="s">
        <v>2353</v>
      </c>
      <c r="H1004" t="s">
        <v>2553</v>
      </c>
      <c r="I1004">
        <v>1</v>
      </c>
      <c r="J1004">
        <v>1</v>
      </c>
      <c r="K1004" s="87">
        <v>1</v>
      </c>
      <c r="L1004" s="8">
        <v>999</v>
      </c>
      <c r="M1004" s="8">
        <v>0</v>
      </c>
      <c r="N1004" s="8"/>
      <c r="S1004" s="89">
        <v>1</v>
      </c>
      <c r="T1004" s="8">
        <v>5</v>
      </c>
      <c r="U1004" s="89">
        <v>500</v>
      </c>
      <c r="V1004" s="87">
        <v>1</v>
      </c>
      <c r="W1004" s="8">
        <v>1</v>
      </c>
      <c r="X1004" s="8">
        <v>1</v>
      </c>
      <c r="Y1004">
        <v>0</v>
      </c>
      <c r="Z1004" s="33">
        <v>0</v>
      </c>
      <c r="AA1004">
        <v>5</v>
      </c>
      <c r="AB1004" s="34">
        <v>6000</v>
      </c>
      <c r="AC1004" s="87">
        <v>855</v>
      </c>
      <c r="AE1004" s="90"/>
      <c r="AF1004" s="90"/>
      <c r="AG1004" s="91"/>
      <c r="AH1004" s="91"/>
      <c r="AI1004" s="91"/>
      <c r="AJ1004" s="91"/>
      <c r="AK1004" s="91"/>
      <c r="AL1004" s="92">
        <v>1</v>
      </c>
      <c r="AM1004" s="92"/>
      <c r="AN1004" s="93"/>
      <c r="AO1004" s="92"/>
      <c r="AQ1004" s="56" t="s">
        <v>2552</v>
      </c>
      <c r="AS1004">
        <v>1</v>
      </c>
    </row>
    <row r="1005" spans="1:45">
      <c r="A1005">
        <v>465013</v>
      </c>
      <c r="B1005" s="8">
        <v>1001</v>
      </c>
      <c r="C1005" s="8">
        <v>2</v>
      </c>
      <c r="D1005" s="8">
        <v>1004</v>
      </c>
      <c r="E1005" t="s">
        <v>2554</v>
      </c>
      <c r="F1005" s="13" t="s">
        <v>2554</v>
      </c>
      <c r="G1005"/>
      <c r="H1005" t="s">
        <v>2177</v>
      </c>
      <c r="I1005">
        <v>1</v>
      </c>
      <c r="J1005">
        <v>1</v>
      </c>
      <c r="K1005" s="87">
        <v>1</v>
      </c>
      <c r="L1005" s="8">
        <v>999</v>
      </c>
      <c r="M1005" s="8">
        <v>0</v>
      </c>
      <c r="N1005" s="8"/>
      <c r="S1005" s="89">
        <v>1</v>
      </c>
      <c r="T1005" s="8">
        <v>5</v>
      </c>
      <c r="U1005" s="89">
        <v>500</v>
      </c>
      <c r="V1005" s="87">
        <v>1</v>
      </c>
      <c r="W1005" s="8">
        <v>1</v>
      </c>
      <c r="X1005" s="8">
        <v>1</v>
      </c>
      <c r="Y1005" s="238">
        <v>0</v>
      </c>
      <c r="Z1005" s="33">
        <v>0</v>
      </c>
      <c r="AA1005" s="238">
        <v>5</v>
      </c>
      <c r="AB1005" s="34">
        <v>6000</v>
      </c>
      <c r="AC1005" s="87">
        <v>855</v>
      </c>
      <c r="AD1005" s="90"/>
      <c r="AE1005" s="90"/>
      <c r="AF1005" s="90"/>
      <c r="AG1005" s="91"/>
      <c r="AH1005" s="91"/>
      <c r="AI1005" s="91"/>
      <c r="AJ1005" s="91"/>
      <c r="AK1005" s="91"/>
      <c r="AL1005" s="92">
        <v>1</v>
      </c>
      <c r="AM1005" s="92"/>
      <c r="AN1005" s="93"/>
      <c r="AO1005" s="92"/>
      <c r="AQ1005" s="56" t="s">
        <v>2554</v>
      </c>
      <c r="AS1005">
        <v>1</v>
      </c>
    </row>
    <row r="1006" spans="1:45">
      <c r="A1006">
        <v>800001</v>
      </c>
      <c r="B1006" s="8">
        <v>1001</v>
      </c>
      <c r="C1006" s="8">
        <v>3</v>
      </c>
      <c r="D1006" s="8">
        <v>1001</v>
      </c>
      <c r="E1006" t="s">
        <v>2555</v>
      </c>
      <c r="F1006" s="13" t="s">
        <v>2555</v>
      </c>
      <c r="G1006" t="s">
        <v>2556</v>
      </c>
      <c r="H1006" t="s">
        <v>2557</v>
      </c>
      <c r="I1006">
        <v>1</v>
      </c>
      <c r="J1006">
        <v>3</v>
      </c>
      <c r="K1006" s="248">
        <v>2</v>
      </c>
      <c r="L1006" s="8">
        <v>999</v>
      </c>
      <c r="M1006" s="8">
        <v>0</v>
      </c>
      <c r="N1006" s="8">
        <v>1019</v>
      </c>
      <c r="O1006" s="2">
        <v>30</v>
      </c>
      <c r="S1006" s="89">
        <v>1</v>
      </c>
      <c r="T1006" s="8">
        <v>5</v>
      </c>
      <c r="U1006" s="89">
        <v>140</v>
      </c>
      <c r="V1006" s="87">
        <v>1</v>
      </c>
      <c r="W1006" s="236">
        <v>1</v>
      </c>
      <c r="X1006" s="8">
        <v>1</v>
      </c>
      <c r="Y1006" s="8">
        <v>0</v>
      </c>
      <c r="Z1006" s="33">
        <v>0</v>
      </c>
      <c r="AA1006" s="236">
        <v>5</v>
      </c>
      <c r="AB1006" s="34">
        <v>5320</v>
      </c>
      <c r="AC1006" s="87">
        <v>301</v>
      </c>
      <c r="AD1006" s="250">
        <v>0</v>
      </c>
      <c r="AE1006" s="250">
        <v>4</v>
      </c>
      <c r="AF1006" s="250">
        <v>2</v>
      </c>
      <c r="AG1006" s="251"/>
      <c r="AH1006" s="251"/>
      <c r="AI1006" s="251"/>
      <c r="AJ1006" s="251"/>
      <c r="AK1006" s="251"/>
      <c r="AL1006" s="252">
        <v>1</v>
      </c>
      <c r="AM1006" s="252"/>
      <c r="AN1006" s="93"/>
      <c r="AO1006" s="92"/>
      <c r="AQ1006" t="s">
        <v>2555</v>
      </c>
      <c r="AS1006">
        <v>1</v>
      </c>
    </row>
    <row r="1007" spans="1:45">
      <c r="A1007">
        <v>260001</v>
      </c>
      <c r="B1007" s="8">
        <v>1001</v>
      </c>
      <c r="C1007" s="8">
        <v>6</v>
      </c>
      <c r="D1007" s="8">
        <v>1001</v>
      </c>
      <c r="E1007" t="s">
        <v>2558</v>
      </c>
      <c r="F1007" s="13" t="s">
        <v>2559</v>
      </c>
      <c r="G1007" t="s">
        <v>2560</v>
      </c>
      <c r="H1007" t="s">
        <v>1520</v>
      </c>
      <c r="I1007">
        <v>10</v>
      </c>
      <c r="J1007">
        <v>2</v>
      </c>
      <c r="K1007" s="33">
        <v>2</v>
      </c>
      <c r="L1007" s="8">
        <v>999</v>
      </c>
      <c r="M1007" s="8">
        <v>0</v>
      </c>
      <c r="N1007" s="8">
        <v>1017</v>
      </c>
      <c r="O1007" s="2">
        <v>30017</v>
      </c>
      <c r="S1007" s="89">
        <v>1</v>
      </c>
      <c r="T1007" s="8">
        <v>5</v>
      </c>
      <c r="U1007" s="89">
        <v>110</v>
      </c>
      <c r="V1007" s="87">
        <v>1</v>
      </c>
      <c r="W1007">
        <v>1</v>
      </c>
      <c r="X1007" s="8">
        <v>1</v>
      </c>
      <c r="Y1007" s="8">
        <v>0</v>
      </c>
      <c r="Z1007" s="33">
        <v>0</v>
      </c>
      <c r="AA1007">
        <v>5</v>
      </c>
      <c r="AB1007" s="34">
        <v>4180</v>
      </c>
      <c r="AC1007" s="87">
        <v>125</v>
      </c>
      <c r="AD1007" s="62">
        <v>0</v>
      </c>
      <c r="AE1007" s="62">
        <v>4</v>
      </c>
      <c r="AF1007" s="62">
        <v>2</v>
      </c>
      <c r="AH1007" s="63">
        <v>1</v>
      </c>
      <c r="AL1007" s="64">
        <v>1</v>
      </c>
      <c r="AM1007" s="64">
        <v>10</v>
      </c>
      <c r="AN1007" s="93"/>
      <c r="AO1007" s="92"/>
      <c r="AQ1007" t="s">
        <v>2558</v>
      </c>
      <c r="AS1007">
        <v>1</v>
      </c>
    </row>
    <row r="1008" spans="1:45">
      <c r="A1008">
        <v>260002</v>
      </c>
      <c r="B1008" s="8">
        <v>1001</v>
      </c>
      <c r="C1008" s="8">
        <v>6</v>
      </c>
      <c r="D1008" s="8">
        <v>1001</v>
      </c>
      <c r="E1008" t="s">
        <v>2561</v>
      </c>
      <c r="F1008" s="13" t="s">
        <v>2562</v>
      </c>
      <c r="G1008" t="s">
        <v>2560</v>
      </c>
      <c r="H1008" t="s">
        <v>1520</v>
      </c>
      <c r="I1008">
        <v>10</v>
      </c>
      <c r="J1008">
        <v>2</v>
      </c>
      <c r="K1008" s="33">
        <v>2</v>
      </c>
      <c r="L1008" s="8">
        <v>999</v>
      </c>
      <c r="M1008" s="8">
        <v>0</v>
      </c>
      <c r="N1008" s="8">
        <v>1017</v>
      </c>
      <c r="O1008" s="2">
        <v>30017</v>
      </c>
      <c r="S1008" s="89">
        <v>1</v>
      </c>
      <c r="T1008" s="8">
        <v>5</v>
      </c>
      <c r="U1008" s="89">
        <v>110</v>
      </c>
      <c r="V1008" s="87">
        <v>1</v>
      </c>
      <c r="W1008">
        <v>1</v>
      </c>
      <c r="X1008" s="8">
        <v>1</v>
      </c>
      <c r="Y1008" s="8">
        <v>0</v>
      </c>
      <c r="Z1008" s="33">
        <v>0</v>
      </c>
      <c r="AA1008">
        <v>5</v>
      </c>
      <c r="AB1008" s="34">
        <v>4180</v>
      </c>
      <c r="AC1008" s="87">
        <v>125</v>
      </c>
      <c r="AD1008" s="62">
        <v>0</v>
      </c>
      <c r="AE1008" s="62">
        <v>4</v>
      </c>
      <c r="AF1008" s="62">
        <v>2</v>
      </c>
      <c r="AH1008" s="63">
        <v>1</v>
      </c>
      <c r="AL1008" s="64">
        <v>1</v>
      </c>
      <c r="AM1008" s="64">
        <v>10</v>
      </c>
      <c r="AN1008" s="93"/>
      <c r="AO1008" s="92"/>
      <c r="AQ1008" t="s">
        <v>2561</v>
      </c>
      <c r="AS1008">
        <v>1</v>
      </c>
    </row>
    <row r="1009" spans="1:45">
      <c r="A1009">
        <v>260003</v>
      </c>
      <c r="B1009" s="8">
        <v>1001</v>
      </c>
      <c r="C1009" s="8">
        <v>6</v>
      </c>
      <c r="D1009" s="8">
        <v>1001</v>
      </c>
      <c r="E1009" t="s">
        <v>2563</v>
      </c>
      <c r="F1009" s="13" t="s">
        <v>2559</v>
      </c>
      <c r="G1009" t="s">
        <v>1519</v>
      </c>
      <c r="H1009" t="s">
        <v>1520</v>
      </c>
      <c r="I1009">
        <v>20</v>
      </c>
      <c r="J1009">
        <v>2</v>
      </c>
      <c r="K1009" s="33">
        <v>2</v>
      </c>
      <c r="L1009" s="8">
        <v>999</v>
      </c>
      <c r="M1009" s="8">
        <v>0</v>
      </c>
      <c r="N1009" s="8">
        <v>1017</v>
      </c>
      <c r="O1009" s="2">
        <v>30018</v>
      </c>
      <c r="S1009" s="89">
        <v>1</v>
      </c>
      <c r="T1009" s="8">
        <v>5</v>
      </c>
      <c r="U1009" s="89">
        <v>110</v>
      </c>
      <c r="V1009" s="87">
        <v>1</v>
      </c>
      <c r="W1009">
        <v>1</v>
      </c>
      <c r="X1009" s="8">
        <v>1</v>
      </c>
      <c r="Y1009" s="8">
        <v>0</v>
      </c>
      <c r="Z1009" s="33">
        <v>0</v>
      </c>
      <c r="AA1009">
        <v>5</v>
      </c>
      <c r="AB1009" s="34">
        <v>4180</v>
      </c>
      <c r="AC1009" s="87">
        <v>125</v>
      </c>
      <c r="AD1009" s="62">
        <v>0</v>
      </c>
      <c r="AE1009" s="62">
        <v>4</v>
      </c>
      <c r="AF1009" s="62">
        <v>2</v>
      </c>
      <c r="AH1009" s="63">
        <v>1</v>
      </c>
      <c r="AL1009" s="64">
        <v>1</v>
      </c>
      <c r="AM1009" s="64">
        <v>20</v>
      </c>
      <c r="AN1009" s="93"/>
      <c r="AO1009" s="92"/>
      <c r="AQ1009" t="s">
        <v>2563</v>
      </c>
      <c r="AS1009">
        <v>1</v>
      </c>
    </row>
    <row r="1010" spans="1:45">
      <c r="A1010">
        <v>260004</v>
      </c>
      <c r="B1010" s="8">
        <v>1001</v>
      </c>
      <c r="C1010" s="8">
        <v>6</v>
      </c>
      <c r="D1010" s="8">
        <v>1001</v>
      </c>
      <c r="E1010" t="s">
        <v>2564</v>
      </c>
      <c r="F1010" s="13" t="s">
        <v>2562</v>
      </c>
      <c r="G1010" t="s">
        <v>1519</v>
      </c>
      <c r="H1010" t="s">
        <v>1520</v>
      </c>
      <c r="I1010">
        <v>20</v>
      </c>
      <c r="J1010">
        <v>2</v>
      </c>
      <c r="K1010" s="33">
        <v>2</v>
      </c>
      <c r="L1010" s="8">
        <v>999</v>
      </c>
      <c r="M1010" s="8">
        <v>0</v>
      </c>
      <c r="N1010" s="8">
        <v>1017</v>
      </c>
      <c r="O1010" s="2">
        <v>30018</v>
      </c>
      <c r="S1010" s="89">
        <v>1</v>
      </c>
      <c r="T1010" s="8">
        <v>5</v>
      </c>
      <c r="U1010" s="89">
        <v>110</v>
      </c>
      <c r="V1010" s="87">
        <v>1</v>
      </c>
      <c r="W1010">
        <v>1</v>
      </c>
      <c r="X1010" s="8">
        <v>1</v>
      </c>
      <c r="Y1010" s="8">
        <v>0</v>
      </c>
      <c r="Z1010" s="33">
        <v>0</v>
      </c>
      <c r="AA1010">
        <v>5</v>
      </c>
      <c r="AB1010" s="34">
        <v>4180</v>
      </c>
      <c r="AC1010" s="87">
        <v>125</v>
      </c>
      <c r="AD1010" s="62">
        <v>0</v>
      </c>
      <c r="AE1010" s="62">
        <v>4</v>
      </c>
      <c r="AF1010" s="62">
        <v>2</v>
      </c>
      <c r="AH1010" s="63">
        <v>1</v>
      </c>
      <c r="AL1010" s="64">
        <v>1</v>
      </c>
      <c r="AM1010" s="64">
        <v>20</v>
      </c>
      <c r="AN1010" s="93"/>
      <c r="AO1010" s="92"/>
      <c r="AQ1010" t="s">
        <v>2564</v>
      </c>
      <c r="AS1010">
        <v>1</v>
      </c>
    </row>
    <row r="1011" spans="1:45">
      <c r="A1011">
        <v>260005</v>
      </c>
      <c r="B1011" s="8">
        <v>1001</v>
      </c>
      <c r="C1011" s="8">
        <v>6</v>
      </c>
      <c r="D1011" s="8">
        <v>1001</v>
      </c>
      <c r="E1011" t="s">
        <v>2565</v>
      </c>
      <c r="F1011" s="13" t="s">
        <v>2559</v>
      </c>
      <c r="G1011" t="s">
        <v>1522</v>
      </c>
      <c r="H1011" t="s">
        <v>1520</v>
      </c>
      <c r="I1011">
        <v>30</v>
      </c>
      <c r="J1011">
        <v>2</v>
      </c>
      <c r="K1011" s="33">
        <v>2</v>
      </c>
      <c r="L1011" s="8">
        <v>999</v>
      </c>
      <c r="M1011" s="8">
        <v>0</v>
      </c>
      <c r="N1011" s="8">
        <v>1017</v>
      </c>
      <c r="O1011" s="2">
        <v>30019</v>
      </c>
      <c r="S1011" s="89">
        <v>1</v>
      </c>
      <c r="T1011" s="8">
        <v>5</v>
      </c>
      <c r="U1011" s="89">
        <v>110</v>
      </c>
      <c r="V1011" s="87">
        <v>1</v>
      </c>
      <c r="W1011">
        <v>1</v>
      </c>
      <c r="X1011" s="8">
        <v>1</v>
      </c>
      <c r="Y1011" s="8">
        <v>0</v>
      </c>
      <c r="Z1011" s="33">
        <v>0</v>
      </c>
      <c r="AA1011">
        <v>5</v>
      </c>
      <c r="AB1011" s="34">
        <v>4180</v>
      </c>
      <c r="AC1011" s="87">
        <v>125</v>
      </c>
      <c r="AD1011" s="62">
        <v>0</v>
      </c>
      <c r="AE1011" s="62">
        <v>4</v>
      </c>
      <c r="AF1011" s="62">
        <v>2</v>
      </c>
      <c r="AH1011" s="63">
        <v>1</v>
      </c>
      <c r="AL1011" s="64">
        <v>1</v>
      </c>
      <c r="AM1011" s="64">
        <v>30</v>
      </c>
      <c r="AN1011" s="93"/>
      <c r="AO1011" s="92"/>
      <c r="AQ1011" t="s">
        <v>2565</v>
      </c>
      <c r="AS1011">
        <v>1</v>
      </c>
    </row>
    <row r="1012" spans="1:45">
      <c r="A1012">
        <v>260006</v>
      </c>
      <c r="B1012" s="8">
        <v>1001</v>
      </c>
      <c r="C1012" s="8">
        <v>6</v>
      </c>
      <c r="D1012" s="8">
        <v>1001</v>
      </c>
      <c r="E1012" t="s">
        <v>2566</v>
      </c>
      <c r="F1012" s="13" t="s">
        <v>2562</v>
      </c>
      <c r="G1012" t="s">
        <v>1522</v>
      </c>
      <c r="H1012" t="s">
        <v>2567</v>
      </c>
      <c r="I1012">
        <v>30</v>
      </c>
      <c r="J1012">
        <v>2</v>
      </c>
      <c r="K1012" s="33">
        <v>2</v>
      </c>
      <c r="L1012" s="8">
        <v>999</v>
      </c>
      <c r="M1012" s="8">
        <v>0</v>
      </c>
      <c r="N1012" s="8">
        <v>1017</v>
      </c>
      <c r="O1012" s="2">
        <v>30019</v>
      </c>
      <c r="S1012" s="89">
        <v>1</v>
      </c>
      <c r="T1012" s="8">
        <v>5</v>
      </c>
      <c r="U1012" s="89">
        <v>110</v>
      </c>
      <c r="V1012" s="87">
        <v>1</v>
      </c>
      <c r="W1012">
        <v>1</v>
      </c>
      <c r="X1012" s="8">
        <v>1</v>
      </c>
      <c r="Y1012" s="8">
        <v>0</v>
      </c>
      <c r="Z1012" s="33">
        <v>0</v>
      </c>
      <c r="AA1012">
        <v>5</v>
      </c>
      <c r="AB1012" s="34">
        <v>4180</v>
      </c>
      <c r="AC1012" s="87">
        <v>125</v>
      </c>
      <c r="AD1012" s="62">
        <v>0</v>
      </c>
      <c r="AE1012" s="62">
        <v>4</v>
      </c>
      <c r="AF1012" s="62">
        <v>2</v>
      </c>
      <c r="AH1012" s="63">
        <v>1</v>
      </c>
      <c r="AL1012" s="64">
        <v>1</v>
      </c>
      <c r="AM1012" s="64">
        <v>30</v>
      </c>
      <c r="AN1012" s="93"/>
      <c r="AO1012" s="92"/>
      <c r="AQ1012" t="s">
        <v>2566</v>
      </c>
      <c r="AS1012">
        <v>1</v>
      </c>
    </row>
    <row r="1013" spans="1:45">
      <c r="A1013">
        <v>260007</v>
      </c>
      <c r="B1013" s="8">
        <v>1001</v>
      </c>
      <c r="C1013" s="8">
        <v>6</v>
      </c>
      <c r="D1013" s="8">
        <v>1001</v>
      </c>
      <c r="E1013" t="s">
        <v>2568</v>
      </c>
      <c r="F1013" s="13" t="s">
        <v>2568</v>
      </c>
      <c r="G1013" t="s">
        <v>2569</v>
      </c>
      <c r="H1013" t="s">
        <v>2567</v>
      </c>
      <c r="I1013">
        <v>1</v>
      </c>
      <c r="J1013">
        <v>4</v>
      </c>
      <c r="K1013" s="33">
        <v>2</v>
      </c>
      <c r="L1013" s="8">
        <v>999</v>
      </c>
      <c r="M1013" s="8">
        <v>0</v>
      </c>
      <c r="N1013" s="8">
        <v>1017</v>
      </c>
      <c r="O1013" s="249">
        <v>30207</v>
      </c>
      <c r="S1013" s="89">
        <v>1</v>
      </c>
      <c r="T1013" s="8">
        <v>5</v>
      </c>
      <c r="U1013" s="89">
        <v>110</v>
      </c>
      <c r="V1013" s="87">
        <v>1</v>
      </c>
      <c r="W1013">
        <v>1</v>
      </c>
      <c r="X1013" s="8">
        <v>1</v>
      </c>
      <c r="Y1013" s="8">
        <v>0</v>
      </c>
      <c r="Z1013" s="33">
        <v>0</v>
      </c>
      <c r="AA1013">
        <v>5</v>
      </c>
      <c r="AB1013" s="34">
        <v>4180</v>
      </c>
      <c r="AC1013" s="87">
        <v>125</v>
      </c>
      <c r="AD1013" s="62">
        <v>0</v>
      </c>
      <c r="AE1013" s="62">
        <v>4</v>
      </c>
      <c r="AF1013" s="62">
        <v>2</v>
      </c>
      <c r="AH1013" s="63">
        <v>1</v>
      </c>
      <c r="AL1013" s="64">
        <v>1</v>
      </c>
      <c r="AN1013" s="93"/>
      <c r="AO1013" s="92"/>
      <c r="AS1013">
        <v>1</v>
      </c>
    </row>
    <row r="1014" spans="1:45">
      <c r="A1014">
        <v>260008</v>
      </c>
      <c r="B1014" s="8">
        <v>1001</v>
      </c>
      <c r="C1014" s="8">
        <v>6</v>
      </c>
      <c r="D1014" s="8">
        <v>1001</v>
      </c>
      <c r="E1014" t="s">
        <v>2570</v>
      </c>
      <c r="F1014" s="13" t="s">
        <v>2570</v>
      </c>
      <c r="G1014" t="s">
        <v>2571</v>
      </c>
      <c r="H1014" t="s">
        <v>2567</v>
      </c>
      <c r="I1014">
        <v>1</v>
      </c>
      <c r="J1014">
        <v>4</v>
      </c>
      <c r="K1014" s="33">
        <v>2</v>
      </c>
      <c r="L1014" s="8">
        <v>999</v>
      </c>
      <c r="M1014" s="8">
        <v>0</v>
      </c>
      <c r="N1014" s="8">
        <v>1017</v>
      </c>
      <c r="O1014" s="249">
        <v>30208</v>
      </c>
      <c r="S1014" s="89">
        <v>1</v>
      </c>
      <c r="T1014" s="8">
        <v>5</v>
      </c>
      <c r="U1014" s="89">
        <v>110</v>
      </c>
      <c r="V1014" s="87">
        <v>1</v>
      </c>
      <c r="W1014">
        <v>1</v>
      </c>
      <c r="X1014" s="8">
        <v>1</v>
      </c>
      <c r="Y1014" s="8">
        <v>0</v>
      </c>
      <c r="Z1014" s="33">
        <v>0</v>
      </c>
      <c r="AA1014">
        <v>5</v>
      </c>
      <c r="AB1014" s="34">
        <v>4180</v>
      </c>
      <c r="AC1014" s="87">
        <v>125</v>
      </c>
      <c r="AD1014" s="62">
        <v>0</v>
      </c>
      <c r="AE1014" s="62">
        <v>4</v>
      </c>
      <c r="AF1014" s="62">
        <v>2</v>
      </c>
      <c r="AH1014" s="63">
        <v>1</v>
      </c>
      <c r="AL1014" s="64">
        <v>1</v>
      </c>
      <c r="AN1014" s="93"/>
      <c r="AO1014" s="92"/>
      <c r="AS1014">
        <v>1</v>
      </c>
    </row>
    <row r="1015" spans="1:45">
      <c r="A1015">
        <v>260009</v>
      </c>
      <c r="B1015" s="8">
        <v>1001</v>
      </c>
      <c r="C1015" s="8">
        <v>6</v>
      </c>
      <c r="D1015" s="8">
        <v>1001</v>
      </c>
      <c r="E1015" t="s">
        <v>2572</v>
      </c>
      <c r="F1015" s="13" t="s">
        <v>2572</v>
      </c>
      <c r="G1015" t="s">
        <v>2573</v>
      </c>
      <c r="H1015" t="s">
        <v>2567</v>
      </c>
      <c r="I1015">
        <v>1</v>
      </c>
      <c r="J1015">
        <v>4</v>
      </c>
      <c r="K1015" s="33">
        <v>2</v>
      </c>
      <c r="L1015" s="8">
        <v>999</v>
      </c>
      <c r="M1015" s="8">
        <v>0</v>
      </c>
      <c r="N1015" s="8">
        <v>1017</v>
      </c>
      <c r="O1015" s="249">
        <v>30209</v>
      </c>
      <c r="S1015" s="89">
        <v>1</v>
      </c>
      <c r="T1015" s="8">
        <v>5</v>
      </c>
      <c r="U1015" s="89">
        <v>110</v>
      </c>
      <c r="V1015" s="87">
        <v>1</v>
      </c>
      <c r="W1015">
        <v>1</v>
      </c>
      <c r="X1015" s="8">
        <v>1</v>
      </c>
      <c r="Y1015" s="8">
        <v>0</v>
      </c>
      <c r="Z1015" s="33">
        <v>0</v>
      </c>
      <c r="AA1015">
        <v>5</v>
      </c>
      <c r="AB1015" s="34">
        <v>4180</v>
      </c>
      <c r="AC1015" s="87">
        <v>125</v>
      </c>
      <c r="AD1015" s="62">
        <v>0</v>
      </c>
      <c r="AE1015" s="62">
        <v>4</v>
      </c>
      <c r="AF1015" s="62">
        <v>2</v>
      </c>
      <c r="AH1015" s="63">
        <v>1</v>
      </c>
      <c r="AL1015" s="64">
        <v>1</v>
      </c>
      <c r="AN1015" s="93"/>
      <c r="AO1015" s="92"/>
      <c r="AS1015">
        <v>1</v>
      </c>
    </row>
    <row r="1016" spans="1:45">
      <c r="A1016">
        <v>260010</v>
      </c>
      <c r="B1016" s="8">
        <v>1001</v>
      </c>
      <c r="C1016" s="8">
        <v>6</v>
      </c>
      <c r="D1016" s="8">
        <v>1001</v>
      </c>
      <c r="E1016" t="s">
        <v>2574</v>
      </c>
      <c r="F1016" s="13" t="s">
        <v>2574</v>
      </c>
      <c r="G1016" t="s">
        <v>2575</v>
      </c>
      <c r="H1016" s="238" t="s">
        <v>2567</v>
      </c>
      <c r="I1016">
        <v>1</v>
      </c>
      <c r="J1016">
        <v>4</v>
      </c>
      <c r="K1016" s="33">
        <v>2</v>
      </c>
      <c r="L1016" s="8">
        <v>999</v>
      </c>
      <c r="M1016" s="8">
        <v>0</v>
      </c>
      <c r="N1016" s="8">
        <v>1017</v>
      </c>
      <c r="O1016" s="249">
        <v>30210</v>
      </c>
      <c r="S1016" s="89">
        <v>1</v>
      </c>
      <c r="T1016" s="8">
        <v>5</v>
      </c>
      <c r="U1016" s="89">
        <v>110</v>
      </c>
      <c r="V1016" s="87">
        <v>1</v>
      </c>
      <c r="W1016">
        <v>1</v>
      </c>
      <c r="X1016" s="8">
        <v>1</v>
      </c>
      <c r="Y1016" s="8">
        <v>0</v>
      </c>
      <c r="Z1016" s="33">
        <v>0</v>
      </c>
      <c r="AA1016">
        <v>5</v>
      </c>
      <c r="AB1016" s="34">
        <v>4180</v>
      </c>
      <c r="AC1016" s="87">
        <v>125</v>
      </c>
      <c r="AD1016" s="62">
        <v>0</v>
      </c>
      <c r="AE1016" s="62">
        <v>4</v>
      </c>
      <c r="AF1016" s="62">
        <v>2</v>
      </c>
      <c r="AH1016" s="63">
        <v>1</v>
      </c>
      <c r="AI1016" s="64"/>
      <c r="AJ1016" s="64"/>
      <c r="AK1016" s="64"/>
      <c r="AL1016" s="64">
        <v>1</v>
      </c>
      <c r="AN1016" s="93"/>
      <c r="AO1016" s="92"/>
      <c r="AQ1016"/>
      <c r="AS1016">
        <v>1</v>
      </c>
    </row>
    <row r="1017" spans="1:45">
      <c r="A1017">
        <v>261001</v>
      </c>
      <c r="B1017" s="8">
        <v>1001</v>
      </c>
      <c r="C1017" s="8">
        <v>1</v>
      </c>
      <c r="D1017" s="8">
        <v>3</v>
      </c>
      <c r="E1017" t="s">
        <v>2576</v>
      </c>
      <c r="F1017" s="13" t="s">
        <v>2577</v>
      </c>
      <c r="G1017" t="s">
        <v>2578</v>
      </c>
      <c r="H1017" s="13" t="s">
        <v>2579</v>
      </c>
      <c r="I1017">
        <v>1</v>
      </c>
      <c r="J1017">
        <v>1</v>
      </c>
      <c r="K1017" s="33">
        <v>1</v>
      </c>
      <c r="L1017" s="8">
        <v>999</v>
      </c>
      <c r="M1017" s="8">
        <v>0</v>
      </c>
      <c r="N1017" s="8"/>
      <c r="S1017" s="89">
        <v>1</v>
      </c>
      <c r="T1017" s="8">
        <v>5</v>
      </c>
      <c r="U1017" s="89">
        <v>80</v>
      </c>
      <c r="V1017" s="87">
        <v>1</v>
      </c>
      <c r="W1017">
        <v>1</v>
      </c>
      <c r="X1017" s="8">
        <v>1</v>
      </c>
      <c r="Y1017" s="8">
        <v>0</v>
      </c>
      <c r="Z1017" s="33">
        <v>0</v>
      </c>
      <c r="AA1017">
        <v>5</v>
      </c>
      <c r="AB1017" s="34">
        <v>3040</v>
      </c>
      <c r="AC1017" s="87">
        <v>999</v>
      </c>
      <c r="AI1017" s="64"/>
      <c r="AJ1017" s="64"/>
      <c r="AK1017" s="64"/>
      <c r="AL1017" s="64">
        <v>0</v>
      </c>
      <c r="AM1017" s="64">
        <v>20</v>
      </c>
      <c r="AN1017" s="93" t="s">
        <v>2580</v>
      </c>
      <c r="AO1017" s="92"/>
      <c r="AQ1017" t="s">
        <v>2581</v>
      </c>
      <c r="AS1017">
        <v>1</v>
      </c>
    </row>
    <row r="1018" spans="1:45">
      <c r="A1018">
        <v>261002</v>
      </c>
      <c r="B1018" s="8">
        <v>1001</v>
      </c>
      <c r="C1018" s="8">
        <v>1</v>
      </c>
      <c r="D1018" s="8">
        <v>3</v>
      </c>
      <c r="E1018" t="s">
        <v>2582</v>
      </c>
      <c r="F1018" s="13" t="s">
        <v>2583</v>
      </c>
      <c r="G1018" t="s">
        <v>2584</v>
      </c>
      <c r="H1018" s="13" t="s">
        <v>2585</v>
      </c>
      <c r="I1018">
        <v>1</v>
      </c>
      <c r="J1018">
        <v>1</v>
      </c>
      <c r="K1018" s="33">
        <v>1</v>
      </c>
      <c r="L1018" s="8">
        <v>999</v>
      </c>
      <c r="M1018" s="8">
        <v>0</v>
      </c>
      <c r="N1018" s="8"/>
      <c r="S1018" s="89">
        <v>1</v>
      </c>
      <c r="T1018" s="8">
        <v>5</v>
      </c>
      <c r="U1018" s="89">
        <v>80</v>
      </c>
      <c r="V1018" s="87">
        <v>1</v>
      </c>
      <c r="W1018">
        <v>1</v>
      </c>
      <c r="X1018" s="8">
        <v>1</v>
      </c>
      <c r="Y1018" s="8">
        <v>0</v>
      </c>
      <c r="Z1018" s="33">
        <v>0</v>
      </c>
      <c r="AA1018">
        <v>5</v>
      </c>
      <c r="AB1018" s="34">
        <v>3040</v>
      </c>
      <c r="AC1018" s="87">
        <v>999</v>
      </c>
      <c r="AI1018" s="64"/>
      <c r="AJ1018" s="64"/>
      <c r="AK1018" s="64"/>
      <c r="AL1018" s="64">
        <v>0</v>
      </c>
      <c r="AM1018" s="64">
        <v>20</v>
      </c>
      <c r="AN1018" s="93" t="s">
        <v>2580</v>
      </c>
      <c r="AO1018" s="92"/>
      <c r="AQ1018" t="s">
        <v>2586</v>
      </c>
      <c r="AS1018">
        <v>1</v>
      </c>
    </row>
    <row r="1019" spans="1:45">
      <c r="A1019">
        <v>261003</v>
      </c>
      <c r="B1019" s="8">
        <v>1001</v>
      </c>
      <c r="C1019" s="8">
        <v>1</v>
      </c>
      <c r="D1019" s="8">
        <v>3</v>
      </c>
      <c r="E1019" t="s">
        <v>2587</v>
      </c>
      <c r="F1019" s="13" t="s">
        <v>2588</v>
      </c>
      <c r="G1019" t="s">
        <v>2589</v>
      </c>
      <c r="H1019" s="13" t="s">
        <v>2590</v>
      </c>
      <c r="I1019">
        <v>1</v>
      </c>
      <c r="J1019">
        <v>1</v>
      </c>
      <c r="K1019" s="33">
        <v>1</v>
      </c>
      <c r="L1019" s="8">
        <v>999</v>
      </c>
      <c r="M1019" s="8">
        <v>0</v>
      </c>
      <c r="N1019" s="8"/>
      <c r="S1019" s="89">
        <v>1</v>
      </c>
      <c r="T1019" s="8">
        <v>5</v>
      </c>
      <c r="U1019" s="89">
        <v>80</v>
      </c>
      <c r="V1019" s="87">
        <v>1</v>
      </c>
      <c r="W1019">
        <v>1</v>
      </c>
      <c r="X1019" s="8">
        <v>1</v>
      </c>
      <c r="Y1019" s="8">
        <v>0</v>
      </c>
      <c r="Z1019" s="33">
        <v>0</v>
      </c>
      <c r="AA1019">
        <v>5</v>
      </c>
      <c r="AB1019" s="34">
        <v>3040</v>
      </c>
      <c r="AC1019" s="87">
        <v>999</v>
      </c>
      <c r="AI1019" s="64"/>
      <c r="AJ1019" s="64"/>
      <c r="AK1019" s="64"/>
      <c r="AL1019" s="64">
        <v>0</v>
      </c>
      <c r="AM1019" s="64">
        <v>20</v>
      </c>
      <c r="AN1019" s="93" t="s">
        <v>2580</v>
      </c>
      <c r="AO1019" s="92"/>
      <c r="AQ1019" t="s">
        <v>2591</v>
      </c>
      <c r="AS1019">
        <v>1</v>
      </c>
    </row>
    <row r="1020" spans="1:45">
      <c r="A1020">
        <v>261004</v>
      </c>
      <c r="B1020" s="8">
        <v>1001</v>
      </c>
      <c r="C1020" s="8">
        <v>1</v>
      </c>
      <c r="D1020" s="8">
        <v>3</v>
      </c>
      <c r="E1020" t="s">
        <v>2592</v>
      </c>
      <c r="F1020" s="13" t="s">
        <v>2593</v>
      </c>
      <c r="G1020" t="s">
        <v>2594</v>
      </c>
      <c r="H1020" s="13" t="s">
        <v>2595</v>
      </c>
      <c r="I1020">
        <v>1</v>
      </c>
      <c r="J1020">
        <v>1</v>
      </c>
      <c r="K1020" s="33">
        <v>1</v>
      </c>
      <c r="L1020" s="8">
        <v>999</v>
      </c>
      <c r="M1020" s="8">
        <v>0</v>
      </c>
      <c r="N1020" s="8"/>
      <c r="S1020" s="89">
        <v>1</v>
      </c>
      <c r="T1020" s="8">
        <v>5</v>
      </c>
      <c r="U1020" s="89">
        <v>80</v>
      </c>
      <c r="V1020" s="87">
        <v>1</v>
      </c>
      <c r="W1020">
        <v>1</v>
      </c>
      <c r="X1020" s="8">
        <v>1</v>
      </c>
      <c r="Y1020" s="8">
        <v>0</v>
      </c>
      <c r="Z1020" s="33">
        <v>0</v>
      </c>
      <c r="AA1020">
        <v>5</v>
      </c>
      <c r="AB1020" s="34">
        <v>3040</v>
      </c>
      <c r="AC1020" s="87">
        <v>999</v>
      </c>
      <c r="AI1020" s="64"/>
      <c r="AJ1020" s="64"/>
      <c r="AK1020" s="64"/>
      <c r="AL1020" s="64">
        <v>0</v>
      </c>
      <c r="AM1020" s="64">
        <v>20</v>
      </c>
      <c r="AN1020" s="93" t="s">
        <v>2580</v>
      </c>
      <c r="AO1020" s="92"/>
      <c r="AQ1020" t="s">
        <v>2596</v>
      </c>
      <c r="AS1020">
        <v>1</v>
      </c>
    </row>
    <row r="1021" spans="1:45">
      <c r="A1021">
        <v>261005</v>
      </c>
      <c r="B1021" s="8">
        <v>1001</v>
      </c>
      <c r="C1021" s="8">
        <v>1</v>
      </c>
      <c r="D1021" s="8">
        <v>3</v>
      </c>
      <c r="E1021" t="s">
        <v>2597</v>
      </c>
      <c r="F1021" s="13" t="s">
        <v>2598</v>
      </c>
      <c r="G1021" t="s">
        <v>2599</v>
      </c>
      <c r="H1021" s="13" t="s">
        <v>1326</v>
      </c>
      <c r="I1021">
        <v>1</v>
      </c>
      <c r="J1021">
        <v>1</v>
      </c>
      <c r="K1021" s="33">
        <v>1</v>
      </c>
      <c r="L1021" s="8">
        <v>999</v>
      </c>
      <c r="M1021" s="8">
        <v>0</v>
      </c>
      <c r="N1021" s="8"/>
      <c r="S1021" s="89">
        <v>1</v>
      </c>
      <c r="T1021" s="8">
        <v>5</v>
      </c>
      <c r="U1021" s="89">
        <v>200</v>
      </c>
      <c r="V1021" s="87">
        <v>1</v>
      </c>
      <c r="W1021">
        <v>1</v>
      </c>
      <c r="X1021" s="8">
        <v>1</v>
      </c>
      <c r="Y1021" s="8">
        <v>0</v>
      </c>
      <c r="Z1021" s="33">
        <v>0</v>
      </c>
      <c r="AA1021">
        <v>5</v>
      </c>
      <c r="AB1021" s="34">
        <v>7600</v>
      </c>
      <c r="AC1021" s="87">
        <v>999</v>
      </c>
      <c r="AI1021" s="64"/>
      <c r="AJ1021" s="64"/>
      <c r="AK1021" s="64"/>
      <c r="AL1021" s="64">
        <v>0</v>
      </c>
      <c r="AM1021" s="64">
        <v>30</v>
      </c>
      <c r="AN1021" s="93" t="s">
        <v>2580</v>
      </c>
      <c r="AO1021" s="92"/>
      <c r="AQ1021" t="s">
        <v>2600</v>
      </c>
      <c r="AS1021">
        <v>1</v>
      </c>
    </row>
    <row r="1022" spans="1:45">
      <c r="A1022">
        <v>261006</v>
      </c>
      <c r="B1022" s="8">
        <v>1001</v>
      </c>
      <c r="C1022" s="8">
        <v>1</v>
      </c>
      <c r="D1022" s="8">
        <v>3</v>
      </c>
      <c r="E1022" t="s">
        <v>2601</v>
      </c>
      <c r="F1022" s="13" t="s">
        <v>2602</v>
      </c>
      <c r="G1022" t="s">
        <v>2603</v>
      </c>
      <c r="H1022" s="13" t="s">
        <v>2604</v>
      </c>
      <c r="I1022">
        <v>1</v>
      </c>
      <c r="J1022">
        <v>1</v>
      </c>
      <c r="K1022" s="33">
        <v>1</v>
      </c>
      <c r="L1022" s="8">
        <v>999</v>
      </c>
      <c r="M1022" s="8">
        <v>0</v>
      </c>
      <c r="N1022" s="8"/>
      <c r="S1022" s="89">
        <v>1</v>
      </c>
      <c r="T1022" s="8">
        <v>5</v>
      </c>
      <c r="U1022" s="89">
        <v>200</v>
      </c>
      <c r="V1022" s="87">
        <v>1</v>
      </c>
      <c r="W1022">
        <v>1</v>
      </c>
      <c r="X1022" s="8">
        <v>1</v>
      </c>
      <c r="Y1022" s="8">
        <v>0</v>
      </c>
      <c r="Z1022" s="33">
        <v>0</v>
      </c>
      <c r="AA1022">
        <v>5</v>
      </c>
      <c r="AB1022" s="34">
        <v>7600</v>
      </c>
      <c r="AC1022" s="87">
        <v>999</v>
      </c>
      <c r="AI1022" s="64"/>
      <c r="AJ1022" s="64"/>
      <c r="AK1022" s="64"/>
      <c r="AL1022" s="64">
        <v>0</v>
      </c>
      <c r="AM1022" s="64">
        <v>30</v>
      </c>
      <c r="AN1022" s="93" t="s">
        <v>2580</v>
      </c>
      <c r="AO1022" s="92"/>
      <c r="AQ1022" t="s">
        <v>2605</v>
      </c>
      <c r="AS1022">
        <v>1</v>
      </c>
    </row>
    <row r="1023" spans="1:45">
      <c r="A1023">
        <v>261007</v>
      </c>
      <c r="B1023" s="8">
        <v>1001</v>
      </c>
      <c r="C1023" s="8">
        <v>1</v>
      </c>
      <c r="D1023" s="8">
        <v>3</v>
      </c>
      <c r="E1023" t="s">
        <v>2606</v>
      </c>
      <c r="F1023" s="13" t="s">
        <v>2607</v>
      </c>
      <c r="G1023" t="s">
        <v>2608</v>
      </c>
      <c r="H1023" s="13" t="s">
        <v>2609</v>
      </c>
      <c r="I1023">
        <v>1</v>
      </c>
      <c r="J1023">
        <v>1</v>
      </c>
      <c r="K1023" s="33">
        <v>1</v>
      </c>
      <c r="L1023" s="8">
        <v>999</v>
      </c>
      <c r="M1023" s="8">
        <v>0</v>
      </c>
      <c r="N1023" s="8"/>
      <c r="S1023" s="89">
        <v>1</v>
      </c>
      <c r="T1023" s="8">
        <v>5</v>
      </c>
      <c r="U1023" s="89">
        <v>200</v>
      </c>
      <c r="V1023" s="87">
        <v>1</v>
      </c>
      <c r="W1023">
        <v>1</v>
      </c>
      <c r="X1023" s="8">
        <v>1</v>
      </c>
      <c r="Y1023" s="8">
        <v>0</v>
      </c>
      <c r="Z1023" s="33">
        <v>0</v>
      </c>
      <c r="AA1023">
        <v>5</v>
      </c>
      <c r="AB1023" s="34">
        <v>7600</v>
      </c>
      <c r="AC1023" s="87">
        <v>999</v>
      </c>
      <c r="AI1023" s="64"/>
      <c r="AJ1023" s="64"/>
      <c r="AK1023" s="64"/>
      <c r="AL1023" s="64">
        <v>0</v>
      </c>
      <c r="AM1023" s="64">
        <v>30</v>
      </c>
      <c r="AN1023" s="93" t="s">
        <v>2580</v>
      </c>
      <c r="AO1023" s="92"/>
      <c r="AQ1023" t="s">
        <v>2610</v>
      </c>
      <c r="AS1023">
        <v>1</v>
      </c>
    </row>
    <row r="1024" spans="1:45">
      <c r="A1024">
        <v>261008</v>
      </c>
      <c r="B1024" s="8">
        <v>1001</v>
      </c>
      <c r="C1024" s="8">
        <v>1</v>
      </c>
      <c r="D1024" s="8">
        <v>3</v>
      </c>
      <c r="E1024" t="s">
        <v>2611</v>
      </c>
      <c r="F1024" s="13" t="s">
        <v>2612</v>
      </c>
      <c r="G1024" t="s">
        <v>2613</v>
      </c>
      <c r="H1024" s="13" t="s">
        <v>2614</v>
      </c>
      <c r="I1024">
        <v>1</v>
      </c>
      <c r="J1024">
        <v>1</v>
      </c>
      <c r="K1024" s="33">
        <v>1</v>
      </c>
      <c r="L1024" s="8">
        <v>999</v>
      </c>
      <c r="M1024" s="8">
        <v>0</v>
      </c>
      <c r="N1024" s="8"/>
      <c r="S1024" s="89">
        <v>1</v>
      </c>
      <c r="T1024" s="8">
        <v>5</v>
      </c>
      <c r="U1024" s="89">
        <v>200</v>
      </c>
      <c r="V1024" s="87">
        <v>1</v>
      </c>
      <c r="W1024">
        <v>1</v>
      </c>
      <c r="X1024" s="8">
        <v>1</v>
      </c>
      <c r="Y1024" s="8">
        <v>0</v>
      </c>
      <c r="Z1024" s="33">
        <v>0</v>
      </c>
      <c r="AA1024">
        <v>5</v>
      </c>
      <c r="AB1024" s="34">
        <v>7600</v>
      </c>
      <c r="AC1024" s="87">
        <v>999</v>
      </c>
      <c r="AI1024" s="64"/>
      <c r="AJ1024" s="64"/>
      <c r="AK1024" s="64"/>
      <c r="AL1024" s="64">
        <v>0</v>
      </c>
      <c r="AM1024" s="64">
        <v>30</v>
      </c>
      <c r="AN1024" s="93" t="s">
        <v>2580</v>
      </c>
      <c r="AO1024" s="92"/>
      <c r="AQ1024" t="s">
        <v>2615</v>
      </c>
      <c r="AS1024">
        <v>1</v>
      </c>
    </row>
    <row r="1025" spans="1:45">
      <c r="A1025">
        <v>261009</v>
      </c>
      <c r="B1025" s="8">
        <v>1001</v>
      </c>
      <c r="C1025" s="8">
        <v>1</v>
      </c>
      <c r="D1025" s="8">
        <v>3</v>
      </c>
      <c r="E1025" t="s">
        <v>2616</v>
      </c>
      <c r="F1025" s="13" t="s">
        <v>2617</v>
      </c>
      <c r="G1025" t="s">
        <v>2618</v>
      </c>
      <c r="H1025" s="13" t="s">
        <v>2619</v>
      </c>
      <c r="I1025">
        <v>1</v>
      </c>
      <c r="J1025">
        <v>1</v>
      </c>
      <c r="K1025" s="33">
        <v>1</v>
      </c>
      <c r="L1025" s="8">
        <v>999</v>
      </c>
      <c r="M1025" s="8">
        <v>0</v>
      </c>
      <c r="N1025" s="8"/>
      <c r="S1025" s="89">
        <v>1</v>
      </c>
      <c r="T1025" s="8">
        <v>5</v>
      </c>
      <c r="U1025" s="89">
        <v>80</v>
      </c>
      <c r="V1025" s="87">
        <v>1</v>
      </c>
      <c r="W1025">
        <v>1</v>
      </c>
      <c r="X1025" s="8">
        <v>1</v>
      </c>
      <c r="Y1025" s="8">
        <v>0</v>
      </c>
      <c r="Z1025" s="33">
        <v>0</v>
      </c>
      <c r="AA1025">
        <v>5</v>
      </c>
      <c r="AB1025" s="34">
        <v>3040</v>
      </c>
      <c r="AC1025" s="87">
        <v>999</v>
      </c>
      <c r="AI1025" s="64"/>
      <c r="AJ1025" s="64"/>
      <c r="AK1025" s="64"/>
      <c r="AL1025" s="64">
        <v>0</v>
      </c>
      <c r="AM1025" s="64">
        <v>40</v>
      </c>
      <c r="AN1025" s="93" t="s">
        <v>2580</v>
      </c>
      <c r="AO1025" s="92"/>
      <c r="AQ1025" t="s">
        <v>2620</v>
      </c>
      <c r="AS1025">
        <v>1</v>
      </c>
    </row>
    <row r="1026" spans="1:45">
      <c r="A1026">
        <v>261010</v>
      </c>
      <c r="B1026" s="8">
        <v>1001</v>
      </c>
      <c r="C1026" s="8">
        <v>1</v>
      </c>
      <c r="D1026" s="8">
        <v>3</v>
      </c>
      <c r="E1026" t="s">
        <v>2621</v>
      </c>
      <c r="F1026" s="13" t="s">
        <v>2622</v>
      </c>
      <c r="G1026" t="s">
        <v>2623</v>
      </c>
      <c r="H1026" s="13" t="s">
        <v>2624</v>
      </c>
      <c r="I1026">
        <v>1</v>
      </c>
      <c r="J1026">
        <v>1</v>
      </c>
      <c r="K1026" s="33">
        <v>1</v>
      </c>
      <c r="L1026" s="8">
        <v>999</v>
      </c>
      <c r="M1026" s="8">
        <v>0</v>
      </c>
      <c r="N1026" s="8"/>
      <c r="S1026" s="89">
        <v>1</v>
      </c>
      <c r="T1026" s="8">
        <v>5</v>
      </c>
      <c r="U1026" s="89">
        <v>80</v>
      </c>
      <c r="V1026" s="87">
        <v>1</v>
      </c>
      <c r="W1026">
        <v>1</v>
      </c>
      <c r="X1026" s="8">
        <v>1</v>
      </c>
      <c r="Y1026" s="8">
        <v>0</v>
      </c>
      <c r="Z1026" s="33">
        <v>0</v>
      </c>
      <c r="AA1026">
        <v>5</v>
      </c>
      <c r="AB1026" s="34">
        <v>3040</v>
      </c>
      <c r="AC1026" s="87">
        <v>999</v>
      </c>
      <c r="AI1026" s="64"/>
      <c r="AJ1026" s="64"/>
      <c r="AK1026" s="64"/>
      <c r="AL1026" s="64">
        <v>0</v>
      </c>
      <c r="AM1026" s="64">
        <v>40</v>
      </c>
      <c r="AN1026" s="93" t="s">
        <v>2580</v>
      </c>
      <c r="AO1026" s="92"/>
      <c r="AQ1026" t="s">
        <v>2625</v>
      </c>
      <c r="AS1026">
        <v>1</v>
      </c>
    </row>
    <row r="1027" spans="1:45">
      <c r="A1027">
        <v>261011</v>
      </c>
      <c r="B1027" s="8">
        <v>1001</v>
      </c>
      <c r="C1027" s="8">
        <v>1</v>
      </c>
      <c r="D1027" s="8">
        <v>3</v>
      </c>
      <c r="E1027" t="s">
        <v>2626</v>
      </c>
      <c r="F1027" s="13" t="s">
        <v>2627</v>
      </c>
      <c r="G1027" t="s">
        <v>2628</v>
      </c>
      <c r="H1027" s="13" t="s">
        <v>2629</v>
      </c>
      <c r="I1027">
        <v>1</v>
      </c>
      <c r="J1027">
        <v>1</v>
      </c>
      <c r="K1027" s="33">
        <v>1</v>
      </c>
      <c r="L1027" s="8">
        <v>999</v>
      </c>
      <c r="M1027" s="8">
        <v>0</v>
      </c>
      <c r="N1027" s="8"/>
      <c r="S1027" s="89">
        <v>1</v>
      </c>
      <c r="T1027" s="8">
        <v>5</v>
      </c>
      <c r="U1027" s="89">
        <v>80</v>
      </c>
      <c r="V1027" s="87">
        <v>1</v>
      </c>
      <c r="W1027">
        <v>1</v>
      </c>
      <c r="X1027" s="8">
        <v>1</v>
      </c>
      <c r="Y1027" s="8">
        <v>0</v>
      </c>
      <c r="Z1027" s="33">
        <v>0</v>
      </c>
      <c r="AA1027">
        <v>5</v>
      </c>
      <c r="AB1027" s="34">
        <v>3040</v>
      </c>
      <c r="AC1027" s="87">
        <v>999</v>
      </c>
      <c r="AI1027" s="64"/>
      <c r="AJ1027" s="64"/>
      <c r="AK1027" s="64"/>
      <c r="AL1027" s="64">
        <v>0</v>
      </c>
      <c r="AM1027" s="64">
        <v>40</v>
      </c>
      <c r="AN1027" s="93" t="s">
        <v>2580</v>
      </c>
      <c r="AO1027" s="92"/>
      <c r="AQ1027" t="s">
        <v>2630</v>
      </c>
      <c r="AS1027">
        <v>1</v>
      </c>
    </row>
    <row r="1028" spans="1:45">
      <c r="A1028">
        <v>261012</v>
      </c>
      <c r="B1028" s="8">
        <v>1001</v>
      </c>
      <c r="C1028" s="8">
        <v>1</v>
      </c>
      <c r="D1028" s="8">
        <v>3</v>
      </c>
      <c r="E1028" t="s">
        <v>2631</v>
      </c>
      <c r="F1028" s="13" t="s">
        <v>2632</v>
      </c>
      <c r="G1028" t="s">
        <v>2633</v>
      </c>
      <c r="H1028" s="13" t="s">
        <v>2634</v>
      </c>
      <c r="I1028">
        <v>1</v>
      </c>
      <c r="J1028">
        <v>1</v>
      </c>
      <c r="K1028" s="33">
        <v>1</v>
      </c>
      <c r="L1028" s="8">
        <v>999</v>
      </c>
      <c r="M1028" s="8">
        <v>0</v>
      </c>
      <c r="N1028" s="8"/>
      <c r="S1028" s="89">
        <v>1</v>
      </c>
      <c r="T1028" s="8">
        <v>5</v>
      </c>
      <c r="U1028" s="89">
        <v>80</v>
      </c>
      <c r="V1028" s="87">
        <v>1</v>
      </c>
      <c r="W1028">
        <v>1</v>
      </c>
      <c r="X1028" s="8">
        <v>1</v>
      </c>
      <c r="Y1028" s="8">
        <v>0</v>
      </c>
      <c r="Z1028" s="33">
        <v>0</v>
      </c>
      <c r="AA1028">
        <v>5</v>
      </c>
      <c r="AB1028" s="34">
        <v>3040</v>
      </c>
      <c r="AC1028" s="87">
        <v>999</v>
      </c>
      <c r="AI1028" s="64"/>
      <c r="AJ1028" s="64"/>
      <c r="AK1028" s="64"/>
      <c r="AL1028" s="64">
        <v>0</v>
      </c>
      <c r="AM1028" s="64">
        <v>40</v>
      </c>
      <c r="AN1028" s="93" t="s">
        <v>2580</v>
      </c>
      <c r="AO1028" s="92"/>
      <c r="AQ1028" t="s">
        <v>2635</v>
      </c>
      <c r="AS1028">
        <v>1</v>
      </c>
    </row>
    <row r="1029" spans="1:45">
      <c r="A1029">
        <v>261013</v>
      </c>
      <c r="B1029" s="8">
        <v>1001</v>
      </c>
      <c r="C1029" s="8">
        <v>1</v>
      </c>
      <c r="D1029" s="8">
        <v>3</v>
      </c>
      <c r="E1029" t="s">
        <v>2636</v>
      </c>
      <c r="F1029" s="13" t="s">
        <v>2637</v>
      </c>
      <c r="G1029" t="s">
        <v>2638</v>
      </c>
      <c r="H1029" s="13" t="s">
        <v>1320</v>
      </c>
      <c r="I1029">
        <v>1</v>
      </c>
      <c r="J1029">
        <v>1</v>
      </c>
      <c r="K1029" s="33">
        <v>1</v>
      </c>
      <c r="L1029" s="8">
        <v>999</v>
      </c>
      <c r="M1029" s="8">
        <v>0</v>
      </c>
      <c r="N1029" s="8"/>
      <c r="S1029" s="89">
        <v>1</v>
      </c>
      <c r="T1029" s="8">
        <v>5</v>
      </c>
      <c r="U1029" s="89">
        <v>200</v>
      </c>
      <c r="V1029" s="87">
        <v>1</v>
      </c>
      <c r="W1029">
        <v>1</v>
      </c>
      <c r="X1029" s="8">
        <v>1</v>
      </c>
      <c r="Y1029" s="8">
        <v>0</v>
      </c>
      <c r="Z1029" s="33">
        <v>0</v>
      </c>
      <c r="AA1029">
        <v>5</v>
      </c>
      <c r="AB1029" s="34">
        <v>7600</v>
      </c>
      <c r="AC1029" s="87">
        <v>999</v>
      </c>
      <c r="AI1029" s="64"/>
      <c r="AJ1029" s="64"/>
      <c r="AK1029" s="64"/>
      <c r="AL1029" s="64">
        <v>0</v>
      </c>
      <c r="AM1029" s="64">
        <v>50</v>
      </c>
      <c r="AN1029" s="93" t="s">
        <v>2580</v>
      </c>
      <c r="AO1029" s="92"/>
      <c r="AQ1029" t="s">
        <v>2639</v>
      </c>
      <c r="AS1029">
        <v>1</v>
      </c>
    </row>
    <row r="1030" spans="1:45">
      <c r="A1030">
        <v>261014</v>
      </c>
      <c r="B1030" s="8">
        <v>1001</v>
      </c>
      <c r="C1030" s="8">
        <v>1</v>
      </c>
      <c r="D1030" s="8">
        <v>3</v>
      </c>
      <c r="E1030" t="s">
        <v>2640</v>
      </c>
      <c r="F1030" s="13" t="s">
        <v>2641</v>
      </c>
      <c r="G1030" t="s">
        <v>2642</v>
      </c>
      <c r="H1030" s="13" t="s">
        <v>2643</v>
      </c>
      <c r="I1030">
        <v>1</v>
      </c>
      <c r="J1030">
        <v>1</v>
      </c>
      <c r="K1030" s="33">
        <v>1</v>
      </c>
      <c r="L1030" s="8">
        <v>999</v>
      </c>
      <c r="M1030" s="8">
        <v>0</v>
      </c>
      <c r="N1030" s="8"/>
      <c r="S1030" s="89">
        <v>1</v>
      </c>
      <c r="T1030" s="8">
        <v>5</v>
      </c>
      <c r="U1030" s="89">
        <v>200</v>
      </c>
      <c r="V1030" s="87">
        <v>1</v>
      </c>
      <c r="W1030">
        <v>1</v>
      </c>
      <c r="X1030" s="8">
        <v>1</v>
      </c>
      <c r="Y1030" s="8">
        <v>0</v>
      </c>
      <c r="Z1030" s="33">
        <v>0</v>
      </c>
      <c r="AA1030">
        <v>5</v>
      </c>
      <c r="AB1030" s="34">
        <v>7600</v>
      </c>
      <c r="AC1030" s="87">
        <v>999</v>
      </c>
      <c r="AI1030" s="64"/>
      <c r="AJ1030" s="64"/>
      <c r="AK1030" s="64"/>
      <c r="AL1030" s="64">
        <v>0</v>
      </c>
      <c r="AM1030" s="64">
        <v>50</v>
      </c>
      <c r="AN1030" s="93" t="s">
        <v>2580</v>
      </c>
      <c r="AO1030" s="92"/>
      <c r="AQ1030" t="s">
        <v>2644</v>
      </c>
      <c r="AS1030">
        <v>1</v>
      </c>
    </row>
    <row r="1031" spans="1:45">
      <c r="A1031">
        <v>261015</v>
      </c>
      <c r="B1031" s="8">
        <v>1001</v>
      </c>
      <c r="C1031" s="8">
        <v>1</v>
      </c>
      <c r="D1031" s="8">
        <v>3</v>
      </c>
      <c r="E1031" t="s">
        <v>2645</v>
      </c>
      <c r="F1031" s="13" t="s">
        <v>2646</v>
      </c>
      <c r="G1031" t="s">
        <v>2647</v>
      </c>
      <c r="H1031" s="13" t="s">
        <v>2648</v>
      </c>
      <c r="I1031">
        <v>1</v>
      </c>
      <c r="J1031">
        <v>1</v>
      </c>
      <c r="K1031" s="33">
        <v>1</v>
      </c>
      <c r="L1031" s="8">
        <v>999</v>
      </c>
      <c r="M1031" s="8">
        <v>0</v>
      </c>
      <c r="N1031" s="8"/>
      <c r="S1031" s="89">
        <v>1</v>
      </c>
      <c r="T1031" s="8">
        <v>5</v>
      </c>
      <c r="U1031" s="89">
        <v>200</v>
      </c>
      <c r="V1031" s="87">
        <v>1</v>
      </c>
      <c r="W1031">
        <v>1</v>
      </c>
      <c r="X1031" s="8">
        <v>1</v>
      </c>
      <c r="Y1031" s="8">
        <v>0</v>
      </c>
      <c r="Z1031" s="33">
        <v>0</v>
      </c>
      <c r="AA1031">
        <v>5</v>
      </c>
      <c r="AB1031" s="34">
        <v>7600</v>
      </c>
      <c r="AC1031" s="87">
        <v>999</v>
      </c>
      <c r="AI1031" s="64"/>
      <c r="AJ1031" s="64"/>
      <c r="AK1031" s="64"/>
      <c r="AL1031" s="64">
        <v>0</v>
      </c>
      <c r="AM1031" s="64">
        <v>50</v>
      </c>
      <c r="AN1031" s="93" t="s">
        <v>2580</v>
      </c>
      <c r="AO1031" s="92"/>
      <c r="AQ1031" t="s">
        <v>2649</v>
      </c>
      <c r="AS1031">
        <v>1</v>
      </c>
    </row>
    <row r="1032" spans="1:45">
      <c r="A1032">
        <v>261016</v>
      </c>
      <c r="B1032" s="8">
        <v>1001</v>
      </c>
      <c r="C1032" s="8">
        <v>1</v>
      </c>
      <c r="D1032" s="8">
        <v>3</v>
      </c>
      <c r="E1032" t="s">
        <v>2650</v>
      </c>
      <c r="F1032" s="13" t="s">
        <v>2651</v>
      </c>
      <c r="G1032" t="s">
        <v>2652</v>
      </c>
      <c r="H1032" s="13" t="s">
        <v>2653</v>
      </c>
      <c r="I1032">
        <v>1</v>
      </c>
      <c r="J1032">
        <v>1</v>
      </c>
      <c r="K1032" s="33">
        <v>1</v>
      </c>
      <c r="L1032" s="8">
        <v>999</v>
      </c>
      <c r="M1032" s="8">
        <v>0</v>
      </c>
      <c r="N1032" s="8"/>
      <c r="S1032" s="89">
        <v>1</v>
      </c>
      <c r="T1032" s="8">
        <v>5</v>
      </c>
      <c r="U1032" s="89">
        <v>200</v>
      </c>
      <c r="V1032" s="87">
        <v>1</v>
      </c>
      <c r="W1032">
        <v>1</v>
      </c>
      <c r="X1032" s="8">
        <v>1</v>
      </c>
      <c r="Y1032" s="8">
        <v>0</v>
      </c>
      <c r="Z1032" s="33">
        <v>0</v>
      </c>
      <c r="AA1032">
        <v>5</v>
      </c>
      <c r="AB1032" s="34">
        <v>7600</v>
      </c>
      <c r="AC1032" s="87">
        <v>999</v>
      </c>
      <c r="AI1032" s="64"/>
      <c r="AJ1032" s="64"/>
      <c r="AK1032" s="64"/>
      <c r="AL1032" s="64">
        <v>0</v>
      </c>
      <c r="AM1032" s="64">
        <v>50</v>
      </c>
      <c r="AN1032" s="93" t="s">
        <v>2580</v>
      </c>
      <c r="AO1032" s="92"/>
      <c r="AQ1032" t="s">
        <v>2654</v>
      </c>
      <c r="AS1032">
        <v>1</v>
      </c>
    </row>
    <row r="1033" spans="1:45">
      <c r="A1033">
        <v>261017</v>
      </c>
      <c r="B1033" s="8">
        <v>1001</v>
      </c>
      <c r="C1033" s="8">
        <v>1</v>
      </c>
      <c r="D1033" s="8">
        <v>3</v>
      </c>
      <c r="E1033" t="s">
        <v>2655</v>
      </c>
      <c r="F1033" s="13" t="s">
        <v>2656</v>
      </c>
      <c r="G1033" t="s">
        <v>2657</v>
      </c>
      <c r="H1033" s="13" t="s">
        <v>2658</v>
      </c>
      <c r="I1033">
        <v>1</v>
      </c>
      <c r="J1033">
        <v>1</v>
      </c>
      <c r="K1033" s="33">
        <v>1</v>
      </c>
      <c r="L1033" s="8">
        <v>999</v>
      </c>
      <c r="M1033" s="8">
        <v>0</v>
      </c>
      <c r="N1033" s="8"/>
      <c r="S1033" s="89">
        <v>1</v>
      </c>
      <c r="T1033" s="8">
        <v>5</v>
      </c>
      <c r="U1033" s="89">
        <v>80</v>
      </c>
      <c r="V1033" s="87">
        <v>1</v>
      </c>
      <c r="W1033">
        <v>1</v>
      </c>
      <c r="X1033" s="8">
        <v>1</v>
      </c>
      <c r="Y1033" s="8">
        <v>0</v>
      </c>
      <c r="Z1033" s="33">
        <v>0</v>
      </c>
      <c r="AA1033">
        <v>5</v>
      </c>
      <c r="AB1033" s="34">
        <v>3040</v>
      </c>
      <c r="AC1033" s="87">
        <v>999</v>
      </c>
      <c r="AI1033" s="64"/>
      <c r="AJ1033" s="64"/>
      <c r="AK1033" s="64"/>
      <c r="AL1033" s="64">
        <v>0</v>
      </c>
      <c r="AM1033" s="64">
        <v>60</v>
      </c>
      <c r="AN1033" s="93" t="s">
        <v>2580</v>
      </c>
      <c r="AO1033" s="92"/>
      <c r="AQ1033" t="s">
        <v>2659</v>
      </c>
      <c r="AS1033">
        <v>1</v>
      </c>
    </row>
    <row r="1034" spans="1:45">
      <c r="A1034">
        <v>261018</v>
      </c>
      <c r="B1034" s="8">
        <v>1001</v>
      </c>
      <c r="C1034" s="8">
        <v>1</v>
      </c>
      <c r="D1034" s="8">
        <v>3</v>
      </c>
      <c r="E1034" t="s">
        <v>2660</v>
      </c>
      <c r="F1034" s="13" t="s">
        <v>2661</v>
      </c>
      <c r="G1034" t="s">
        <v>2662</v>
      </c>
      <c r="H1034" s="13" t="s">
        <v>2663</v>
      </c>
      <c r="I1034">
        <v>1</v>
      </c>
      <c r="J1034">
        <v>1</v>
      </c>
      <c r="K1034" s="33">
        <v>1</v>
      </c>
      <c r="L1034" s="8">
        <v>999</v>
      </c>
      <c r="M1034" s="8">
        <v>0</v>
      </c>
      <c r="N1034" s="8"/>
      <c r="S1034" s="89">
        <v>1</v>
      </c>
      <c r="T1034" s="8">
        <v>5</v>
      </c>
      <c r="U1034" s="89">
        <v>80</v>
      </c>
      <c r="V1034" s="87">
        <v>1</v>
      </c>
      <c r="W1034">
        <v>1</v>
      </c>
      <c r="X1034" s="8">
        <v>1</v>
      </c>
      <c r="Y1034" s="8">
        <v>0</v>
      </c>
      <c r="Z1034" s="33">
        <v>0</v>
      </c>
      <c r="AA1034">
        <v>5</v>
      </c>
      <c r="AB1034" s="34">
        <v>3040</v>
      </c>
      <c r="AC1034" s="87">
        <v>999</v>
      </c>
      <c r="AI1034" s="64"/>
      <c r="AJ1034" s="64"/>
      <c r="AK1034" s="64"/>
      <c r="AL1034" s="64">
        <v>0</v>
      </c>
      <c r="AM1034" s="64">
        <v>60</v>
      </c>
      <c r="AN1034" s="93" t="s">
        <v>2580</v>
      </c>
      <c r="AO1034" s="92"/>
      <c r="AQ1034" t="s">
        <v>2664</v>
      </c>
      <c r="AS1034">
        <v>1</v>
      </c>
    </row>
    <row r="1035" spans="1:45">
      <c r="A1035">
        <v>261019</v>
      </c>
      <c r="B1035" s="8">
        <v>1001</v>
      </c>
      <c r="C1035" s="8">
        <v>1</v>
      </c>
      <c r="D1035" s="8">
        <v>3</v>
      </c>
      <c r="E1035" t="s">
        <v>2665</v>
      </c>
      <c r="F1035" s="13" t="s">
        <v>2666</v>
      </c>
      <c r="G1035" t="s">
        <v>2667</v>
      </c>
      <c r="H1035" s="13" t="s">
        <v>2668</v>
      </c>
      <c r="I1035">
        <v>1</v>
      </c>
      <c r="J1035">
        <v>1</v>
      </c>
      <c r="K1035" s="33">
        <v>1</v>
      </c>
      <c r="L1035" s="8">
        <v>999</v>
      </c>
      <c r="M1035" s="8">
        <v>0</v>
      </c>
      <c r="N1035" s="8"/>
      <c r="S1035" s="89">
        <v>1</v>
      </c>
      <c r="T1035" s="8">
        <v>5</v>
      </c>
      <c r="U1035" s="89">
        <v>80</v>
      </c>
      <c r="V1035" s="87">
        <v>1</v>
      </c>
      <c r="W1035">
        <v>1</v>
      </c>
      <c r="X1035" s="8">
        <v>1</v>
      </c>
      <c r="Y1035" s="8">
        <v>0</v>
      </c>
      <c r="Z1035" s="33">
        <v>0</v>
      </c>
      <c r="AA1035">
        <v>5</v>
      </c>
      <c r="AB1035" s="34">
        <v>3040</v>
      </c>
      <c r="AC1035" s="87">
        <v>999</v>
      </c>
      <c r="AI1035" s="64"/>
      <c r="AJ1035" s="64"/>
      <c r="AK1035" s="64"/>
      <c r="AL1035" s="64">
        <v>0</v>
      </c>
      <c r="AM1035" s="64">
        <v>60</v>
      </c>
      <c r="AN1035" s="93" t="s">
        <v>2580</v>
      </c>
      <c r="AO1035" s="92"/>
      <c r="AQ1035" t="s">
        <v>2669</v>
      </c>
      <c r="AS1035">
        <v>1</v>
      </c>
    </row>
    <row r="1036" spans="1:45">
      <c r="A1036">
        <v>261020</v>
      </c>
      <c r="B1036" s="8">
        <v>1001</v>
      </c>
      <c r="C1036" s="8">
        <v>1</v>
      </c>
      <c r="D1036" s="8">
        <v>3</v>
      </c>
      <c r="E1036" t="s">
        <v>2670</v>
      </c>
      <c r="F1036" s="13" t="s">
        <v>2671</v>
      </c>
      <c r="G1036" t="s">
        <v>2672</v>
      </c>
      <c r="H1036" s="13" t="s">
        <v>2673</v>
      </c>
      <c r="I1036">
        <v>1</v>
      </c>
      <c r="J1036">
        <v>1</v>
      </c>
      <c r="K1036" s="33">
        <v>1</v>
      </c>
      <c r="L1036" s="8">
        <v>999</v>
      </c>
      <c r="M1036" s="8">
        <v>0</v>
      </c>
      <c r="N1036" s="8"/>
      <c r="S1036" s="89">
        <v>1</v>
      </c>
      <c r="T1036" s="8">
        <v>5</v>
      </c>
      <c r="U1036" s="89">
        <v>80</v>
      </c>
      <c r="V1036" s="87">
        <v>1</v>
      </c>
      <c r="W1036">
        <v>1</v>
      </c>
      <c r="X1036" s="8">
        <v>1</v>
      </c>
      <c r="Y1036" s="8">
        <v>0</v>
      </c>
      <c r="Z1036" s="33">
        <v>0</v>
      </c>
      <c r="AA1036">
        <v>5</v>
      </c>
      <c r="AB1036" s="34">
        <v>3040</v>
      </c>
      <c r="AC1036" s="87">
        <v>999</v>
      </c>
      <c r="AI1036" s="64"/>
      <c r="AJ1036" s="64"/>
      <c r="AK1036" s="64"/>
      <c r="AL1036" s="64">
        <v>0</v>
      </c>
      <c r="AM1036" s="64">
        <v>60</v>
      </c>
      <c r="AN1036" s="93" t="s">
        <v>2580</v>
      </c>
      <c r="AO1036" s="92"/>
      <c r="AQ1036" t="s">
        <v>2674</v>
      </c>
      <c r="AS1036">
        <v>1</v>
      </c>
    </row>
    <row r="1037" spans="1:45">
      <c r="A1037">
        <v>261021</v>
      </c>
      <c r="B1037" s="8">
        <v>1001</v>
      </c>
      <c r="C1037" s="8">
        <v>1</v>
      </c>
      <c r="D1037" s="8">
        <v>3</v>
      </c>
      <c r="E1037" t="s">
        <v>2675</v>
      </c>
      <c r="F1037" s="13" t="s">
        <v>2676</v>
      </c>
      <c r="G1037" t="s">
        <v>2677</v>
      </c>
      <c r="H1037" s="13" t="s">
        <v>2579</v>
      </c>
      <c r="I1037">
        <v>5</v>
      </c>
      <c r="J1037">
        <v>5</v>
      </c>
      <c r="K1037" s="33">
        <v>1</v>
      </c>
      <c r="L1037" s="8">
        <v>999</v>
      </c>
      <c r="M1037" s="8">
        <v>0</v>
      </c>
      <c r="N1037" s="8"/>
      <c r="S1037" s="89">
        <v>1</v>
      </c>
      <c r="T1037" s="8">
        <v>5</v>
      </c>
      <c r="U1037" s="89">
        <v>200</v>
      </c>
      <c r="V1037" s="87">
        <v>1</v>
      </c>
      <c r="W1037">
        <v>1</v>
      </c>
      <c r="X1037" s="8">
        <v>1</v>
      </c>
      <c r="Y1037" s="8">
        <v>0</v>
      </c>
      <c r="Z1037" s="33">
        <v>0</v>
      </c>
      <c r="AA1037">
        <v>5</v>
      </c>
      <c r="AB1037" s="34">
        <v>7600</v>
      </c>
      <c r="AC1037" s="87">
        <v>999</v>
      </c>
      <c r="AI1037" s="64"/>
      <c r="AJ1037" s="64"/>
      <c r="AK1037" s="64"/>
      <c r="AL1037" s="64">
        <v>0</v>
      </c>
      <c r="AM1037" s="64">
        <v>20</v>
      </c>
      <c r="AN1037" s="93" t="s">
        <v>2580</v>
      </c>
      <c r="AO1037" s="92"/>
      <c r="AQ1037" t="s">
        <v>2678</v>
      </c>
      <c r="AS1037">
        <v>1</v>
      </c>
    </row>
    <row r="1038" spans="1:45">
      <c r="A1038">
        <v>261022</v>
      </c>
      <c r="B1038" s="8">
        <v>1001</v>
      </c>
      <c r="C1038" s="8">
        <v>1</v>
      </c>
      <c r="D1038" s="8">
        <v>3</v>
      </c>
      <c r="E1038" t="s">
        <v>2679</v>
      </c>
      <c r="F1038" s="13" t="s">
        <v>2680</v>
      </c>
      <c r="G1038" t="s">
        <v>2681</v>
      </c>
      <c r="H1038" s="13" t="s">
        <v>2585</v>
      </c>
      <c r="I1038">
        <v>5</v>
      </c>
      <c r="J1038">
        <v>5</v>
      </c>
      <c r="K1038" s="33">
        <v>1</v>
      </c>
      <c r="L1038" s="8">
        <v>999</v>
      </c>
      <c r="M1038" s="8">
        <v>0</v>
      </c>
      <c r="N1038" s="8"/>
      <c r="S1038" s="89">
        <v>1</v>
      </c>
      <c r="T1038" s="8">
        <v>5</v>
      </c>
      <c r="U1038" s="89">
        <v>200</v>
      </c>
      <c r="V1038" s="87">
        <v>1</v>
      </c>
      <c r="W1038">
        <v>1</v>
      </c>
      <c r="X1038" s="8">
        <v>1</v>
      </c>
      <c r="Y1038" s="8">
        <v>0</v>
      </c>
      <c r="Z1038" s="33">
        <v>0</v>
      </c>
      <c r="AA1038">
        <v>5</v>
      </c>
      <c r="AB1038" s="34">
        <v>7600</v>
      </c>
      <c r="AC1038" s="87">
        <v>999</v>
      </c>
      <c r="AI1038" s="64"/>
      <c r="AJ1038" s="64"/>
      <c r="AK1038" s="64"/>
      <c r="AL1038" s="64">
        <v>0</v>
      </c>
      <c r="AM1038" s="64">
        <v>20</v>
      </c>
      <c r="AN1038" s="93" t="s">
        <v>2580</v>
      </c>
      <c r="AO1038" s="92"/>
      <c r="AQ1038" t="s">
        <v>2682</v>
      </c>
      <c r="AS1038">
        <v>1</v>
      </c>
    </row>
    <row r="1039" spans="1:45">
      <c r="A1039">
        <v>261023</v>
      </c>
      <c r="B1039" s="8">
        <v>1001</v>
      </c>
      <c r="C1039" s="8">
        <v>1</v>
      </c>
      <c r="D1039" s="8">
        <v>3</v>
      </c>
      <c r="E1039" t="s">
        <v>2683</v>
      </c>
      <c r="F1039" s="13" t="s">
        <v>2684</v>
      </c>
      <c r="G1039" t="s">
        <v>2685</v>
      </c>
      <c r="H1039" s="13" t="s">
        <v>2590</v>
      </c>
      <c r="I1039">
        <v>5</v>
      </c>
      <c r="J1039">
        <v>5</v>
      </c>
      <c r="K1039" s="33">
        <v>1</v>
      </c>
      <c r="L1039" s="8">
        <v>999</v>
      </c>
      <c r="M1039" s="8">
        <v>0</v>
      </c>
      <c r="N1039" s="8"/>
      <c r="S1039" s="89">
        <v>1</v>
      </c>
      <c r="T1039" s="8">
        <v>5</v>
      </c>
      <c r="U1039" s="89">
        <v>200</v>
      </c>
      <c r="V1039" s="87">
        <v>1</v>
      </c>
      <c r="W1039">
        <v>1</v>
      </c>
      <c r="X1039" s="8">
        <v>1</v>
      </c>
      <c r="Y1039" s="8">
        <v>0</v>
      </c>
      <c r="Z1039" s="33">
        <v>0</v>
      </c>
      <c r="AA1039">
        <v>5</v>
      </c>
      <c r="AB1039" s="34">
        <v>7600</v>
      </c>
      <c r="AC1039" s="87">
        <v>999</v>
      </c>
      <c r="AI1039" s="64"/>
      <c r="AJ1039" s="64"/>
      <c r="AK1039" s="64"/>
      <c r="AL1039" s="64">
        <v>0</v>
      </c>
      <c r="AM1039" s="64">
        <v>20</v>
      </c>
      <c r="AN1039" s="93" t="s">
        <v>2580</v>
      </c>
      <c r="AO1039" s="92"/>
      <c r="AQ1039" t="s">
        <v>2686</v>
      </c>
      <c r="AS1039">
        <v>1</v>
      </c>
    </row>
    <row r="1040" spans="1:45">
      <c r="A1040">
        <v>261024</v>
      </c>
      <c r="B1040" s="8">
        <v>1001</v>
      </c>
      <c r="C1040" s="8">
        <v>1</v>
      </c>
      <c r="D1040" s="8">
        <v>3</v>
      </c>
      <c r="E1040" t="s">
        <v>2687</v>
      </c>
      <c r="F1040" s="13" t="s">
        <v>2688</v>
      </c>
      <c r="G1040" t="s">
        <v>2689</v>
      </c>
      <c r="H1040" s="13" t="s">
        <v>2595</v>
      </c>
      <c r="I1040">
        <v>5</v>
      </c>
      <c r="J1040">
        <v>5</v>
      </c>
      <c r="K1040" s="33">
        <v>1</v>
      </c>
      <c r="L1040" s="8">
        <v>999</v>
      </c>
      <c r="M1040" s="8">
        <v>0</v>
      </c>
      <c r="N1040" s="8"/>
      <c r="S1040" s="89">
        <v>1</v>
      </c>
      <c r="T1040" s="8">
        <v>5</v>
      </c>
      <c r="U1040" s="89">
        <v>200</v>
      </c>
      <c r="V1040" s="87">
        <v>1</v>
      </c>
      <c r="W1040">
        <v>1</v>
      </c>
      <c r="X1040" s="8">
        <v>1</v>
      </c>
      <c r="Y1040" s="8">
        <v>0</v>
      </c>
      <c r="Z1040" s="33">
        <v>0</v>
      </c>
      <c r="AA1040">
        <v>5</v>
      </c>
      <c r="AB1040" s="34">
        <v>7600</v>
      </c>
      <c r="AC1040" s="87">
        <v>999</v>
      </c>
      <c r="AI1040" s="64"/>
      <c r="AJ1040" s="64"/>
      <c r="AK1040" s="64"/>
      <c r="AL1040" s="64">
        <v>0</v>
      </c>
      <c r="AM1040" s="64">
        <v>20</v>
      </c>
      <c r="AN1040" s="93" t="s">
        <v>2580</v>
      </c>
      <c r="AO1040" s="92"/>
      <c r="AQ1040" t="s">
        <v>2690</v>
      </c>
      <c r="AS1040">
        <v>1</v>
      </c>
    </row>
    <row r="1041" spans="1:45">
      <c r="A1041">
        <v>261025</v>
      </c>
      <c r="B1041" s="8">
        <v>1001</v>
      </c>
      <c r="C1041" s="8">
        <v>1</v>
      </c>
      <c r="D1041" s="8">
        <v>3</v>
      </c>
      <c r="E1041" t="s">
        <v>2691</v>
      </c>
      <c r="F1041" s="13" t="s">
        <v>2692</v>
      </c>
      <c r="G1041" t="s">
        <v>2693</v>
      </c>
      <c r="H1041" s="13" t="s">
        <v>2694</v>
      </c>
      <c r="I1041">
        <v>1</v>
      </c>
      <c r="J1041">
        <v>1</v>
      </c>
      <c r="K1041" s="33">
        <v>1</v>
      </c>
      <c r="L1041" s="8">
        <v>999</v>
      </c>
      <c r="M1041" s="8">
        <v>0</v>
      </c>
      <c r="N1041" s="8"/>
      <c r="S1041" s="89">
        <v>1</v>
      </c>
      <c r="T1041" s="8">
        <v>5</v>
      </c>
      <c r="U1041" s="89">
        <v>80</v>
      </c>
      <c r="V1041" s="87">
        <v>1</v>
      </c>
      <c r="W1041">
        <v>1</v>
      </c>
      <c r="X1041" s="8">
        <v>1</v>
      </c>
      <c r="Y1041" s="8">
        <v>0</v>
      </c>
      <c r="Z1041" s="33">
        <v>0</v>
      </c>
      <c r="AA1041">
        <v>5</v>
      </c>
      <c r="AB1041" s="34">
        <v>3040</v>
      </c>
      <c r="AC1041" s="87">
        <v>999</v>
      </c>
      <c r="AI1041" s="64"/>
      <c r="AJ1041" s="64"/>
      <c r="AK1041" s="64"/>
      <c r="AL1041" s="64">
        <v>0</v>
      </c>
      <c r="AM1041" s="64">
        <v>20</v>
      </c>
      <c r="AN1041" s="93" t="s">
        <v>2580</v>
      </c>
      <c r="AO1041" s="92"/>
      <c r="AQ1041" t="s">
        <v>2695</v>
      </c>
      <c r="AS1041">
        <v>1</v>
      </c>
    </row>
    <row r="1042" spans="1:45">
      <c r="A1042">
        <v>261026</v>
      </c>
      <c r="B1042" s="8">
        <v>1001</v>
      </c>
      <c r="C1042" s="8">
        <v>1</v>
      </c>
      <c r="D1042" s="8">
        <v>3</v>
      </c>
      <c r="E1042" t="s">
        <v>2696</v>
      </c>
      <c r="F1042" s="13" t="s">
        <v>2697</v>
      </c>
      <c r="G1042" t="s">
        <v>2698</v>
      </c>
      <c r="H1042" s="13" t="s">
        <v>2699</v>
      </c>
      <c r="I1042">
        <v>1</v>
      </c>
      <c r="J1042">
        <v>1</v>
      </c>
      <c r="K1042" s="33">
        <v>1</v>
      </c>
      <c r="L1042" s="8">
        <v>999</v>
      </c>
      <c r="M1042" s="8">
        <v>0</v>
      </c>
      <c r="N1042" s="8"/>
      <c r="S1042" s="89">
        <v>1</v>
      </c>
      <c r="T1042" s="8">
        <v>5</v>
      </c>
      <c r="U1042" s="89">
        <v>80</v>
      </c>
      <c r="V1042" s="87">
        <v>1</v>
      </c>
      <c r="W1042">
        <v>1</v>
      </c>
      <c r="X1042" s="8">
        <v>1</v>
      </c>
      <c r="Y1042" s="8">
        <v>0</v>
      </c>
      <c r="Z1042" s="33">
        <v>0</v>
      </c>
      <c r="AA1042">
        <v>5</v>
      </c>
      <c r="AB1042" s="34">
        <v>3040</v>
      </c>
      <c r="AC1042" s="87">
        <v>999</v>
      </c>
      <c r="AI1042" s="64"/>
      <c r="AJ1042" s="64"/>
      <c r="AK1042" s="64"/>
      <c r="AL1042" s="64">
        <v>0</v>
      </c>
      <c r="AM1042" s="64">
        <v>20</v>
      </c>
      <c r="AN1042" s="93" t="s">
        <v>2580</v>
      </c>
      <c r="AO1042" s="92"/>
      <c r="AQ1042" t="s">
        <v>2700</v>
      </c>
      <c r="AS1042">
        <v>1</v>
      </c>
    </row>
    <row r="1043" spans="1:45">
      <c r="A1043">
        <v>261027</v>
      </c>
      <c r="B1043" s="8">
        <v>1001</v>
      </c>
      <c r="C1043" s="8">
        <v>1</v>
      </c>
      <c r="D1043" s="8">
        <v>3</v>
      </c>
      <c r="E1043" t="s">
        <v>2701</v>
      </c>
      <c r="F1043" s="13" t="s">
        <v>2702</v>
      </c>
      <c r="G1043" t="s">
        <v>2703</v>
      </c>
      <c r="H1043" s="13" t="s">
        <v>2704</v>
      </c>
      <c r="I1043">
        <v>1</v>
      </c>
      <c r="J1043">
        <v>1</v>
      </c>
      <c r="K1043" s="33">
        <v>1</v>
      </c>
      <c r="L1043" s="8">
        <v>999</v>
      </c>
      <c r="M1043" s="8">
        <v>0</v>
      </c>
      <c r="N1043" s="8"/>
      <c r="S1043" s="89">
        <v>1</v>
      </c>
      <c r="T1043" s="8">
        <v>5</v>
      </c>
      <c r="U1043" s="89">
        <v>80</v>
      </c>
      <c r="V1043" s="87">
        <v>1</v>
      </c>
      <c r="W1043">
        <v>1</v>
      </c>
      <c r="X1043" s="8">
        <v>1</v>
      </c>
      <c r="Y1043" s="8">
        <v>0</v>
      </c>
      <c r="Z1043" s="33">
        <v>0</v>
      </c>
      <c r="AA1043">
        <v>5</v>
      </c>
      <c r="AB1043" s="34">
        <v>3040</v>
      </c>
      <c r="AC1043" s="87">
        <v>999</v>
      </c>
      <c r="AI1043" s="64"/>
      <c r="AJ1043" s="64"/>
      <c r="AK1043" s="64"/>
      <c r="AL1043" s="64">
        <v>0</v>
      </c>
      <c r="AM1043" s="64">
        <v>20</v>
      </c>
      <c r="AN1043" s="93" t="s">
        <v>2580</v>
      </c>
      <c r="AO1043" s="92"/>
      <c r="AQ1043" t="s">
        <v>2705</v>
      </c>
      <c r="AS1043">
        <v>1</v>
      </c>
    </row>
    <row r="1044" spans="1:45">
      <c r="A1044">
        <v>261028</v>
      </c>
      <c r="B1044" s="8">
        <v>1001</v>
      </c>
      <c r="C1044" s="8">
        <v>1</v>
      </c>
      <c r="D1044" s="8">
        <v>3</v>
      </c>
      <c r="E1044" t="s">
        <v>2706</v>
      </c>
      <c r="F1044" s="13" t="s">
        <v>2707</v>
      </c>
      <c r="G1044" t="s">
        <v>2708</v>
      </c>
      <c r="H1044" s="13" t="s">
        <v>2709</v>
      </c>
      <c r="I1044">
        <v>1</v>
      </c>
      <c r="J1044">
        <v>1</v>
      </c>
      <c r="K1044" s="33">
        <v>1</v>
      </c>
      <c r="L1044" s="8">
        <v>999</v>
      </c>
      <c r="M1044" s="8">
        <v>0</v>
      </c>
      <c r="N1044" s="8"/>
      <c r="S1044" s="89">
        <v>1</v>
      </c>
      <c r="T1044" s="8">
        <v>5</v>
      </c>
      <c r="U1044" s="89">
        <v>80</v>
      </c>
      <c r="V1044" s="87">
        <v>1</v>
      </c>
      <c r="W1044">
        <v>1</v>
      </c>
      <c r="X1044" s="8">
        <v>1</v>
      </c>
      <c r="Y1044" s="8">
        <v>0</v>
      </c>
      <c r="Z1044" s="33">
        <v>0</v>
      </c>
      <c r="AA1044">
        <v>5</v>
      </c>
      <c r="AB1044" s="34">
        <v>3040</v>
      </c>
      <c r="AC1044" s="87">
        <v>999</v>
      </c>
      <c r="AI1044" s="64"/>
      <c r="AJ1044" s="64"/>
      <c r="AK1044" s="64"/>
      <c r="AL1044" s="64">
        <v>0</v>
      </c>
      <c r="AM1044" s="64">
        <v>20</v>
      </c>
      <c r="AN1044" s="93" t="s">
        <v>2580</v>
      </c>
      <c r="AO1044" s="92"/>
      <c r="AQ1044" t="s">
        <v>2710</v>
      </c>
      <c r="AS1044">
        <v>1</v>
      </c>
    </row>
    <row r="1045" spans="1:45">
      <c r="A1045">
        <v>261029</v>
      </c>
      <c r="B1045" s="8">
        <v>1001</v>
      </c>
      <c r="C1045" s="8">
        <v>1</v>
      </c>
      <c r="D1045" s="8">
        <v>3</v>
      </c>
      <c r="E1045" t="s">
        <v>2711</v>
      </c>
      <c r="F1045" s="13" t="s">
        <v>2712</v>
      </c>
      <c r="G1045" t="s">
        <v>2713</v>
      </c>
      <c r="H1045" s="13" t="s">
        <v>1326</v>
      </c>
      <c r="I1045">
        <v>5</v>
      </c>
      <c r="J1045">
        <v>5</v>
      </c>
      <c r="K1045" s="33">
        <v>1</v>
      </c>
      <c r="L1045" s="8">
        <v>999</v>
      </c>
      <c r="M1045" s="8">
        <v>0</v>
      </c>
      <c r="N1045" s="8"/>
      <c r="S1045" s="89">
        <v>1</v>
      </c>
      <c r="T1045" s="8">
        <v>5</v>
      </c>
      <c r="U1045" s="89">
        <v>80</v>
      </c>
      <c r="V1045" s="87">
        <v>1</v>
      </c>
      <c r="W1045">
        <v>1</v>
      </c>
      <c r="X1045" s="8">
        <v>1</v>
      </c>
      <c r="Y1045" s="8">
        <v>0</v>
      </c>
      <c r="Z1045" s="33">
        <v>0</v>
      </c>
      <c r="AA1045">
        <v>5</v>
      </c>
      <c r="AB1045" s="34">
        <v>3040</v>
      </c>
      <c r="AC1045" s="87">
        <v>999</v>
      </c>
      <c r="AI1045" s="64"/>
      <c r="AJ1045" s="64"/>
      <c r="AK1045" s="64"/>
      <c r="AL1045" s="64">
        <v>0</v>
      </c>
      <c r="AM1045" s="64">
        <v>30</v>
      </c>
      <c r="AN1045" s="93" t="s">
        <v>2580</v>
      </c>
      <c r="AO1045" s="92"/>
      <c r="AQ1045" t="s">
        <v>2714</v>
      </c>
      <c r="AS1045">
        <v>1</v>
      </c>
    </row>
    <row r="1046" spans="1:45">
      <c r="A1046">
        <v>261030</v>
      </c>
      <c r="B1046" s="8">
        <v>1001</v>
      </c>
      <c r="C1046" s="8">
        <v>1</v>
      </c>
      <c r="D1046" s="8">
        <v>3</v>
      </c>
      <c r="E1046" t="s">
        <v>2715</v>
      </c>
      <c r="F1046" s="13" t="s">
        <v>2716</v>
      </c>
      <c r="G1046" t="s">
        <v>2717</v>
      </c>
      <c r="H1046" s="13" t="s">
        <v>2604</v>
      </c>
      <c r="I1046">
        <v>5</v>
      </c>
      <c r="J1046">
        <v>5</v>
      </c>
      <c r="K1046" s="33">
        <v>1</v>
      </c>
      <c r="L1046" s="8">
        <v>999</v>
      </c>
      <c r="M1046" s="8">
        <v>0</v>
      </c>
      <c r="N1046" s="8"/>
      <c r="S1046" s="89">
        <v>1</v>
      </c>
      <c r="T1046" s="8">
        <v>5</v>
      </c>
      <c r="U1046" s="89">
        <v>80</v>
      </c>
      <c r="V1046" s="87">
        <v>1</v>
      </c>
      <c r="W1046">
        <v>1</v>
      </c>
      <c r="X1046" s="8">
        <v>1</v>
      </c>
      <c r="Y1046" s="8">
        <v>0</v>
      </c>
      <c r="Z1046" s="33">
        <v>0</v>
      </c>
      <c r="AA1046">
        <v>5</v>
      </c>
      <c r="AB1046" s="34">
        <v>3040</v>
      </c>
      <c r="AC1046" s="87">
        <v>999</v>
      </c>
      <c r="AI1046" s="64"/>
      <c r="AJ1046" s="64"/>
      <c r="AK1046" s="64"/>
      <c r="AL1046" s="64">
        <v>0</v>
      </c>
      <c r="AM1046" s="64">
        <v>30</v>
      </c>
      <c r="AN1046" s="93" t="s">
        <v>2580</v>
      </c>
      <c r="AO1046" s="92"/>
      <c r="AQ1046" t="s">
        <v>2718</v>
      </c>
      <c r="AS1046">
        <v>1</v>
      </c>
    </row>
    <row r="1047" spans="1:45">
      <c r="A1047">
        <v>261031</v>
      </c>
      <c r="B1047" s="8">
        <v>1001</v>
      </c>
      <c r="C1047" s="8">
        <v>1</v>
      </c>
      <c r="D1047" s="8">
        <v>3</v>
      </c>
      <c r="E1047" t="s">
        <v>2719</v>
      </c>
      <c r="F1047" s="13" t="s">
        <v>2720</v>
      </c>
      <c r="G1047" t="s">
        <v>2721</v>
      </c>
      <c r="H1047" s="13" t="s">
        <v>2609</v>
      </c>
      <c r="I1047">
        <v>5</v>
      </c>
      <c r="J1047">
        <v>5</v>
      </c>
      <c r="K1047" s="33">
        <v>1</v>
      </c>
      <c r="L1047" s="8">
        <v>999</v>
      </c>
      <c r="M1047" s="8">
        <v>0</v>
      </c>
      <c r="N1047" s="8"/>
      <c r="S1047" s="89">
        <v>1</v>
      </c>
      <c r="T1047" s="8">
        <v>5</v>
      </c>
      <c r="U1047" s="89">
        <v>80</v>
      </c>
      <c r="V1047" s="87">
        <v>1</v>
      </c>
      <c r="W1047">
        <v>1</v>
      </c>
      <c r="X1047" s="8">
        <v>1</v>
      </c>
      <c r="Y1047" s="8">
        <v>0</v>
      </c>
      <c r="Z1047" s="33">
        <v>0</v>
      </c>
      <c r="AA1047">
        <v>5</v>
      </c>
      <c r="AB1047" s="34">
        <v>3040</v>
      </c>
      <c r="AC1047" s="87">
        <v>999</v>
      </c>
      <c r="AI1047" s="64"/>
      <c r="AJ1047" s="64"/>
      <c r="AK1047" s="64"/>
      <c r="AL1047" s="64">
        <v>0</v>
      </c>
      <c r="AM1047" s="64">
        <v>30</v>
      </c>
      <c r="AN1047" s="93" t="s">
        <v>2580</v>
      </c>
      <c r="AO1047" s="92"/>
      <c r="AQ1047" t="s">
        <v>2722</v>
      </c>
      <c r="AS1047">
        <v>1</v>
      </c>
    </row>
    <row r="1048" spans="1:45">
      <c r="A1048">
        <v>261032</v>
      </c>
      <c r="B1048" s="8">
        <v>1001</v>
      </c>
      <c r="C1048" s="8">
        <v>1</v>
      </c>
      <c r="D1048" s="8">
        <v>3</v>
      </c>
      <c r="E1048" t="s">
        <v>2723</v>
      </c>
      <c r="F1048" s="13" t="s">
        <v>2724</v>
      </c>
      <c r="G1048" t="s">
        <v>2725</v>
      </c>
      <c r="H1048" s="13" t="s">
        <v>2614</v>
      </c>
      <c r="I1048">
        <v>5</v>
      </c>
      <c r="J1048">
        <v>5</v>
      </c>
      <c r="K1048" s="33">
        <v>1</v>
      </c>
      <c r="L1048" s="8">
        <v>999</v>
      </c>
      <c r="M1048" s="8">
        <v>0</v>
      </c>
      <c r="N1048" s="8"/>
      <c r="S1048" s="89">
        <v>1</v>
      </c>
      <c r="T1048" s="8">
        <v>5</v>
      </c>
      <c r="U1048" s="89">
        <v>80</v>
      </c>
      <c r="V1048" s="87">
        <v>1</v>
      </c>
      <c r="W1048">
        <v>1</v>
      </c>
      <c r="X1048" s="8">
        <v>1</v>
      </c>
      <c r="Y1048" s="8">
        <v>0</v>
      </c>
      <c r="Z1048" s="33">
        <v>0</v>
      </c>
      <c r="AA1048">
        <v>5</v>
      </c>
      <c r="AB1048" s="34">
        <v>3040</v>
      </c>
      <c r="AC1048" s="87">
        <v>999</v>
      </c>
      <c r="AI1048" s="64"/>
      <c r="AJ1048" s="64"/>
      <c r="AK1048" s="64"/>
      <c r="AL1048" s="64">
        <v>0</v>
      </c>
      <c r="AM1048" s="64">
        <v>30</v>
      </c>
      <c r="AN1048" s="93" t="s">
        <v>2580</v>
      </c>
      <c r="AO1048" s="92"/>
      <c r="AQ1048" t="s">
        <v>2726</v>
      </c>
      <c r="AS1048">
        <v>1</v>
      </c>
    </row>
    <row r="1049" spans="1:45">
      <c r="A1049">
        <v>261033</v>
      </c>
      <c r="B1049" s="8">
        <v>1001</v>
      </c>
      <c r="C1049" s="8">
        <v>1</v>
      </c>
      <c r="D1049" s="8">
        <v>3</v>
      </c>
      <c r="E1049" t="s">
        <v>2727</v>
      </c>
      <c r="F1049" s="13" t="s">
        <v>2728</v>
      </c>
      <c r="G1049" t="s">
        <v>2729</v>
      </c>
      <c r="H1049" s="13" t="s">
        <v>2619</v>
      </c>
      <c r="I1049">
        <v>5</v>
      </c>
      <c r="J1049">
        <v>5</v>
      </c>
      <c r="K1049" s="33">
        <v>1</v>
      </c>
      <c r="L1049" s="8">
        <v>999</v>
      </c>
      <c r="M1049" s="8">
        <v>0</v>
      </c>
      <c r="N1049" s="8"/>
      <c r="S1049" s="89">
        <v>1</v>
      </c>
      <c r="T1049" s="8">
        <v>5</v>
      </c>
      <c r="U1049" s="89">
        <v>80</v>
      </c>
      <c r="V1049" s="87">
        <v>1</v>
      </c>
      <c r="W1049">
        <v>1</v>
      </c>
      <c r="X1049" s="8">
        <v>1</v>
      </c>
      <c r="Y1049" s="8">
        <v>0</v>
      </c>
      <c r="Z1049" s="33">
        <v>0</v>
      </c>
      <c r="AA1049">
        <v>5</v>
      </c>
      <c r="AB1049" s="34">
        <v>3040</v>
      </c>
      <c r="AC1049" s="87">
        <v>999</v>
      </c>
      <c r="AI1049" s="64"/>
      <c r="AJ1049" s="64"/>
      <c r="AK1049" s="64"/>
      <c r="AL1049" s="64">
        <v>0</v>
      </c>
      <c r="AM1049" s="64">
        <v>40</v>
      </c>
      <c r="AN1049" s="93" t="s">
        <v>2580</v>
      </c>
      <c r="AO1049" s="92"/>
      <c r="AQ1049" t="s">
        <v>2730</v>
      </c>
      <c r="AS1049">
        <v>1</v>
      </c>
    </row>
    <row r="1050" spans="1:45">
      <c r="A1050">
        <v>261034</v>
      </c>
      <c r="B1050" s="8">
        <v>1001</v>
      </c>
      <c r="C1050" s="8">
        <v>1</v>
      </c>
      <c r="D1050" s="8">
        <v>3</v>
      </c>
      <c r="E1050" t="s">
        <v>2731</v>
      </c>
      <c r="F1050" s="13" t="s">
        <v>2732</v>
      </c>
      <c r="G1050" t="s">
        <v>2733</v>
      </c>
      <c r="H1050" s="13" t="s">
        <v>2624</v>
      </c>
      <c r="I1050">
        <v>5</v>
      </c>
      <c r="J1050">
        <v>5</v>
      </c>
      <c r="K1050" s="33">
        <v>1</v>
      </c>
      <c r="L1050" s="8">
        <v>999</v>
      </c>
      <c r="M1050" s="8">
        <v>0</v>
      </c>
      <c r="N1050" s="8"/>
      <c r="S1050" s="89">
        <v>1</v>
      </c>
      <c r="T1050" s="8">
        <v>5</v>
      </c>
      <c r="U1050" s="89">
        <v>80</v>
      </c>
      <c r="V1050" s="87">
        <v>1</v>
      </c>
      <c r="W1050">
        <v>1</v>
      </c>
      <c r="X1050" s="8">
        <v>1</v>
      </c>
      <c r="Y1050" s="8">
        <v>0</v>
      </c>
      <c r="Z1050" s="33">
        <v>0</v>
      </c>
      <c r="AA1050">
        <v>5</v>
      </c>
      <c r="AB1050" s="34">
        <v>3040</v>
      </c>
      <c r="AC1050" s="87">
        <v>999</v>
      </c>
      <c r="AI1050" s="64"/>
      <c r="AJ1050" s="64"/>
      <c r="AK1050" s="64"/>
      <c r="AL1050" s="64">
        <v>0</v>
      </c>
      <c r="AM1050" s="64">
        <v>40</v>
      </c>
      <c r="AN1050" s="93" t="s">
        <v>2580</v>
      </c>
      <c r="AO1050" s="92"/>
      <c r="AQ1050" t="s">
        <v>2734</v>
      </c>
      <c r="AS1050">
        <v>1</v>
      </c>
    </row>
    <row r="1051" spans="1:45">
      <c r="A1051">
        <v>261035</v>
      </c>
      <c r="B1051" s="8">
        <v>1001</v>
      </c>
      <c r="C1051" s="8">
        <v>1</v>
      </c>
      <c r="D1051" s="8">
        <v>3</v>
      </c>
      <c r="E1051" t="s">
        <v>2735</v>
      </c>
      <c r="F1051" s="13" t="s">
        <v>2736</v>
      </c>
      <c r="G1051" t="s">
        <v>2737</v>
      </c>
      <c r="H1051" s="13" t="s">
        <v>2629</v>
      </c>
      <c r="I1051">
        <v>5</v>
      </c>
      <c r="J1051">
        <v>5</v>
      </c>
      <c r="K1051" s="33">
        <v>1</v>
      </c>
      <c r="L1051" s="8">
        <v>999</v>
      </c>
      <c r="M1051" s="8">
        <v>0</v>
      </c>
      <c r="N1051" s="8"/>
      <c r="S1051" s="89">
        <v>1</v>
      </c>
      <c r="T1051" s="8">
        <v>5</v>
      </c>
      <c r="U1051" s="89">
        <v>80</v>
      </c>
      <c r="V1051" s="87">
        <v>1</v>
      </c>
      <c r="W1051">
        <v>1</v>
      </c>
      <c r="X1051" s="8">
        <v>1</v>
      </c>
      <c r="Y1051" s="8">
        <v>0</v>
      </c>
      <c r="Z1051" s="33">
        <v>0</v>
      </c>
      <c r="AA1051">
        <v>5</v>
      </c>
      <c r="AB1051" s="34">
        <v>3040</v>
      </c>
      <c r="AC1051" s="87">
        <v>999</v>
      </c>
      <c r="AI1051" s="64"/>
      <c r="AJ1051" s="64"/>
      <c r="AK1051" s="64"/>
      <c r="AL1051" s="64">
        <v>0</v>
      </c>
      <c r="AM1051" s="64">
        <v>40</v>
      </c>
      <c r="AN1051" s="93" t="s">
        <v>2580</v>
      </c>
      <c r="AO1051" s="92"/>
      <c r="AQ1051" t="s">
        <v>2738</v>
      </c>
      <c r="AS1051">
        <v>1</v>
      </c>
    </row>
    <row r="1052" spans="1:45">
      <c r="A1052">
        <v>261036</v>
      </c>
      <c r="B1052" s="8">
        <v>1001</v>
      </c>
      <c r="C1052" s="8">
        <v>1</v>
      </c>
      <c r="D1052" s="8">
        <v>3</v>
      </c>
      <c r="E1052" t="s">
        <v>2739</v>
      </c>
      <c r="F1052" s="13" t="s">
        <v>2740</v>
      </c>
      <c r="G1052" t="s">
        <v>2741</v>
      </c>
      <c r="H1052" s="13" t="s">
        <v>2634</v>
      </c>
      <c r="I1052">
        <v>5</v>
      </c>
      <c r="J1052">
        <v>5</v>
      </c>
      <c r="K1052" s="33">
        <v>1</v>
      </c>
      <c r="L1052" s="8">
        <v>999</v>
      </c>
      <c r="M1052" s="8">
        <v>0</v>
      </c>
      <c r="N1052" s="8"/>
      <c r="S1052" s="89">
        <v>1</v>
      </c>
      <c r="T1052" s="8">
        <v>5</v>
      </c>
      <c r="U1052" s="89">
        <v>80</v>
      </c>
      <c r="V1052" s="87">
        <v>1</v>
      </c>
      <c r="W1052">
        <v>1</v>
      </c>
      <c r="X1052" s="8">
        <v>1</v>
      </c>
      <c r="Y1052" s="8">
        <v>0</v>
      </c>
      <c r="Z1052" s="33">
        <v>0</v>
      </c>
      <c r="AA1052">
        <v>5</v>
      </c>
      <c r="AB1052" s="34">
        <v>3040</v>
      </c>
      <c r="AC1052" s="87">
        <v>999</v>
      </c>
      <c r="AI1052" s="64"/>
      <c r="AJ1052" s="64"/>
      <c r="AK1052" s="64"/>
      <c r="AL1052" s="64">
        <v>0</v>
      </c>
      <c r="AM1052" s="64">
        <v>40</v>
      </c>
      <c r="AN1052" s="93" t="s">
        <v>2580</v>
      </c>
      <c r="AO1052" s="92"/>
      <c r="AQ1052" t="s">
        <v>2742</v>
      </c>
      <c r="AS1052">
        <v>1</v>
      </c>
    </row>
    <row r="1053" spans="1:45">
      <c r="A1053">
        <v>261037</v>
      </c>
      <c r="B1053" s="8">
        <v>1001</v>
      </c>
      <c r="C1053" s="8">
        <v>1</v>
      </c>
      <c r="D1053" s="8">
        <v>3</v>
      </c>
      <c r="E1053" t="s">
        <v>2743</v>
      </c>
      <c r="F1053" s="13" t="s">
        <v>2744</v>
      </c>
      <c r="G1053" t="s">
        <v>2745</v>
      </c>
      <c r="H1053" s="13" t="s">
        <v>2746</v>
      </c>
      <c r="I1053">
        <v>1</v>
      </c>
      <c r="J1053">
        <v>1</v>
      </c>
      <c r="K1053" s="33">
        <v>1</v>
      </c>
      <c r="L1053" s="8">
        <v>999</v>
      </c>
      <c r="M1053" s="8">
        <v>0</v>
      </c>
      <c r="N1053" s="8"/>
      <c r="S1053" s="89">
        <v>1</v>
      </c>
      <c r="T1053" s="8">
        <v>5</v>
      </c>
      <c r="U1053" s="89">
        <v>80</v>
      </c>
      <c r="V1053" s="87">
        <v>1</v>
      </c>
      <c r="W1053">
        <v>1</v>
      </c>
      <c r="X1053" s="8">
        <v>1</v>
      </c>
      <c r="Y1053" s="8">
        <v>0</v>
      </c>
      <c r="Z1053" s="33">
        <v>0</v>
      </c>
      <c r="AA1053">
        <v>5</v>
      </c>
      <c r="AB1053" s="34">
        <v>3040</v>
      </c>
      <c r="AC1053" s="87">
        <v>999</v>
      </c>
      <c r="AI1053" s="64"/>
      <c r="AJ1053" s="64"/>
      <c r="AK1053" s="64"/>
      <c r="AL1053" s="64">
        <v>0</v>
      </c>
      <c r="AM1053" s="64">
        <v>40</v>
      </c>
      <c r="AN1053" s="93"/>
      <c r="AO1053" s="92"/>
      <c r="AS1053">
        <v>1</v>
      </c>
    </row>
    <row r="1054" spans="1:45">
      <c r="A1054">
        <v>261038</v>
      </c>
      <c r="B1054" s="8">
        <v>1001</v>
      </c>
      <c r="C1054" s="8">
        <v>1</v>
      </c>
      <c r="D1054" s="8">
        <v>3</v>
      </c>
      <c r="E1054" t="s">
        <v>2747</v>
      </c>
      <c r="F1054" s="13" t="s">
        <v>2748</v>
      </c>
      <c r="G1054" t="s">
        <v>2749</v>
      </c>
      <c r="H1054" s="13" t="s">
        <v>2750</v>
      </c>
      <c r="I1054">
        <v>1</v>
      </c>
      <c r="J1054">
        <v>1</v>
      </c>
      <c r="K1054" s="33">
        <v>1</v>
      </c>
      <c r="L1054" s="8">
        <v>999</v>
      </c>
      <c r="M1054" s="8">
        <v>0</v>
      </c>
      <c r="N1054" s="8"/>
      <c r="S1054" s="89">
        <v>1</v>
      </c>
      <c r="T1054" s="8">
        <v>5</v>
      </c>
      <c r="U1054" s="89">
        <v>80</v>
      </c>
      <c r="V1054" s="87">
        <v>1</v>
      </c>
      <c r="W1054">
        <v>1</v>
      </c>
      <c r="X1054" s="8">
        <v>1</v>
      </c>
      <c r="Y1054" s="8">
        <v>0</v>
      </c>
      <c r="Z1054" s="33">
        <v>0</v>
      </c>
      <c r="AA1054">
        <v>5</v>
      </c>
      <c r="AB1054" s="34">
        <v>3040</v>
      </c>
      <c r="AC1054" s="87">
        <v>999</v>
      </c>
      <c r="AI1054" s="64"/>
      <c r="AJ1054" s="64"/>
      <c r="AK1054" s="64"/>
      <c r="AL1054" s="64">
        <v>0</v>
      </c>
      <c r="AM1054" s="64">
        <v>40</v>
      </c>
      <c r="AN1054" s="93"/>
      <c r="AO1054" s="92"/>
      <c r="AS1054">
        <v>1</v>
      </c>
    </row>
    <row r="1055" spans="1:45">
      <c r="A1055">
        <v>261039</v>
      </c>
      <c r="B1055" s="8">
        <v>1001</v>
      </c>
      <c r="C1055" s="8">
        <v>1</v>
      </c>
      <c r="D1055" s="8">
        <v>3</v>
      </c>
      <c r="E1055" t="s">
        <v>2751</v>
      </c>
      <c r="F1055" s="13" t="s">
        <v>2752</v>
      </c>
      <c r="G1055" t="s">
        <v>2753</v>
      </c>
      <c r="H1055" s="13" t="s">
        <v>2754</v>
      </c>
      <c r="I1055">
        <v>1</v>
      </c>
      <c r="J1055">
        <v>1</v>
      </c>
      <c r="K1055" s="33">
        <v>1</v>
      </c>
      <c r="L1055" s="8">
        <v>999</v>
      </c>
      <c r="M1055" s="8">
        <v>0</v>
      </c>
      <c r="N1055" s="8"/>
      <c r="S1055" s="89">
        <v>1</v>
      </c>
      <c r="T1055" s="8">
        <v>5</v>
      </c>
      <c r="U1055" s="89">
        <v>80</v>
      </c>
      <c r="V1055" s="87">
        <v>1</v>
      </c>
      <c r="W1055">
        <v>1</v>
      </c>
      <c r="X1055" s="8">
        <v>1</v>
      </c>
      <c r="Y1055" s="8">
        <v>0</v>
      </c>
      <c r="Z1055" s="33">
        <v>0</v>
      </c>
      <c r="AA1055">
        <v>5</v>
      </c>
      <c r="AB1055" s="34">
        <v>3040</v>
      </c>
      <c r="AC1055" s="87">
        <v>999</v>
      </c>
      <c r="AI1055" s="64"/>
      <c r="AJ1055" s="64"/>
      <c r="AK1055" s="64"/>
      <c r="AL1055" s="64">
        <v>0</v>
      </c>
      <c r="AM1055" s="64">
        <v>40</v>
      </c>
      <c r="AN1055" s="93"/>
      <c r="AO1055" s="92"/>
      <c r="AS1055">
        <v>1</v>
      </c>
    </row>
    <row r="1056" spans="1:45">
      <c r="A1056">
        <v>261040</v>
      </c>
      <c r="B1056" s="8">
        <v>1001</v>
      </c>
      <c r="C1056" s="8">
        <v>1</v>
      </c>
      <c r="D1056" s="8">
        <v>3</v>
      </c>
      <c r="E1056" t="s">
        <v>2755</v>
      </c>
      <c r="F1056" s="13" t="s">
        <v>2756</v>
      </c>
      <c r="G1056" t="s">
        <v>2757</v>
      </c>
      <c r="H1056" s="13" t="s">
        <v>2758</v>
      </c>
      <c r="I1056">
        <v>1</v>
      </c>
      <c r="J1056">
        <v>1</v>
      </c>
      <c r="K1056" s="33">
        <v>1</v>
      </c>
      <c r="L1056" s="8">
        <v>999</v>
      </c>
      <c r="M1056" s="8">
        <v>0</v>
      </c>
      <c r="N1056" s="8"/>
      <c r="S1056" s="89">
        <v>1</v>
      </c>
      <c r="T1056" s="8">
        <v>5</v>
      </c>
      <c r="U1056" s="89">
        <v>80</v>
      </c>
      <c r="V1056" s="87">
        <v>1</v>
      </c>
      <c r="W1056">
        <v>1</v>
      </c>
      <c r="X1056" s="8">
        <v>1</v>
      </c>
      <c r="Y1056" s="8">
        <v>0</v>
      </c>
      <c r="Z1056" s="33">
        <v>0</v>
      </c>
      <c r="AA1056">
        <v>5</v>
      </c>
      <c r="AB1056" s="34">
        <v>3040</v>
      </c>
      <c r="AC1056" s="87">
        <v>999</v>
      </c>
      <c r="AI1056" s="64"/>
      <c r="AJ1056" s="64"/>
      <c r="AK1056" s="64"/>
      <c r="AL1056" s="64">
        <v>0</v>
      </c>
      <c r="AM1056" s="64">
        <v>40</v>
      </c>
      <c r="AN1056" s="93"/>
      <c r="AO1056" s="92"/>
      <c r="AS1056">
        <v>1</v>
      </c>
    </row>
    <row r="1057" spans="1:45">
      <c r="A1057">
        <v>261041</v>
      </c>
      <c r="B1057" s="8">
        <v>1001</v>
      </c>
      <c r="C1057" s="8">
        <v>1</v>
      </c>
      <c r="D1057" s="8">
        <v>3</v>
      </c>
      <c r="E1057" t="s">
        <v>2759</v>
      </c>
      <c r="F1057" s="13" t="s">
        <v>2637</v>
      </c>
      <c r="G1057" t="s">
        <v>2760</v>
      </c>
      <c r="H1057" s="13" t="s">
        <v>2761</v>
      </c>
      <c r="I1057">
        <v>1</v>
      </c>
      <c r="J1057">
        <v>1</v>
      </c>
      <c r="K1057" s="33">
        <v>1</v>
      </c>
      <c r="L1057" s="8">
        <v>999</v>
      </c>
      <c r="M1057" s="8">
        <v>0</v>
      </c>
      <c r="N1057" s="8"/>
      <c r="S1057" s="89">
        <v>1</v>
      </c>
      <c r="T1057" s="8">
        <v>5</v>
      </c>
      <c r="U1057" s="89">
        <v>80</v>
      </c>
      <c r="V1057" s="87">
        <v>1</v>
      </c>
      <c r="W1057">
        <v>1</v>
      </c>
      <c r="X1057" s="8">
        <v>1</v>
      </c>
      <c r="Y1057" s="8">
        <v>0</v>
      </c>
      <c r="Z1057" s="33">
        <v>0</v>
      </c>
      <c r="AA1057">
        <v>5</v>
      </c>
      <c r="AB1057" s="34">
        <v>3040</v>
      </c>
      <c r="AC1057" s="87">
        <v>999</v>
      </c>
      <c r="AI1057" s="64"/>
      <c r="AJ1057" s="64"/>
      <c r="AK1057" s="64"/>
      <c r="AL1057" s="64">
        <v>0</v>
      </c>
      <c r="AM1057" s="64">
        <v>40</v>
      </c>
      <c r="AN1057" s="93"/>
      <c r="AO1057" s="92"/>
      <c r="AS1057">
        <v>1</v>
      </c>
    </row>
    <row r="1058" spans="1:45">
      <c r="A1058">
        <v>261042</v>
      </c>
      <c r="B1058" s="8">
        <v>1001</v>
      </c>
      <c r="C1058" s="8">
        <v>1</v>
      </c>
      <c r="D1058" s="8">
        <v>3</v>
      </c>
      <c r="E1058" t="s">
        <v>2762</v>
      </c>
      <c r="F1058" s="13" t="s">
        <v>2763</v>
      </c>
      <c r="G1058" t="s">
        <v>2764</v>
      </c>
      <c r="H1058" s="13" t="s">
        <v>2765</v>
      </c>
      <c r="I1058">
        <v>1</v>
      </c>
      <c r="J1058">
        <v>1</v>
      </c>
      <c r="K1058" s="33">
        <v>1</v>
      </c>
      <c r="L1058" s="8">
        <v>999</v>
      </c>
      <c r="M1058" s="8">
        <v>0</v>
      </c>
      <c r="N1058" s="8"/>
      <c r="S1058" s="89">
        <v>1</v>
      </c>
      <c r="T1058" s="8">
        <v>5</v>
      </c>
      <c r="U1058" s="89">
        <v>80</v>
      </c>
      <c r="V1058" s="87">
        <v>1</v>
      </c>
      <c r="W1058">
        <v>1</v>
      </c>
      <c r="X1058" s="8">
        <v>1</v>
      </c>
      <c r="Y1058" s="8">
        <v>0</v>
      </c>
      <c r="Z1058" s="33">
        <v>0</v>
      </c>
      <c r="AA1058">
        <v>5</v>
      </c>
      <c r="AB1058" s="34">
        <v>3040</v>
      </c>
      <c r="AC1058" s="87">
        <v>999</v>
      </c>
      <c r="AI1058" s="64"/>
      <c r="AJ1058" s="64"/>
      <c r="AK1058" s="64"/>
      <c r="AL1058" s="64">
        <v>0</v>
      </c>
      <c r="AM1058" s="64">
        <v>40</v>
      </c>
      <c r="AN1058" s="93"/>
      <c r="AO1058" s="92"/>
      <c r="AS1058">
        <v>1</v>
      </c>
    </row>
    <row r="1059" spans="1:45">
      <c r="A1059">
        <v>261043</v>
      </c>
      <c r="B1059" s="8">
        <v>1001</v>
      </c>
      <c r="C1059" s="8">
        <v>1</v>
      </c>
      <c r="D1059" s="8">
        <v>3</v>
      </c>
      <c r="E1059" t="s">
        <v>2766</v>
      </c>
      <c r="F1059" s="13" t="s">
        <v>2767</v>
      </c>
      <c r="G1059" t="s">
        <v>2768</v>
      </c>
      <c r="H1059" s="13" t="s">
        <v>2769</v>
      </c>
      <c r="I1059">
        <v>1</v>
      </c>
      <c r="J1059">
        <v>1</v>
      </c>
      <c r="K1059" s="33">
        <v>1</v>
      </c>
      <c r="L1059" s="8">
        <v>999</v>
      </c>
      <c r="M1059" s="8">
        <v>0</v>
      </c>
      <c r="N1059" s="8"/>
      <c r="S1059" s="89">
        <v>1</v>
      </c>
      <c r="T1059" s="8">
        <v>5</v>
      </c>
      <c r="U1059" s="89">
        <v>80</v>
      </c>
      <c r="V1059" s="87">
        <v>1</v>
      </c>
      <c r="W1059">
        <v>1</v>
      </c>
      <c r="X1059" s="8">
        <v>1</v>
      </c>
      <c r="Y1059" s="8">
        <v>0</v>
      </c>
      <c r="Z1059" s="33">
        <v>0</v>
      </c>
      <c r="AA1059">
        <v>5</v>
      </c>
      <c r="AB1059" s="34">
        <v>3040</v>
      </c>
      <c r="AC1059" s="87">
        <v>999</v>
      </c>
      <c r="AI1059" s="64"/>
      <c r="AJ1059" s="64"/>
      <c r="AK1059" s="64"/>
      <c r="AL1059" s="64">
        <v>0</v>
      </c>
      <c r="AM1059" s="64">
        <v>40</v>
      </c>
      <c r="AN1059" s="93"/>
      <c r="AO1059" s="92"/>
      <c r="AS1059">
        <v>1</v>
      </c>
    </row>
    <row r="1060" spans="1:45">
      <c r="A1060">
        <v>261044</v>
      </c>
      <c r="B1060" s="8">
        <v>1001</v>
      </c>
      <c r="C1060" s="8">
        <v>1</v>
      </c>
      <c r="D1060" s="8">
        <v>3</v>
      </c>
      <c r="E1060" t="s">
        <v>2770</v>
      </c>
      <c r="F1060" s="13" t="s">
        <v>2771</v>
      </c>
      <c r="G1060" t="s">
        <v>2772</v>
      </c>
      <c r="H1060" s="13" t="s">
        <v>2773</v>
      </c>
      <c r="I1060">
        <v>1</v>
      </c>
      <c r="J1060">
        <v>1</v>
      </c>
      <c r="K1060" s="33">
        <v>1</v>
      </c>
      <c r="L1060" s="8">
        <v>999</v>
      </c>
      <c r="M1060" s="8">
        <v>0</v>
      </c>
      <c r="N1060" s="8"/>
      <c r="S1060" s="89">
        <v>1</v>
      </c>
      <c r="T1060" s="8">
        <v>5</v>
      </c>
      <c r="U1060" s="89">
        <v>80</v>
      </c>
      <c r="V1060" s="87">
        <v>1</v>
      </c>
      <c r="W1060">
        <v>1</v>
      </c>
      <c r="X1060" s="8">
        <v>1</v>
      </c>
      <c r="Y1060" s="8">
        <v>0</v>
      </c>
      <c r="Z1060" s="33">
        <v>0</v>
      </c>
      <c r="AA1060">
        <v>5</v>
      </c>
      <c r="AB1060" s="34">
        <v>3040</v>
      </c>
      <c r="AC1060" s="87">
        <v>999</v>
      </c>
      <c r="AI1060" s="64"/>
      <c r="AJ1060" s="64"/>
      <c r="AK1060" s="64"/>
      <c r="AL1060" s="64">
        <v>0</v>
      </c>
      <c r="AM1060" s="64">
        <v>40</v>
      </c>
      <c r="AN1060" s="93"/>
      <c r="AO1060" s="92"/>
      <c r="AS1060">
        <v>1</v>
      </c>
    </row>
    <row r="1061" spans="1:45">
      <c r="A1061">
        <v>261045</v>
      </c>
      <c r="B1061" s="8">
        <v>1001</v>
      </c>
      <c r="C1061" s="8">
        <v>1</v>
      </c>
      <c r="D1061" s="8">
        <v>3</v>
      </c>
      <c r="E1061" t="s">
        <v>2774</v>
      </c>
      <c r="F1061" s="13" t="s">
        <v>2775</v>
      </c>
      <c r="G1061" t="s">
        <v>2776</v>
      </c>
      <c r="H1061" s="13" t="s">
        <v>2777</v>
      </c>
      <c r="I1061">
        <v>1</v>
      </c>
      <c r="J1061">
        <v>1</v>
      </c>
      <c r="K1061" s="33">
        <v>1</v>
      </c>
      <c r="L1061" s="8">
        <v>999</v>
      </c>
      <c r="M1061" s="8">
        <v>0</v>
      </c>
      <c r="N1061" s="8"/>
      <c r="S1061" s="89">
        <v>1</v>
      </c>
      <c r="T1061" s="8">
        <v>5</v>
      </c>
      <c r="U1061" s="89">
        <v>80</v>
      </c>
      <c r="V1061" s="87">
        <v>1</v>
      </c>
      <c r="W1061">
        <v>1</v>
      </c>
      <c r="X1061" s="8">
        <v>1</v>
      </c>
      <c r="Y1061" s="8">
        <v>0</v>
      </c>
      <c r="Z1061" s="33">
        <v>0</v>
      </c>
      <c r="AA1061">
        <v>5</v>
      </c>
      <c r="AB1061" s="34">
        <v>3040</v>
      </c>
      <c r="AC1061" s="87">
        <v>999</v>
      </c>
      <c r="AI1061" s="64"/>
      <c r="AJ1061" s="64"/>
      <c r="AK1061" s="64"/>
      <c r="AL1061" s="64">
        <v>0</v>
      </c>
      <c r="AM1061" s="64">
        <v>40</v>
      </c>
      <c r="AN1061" s="93"/>
      <c r="AO1061" s="92"/>
      <c r="AS1061">
        <v>1</v>
      </c>
    </row>
    <row r="1062" spans="1:45">
      <c r="A1062">
        <v>261046</v>
      </c>
      <c r="B1062" s="8">
        <v>1001</v>
      </c>
      <c r="C1062" s="8">
        <v>1</v>
      </c>
      <c r="D1062" s="8">
        <v>3</v>
      </c>
      <c r="E1062" t="s">
        <v>2778</v>
      </c>
      <c r="F1062" s="13" t="s">
        <v>2779</v>
      </c>
      <c r="G1062" t="s">
        <v>2780</v>
      </c>
      <c r="H1062" s="13" t="s">
        <v>2781</v>
      </c>
      <c r="I1062">
        <v>1</v>
      </c>
      <c r="J1062">
        <v>1</v>
      </c>
      <c r="K1062" s="33">
        <v>1</v>
      </c>
      <c r="L1062" s="8">
        <v>999</v>
      </c>
      <c r="M1062" s="8">
        <v>0</v>
      </c>
      <c r="N1062" s="8"/>
      <c r="S1062" s="89">
        <v>1</v>
      </c>
      <c r="T1062" s="8">
        <v>5</v>
      </c>
      <c r="U1062" s="89">
        <v>80</v>
      </c>
      <c r="V1062" s="87">
        <v>1</v>
      </c>
      <c r="W1062">
        <v>1</v>
      </c>
      <c r="X1062" s="8">
        <v>1</v>
      </c>
      <c r="Y1062" s="8">
        <v>0</v>
      </c>
      <c r="Z1062" s="33">
        <v>0</v>
      </c>
      <c r="AA1062">
        <v>5</v>
      </c>
      <c r="AB1062" s="34">
        <v>3040</v>
      </c>
      <c r="AC1062" s="87">
        <v>999</v>
      </c>
      <c r="AI1062" s="64"/>
      <c r="AJ1062" s="64"/>
      <c r="AK1062" s="64"/>
      <c r="AL1062" s="64">
        <v>0</v>
      </c>
      <c r="AM1062" s="64">
        <v>40</v>
      </c>
      <c r="AN1062" s="93"/>
      <c r="AO1062" s="92"/>
      <c r="AS1062">
        <v>1</v>
      </c>
    </row>
    <row r="1063" spans="1:45">
      <c r="A1063">
        <v>261047</v>
      </c>
      <c r="B1063" s="8">
        <v>1001</v>
      </c>
      <c r="C1063" s="8">
        <v>1</v>
      </c>
      <c r="D1063" s="8">
        <v>3</v>
      </c>
      <c r="E1063" t="s">
        <v>2782</v>
      </c>
      <c r="F1063" s="13" t="s">
        <v>2783</v>
      </c>
      <c r="G1063" t="s">
        <v>2784</v>
      </c>
      <c r="H1063" s="13" t="s">
        <v>2785</v>
      </c>
      <c r="I1063">
        <v>1</v>
      </c>
      <c r="J1063">
        <v>1</v>
      </c>
      <c r="K1063" s="33">
        <v>1</v>
      </c>
      <c r="L1063" s="8">
        <v>999</v>
      </c>
      <c r="M1063" s="8">
        <v>0</v>
      </c>
      <c r="N1063" s="8"/>
      <c r="S1063" s="89">
        <v>1</v>
      </c>
      <c r="T1063" s="8">
        <v>5</v>
      </c>
      <c r="U1063" s="89">
        <v>80</v>
      </c>
      <c r="V1063" s="87">
        <v>1</v>
      </c>
      <c r="W1063">
        <v>1</v>
      </c>
      <c r="X1063" s="8">
        <v>1</v>
      </c>
      <c r="Y1063" s="8">
        <v>0</v>
      </c>
      <c r="Z1063" s="33">
        <v>0</v>
      </c>
      <c r="AA1063">
        <v>5</v>
      </c>
      <c r="AB1063" s="34">
        <v>3040</v>
      </c>
      <c r="AC1063" s="87">
        <v>999</v>
      </c>
      <c r="AI1063" s="64"/>
      <c r="AJ1063" s="64"/>
      <c r="AK1063" s="64"/>
      <c r="AL1063" s="64">
        <v>0</v>
      </c>
      <c r="AM1063" s="64">
        <v>40</v>
      </c>
      <c r="AN1063" s="93"/>
      <c r="AO1063" s="92"/>
      <c r="AS1063">
        <v>1</v>
      </c>
    </row>
    <row r="1064" spans="1:45">
      <c r="A1064">
        <v>261048</v>
      </c>
      <c r="B1064" s="8">
        <v>1001</v>
      </c>
      <c r="C1064" s="8">
        <v>1</v>
      </c>
      <c r="D1064" s="8">
        <v>3</v>
      </c>
      <c r="E1064" t="s">
        <v>2786</v>
      </c>
      <c r="F1064" s="13" t="s">
        <v>2787</v>
      </c>
      <c r="G1064" t="s">
        <v>2788</v>
      </c>
      <c r="H1064" s="13" t="s">
        <v>2789</v>
      </c>
      <c r="I1064">
        <v>1</v>
      </c>
      <c r="J1064">
        <v>1</v>
      </c>
      <c r="K1064" s="33">
        <v>1</v>
      </c>
      <c r="L1064" s="8">
        <v>999</v>
      </c>
      <c r="M1064" s="8">
        <v>0</v>
      </c>
      <c r="N1064" s="8"/>
      <c r="S1064" s="89">
        <v>1</v>
      </c>
      <c r="T1064" s="8">
        <v>5</v>
      </c>
      <c r="U1064" s="89">
        <v>80</v>
      </c>
      <c r="V1064" s="87">
        <v>1</v>
      </c>
      <c r="W1064">
        <v>1</v>
      </c>
      <c r="X1064" s="8">
        <v>1</v>
      </c>
      <c r="Y1064" s="8">
        <v>0</v>
      </c>
      <c r="Z1064" s="33">
        <v>0</v>
      </c>
      <c r="AA1064">
        <v>5</v>
      </c>
      <c r="AB1064" s="34">
        <v>3040</v>
      </c>
      <c r="AC1064" s="87">
        <v>999</v>
      </c>
      <c r="AI1064" s="64"/>
      <c r="AJ1064" s="64"/>
      <c r="AK1064" s="64"/>
      <c r="AL1064" s="64">
        <v>0</v>
      </c>
      <c r="AM1064" s="64">
        <v>40</v>
      </c>
      <c r="AN1064" s="93"/>
      <c r="AO1064" s="92"/>
      <c r="AS1064">
        <v>1</v>
      </c>
    </row>
    <row r="1065" spans="1:45">
      <c r="A1065">
        <v>261049</v>
      </c>
      <c r="B1065" s="8">
        <v>1001</v>
      </c>
      <c r="C1065" s="8">
        <v>1</v>
      </c>
      <c r="D1065" s="8">
        <v>3</v>
      </c>
      <c r="E1065" t="s">
        <v>2790</v>
      </c>
      <c r="F1065" s="13" t="s">
        <v>2791</v>
      </c>
      <c r="G1065" t="s">
        <v>2792</v>
      </c>
      <c r="H1065" s="13" t="s">
        <v>2793</v>
      </c>
      <c r="I1065">
        <v>1</v>
      </c>
      <c r="J1065">
        <v>1</v>
      </c>
      <c r="K1065" s="33">
        <v>1</v>
      </c>
      <c r="L1065" s="8">
        <v>999</v>
      </c>
      <c r="M1065" s="8">
        <v>0</v>
      </c>
      <c r="N1065" s="8"/>
      <c r="S1065" s="89">
        <v>1</v>
      </c>
      <c r="T1065" s="8">
        <v>5</v>
      </c>
      <c r="U1065" s="89">
        <v>80</v>
      </c>
      <c r="V1065" s="87">
        <v>1</v>
      </c>
      <c r="W1065">
        <v>1</v>
      </c>
      <c r="X1065" s="8">
        <v>1</v>
      </c>
      <c r="Y1065" s="8">
        <v>0</v>
      </c>
      <c r="Z1065" s="33">
        <v>0</v>
      </c>
      <c r="AA1065">
        <v>5</v>
      </c>
      <c r="AB1065" s="34">
        <v>3040</v>
      </c>
      <c r="AC1065" s="87">
        <v>999</v>
      </c>
      <c r="AI1065" s="64"/>
      <c r="AJ1065" s="64"/>
      <c r="AK1065" s="64"/>
      <c r="AL1065" s="64">
        <v>0</v>
      </c>
      <c r="AM1065" s="64">
        <v>40</v>
      </c>
      <c r="AN1065" s="93"/>
      <c r="AO1065" s="92"/>
      <c r="AS1065">
        <v>1</v>
      </c>
    </row>
    <row r="1066" spans="1:45">
      <c r="A1066">
        <v>261050</v>
      </c>
      <c r="B1066" s="8">
        <v>1001</v>
      </c>
      <c r="C1066" s="8">
        <v>1</v>
      </c>
      <c r="D1066" s="8">
        <v>3</v>
      </c>
      <c r="E1066" t="s">
        <v>2794</v>
      </c>
      <c r="F1066" s="13" t="s">
        <v>2795</v>
      </c>
      <c r="G1066" t="s">
        <v>2796</v>
      </c>
      <c r="H1066" s="13" t="s">
        <v>2797</v>
      </c>
      <c r="I1066">
        <v>1</v>
      </c>
      <c r="J1066">
        <v>1</v>
      </c>
      <c r="K1066" s="33">
        <v>1</v>
      </c>
      <c r="L1066" s="8">
        <v>999</v>
      </c>
      <c r="M1066" s="8">
        <v>0</v>
      </c>
      <c r="N1066" s="8"/>
      <c r="S1066" s="89">
        <v>1</v>
      </c>
      <c r="T1066" s="8">
        <v>5</v>
      </c>
      <c r="U1066" s="89">
        <v>80</v>
      </c>
      <c r="V1066" s="87">
        <v>1</v>
      </c>
      <c r="W1066">
        <v>1</v>
      </c>
      <c r="X1066" s="8">
        <v>1</v>
      </c>
      <c r="Y1066" s="8">
        <v>0</v>
      </c>
      <c r="Z1066" s="33">
        <v>0</v>
      </c>
      <c r="AA1066">
        <v>5</v>
      </c>
      <c r="AB1066" s="34">
        <v>3040</v>
      </c>
      <c r="AC1066" s="87">
        <v>999</v>
      </c>
      <c r="AI1066" s="64"/>
      <c r="AJ1066" s="64"/>
      <c r="AK1066" s="64"/>
      <c r="AL1066" s="64">
        <v>0</v>
      </c>
      <c r="AM1066" s="64">
        <v>40</v>
      </c>
      <c r="AN1066" s="93"/>
      <c r="AO1066" s="92"/>
      <c r="AS1066">
        <v>1</v>
      </c>
    </row>
    <row r="1067" spans="1:45">
      <c r="A1067">
        <v>261051</v>
      </c>
      <c r="B1067" s="8">
        <v>1001</v>
      </c>
      <c r="C1067" s="8">
        <v>1</v>
      </c>
      <c r="D1067" s="8">
        <v>3</v>
      </c>
      <c r="E1067" t="s">
        <v>2798</v>
      </c>
      <c r="F1067" s="13" t="s">
        <v>2799</v>
      </c>
      <c r="G1067" t="s">
        <v>2800</v>
      </c>
      <c r="H1067" s="13" t="s">
        <v>2801</v>
      </c>
      <c r="I1067">
        <v>1</v>
      </c>
      <c r="J1067">
        <v>1</v>
      </c>
      <c r="K1067" s="33">
        <v>1</v>
      </c>
      <c r="L1067" s="8">
        <v>999</v>
      </c>
      <c r="M1067" s="8">
        <v>0</v>
      </c>
      <c r="N1067" s="8"/>
      <c r="S1067" s="89">
        <v>1</v>
      </c>
      <c r="T1067" s="8">
        <v>5</v>
      </c>
      <c r="U1067" s="89">
        <v>80</v>
      </c>
      <c r="V1067" s="87">
        <v>1</v>
      </c>
      <c r="W1067">
        <v>1</v>
      </c>
      <c r="X1067" s="8">
        <v>1</v>
      </c>
      <c r="Y1067" s="8">
        <v>0</v>
      </c>
      <c r="Z1067" s="33">
        <v>0</v>
      </c>
      <c r="AA1067">
        <v>5</v>
      </c>
      <c r="AB1067" s="34">
        <v>3040</v>
      </c>
      <c r="AC1067" s="87">
        <v>999</v>
      </c>
      <c r="AI1067" s="64"/>
      <c r="AJ1067" s="64"/>
      <c r="AK1067" s="64"/>
      <c r="AL1067" s="64">
        <v>0</v>
      </c>
      <c r="AM1067" s="64">
        <v>40</v>
      </c>
      <c r="AN1067" s="93"/>
      <c r="AO1067" s="92"/>
      <c r="AS1067">
        <v>1</v>
      </c>
    </row>
    <row r="1068" spans="1:45">
      <c r="A1068">
        <v>261052</v>
      </c>
      <c r="B1068" s="8">
        <v>1001</v>
      </c>
      <c r="C1068" s="8">
        <v>1</v>
      </c>
      <c r="D1068" s="8">
        <v>3</v>
      </c>
      <c r="E1068" t="s">
        <v>2802</v>
      </c>
      <c r="F1068" s="13" t="s">
        <v>2803</v>
      </c>
      <c r="G1068" t="s">
        <v>2804</v>
      </c>
      <c r="H1068" s="13" t="s">
        <v>2805</v>
      </c>
      <c r="I1068">
        <v>1</v>
      </c>
      <c r="J1068">
        <v>1</v>
      </c>
      <c r="K1068" s="33">
        <v>1</v>
      </c>
      <c r="L1068" s="8">
        <v>999</v>
      </c>
      <c r="M1068" s="8">
        <v>0</v>
      </c>
      <c r="N1068" s="8"/>
      <c r="S1068" s="89">
        <v>1</v>
      </c>
      <c r="T1068" s="8">
        <v>5</v>
      </c>
      <c r="U1068" s="89">
        <v>80</v>
      </c>
      <c r="V1068" s="87">
        <v>1</v>
      </c>
      <c r="W1068">
        <v>1</v>
      </c>
      <c r="X1068" s="8">
        <v>1</v>
      </c>
      <c r="Y1068" s="8">
        <v>0</v>
      </c>
      <c r="Z1068" s="33">
        <v>0</v>
      </c>
      <c r="AA1068">
        <v>5</v>
      </c>
      <c r="AB1068" s="34">
        <v>3040</v>
      </c>
      <c r="AC1068" s="87">
        <v>999</v>
      </c>
      <c r="AI1068" s="64"/>
      <c r="AJ1068" s="64"/>
      <c r="AK1068" s="64"/>
      <c r="AL1068" s="64">
        <v>0</v>
      </c>
      <c r="AM1068" s="64">
        <v>40</v>
      </c>
      <c r="AN1068" s="93"/>
      <c r="AO1068" s="92"/>
      <c r="AS1068">
        <v>1</v>
      </c>
    </row>
    <row r="1069" spans="1:45">
      <c r="A1069">
        <v>261053</v>
      </c>
      <c r="B1069" s="8">
        <v>1001</v>
      </c>
      <c r="C1069" s="8">
        <v>1</v>
      </c>
      <c r="D1069" s="8">
        <v>3</v>
      </c>
      <c r="E1069" t="s">
        <v>2806</v>
      </c>
      <c r="F1069" s="13" t="s">
        <v>2807</v>
      </c>
      <c r="G1069" t="s">
        <v>2808</v>
      </c>
      <c r="H1069" s="13" t="s">
        <v>2761</v>
      </c>
      <c r="I1069">
        <v>1</v>
      </c>
      <c r="J1069">
        <v>5</v>
      </c>
      <c r="K1069" s="33">
        <v>1</v>
      </c>
      <c r="L1069" s="8">
        <v>999</v>
      </c>
      <c r="M1069" s="8">
        <v>0</v>
      </c>
      <c r="N1069" s="8"/>
      <c r="S1069" s="89">
        <v>1</v>
      </c>
      <c r="T1069" s="8">
        <v>5</v>
      </c>
      <c r="U1069" s="89">
        <v>80</v>
      </c>
      <c r="V1069" s="87">
        <v>1</v>
      </c>
      <c r="W1069">
        <v>1</v>
      </c>
      <c r="X1069" s="8">
        <v>1</v>
      </c>
      <c r="Y1069" s="8">
        <v>0</v>
      </c>
      <c r="Z1069" s="33">
        <v>0</v>
      </c>
      <c r="AA1069">
        <v>5</v>
      </c>
      <c r="AB1069" s="34">
        <v>3040</v>
      </c>
      <c r="AC1069" s="87">
        <v>999</v>
      </c>
      <c r="AI1069" s="64"/>
      <c r="AJ1069" s="64"/>
      <c r="AK1069" s="64"/>
      <c r="AL1069" s="64">
        <v>0</v>
      </c>
      <c r="AM1069" s="64">
        <v>40</v>
      </c>
      <c r="AN1069" s="93"/>
      <c r="AO1069" s="92"/>
      <c r="AS1069">
        <v>1</v>
      </c>
    </row>
    <row r="1070" spans="1:45">
      <c r="A1070">
        <v>261054</v>
      </c>
      <c r="B1070" s="8">
        <v>1001</v>
      </c>
      <c r="C1070" s="8">
        <v>1</v>
      </c>
      <c r="D1070" s="8">
        <v>3</v>
      </c>
      <c r="E1070" t="s">
        <v>2809</v>
      </c>
      <c r="F1070" s="13" t="s">
        <v>2810</v>
      </c>
      <c r="G1070" t="s">
        <v>2811</v>
      </c>
      <c r="H1070" s="13" t="s">
        <v>2765</v>
      </c>
      <c r="I1070">
        <v>1</v>
      </c>
      <c r="J1070">
        <v>5</v>
      </c>
      <c r="K1070" s="33">
        <v>1</v>
      </c>
      <c r="L1070" s="8">
        <v>999</v>
      </c>
      <c r="M1070" s="8">
        <v>0</v>
      </c>
      <c r="N1070" s="8"/>
      <c r="S1070" s="89">
        <v>1</v>
      </c>
      <c r="T1070" s="8">
        <v>5</v>
      </c>
      <c r="U1070" s="89">
        <v>80</v>
      </c>
      <c r="V1070" s="87">
        <v>1</v>
      </c>
      <c r="W1070">
        <v>1</v>
      </c>
      <c r="X1070" s="8">
        <v>1</v>
      </c>
      <c r="Y1070" s="8">
        <v>0</v>
      </c>
      <c r="Z1070" s="33">
        <v>0</v>
      </c>
      <c r="AA1070">
        <v>5</v>
      </c>
      <c r="AB1070" s="34">
        <v>3040</v>
      </c>
      <c r="AC1070" s="87">
        <v>999</v>
      </c>
      <c r="AI1070" s="64"/>
      <c r="AJ1070" s="64"/>
      <c r="AK1070" s="64"/>
      <c r="AL1070" s="64">
        <v>0</v>
      </c>
      <c r="AM1070" s="64">
        <v>40</v>
      </c>
      <c r="AN1070" s="93"/>
      <c r="AO1070" s="92"/>
      <c r="AS1070">
        <v>1</v>
      </c>
    </row>
    <row r="1071" spans="1:45">
      <c r="A1071">
        <v>261055</v>
      </c>
      <c r="B1071" s="8">
        <v>1001</v>
      </c>
      <c r="C1071" s="8">
        <v>1</v>
      </c>
      <c r="D1071" s="8">
        <v>3</v>
      </c>
      <c r="E1071" t="s">
        <v>2812</v>
      </c>
      <c r="F1071" s="13" t="s">
        <v>2813</v>
      </c>
      <c r="G1071" t="s">
        <v>2814</v>
      </c>
      <c r="H1071" s="13" t="s">
        <v>2769</v>
      </c>
      <c r="I1071">
        <v>1</v>
      </c>
      <c r="J1071">
        <v>5</v>
      </c>
      <c r="K1071" s="33">
        <v>1</v>
      </c>
      <c r="L1071" s="8">
        <v>999</v>
      </c>
      <c r="M1071" s="8">
        <v>0</v>
      </c>
      <c r="N1071" s="8"/>
      <c r="S1071" s="89">
        <v>1</v>
      </c>
      <c r="T1071" s="8">
        <v>5</v>
      </c>
      <c r="U1071" s="89">
        <v>80</v>
      </c>
      <c r="V1071" s="87">
        <v>1</v>
      </c>
      <c r="W1071">
        <v>1</v>
      </c>
      <c r="X1071" s="8">
        <v>1</v>
      </c>
      <c r="Y1071" s="8">
        <v>0</v>
      </c>
      <c r="Z1071" s="33">
        <v>0</v>
      </c>
      <c r="AA1071">
        <v>5</v>
      </c>
      <c r="AB1071" s="34">
        <v>3040</v>
      </c>
      <c r="AC1071" s="87">
        <v>999</v>
      </c>
      <c r="AI1071" s="64"/>
      <c r="AJ1071" s="64"/>
      <c r="AK1071" s="64"/>
      <c r="AL1071" s="64">
        <v>0</v>
      </c>
      <c r="AM1071" s="64">
        <v>40</v>
      </c>
      <c r="AN1071" s="93"/>
      <c r="AO1071" s="92"/>
      <c r="AS1071">
        <v>1</v>
      </c>
    </row>
    <row r="1072" spans="1:45">
      <c r="A1072">
        <v>261056</v>
      </c>
      <c r="B1072" s="8">
        <v>1001</v>
      </c>
      <c r="C1072" s="8">
        <v>1</v>
      </c>
      <c r="D1072" s="8">
        <v>3</v>
      </c>
      <c r="E1072" t="s">
        <v>2815</v>
      </c>
      <c r="F1072" s="13" t="s">
        <v>2816</v>
      </c>
      <c r="G1072" t="s">
        <v>2817</v>
      </c>
      <c r="H1072" s="13" t="s">
        <v>2773</v>
      </c>
      <c r="I1072">
        <v>1</v>
      </c>
      <c r="J1072">
        <v>5</v>
      </c>
      <c r="K1072" s="33">
        <v>1</v>
      </c>
      <c r="L1072" s="8">
        <v>999</v>
      </c>
      <c r="M1072" s="8">
        <v>0</v>
      </c>
      <c r="N1072" s="8"/>
      <c r="S1072" s="89">
        <v>1</v>
      </c>
      <c r="T1072" s="8">
        <v>5</v>
      </c>
      <c r="U1072" s="89">
        <v>80</v>
      </c>
      <c r="V1072" s="87">
        <v>1</v>
      </c>
      <c r="W1072">
        <v>1</v>
      </c>
      <c r="X1072" s="8">
        <v>1</v>
      </c>
      <c r="Y1072" s="8">
        <v>0</v>
      </c>
      <c r="Z1072" s="33">
        <v>0</v>
      </c>
      <c r="AA1072">
        <v>5</v>
      </c>
      <c r="AB1072" s="34">
        <v>3040</v>
      </c>
      <c r="AC1072" s="87">
        <v>999</v>
      </c>
      <c r="AI1072" s="64"/>
      <c r="AJ1072" s="64"/>
      <c r="AK1072" s="64"/>
      <c r="AL1072" s="64">
        <v>0</v>
      </c>
      <c r="AM1072" s="64">
        <v>40</v>
      </c>
      <c r="AN1072" s="93"/>
      <c r="AO1072" s="92"/>
      <c r="AS1072">
        <v>1</v>
      </c>
    </row>
    <row r="1073" spans="1:45">
      <c r="A1073">
        <v>261057</v>
      </c>
      <c r="B1073" s="8">
        <v>1001</v>
      </c>
      <c r="C1073" s="8">
        <v>1</v>
      </c>
      <c r="D1073" s="8">
        <v>3</v>
      </c>
      <c r="E1073" t="s">
        <v>2818</v>
      </c>
      <c r="F1073" s="13" t="s">
        <v>2819</v>
      </c>
      <c r="G1073" t="s">
        <v>2820</v>
      </c>
      <c r="H1073" s="13" t="s">
        <v>2746</v>
      </c>
      <c r="I1073">
        <v>1</v>
      </c>
      <c r="J1073">
        <v>5</v>
      </c>
      <c r="K1073" s="33">
        <v>1</v>
      </c>
      <c r="L1073" s="8">
        <v>999</v>
      </c>
      <c r="M1073" s="8">
        <v>0</v>
      </c>
      <c r="N1073" s="8"/>
      <c r="S1073" s="89">
        <v>1</v>
      </c>
      <c r="T1073" s="8">
        <v>5</v>
      </c>
      <c r="U1073" s="89">
        <v>80</v>
      </c>
      <c r="V1073" s="87">
        <v>1</v>
      </c>
      <c r="W1073">
        <v>1</v>
      </c>
      <c r="X1073" s="8">
        <v>1</v>
      </c>
      <c r="Y1073" s="8">
        <v>0</v>
      </c>
      <c r="Z1073" s="33">
        <v>0</v>
      </c>
      <c r="AA1073">
        <v>5</v>
      </c>
      <c r="AB1073" s="34">
        <v>3040</v>
      </c>
      <c r="AC1073" s="87">
        <v>999</v>
      </c>
      <c r="AI1073" s="64"/>
      <c r="AJ1073" s="64"/>
      <c r="AK1073" s="64"/>
      <c r="AL1073" s="64">
        <v>0</v>
      </c>
      <c r="AM1073" s="64">
        <v>40</v>
      </c>
      <c r="AN1073" s="93"/>
      <c r="AO1073" s="92"/>
      <c r="AS1073">
        <v>1</v>
      </c>
    </row>
    <row r="1074" spans="1:45">
      <c r="A1074">
        <v>261058</v>
      </c>
      <c r="B1074" s="8">
        <v>1001</v>
      </c>
      <c r="C1074" s="8">
        <v>1</v>
      </c>
      <c r="D1074" s="8">
        <v>3</v>
      </c>
      <c r="E1074" t="s">
        <v>2821</v>
      </c>
      <c r="F1074" s="13" t="s">
        <v>2822</v>
      </c>
      <c r="G1074" t="s">
        <v>2823</v>
      </c>
      <c r="H1074" s="13" t="s">
        <v>2750</v>
      </c>
      <c r="I1074">
        <v>1</v>
      </c>
      <c r="J1074">
        <v>5</v>
      </c>
      <c r="K1074" s="33">
        <v>1</v>
      </c>
      <c r="L1074" s="8">
        <v>999</v>
      </c>
      <c r="M1074" s="8">
        <v>0</v>
      </c>
      <c r="N1074" s="8"/>
      <c r="S1074" s="89">
        <v>1</v>
      </c>
      <c r="T1074" s="8">
        <v>5</v>
      </c>
      <c r="U1074" s="89">
        <v>80</v>
      </c>
      <c r="V1074" s="87">
        <v>1</v>
      </c>
      <c r="W1074">
        <v>1</v>
      </c>
      <c r="X1074" s="8">
        <v>1</v>
      </c>
      <c r="Y1074" s="8">
        <v>0</v>
      </c>
      <c r="Z1074" s="33">
        <v>0</v>
      </c>
      <c r="AA1074">
        <v>5</v>
      </c>
      <c r="AB1074" s="34">
        <v>3040</v>
      </c>
      <c r="AC1074" s="87">
        <v>999</v>
      </c>
      <c r="AI1074" s="64"/>
      <c r="AJ1074" s="64"/>
      <c r="AK1074" s="64"/>
      <c r="AL1074" s="64">
        <v>0</v>
      </c>
      <c r="AM1074" s="64">
        <v>40</v>
      </c>
      <c r="AN1074" s="93"/>
      <c r="AO1074" s="92"/>
      <c r="AS1074">
        <v>1</v>
      </c>
    </row>
    <row r="1075" spans="1:45">
      <c r="A1075">
        <v>261059</v>
      </c>
      <c r="B1075" s="8">
        <v>1001</v>
      </c>
      <c r="C1075" s="8">
        <v>1</v>
      </c>
      <c r="D1075" s="8">
        <v>3</v>
      </c>
      <c r="E1075" t="s">
        <v>2824</v>
      </c>
      <c r="F1075" s="13" t="s">
        <v>2825</v>
      </c>
      <c r="G1075" t="s">
        <v>2826</v>
      </c>
      <c r="H1075" s="13" t="s">
        <v>2754</v>
      </c>
      <c r="I1075">
        <v>1</v>
      </c>
      <c r="J1075">
        <v>5</v>
      </c>
      <c r="K1075" s="33">
        <v>1</v>
      </c>
      <c r="L1075" s="8">
        <v>999</v>
      </c>
      <c r="M1075" s="8">
        <v>0</v>
      </c>
      <c r="N1075" s="8"/>
      <c r="S1075" s="89">
        <v>1</v>
      </c>
      <c r="T1075" s="8">
        <v>5</v>
      </c>
      <c r="U1075" s="89">
        <v>80</v>
      </c>
      <c r="V1075" s="87">
        <v>1</v>
      </c>
      <c r="W1075">
        <v>1</v>
      </c>
      <c r="X1075" s="8">
        <v>1</v>
      </c>
      <c r="Y1075" s="8">
        <v>0</v>
      </c>
      <c r="Z1075" s="33">
        <v>0</v>
      </c>
      <c r="AA1075">
        <v>5</v>
      </c>
      <c r="AB1075" s="34">
        <v>3040</v>
      </c>
      <c r="AC1075" s="87">
        <v>999</v>
      </c>
      <c r="AI1075" s="64"/>
      <c r="AJ1075" s="64"/>
      <c r="AK1075" s="64"/>
      <c r="AL1075" s="64">
        <v>0</v>
      </c>
      <c r="AM1075" s="64">
        <v>40</v>
      </c>
      <c r="AN1075" s="93"/>
      <c r="AO1075" s="92"/>
      <c r="AS1075">
        <v>1</v>
      </c>
    </row>
    <row r="1076" spans="1:45">
      <c r="A1076">
        <v>261060</v>
      </c>
      <c r="B1076" s="8">
        <v>1001</v>
      </c>
      <c r="C1076" s="8">
        <v>1</v>
      </c>
      <c r="D1076" s="8">
        <v>3</v>
      </c>
      <c r="E1076" t="s">
        <v>2827</v>
      </c>
      <c r="F1076" s="13" t="s">
        <v>2828</v>
      </c>
      <c r="G1076" t="s">
        <v>2829</v>
      </c>
      <c r="H1076" s="13" t="s">
        <v>2758</v>
      </c>
      <c r="I1076">
        <v>1</v>
      </c>
      <c r="J1076">
        <v>5</v>
      </c>
      <c r="K1076" s="33">
        <v>1</v>
      </c>
      <c r="L1076" s="8">
        <v>999</v>
      </c>
      <c r="M1076" s="8">
        <v>0</v>
      </c>
      <c r="N1076" s="8"/>
      <c r="S1076" s="89">
        <v>1</v>
      </c>
      <c r="T1076" s="8">
        <v>5</v>
      </c>
      <c r="U1076" s="89">
        <v>80</v>
      </c>
      <c r="V1076" s="87">
        <v>1</v>
      </c>
      <c r="W1076">
        <v>1</v>
      </c>
      <c r="X1076" s="8">
        <v>1</v>
      </c>
      <c r="Y1076" s="8">
        <v>0</v>
      </c>
      <c r="Z1076" s="33">
        <v>0</v>
      </c>
      <c r="AA1076">
        <v>5</v>
      </c>
      <c r="AB1076" s="34">
        <v>3040</v>
      </c>
      <c r="AC1076" s="87">
        <v>999</v>
      </c>
      <c r="AI1076" s="64"/>
      <c r="AJ1076" s="64"/>
      <c r="AK1076" s="64"/>
      <c r="AL1076" s="64">
        <v>0</v>
      </c>
      <c r="AM1076" s="64">
        <v>40</v>
      </c>
      <c r="AN1076" s="93"/>
      <c r="AO1076" s="92"/>
      <c r="AS1076">
        <v>1</v>
      </c>
    </row>
    <row r="1077" spans="1:45">
      <c r="A1077">
        <v>261061</v>
      </c>
      <c r="B1077" s="8">
        <v>1001</v>
      </c>
      <c r="C1077" s="8">
        <v>1</v>
      </c>
      <c r="D1077" s="8">
        <v>3</v>
      </c>
      <c r="E1077" t="s">
        <v>2830</v>
      </c>
      <c r="F1077" s="13" t="s">
        <v>2637</v>
      </c>
      <c r="G1077" t="s">
        <v>2831</v>
      </c>
      <c r="H1077" s="13" t="s">
        <v>1320</v>
      </c>
      <c r="I1077">
        <v>1</v>
      </c>
      <c r="J1077">
        <v>5</v>
      </c>
      <c r="K1077" s="33">
        <v>1</v>
      </c>
      <c r="L1077" s="8">
        <v>999</v>
      </c>
      <c r="M1077" s="8">
        <v>0</v>
      </c>
      <c r="N1077" s="8"/>
      <c r="S1077" s="89">
        <v>1</v>
      </c>
      <c r="T1077" s="8">
        <v>5</v>
      </c>
      <c r="U1077" s="89">
        <v>80</v>
      </c>
      <c r="V1077" s="87">
        <v>1</v>
      </c>
      <c r="W1077">
        <v>1</v>
      </c>
      <c r="X1077" s="8">
        <v>1</v>
      </c>
      <c r="Y1077" s="8">
        <v>0</v>
      </c>
      <c r="Z1077" s="33">
        <v>0</v>
      </c>
      <c r="AA1077">
        <v>5</v>
      </c>
      <c r="AB1077" s="34">
        <v>3040</v>
      </c>
      <c r="AC1077" s="87">
        <v>999</v>
      </c>
      <c r="AI1077" s="64"/>
      <c r="AJ1077" s="64"/>
      <c r="AK1077" s="64"/>
      <c r="AL1077" s="64">
        <v>0</v>
      </c>
      <c r="AM1077" s="64">
        <v>50</v>
      </c>
      <c r="AN1077" s="93"/>
      <c r="AO1077" s="92"/>
      <c r="AS1077">
        <v>1</v>
      </c>
    </row>
    <row r="1078" spans="1:45">
      <c r="A1078">
        <v>261062</v>
      </c>
      <c r="B1078" s="8">
        <v>1001</v>
      </c>
      <c r="C1078" s="8">
        <v>1</v>
      </c>
      <c r="D1078" s="8">
        <v>3</v>
      </c>
      <c r="E1078" t="s">
        <v>2832</v>
      </c>
      <c r="F1078" s="13" t="s">
        <v>2641</v>
      </c>
      <c r="G1078" t="s">
        <v>2833</v>
      </c>
      <c r="H1078" s="13" t="s">
        <v>2643</v>
      </c>
      <c r="I1078">
        <v>1</v>
      </c>
      <c r="J1078">
        <v>5</v>
      </c>
      <c r="K1078" s="33">
        <v>1</v>
      </c>
      <c r="L1078" s="8">
        <v>999</v>
      </c>
      <c r="M1078" s="8">
        <v>0</v>
      </c>
      <c r="N1078" s="8"/>
      <c r="S1078" s="89">
        <v>1</v>
      </c>
      <c r="T1078" s="8">
        <v>5</v>
      </c>
      <c r="U1078" s="89">
        <v>80</v>
      </c>
      <c r="V1078" s="87">
        <v>1</v>
      </c>
      <c r="W1078">
        <v>1</v>
      </c>
      <c r="X1078" s="8">
        <v>1</v>
      </c>
      <c r="Y1078" s="8">
        <v>0</v>
      </c>
      <c r="Z1078" s="33">
        <v>0</v>
      </c>
      <c r="AA1078">
        <v>5</v>
      </c>
      <c r="AB1078" s="34">
        <v>3040</v>
      </c>
      <c r="AC1078" s="87">
        <v>999</v>
      </c>
      <c r="AI1078" s="64"/>
      <c r="AJ1078" s="64"/>
      <c r="AK1078" s="64"/>
      <c r="AL1078" s="64">
        <v>0</v>
      </c>
      <c r="AM1078" s="64">
        <v>50</v>
      </c>
      <c r="AN1078" s="93"/>
      <c r="AO1078" s="92"/>
      <c r="AS1078">
        <v>1</v>
      </c>
    </row>
    <row r="1079" spans="1:45">
      <c r="A1079">
        <v>261063</v>
      </c>
      <c r="B1079" s="8">
        <v>1001</v>
      </c>
      <c r="C1079" s="8">
        <v>1</v>
      </c>
      <c r="D1079" s="8">
        <v>3</v>
      </c>
      <c r="E1079" t="s">
        <v>2834</v>
      </c>
      <c r="F1079" s="13" t="s">
        <v>2646</v>
      </c>
      <c r="G1079" t="s">
        <v>2835</v>
      </c>
      <c r="H1079" s="13" t="s">
        <v>2648</v>
      </c>
      <c r="I1079">
        <v>1</v>
      </c>
      <c r="J1079">
        <v>5</v>
      </c>
      <c r="K1079" s="33">
        <v>1</v>
      </c>
      <c r="L1079" s="8">
        <v>999</v>
      </c>
      <c r="M1079" s="8">
        <v>0</v>
      </c>
      <c r="N1079" s="8"/>
      <c r="S1079" s="89">
        <v>1</v>
      </c>
      <c r="T1079" s="8">
        <v>5</v>
      </c>
      <c r="U1079" s="89">
        <v>80</v>
      </c>
      <c r="V1079" s="87">
        <v>1</v>
      </c>
      <c r="W1079">
        <v>1</v>
      </c>
      <c r="X1079" s="8">
        <v>1</v>
      </c>
      <c r="Y1079" s="8">
        <v>0</v>
      </c>
      <c r="Z1079" s="33">
        <v>0</v>
      </c>
      <c r="AA1079">
        <v>5</v>
      </c>
      <c r="AB1079" s="34">
        <v>3040</v>
      </c>
      <c r="AC1079" s="87">
        <v>999</v>
      </c>
      <c r="AI1079" s="64"/>
      <c r="AJ1079" s="64"/>
      <c r="AK1079" s="64"/>
      <c r="AL1079" s="64">
        <v>0</v>
      </c>
      <c r="AM1079" s="64">
        <v>50</v>
      </c>
      <c r="AN1079" s="93"/>
      <c r="AO1079" s="92"/>
      <c r="AS1079">
        <v>1</v>
      </c>
    </row>
    <row r="1080" spans="1:45">
      <c r="A1080">
        <v>261064</v>
      </c>
      <c r="B1080" s="8">
        <v>1001</v>
      </c>
      <c r="C1080" s="8">
        <v>1</v>
      </c>
      <c r="D1080" s="8">
        <v>3</v>
      </c>
      <c r="E1080" t="s">
        <v>2836</v>
      </c>
      <c r="F1080" s="13" t="s">
        <v>2651</v>
      </c>
      <c r="G1080" t="s">
        <v>2837</v>
      </c>
      <c r="H1080" s="13" t="s">
        <v>2653</v>
      </c>
      <c r="I1080">
        <v>1</v>
      </c>
      <c r="J1080">
        <v>5</v>
      </c>
      <c r="K1080" s="33">
        <v>1</v>
      </c>
      <c r="L1080" s="8">
        <v>999</v>
      </c>
      <c r="M1080" s="8">
        <v>0</v>
      </c>
      <c r="N1080" s="8"/>
      <c r="S1080" s="89">
        <v>1</v>
      </c>
      <c r="T1080" s="8">
        <v>5</v>
      </c>
      <c r="U1080" s="89">
        <v>80</v>
      </c>
      <c r="V1080" s="87">
        <v>1</v>
      </c>
      <c r="W1080">
        <v>1</v>
      </c>
      <c r="X1080" s="8">
        <v>1</v>
      </c>
      <c r="Y1080" s="8">
        <v>0</v>
      </c>
      <c r="Z1080" s="33">
        <v>0</v>
      </c>
      <c r="AA1080">
        <v>5</v>
      </c>
      <c r="AB1080" s="34">
        <v>3040</v>
      </c>
      <c r="AC1080" s="87">
        <v>999</v>
      </c>
      <c r="AI1080" s="64"/>
      <c r="AJ1080" s="64"/>
      <c r="AK1080" s="64"/>
      <c r="AL1080" s="64">
        <v>0</v>
      </c>
      <c r="AM1080" s="64">
        <v>50</v>
      </c>
      <c r="AN1080" s="93"/>
      <c r="AO1080" s="92"/>
      <c r="AS1080">
        <v>1</v>
      </c>
    </row>
    <row r="1081" spans="1:45">
      <c r="A1081">
        <v>261065</v>
      </c>
      <c r="B1081" s="8">
        <v>1001</v>
      </c>
      <c r="C1081" s="8">
        <v>1</v>
      </c>
      <c r="D1081" s="8">
        <v>3</v>
      </c>
      <c r="E1081" t="s">
        <v>1768</v>
      </c>
      <c r="F1081" s="13" t="s">
        <v>2656</v>
      </c>
      <c r="G1081" t="s">
        <v>2838</v>
      </c>
      <c r="H1081" s="13" t="s">
        <v>2658</v>
      </c>
      <c r="I1081">
        <v>1</v>
      </c>
      <c r="J1081">
        <v>5</v>
      </c>
      <c r="K1081" s="33">
        <v>1</v>
      </c>
      <c r="L1081" s="8">
        <v>999</v>
      </c>
      <c r="M1081" s="8">
        <v>0</v>
      </c>
      <c r="N1081" s="8"/>
      <c r="S1081" s="89">
        <v>1</v>
      </c>
      <c r="T1081" s="8">
        <v>5</v>
      </c>
      <c r="U1081" s="89">
        <v>80</v>
      </c>
      <c r="V1081" s="87">
        <v>1</v>
      </c>
      <c r="W1081">
        <v>1</v>
      </c>
      <c r="X1081" s="8">
        <v>1</v>
      </c>
      <c r="Y1081" s="8">
        <v>0</v>
      </c>
      <c r="Z1081" s="33">
        <v>0</v>
      </c>
      <c r="AA1081">
        <v>5</v>
      </c>
      <c r="AB1081" s="34">
        <v>3040</v>
      </c>
      <c r="AC1081" s="87">
        <v>999</v>
      </c>
      <c r="AI1081" s="64"/>
      <c r="AJ1081" s="64"/>
      <c r="AK1081" s="64"/>
      <c r="AL1081" s="64">
        <v>0</v>
      </c>
      <c r="AM1081" s="64">
        <v>60</v>
      </c>
      <c r="AN1081" s="93"/>
      <c r="AO1081" s="92"/>
      <c r="AS1081">
        <v>1</v>
      </c>
    </row>
    <row r="1082" spans="1:45">
      <c r="A1082">
        <v>261066</v>
      </c>
      <c r="B1082" s="8">
        <v>1001</v>
      </c>
      <c r="C1082" s="8">
        <v>1</v>
      </c>
      <c r="D1082" s="8">
        <v>3</v>
      </c>
      <c r="E1082" t="s">
        <v>1769</v>
      </c>
      <c r="F1082" s="13" t="s">
        <v>2661</v>
      </c>
      <c r="G1082" t="s">
        <v>2839</v>
      </c>
      <c r="H1082" s="13" t="s">
        <v>2663</v>
      </c>
      <c r="I1082">
        <v>1</v>
      </c>
      <c r="J1082">
        <v>5</v>
      </c>
      <c r="K1082" s="33">
        <v>1</v>
      </c>
      <c r="L1082" s="8">
        <v>999</v>
      </c>
      <c r="M1082" s="8">
        <v>0</v>
      </c>
      <c r="N1082" s="8"/>
      <c r="S1082" s="89">
        <v>1</v>
      </c>
      <c r="T1082" s="8">
        <v>5</v>
      </c>
      <c r="U1082" s="89">
        <v>80</v>
      </c>
      <c r="V1082" s="87">
        <v>1</v>
      </c>
      <c r="W1082">
        <v>1</v>
      </c>
      <c r="X1082" s="8">
        <v>1</v>
      </c>
      <c r="Y1082" s="8">
        <v>0</v>
      </c>
      <c r="Z1082" s="33">
        <v>0</v>
      </c>
      <c r="AA1082">
        <v>5</v>
      </c>
      <c r="AB1082" s="34">
        <v>3040</v>
      </c>
      <c r="AC1082" s="87">
        <v>999</v>
      </c>
      <c r="AI1082" s="64"/>
      <c r="AJ1082" s="64"/>
      <c r="AK1082" s="64"/>
      <c r="AL1082" s="64">
        <v>0</v>
      </c>
      <c r="AM1082" s="64">
        <v>60</v>
      </c>
      <c r="AN1082" s="93"/>
      <c r="AO1082" s="92"/>
      <c r="AS1082">
        <v>1</v>
      </c>
    </row>
    <row r="1083" spans="1:45">
      <c r="A1083">
        <v>261067</v>
      </c>
      <c r="B1083" s="8">
        <v>1001</v>
      </c>
      <c r="C1083" s="8">
        <v>1</v>
      </c>
      <c r="D1083" s="8">
        <v>3</v>
      </c>
      <c r="E1083" t="s">
        <v>1770</v>
      </c>
      <c r="F1083" s="13" t="s">
        <v>2666</v>
      </c>
      <c r="G1083" t="s">
        <v>2840</v>
      </c>
      <c r="H1083" s="13" t="s">
        <v>2668</v>
      </c>
      <c r="I1083">
        <v>1</v>
      </c>
      <c r="J1083">
        <v>5</v>
      </c>
      <c r="K1083" s="33">
        <v>1</v>
      </c>
      <c r="L1083" s="8">
        <v>999</v>
      </c>
      <c r="M1083" s="8">
        <v>0</v>
      </c>
      <c r="N1083" s="8"/>
      <c r="S1083" s="89">
        <v>1</v>
      </c>
      <c r="T1083" s="8">
        <v>5</v>
      </c>
      <c r="U1083" s="89">
        <v>80</v>
      </c>
      <c r="V1083" s="87">
        <v>1</v>
      </c>
      <c r="W1083">
        <v>1</v>
      </c>
      <c r="X1083" s="8">
        <v>1</v>
      </c>
      <c r="Y1083" s="8">
        <v>0</v>
      </c>
      <c r="Z1083" s="33">
        <v>0</v>
      </c>
      <c r="AA1083">
        <v>5</v>
      </c>
      <c r="AB1083" s="34">
        <v>3040</v>
      </c>
      <c r="AC1083" s="87">
        <v>999</v>
      </c>
      <c r="AI1083" s="64"/>
      <c r="AJ1083" s="64"/>
      <c r="AK1083" s="64"/>
      <c r="AL1083" s="64">
        <v>0</v>
      </c>
      <c r="AM1083" s="64">
        <v>60</v>
      </c>
      <c r="AN1083" s="93"/>
      <c r="AO1083" s="92"/>
      <c r="AS1083">
        <v>1</v>
      </c>
    </row>
    <row r="1084" spans="1:45">
      <c r="A1084">
        <v>261068</v>
      </c>
      <c r="B1084" s="8">
        <v>1001</v>
      </c>
      <c r="C1084" s="8">
        <v>1</v>
      </c>
      <c r="D1084" s="8">
        <v>3</v>
      </c>
      <c r="E1084" t="s">
        <v>1771</v>
      </c>
      <c r="F1084" s="13" t="s">
        <v>2671</v>
      </c>
      <c r="G1084" t="s">
        <v>2841</v>
      </c>
      <c r="H1084" s="13" t="s">
        <v>2673</v>
      </c>
      <c r="I1084">
        <v>1</v>
      </c>
      <c r="J1084">
        <v>5</v>
      </c>
      <c r="K1084" s="33">
        <v>1</v>
      </c>
      <c r="L1084" s="8">
        <v>999</v>
      </c>
      <c r="M1084" s="8">
        <v>0</v>
      </c>
      <c r="N1084" s="8"/>
      <c r="S1084" s="89">
        <v>1</v>
      </c>
      <c r="T1084" s="8">
        <v>5</v>
      </c>
      <c r="U1084" s="89">
        <v>80</v>
      </c>
      <c r="V1084" s="87">
        <v>1</v>
      </c>
      <c r="W1084">
        <v>1</v>
      </c>
      <c r="X1084" s="8">
        <v>1</v>
      </c>
      <c r="Y1084" s="8">
        <v>0</v>
      </c>
      <c r="Z1084" s="33">
        <v>0</v>
      </c>
      <c r="AA1084">
        <v>5</v>
      </c>
      <c r="AB1084" s="34">
        <v>3040</v>
      </c>
      <c r="AC1084" s="87">
        <v>999</v>
      </c>
      <c r="AI1084" s="64"/>
      <c r="AJ1084" s="64"/>
      <c r="AK1084" s="64"/>
      <c r="AL1084" s="64">
        <v>0</v>
      </c>
      <c r="AM1084" s="64">
        <v>60</v>
      </c>
      <c r="AN1084" s="93"/>
      <c r="AO1084" s="92"/>
      <c r="AS1084">
        <v>1</v>
      </c>
    </row>
    <row r="1085" spans="1:45">
      <c r="A1085">
        <v>261069</v>
      </c>
      <c r="B1085" s="8">
        <v>1001</v>
      </c>
      <c r="C1085" s="8">
        <v>1</v>
      </c>
      <c r="D1085" s="8">
        <v>3</v>
      </c>
      <c r="E1085" t="s">
        <v>2842</v>
      </c>
      <c r="F1085" s="13" t="s">
        <v>2843</v>
      </c>
      <c r="G1085" t="s">
        <v>2844</v>
      </c>
      <c r="H1085" s="13" t="s">
        <v>2845</v>
      </c>
      <c r="I1085">
        <v>1</v>
      </c>
      <c r="J1085">
        <v>1</v>
      </c>
      <c r="K1085" s="33">
        <v>1</v>
      </c>
      <c r="L1085" s="8">
        <v>999</v>
      </c>
      <c r="M1085" s="8">
        <v>0</v>
      </c>
      <c r="N1085" s="8"/>
      <c r="S1085" s="89">
        <v>1</v>
      </c>
      <c r="T1085" s="8">
        <v>5</v>
      </c>
      <c r="U1085" s="89">
        <v>80</v>
      </c>
      <c r="V1085" s="87">
        <v>1</v>
      </c>
      <c r="W1085">
        <v>1</v>
      </c>
      <c r="X1085" s="8">
        <v>1</v>
      </c>
      <c r="Y1085" s="8">
        <v>0</v>
      </c>
      <c r="Z1085" s="33">
        <v>0</v>
      </c>
      <c r="AA1085">
        <v>5</v>
      </c>
      <c r="AB1085" s="34">
        <v>3040</v>
      </c>
      <c r="AC1085" s="87">
        <v>999</v>
      </c>
      <c r="AI1085" s="64"/>
      <c r="AJ1085" s="64"/>
      <c r="AK1085" s="64"/>
      <c r="AL1085" s="64">
        <v>0</v>
      </c>
      <c r="AM1085" s="64">
        <v>60</v>
      </c>
      <c r="AN1085" s="93"/>
      <c r="AO1085" s="92"/>
      <c r="AS1085">
        <v>1</v>
      </c>
    </row>
    <row r="1086" spans="1:45">
      <c r="A1086">
        <v>261070</v>
      </c>
      <c r="B1086" s="8">
        <v>1001</v>
      </c>
      <c r="C1086" s="8">
        <v>1</v>
      </c>
      <c r="D1086" s="8">
        <v>3</v>
      </c>
      <c r="E1086" t="s">
        <v>2846</v>
      </c>
      <c r="F1086" s="13" t="s">
        <v>2847</v>
      </c>
      <c r="G1086" t="s">
        <v>2848</v>
      </c>
      <c r="H1086" s="13" t="s">
        <v>2849</v>
      </c>
      <c r="I1086">
        <v>1</v>
      </c>
      <c r="J1086">
        <v>1</v>
      </c>
      <c r="K1086" s="33">
        <v>1</v>
      </c>
      <c r="L1086" s="8">
        <v>999</v>
      </c>
      <c r="M1086" s="8">
        <v>0</v>
      </c>
      <c r="N1086" s="8"/>
      <c r="S1086" s="89">
        <v>1</v>
      </c>
      <c r="T1086" s="8">
        <v>5</v>
      </c>
      <c r="U1086" s="89">
        <v>80</v>
      </c>
      <c r="V1086" s="87">
        <v>1</v>
      </c>
      <c r="W1086">
        <v>1</v>
      </c>
      <c r="X1086" s="8">
        <v>1</v>
      </c>
      <c r="Y1086" s="8">
        <v>0</v>
      </c>
      <c r="Z1086" s="33">
        <v>0</v>
      </c>
      <c r="AA1086">
        <v>5</v>
      </c>
      <c r="AB1086" s="34">
        <v>3040</v>
      </c>
      <c r="AC1086" s="87">
        <v>999</v>
      </c>
      <c r="AI1086" s="64"/>
      <c r="AJ1086" s="64"/>
      <c r="AK1086" s="64"/>
      <c r="AL1086" s="64">
        <v>0</v>
      </c>
      <c r="AM1086" s="64">
        <v>60</v>
      </c>
      <c r="AN1086" s="93"/>
      <c r="AO1086" s="92"/>
      <c r="AS1086">
        <v>1</v>
      </c>
    </row>
    <row r="1087" spans="1:45">
      <c r="A1087">
        <v>261071</v>
      </c>
      <c r="B1087" s="8">
        <v>1001</v>
      </c>
      <c r="C1087" s="8">
        <v>1</v>
      </c>
      <c r="D1087" s="8">
        <v>3</v>
      </c>
      <c r="E1087" t="s">
        <v>2850</v>
      </c>
      <c r="F1087" s="13" t="s">
        <v>2851</v>
      </c>
      <c r="G1087" t="s">
        <v>2852</v>
      </c>
      <c r="H1087" s="13" t="s">
        <v>2853</v>
      </c>
      <c r="I1087">
        <v>1</v>
      </c>
      <c r="J1087">
        <v>1</v>
      </c>
      <c r="K1087" s="33">
        <v>1</v>
      </c>
      <c r="L1087" s="8">
        <v>999</v>
      </c>
      <c r="M1087" s="8">
        <v>0</v>
      </c>
      <c r="N1087" s="8"/>
      <c r="S1087" s="89">
        <v>1</v>
      </c>
      <c r="T1087" s="8">
        <v>5</v>
      </c>
      <c r="U1087" s="89">
        <v>80</v>
      </c>
      <c r="V1087" s="87">
        <v>1</v>
      </c>
      <c r="W1087">
        <v>1</v>
      </c>
      <c r="X1087" s="8">
        <v>1</v>
      </c>
      <c r="Y1087" s="8">
        <v>0</v>
      </c>
      <c r="Z1087" s="33">
        <v>0</v>
      </c>
      <c r="AA1087">
        <v>5</v>
      </c>
      <c r="AB1087" s="34">
        <v>3040</v>
      </c>
      <c r="AC1087" s="87">
        <v>999</v>
      </c>
      <c r="AI1087" s="64"/>
      <c r="AJ1087" s="64"/>
      <c r="AK1087" s="64"/>
      <c r="AL1087" s="64">
        <v>0</v>
      </c>
      <c r="AM1087" s="64">
        <v>60</v>
      </c>
      <c r="AN1087" s="93"/>
      <c r="AO1087" s="92"/>
      <c r="AS1087">
        <v>1</v>
      </c>
    </row>
    <row r="1088" spans="1:45">
      <c r="A1088">
        <v>261072</v>
      </c>
      <c r="B1088" s="8">
        <v>1001</v>
      </c>
      <c r="C1088" s="8">
        <v>1</v>
      </c>
      <c r="D1088" s="8">
        <v>3</v>
      </c>
      <c r="E1088" t="s">
        <v>2854</v>
      </c>
      <c r="F1088" s="13" t="s">
        <v>2855</v>
      </c>
      <c r="G1088" t="s">
        <v>2856</v>
      </c>
      <c r="H1088" s="13" t="s">
        <v>2857</v>
      </c>
      <c r="I1088">
        <v>1</v>
      </c>
      <c r="J1088">
        <v>1</v>
      </c>
      <c r="K1088" s="33">
        <v>1</v>
      </c>
      <c r="L1088" s="8">
        <v>999</v>
      </c>
      <c r="M1088" s="8">
        <v>0</v>
      </c>
      <c r="N1088" s="8"/>
      <c r="S1088" s="89">
        <v>1</v>
      </c>
      <c r="T1088" s="8">
        <v>5</v>
      </c>
      <c r="U1088" s="89">
        <v>80</v>
      </c>
      <c r="V1088" s="87">
        <v>1</v>
      </c>
      <c r="W1088">
        <v>1</v>
      </c>
      <c r="X1088" s="8">
        <v>1</v>
      </c>
      <c r="Y1088" s="8">
        <v>0</v>
      </c>
      <c r="Z1088" s="33">
        <v>0</v>
      </c>
      <c r="AA1088">
        <v>5</v>
      </c>
      <c r="AB1088" s="34">
        <v>3040</v>
      </c>
      <c r="AC1088" s="87">
        <v>999</v>
      </c>
      <c r="AI1088" s="64"/>
      <c r="AJ1088" s="64"/>
      <c r="AK1088" s="64"/>
      <c r="AL1088" s="64">
        <v>0</v>
      </c>
      <c r="AM1088" s="64">
        <v>60</v>
      </c>
      <c r="AN1088" s="93"/>
      <c r="AO1088" s="92"/>
      <c r="AS1088">
        <v>1</v>
      </c>
    </row>
    <row r="1089" spans="1:45">
      <c r="A1089">
        <v>261073</v>
      </c>
      <c r="B1089" s="8">
        <v>1001</v>
      </c>
      <c r="C1089" s="8">
        <v>1</v>
      </c>
      <c r="D1089" s="8">
        <v>3</v>
      </c>
      <c r="E1089" t="s">
        <v>2858</v>
      </c>
      <c r="F1089" s="13" t="s">
        <v>2859</v>
      </c>
      <c r="G1089" t="s">
        <v>2860</v>
      </c>
      <c r="H1089" s="13" t="s">
        <v>2861</v>
      </c>
      <c r="I1089">
        <v>1</v>
      </c>
      <c r="J1089">
        <v>1</v>
      </c>
      <c r="K1089" s="33">
        <v>1</v>
      </c>
      <c r="L1089" s="8">
        <v>999</v>
      </c>
      <c r="M1089" s="8">
        <v>0</v>
      </c>
      <c r="N1089" s="8"/>
      <c r="S1089" s="89">
        <v>1</v>
      </c>
      <c r="T1089" s="8">
        <v>5</v>
      </c>
      <c r="U1089" s="89">
        <v>80</v>
      </c>
      <c r="V1089" s="87">
        <v>1</v>
      </c>
      <c r="W1089">
        <v>1</v>
      </c>
      <c r="X1089" s="8">
        <v>1</v>
      </c>
      <c r="Y1089" s="8">
        <v>0</v>
      </c>
      <c r="Z1089" s="33">
        <v>0</v>
      </c>
      <c r="AA1089">
        <v>5</v>
      </c>
      <c r="AB1089" s="34">
        <v>3040</v>
      </c>
      <c r="AC1089" s="87">
        <v>999</v>
      </c>
      <c r="AI1089" s="64"/>
      <c r="AJ1089" s="64"/>
      <c r="AK1089" s="64"/>
      <c r="AL1089" s="64">
        <v>0</v>
      </c>
      <c r="AM1089" s="64">
        <v>60</v>
      </c>
      <c r="AN1089" s="93"/>
      <c r="AO1089" s="92"/>
      <c r="AS1089">
        <v>1</v>
      </c>
    </row>
    <row r="1090" spans="1:45">
      <c r="A1090">
        <v>261074</v>
      </c>
      <c r="B1090" s="8">
        <v>1001</v>
      </c>
      <c r="C1090" s="8">
        <v>1</v>
      </c>
      <c r="D1090" s="8">
        <v>3</v>
      </c>
      <c r="E1090" t="s">
        <v>2862</v>
      </c>
      <c r="F1090" s="13" t="s">
        <v>2863</v>
      </c>
      <c r="G1090" t="s">
        <v>2864</v>
      </c>
      <c r="H1090" s="13" t="s">
        <v>2865</v>
      </c>
      <c r="I1090">
        <v>1</v>
      </c>
      <c r="J1090">
        <v>1</v>
      </c>
      <c r="K1090" s="33">
        <v>1</v>
      </c>
      <c r="L1090" s="8">
        <v>999</v>
      </c>
      <c r="M1090" s="8">
        <v>0</v>
      </c>
      <c r="N1090" s="8"/>
      <c r="S1090" s="89">
        <v>1</v>
      </c>
      <c r="T1090" s="8">
        <v>5</v>
      </c>
      <c r="U1090" s="89">
        <v>80</v>
      </c>
      <c r="V1090" s="87">
        <v>1</v>
      </c>
      <c r="W1090">
        <v>1</v>
      </c>
      <c r="X1090" s="8">
        <v>1</v>
      </c>
      <c r="Y1090" s="8">
        <v>0</v>
      </c>
      <c r="Z1090" s="33">
        <v>0</v>
      </c>
      <c r="AA1090">
        <v>5</v>
      </c>
      <c r="AB1090" s="34">
        <v>3040</v>
      </c>
      <c r="AC1090" s="87">
        <v>999</v>
      </c>
      <c r="AI1090" s="64"/>
      <c r="AJ1090" s="64"/>
      <c r="AK1090" s="64"/>
      <c r="AL1090" s="64">
        <v>0</v>
      </c>
      <c r="AM1090" s="64">
        <v>60</v>
      </c>
      <c r="AN1090" s="93"/>
      <c r="AO1090" s="92"/>
      <c r="AS1090">
        <v>1</v>
      </c>
    </row>
    <row r="1091" spans="1:45">
      <c r="A1091">
        <v>261075</v>
      </c>
      <c r="B1091" s="8">
        <v>1001</v>
      </c>
      <c r="C1091" s="8">
        <v>1</v>
      </c>
      <c r="D1091" s="8">
        <v>3</v>
      </c>
      <c r="E1091" t="s">
        <v>2866</v>
      </c>
      <c r="F1091" s="13" t="s">
        <v>2867</v>
      </c>
      <c r="G1091" t="s">
        <v>2868</v>
      </c>
      <c r="H1091" s="13" t="s">
        <v>2869</v>
      </c>
      <c r="I1091">
        <v>1</v>
      </c>
      <c r="J1091">
        <v>1</v>
      </c>
      <c r="K1091" s="33">
        <v>1</v>
      </c>
      <c r="L1091" s="8">
        <v>999</v>
      </c>
      <c r="M1091" s="8">
        <v>0</v>
      </c>
      <c r="N1091" s="8"/>
      <c r="S1091" s="89">
        <v>1</v>
      </c>
      <c r="T1091" s="8">
        <v>5</v>
      </c>
      <c r="U1091" s="89">
        <v>80</v>
      </c>
      <c r="V1091" s="87">
        <v>1</v>
      </c>
      <c r="W1091">
        <v>1</v>
      </c>
      <c r="X1091" s="8">
        <v>1</v>
      </c>
      <c r="Y1091" s="8">
        <v>0</v>
      </c>
      <c r="Z1091" s="33">
        <v>0</v>
      </c>
      <c r="AA1091">
        <v>5</v>
      </c>
      <c r="AB1091" s="34">
        <v>3040</v>
      </c>
      <c r="AC1091" s="87">
        <v>999</v>
      </c>
      <c r="AI1091" s="64"/>
      <c r="AJ1091" s="64"/>
      <c r="AK1091" s="64"/>
      <c r="AL1091" s="64">
        <v>0</v>
      </c>
      <c r="AM1091" s="64">
        <v>60</v>
      </c>
      <c r="AN1091" s="93"/>
      <c r="AO1091" s="92"/>
      <c r="AS1091">
        <v>1</v>
      </c>
    </row>
    <row r="1092" spans="1:45">
      <c r="A1092">
        <v>261076</v>
      </c>
      <c r="B1092" s="8">
        <v>1001</v>
      </c>
      <c r="C1092" s="8">
        <v>1</v>
      </c>
      <c r="D1092" s="8">
        <v>3</v>
      </c>
      <c r="E1092" t="s">
        <v>2870</v>
      </c>
      <c r="F1092" s="13" t="s">
        <v>2871</v>
      </c>
      <c r="G1092" t="s">
        <v>2872</v>
      </c>
      <c r="H1092" s="13" t="s">
        <v>2873</v>
      </c>
      <c r="I1092">
        <v>1</v>
      </c>
      <c r="J1092">
        <v>1</v>
      </c>
      <c r="K1092" s="33">
        <v>1</v>
      </c>
      <c r="L1092" s="8">
        <v>999</v>
      </c>
      <c r="M1092" s="8">
        <v>0</v>
      </c>
      <c r="N1092" s="8"/>
      <c r="S1092" s="89">
        <v>1</v>
      </c>
      <c r="T1092" s="8">
        <v>5</v>
      </c>
      <c r="U1092" s="89">
        <v>80</v>
      </c>
      <c r="V1092" s="87">
        <v>1</v>
      </c>
      <c r="W1092">
        <v>1</v>
      </c>
      <c r="X1092" s="8">
        <v>1</v>
      </c>
      <c r="Y1092" s="8">
        <v>0</v>
      </c>
      <c r="Z1092" s="33">
        <v>0</v>
      </c>
      <c r="AA1092">
        <v>5</v>
      </c>
      <c r="AB1092" s="34">
        <v>3040</v>
      </c>
      <c r="AC1092" s="87">
        <v>999</v>
      </c>
      <c r="AI1092" s="64"/>
      <c r="AJ1092" s="64"/>
      <c r="AK1092" s="64"/>
      <c r="AL1092" s="64">
        <v>0</v>
      </c>
      <c r="AM1092" s="64">
        <v>60</v>
      </c>
      <c r="AN1092" s="93"/>
      <c r="AO1092" s="92"/>
      <c r="AS1092">
        <v>1</v>
      </c>
    </row>
    <row r="1093" spans="1:45">
      <c r="A1093">
        <v>261077</v>
      </c>
      <c r="B1093" s="8">
        <v>1001</v>
      </c>
      <c r="C1093" s="8">
        <v>1</v>
      </c>
      <c r="D1093" s="8">
        <v>3</v>
      </c>
      <c r="E1093" t="s">
        <v>2874</v>
      </c>
      <c r="F1093" s="13" t="s">
        <v>2875</v>
      </c>
      <c r="G1093" t="s">
        <v>2876</v>
      </c>
      <c r="H1093" s="13" t="s">
        <v>2877</v>
      </c>
      <c r="I1093">
        <v>1</v>
      </c>
      <c r="J1093">
        <v>5</v>
      </c>
      <c r="K1093" s="33">
        <v>1</v>
      </c>
      <c r="L1093" s="8">
        <v>999</v>
      </c>
      <c r="M1093" s="8">
        <v>0</v>
      </c>
      <c r="N1093" s="8"/>
      <c r="S1093" s="89">
        <v>1</v>
      </c>
      <c r="T1093" s="8">
        <v>5</v>
      </c>
      <c r="U1093" s="89">
        <v>80</v>
      </c>
      <c r="V1093" s="87">
        <v>1</v>
      </c>
      <c r="W1093">
        <v>1</v>
      </c>
      <c r="X1093" s="8">
        <v>1</v>
      </c>
      <c r="Y1093" s="8">
        <v>0</v>
      </c>
      <c r="Z1093" s="33">
        <v>0</v>
      </c>
      <c r="AA1093">
        <v>5</v>
      </c>
      <c r="AB1093" s="34">
        <v>3040</v>
      </c>
      <c r="AC1093" s="87">
        <v>999</v>
      </c>
      <c r="AI1093" s="64"/>
      <c r="AJ1093" s="64"/>
      <c r="AK1093" s="64"/>
      <c r="AL1093" s="64">
        <v>0</v>
      </c>
      <c r="AM1093" s="64">
        <v>60</v>
      </c>
      <c r="AN1093" s="93"/>
      <c r="AO1093" s="92"/>
      <c r="AS1093">
        <v>1</v>
      </c>
    </row>
    <row r="1094" spans="1:45">
      <c r="A1094">
        <v>261078</v>
      </c>
      <c r="B1094" s="8">
        <v>1001</v>
      </c>
      <c r="C1094" s="8">
        <v>1</v>
      </c>
      <c r="D1094" s="8">
        <v>3</v>
      </c>
      <c r="E1094" t="s">
        <v>2878</v>
      </c>
      <c r="F1094" s="13" t="s">
        <v>2879</v>
      </c>
      <c r="G1094" t="s">
        <v>2880</v>
      </c>
      <c r="H1094" s="13" t="s">
        <v>2881</v>
      </c>
      <c r="I1094">
        <v>1</v>
      </c>
      <c r="J1094">
        <v>5</v>
      </c>
      <c r="K1094" s="33">
        <v>1</v>
      </c>
      <c r="L1094" s="8">
        <v>999</v>
      </c>
      <c r="M1094" s="8">
        <v>0</v>
      </c>
      <c r="N1094" s="8"/>
      <c r="S1094" s="89">
        <v>1</v>
      </c>
      <c r="T1094" s="8">
        <v>5</v>
      </c>
      <c r="U1094" s="89">
        <v>80</v>
      </c>
      <c r="V1094" s="87">
        <v>1</v>
      </c>
      <c r="W1094">
        <v>1</v>
      </c>
      <c r="X1094" s="8">
        <v>1</v>
      </c>
      <c r="Y1094" s="8">
        <v>0</v>
      </c>
      <c r="Z1094" s="33">
        <v>0</v>
      </c>
      <c r="AA1094">
        <v>5</v>
      </c>
      <c r="AB1094" s="34">
        <v>3040</v>
      </c>
      <c r="AC1094" s="87">
        <v>999</v>
      </c>
      <c r="AI1094" s="64"/>
      <c r="AJ1094" s="64"/>
      <c r="AK1094" s="64"/>
      <c r="AL1094" s="64">
        <v>0</v>
      </c>
      <c r="AM1094" s="64">
        <v>60</v>
      </c>
      <c r="AN1094" s="93"/>
      <c r="AO1094" s="92"/>
      <c r="AS1094">
        <v>1</v>
      </c>
    </row>
    <row r="1095" spans="1:45">
      <c r="A1095">
        <v>261079</v>
      </c>
      <c r="B1095" s="8">
        <v>1001</v>
      </c>
      <c r="C1095" s="8">
        <v>1</v>
      </c>
      <c r="D1095" s="8">
        <v>3</v>
      </c>
      <c r="E1095" t="s">
        <v>2882</v>
      </c>
      <c r="F1095" s="13" t="s">
        <v>2883</v>
      </c>
      <c r="G1095" t="s">
        <v>2884</v>
      </c>
      <c r="H1095" s="13" t="s">
        <v>2885</v>
      </c>
      <c r="I1095">
        <v>1</v>
      </c>
      <c r="J1095">
        <v>5</v>
      </c>
      <c r="K1095" s="33">
        <v>1</v>
      </c>
      <c r="L1095" s="8">
        <v>999</v>
      </c>
      <c r="M1095" s="8">
        <v>0</v>
      </c>
      <c r="N1095" s="8"/>
      <c r="S1095" s="89">
        <v>1</v>
      </c>
      <c r="T1095" s="8">
        <v>5</v>
      </c>
      <c r="U1095" s="89">
        <v>80</v>
      </c>
      <c r="V1095" s="87">
        <v>1</v>
      </c>
      <c r="W1095">
        <v>1</v>
      </c>
      <c r="X1095" s="8">
        <v>1</v>
      </c>
      <c r="Y1095" s="8">
        <v>0</v>
      </c>
      <c r="Z1095" s="33">
        <v>0</v>
      </c>
      <c r="AA1095">
        <v>5</v>
      </c>
      <c r="AB1095" s="34">
        <v>3040</v>
      </c>
      <c r="AC1095" s="87">
        <v>999</v>
      </c>
      <c r="AI1095" s="64"/>
      <c r="AJ1095" s="64"/>
      <c r="AK1095" s="64"/>
      <c r="AL1095" s="64">
        <v>0</v>
      </c>
      <c r="AM1095" s="64">
        <v>60</v>
      </c>
      <c r="AN1095" s="93"/>
      <c r="AO1095" s="92"/>
      <c r="AS1095">
        <v>1</v>
      </c>
    </row>
    <row r="1096" spans="1:45">
      <c r="A1096">
        <v>261080</v>
      </c>
      <c r="B1096" s="8">
        <v>1001</v>
      </c>
      <c r="C1096" s="8">
        <v>1</v>
      </c>
      <c r="D1096" s="8">
        <v>3</v>
      </c>
      <c r="E1096" t="s">
        <v>2886</v>
      </c>
      <c r="F1096" s="13" t="s">
        <v>2887</v>
      </c>
      <c r="G1096" t="s">
        <v>2888</v>
      </c>
      <c r="H1096" s="13" t="s">
        <v>2889</v>
      </c>
      <c r="I1096">
        <v>1</v>
      </c>
      <c r="J1096">
        <v>5</v>
      </c>
      <c r="K1096" s="33">
        <v>1</v>
      </c>
      <c r="L1096" s="8">
        <v>999</v>
      </c>
      <c r="M1096" s="8">
        <v>0</v>
      </c>
      <c r="N1096" s="8"/>
      <c r="S1096" s="89">
        <v>1</v>
      </c>
      <c r="T1096" s="8">
        <v>5</v>
      </c>
      <c r="U1096" s="89">
        <v>80</v>
      </c>
      <c r="V1096" s="87">
        <v>1</v>
      </c>
      <c r="W1096">
        <v>1</v>
      </c>
      <c r="X1096" s="8">
        <v>1</v>
      </c>
      <c r="Y1096" s="8">
        <v>0</v>
      </c>
      <c r="Z1096" s="33">
        <v>0</v>
      </c>
      <c r="AA1096">
        <v>5</v>
      </c>
      <c r="AB1096" s="34">
        <v>3040</v>
      </c>
      <c r="AC1096" s="87">
        <v>999</v>
      </c>
      <c r="AI1096" s="64"/>
      <c r="AJ1096" s="64"/>
      <c r="AK1096" s="64"/>
      <c r="AL1096" s="64">
        <v>0</v>
      </c>
      <c r="AM1096" s="64">
        <v>60</v>
      </c>
      <c r="AN1096" s="93"/>
      <c r="AO1096" s="92"/>
      <c r="AS1096">
        <v>1</v>
      </c>
    </row>
    <row r="1097" spans="1:45">
      <c r="A1097">
        <v>261081</v>
      </c>
      <c r="B1097" s="8">
        <v>1001</v>
      </c>
      <c r="C1097" s="8">
        <v>1</v>
      </c>
      <c r="D1097" s="8">
        <v>3</v>
      </c>
      <c r="E1097" t="s">
        <v>2890</v>
      </c>
      <c r="F1097" s="13" t="s">
        <v>2891</v>
      </c>
      <c r="G1097" t="s">
        <v>2892</v>
      </c>
      <c r="H1097" s="13" t="s">
        <v>2893</v>
      </c>
      <c r="I1097">
        <v>1</v>
      </c>
      <c r="J1097">
        <v>5</v>
      </c>
      <c r="K1097" s="33">
        <v>1</v>
      </c>
      <c r="L1097" s="8">
        <v>999</v>
      </c>
      <c r="M1097" s="8">
        <v>0</v>
      </c>
      <c r="N1097" s="8"/>
      <c r="S1097" s="89">
        <v>1</v>
      </c>
      <c r="T1097" s="8">
        <v>5</v>
      </c>
      <c r="U1097" s="89">
        <v>80</v>
      </c>
      <c r="V1097" s="87">
        <v>1</v>
      </c>
      <c r="W1097">
        <v>1</v>
      </c>
      <c r="X1097" s="8">
        <v>1</v>
      </c>
      <c r="Y1097" s="8">
        <v>0</v>
      </c>
      <c r="Z1097" s="33">
        <v>0</v>
      </c>
      <c r="AA1097">
        <v>5</v>
      </c>
      <c r="AB1097" s="34">
        <v>3040</v>
      </c>
      <c r="AC1097" s="87">
        <v>999</v>
      </c>
      <c r="AI1097" s="64"/>
      <c r="AJ1097" s="64"/>
      <c r="AK1097" s="64"/>
      <c r="AL1097" s="64">
        <v>0</v>
      </c>
      <c r="AM1097" s="64">
        <v>60</v>
      </c>
      <c r="AN1097" s="93"/>
      <c r="AO1097" s="92"/>
      <c r="AS1097">
        <v>1</v>
      </c>
    </row>
    <row r="1098" spans="1:45">
      <c r="A1098">
        <v>261082</v>
      </c>
      <c r="B1098" s="8">
        <v>1001</v>
      </c>
      <c r="C1098" s="8">
        <v>1</v>
      </c>
      <c r="D1098" s="8">
        <v>3</v>
      </c>
      <c r="E1098" t="s">
        <v>2894</v>
      </c>
      <c r="F1098" s="13" t="s">
        <v>2895</v>
      </c>
      <c r="G1098" t="s">
        <v>2896</v>
      </c>
      <c r="H1098" s="13" t="s">
        <v>2897</v>
      </c>
      <c r="I1098">
        <v>1</v>
      </c>
      <c r="J1098">
        <v>5</v>
      </c>
      <c r="K1098" s="33">
        <v>1</v>
      </c>
      <c r="L1098" s="8">
        <v>999</v>
      </c>
      <c r="M1098" s="8">
        <v>0</v>
      </c>
      <c r="N1098" s="8"/>
      <c r="S1098" s="89">
        <v>1</v>
      </c>
      <c r="T1098" s="8">
        <v>5</v>
      </c>
      <c r="U1098" s="89">
        <v>80</v>
      </c>
      <c r="V1098" s="87">
        <v>1</v>
      </c>
      <c r="W1098">
        <v>1</v>
      </c>
      <c r="X1098" s="8">
        <v>1</v>
      </c>
      <c r="Y1098" s="8">
        <v>0</v>
      </c>
      <c r="Z1098" s="33">
        <v>0</v>
      </c>
      <c r="AA1098">
        <v>5</v>
      </c>
      <c r="AB1098" s="34">
        <v>3040</v>
      </c>
      <c r="AC1098" s="87">
        <v>999</v>
      </c>
      <c r="AI1098" s="64"/>
      <c r="AJ1098" s="64"/>
      <c r="AK1098" s="64"/>
      <c r="AL1098" s="64">
        <v>0</v>
      </c>
      <c r="AM1098" s="64">
        <v>60</v>
      </c>
      <c r="AN1098" s="93"/>
      <c r="AO1098" s="92"/>
      <c r="AS1098">
        <v>1</v>
      </c>
    </row>
    <row r="1099" spans="1:45">
      <c r="A1099">
        <v>261083</v>
      </c>
      <c r="B1099" s="8">
        <v>1001</v>
      </c>
      <c r="C1099" s="8">
        <v>1</v>
      </c>
      <c r="D1099" s="8">
        <v>3</v>
      </c>
      <c r="E1099" t="s">
        <v>2898</v>
      </c>
      <c r="F1099" s="13" t="s">
        <v>2899</v>
      </c>
      <c r="G1099" t="s">
        <v>2900</v>
      </c>
      <c r="H1099" s="13" t="s">
        <v>2901</v>
      </c>
      <c r="I1099">
        <v>1</v>
      </c>
      <c r="J1099">
        <v>5</v>
      </c>
      <c r="K1099" s="33">
        <v>1</v>
      </c>
      <c r="L1099" s="8">
        <v>999</v>
      </c>
      <c r="M1099" s="8">
        <v>0</v>
      </c>
      <c r="N1099" s="8"/>
      <c r="S1099" s="89">
        <v>1</v>
      </c>
      <c r="T1099" s="8">
        <v>5</v>
      </c>
      <c r="U1099" s="89">
        <v>80</v>
      </c>
      <c r="V1099" s="87">
        <v>1</v>
      </c>
      <c r="W1099">
        <v>1</v>
      </c>
      <c r="X1099" s="8">
        <v>1</v>
      </c>
      <c r="Y1099" s="8">
        <v>0</v>
      </c>
      <c r="Z1099" s="33">
        <v>0</v>
      </c>
      <c r="AA1099">
        <v>5</v>
      </c>
      <c r="AB1099" s="34">
        <v>3040</v>
      </c>
      <c r="AC1099" s="87">
        <v>999</v>
      </c>
      <c r="AI1099" s="64"/>
      <c r="AJ1099" s="64"/>
      <c r="AK1099" s="64"/>
      <c r="AL1099" s="64">
        <v>0</v>
      </c>
      <c r="AM1099" s="64">
        <v>60</v>
      </c>
      <c r="AN1099" s="93"/>
      <c r="AO1099" s="92"/>
      <c r="AS1099">
        <v>1</v>
      </c>
    </row>
    <row r="1100" spans="1:45">
      <c r="A1100">
        <v>261084</v>
      </c>
      <c r="B1100" s="8">
        <v>1001</v>
      </c>
      <c r="C1100" s="8">
        <v>1</v>
      </c>
      <c r="D1100" s="8">
        <v>3</v>
      </c>
      <c r="E1100" s="238" t="s">
        <v>2902</v>
      </c>
      <c r="F1100" s="13" t="s">
        <v>2903</v>
      </c>
      <c r="G1100" t="s">
        <v>2904</v>
      </c>
      <c r="H1100" s="13" t="s">
        <v>2905</v>
      </c>
      <c r="I1100">
        <v>1</v>
      </c>
      <c r="J1100">
        <v>5</v>
      </c>
      <c r="K1100" s="33">
        <v>1</v>
      </c>
      <c r="L1100" s="8">
        <v>999</v>
      </c>
      <c r="M1100" s="8">
        <v>0</v>
      </c>
      <c r="N1100" s="8"/>
      <c r="S1100" s="89">
        <v>1</v>
      </c>
      <c r="T1100" s="8">
        <v>5</v>
      </c>
      <c r="U1100" s="89">
        <v>80</v>
      </c>
      <c r="V1100" s="87">
        <v>1</v>
      </c>
      <c r="W1100">
        <v>1</v>
      </c>
      <c r="X1100" s="8">
        <v>1</v>
      </c>
      <c r="Y1100" s="8">
        <v>0</v>
      </c>
      <c r="Z1100" s="33">
        <v>0</v>
      </c>
      <c r="AA1100">
        <v>5</v>
      </c>
      <c r="AB1100" s="34">
        <v>3040</v>
      </c>
      <c r="AC1100" s="87">
        <v>999</v>
      </c>
      <c r="AI1100" s="64"/>
      <c r="AJ1100" s="64"/>
      <c r="AK1100" s="64"/>
      <c r="AL1100" s="64">
        <v>0</v>
      </c>
      <c r="AM1100" s="64">
        <v>60</v>
      </c>
      <c r="AN1100" s="93"/>
      <c r="AO1100" s="92"/>
      <c r="AS1100">
        <v>1</v>
      </c>
    </row>
    <row r="1101" spans="1:45">
      <c r="A1101">
        <v>261085</v>
      </c>
      <c r="B1101" s="8">
        <v>1001</v>
      </c>
      <c r="C1101" s="8">
        <v>1</v>
      </c>
      <c r="D1101" s="8">
        <v>3</v>
      </c>
      <c r="E1101" s="13" t="s">
        <v>2906</v>
      </c>
      <c r="F1101" s="13" t="s">
        <v>2907</v>
      </c>
      <c r="G1101" t="s">
        <v>2908</v>
      </c>
      <c r="H1101" s="13" t="s">
        <v>2909</v>
      </c>
      <c r="I1101">
        <v>1</v>
      </c>
      <c r="J1101">
        <v>5</v>
      </c>
      <c r="K1101" s="33">
        <v>1</v>
      </c>
      <c r="L1101" s="8">
        <v>999</v>
      </c>
      <c r="M1101" s="8">
        <v>0</v>
      </c>
      <c r="N1101" s="8"/>
      <c r="S1101" s="89">
        <v>1</v>
      </c>
      <c r="T1101" s="8">
        <v>5</v>
      </c>
      <c r="U1101" s="89">
        <v>80</v>
      </c>
      <c r="V1101" s="87">
        <v>1</v>
      </c>
      <c r="W1101">
        <v>1</v>
      </c>
      <c r="X1101" s="8">
        <v>1</v>
      </c>
      <c r="Y1101" s="8">
        <v>0</v>
      </c>
      <c r="Z1101" s="33">
        <v>0</v>
      </c>
      <c r="AA1101">
        <v>5</v>
      </c>
      <c r="AB1101" s="34">
        <v>3040</v>
      </c>
      <c r="AC1101" s="87">
        <v>999</v>
      </c>
      <c r="AI1101" s="64"/>
      <c r="AJ1101" s="64"/>
      <c r="AK1101" s="64"/>
      <c r="AL1101" s="64">
        <v>0</v>
      </c>
      <c r="AM1101" s="64">
        <v>60</v>
      </c>
      <c r="AN1101" s="93"/>
      <c r="AO1101" s="92"/>
      <c r="AS1101">
        <v>1</v>
      </c>
    </row>
    <row r="1102" spans="1:45">
      <c r="A1102">
        <v>261086</v>
      </c>
      <c r="B1102" s="8">
        <v>1001</v>
      </c>
      <c r="C1102" s="8">
        <v>1</v>
      </c>
      <c r="D1102" s="8">
        <v>3</v>
      </c>
      <c r="E1102" s="13" t="s">
        <v>2910</v>
      </c>
      <c r="F1102" s="13" t="s">
        <v>2911</v>
      </c>
      <c r="G1102" t="s">
        <v>2912</v>
      </c>
      <c r="H1102" s="13" t="s">
        <v>2913</v>
      </c>
      <c r="I1102">
        <v>1</v>
      </c>
      <c r="J1102">
        <v>5</v>
      </c>
      <c r="K1102" s="33">
        <v>1</v>
      </c>
      <c r="L1102" s="8">
        <v>999</v>
      </c>
      <c r="M1102" s="8">
        <v>0</v>
      </c>
      <c r="N1102" s="8"/>
      <c r="S1102" s="89">
        <v>1</v>
      </c>
      <c r="T1102" s="8">
        <v>5</v>
      </c>
      <c r="U1102" s="89">
        <v>80</v>
      </c>
      <c r="V1102" s="87">
        <v>1</v>
      </c>
      <c r="W1102">
        <v>1</v>
      </c>
      <c r="X1102" s="8">
        <v>1</v>
      </c>
      <c r="Y1102" s="8">
        <v>0</v>
      </c>
      <c r="Z1102" s="33">
        <v>0</v>
      </c>
      <c r="AA1102">
        <v>5</v>
      </c>
      <c r="AB1102" s="34">
        <v>3040</v>
      </c>
      <c r="AC1102" s="87">
        <v>999</v>
      </c>
      <c r="AI1102" s="64"/>
      <c r="AJ1102" s="64"/>
      <c r="AK1102" s="64"/>
      <c r="AL1102" s="64">
        <v>0</v>
      </c>
      <c r="AM1102" s="64">
        <v>60</v>
      </c>
      <c r="AN1102" s="93"/>
      <c r="AO1102" s="92"/>
      <c r="AS1102">
        <v>1</v>
      </c>
    </row>
    <row r="1103" spans="1:45">
      <c r="A1103">
        <v>261087</v>
      </c>
      <c r="B1103" s="8">
        <v>1001</v>
      </c>
      <c r="C1103" s="8">
        <v>1</v>
      </c>
      <c r="D1103" s="8">
        <v>3</v>
      </c>
      <c r="E1103" s="13" t="s">
        <v>2914</v>
      </c>
      <c r="F1103" s="13" t="s">
        <v>2915</v>
      </c>
      <c r="G1103" t="s">
        <v>2916</v>
      </c>
      <c r="H1103" s="13" t="s">
        <v>2917</v>
      </c>
      <c r="I1103">
        <v>1</v>
      </c>
      <c r="J1103">
        <v>5</v>
      </c>
      <c r="K1103" s="33">
        <v>1</v>
      </c>
      <c r="L1103" s="8">
        <v>999</v>
      </c>
      <c r="M1103" s="8">
        <v>0</v>
      </c>
      <c r="N1103" s="8"/>
      <c r="S1103" s="89">
        <v>1</v>
      </c>
      <c r="T1103" s="8">
        <v>5</v>
      </c>
      <c r="U1103" s="89">
        <v>80</v>
      </c>
      <c r="V1103" s="87">
        <v>1</v>
      </c>
      <c r="W1103">
        <v>1</v>
      </c>
      <c r="X1103" s="8">
        <v>1</v>
      </c>
      <c r="Y1103" s="8">
        <v>0</v>
      </c>
      <c r="Z1103" s="33">
        <v>0</v>
      </c>
      <c r="AA1103">
        <v>5</v>
      </c>
      <c r="AB1103" s="34">
        <v>3040</v>
      </c>
      <c r="AC1103" s="87">
        <v>999</v>
      </c>
      <c r="AI1103" s="64"/>
      <c r="AJ1103" s="64"/>
      <c r="AK1103" s="64"/>
      <c r="AL1103" s="64">
        <v>0</v>
      </c>
      <c r="AM1103" s="64">
        <v>60</v>
      </c>
      <c r="AN1103" s="93"/>
      <c r="AO1103" s="92"/>
      <c r="AS1103">
        <v>1</v>
      </c>
    </row>
    <row r="1104" spans="1:45">
      <c r="A1104">
        <v>261088</v>
      </c>
      <c r="B1104" s="8">
        <v>1001</v>
      </c>
      <c r="C1104" s="8">
        <v>1</v>
      </c>
      <c r="D1104" s="8">
        <v>3</v>
      </c>
      <c r="E1104" s="13" t="s">
        <v>2918</v>
      </c>
      <c r="F1104" s="13" t="s">
        <v>2919</v>
      </c>
      <c r="G1104" t="s">
        <v>2920</v>
      </c>
      <c r="H1104" s="13" t="s">
        <v>2921</v>
      </c>
      <c r="I1104">
        <v>1</v>
      </c>
      <c r="J1104">
        <v>5</v>
      </c>
      <c r="K1104" s="33">
        <v>1</v>
      </c>
      <c r="L1104" s="8">
        <v>999</v>
      </c>
      <c r="M1104" s="8">
        <v>0</v>
      </c>
      <c r="N1104" s="8"/>
      <c r="S1104" s="89">
        <v>1</v>
      </c>
      <c r="T1104" s="8">
        <v>5</v>
      </c>
      <c r="U1104" s="89">
        <v>80</v>
      </c>
      <c r="V1104" s="87">
        <v>1</v>
      </c>
      <c r="W1104">
        <v>1</v>
      </c>
      <c r="X1104" s="8">
        <v>1</v>
      </c>
      <c r="Y1104" s="8">
        <v>0</v>
      </c>
      <c r="Z1104" s="33">
        <v>0</v>
      </c>
      <c r="AA1104">
        <v>5</v>
      </c>
      <c r="AB1104" s="34">
        <v>3040</v>
      </c>
      <c r="AC1104" s="87">
        <v>999</v>
      </c>
      <c r="AI1104" s="64"/>
      <c r="AJ1104" s="64"/>
      <c r="AK1104" s="64"/>
      <c r="AL1104" s="64">
        <v>0</v>
      </c>
      <c r="AM1104" s="64">
        <v>60</v>
      </c>
      <c r="AN1104" s="93"/>
      <c r="AO1104" s="92"/>
      <c r="AS1104">
        <v>1</v>
      </c>
    </row>
    <row r="1105" spans="1:45">
      <c r="A1105">
        <v>261089</v>
      </c>
      <c r="B1105" s="8">
        <v>1001</v>
      </c>
      <c r="C1105" s="8">
        <v>1</v>
      </c>
      <c r="D1105" s="8">
        <v>3</v>
      </c>
      <c r="E1105" s="13" t="s">
        <v>2922</v>
      </c>
      <c r="F1105" s="13" t="s">
        <v>2923</v>
      </c>
      <c r="G1105" t="s">
        <v>2924</v>
      </c>
      <c r="H1105" s="13" t="s">
        <v>2925</v>
      </c>
      <c r="I1105">
        <v>1</v>
      </c>
      <c r="J1105">
        <v>5</v>
      </c>
      <c r="K1105" s="33">
        <v>1</v>
      </c>
      <c r="L1105" s="8">
        <v>999</v>
      </c>
      <c r="M1105" s="8">
        <v>0</v>
      </c>
      <c r="N1105" s="8"/>
      <c r="S1105" s="89">
        <v>1</v>
      </c>
      <c r="T1105" s="8">
        <v>5</v>
      </c>
      <c r="U1105" s="89">
        <v>80</v>
      </c>
      <c r="V1105" s="87">
        <v>1</v>
      </c>
      <c r="W1105">
        <v>1</v>
      </c>
      <c r="X1105" s="8">
        <v>1</v>
      </c>
      <c r="Y1105" s="8">
        <v>0</v>
      </c>
      <c r="Z1105" s="33">
        <v>0</v>
      </c>
      <c r="AA1105">
        <v>5</v>
      </c>
      <c r="AB1105" s="34">
        <v>3040</v>
      </c>
      <c r="AC1105" s="87">
        <v>999</v>
      </c>
      <c r="AI1105" s="64"/>
      <c r="AJ1105" s="64"/>
      <c r="AK1105" s="64"/>
      <c r="AL1105" s="64">
        <v>0</v>
      </c>
      <c r="AM1105" s="64">
        <v>60</v>
      </c>
      <c r="AN1105" s="93"/>
      <c r="AO1105" s="92"/>
      <c r="AS1105">
        <v>1</v>
      </c>
    </row>
    <row r="1106" spans="1:45">
      <c r="A1106">
        <v>261090</v>
      </c>
      <c r="B1106" s="8">
        <v>1001</v>
      </c>
      <c r="C1106" s="8">
        <v>1</v>
      </c>
      <c r="D1106" s="8">
        <v>3</v>
      </c>
      <c r="E1106" s="13" t="s">
        <v>2926</v>
      </c>
      <c r="F1106" s="13" t="s">
        <v>2927</v>
      </c>
      <c r="G1106" t="s">
        <v>2928</v>
      </c>
      <c r="H1106" s="13" t="s">
        <v>2929</v>
      </c>
      <c r="I1106">
        <v>1</v>
      </c>
      <c r="J1106">
        <v>5</v>
      </c>
      <c r="K1106" s="33">
        <v>1</v>
      </c>
      <c r="L1106" s="8">
        <v>999</v>
      </c>
      <c r="M1106" s="8">
        <v>0</v>
      </c>
      <c r="N1106" s="8"/>
      <c r="S1106" s="89">
        <v>1</v>
      </c>
      <c r="T1106" s="8">
        <v>5</v>
      </c>
      <c r="U1106" s="89">
        <v>80</v>
      </c>
      <c r="V1106" s="87">
        <v>1</v>
      </c>
      <c r="W1106">
        <v>1</v>
      </c>
      <c r="X1106" s="8">
        <v>1</v>
      </c>
      <c r="Y1106" s="8">
        <v>0</v>
      </c>
      <c r="Z1106" s="33">
        <v>0</v>
      </c>
      <c r="AA1106">
        <v>5</v>
      </c>
      <c r="AB1106" s="34">
        <v>3040</v>
      </c>
      <c r="AC1106" s="87">
        <v>999</v>
      </c>
      <c r="AI1106" s="64"/>
      <c r="AJ1106" s="64"/>
      <c r="AK1106" s="64"/>
      <c r="AL1106" s="64">
        <v>0</v>
      </c>
      <c r="AM1106" s="64">
        <v>60</v>
      </c>
      <c r="AN1106" s="93"/>
      <c r="AO1106" s="92"/>
      <c r="AS1106">
        <v>1</v>
      </c>
    </row>
    <row r="1107" spans="1:45">
      <c r="A1107">
        <v>261091</v>
      </c>
      <c r="B1107" s="8">
        <v>1001</v>
      </c>
      <c r="C1107" s="8">
        <v>1</v>
      </c>
      <c r="D1107" s="8">
        <v>3</v>
      </c>
      <c r="E1107" s="13" t="s">
        <v>2930</v>
      </c>
      <c r="F1107" s="13" t="s">
        <v>2931</v>
      </c>
      <c r="G1107" t="s">
        <v>2932</v>
      </c>
      <c r="H1107" s="13" t="s">
        <v>2933</v>
      </c>
      <c r="I1107">
        <v>1</v>
      </c>
      <c r="J1107">
        <v>5</v>
      </c>
      <c r="K1107" s="33">
        <v>1</v>
      </c>
      <c r="L1107" s="8">
        <v>999</v>
      </c>
      <c r="M1107" s="8">
        <v>0</v>
      </c>
      <c r="N1107" s="8"/>
      <c r="S1107" s="89">
        <v>1</v>
      </c>
      <c r="T1107" s="8">
        <v>5</v>
      </c>
      <c r="U1107" s="89">
        <v>80</v>
      </c>
      <c r="V1107" s="87">
        <v>1</v>
      </c>
      <c r="W1107">
        <v>1</v>
      </c>
      <c r="X1107" s="8">
        <v>1</v>
      </c>
      <c r="Y1107" s="8">
        <v>0</v>
      </c>
      <c r="Z1107" s="33">
        <v>0</v>
      </c>
      <c r="AA1107">
        <v>5</v>
      </c>
      <c r="AB1107" s="34">
        <v>3040</v>
      </c>
      <c r="AC1107" s="87">
        <v>999</v>
      </c>
      <c r="AI1107" s="64"/>
      <c r="AJ1107" s="64"/>
      <c r="AK1107" s="64"/>
      <c r="AL1107" s="64">
        <v>0</v>
      </c>
      <c r="AM1107" s="64">
        <v>60</v>
      </c>
      <c r="AN1107" s="93"/>
      <c r="AO1107" s="92"/>
      <c r="AS1107">
        <v>1</v>
      </c>
    </row>
    <row r="1108" spans="1:45">
      <c r="A1108">
        <v>261092</v>
      </c>
      <c r="B1108" s="8">
        <v>1001</v>
      </c>
      <c r="C1108" s="8">
        <v>1</v>
      </c>
      <c r="D1108" s="8">
        <v>3</v>
      </c>
      <c r="E1108" s="13" t="s">
        <v>2934</v>
      </c>
      <c r="F1108" s="13" t="s">
        <v>2935</v>
      </c>
      <c r="G1108" t="s">
        <v>2936</v>
      </c>
      <c r="H1108" s="13" t="s">
        <v>2937</v>
      </c>
      <c r="I1108">
        <v>1</v>
      </c>
      <c r="J1108">
        <v>5</v>
      </c>
      <c r="K1108" s="33">
        <v>1</v>
      </c>
      <c r="L1108" s="8">
        <v>999</v>
      </c>
      <c r="M1108" s="8">
        <v>0</v>
      </c>
      <c r="N1108" s="8"/>
      <c r="S1108" s="89">
        <v>1</v>
      </c>
      <c r="T1108" s="8">
        <v>5</v>
      </c>
      <c r="U1108" s="89">
        <v>80</v>
      </c>
      <c r="V1108" s="87">
        <v>1</v>
      </c>
      <c r="W1108">
        <v>1</v>
      </c>
      <c r="X1108" s="8">
        <v>1</v>
      </c>
      <c r="Y1108" s="8">
        <v>0</v>
      </c>
      <c r="Z1108" s="33">
        <v>0</v>
      </c>
      <c r="AA1108">
        <v>5</v>
      </c>
      <c r="AB1108" s="34">
        <v>3040</v>
      </c>
      <c r="AC1108" s="87">
        <v>999</v>
      </c>
      <c r="AI1108" s="64"/>
      <c r="AJ1108" s="64"/>
      <c r="AK1108" s="64"/>
      <c r="AL1108" s="64">
        <v>0</v>
      </c>
      <c r="AM1108" s="64">
        <v>60</v>
      </c>
      <c r="AN1108" s="93"/>
      <c r="AO1108" s="92"/>
      <c r="AS1108">
        <v>1</v>
      </c>
    </row>
    <row r="1109" spans="1:45">
      <c r="A1109">
        <v>261093</v>
      </c>
      <c r="B1109" s="8">
        <v>1001</v>
      </c>
      <c r="C1109" s="8">
        <v>1</v>
      </c>
      <c r="D1109" s="8">
        <v>3</v>
      </c>
      <c r="E1109" s="13" t="s">
        <v>2938</v>
      </c>
      <c r="F1109" s="13" t="s">
        <v>2939</v>
      </c>
      <c r="G1109" t="s">
        <v>2940</v>
      </c>
      <c r="H1109" s="13" t="s">
        <v>2941</v>
      </c>
      <c r="I1109">
        <v>1</v>
      </c>
      <c r="J1109">
        <v>5</v>
      </c>
      <c r="K1109" s="33">
        <v>1</v>
      </c>
      <c r="L1109" s="8">
        <v>999</v>
      </c>
      <c r="M1109" s="8">
        <v>0</v>
      </c>
      <c r="N1109" s="8"/>
      <c r="S1109" s="89">
        <v>1</v>
      </c>
      <c r="T1109" s="8">
        <v>5</v>
      </c>
      <c r="U1109" s="89">
        <v>80</v>
      </c>
      <c r="V1109" s="87">
        <v>1</v>
      </c>
      <c r="W1109">
        <v>1</v>
      </c>
      <c r="X1109" s="8">
        <v>1</v>
      </c>
      <c r="Y1109" s="8">
        <v>0</v>
      </c>
      <c r="Z1109" s="33">
        <v>0</v>
      </c>
      <c r="AA1109">
        <v>5</v>
      </c>
      <c r="AB1109" s="34">
        <v>3040</v>
      </c>
      <c r="AC1109" s="87">
        <v>999</v>
      </c>
      <c r="AI1109" s="64"/>
      <c r="AJ1109" s="64"/>
      <c r="AK1109" s="64"/>
      <c r="AL1109" s="64">
        <v>0</v>
      </c>
      <c r="AM1109" s="64">
        <v>60</v>
      </c>
      <c r="AN1109" s="93"/>
      <c r="AO1109" s="92"/>
      <c r="AS1109">
        <v>1</v>
      </c>
    </row>
    <row r="1110" spans="1:45">
      <c r="A1110">
        <v>261094</v>
      </c>
      <c r="B1110" s="8">
        <v>1001</v>
      </c>
      <c r="C1110" s="8">
        <v>1</v>
      </c>
      <c r="D1110" s="8">
        <v>3</v>
      </c>
      <c r="E1110" s="13" t="s">
        <v>2942</v>
      </c>
      <c r="F1110" s="13" t="s">
        <v>2943</v>
      </c>
      <c r="G1110" t="s">
        <v>2944</v>
      </c>
      <c r="H1110" s="13" t="s">
        <v>2945</v>
      </c>
      <c r="I1110">
        <v>1</v>
      </c>
      <c r="J1110">
        <v>5</v>
      </c>
      <c r="K1110" s="33">
        <v>1</v>
      </c>
      <c r="L1110" s="8">
        <v>999</v>
      </c>
      <c r="M1110" s="8">
        <v>0</v>
      </c>
      <c r="N1110" s="8"/>
      <c r="S1110" s="89">
        <v>1</v>
      </c>
      <c r="T1110" s="8">
        <v>5</v>
      </c>
      <c r="U1110" s="89">
        <v>80</v>
      </c>
      <c r="V1110" s="87">
        <v>1</v>
      </c>
      <c r="W1110">
        <v>1</v>
      </c>
      <c r="X1110" s="8">
        <v>1</v>
      </c>
      <c r="Y1110" s="8">
        <v>0</v>
      </c>
      <c r="Z1110" s="33">
        <v>0</v>
      </c>
      <c r="AA1110">
        <v>5</v>
      </c>
      <c r="AB1110" s="34">
        <v>3040</v>
      </c>
      <c r="AC1110" s="87">
        <v>999</v>
      </c>
      <c r="AI1110" s="64"/>
      <c r="AJ1110" s="64"/>
      <c r="AK1110" s="64"/>
      <c r="AL1110" s="64">
        <v>0</v>
      </c>
      <c r="AM1110" s="64">
        <v>60</v>
      </c>
      <c r="AN1110" s="93"/>
      <c r="AO1110" s="92"/>
      <c r="AS1110">
        <v>1</v>
      </c>
    </row>
    <row r="1111" spans="1:45">
      <c r="A1111">
        <v>261095</v>
      </c>
      <c r="B1111" s="8">
        <v>1001</v>
      </c>
      <c r="C1111" s="8">
        <v>1</v>
      </c>
      <c r="D1111" s="8">
        <v>3</v>
      </c>
      <c r="E1111" s="13" t="s">
        <v>2946</v>
      </c>
      <c r="F1111" s="13" t="s">
        <v>2947</v>
      </c>
      <c r="G1111" t="s">
        <v>2948</v>
      </c>
      <c r="H1111" s="13" t="s">
        <v>2949</v>
      </c>
      <c r="I1111">
        <v>1</v>
      </c>
      <c r="J1111">
        <v>5</v>
      </c>
      <c r="K1111" s="33">
        <v>1</v>
      </c>
      <c r="L1111" s="8">
        <v>999</v>
      </c>
      <c r="M1111" s="8">
        <v>0</v>
      </c>
      <c r="N1111" s="8"/>
      <c r="S1111" s="89">
        <v>1</v>
      </c>
      <c r="T1111" s="8">
        <v>5</v>
      </c>
      <c r="U1111" s="89">
        <v>80</v>
      </c>
      <c r="V1111" s="87">
        <v>1</v>
      </c>
      <c r="W1111">
        <v>1</v>
      </c>
      <c r="X1111" s="8">
        <v>1</v>
      </c>
      <c r="Y1111" s="8">
        <v>0</v>
      </c>
      <c r="Z1111" s="33">
        <v>0</v>
      </c>
      <c r="AA1111">
        <v>5</v>
      </c>
      <c r="AB1111" s="34">
        <v>3040</v>
      </c>
      <c r="AC1111" s="87">
        <v>999</v>
      </c>
      <c r="AI1111" s="64"/>
      <c r="AJ1111" s="64"/>
      <c r="AK1111" s="64"/>
      <c r="AL1111" s="64">
        <v>0</v>
      </c>
      <c r="AM1111" s="64">
        <v>60</v>
      </c>
      <c r="AN1111" s="93"/>
      <c r="AO1111" s="92"/>
      <c r="AS1111">
        <v>1</v>
      </c>
    </row>
    <row r="1112" spans="1:45">
      <c r="A1112">
        <v>261096</v>
      </c>
      <c r="B1112" s="8">
        <v>1001</v>
      </c>
      <c r="C1112" s="8">
        <v>1</v>
      </c>
      <c r="D1112" s="8">
        <v>3</v>
      </c>
      <c r="E1112" s="253" t="s">
        <v>2950</v>
      </c>
      <c r="F1112" s="13" t="s">
        <v>2951</v>
      </c>
      <c r="G1112" t="s">
        <v>2952</v>
      </c>
      <c r="H1112" s="13" t="s">
        <v>2953</v>
      </c>
      <c r="I1112">
        <v>1</v>
      </c>
      <c r="J1112">
        <v>5</v>
      </c>
      <c r="K1112" s="33">
        <v>1</v>
      </c>
      <c r="L1112" s="8">
        <v>999</v>
      </c>
      <c r="M1112" s="8">
        <v>0</v>
      </c>
      <c r="N1112" s="8"/>
      <c r="S1112" s="89">
        <v>1</v>
      </c>
      <c r="T1112" s="8">
        <v>5</v>
      </c>
      <c r="U1112" s="89">
        <v>80</v>
      </c>
      <c r="V1112" s="87">
        <v>1</v>
      </c>
      <c r="W1112">
        <v>1</v>
      </c>
      <c r="X1112" s="8">
        <v>1</v>
      </c>
      <c r="Y1112" s="8">
        <v>0</v>
      </c>
      <c r="Z1112" s="33">
        <v>0</v>
      </c>
      <c r="AA1112">
        <v>5</v>
      </c>
      <c r="AB1112" s="34">
        <v>3040</v>
      </c>
      <c r="AC1112" s="87">
        <v>999</v>
      </c>
      <c r="AI1112" s="64"/>
      <c r="AJ1112" s="64"/>
      <c r="AK1112" s="64"/>
      <c r="AL1112" s="64">
        <v>0</v>
      </c>
      <c r="AM1112" s="64">
        <v>60</v>
      </c>
      <c r="AN1112" s="93"/>
      <c r="AO1112" s="92"/>
      <c r="AQ1112"/>
      <c r="AS1112">
        <v>1</v>
      </c>
    </row>
    <row r="1113" spans="1:45">
      <c r="A1113">
        <v>261100</v>
      </c>
      <c r="B1113" s="8">
        <v>1001</v>
      </c>
      <c r="C1113" s="8">
        <v>1</v>
      </c>
      <c r="D1113" s="8">
        <v>1001</v>
      </c>
      <c r="E1113" t="s">
        <v>2954</v>
      </c>
      <c r="F1113" s="13" t="s">
        <v>2954</v>
      </c>
      <c r="G1113" t="s">
        <v>2955</v>
      </c>
      <c r="H1113" s="13" t="s">
        <v>2956</v>
      </c>
      <c r="I1113">
        <v>1</v>
      </c>
      <c r="J1113">
        <v>4</v>
      </c>
      <c r="K1113" s="33">
        <v>1</v>
      </c>
      <c r="L1113" s="8">
        <v>999</v>
      </c>
      <c r="M1113" s="8">
        <v>0</v>
      </c>
      <c r="N1113" s="8"/>
      <c r="S1113" s="89">
        <v>1</v>
      </c>
      <c r="T1113" s="8">
        <v>5</v>
      </c>
      <c r="U1113" s="89">
        <v>170</v>
      </c>
      <c r="V1113" s="87">
        <v>1</v>
      </c>
      <c r="W1113">
        <v>1</v>
      </c>
      <c r="X1113" s="8">
        <v>1</v>
      </c>
      <c r="Y1113" s="8">
        <v>0</v>
      </c>
      <c r="Z1113" s="33">
        <v>0</v>
      </c>
      <c r="AA1113">
        <v>5</v>
      </c>
      <c r="AB1113" s="34">
        <v>6460</v>
      </c>
      <c r="AC1113" s="87">
        <v>999</v>
      </c>
      <c r="AI1113" s="64"/>
      <c r="AJ1113" s="64"/>
      <c r="AK1113" s="64"/>
      <c r="AL1113" s="64">
        <v>1</v>
      </c>
      <c r="AN1113" s="93" t="s">
        <v>2580</v>
      </c>
      <c r="AO1113" s="92"/>
      <c r="AQ1113" t="s">
        <v>2957</v>
      </c>
      <c r="AS1113">
        <v>1</v>
      </c>
    </row>
    <row r="1114" spans="1:45">
      <c r="A1114">
        <v>261101</v>
      </c>
      <c r="B1114" s="8">
        <v>1001</v>
      </c>
      <c r="C1114" s="8">
        <v>1</v>
      </c>
      <c r="D1114" s="8">
        <v>1001</v>
      </c>
      <c r="E1114" t="s">
        <v>2954</v>
      </c>
      <c r="F1114" s="13" t="s">
        <v>2954</v>
      </c>
      <c r="G1114" t="s">
        <v>2955</v>
      </c>
      <c r="H1114" s="13" t="s">
        <v>2956</v>
      </c>
      <c r="I1114">
        <v>1</v>
      </c>
      <c r="J1114">
        <v>5</v>
      </c>
      <c r="K1114" s="33">
        <v>1</v>
      </c>
      <c r="L1114" s="8">
        <v>999</v>
      </c>
      <c r="M1114" s="8">
        <v>0</v>
      </c>
      <c r="N1114" s="8"/>
      <c r="S1114" s="89">
        <v>1</v>
      </c>
      <c r="T1114" s="8">
        <v>5</v>
      </c>
      <c r="U1114" s="89">
        <v>200</v>
      </c>
      <c r="V1114" s="87">
        <v>1</v>
      </c>
      <c r="W1114">
        <v>1</v>
      </c>
      <c r="X1114" s="8">
        <v>1</v>
      </c>
      <c r="Y1114" s="8">
        <v>0</v>
      </c>
      <c r="Z1114" s="33">
        <v>0</v>
      </c>
      <c r="AA1114">
        <v>5</v>
      </c>
      <c r="AB1114" s="34">
        <v>7600</v>
      </c>
      <c r="AC1114" s="87">
        <v>999</v>
      </c>
      <c r="AI1114" s="64"/>
      <c r="AJ1114" s="64"/>
      <c r="AK1114" s="64"/>
      <c r="AL1114" s="64">
        <v>1</v>
      </c>
      <c r="AN1114" s="93"/>
      <c r="AO1114" s="92"/>
      <c r="AQ1114" t="s">
        <v>2958</v>
      </c>
      <c r="AS1114">
        <v>1</v>
      </c>
    </row>
    <row r="1115" spans="1:45">
      <c r="A1115">
        <v>262001</v>
      </c>
      <c r="B1115" s="8">
        <v>1001</v>
      </c>
      <c r="C1115" s="8">
        <v>1</v>
      </c>
      <c r="D1115" s="8">
        <v>1001</v>
      </c>
      <c r="E1115" t="s">
        <v>2959</v>
      </c>
      <c r="F1115" s="13" t="s">
        <v>2960</v>
      </c>
      <c r="H1115" s="13" t="s">
        <v>2961</v>
      </c>
      <c r="I1115">
        <v>1</v>
      </c>
      <c r="J1115">
        <v>1</v>
      </c>
      <c r="K1115" s="33">
        <v>1</v>
      </c>
      <c r="L1115" s="8">
        <v>999</v>
      </c>
      <c r="M1115" s="8">
        <v>0</v>
      </c>
      <c r="N1115" s="8"/>
      <c r="S1115" s="89">
        <v>1</v>
      </c>
      <c r="T1115" s="8">
        <v>5</v>
      </c>
      <c r="U1115" s="89">
        <v>200</v>
      </c>
      <c r="V1115" s="87">
        <v>1</v>
      </c>
      <c r="W1115">
        <v>1</v>
      </c>
      <c r="X1115" s="8">
        <v>1</v>
      </c>
      <c r="Y1115" s="8">
        <v>0</v>
      </c>
      <c r="Z1115" s="33">
        <v>0</v>
      </c>
      <c r="AA1115">
        <v>5</v>
      </c>
      <c r="AB1115" s="34">
        <v>7600</v>
      </c>
      <c r="AC1115" s="87">
        <v>999</v>
      </c>
      <c r="AI1115" s="64"/>
      <c r="AJ1115" s="64"/>
      <c r="AK1115" s="64"/>
      <c r="AL1115" s="64">
        <v>1</v>
      </c>
      <c r="AM1115" s="64">
        <v>20</v>
      </c>
      <c r="AN1115" s="93"/>
      <c r="AO1115" s="92"/>
      <c r="AS1115">
        <v>1</v>
      </c>
    </row>
    <row r="1116" spans="1:45">
      <c r="A1116">
        <v>262002</v>
      </c>
      <c r="B1116" s="8">
        <v>1001</v>
      </c>
      <c r="C1116" s="8">
        <v>1</v>
      </c>
      <c r="D1116" s="8">
        <v>1001</v>
      </c>
      <c r="E1116" t="s">
        <v>2962</v>
      </c>
      <c r="F1116" s="13" t="s">
        <v>2963</v>
      </c>
      <c r="H1116" s="13" t="s">
        <v>2964</v>
      </c>
      <c r="I1116">
        <v>1</v>
      </c>
      <c r="J1116">
        <v>1</v>
      </c>
      <c r="K1116" s="33">
        <v>1</v>
      </c>
      <c r="L1116" s="8">
        <v>999</v>
      </c>
      <c r="M1116" s="8">
        <v>0</v>
      </c>
      <c r="N1116" s="8"/>
      <c r="S1116" s="89">
        <v>1</v>
      </c>
      <c r="T1116" s="8">
        <v>5</v>
      </c>
      <c r="U1116" s="89">
        <v>200</v>
      </c>
      <c r="V1116" s="87">
        <v>1</v>
      </c>
      <c r="W1116">
        <v>1</v>
      </c>
      <c r="X1116" s="8">
        <v>1</v>
      </c>
      <c r="Y1116" s="8">
        <v>0</v>
      </c>
      <c r="Z1116" s="33">
        <v>0</v>
      </c>
      <c r="AA1116">
        <v>5</v>
      </c>
      <c r="AB1116" s="34">
        <v>7600</v>
      </c>
      <c r="AC1116" s="87">
        <v>999</v>
      </c>
      <c r="AI1116" s="64"/>
      <c r="AJ1116" s="64"/>
      <c r="AK1116" s="64"/>
      <c r="AL1116" s="64">
        <v>1</v>
      </c>
      <c r="AM1116" s="64">
        <v>20</v>
      </c>
      <c r="AN1116" s="93"/>
      <c r="AO1116" s="92"/>
      <c r="AS1116">
        <v>1</v>
      </c>
    </row>
    <row r="1117" spans="1:45">
      <c r="A1117">
        <v>262003</v>
      </c>
      <c r="B1117" s="8">
        <v>1001</v>
      </c>
      <c r="C1117" s="8">
        <v>1</v>
      </c>
      <c r="D1117" s="8">
        <v>1001</v>
      </c>
      <c r="E1117" t="s">
        <v>2965</v>
      </c>
      <c r="F1117" s="13" t="s">
        <v>2966</v>
      </c>
      <c r="H1117" s="13" t="s">
        <v>2967</v>
      </c>
      <c r="I1117">
        <v>1</v>
      </c>
      <c r="J1117">
        <v>1</v>
      </c>
      <c r="K1117" s="33">
        <v>1</v>
      </c>
      <c r="L1117" s="8">
        <v>999</v>
      </c>
      <c r="M1117" s="8">
        <v>0</v>
      </c>
      <c r="N1117" s="8"/>
      <c r="S1117" s="89">
        <v>1</v>
      </c>
      <c r="T1117" s="8">
        <v>5</v>
      </c>
      <c r="U1117" s="89">
        <v>200</v>
      </c>
      <c r="V1117" s="87">
        <v>1</v>
      </c>
      <c r="W1117">
        <v>1</v>
      </c>
      <c r="X1117" s="8">
        <v>1</v>
      </c>
      <c r="Y1117" s="8">
        <v>0</v>
      </c>
      <c r="Z1117" s="33">
        <v>0</v>
      </c>
      <c r="AA1117">
        <v>5</v>
      </c>
      <c r="AB1117" s="34">
        <v>7600</v>
      </c>
      <c r="AC1117" s="87">
        <v>999</v>
      </c>
      <c r="AI1117" s="64"/>
      <c r="AJ1117" s="64"/>
      <c r="AK1117" s="64"/>
      <c r="AL1117" s="64">
        <v>1</v>
      </c>
      <c r="AM1117" s="64">
        <v>20</v>
      </c>
      <c r="AN1117" s="93"/>
      <c r="AO1117" s="92"/>
      <c r="AS1117">
        <v>1</v>
      </c>
    </row>
    <row r="1118" spans="1:45">
      <c r="A1118">
        <v>262004</v>
      </c>
      <c r="B1118" s="8">
        <v>1001</v>
      </c>
      <c r="C1118" s="8">
        <v>1</v>
      </c>
      <c r="D1118" s="8">
        <v>1001</v>
      </c>
      <c r="E1118" t="s">
        <v>2968</v>
      </c>
      <c r="F1118" s="13" t="s">
        <v>2969</v>
      </c>
      <c r="H1118" s="13" t="s">
        <v>2970</v>
      </c>
      <c r="I1118">
        <v>1</v>
      </c>
      <c r="J1118">
        <v>1</v>
      </c>
      <c r="K1118" s="33">
        <v>1</v>
      </c>
      <c r="L1118" s="8">
        <v>999</v>
      </c>
      <c r="M1118" s="8">
        <v>0</v>
      </c>
      <c r="N1118" s="8"/>
      <c r="S1118" s="89">
        <v>1</v>
      </c>
      <c r="T1118" s="8">
        <v>5</v>
      </c>
      <c r="U1118" s="89">
        <v>200</v>
      </c>
      <c r="V1118" s="87">
        <v>1</v>
      </c>
      <c r="W1118">
        <v>1</v>
      </c>
      <c r="X1118" s="8">
        <v>1</v>
      </c>
      <c r="Y1118" s="8">
        <v>0</v>
      </c>
      <c r="Z1118" s="33">
        <v>0</v>
      </c>
      <c r="AA1118">
        <v>5</v>
      </c>
      <c r="AB1118" s="34">
        <v>7600</v>
      </c>
      <c r="AC1118" s="87">
        <v>999</v>
      </c>
      <c r="AI1118" s="64"/>
      <c r="AJ1118" s="64"/>
      <c r="AK1118" s="64"/>
      <c r="AL1118" s="64">
        <v>1</v>
      </c>
      <c r="AM1118" s="64">
        <v>20</v>
      </c>
      <c r="AN1118" s="93"/>
      <c r="AO1118" s="92"/>
      <c r="AS1118">
        <v>1</v>
      </c>
    </row>
    <row r="1119" spans="1:45">
      <c r="A1119">
        <v>262005</v>
      </c>
      <c r="B1119" s="8">
        <v>1001</v>
      </c>
      <c r="C1119" s="8">
        <v>1</v>
      </c>
      <c r="D1119" s="8">
        <v>1001</v>
      </c>
      <c r="E1119" t="s">
        <v>2691</v>
      </c>
      <c r="F1119" s="13" t="s">
        <v>2971</v>
      </c>
      <c r="H1119" s="13" t="s">
        <v>2694</v>
      </c>
      <c r="I1119">
        <v>1</v>
      </c>
      <c r="J1119">
        <v>1</v>
      </c>
      <c r="K1119" s="33">
        <v>1</v>
      </c>
      <c r="L1119" s="8">
        <v>999</v>
      </c>
      <c r="M1119" s="8">
        <v>0</v>
      </c>
      <c r="N1119" s="8"/>
      <c r="S1119" s="89">
        <v>1</v>
      </c>
      <c r="T1119" s="8">
        <v>5</v>
      </c>
      <c r="U1119" s="89">
        <v>200</v>
      </c>
      <c r="V1119" s="87">
        <v>1</v>
      </c>
      <c r="W1119">
        <v>1</v>
      </c>
      <c r="X1119" s="8">
        <v>1</v>
      </c>
      <c r="Y1119" s="8">
        <v>0</v>
      </c>
      <c r="Z1119" s="33">
        <v>0</v>
      </c>
      <c r="AA1119">
        <v>5</v>
      </c>
      <c r="AB1119" s="34">
        <v>7600</v>
      </c>
      <c r="AC1119" s="87">
        <v>999</v>
      </c>
      <c r="AI1119" s="64"/>
      <c r="AJ1119" s="64"/>
      <c r="AK1119" s="64"/>
      <c r="AL1119" s="64">
        <v>1</v>
      </c>
      <c r="AM1119" s="64">
        <v>20</v>
      </c>
      <c r="AN1119" s="93"/>
      <c r="AO1119" s="92"/>
      <c r="AS1119">
        <v>1</v>
      </c>
    </row>
    <row r="1120" spans="1:45">
      <c r="A1120">
        <v>262006</v>
      </c>
      <c r="B1120" s="8">
        <v>1001</v>
      </c>
      <c r="C1120" s="8">
        <v>1</v>
      </c>
      <c r="D1120" s="8">
        <v>1001</v>
      </c>
      <c r="E1120" t="s">
        <v>2696</v>
      </c>
      <c r="F1120" s="13" t="s">
        <v>2972</v>
      </c>
      <c r="H1120" s="13" t="s">
        <v>2699</v>
      </c>
      <c r="I1120">
        <v>1</v>
      </c>
      <c r="J1120">
        <v>1</v>
      </c>
      <c r="K1120" s="33">
        <v>1</v>
      </c>
      <c r="L1120" s="8">
        <v>999</v>
      </c>
      <c r="M1120" s="8">
        <v>0</v>
      </c>
      <c r="N1120" s="8"/>
      <c r="S1120" s="89">
        <v>1</v>
      </c>
      <c r="T1120" s="8">
        <v>5</v>
      </c>
      <c r="U1120" s="89">
        <v>200</v>
      </c>
      <c r="V1120" s="87">
        <v>1</v>
      </c>
      <c r="W1120">
        <v>1</v>
      </c>
      <c r="X1120" s="8">
        <v>1</v>
      </c>
      <c r="Y1120" s="8">
        <v>0</v>
      </c>
      <c r="Z1120" s="33">
        <v>0</v>
      </c>
      <c r="AA1120">
        <v>5</v>
      </c>
      <c r="AB1120" s="34">
        <v>7600</v>
      </c>
      <c r="AC1120" s="87">
        <v>999</v>
      </c>
      <c r="AI1120" s="64"/>
      <c r="AJ1120" s="64"/>
      <c r="AK1120" s="64"/>
      <c r="AL1120" s="64">
        <v>1</v>
      </c>
      <c r="AM1120" s="64">
        <v>20</v>
      </c>
      <c r="AN1120" s="93"/>
      <c r="AO1120" s="92"/>
      <c r="AS1120">
        <v>1</v>
      </c>
    </row>
    <row r="1121" spans="1:45">
      <c r="A1121">
        <v>262007</v>
      </c>
      <c r="B1121" s="8">
        <v>1001</v>
      </c>
      <c r="C1121" s="8">
        <v>1</v>
      </c>
      <c r="D1121" s="8">
        <v>1001</v>
      </c>
      <c r="E1121" t="s">
        <v>2701</v>
      </c>
      <c r="F1121" s="13" t="s">
        <v>2973</v>
      </c>
      <c r="H1121" s="13" t="s">
        <v>2704</v>
      </c>
      <c r="I1121">
        <v>1</v>
      </c>
      <c r="J1121">
        <v>1</v>
      </c>
      <c r="K1121" s="33">
        <v>1</v>
      </c>
      <c r="L1121" s="8">
        <v>999</v>
      </c>
      <c r="M1121" s="8">
        <v>0</v>
      </c>
      <c r="N1121" s="8"/>
      <c r="S1121" s="89">
        <v>1</v>
      </c>
      <c r="T1121" s="8">
        <v>5</v>
      </c>
      <c r="U1121" s="89">
        <v>200</v>
      </c>
      <c r="V1121" s="87">
        <v>1</v>
      </c>
      <c r="W1121">
        <v>1</v>
      </c>
      <c r="X1121" s="8">
        <v>1</v>
      </c>
      <c r="Y1121" s="8">
        <v>0</v>
      </c>
      <c r="Z1121" s="33">
        <v>0</v>
      </c>
      <c r="AA1121">
        <v>5</v>
      </c>
      <c r="AB1121" s="34">
        <v>7600</v>
      </c>
      <c r="AC1121" s="87">
        <v>999</v>
      </c>
      <c r="AI1121" s="64"/>
      <c r="AJ1121" s="64"/>
      <c r="AK1121" s="64"/>
      <c r="AL1121" s="64">
        <v>1</v>
      </c>
      <c r="AM1121" s="64">
        <v>20</v>
      </c>
      <c r="AN1121" s="93"/>
      <c r="AO1121" s="92"/>
      <c r="AS1121">
        <v>1</v>
      </c>
    </row>
    <row r="1122" spans="1:45">
      <c r="A1122">
        <v>262008</v>
      </c>
      <c r="B1122" s="8">
        <v>1001</v>
      </c>
      <c r="C1122" s="8">
        <v>1</v>
      </c>
      <c r="D1122" s="8">
        <v>1001</v>
      </c>
      <c r="E1122" t="s">
        <v>2706</v>
      </c>
      <c r="F1122" s="13" t="s">
        <v>2974</v>
      </c>
      <c r="H1122" s="13" t="s">
        <v>2709</v>
      </c>
      <c r="I1122">
        <v>1</v>
      </c>
      <c r="J1122">
        <v>1</v>
      </c>
      <c r="K1122" s="33">
        <v>1</v>
      </c>
      <c r="L1122" s="8">
        <v>999</v>
      </c>
      <c r="M1122" s="8">
        <v>0</v>
      </c>
      <c r="N1122" s="8"/>
      <c r="S1122" s="89">
        <v>1</v>
      </c>
      <c r="T1122" s="8">
        <v>5</v>
      </c>
      <c r="U1122" s="89">
        <v>200</v>
      </c>
      <c r="V1122" s="87">
        <v>1</v>
      </c>
      <c r="W1122">
        <v>1</v>
      </c>
      <c r="X1122" s="8">
        <v>1</v>
      </c>
      <c r="Y1122" s="8">
        <v>0</v>
      </c>
      <c r="Z1122" s="33">
        <v>0</v>
      </c>
      <c r="AA1122">
        <v>5</v>
      </c>
      <c r="AB1122" s="34">
        <v>7600</v>
      </c>
      <c r="AC1122" s="87">
        <v>999</v>
      </c>
      <c r="AI1122" s="64"/>
      <c r="AJ1122" s="64"/>
      <c r="AK1122" s="64"/>
      <c r="AL1122" s="64">
        <v>1</v>
      </c>
      <c r="AM1122" s="64">
        <v>20</v>
      </c>
      <c r="AN1122" s="93"/>
      <c r="AO1122" s="92"/>
      <c r="AS1122">
        <v>1</v>
      </c>
    </row>
    <row r="1123" spans="1:45">
      <c r="A1123">
        <v>262009</v>
      </c>
      <c r="B1123" s="8">
        <v>1001</v>
      </c>
      <c r="C1123" s="8">
        <v>1</v>
      </c>
      <c r="D1123" s="8">
        <v>1001</v>
      </c>
      <c r="E1123" t="s">
        <v>2975</v>
      </c>
      <c r="F1123" s="13" t="s">
        <v>2976</v>
      </c>
      <c r="H1123" s="13" t="s">
        <v>2977</v>
      </c>
      <c r="I1123">
        <v>1</v>
      </c>
      <c r="J1123">
        <v>1</v>
      </c>
      <c r="K1123" s="33">
        <v>1</v>
      </c>
      <c r="L1123" s="8">
        <v>999</v>
      </c>
      <c r="M1123" s="8">
        <v>0</v>
      </c>
      <c r="N1123" s="8"/>
      <c r="S1123" s="89">
        <v>1</v>
      </c>
      <c r="T1123" s="8">
        <v>5</v>
      </c>
      <c r="U1123" s="89">
        <v>200</v>
      </c>
      <c r="V1123" s="87">
        <v>1</v>
      </c>
      <c r="W1123">
        <v>1</v>
      </c>
      <c r="X1123" s="8">
        <v>1</v>
      </c>
      <c r="Y1123" s="8">
        <v>0</v>
      </c>
      <c r="Z1123" s="33">
        <v>0</v>
      </c>
      <c r="AA1123">
        <v>5</v>
      </c>
      <c r="AB1123" s="34">
        <v>7600</v>
      </c>
      <c r="AC1123" s="87">
        <v>999</v>
      </c>
      <c r="AI1123" s="64"/>
      <c r="AJ1123" s="64"/>
      <c r="AK1123" s="64"/>
      <c r="AL1123" s="64">
        <v>1</v>
      </c>
      <c r="AM1123" s="64">
        <v>20</v>
      </c>
      <c r="AN1123" s="93"/>
      <c r="AO1123" s="92"/>
      <c r="AS1123">
        <v>1</v>
      </c>
    </row>
    <row r="1124" spans="1:45">
      <c r="A1124">
        <v>262010</v>
      </c>
      <c r="B1124" s="8">
        <v>1001</v>
      </c>
      <c r="C1124" s="8">
        <v>1</v>
      </c>
      <c r="D1124" s="8">
        <v>1001</v>
      </c>
      <c r="E1124" t="s">
        <v>2978</v>
      </c>
      <c r="F1124" s="13" t="s">
        <v>2979</v>
      </c>
      <c r="H1124" s="13" t="s">
        <v>2980</v>
      </c>
      <c r="I1124">
        <v>1</v>
      </c>
      <c r="J1124">
        <v>1</v>
      </c>
      <c r="K1124" s="33">
        <v>1</v>
      </c>
      <c r="L1124" s="8">
        <v>999</v>
      </c>
      <c r="M1124" s="8">
        <v>0</v>
      </c>
      <c r="N1124" s="8"/>
      <c r="S1124" s="89">
        <v>1</v>
      </c>
      <c r="T1124" s="8">
        <v>5</v>
      </c>
      <c r="U1124" s="89">
        <v>200</v>
      </c>
      <c r="V1124" s="87">
        <v>1</v>
      </c>
      <c r="W1124">
        <v>1</v>
      </c>
      <c r="X1124" s="8">
        <v>1</v>
      </c>
      <c r="Y1124" s="8">
        <v>0</v>
      </c>
      <c r="Z1124" s="33">
        <v>0</v>
      </c>
      <c r="AA1124">
        <v>5</v>
      </c>
      <c r="AB1124" s="34">
        <v>7600</v>
      </c>
      <c r="AC1124" s="87">
        <v>999</v>
      </c>
      <c r="AI1124" s="64"/>
      <c r="AJ1124" s="64"/>
      <c r="AK1124" s="64"/>
      <c r="AL1124" s="64">
        <v>1</v>
      </c>
      <c r="AM1124" s="64">
        <v>20</v>
      </c>
      <c r="AN1124" s="93"/>
      <c r="AO1124" s="92"/>
      <c r="AS1124">
        <v>1</v>
      </c>
    </row>
    <row r="1125" spans="1:45">
      <c r="A1125">
        <v>262011</v>
      </c>
      <c r="B1125" s="8">
        <v>1001</v>
      </c>
      <c r="C1125" s="8">
        <v>1</v>
      </c>
      <c r="D1125" s="8">
        <v>1001</v>
      </c>
      <c r="E1125" t="s">
        <v>2981</v>
      </c>
      <c r="F1125" s="13" t="s">
        <v>2982</v>
      </c>
      <c r="H1125" s="13" t="s">
        <v>2983</v>
      </c>
      <c r="I1125">
        <v>1</v>
      </c>
      <c r="J1125">
        <v>1</v>
      </c>
      <c r="K1125" s="33">
        <v>1</v>
      </c>
      <c r="L1125" s="8">
        <v>999</v>
      </c>
      <c r="M1125" s="8">
        <v>0</v>
      </c>
      <c r="N1125" s="8"/>
      <c r="S1125" s="89">
        <v>1</v>
      </c>
      <c r="T1125" s="8">
        <v>5</v>
      </c>
      <c r="U1125" s="89">
        <v>200</v>
      </c>
      <c r="V1125" s="87">
        <v>1</v>
      </c>
      <c r="W1125">
        <v>1</v>
      </c>
      <c r="X1125" s="8">
        <v>1</v>
      </c>
      <c r="Y1125" s="8">
        <v>0</v>
      </c>
      <c r="Z1125" s="33">
        <v>0</v>
      </c>
      <c r="AA1125">
        <v>5</v>
      </c>
      <c r="AB1125" s="34">
        <v>7600</v>
      </c>
      <c r="AC1125" s="87">
        <v>999</v>
      </c>
      <c r="AI1125" s="64"/>
      <c r="AJ1125" s="64"/>
      <c r="AK1125" s="64"/>
      <c r="AL1125" s="64">
        <v>1</v>
      </c>
      <c r="AM1125" s="64">
        <v>20</v>
      </c>
      <c r="AN1125" s="93"/>
      <c r="AO1125" s="92"/>
      <c r="AS1125">
        <v>1</v>
      </c>
    </row>
    <row r="1126" spans="1:45">
      <c r="A1126">
        <v>262012</v>
      </c>
      <c r="B1126" s="8">
        <v>1001</v>
      </c>
      <c r="C1126" s="8">
        <v>1</v>
      </c>
      <c r="D1126" s="8">
        <v>1001</v>
      </c>
      <c r="E1126" t="s">
        <v>2984</v>
      </c>
      <c r="F1126" s="13" t="s">
        <v>2985</v>
      </c>
      <c r="G1126"/>
      <c r="H1126" s="13" t="s">
        <v>2986</v>
      </c>
      <c r="I1126">
        <v>1</v>
      </c>
      <c r="J1126">
        <v>1</v>
      </c>
      <c r="K1126" s="33">
        <v>1</v>
      </c>
      <c r="L1126" s="8">
        <v>999</v>
      </c>
      <c r="M1126" s="8">
        <v>0</v>
      </c>
      <c r="N1126" s="8"/>
      <c r="S1126" s="89">
        <v>1</v>
      </c>
      <c r="T1126" s="8">
        <v>5</v>
      </c>
      <c r="U1126" s="89">
        <v>200</v>
      </c>
      <c r="V1126" s="87">
        <v>1</v>
      </c>
      <c r="W1126">
        <v>1</v>
      </c>
      <c r="X1126" s="8">
        <v>1</v>
      </c>
      <c r="Y1126" s="8">
        <v>0</v>
      </c>
      <c r="Z1126" s="33">
        <v>0</v>
      </c>
      <c r="AA1126">
        <v>5</v>
      </c>
      <c r="AB1126" s="34">
        <v>7600</v>
      </c>
      <c r="AC1126" s="87">
        <v>999</v>
      </c>
      <c r="AI1126" s="64"/>
      <c r="AJ1126" s="64"/>
      <c r="AK1126" s="64"/>
      <c r="AL1126" s="64">
        <v>1</v>
      </c>
      <c r="AM1126" s="64">
        <v>20</v>
      </c>
      <c r="AN1126" s="93"/>
      <c r="AO1126" s="92"/>
      <c r="AS1126">
        <v>1</v>
      </c>
    </row>
    <row r="1127" spans="1:45">
      <c r="A1127">
        <v>262013</v>
      </c>
      <c r="B1127" s="8">
        <v>1001</v>
      </c>
      <c r="C1127" s="8">
        <v>1</v>
      </c>
      <c r="D1127" s="8">
        <v>1001</v>
      </c>
      <c r="E1127" t="s">
        <v>2987</v>
      </c>
      <c r="F1127" s="13" t="s">
        <v>2775</v>
      </c>
      <c r="G1127" t="s">
        <v>2776</v>
      </c>
      <c r="H1127" s="13" t="s">
        <v>2777</v>
      </c>
      <c r="I1127">
        <v>1</v>
      </c>
      <c r="J1127">
        <v>1</v>
      </c>
      <c r="K1127" s="33">
        <v>1</v>
      </c>
      <c r="L1127" s="8">
        <v>999</v>
      </c>
      <c r="M1127" s="8">
        <v>0</v>
      </c>
      <c r="N1127" s="8"/>
      <c r="S1127" s="89">
        <v>1</v>
      </c>
      <c r="T1127" s="8">
        <v>5</v>
      </c>
      <c r="U1127" s="89">
        <v>200</v>
      </c>
      <c r="V1127" s="87">
        <v>1</v>
      </c>
      <c r="W1127">
        <v>1</v>
      </c>
      <c r="X1127" s="8">
        <v>1</v>
      </c>
      <c r="Y1127" s="8">
        <v>0</v>
      </c>
      <c r="Z1127" s="33">
        <v>0</v>
      </c>
      <c r="AA1127">
        <v>5</v>
      </c>
      <c r="AB1127" s="34">
        <v>7600</v>
      </c>
      <c r="AC1127" s="87">
        <v>999</v>
      </c>
      <c r="AI1127" s="64"/>
      <c r="AJ1127" s="64"/>
      <c r="AK1127" s="64"/>
      <c r="AL1127" s="64">
        <v>1</v>
      </c>
      <c r="AM1127" s="64">
        <v>40</v>
      </c>
      <c r="AN1127" s="93"/>
      <c r="AO1127" s="92"/>
      <c r="AS1127">
        <v>1</v>
      </c>
    </row>
    <row r="1128" spans="1:45">
      <c r="A1128">
        <v>262014</v>
      </c>
      <c r="B1128" s="8">
        <v>1001</v>
      </c>
      <c r="C1128" s="8">
        <v>1</v>
      </c>
      <c r="D1128" s="8">
        <v>1001</v>
      </c>
      <c r="E1128" t="s">
        <v>2988</v>
      </c>
      <c r="F1128" s="13" t="s">
        <v>2779</v>
      </c>
      <c r="G1128" t="s">
        <v>2780</v>
      </c>
      <c r="H1128" s="13" t="s">
        <v>2781</v>
      </c>
      <c r="I1128">
        <v>1</v>
      </c>
      <c r="J1128">
        <v>1</v>
      </c>
      <c r="K1128" s="33">
        <v>1</v>
      </c>
      <c r="L1128" s="8">
        <v>999</v>
      </c>
      <c r="M1128" s="8">
        <v>0</v>
      </c>
      <c r="N1128" s="8"/>
      <c r="S1128" s="89">
        <v>1</v>
      </c>
      <c r="T1128" s="8">
        <v>5</v>
      </c>
      <c r="U1128" s="89">
        <v>200</v>
      </c>
      <c r="V1128" s="87">
        <v>1</v>
      </c>
      <c r="W1128">
        <v>1</v>
      </c>
      <c r="X1128" s="8">
        <v>1</v>
      </c>
      <c r="Y1128" s="8">
        <v>0</v>
      </c>
      <c r="Z1128" s="33">
        <v>0</v>
      </c>
      <c r="AA1128">
        <v>5</v>
      </c>
      <c r="AB1128" s="34">
        <v>7600</v>
      </c>
      <c r="AC1128" s="87">
        <v>999</v>
      </c>
      <c r="AI1128" s="64"/>
      <c r="AJ1128" s="64"/>
      <c r="AK1128" s="64"/>
      <c r="AL1128" s="64">
        <v>1</v>
      </c>
      <c r="AM1128" s="64">
        <v>40</v>
      </c>
      <c r="AN1128" s="93"/>
      <c r="AO1128" s="92"/>
      <c r="AS1128">
        <v>1</v>
      </c>
    </row>
    <row r="1129" spans="1:45">
      <c r="A1129">
        <v>262015</v>
      </c>
      <c r="B1129" s="8">
        <v>1001</v>
      </c>
      <c r="C1129" s="8">
        <v>1</v>
      </c>
      <c r="D1129" s="8">
        <v>1001</v>
      </c>
      <c r="E1129" t="s">
        <v>2989</v>
      </c>
      <c r="F1129" s="13" t="s">
        <v>2783</v>
      </c>
      <c r="G1129" t="s">
        <v>2784</v>
      </c>
      <c r="H1129" s="13" t="s">
        <v>2785</v>
      </c>
      <c r="I1129">
        <v>1</v>
      </c>
      <c r="J1129">
        <v>1</v>
      </c>
      <c r="K1129" s="33">
        <v>1</v>
      </c>
      <c r="L1129" s="8">
        <v>999</v>
      </c>
      <c r="M1129" s="8">
        <v>0</v>
      </c>
      <c r="N1129" s="8"/>
      <c r="S1129" s="89">
        <v>1</v>
      </c>
      <c r="T1129" s="8">
        <v>5</v>
      </c>
      <c r="U1129" s="89">
        <v>200</v>
      </c>
      <c r="V1129" s="87">
        <v>1</v>
      </c>
      <c r="W1129">
        <v>1</v>
      </c>
      <c r="X1129" s="8">
        <v>1</v>
      </c>
      <c r="Y1129" s="8">
        <v>0</v>
      </c>
      <c r="Z1129" s="33">
        <v>0</v>
      </c>
      <c r="AA1129">
        <v>5</v>
      </c>
      <c r="AB1129" s="34">
        <v>7600</v>
      </c>
      <c r="AC1129" s="87">
        <v>999</v>
      </c>
      <c r="AI1129" s="64"/>
      <c r="AJ1129" s="64"/>
      <c r="AK1129" s="64"/>
      <c r="AL1129" s="64">
        <v>1</v>
      </c>
      <c r="AM1129" s="64">
        <v>40</v>
      </c>
      <c r="AN1129" s="93"/>
      <c r="AO1129" s="92"/>
      <c r="AS1129">
        <v>1</v>
      </c>
    </row>
    <row r="1130" spans="1:45">
      <c r="A1130">
        <v>262016</v>
      </c>
      <c r="B1130" s="8">
        <v>1001</v>
      </c>
      <c r="C1130" s="8">
        <v>1</v>
      </c>
      <c r="D1130" s="8">
        <v>1001</v>
      </c>
      <c r="E1130" t="s">
        <v>2990</v>
      </c>
      <c r="F1130" s="253" t="s">
        <v>2787</v>
      </c>
      <c r="G1130" t="s">
        <v>2788</v>
      </c>
      <c r="H1130" s="13" t="s">
        <v>2789</v>
      </c>
      <c r="I1130">
        <v>1</v>
      </c>
      <c r="J1130">
        <v>1</v>
      </c>
      <c r="K1130" s="33">
        <v>1</v>
      </c>
      <c r="L1130" s="8">
        <v>999</v>
      </c>
      <c r="M1130" s="8">
        <v>0</v>
      </c>
      <c r="N1130" s="8"/>
      <c r="S1130" s="89">
        <v>1</v>
      </c>
      <c r="T1130" s="8">
        <v>5</v>
      </c>
      <c r="U1130" s="89">
        <v>200</v>
      </c>
      <c r="V1130" s="87">
        <v>1</v>
      </c>
      <c r="W1130">
        <v>1</v>
      </c>
      <c r="X1130" s="8">
        <v>1</v>
      </c>
      <c r="Y1130" s="8">
        <v>0</v>
      </c>
      <c r="Z1130" s="33">
        <v>0</v>
      </c>
      <c r="AA1130">
        <v>5</v>
      </c>
      <c r="AB1130" s="34">
        <v>7600</v>
      </c>
      <c r="AC1130" s="87">
        <v>999</v>
      </c>
      <c r="AI1130" s="64"/>
      <c r="AJ1130" s="64"/>
      <c r="AK1130" s="64"/>
      <c r="AL1130" s="64">
        <v>1</v>
      </c>
      <c r="AM1130" s="64">
        <v>40</v>
      </c>
      <c r="AN1130" s="93"/>
      <c r="AO1130" s="92"/>
      <c r="AS1130">
        <v>1</v>
      </c>
    </row>
    <row r="1131" spans="1:45">
      <c r="A1131">
        <v>262017</v>
      </c>
      <c r="B1131" s="8">
        <v>1001</v>
      </c>
      <c r="C1131" s="8">
        <v>1</v>
      </c>
      <c r="D1131" s="8">
        <v>1001</v>
      </c>
      <c r="E1131" t="s">
        <v>2991</v>
      </c>
      <c r="F1131" t="s">
        <v>2992</v>
      </c>
      <c r="G1131" t="s">
        <v>2993</v>
      </c>
      <c r="H1131" s="13" t="s">
        <v>2994</v>
      </c>
      <c r="I1131">
        <v>1</v>
      </c>
      <c r="J1131">
        <v>1</v>
      </c>
      <c r="K1131" s="33">
        <v>1</v>
      </c>
      <c r="L1131" s="8">
        <v>999</v>
      </c>
      <c r="M1131" s="8">
        <v>0</v>
      </c>
      <c r="N1131" s="8"/>
      <c r="S1131" s="89">
        <v>1</v>
      </c>
      <c r="T1131" s="8">
        <v>5</v>
      </c>
      <c r="U1131" s="89">
        <v>200</v>
      </c>
      <c r="V1131" s="87">
        <v>1</v>
      </c>
      <c r="W1131">
        <v>1</v>
      </c>
      <c r="X1131" s="8">
        <v>1</v>
      </c>
      <c r="Y1131" s="8">
        <v>0</v>
      </c>
      <c r="Z1131" s="33">
        <v>0</v>
      </c>
      <c r="AA1131">
        <v>5</v>
      </c>
      <c r="AB1131" s="34">
        <v>7600</v>
      </c>
      <c r="AC1131" s="87">
        <v>999</v>
      </c>
      <c r="AI1131" s="64"/>
      <c r="AJ1131" s="64"/>
      <c r="AK1131" s="64"/>
      <c r="AL1131" s="64">
        <v>1</v>
      </c>
      <c r="AM1131" s="64">
        <v>40</v>
      </c>
      <c r="AN1131" s="93"/>
      <c r="AO1131" s="92"/>
      <c r="AS1131">
        <v>1</v>
      </c>
    </row>
    <row r="1132" spans="1:45">
      <c r="A1132">
        <v>262018</v>
      </c>
      <c r="B1132" s="8">
        <v>1001</v>
      </c>
      <c r="C1132" s="8">
        <v>1</v>
      </c>
      <c r="D1132" s="8">
        <v>1001</v>
      </c>
      <c r="E1132" t="s">
        <v>2995</v>
      </c>
      <c r="F1132" t="s">
        <v>2996</v>
      </c>
      <c r="G1132" t="s">
        <v>2997</v>
      </c>
      <c r="H1132" s="13" t="s">
        <v>2998</v>
      </c>
      <c r="I1132">
        <v>1</v>
      </c>
      <c r="J1132">
        <v>1</v>
      </c>
      <c r="K1132" s="33">
        <v>1</v>
      </c>
      <c r="L1132" s="8">
        <v>999</v>
      </c>
      <c r="M1132" s="8">
        <v>0</v>
      </c>
      <c r="N1132" s="8"/>
      <c r="S1132" s="89">
        <v>1</v>
      </c>
      <c r="T1132" s="8">
        <v>5</v>
      </c>
      <c r="U1132" s="89">
        <v>200</v>
      </c>
      <c r="V1132" s="87">
        <v>1</v>
      </c>
      <c r="W1132">
        <v>1</v>
      </c>
      <c r="X1132" s="8">
        <v>1</v>
      </c>
      <c r="Y1132" s="8">
        <v>0</v>
      </c>
      <c r="Z1132" s="33">
        <v>0</v>
      </c>
      <c r="AA1132">
        <v>5</v>
      </c>
      <c r="AB1132" s="34">
        <v>7600</v>
      </c>
      <c r="AC1132" s="87">
        <v>999</v>
      </c>
      <c r="AI1132" s="64"/>
      <c r="AJ1132" s="64"/>
      <c r="AK1132" s="64"/>
      <c r="AL1132" s="64">
        <v>1</v>
      </c>
      <c r="AM1132" s="64">
        <v>40</v>
      </c>
      <c r="AN1132" s="93"/>
      <c r="AO1132" s="92"/>
      <c r="AS1132">
        <v>1</v>
      </c>
    </row>
    <row r="1133" spans="1:45">
      <c r="A1133">
        <v>262019</v>
      </c>
      <c r="B1133" s="8">
        <v>1001</v>
      </c>
      <c r="C1133" s="8">
        <v>1</v>
      </c>
      <c r="D1133" s="8">
        <v>1001</v>
      </c>
      <c r="E1133" t="s">
        <v>2999</v>
      </c>
      <c r="F1133" t="s">
        <v>3000</v>
      </c>
      <c r="G1133" t="s">
        <v>3001</v>
      </c>
      <c r="H1133" s="13" t="s">
        <v>3002</v>
      </c>
      <c r="I1133">
        <v>1</v>
      </c>
      <c r="J1133">
        <v>1</v>
      </c>
      <c r="K1133" s="33">
        <v>1</v>
      </c>
      <c r="L1133" s="8">
        <v>999</v>
      </c>
      <c r="M1133" s="8">
        <v>0</v>
      </c>
      <c r="N1133" s="8"/>
      <c r="S1133" s="89">
        <v>1</v>
      </c>
      <c r="T1133" s="8">
        <v>5</v>
      </c>
      <c r="U1133" s="89">
        <v>200</v>
      </c>
      <c r="V1133" s="87">
        <v>1</v>
      </c>
      <c r="W1133">
        <v>1</v>
      </c>
      <c r="X1133" s="8">
        <v>1</v>
      </c>
      <c r="Y1133" s="8">
        <v>0</v>
      </c>
      <c r="Z1133" s="33">
        <v>0</v>
      </c>
      <c r="AA1133">
        <v>5</v>
      </c>
      <c r="AB1133" s="34">
        <v>7600</v>
      </c>
      <c r="AC1133" s="87">
        <v>999</v>
      </c>
      <c r="AI1133" s="64"/>
      <c r="AJ1133" s="64"/>
      <c r="AK1133" s="64"/>
      <c r="AL1133" s="64">
        <v>1</v>
      </c>
      <c r="AM1133" s="64">
        <v>40</v>
      </c>
      <c r="AN1133" s="93"/>
      <c r="AO1133" s="92"/>
      <c r="AS1133">
        <v>1</v>
      </c>
    </row>
    <row r="1134" spans="1:45">
      <c r="A1134">
        <v>262020</v>
      </c>
      <c r="B1134" s="8">
        <v>1001</v>
      </c>
      <c r="C1134" s="8">
        <v>1</v>
      </c>
      <c r="D1134" s="8">
        <v>1001</v>
      </c>
      <c r="E1134" t="s">
        <v>3003</v>
      </c>
      <c r="F1134" s="238" t="s">
        <v>3004</v>
      </c>
      <c r="G1134" t="s">
        <v>3005</v>
      </c>
      <c r="H1134" s="13" t="s">
        <v>3006</v>
      </c>
      <c r="I1134">
        <v>1</v>
      </c>
      <c r="J1134">
        <v>1</v>
      </c>
      <c r="K1134" s="33">
        <v>1</v>
      </c>
      <c r="L1134" s="8">
        <v>999</v>
      </c>
      <c r="M1134" s="8">
        <v>0</v>
      </c>
      <c r="N1134" s="8"/>
      <c r="S1134" s="89">
        <v>1</v>
      </c>
      <c r="T1134" s="8">
        <v>5</v>
      </c>
      <c r="U1134" s="89">
        <v>200</v>
      </c>
      <c r="V1134" s="87">
        <v>1</v>
      </c>
      <c r="W1134">
        <v>1</v>
      </c>
      <c r="X1134" s="8">
        <v>1</v>
      </c>
      <c r="Y1134" s="8">
        <v>0</v>
      </c>
      <c r="Z1134" s="33">
        <v>0</v>
      </c>
      <c r="AA1134">
        <v>5</v>
      </c>
      <c r="AB1134" s="34">
        <v>7600</v>
      </c>
      <c r="AC1134" s="87">
        <v>999</v>
      </c>
      <c r="AI1134" s="64"/>
      <c r="AJ1134" s="64"/>
      <c r="AK1134" s="64"/>
      <c r="AL1134" s="64">
        <v>1</v>
      </c>
      <c r="AM1134" s="64">
        <v>40</v>
      </c>
      <c r="AN1134" s="93"/>
      <c r="AO1134" s="92"/>
      <c r="AQ1134"/>
      <c r="AS1134">
        <v>1</v>
      </c>
    </row>
    <row r="1135" spans="1:45">
      <c r="A1135">
        <v>261102</v>
      </c>
      <c r="B1135" s="8">
        <v>1001</v>
      </c>
      <c r="C1135" s="8">
        <v>1</v>
      </c>
      <c r="D1135" s="8">
        <v>1001</v>
      </c>
      <c r="E1135" t="s">
        <v>3007</v>
      </c>
      <c r="F1135" s="13" t="s">
        <v>3007</v>
      </c>
      <c r="G1135" t="s">
        <v>3008</v>
      </c>
      <c r="H1135" s="13" t="s">
        <v>3009</v>
      </c>
      <c r="I1135">
        <v>1</v>
      </c>
      <c r="J1135">
        <v>4</v>
      </c>
      <c r="K1135" s="33">
        <v>1</v>
      </c>
      <c r="L1135" s="8">
        <v>999</v>
      </c>
      <c r="M1135" s="8">
        <v>0</v>
      </c>
      <c r="N1135" s="8"/>
      <c r="S1135" s="89">
        <v>1</v>
      </c>
      <c r="T1135" s="8">
        <v>5</v>
      </c>
      <c r="U1135" s="89">
        <v>170</v>
      </c>
      <c r="V1135" s="87">
        <v>1</v>
      </c>
      <c r="W1135">
        <v>1</v>
      </c>
      <c r="X1135" s="8">
        <v>1</v>
      </c>
      <c r="Y1135" s="8">
        <v>0</v>
      </c>
      <c r="Z1135" s="33">
        <v>0</v>
      </c>
      <c r="AA1135">
        <v>5</v>
      </c>
      <c r="AB1135" s="34">
        <v>6460</v>
      </c>
      <c r="AC1135" s="87">
        <v>999</v>
      </c>
      <c r="AI1135" s="64"/>
      <c r="AJ1135" s="64"/>
      <c r="AK1135" s="64"/>
      <c r="AL1135" s="64">
        <v>1</v>
      </c>
      <c r="AN1135" s="93"/>
      <c r="AO1135" s="92"/>
      <c r="AQ1135" t="s">
        <v>3007</v>
      </c>
      <c r="AS1135">
        <v>1</v>
      </c>
    </row>
    <row r="1136" spans="1:45">
      <c r="A1136">
        <v>261103</v>
      </c>
      <c r="B1136" s="8">
        <v>1001</v>
      </c>
      <c r="C1136" s="8">
        <v>1</v>
      </c>
      <c r="D1136" s="8">
        <v>1001</v>
      </c>
      <c r="E1136" t="s">
        <v>3010</v>
      </c>
      <c r="F1136" s="13" t="s">
        <v>3010</v>
      </c>
      <c r="G1136" t="s">
        <v>3011</v>
      </c>
      <c r="H1136" s="13" t="s">
        <v>3012</v>
      </c>
      <c r="I1136">
        <v>1</v>
      </c>
      <c r="J1136">
        <v>4</v>
      </c>
      <c r="K1136" s="33">
        <v>1</v>
      </c>
      <c r="L1136" s="8">
        <v>999</v>
      </c>
      <c r="M1136" s="8">
        <v>0</v>
      </c>
      <c r="N1136" s="8"/>
      <c r="S1136" s="89">
        <v>1</v>
      </c>
      <c r="T1136" s="8">
        <v>5</v>
      </c>
      <c r="U1136" s="89">
        <v>170</v>
      </c>
      <c r="V1136" s="87">
        <v>1</v>
      </c>
      <c r="W1136">
        <v>1</v>
      </c>
      <c r="X1136" s="8">
        <v>1</v>
      </c>
      <c r="Y1136" s="8">
        <v>0</v>
      </c>
      <c r="Z1136" s="33">
        <v>0</v>
      </c>
      <c r="AA1136">
        <v>5</v>
      </c>
      <c r="AB1136" s="34">
        <v>6460</v>
      </c>
      <c r="AC1136" s="87">
        <v>999</v>
      </c>
      <c r="AI1136" s="64"/>
      <c r="AJ1136" s="64"/>
      <c r="AK1136" s="64"/>
      <c r="AL1136" s="64">
        <v>1</v>
      </c>
      <c r="AN1136" s="93"/>
      <c r="AO1136" s="92"/>
      <c r="AQ1136" t="s">
        <v>3010</v>
      </c>
      <c r="AS1136">
        <v>1</v>
      </c>
    </row>
    <row r="1137" spans="1:45">
      <c r="A1137">
        <v>261104</v>
      </c>
      <c r="B1137" s="8">
        <v>1001</v>
      </c>
      <c r="C1137" s="8">
        <v>1</v>
      </c>
      <c r="D1137" s="8">
        <v>1001</v>
      </c>
      <c r="E1137" t="s">
        <v>3013</v>
      </c>
      <c r="F1137" s="13" t="s">
        <v>3014</v>
      </c>
      <c r="G1137" t="s">
        <v>3015</v>
      </c>
      <c r="H1137" s="13" t="s">
        <v>3016</v>
      </c>
      <c r="I1137">
        <v>1</v>
      </c>
      <c r="J1137">
        <v>3</v>
      </c>
      <c r="K1137" s="33">
        <v>1</v>
      </c>
      <c r="L1137" s="8">
        <v>999</v>
      </c>
      <c r="M1137" s="8">
        <v>0</v>
      </c>
      <c r="N1137" s="8"/>
      <c r="S1137" s="89">
        <v>1</v>
      </c>
      <c r="T1137" s="8">
        <v>5</v>
      </c>
      <c r="U1137" s="89">
        <v>140</v>
      </c>
      <c r="V1137" s="87">
        <v>1</v>
      </c>
      <c r="W1137">
        <v>1</v>
      </c>
      <c r="X1137" s="8">
        <v>1</v>
      </c>
      <c r="Y1137" s="8">
        <v>0</v>
      </c>
      <c r="Z1137" s="33">
        <v>0</v>
      </c>
      <c r="AA1137">
        <v>5</v>
      </c>
      <c r="AB1137" s="34">
        <v>5320</v>
      </c>
      <c r="AC1137" s="87">
        <v>999</v>
      </c>
      <c r="AI1137" s="64"/>
      <c r="AJ1137" s="64"/>
      <c r="AK1137" s="64"/>
      <c r="AL1137" s="64">
        <v>1</v>
      </c>
      <c r="AN1137" s="93"/>
      <c r="AO1137" s="92"/>
      <c r="AQ1137" t="s">
        <v>3013</v>
      </c>
      <c r="AS1137">
        <v>1</v>
      </c>
    </row>
    <row r="1138" spans="1:45">
      <c r="A1138">
        <v>261105</v>
      </c>
      <c r="B1138" s="8">
        <v>1001</v>
      </c>
      <c r="C1138" s="8">
        <v>1</v>
      </c>
      <c r="D1138" s="8">
        <v>1001</v>
      </c>
      <c r="E1138" t="s">
        <v>3017</v>
      </c>
      <c r="F1138" s="13" t="s">
        <v>3018</v>
      </c>
      <c r="G1138" t="s">
        <v>3019</v>
      </c>
      <c r="H1138" s="13" t="s">
        <v>3020</v>
      </c>
      <c r="I1138">
        <v>1</v>
      </c>
      <c r="J1138">
        <v>4</v>
      </c>
      <c r="K1138" s="33">
        <v>1</v>
      </c>
      <c r="L1138" s="8">
        <v>999</v>
      </c>
      <c r="M1138" s="8">
        <v>0</v>
      </c>
      <c r="N1138" s="8"/>
      <c r="S1138" s="89">
        <v>1</v>
      </c>
      <c r="T1138" s="8">
        <v>5</v>
      </c>
      <c r="U1138" s="89">
        <v>170</v>
      </c>
      <c r="V1138" s="87">
        <v>1</v>
      </c>
      <c r="W1138">
        <v>1</v>
      </c>
      <c r="X1138" s="8">
        <v>1</v>
      </c>
      <c r="Y1138" s="8">
        <v>0</v>
      </c>
      <c r="Z1138" s="33">
        <v>0</v>
      </c>
      <c r="AA1138">
        <v>5</v>
      </c>
      <c r="AB1138" s="34">
        <v>6460</v>
      </c>
      <c r="AC1138" s="87">
        <v>999</v>
      </c>
      <c r="AI1138" s="64"/>
      <c r="AJ1138" s="64"/>
      <c r="AK1138" s="64"/>
      <c r="AL1138" s="64">
        <v>1</v>
      </c>
      <c r="AN1138" s="93"/>
      <c r="AO1138" s="92"/>
      <c r="AQ1138" t="s">
        <v>3017</v>
      </c>
      <c r="AS1138">
        <v>1</v>
      </c>
    </row>
    <row r="1139" spans="1:45">
      <c r="A1139">
        <v>261106</v>
      </c>
      <c r="B1139" s="8">
        <v>1001</v>
      </c>
      <c r="C1139" s="8">
        <v>1</v>
      </c>
      <c r="D1139" s="8">
        <v>1001</v>
      </c>
      <c r="E1139" t="s">
        <v>3021</v>
      </c>
      <c r="F1139" s="13" t="s">
        <v>3022</v>
      </c>
      <c r="G1139" t="s">
        <v>3023</v>
      </c>
      <c r="H1139" s="13" t="s">
        <v>3024</v>
      </c>
      <c r="I1139">
        <v>1</v>
      </c>
      <c r="J1139">
        <v>5</v>
      </c>
      <c r="K1139" s="33">
        <v>1</v>
      </c>
      <c r="L1139" s="8">
        <v>999</v>
      </c>
      <c r="M1139" s="8">
        <v>0</v>
      </c>
      <c r="N1139" s="8"/>
      <c r="S1139" s="89">
        <v>1</v>
      </c>
      <c r="T1139" s="8">
        <v>5</v>
      </c>
      <c r="U1139" s="89">
        <v>200</v>
      </c>
      <c r="V1139" s="87">
        <v>1</v>
      </c>
      <c r="W1139">
        <v>1</v>
      </c>
      <c r="X1139" s="8">
        <v>1</v>
      </c>
      <c r="Y1139" s="8">
        <v>0</v>
      </c>
      <c r="Z1139" s="33">
        <v>0</v>
      </c>
      <c r="AA1139">
        <v>5</v>
      </c>
      <c r="AB1139" s="34">
        <v>7600</v>
      </c>
      <c r="AC1139" s="87">
        <v>999</v>
      </c>
      <c r="AI1139" s="64"/>
      <c r="AJ1139" s="64"/>
      <c r="AK1139" s="64"/>
      <c r="AL1139" s="64">
        <v>1</v>
      </c>
      <c r="AN1139" s="93"/>
      <c r="AO1139" s="92"/>
      <c r="AQ1139" t="s">
        <v>3021</v>
      </c>
      <c r="AS1139">
        <v>1</v>
      </c>
    </row>
    <row r="1140" spans="1:45">
      <c r="A1140">
        <v>261107</v>
      </c>
      <c r="B1140" s="8">
        <v>1001</v>
      </c>
      <c r="C1140" s="8">
        <v>1</v>
      </c>
      <c r="D1140" s="8">
        <v>1001</v>
      </c>
      <c r="E1140" t="s">
        <v>3007</v>
      </c>
      <c r="F1140" s="13" t="s">
        <v>3007</v>
      </c>
      <c r="G1140" t="s">
        <v>3008</v>
      </c>
      <c r="H1140" s="13" t="s">
        <v>3009</v>
      </c>
      <c r="I1140">
        <v>1</v>
      </c>
      <c r="J1140">
        <v>3</v>
      </c>
      <c r="K1140" s="33">
        <v>1</v>
      </c>
      <c r="L1140" s="8">
        <v>999</v>
      </c>
      <c r="M1140" s="8">
        <v>0</v>
      </c>
      <c r="N1140" s="8"/>
      <c r="S1140" s="89">
        <v>1</v>
      </c>
      <c r="T1140" s="8">
        <v>5</v>
      </c>
      <c r="U1140" s="89">
        <v>140</v>
      </c>
      <c r="V1140" s="87">
        <v>1</v>
      </c>
      <c r="W1140">
        <v>1</v>
      </c>
      <c r="X1140" s="8">
        <v>1</v>
      </c>
      <c r="Y1140" s="8">
        <v>0</v>
      </c>
      <c r="Z1140" s="33">
        <v>0</v>
      </c>
      <c r="AA1140">
        <v>5</v>
      </c>
      <c r="AB1140" s="34">
        <v>5320</v>
      </c>
      <c r="AC1140" s="87">
        <v>999</v>
      </c>
      <c r="AI1140" s="64"/>
      <c r="AJ1140" s="64"/>
      <c r="AK1140" s="64"/>
      <c r="AL1140" s="64">
        <v>1</v>
      </c>
      <c r="AN1140" s="93"/>
      <c r="AO1140" s="92"/>
      <c r="AQ1140" t="s">
        <v>3007</v>
      </c>
      <c r="AS1140">
        <v>1</v>
      </c>
    </row>
    <row r="1141" s="47" customFormat="1" spans="1:45">
      <c r="A1141">
        <v>261108</v>
      </c>
      <c r="B1141" s="8">
        <v>1001</v>
      </c>
      <c r="C1141" s="8">
        <v>1</v>
      </c>
      <c r="D1141" s="8">
        <v>1001</v>
      </c>
      <c r="E1141" t="s">
        <v>3025</v>
      </c>
      <c r="F1141" s="13" t="s">
        <v>3010</v>
      </c>
      <c r="G1141" t="s">
        <v>3011</v>
      </c>
      <c r="H1141" s="13" t="s">
        <v>3012</v>
      </c>
      <c r="I1141">
        <v>1</v>
      </c>
      <c r="J1141">
        <v>5</v>
      </c>
      <c r="K1141" s="33">
        <v>1</v>
      </c>
      <c r="L1141" s="8">
        <v>999</v>
      </c>
      <c r="M1141" s="8">
        <v>0</v>
      </c>
      <c r="N1141" s="8"/>
      <c r="O1141" s="327"/>
      <c r="S1141" s="89">
        <v>1</v>
      </c>
      <c r="T1141" s="8">
        <v>5</v>
      </c>
      <c r="U1141" s="89">
        <v>200</v>
      </c>
      <c r="V1141" s="87">
        <v>1</v>
      </c>
      <c r="W1141">
        <v>1</v>
      </c>
      <c r="X1141" s="8">
        <v>1</v>
      </c>
      <c r="Y1141" s="8">
        <v>0</v>
      </c>
      <c r="Z1141" s="33">
        <v>0</v>
      </c>
      <c r="AA1141">
        <v>5</v>
      </c>
      <c r="AB1141" s="34">
        <v>7600</v>
      </c>
      <c r="AC1141" s="87">
        <v>999</v>
      </c>
      <c r="AD1141" s="328"/>
      <c r="AE1141" s="328"/>
      <c r="AF1141" s="329"/>
      <c r="AG1141" s="329"/>
      <c r="AH1141" s="329"/>
      <c r="AI1141" s="64"/>
      <c r="AJ1141" s="64"/>
      <c r="AK1141" s="64"/>
      <c r="AL1141" s="64">
        <v>1</v>
      </c>
      <c r="AM1141" s="330"/>
      <c r="AN1141" s="93"/>
      <c r="AO1141" s="92"/>
      <c r="AP1141" s="331"/>
      <c r="AQ1141" t="s">
        <v>3025</v>
      </c>
      <c r="AS1141">
        <v>1</v>
      </c>
    </row>
    <row r="1142" s="47" customFormat="1" spans="1:45">
      <c r="A1142" s="47">
        <v>261109</v>
      </c>
      <c r="B1142" s="332">
        <v>1001</v>
      </c>
      <c r="C1142" s="332">
        <v>1</v>
      </c>
      <c r="D1142" s="332">
        <v>1001</v>
      </c>
      <c r="E1142" s="47" t="s">
        <v>3026</v>
      </c>
      <c r="F1142" s="333" t="s">
        <v>3007</v>
      </c>
      <c r="G1142" s="47" t="s">
        <v>3027</v>
      </c>
      <c r="H1142" s="333" t="s">
        <v>3009</v>
      </c>
      <c r="I1142" s="47">
        <v>1</v>
      </c>
      <c r="J1142" s="47">
        <v>4</v>
      </c>
      <c r="K1142" s="47">
        <v>1</v>
      </c>
      <c r="L1142" s="332">
        <v>999</v>
      </c>
      <c r="M1142" s="332">
        <v>0</v>
      </c>
      <c r="N1142" s="332"/>
      <c r="O1142" s="327"/>
      <c r="S1142" s="332">
        <v>1</v>
      </c>
      <c r="T1142" s="332">
        <v>5</v>
      </c>
      <c r="U1142" s="332">
        <v>170</v>
      </c>
      <c r="V1142" s="332">
        <v>1</v>
      </c>
      <c r="W1142" s="47">
        <v>1</v>
      </c>
      <c r="X1142" s="332">
        <v>1</v>
      </c>
      <c r="Y1142" s="332">
        <v>0</v>
      </c>
      <c r="Z1142" s="47">
        <v>0</v>
      </c>
      <c r="AA1142" s="47">
        <v>5</v>
      </c>
      <c r="AB1142" s="47">
        <v>6460</v>
      </c>
      <c r="AC1142" s="332">
        <v>999</v>
      </c>
      <c r="AD1142" s="328"/>
      <c r="AE1142" s="328"/>
      <c r="AF1142" s="329"/>
      <c r="AG1142" s="329"/>
      <c r="AH1142" s="329"/>
      <c r="AI1142" s="331"/>
      <c r="AJ1142" s="331"/>
      <c r="AK1142" s="331"/>
      <c r="AL1142" s="331">
        <v>1</v>
      </c>
      <c r="AM1142" s="330">
        <v>2</v>
      </c>
      <c r="AN1142" s="334"/>
      <c r="AO1142" s="335"/>
      <c r="AP1142" s="331"/>
      <c r="AQ1142" s="47" t="s">
        <v>3007</v>
      </c>
      <c r="AS1142" s="47">
        <v>1</v>
      </c>
    </row>
    <row r="1143" s="47" customFormat="1" spans="1:45">
      <c r="A1143" s="47">
        <v>261110</v>
      </c>
      <c r="B1143" s="332">
        <v>1001</v>
      </c>
      <c r="C1143" s="332">
        <v>1</v>
      </c>
      <c r="D1143" s="332">
        <v>1001</v>
      </c>
      <c r="E1143" s="47" t="s">
        <v>3028</v>
      </c>
      <c r="F1143" s="333" t="s">
        <v>3007</v>
      </c>
      <c r="G1143" s="47" t="s">
        <v>3029</v>
      </c>
      <c r="H1143" s="333" t="s">
        <v>3009</v>
      </c>
      <c r="I1143" s="47">
        <v>1</v>
      </c>
      <c r="J1143" s="47">
        <v>4</v>
      </c>
      <c r="K1143" s="47">
        <v>1</v>
      </c>
      <c r="L1143" s="332">
        <v>999</v>
      </c>
      <c r="M1143" s="332">
        <v>0</v>
      </c>
      <c r="N1143" s="332"/>
      <c r="O1143" s="327"/>
      <c r="S1143" s="332">
        <v>1</v>
      </c>
      <c r="T1143" s="332">
        <v>5</v>
      </c>
      <c r="U1143" s="332">
        <v>170</v>
      </c>
      <c r="V1143" s="332">
        <v>1</v>
      </c>
      <c r="W1143" s="47">
        <v>1</v>
      </c>
      <c r="X1143" s="332">
        <v>1</v>
      </c>
      <c r="Y1143" s="332">
        <v>0</v>
      </c>
      <c r="Z1143" s="47">
        <v>0</v>
      </c>
      <c r="AA1143" s="47">
        <v>5</v>
      </c>
      <c r="AB1143" s="47">
        <v>6460</v>
      </c>
      <c r="AC1143" s="332">
        <v>999</v>
      </c>
      <c r="AD1143" s="328"/>
      <c r="AE1143" s="328"/>
      <c r="AF1143" s="329"/>
      <c r="AG1143" s="329"/>
      <c r="AH1143" s="329"/>
      <c r="AI1143" s="331"/>
      <c r="AJ1143" s="331"/>
      <c r="AK1143" s="331"/>
      <c r="AL1143" s="331">
        <v>1</v>
      </c>
      <c r="AM1143" s="330">
        <v>3</v>
      </c>
      <c r="AN1143" s="334"/>
      <c r="AO1143" s="335"/>
      <c r="AP1143" s="331"/>
      <c r="AQ1143" s="47" t="s">
        <v>3007</v>
      </c>
      <c r="AS1143" s="47">
        <v>1</v>
      </c>
    </row>
    <row r="1144" s="47" customFormat="1" spans="1:45">
      <c r="A1144" s="47">
        <v>261111</v>
      </c>
      <c r="B1144" s="332">
        <v>1001</v>
      </c>
      <c r="C1144" s="332">
        <v>1</v>
      </c>
      <c r="D1144" s="332">
        <v>1001</v>
      </c>
      <c r="E1144" s="47" t="s">
        <v>3030</v>
      </c>
      <c r="F1144" s="333" t="s">
        <v>3007</v>
      </c>
      <c r="G1144" s="47" t="s">
        <v>3031</v>
      </c>
      <c r="H1144" s="333" t="s">
        <v>3009</v>
      </c>
      <c r="I1144" s="47">
        <v>1</v>
      </c>
      <c r="J1144" s="47">
        <v>4</v>
      </c>
      <c r="K1144" s="47">
        <v>1</v>
      </c>
      <c r="L1144" s="332">
        <v>999</v>
      </c>
      <c r="M1144" s="332">
        <v>0</v>
      </c>
      <c r="N1144" s="332"/>
      <c r="O1144" s="327"/>
      <c r="S1144" s="332">
        <v>1</v>
      </c>
      <c r="T1144" s="332">
        <v>5</v>
      </c>
      <c r="U1144" s="332">
        <v>170</v>
      </c>
      <c r="V1144" s="332">
        <v>1</v>
      </c>
      <c r="W1144" s="47">
        <v>1</v>
      </c>
      <c r="X1144" s="332">
        <v>1</v>
      </c>
      <c r="Y1144" s="332">
        <v>0</v>
      </c>
      <c r="Z1144" s="47">
        <v>0</v>
      </c>
      <c r="AA1144" s="47">
        <v>5</v>
      </c>
      <c r="AB1144" s="47">
        <v>6460</v>
      </c>
      <c r="AC1144" s="332">
        <v>999</v>
      </c>
      <c r="AD1144" s="328"/>
      <c r="AE1144" s="328"/>
      <c r="AF1144" s="329"/>
      <c r="AG1144" s="329"/>
      <c r="AH1144" s="329"/>
      <c r="AI1144" s="331"/>
      <c r="AJ1144" s="331"/>
      <c r="AK1144" s="331"/>
      <c r="AL1144" s="331">
        <v>1</v>
      </c>
      <c r="AM1144" s="330">
        <v>4</v>
      </c>
      <c r="AN1144" s="334"/>
      <c r="AO1144" s="335"/>
      <c r="AP1144" s="331"/>
      <c r="AQ1144" s="47" t="s">
        <v>3007</v>
      </c>
      <c r="AS1144" s="47">
        <v>1</v>
      </c>
    </row>
    <row r="1145" s="47" customFormat="1" spans="1:45">
      <c r="A1145" s="47">
        <v>261112</v>
      </c>
      <c r="B1145" s="332">
        <v>1001</v>
      </c>
      <c r="C1145" s="332">
        <v>1</v>
      </c>
      <c r="D1145" s="332">
        <v>1001</v>
      </c>
      <c r="E1145" s="47" t="s">
        <v>3032</v>
      </c>
      <c r="F1145" s="333" t="s">
        <v>3007</v>
      </c>
      <c r="G1145" s="47" t="s">
        <v>3033</v>
      </c>
      <c r="H1145" s="333" t="s">
        <v>3009</v>
      </c>
      <c r="I1145" s="47">
        <v>1</v>
      </c>
      <c r="J1145" s="47">
        <v>4</v>
      </c>
      <c r="K1145" s="47">
        <v>1</v>
      </c>
      <c r="L1145" s="332">
        <v>999</v>
      </c>
      <c r="M1145" s="332">
        <v>0</v>
      </c>
      <c r="N1145" s="332"/>
      <c r="O1145" s="327"/>
      <c r="S1145" s="332">
        <v>1</v>
      </c>
      <c r="T1145" s="332">
        <v>5</v>
      </c>
      <c r="U1145" s="332">
        <v>170</v>
      </c>
      <c r="V1145" s="332">
        <v>1</v>
      </c>
      <c r="W1145" s="47">
        <v>1</v>
      </c>
      <c r="X1145" s="332">
        <v>1</v>
      </c>
      <c r="Y1145" s="332">
        <v>0</v>
      </c>
      <c r="Z1145" s="47">
        <v>0</v>
      </c>
      <c r="AA1145" s="47">
        <v>5</v>
      </c>
      <c r="AB1145" s="47">
        <v>6460</v>
      </c>
      <c r="AC1145" s="332">
        <v>999</v>
      </c>
      <c r="AD1145" s="328"/>
      <c r="AE1145" s="328"/>
      <c r="AF1145" s="329"/>
      <c r="AG1145" s="329"/>
      <c r="AH1145" s="329"/>
      <c r="AI1145" s="331"/>
      <c r="AJ1145" s="331"/>
      <c r="AK1145" s="331"/>
      <c r="AL1145" s="331">
        <v>1</v>
      </c>
      <c r="AM1145" s="330">
        <v>5</v>
      </c>
      <c r="AN1145" s="334"/>
      <c r="AO1145" s="335"/>
      <c r="AP1145" s="331"/>
      <c r="AQ1145" s="47" t="s">
        <v>3007</v>
      </c>
      <c r="AS1145" s="47">
        <v>1</v>
      </c>
    </row>
    <row r="1146" s="47" customFormat="1" spans="1:45">
      <c r="A1146" s="47">
        <v>261113</v>
      </c>
      <c r="B1146" s="332">
        <v>1001</v>
      </c>
      <c r="C1146" s="332">
        <v>1</v>
      </c>
      <c r="D1146" s="332">
        <v>1001</v>
      </c>
      <c r="E1146" s="47" t="s">
        <v>3034</v>
      </c>
      <c r="F1146" s="333" t="s">
        <v>3007</v>
      </c>
      <c r="G1146" s="47" t="s">
        <v>3035</v>
      </c>
      <c r="H1146" s="333" t="s">
        <v>3009</v>
      </c>
      <c r="I1146" s="47">
        <v>1</v>
      </c>
      <c r="J1146" s="47">
        <v>4</v>
      </c>
      <c r="K1146" s="47">
        <v>1</v>
      </c>
      <c r="L1146" s="332">
        <v>999</v>
      </c>
      <c r="M1146" s="332">
        <v>0</v>
      </c>
      <c r="N1146" s="332"/>
      <c r="O1146" s="327"/>
      <c r="S1146" s="332">
        <v>1</v>
      </c>
      <c r="T1146" s="332">
        <v>5</v>
      </c>
      <c r="U1146" s="332">
        <v>170</v>
      </c>
      <c r="V1146" s="332">
        <v>1</v>
      </c>
      <c r="W1146" s="47">
        <v>1</v>
      </c>
      <c r="X1146" s="332">
        <v>1</v>
      </c>
      <c r="Y1146" s="332">
        <v>0</v>
      </c>
      <c r="Z1146" s="47">
        <v>0</v>
      </c>
      <c r="AA1146" s="47">
        <v>5</v>
      </c>
      <c r="AB1146" s="47">
        <v>6460</v>
      </c>
      <c r="AC1146" s="332">
        <v>999</v>
      </c>
      <c r="AD1146" s="328"/>
      <c r="AE1146" s="328"/>
      <c r="AF1146" s="329"/>
      <c r="AG1146" s="329"/>
      <c r="AH1146" s="329"/>
      <c r="AI1146" s="331"/>
      <c r="AJ1146" s="331"/>
      <c r="AK1146" s="331"/>
      <c r="AL1146" s="331">
        <v>1</v>
      </c>
      <c r="AM1146" s="330">
        <v>6</v>
      </c>
      <c r="AN1146" s="334"/>
      <c r="AO1146" s="335"/>
      <c r="AP1146" s="331"/>
      <c r="AQ1146" s="47" t="s">
        <v>3007</v>
      </c>
      <c r="AS1146" s="47">
        <v>1</v>
      </c>
    </row>
    <row r="1147" s="47" customFormat="1" spans="1:45">
      <c r="A1147" s="47">
        <v>261114</v>
      </c>
      <c r="B1147" s="332">
        <v>1001</v>
      </c>
      <c r="C1147" s="332">
        <v>1</v>
      </c>
      <c r="D1147" s="332">
        <v>1001</v>
      </c>
      <c r="E1147" s="47" t="s">
        <v>3036</v>
      </c>
      <c r="F1147" s="333" t="s">
        <v>3007</v>
      </c>
      <c r="G1147" s="47" t="s">
        <v>3037</v>
      </c>
      <c r="H1147" s="333" t="s">
        <v>3009</v>
      </c>
      <c r="I1147" s="47">
        <v>1</v>
      </c>
      <c r="J1147" s="47">
        <v>4</v>
      </c>
      <c r="K1147" s="47">
        <v>1</v>
      </c>
      <c r="L1147" s="332">
        <v>999</v>
      </c>
      <c r="M1147" s="332">
        <v>0</v>
      </c>
      <c r="N1147" s="332"/>
      <c r="O1147" s="327"/>
      <c r="S1147" s="332">
        <v>1</v>
      </c>
      <c r="T1147" s="332">
        <v>5</v>
      </c>
      <c r="U1147" s="332">
        <v>170</v>
      </c>
      <c r="V1147" s="332">
        <v>1</v>
      </c>
      <c r="W1147" s="47">
        <v>1</v>
      </c>
      <c r="X1147" s="332">
        <v>1</v>
      </c>
      <c r="Y1147" s="332">
        <v>0</v>
      </c>
      <c r="Z1147" s="47">
        <v>0</v>
      </c>
      <c r="AA1147" s="47">
        <v>5</v>
      </c>
      <c r="AB1147" s="47">
        <v>6460</v>
      </c>
      <c r="AC1147" s="332">
        <v>999</v>
      </c>
      <c r="AD1147" s="328"/>
      <c r="AE1147" s="328"/>
      <c r="AF1147" s="329"/>
      <c r="AG1147" s="329"/>
      <c r="AH1147" s="329"/>
      <c r="AI1147" s="331"/>
      <c r="AJ1147" s="331"/>
      <c r="AK1147" s="331"/>
      <c r="AL1147" s="331">
        <v>1</v>
      </c>
      <c r="AM1147" s="330">
        <v>7</v>
      </c>
      <c r="AN1147" s="334"/>
      <c r="AO1147" s="335"/>
      <c r="AP1147" s="331"/>
      <c r="AQ1147" s="47" t="s">
        <v>3007</v>
      </c>
      <c r="AS1147" s="47">
        <v>1</v>
      </c>
    </row>
    <row r="1148" spans="1:45">
      <c r="A1148" s="47">
        <v>261115</v>
      </c>
      <c r="B1148" s="332">
        <v>1001</v>
      </c>
      <c r="C1148" s="332">
        <v>1</v>
      </c>
      <c r="D1148" s="332">
        <v>1001</v>
      </c>
      <c r="E1148" s="47" t="s">
        <v>3038</v>
      </c>
      <c r="F1148" s="333" t="s">
        <v>3007</v>
      </c>
      <c r="G1148" s="47" t="s">
        <v>3039</v>
      </c>
      <c r="H1148" s="333" t="s">
        <v>3009</v>
      </c>
      <c r="I1148" s="47">
        <v>1</v>
      </c>
      <c r="J1148" s="47">
        <v>4</v>
      </c>
      <c r="K1148" s="47">
        <v>1</v>
      </c>
      <c r="L1148" s="332">
        <v>999</v>
      </c>
      <c r="M1148" s="332">
        <v>0</v>
      </c>
      <c r="N1148" s="332"/>
      <c r="O1148" s="327"/>
      <c r="S1148" s="332">
        <v>1</v>
      </c>
      <c r="T1148" s="332">
        <v>5</v>
      </c>
      <c r="U1148" s="332">
        <v>170</v>
      </c>
      <c r="V1148" s="332">
        <v>1</v>
      </c>
      <c r="W1148" s="47">
        <v>1</v>
      </c>
      <c r="X1148" s="332">
        <v>1</v>
      </c>
      <c r="Y1148" s="332">
        <v>0</v>
      </c>
      <c r="Z1148" s="47">
        <v>0</v>
      </c>
      <c r="AA1148" s="47">
        <v>5</v>
      </c>
      <c r="AB1148" s="47">
        <v>6460</v>
      </c>
      <c r="AC1148" s="332">
        <v>999</v>
      </c>
      <c r="AD1148" s="328"/>
      <c r="AE1148" s="328"/>
      <c r="AF1148" s="329"/>
      <c r="AG1148" s="329"/>
      <c r="AH1148" s="329"/>
      <c r="AI1148" s="331"/>
      <c r="AJ1148" s="331"/>
      <c r="AK1148" s="331"/>
      <c r="AL1148" s="331"/>
      <c r="AM1148" s="330">
        <v>1</v>
      </c>
      <c r="AN1148" s="334"/>
      <c r="AO1148" s="335"/>
      <c r="AP1148" s="331"/>
      <c r="AS1148" s="47">
        <v>1</v>
      </c>
    </row>
    <row r="1149" spans="1:45">
      <c r="A1149">
        <v>261116</v>
      </c>
      <c r="B1149" s="8">
        <v>1001</v>
      </c>
      <c r="C1149" s="8">
        <v>1</v>
      </c>
      <c r="D1149" s="8">
        <v>3</v>
      </c>
      <c r="E1149" t="s">
        <v>3040</v>
      </c>
      <c r="F1149" s="13" t="s">
        <v>3040</v>
      </c>
      <c r="G1149" t="s">
        <v>3041</v>
      </c>
      <c r="H1149" s="13" t="s">
        <v>3042</v>
      </c>
      <c r="I1149">
        <v>1</v>
      </c>
      <c r="J1149">
        <v>5</v>
      </c>
      <c r="K1149" s="33">
        <v>1</v>
      </c>
      <c r="L1149" s="8">
        <v>999</v>
      </c>
      <c r="M1149" s="8">
        <v>0</v>
      </c>
      <c r="N1149" s="8"/>
      <c r="S1149" s="89">
        <v>1</v>
      </c>
      <c r="T1149" s="8">
        <v>5</v>
      </c>
      <c r="U1149" s="89">
        <v>80</v>
      </c>
      <c r="V1149" s="87">
        <v>1</v>
      </c>
      <c r="W1149">
        <v>1</v>
      </c>
      <c r="X1149" s="8">
        <v>1</v>
      </c>
      <c r="Y1149" s="8">
        <v>0</v>
      </c>
      <c r="Z1149" s="33">
        <v>0</v>
      </c>
      <c r="AA1149">
        <v>5</v>
      </c>
      <c r="AB1149" s="34">
        <v>3040</v>
      </c>
      <c r="AC1149" s="87">
        <v>999</v>
      </c>
      <c r="AF1149" s="63"/>
      <c r="AI1149" s="64"/>
      <c r="AJ1149" s="64"/>
      <c r="AK1149" s="64"/>
      <c r="AM1149" s="4">
        <v>60</v>
      </c>
      <c r="AN1149" s="93"/>
      <c r="AO1149" s="92"/>
      <c r="AS1149">
        <v>1</v>
      </c>
    </row>
    <row r="1150" spans="1:45">
      <c r="A1150">
        <v>261117</v>
      </c>
      <c r="B1150" s="8">
        <v>1001</v>
      </c>
      <c r="C1150" s="8">
        <v>1</v>
      </c>
      <c r="D1150" s="8">
        <v>3</v>
      </c>
      <c r="E1150" t="s">
        <v>3043</v>
      </c>
      <c r="F1150" s="13" t="s">
        <v>3043</v>
      </c>
      <c r="G1150" t="s">
        <v>3044</v>
      </c>
      <c r="H1150" s="13" t="s">
        <v>3045</v>
      </c>
      <c r="I1150">
        <v>1</v>
      </c>
      <c r="J1150">
        <v>5</v>
      </c>
      <c r="K1150" s="33">
        <v>1</v>
      </c>
      <c r="L1150" s="8">
        <v>999</v>
      </c>
      <c r="M1150" s="8">
        <v>0</v>
      </c>
      <c r="N1150" s="8"/>
      <c r="S1150" s="89">
        <v>1</v>
      </c>
      <c r="T1150" s="8">
        <v>5</v>
      </c>
      <c r="U1150" s="89">
        <v>80</v>
      </c>
      <c r="V1150" s="87">
        <v>1</v>
      </c>
      <c r="W1150">
        <v>1</v>
      </c>
      <c r="X1150" s="8">
        <v>1</v>
      </c>
      <c r="Y1150" s="8">
        <v>0</v>
      </c>
      <c r="Z1150" s="33">
        <v>0</v>
      </c>
      <c r="AA1150">
        <v>5</v>
      </c>
      <c r="AB1150" s="34">
        <v>3040</v>
      </c>
      <c r="AC1150" s="87">
        <v>999</v>
      </c>
      <c r="AF1150" s="63"/>
      <c r="AI1150" s="64"/>
      <c r="AJ1150" s="64"/>
      <c r="AK1150" s="64"/>
      <c r="AM1150" s="4">
        <v>60</v>
      </c>
      <c r="AN1150" s="93"/>
      <c r="AO1150" s="92"/>
      <c r="AS1150">
        <v>1</v>
      </c>
    </row>
    <row r="1151" spans="1:45">
      <c r="A1151">
        <v>261118</v>
      </c>
      <c r="B1151" s="8">
        <v>1001</v>
      </c>
      <c r="C1151" s="8">
        <v>1</v>
      </c>
      <c r="D1151" s="8">
        <v>3</v>
      </c>
      <c r="E1151" t="s">
        <v>3046</v>
      </c>
      <c r="F1151" s="13" t="s">
        <v>3046</v>
      </c>
      <c r="G1151" t="s">
        <v>3047</v>
      </c>
      <c r="H1151" s="13" t="s">
        <v>3048</v>
      </c>
      <c r="I1151">
        <v>1</v>
      </c>
      <c r="J1151">
        <v>5</v>
      </c>
      <c r="K1151" s="33">
        <v>1</v>
      </c>
      <c r="L1151" s="8">
        <v>999</v>
      </c>
      <c r="M1151" s="8">
        <v>0</v>
      </c>
      <c r="N1151" s="8"/>
      <c r="S1151" s="89">
        <v>1</v>
      </c>
      <c r="T1151" s="8">
        <v>5</v>
      </c>
      <c r="U1151" s="89">
        <v>80</v>
      </c>
      <c r="V1151" s="87">
        <v>1</v>
      </c>
      <c r="W1151">
        <v>1</v>
      </c>
      <c r="X1151" s="8">
        <v>1</v>
      </c>
      <c r="Y1151" s="8">
        <v>0</v>
      </c>
      <c r="Z1151" s="33">
        <v>0</v>
      </c>
      <c r="AA1151">
        <v>5</v>
      </c>
      <c r="AB1151" s="34">
        <v>3040</v>
      </c>
      <c r="AC1151" s="87">
        <v>999</v>
      </c>
      <c r="AF1151" s="63"/>
      <c r="AI1151" s="64"/>
      <c r="AJ1151" s="64"/>
      <c r="AK1151" s="64"/>
      <c r="AM1151" s="4">
        <v>60</v>
      </c>
      <c r="AN1151" s="93"/>
      <c r="AO1151" s="92"/>
      <c r="AS1151">
        <v>1</v>
      </c>
    </row>
    <row r="1152" spans="1:45">
      <c r="A1152">
        <v>261119</v>
      </c>
      <c r="B1152" s="8">
        <v>1001</v>
      </c>
      <c r="C1152" s="8">
        <v>1</v>
      </c>
      <c r="D1152" s="8">
        <v>3</v>
      </c>
      <c r="E1152" t="s">
        <v>3049</v>
      </c>
      <c r="F1152" s="13" t="s">
        <v>3049</v>
      </c>
      <c r="G1152" t="s">
        <v>3050</v>
      </c>
      <c r="H1152" s="13" t="s">
        <v>3051</v>
      </c>
      <c r="I1152">
        <v>1</v>
      </c>
      <c r="J1152">
        <v>5</v>
      </c>
      <c r="K1152" s="33">
        <v>1</v>
      </c>
      <c r="L1152" s="8">
        <v>999</v>
      </c>
      <c r="M1152" s="8">
        <v>0</v>
      </c>
      <c r="N1152" s="8"/>
      <c r="S1152" s="89">
        <v>1</v>
      </c>
      <c r="T1152" s="8">
        <v>5</v>
      </c>
      <c r="U1152" s="89">
        <v>80</v>
      </c>
      <c r="V1152" s="87">
        <v>1</v>
      </c>
      <c r="W1152">
        <v>1</v>
      </c>
      <c r="X1152" s="8">
        <v>1</v>
      </c>
      <c r="Y1152" s="8">
        <v>0</v>
      </c>
      <c r="Z1152" s="33">
        <v>0</v>
      </c>
      <c r="AA1152">
        <v>5</v>
      </c>
      <c r="AB1152" s="34">
        <v>3040</v>
      </c>
      <c r="AC1152" s="87">
        <v>999</v>
      </c>
      <c r="AF1152" s="63"/>
      <c r="AI1152" s="64"/>
      <c r="AJ1152" s="64"/>
      <c r="AK1152" s="64"/>
      <c r="AM1152" s="4">
        <v>60</v>
      </c>
      <c r="AN1152" s="93"/>
      <c r="AO1152" s="92"/>
      <c r="AS1152">
        <v>1</v>
      </c>
    </row>
    <row r="1153" spans="1:45">
      <c r="A1153">
        <v>261120</v>
      </c>
      <c r="B1153" s="8">
        <v>1001</v>
      </c>
      <c r="C1153" s="8">
        <v>1</v>
      </c>
      <c r="D1153" s="8">
        <v>3</v>
      </c>
      <c r="E1153" t="s">
        <v>3052</v>
      </c>
      <c r="F1153" s="13" t="s">
        <v>3052</v>
      </c>
      <c r="G1153" t="s">
        <v>3053</v>
      </c>
      <c r="H1153" s="13" t="s">
        <v>3054</v>
      </c>
      <c r="I1153">
        <v>1</v>
      </c>
      <c r="J1153">
        <v>5</v>
      </c>
      <c r="K1153" s="33">
        <v>1</v>
      </c>
      <c r="L1153" s="8">
        <v>999</v>
      </c>
      <c r="M1153" s="8">
        <v>0</v>
      </c>
      <c r="N1153" s="8"/>
      <c r="S1153" s="89">
        <v>1</v>
      </c>
      <c r="T1153" s="8">
        <v>5</v>
      </c>
      <c r="U1153" s="89">
        <v>80</v>
      </c>
      <c r="V1153" s="87">
        <v>1</v>
      </c>
      <c r="W1153">
        <v>1</v>
      </c>
      <c r="X1153" s="8">
        <v>1</v>
      </c>
      <c r="Y1153" s="8">
        <v>0</v>
      </c>
      <c r="Z1153" s="33">
        <v>0</v>
      </c>
      <c r="AA1153">
        <v>5</v>
      </c>
      <c r="AB1153" s="34">
        <v>3040</v>
      </c>
      <c r="AC1153" s="87">
        <v>999</v>
      </c>
      <c r="AF1153" s="63"/>
      <c r="AI1153" s="64"/>
      <c r="AJ1153" s="64"/>
      <c r="AK1153" s="64"/>
      <c r="AM1153" s="4">
        <v>60</v>
      </c>
      <c r="AN1153" s="93"/>
      <c r="AO1153" s="92"/>
      <c r="AS1153">
        <v>1</v>
      </c>
    </row>
    <row r="1154" spans="1:45">
      <c r="A1154">
        <v>261121</v>
      </c>
      <c r="B1154" s="8">
        <v>1001</v>
      </c>
      <c r="C1154" s="8">
        <v>1</v>
      </c>
      <c r="D1154" s="8">
        <v>3</v>
      </c>
      <c r="E1154" t="s">
        <v>3055</v>
      </c>
      <c r="F1154" s="13" t="s">
        <v>3055</v>
      </c>
      <c r="G1154" t="s">
        <v>3056</v>
      </c>
      <c r="H1154" s="13" t="s">
        <v>3057</v>
      </c>
      <c r="I1154">
        <v>1</v>
      </c>
      <c r="J1154">
        <v>5</v>
      </c>
      <c r="K1154" s="33">
        <v>1</v>
      </c>
      <c r="L1154" s="8">
        <v>999</v>
      </c>
      <c r="M1154" s="8">
        <v>0</v>
      </c>
      <c r="N1154" s="8"/>
      <c r="S1154" s="89">
        <v>1</v>
      </c>
      <c r="T1154" s="8">
        <v>5</v>
      </c>
      <c r="U1154" s="89">
        <v>80</v>
      </c>
      <c r="V1154" s="87">
        <v>1</v>
      </c>
      <c r="W1154">
        <v>1</v>
      </c>
      <c r="X1154" s="8">
        <v>1</v>
      </c>
      <c r="Y1154" s="8">
        <v>0</v>
      </c>
      <c r="Z1154" s="33">
        <v>0</v>
      </c>
      <c r="AA1154">
        <v>5</v>
      </c>
      <c r="AB1154" s="34">
        <v>3040</v>
      </c>
      <c r="AC1154" s="87">
        <v>999</v>
      </c>
      <c r="AF1154" s="63"/>
      <c r="AI1154" s="64"/>
      <c r="AJ1154" s="64"/>
      <c r="AK1154" s="64"/>
      <c r="AM1154" s="4">
        <v>60</v>
      </c>
      <c r="AN1154" s="93"/>
      <c r="AO1154" s="92"/>
      <c r="AS1154">
        <v>1</v>
      </c>
    </row>
    <row r="1155" spans="1:45">
      <c r="A1155">
        <v>261122</v>
      </c>
      <c r="B1155" s="8">
        <v>1001</v>
      </c>
      <c r="C1155" s="8">
        <v>1</v>
      </c>
      <c r="D1155" s="8">
        <v>3</v>
      </c>
      <c r="E1155" t="s">
        <v>3058</v>
      </c>
      <c r="F1155" s="13" t="s">
        <v>3058</v>
      </c>
      <c r="G1155" t="s">
        <v>3059</v>
      </c>
      <c r="H1155" s="13" t="s">
        <v>3060</v>
      </c>
      <c r="I1155">
        <v>1</v>
      </c>
      <c r="J1155">
        <v>5</v>
      </c>
      <c r="K1155" s="33">
        <v>1</v>
      </c>
      <c r="L1155" s="8">
        <v>999</v>
      </c>
      <c r="M1155" s="8">
        <v>0</v>
      </c>
      <c r="N1155" s="8"/>
      <c r="S1155" s="89">
        <v>1</v>
      </c>
      <c r="T1155" s="8">
        <v>5</v>
      </c>
      <c r="U1155" s="89">
        <v>80</v>
      </c>
      <c r="V1155" s="87">
        <v>1</v>
      </c>
      <c r="W1155">
        <v>1</v>
      </c>
      <c r="X1155" s="8">
        <v>1</v>
      </c>
      <c r="Y1155" s="8">
        <v>0</v>
      </c>
      <c r="Z1155" s="33">
        <v>0</v>
      </c>
      <c r="AA1155">
        <v>5</v>
      </c>
      <c r="AB1155" s="34">
        <v>3040</v>
      </c>
      <c r="AC1155" s="87">
        <v>999</v>
      </c>
      <c r="AF1155" s="63"/>
      <c r="AI1155" s="64"/>
      <c r="AJ1155" s="64"/>
      <c r="AK1155" s="64"/>
      <c r="AM1155" s="4">
        <v>60</v>
      </c>
      <c r="AN1155" s="93"/>
      <c r="AO1155" s="92"/>
      <c r="AS1155">
        <v>1</v>
      </c>
    </row>
    <row r="1156" spans="1:45">
      <c r="A1156">
        <v>261123</v>
      </c>
      <c r="B1156" s="8">
        <v>1001</v>
      </c>
      <c r="C1156" s="8">
        <v>1</v>
      </c>
      <c r="D1156" s="8">
        <v>3</v>
      </c>
      <c r="E1156" t="s">
        <v>3061</v>
      </c>
      <c r="F1156" s="13" t="s">
        <v>3061</v>
      </c>
      <c r="G1156" t="s">
        <v>3062</v>
      </c>
      <c r="H1156" s="13" t="s">
        <v>3063</v>
      </c>
      <c r="I1156">
        <v>1</v>
      </c>
      <c r="J1156">
        <v>5</v>
      </c>
      <c r="K1156" s="33">
        <v>1</v>
      </c>
      <c r="L1156" s="8">
        <v>999</v>
      </c>
      <c r="M1156" s="8">
        <v>0</v>
      </c>
      <c r="N1156" s="8"/>
      <c r="S1156" s="89">
        <v>1</v>
      </c>
      <c r="T1156" s="8">
        <v>5</v>
      </c>
      <c r="U1156" s="89">
        <v>80</v>
      </c>
      <c r="V1156" s="87">
        <v>1</v>
      </c>
      <c r="W1156">
        <v>1</v>
      </c>
      <c r="X1156" s="8">
        <v>1</v>
      </c>
      <c r="Y1156" s="8">
        <v>0</v>
      </c>
      <c r="Z1156" s="33">
        <v>0</v>
      </c>
      <c r="AA1156">
        <v>5</v>
      </c>
      <c r="AB1156" s="34">
        <v>3040</v>
      </c>
      <c r="AC1156" s="87">
        <v>999</v>
      </c>
      <c r="AF1156" s="63"/>
      <c r="AI1156" s="64"/>
      <c r="AJ1156" s="64"/>
      <c r="AK1156" s="64"/>
      <c r="AM1156" s="4">
        <v>60</v>
      </c>
      <c r="AN1156" s="93"/>
      <c r="AO1156" s="92"/>
      <c r="AS1156">
        <v>1</v>
      </c>
    </row>
    <row r="1157" spans="1:45">
      <c r="A1157">
        <v>261124</v>
      </c>
      <c r="B1157" s="8">
        <v>1001</v>
      </c>
      <c r="C1157" s="8">
        <v>1</v>
      </c>
      <c r="D1157" s="8">
        <v>3</v>
      </c>
      <c r="E1157" t="s">
        <v>3064</v>
      </c>
      <c r="F1157" s="13" t="s">
        <v>3064</v>
      </c>
      <c r="G1157" t="s">
        <v>3065</v>
      </c>
      <c r="H1157" s="13" t="s">
        <v>3066</v>
      </c>
      <c r="I1157">
        <v>1</v>
      </c>
      <c r="J1157">
        <v>5</v>
      </c>
      <c r="K1157" s="33">
        <v>1</v>
      </c>
      <c r="L1157" s="8">
        <v>999</v>
      </c>
      <c r="M1157" s="8">
        <v>0</v>
      </c>
      <c r="N1157" s="8"/>
      <c r="S1157" s="89">
        <v>1</v>
      </c>
      <c r="T1157" s="8">
        <v>5</v>
      </c>
      <c r="U1157" s="89">
        <v>80</v>
      </c>
      <c r="V1157" s="87">
        <v>1</v>
      </c>
      <c r="W1157">
        <v>1</v>
      </c>
      <c r="X1157" s="8">
        <v>1</v>
      </c>
      <c r="Y1157" s="8">
        <v>0</v>
      </c>
      <c r="Z1157" s="33">
        <v>0</v>
      </c>
      <c r="AA1157">
        <v>5</v>
      </c>
      <c r="AB1157" s="34">
        <v>3040</v>
      </c>
      <c r="AC1157" s="87">
        <v>999</v>
      </c>
      <c r="AF1157" s="63"/>
      <c r="AI1157" s="64"/>
      <c r="AJ1157" s="64"/>
      <c r="AK1157" s="64"/>
      <c r="AM1157" s="4">
        <v>60</v>
      </c>
      <c r="AN1157" s="93"/>
      <c r="AO1157" s="92"/>
      <c r="AS1157">
        <v>1</v>
      </c>
    </row>
    <row r="1158" spans="1:45">
      <c r="A1158">
        <v>261125</v>
      </c>
      <c r="B1158" s="8">
        <v>1001</v>
      </c>
      <c r="C1158" s="8">
        <v>1</v>
      </c>
      <c r="D1158" s="8">
        <v>3</v>
      </c>
      <c r="E1158" t="s">
        <v>3067</v>
      </c>
      <c r="F1158" s="13" t="s">
        <v>3067</v>
      </c>
      <c r="G1158" t="s">
        <v>3068</v>
      </c>
      <c r="H1158" s="13" t="s">
        <v>3069</v>
      </c>
      <c r="I1158">
        <v>1</v>
      </c>
      <c r="J1158">
        <v>5</v>
      </c>
      <c r="K1158" s="33">
        <v>1</v>
      </c>
      <c r="L1158" s="8">
        <v>999</v>
      </c>
      <c r="M1158" s="8">
        <v>0</v>
      </c>
      <c r="N1158" s="8"/>
      <c r="S1158" s="89">
        <v>1</v>
      </c>
      <c r="T1158" s="8">
        <v>5</v>
      </c>
      <c r="U1158" s="89">
        <v>80</v>
      </c>
      <c r="V1158" s="87">
        <v>1</v>
      </c>
      <c r="W1158">
        <v>1</v>
      </c>
      <c r="X1158" s="8">
        <v>1</v>
      </c>
      <c r="Y1158" s="8">
        <v>0</v>
      </c>
      <c r="Z1158" s="33">
        <v>0</v>
      </c>
      <c r="AA1158">
        <v>5</v>
      </c>
      <c r="AB1158" s="34">
        <v>3040</v>
      </c>
      <c r="AC1158" s="87">
        <v>999</v>
      </c>
      <c r="AF1158" s="63"/>
      <c r="AI1158" s="64"/>
      <c r="AJ1158" s="64"/>
      <c r="AK1158" s="64"/>
      <c r="AM1158" s="4">
        <v>60</v>
      </c>
      <c r="AN1158" s="93"/>
      <c r="AO1158" s="92"/>
      <c r="AS1158">
        <v>1</v>
      </c>
    </row>
    <row r="1159" spans="1:45">
      <c r="A1159">
        <v>261126</v>
      </c>
      <c r="B1159" s="8">
        <v>1001</v>
      </c>
      <c r="C1159" s="8">
        <v>1</v>
      </c>
      <c r="D1159" s="8">
        <v>3</v>
      </c>
      <c r="E1159" t="s">
        <v>3070</v>
      </c>
      <c r="F1159" s="13" t="s">
        <v>3070</v>
      </c>
      <c r="G1159" t="s">
        <v>3071</v>
      </c>
      <c r="H1159" s="13" t="s">
        <v>3072</v>
      </c>
      <c r="I1159">
        <v>1</v>
      </c>
      <c r="J1159">
        <v>5</v>
      </c>
      <c r="K1159" s="33">
        <v>1</v>
      </c>
      <c r="L1159" s="8">
        <v>999</v>
      </c>
      <c r="M1159" s="8">
        <v>0</v>
      </c>
      <c r="N1159" s="8"/>
      <c r="S1159" s="89">
        <v>1</v>
      </c>
      <c r="T1159" s="8">
        <v>5</v>
      </c>
      <c r="U1159" s="89">
        <v>80</v>
      </c>
      <c r="V1159" s="87">
        <v>1</v>
      </c>
      <c r="W1159">
        <v>1</v>
      </c>
      <c r="X1159" s="8">
        <v>1</v>
      </c>
      <c r="Y1159" s="8">
        <v>0</v>
      </c>
      <c r="Z1159" s="33">
        <v>0</v>
      </c>
      <c r="AA1159">
        <v>5</v>
      </c>
      <c r="AB1159" s="34">
        <v>3040</v>
      </c>
      <c r="AC1159" s="87">
        <v>999</v>
      </c>
      <c r="AF1159" s="63"/>
      <c r="AI1159" s="64"/>
      <c r="AJ1159" s="64"/>
      <c r="AK1159" s="64"/>
      <c r="AM1159" s="4">
        <v>60</v>
      </c>
      <c r="AN1159" s="93"/>
      <c r="AO1159" s="92"/>
      <c r="AS1159">
        <v>1</v>
      </c>
    </row>
    <row r="1160" spans="1:45">
      <c r="A1160">
        <v>261127</v>
      </c>
      <c r="B1160" s="8">
        <v>1001</v>
      </c>
      <c r="C1160" s="8">
        <v>1</v>
      </c>
      <c r="D1160" s="8">
        <v>3</v>
      </c>
      <c r="E1160" t="s">
        <v>3073</v>
      </c>
      <c r="F1160" s="13" t="s">
        <v>3073</v>
      </c>
      <c r="G1160" t="s">
        <v>3074</v>
      </c>
      <c r="H1160" s="13" t="s">
        <v>3075</v>
      </c>
      <c r="I1160">
        <v>1</v>
      </c>
      <c r="J1160">
        <v>5</v>
      </c>
      <c r="K1160" s="33">
        <v>1</v>
      </c>
      <c r="L1160" s="8">
        <v>999</v>
      </c>
      <c r="M1160" s="8">
        <v>0</v>
      </c>
      <c r="N1160" s="8"/>
      <c r="S1160" s="89">
        <v>1</v>
      </c>
      <c r="T1160" s="8">
        <v>5</v>
      </c>
      <c r="U1160" s="89">
        <v>80</v>
      </c>
      <c r="V1160" s="87">
        <v>1</v>
      </c>
      <c r="W1160">
        <v>1</v>
      </c>
      <c r="X1160" s="8">
        <v>1</v>
      </c>
      <c r="Y1160" s="8">
        <v>0</v>
      </c>
      <c r="Z1160" s="33">
        <v>0</v>
      </c>
      <c r="AA1160">
        <v>5</v>
      </c>
      <c r="AB1160" s="34">
        <v>3040</v>
      </c>
      <c r="AC1160" s="87">
        <v>999</v>
      </c>
      <c r="AF1160" s="63"/>
      <c r="AI1160" s="64"/>
      <c r="AJ1160" s="64"/>
      <c r="AK1160" s="64"/>
      <c r="AM1160" s="4">
        <v>60</v>
      </c>
      <c r="AN1160" s="93"/>
      <c r="AO1160" s="92"/>
      <c r="AS1160">
        <v>1</v>
      </c>
    </row>
    <row r="1161" spans="1:45">
      <c r="A1161">
        <v>261128</v>
      </c>
      <c r="B1161" s="8">
        <v>1001</v>
      </c>
      <c r="C1161" s="8">
        <v>1</v>
      </c>
      <c r="D1161" s="8">
        <v>3</v>
      </c>
      <c r="E1161" t="s">
        <v>3076</v>
      </c>
      <c r="F1161" s="13" t="s">
        <v>3077</v>
      </c>
      <c r="G1161" t="s">
        <v>3078</v>
      </c>
      <c r="H1161" s="13" t="s">
        <v>3079</v>
      </c>
      <c r="I1161">
        <v>1</v>
      </c>
      <c r="J1161">
        <v>1</v>
      </c>
      <c r="K1161" s="33">
        <v>1</v>
      </c>
      <c r="L1161" s="8">
        <v>999</v>
      </c>
      <c r="M1161" s="8">
        <v>0</v>
      </c>
      <c r="N1161" s="8"/>
      <c r="S1161" s="89">
        <v>1</v>
      </c>
      <c r="T1161" s="8">
        <v>5</v>
      </c>
      <c r="U1161" s="89">
        <v>80</v>
      </c>
      <c r="V1161" s="87">
        <v>1</v>
      </c>
      <c r="W1161">
        <v>1</v>
      </c>
      <c r="X1161" s="8">
        <v>1</v>
      </c>
      <c r="Y1161" s="8">
        <v>0</v>
      </c>
      <c r="Z1161" s="33">
        <v>0</v>
      </c>
      <c r="AA1161">
        <v>5</v>
      </c>
      <c r="AB1161" s="34">
        <v>3040</v>
      </c>
      <c r="AC1161" s="87">
        <v>999</v>
      </c>
      <c r="AF1161" s="63"/>
      <c r="AI1161" s="64"/>
      <c r="AJ1161" s="64"/>
      <c r="AK1161" s="64"/>
      <c r="AM1161" s="4">
        <v>80</v>
      </c>
      <c r="AN1161" s="93"/>
      <c r="AO1161" s="92"/>
      <c r="AS1161">
        <v>1</v>
      </c>
    </row>
    <row r="1162" spans="1:45">
      <c r="A1162">
        <v>261129</v>
      </c>
      <c r="B1162" s="8">
        <v>1001</v>
      </c>
      <c r="C1162" s="8">
        <v>1</v>
      </c>
      <c r="D1162" s="8">
        <v>3</v>
      </c>
      <c r="E1162" t="s">
        <v>3080</v>
      </c>
      <c r="F1162" s="13" t="s">
        <v>3081</v>
      </c>
      <c r="G1162" t="s">
        <v>3082</v>
      </c>
      <c r="H1162" s="13" t="s">
        <v>3083</v>
      </c>
      <c r="I1162">
        <v>1</v>
      </c>
      <c r="J1162">
        <v>1</v>
      </c>
      <c r="K1162" s="33">
        <v>1</v>
      </c>
      <c r="L1162" s="8">
        <v>999</v>
      </c>
      <c r="M1162" s="8">
        <v>0</v>
      </c>
      <c r="N1162" s="8"/>
      <c r="S1162" s="89">
        <v>1</v>
      </c>
      <c r="T1162" s="8">
        <v>5</v>
      </c>
      <c r="U1162" s="89">
        <v>80</v>
      </c>
      <c r="V1162" s="87">
        <v>1</v>
      </c>
      <c r="W1162">
        <v>1</v>
      </c>
      <c r="X1162" s="8">
        <v>1</v>
      </c>
      <c r="Y1162" s="8">
        <v>0</v>
      </c>
      <c r="Z1162" s="33">
        <v>0</v>
      </c>
      <c r="AA1162">
        <v>5</v>
      </c>
      <c r="AB1162" s="34">
        <v>3040</v>
      </c>
      <c r="AC1162" s="87">
        <v>999</v>
      </c>
      <c r="AF1162" s="63"/>
      <c r="AI1162" s="64"/>
      <c r="AJ1162" s="64"/>
      <c r="AK1162" s="64"/>
      <c r="AM1162" s="4">
        <v>80</v>
      </c>
      <c r="AN1162" s="93"/>
      <c r="AO1162" s="92"/>
      <c r="AS1162">
        <v>1</v>
      </c>
    </row>
    <row r="1163" spans="1:45">
      <c r="A1163">
        <v>261130</v>
      </c>
      <c r="B1163" s="8">
        <v>1001</v>
      </c>
      <c r="C1163" s="8">
        <v>1</v>
      </c>
      <c r="D1163" s="8">
        <v>3</v>
      </c>
      <c r="E1163" t="s">
        <v>3084</v>
      </c>
      <c r="F1163" s="13" t="s">
        <v>3085</v>
      </c>
      <c r="G1163" t="s">
        <v>3086</v>
      </c>
      <c r="H1163" s="13" t="s">
        <v>3087</v>
      </c>
      <c r="I1163">
        <v>1</v>
      </c>
      <c r="J1163">
        <v>1</v>
      </c>
      <c r="K1163" s="33">
        <v>1</v>
      </c>
      <c r="L1163" s="8">
        <v>999</v>
      </c>
      <c r="M1163" s="8">
        <v>0</v>
      </c>
      <c r="N1163" s="8"/>
      <c r="S1163" s="89">
        <v>1</v>
      </c>
      <c r="T1163" s="8">
        <v>5</v>
      </c>
      <c r="U1163" s="89">
        <v>80</v>
      </c>
      <c r="V1163" s="87">
        <v>1</v>
      </c>
      <c r="W1163">
        <v>1</v>
      </c>
      <c r="X1163" s="8">
        <v>1</v>
      </c>
      <c r="Y1163" s="8">
        <v>0</v>
      </c>
      <c r="Z1163" s="33">
        <v>0</v>
      </c>
      <c r="AA1163">
        <v>5</v>
      </c>
      <c r="AB1163" s="34">
        <v>3040</v>
      </c>
      <c r="AC1163" s="87">
        <v>999</v>
      </c>
      <c r="AF1163" s="63"/>
      <c r="AI1163" s="64"/>
      <c r="AJ1163" s="64"/>
      <c r="AK1163" s="64"/>
      <c r="AM1163" s="4">
        <v>80</v>
      </c>
      <c r="AN1163" s="93"/>
      <c r="AO1163" s="92"/>
      <c r="AS1163">
        <v>1</v>
      </c>
    </row>
    <row r="1164" spans="1:45">
      <c r="A1164">
        <v>261131</v>
      </c>
      <c r="B1164" s="8">
        <v>1001</v>
      </c>
      <c r="C1164" s="8">
        <v>1</v>
      </c>
      <c r="D1164" s="8">
        <v>3</v>
      </c>
      <c r="E1164" t="s">
        <v>3088</v>
      </c>
      <c r="F1164" s="13" t="s">
        <v>3089</v>
      </c>
      <c r="G1164" t="s">
        <v>3090</v>
      </c>
      <c r="H1164" s="13" t="s">
        <v>3091</v>
      </c>
      <c r="I1164">
        <v>1</v>
      </c>
      <c r="J1164">
        <v>1</v>
      </c>
      <c r="K1164" s="33">
        <v>1</v>
      </c>
      <c r="L1164" s="8">
        <v>999</v>
      </c>
      <c r="M1164" s="8">
        <v>0</v>
      </c>
      <c r="N1164" s="8"/>
      <c r="S1164" s="89">
        <v>1</v>
      </c>
      <c r="T1164" s="8">
        <v>5</v>
      </c>
      <c r="U1164" s="89">
        <v>80</v>
      </c>
      <c r="V1164" s="87">
        <v>1</v>
      </c>
      <c r="W1164">
        <v>1</v>
      </c>
      <c r="X1164" s="8">
        <v>1</v>
      </c>
      <c r="Y1164" s="8">
        <v>0</v>
      </c>
      <c r="Z1164" s="33">
        <v>0</v>
      </c>
      <c r="AA1164">
        <v>5</v>
      </c>
      <c r="AB1164" s="34">
        <v>3040</v>
      </c>
      <c r="AC1164" s="87">
        <v>999</v>
      </c>
      <c r="AF1164" s="63"/>
      <c r="AI1164" s="64"/>
      <c r="AJ1164" s="64"/>
      <c r="AK1164" s="64"/>
      <c r="AM1164" s="4">
        <v>80</v>
      </c>
      <c r="AN1164" s="93"/>
      <c r="AO1164" s="92"/>
      <c r="AS1164">
        <v>1</v>
      </c>
    </row>
    <row r="1165" spans="1:45">
      <c r="A1165">
        <v>261132</v>
      </c>
      <c r="B1165" s="8">
        <v>1001</v>
      </c>
      <c r="C1165" s="8">
        <v>1</v>
      </c>
      <c r="D1165" s="8">
        <v>3</v>
      </c>
      <c r="E1165" t="s">
        <v>3092</v>
      </c>
      <c r="F1165" s="13" t="s">
        <v>3093</v>
      </c>
      <c r="G1165" t="s">
        <v>3094</v>
      </c>
      <c r="H1165" s="13" t="s">
        <v>3079</v>
      </c>
      <c r="I1165">
        <v>1</v>
      </c>
      <c r="J1165">
        <v>5</v>
      </c>
      <c r="K1165" s="33">
        <v>1</v>
      </c>
      <c r="L1165" s="8">
        <v>999</v>
      </c>
      <c r="M1165" s="8">
        <v>0</v>
      </c>
      <c r="N1165" s="8"/>
      <c r="S1165" s="89">
        <v>1</v>
      </c>
      <c r="T1165" s="8">
        <v>5</v>
      </c>
      <c r="U1165" s="89">
        <v>80</v>
      </c>
      <c r="V1165" s="87">
        <v>1</v>
      </c>
      <c r="W1165">
        <v>1</v>
      </c>
      <c r="X1165" s="8">
        <v>1</v>
      </c>
      <c r="Y1165" s="8">
        <v>0</v>
      </c>
      <c r="Z1165" s="33">
        <v>0</v>
      </c>
      <c r="AA1165">
        <v>5</v>
      </c>
      <c r="AB1165" s="34">
        <v>3040</v>
      </c>
      <c r="AC1165" s="87">
        <v>999</v>
      </c>
      <c r="AF1165" s="63"/>
      <c r="AI1165" s="64"/>
      <c r="AJ1165" s="64"/>
      <c r="AK1165" s="64"/>
      <c r="AM1165" s="4">
        <v>80</v>
      </c>
      <c r="AN1165" s="93"/>
      <c r="AO1165" s="92"/>
      <c r="AS1165">
        <v>1</v>
      </c>
    </row>
    <row r="1166" spans="1:45">
      <c r="A1166">
        <v>261133</v>
      </c>
      <c r="B1166" s="8">
        <v>1001</v>
      </c>
      <c r="C1166" s="8">
        <v>1</v>
      </c>
      <c r="D1166" s="8">
        <v>3</v>
      </c>
      <c r="E1166" t="s">
        <v>3095</v>
      </c>
      <c r="F1166" s="13" t="s">
        <v>3096</v>
      </c>
      <c r="G1166" t="s">
        <v>3097</v>
      </c>
      <c r="H1166" s="13" t="s">
        <v>3083</v>
      </c>
      <c r="I1166">
        <v>1</v>
      </c>
      <c r="J1166">
        <v>5</v>
      </c>
      <c r="K1166" s="33">
        <v>1</v>
      </c>
      <c r="L1166" s="8">
        <v>999</v>
      </c>
      <c r="M1166" s="8">
        <v>0</v>
      </c>
      <c r="N1166" s="8"/>
      <c r="S1166" s="89">
        <v>1</v>
      </c>
      <c r="T1166" s="8">
        <v>5</v>
      </c>
      <c r="U1166" s="89">
        <v>80</v>
      </c>
      <c r="V1166" s="87">
        <v>1</v>
      </c>
      <c r="W1166">
        <v>1</v>
      </c>
      <c r="X1166" s="8">
        <v>1</v>
      </c>
      <c r="Y1166" s="8">
        <v>0</v>
      </c>
      <c r="Z1166" s="33">
        <v>0</v>
      </c>
      <c r="AA1166">
        <v>5</v>
      </c>
      <c r="AB1166" s="34">
        <v>3040</v>
      </c>
      <c r="AC1166" s="87">
        <v>999</v>
      </c>
      <c r="AF1166" s="63"/>
      <c r="AI1166" s="64"/>
      <c r="AJ1166" s="64"/>
      <c r="AK1166" s="64"/>
      <c r="AM1166" s="4">
        <v>80</v>
      </c>
      <c r="AN1166" s="93"/>
      <c r="AO1166" s="92"/>
      <c r="AS1166">
        <v>1</v>
      </c>
    </row>
    <row r="1167" spans="1:45">
      <c r="A1167">
        <v>261134</v>
      </c>
      <c r="B1167" s="8">
        <v>1001</v>
      </c>
      <c r="C1167" s="8">
        <v>1</v>
      </c>
      <c r="D1167" s="8">
        <v>3</v>
      </c>
      <c r="E1167" t="s">
        <v>3098</v>
      </c>
      <c r="F1167" s="13" t="s">
        <v>3099</v>
      </c>
      <c r="G1167" t="s">
        <v>3100</v>
      </c>
      <c r="H1167" s="13" t="s">
        <v>3087</v>
      </c>
      <c r="I1167">
        <v>1</v>
      </c>
      <c r="J1167">
        <v>5</v>
      </c>
      <c r="K1167" s="33">
        <v>1</v>
      </c>
      <c r="L1167" s="8">
        <v>999</v>
      </c>
      <c r="M1167" s="8">
        <v>0</v>
      </c>
      <c r="N1167" s="8"/>
      <c r="S1167" s="89">
        <v>1</v>
      </c>
      <c r="T1167" s="8">
        <v>5</v>
      </c>
      <c r="U1167" s="89">
        <v>80</v>
      </c>
      <c r="V1167" s="87">
        <v>1</v>
      </c>
      <c r="W1167">
        <v>1</v>
      </c>
      <c r="X1167" s="8">
        <v>1</v>
      </c>
      <c r="Y1167" s="8">
        <v>0</v>
      </c>
      <c r="Z1167" s="33">
        <v>0</v>
      </c>
      <c r="AA1167">
        <v>5</v>
      </c>
      <c r="AB1167" s="34">
        <v>3040</v>
      </c>
      <c r="AC1167" s="87">
        <v>999</v>
      </c>
      <c r="AF1167" s="63"/>
      <c r="AI1167" s="64"/>
      <c r="AJ1167" s="64"/>
      <c r="AK1167" s="64"/>
      <c r="AM1167" s="4">
        <v>80</v>
      </c>
      <c r="AN1167" s="93"/>
      <c r="AO1167" s="92"/>
      <c r="AS1167">
        <v>1</v>
      </c>
    </row>
    <row r="1168" spans="1:45">
      <c r="A1168">
        <v>261135</v>
      </c>
      <c r="B1168" s="8">
        <v>1001</v>
      </c>
      <c r="C1168" s="8">
        <v>1</v>
      </c>
      <c r="D1168" s="8">
        <v>3</v>
      </c>
      <c r="E1168" t="s">
        <v>3101</v>
      </c>
      <c r="F1168" s="13" t="s">
        <v>3102</v>
      </c>
      <c r="G1168" t="s">
        <v>3103</v>
      </c>
      <c r="H1168" s="13" t="s">
        <v>3091</v>
      </c>
      <c r="I1168">
        <v>1</v>
      </c>
      <c r="J1168">
        <v>5</v>
      </c>
      <c r="K1168" s="33">
        <v>1</v>
      </c>
      <c r="L1168" s="8">
        <v>999</v>
      </c>
      <c r="M1168" s="8">
        <v>0</v>
      </c>
      <c r="N1168" s="8"/>
      <c r="S1168" s="89">
        <v>1</v>
      </c>
      <c r="T1168" s="8">
        <v>5</v>
      </c>
      <c r="U1168" s="89">
        <v>80</v>
      </c>
      <c r="V1168" s="87">
        <v>1</v>
      </c>
      <c r="W1168">
        <v>1</v>
      </c>
      <c r="X1168" s="8">
        <v>1</v>
      </c>
      <c r="Y1168" s="8">
        <v>0</v>
      </c>
      <c r="Z1168" s="33">
        <v>0</v>
      </c>
      <c r="AA1168">
        <v>5</v>
      </c>
      <c r="AB1168" s="34">
        <v>3040</v>
      </c>
      <c r="AC1168" s="87">
        <v>999</v>
      </c>
      <c r="AF1168" s="63"/>
      <c r="AI1168" s="64"/>
      <c r="AJ1168" s="64"/>
      <c r="AK1168" s="64"/>
      <c r="AM1168" s="4">
        <v>80</v>
      </c>
      <c r="AN1168" s="93"/>
      <c r="AO1168" s="92"/>
      <c r="AS1168">
        <v>1</v>
      </c>
    </row>
    <row r="1169" spans="1:45">
      <c r="A1169">
        <v>261136</v>
      </c>
      <c r="B1169" s="8">
        <v>1001</v>
      </c>
      <c r="C1169" s="8">
        <v>1</v>
      </c>
      <c r="D1169" s="8">
        <v>3</v>
      </c>
      <c r="E1169" t="s">
        <v>3104</v>
      </c>
      <c r="F1169" s="13" t="s">
        <v>3105</v>
      </c>
      <c r="G1169" t="s">
        <v>3106</v>
      </c>
      <c r="H1169" s="13" t="s">
        <v>3107</v>
      </c>
      <c r="I1169">
        <v>1</v>
      </c>
      <c r="J1169">
        <v>5</v>
      </c>
      <c r="K1169" s="33">
        <v>1</v>
      </c>
      <c r="L1169" s="8">
        <v>999</v>
      </c>
      <c r="M1169" s="8">
        <v>0</v>
      </c>
      <c r="N1169" s="8"/>
      <c r="S1169" s="89">
        <v>1</v>
      </c>
      <c r="T1169" s="8">
        <v>5</v>
      </c>
      <c r="U1169" s="89">
        <v>80</v>
      </c>
      <c r="V1169" s="87">
        <v>1</v>
      </c>
      <c r="W1169">
        <v>1</v>
      </c>
      <c r="X1169" s="8">
        <v>1</v>
      </c>
      <c r="Y1169" s="8">
        <v>0</v>
      </c>
      <c r="Z1169" s="33">
        <v>0</v>
      </c>
      <c r="AA1169">
        <v>5</v>
      </c>
      <c r="AB1169" s="34">
        <v>3040</v>
      </c>
      <c r="AC1169" s="87">
        <v>999</v>
      </c>
      <c r="AF1169" s="63"/>
      <c r="AI1169" s="64"/>
      <c r="AJ1169" s="64"/>
      <c r="AK1169" s="64"/>
      <c r="AM1169" s="4">
        <v>80</v>
      </c>
      <c r="AN1169" s="93"/>
      <c r="AO1169" s="92"/>
      <c r="AS1169">
        <v>1</v>
      </c>
    </row>
    <row r="1170" spans="1:45">
      <c r="A1170">
        <v>261137</v>
      </c>
      <c r="B1170" s="8">
        <v>1001</v>
      </c>
      <c r="C1170" s="8">
        <v>1</v>
      </c>
      <c r="D1170" s="8">
        <v>3</v>
      </c>
      <c r="E1170" t="s">
        <v>3108</v>
      </c>
      <c r="F1170" s="13" t="s">
        <v>3109</v>
      </c>
      <c r="G1170" t="s">
        <v>3110</v>
      </c>
      <c r="H1170" s="13" t="s">
        <v>3111</v>
      </c>
      <c r="I1170">
        <v>1</v>
      </c>
      <c r="J1170">
        <v>5</v>
      </c>
      <c r="K1170" s="33">
        <v>1</v>
      </c>
      <c r="L1170" s="8">
        <v>999</v>
      </c>
      <c r="M1170" s="8">
        <v>0</v>
      </c>
      <c r="N1170" s="8"/>
      <c r="S1170" s="89">
        <v>1</v>
      </c>
      <c r="T1170" s="8">
        <v>5</v>
      </c>
      <c r="U1170" s="89">
        <v>80</v>
      </c>
      <c r="V1170" s="87">
        <v>1</v>
      </c>
      <c r="W1170">
        <v>1</v>
      </c>
      <c r="X1170" s="8">
        <v>1</v>
      </c>
      <c r="Y1170" s="8">
        <v>0</v>
      </c>
      <c r="Z1170" s="33">
        <v>0</v>
      </c>
      <c r="AA1170">
        <v>5</v>
      </c>
      <c r="AB1170" s="34">
        <v>3040</v>
      </c>
      <c r="AC1170" s="87">
        <v>999</v>
      </c>
      <c r="AF1170" s="63"/>
      <c r="AI1170" s="64"/>
      <c r="AJ1170" s="64"/>
      <c r="AK1170" s="64"/>
      <c r="AM1170" s="4">
        <v>80</v>
      </c>
      <c r="AN1170" s="93"/>
      <c r="AO1170" s="92"/>
      <c r="AS1170">
        <v>1</v>
      </c>
    </row>
    <row r="1171" spans="1:45">
      <c r="A1171">
        <v>261138</v>
      </c>
      <c r="B1171" s="8">
        <v>1001</v>
      </c>
      <c r="C1171" s="8">
        <v>1</v>
      </c>
      <c r="D1171" s="8">
        <v>3</v>
      </c>
      <c r="E1171" t="s">
        <v>3112</v>
      </c>
      <c r="F1171" s="13" t="s">
        <v>3113</v>
      </c>
      <c r="G1171" t="s">
        <v>3114</v>
      </c>
      <c r="H1171" s="13" t="s">
        <v>3115</v>
      </c>
      <c r="I1171">
        <v>1</v>
      </c>
      <c r="J1171">
        <v>5</v>
      </c>
      <c r="K1171" s="33">
        <v>1</v>
      </c>
      <c r="L1171" s="8">
        <v>999</v>
      </c>
      <c r="M1171" s="8">
        <v>0</v>
      </c>
      <c r="N1171" s="8"/>
      <c r="S1171" s="89">
        <v>1</v>
      </c>
      <c r="T1171" s="8">
        <v>5</v>
      </c>
      <c r="U1171" s="89">
        <v>80</v>
      </c>
      <c r="V1171" s="87">
        <v>1</v>
      </c>
      <c r="W1171">
        <v>1</v>
      </c>
      <c r="X1171" s="8">
        <v>1</v>
      </c>
      <c r="Y1171" s="8">
        <v>0</v>
      </c>
      <c r="Z1171" s="33">
        <v>0</v>
      </c>
      <c r="AA1171">
        <v>5</v>
      </c>
      <c r="AB1171" s="34">
        <v>3040</v>
      </c>
      <c r="AC1171" s="87">
        <v>999</v>
      </c>
      <c r="AF1171" s="63"/>
      <c r="AI1171" s="64"/>
      <c r="AJ1171" s="64"/>
      <c r="AK1171" s="64"/>
      <c r="AM1171" s="4">
        <v>80</v>
      </c>
      <c r="AN1171" s="93"/>
      <c r="AO1171" s="92"/>
      <c r="AS1171">
        <v>1</v>
      </c>
    </row>
    <row r="1172" spans="1:45">
      <c r="A1172">
        <v>261139</v>
      </c>
      <c r="B1172" s="8">
        <v>1001</v>
      </c>
      <c r="C1172" s="8">
        <v>1</v>
      </c>
      <c r="D1172" s="8">
        <v>3</v>
      </c>
      <c r="E1172" t="s">
        <v>3116</v>
      </c>
      <c r="F1172" s="13" t="s">
        <v>3117</v>
      </c>
      <c r="G1172" t="s">
        <v>3118</v>
      </c>
      <c r="H1172" s="13" t="s">
        <v>3119</v>
      </c>
      <c r="I1172">
        <v>1</v>
      </c>
      <c r="J1172">
        <v>5</v>
      </c>
      <c r="K1172" s="33">
        <v>1</v>
      </c>
      <c r="L1172" s="8">
        <v>999</v>
      </c>
      <c r="M1172" s="8">
        <v>0</v>
      </c>
      <c r="N1172" s="8"/>
      <c r="S1172" s="89">
        <v>1</v>
      </c>
      <c r="T1172" s="8">
        <v>5</v>
      </c>
      <c r="U1172" s="89">
        <v>80</v>
      </c>
      <c r="V1172" s="87">
        <v>1</v>
      </c>
      <c r="W1172">
        <v>1</v>
      </c>
      <c r="X1172" s="8">
        <v>1</v>
      </c>
      <c r="Y1172" s="8">
        <v>0</v>
      </c>
      <c r="Z1172" s="33">
        <v>0</v>
      </c>
      <c r="AA1172">
        <v>5</v>
      </c>
      <c r="AB1172" s="34">
        <v>3040</v>
      </c>
      <c r="AC1172" s="87">
        <v>999</v>
      </c>
      <c r="AF1172" s="63"/>
      <c r="AI1172" s="64"/>
      <c r="AJ1172" s="64"/>
      <c r="AK1172" s="64"/>
      <c r="AM1172" s="4">
        <v>80</v>
      </c>
      <c r="AN1172" s="93"/>
      <c r="AO1172" s="92"/>
      <c r="AS1172">
        <v>1</v>
      </c>
    </row>
    <row r="1173" spans="1:45">
      <c r="A1173">
        <v>261140</v>
      </c>
      <c r="B1173" s="8">
        <v>1001</v>
      </c>
      <c r="C1173" s="8">
        <v>1</v>
      </c>
      <c r="D1173" s="8">
        <v>3</v>
      </c>
      <c r="E1173" t="s">
        <v>3120</v>
      </c>
      <c r="F1173" s="13" t="s">
        <v>3121</v>
      </c>
      <c r="G1173" t="s">
        <v>3122</v>
      </c>
      <c r="H1173" s="13" t="s">
        <v>3123</v>
      </c>
      <c r="I1173">
        <v>1</v>
      </c>
      <c r="J1173">
        <v>5</v>
      </c>
      <c r="K1173" s="33">
        <v>1</v>
      </c>
      <c r="L1173" s="8">
        <v>999</v>
      </c>
      <c r="M1173" s="8">
        <v>0</v>
      </c>
      <c r="N1173" s="8"/>
      <c r="S1173" s="89">
        <v>1</v>
      </c>
      <c r="T1173" s="8">
        <v>5</v>
      </c>
      <c r="U1173" s="89">
        <v>80</v>
      </c>
      <c r="V1173" s="87">
        <v>1</v>
      </c>
      <c r="W1173">
        <v>1</v>
      </c>
      <c r="X1173" s="8">
        <v>1</v>
      </c>
      <c r="Y1173" s="8">
        <v>0</v>
      </c>
      <c r="Z1173" s="33">
        <v>0</v>
      </c>
      <c r="AA1173">
        <v>5</v>
      </c>
      <c r="AB1173" s="34">
        <v>3040</v>
      </c>
      <c r="AC1173" s="87">
        <v>999</v>
      </c>
      <c r="AF1173" s="63"/>
      <c r="AI1173" s="64"/>
      <c r="AJ1173" s="64"/>
      <c r="AK1173" s="64"/>
      <c r="AM1173" s="4">
        <v>80</v>
      </c>
      <c r="AN1173" s="93"/>
      <c r="AO1173" s="92"/>
      <c r="AS1173">
        <v>1</v>
      </c>
    </row>
    <row r="1174" spans="1:45">
      <c r="A1174">
        <v>261141</v>
      </c>
      <c r="B1174" s="8">
        <v>1001</v>
      </c>
      <c r="C1174" s="8">
        <v>1</v>
      </c>
      <c r="D1174" s="8">
        <v>3</v>
      </c>
      <c r="E1174" t="s">
        <v>3124</v>
      </c>
      <c r="F1174" s="13" t="s">
        <v>3125</v>
      </c>
      <c r="G1174" t="s">
        <v>3126</v>
      </c>
      <c r="H1174" s="13" t="s">
        <v>3127</v>
      </c>
      <c r="I1174">
        <v>1</v>
      </c>
      <c r="J1174">
        <v>5</v>
      </c>
      <c r="K1174" s="33">
        <v>1</v>
      </c>
      <c r="L1174" s="8">
        <v>999</v>
      </c>
      <c r="M1174" s="8">
        <v>0</v>
      </c>
      <c r="N1174" s="8"/>
      <c r="S1174" s="89">
        <v>1</v>
      </c>
      <c r="T1174" s="8">
        <v>5</v>
      </c>
      <c r="U1174" s="89">
        <v>80</v>
      </c>
      <c r="V1174" s="87">
        <v>1</v>
      </c>
      <c r="W1174">
        <v>1</v>
      </c>
      <c r="X1174" s="8">
        <v>1</v>
      </c>
      <c r="Y1174" s="8">
        <v>0</v>
      </c>
      <c r="Z1174" s="33">
        <v>0</v>
      </c>
      <c r="AA1174">
        <v>5</v>
      </c>
      <c r="AB1174" s="34">
        <v>3040</v>
      </c>
      <c r="AC1174" s="87">
        <v>999</v>
      </c>
      <c r="AF1174" s="63"/>
      <c r="AI1174" s="64"/>
      <c r="AJ1174" s="64"/>
      <c r="AK1174" s="64"/>
      <c r="AM1174" s="4">
        <v>80</v>
      </c>
      <c r="AN1174" s="93"/>
      <c r="AO1174" s="92"/>
      <c r="AS1174">
        <v>1</v>
      </c>
    </row>
    <row r="1175" spans="1:45">
      <c r="A1175">
        <v>261142</v>
      </c>
      <c r="B1175" s="8">
        <v>1001</v>
      </c>
      <c r="C1175" s="8">
        <v>1</v>
      </c>
      <c r="D1175" s="8">
        <v>3</v>
      </c>
      <c r="E1175" t="s">
        <v>3128</v>
      </c>
      <c r="F1175" s="13" t="s">
        <v>3129</v>
      </c>
      <c r="G1175" t="s">
        <v>3130</v>
      </c>
      <c r="H1175" s="13" t="s">
        <v>3131</v>
      </c>
      <c r="I1175">
        <v>1</v>
      </c>
      <c r="J1175">
        <v>5</v>
      </c>
      <c r="K1175" s="33">
        <v>1</v>
      </c>
      <c r="L1175" s="8">
        <v>999</v>
      </c>
      <c r="M1175" s="8">
        <v>0</v>
      </c>
      <c r="N1175" s="8"/>
      <c r="S1175" s="89">
        <v>1</v>
      </c>
      <c r="T1175" s="8">
        <v>5</v>
      </c>
      <c r="U1175" s="89">
        <v>80</v>
      </c>
      <c r="V1175" s="87">
        <v>1</v>
      </c>
      <c r="W1175">
        <v>1</v>
      </c>
      <c r="X1175" s="8">
        <v>1</v>
      </c>
      <c r="Y1175" s="8">
        <v>0</v>
      </c>
      <c r="Z1175" s="33">
        <v>0</v>
      </c>
      <c r="AA1175">
        <v>5</v>
      </c>
      <c r="AB1175" s="34">
        <v>3040</v>
      </c>
      <c r="AC1175" s="87">
        <v>999</v>
      </c>
      <c r="AF1175" s="63"/>
      <c r="AI1175" s="64"/>
      <c r="AJ1175" s="64"/>
      <c r="AK1175" s="64"/>
      <c r="AM1175" s="4">
        <v>80</v>
      </c>
      <c r="AN1175" s="93"/>
      <c r="AO1175" s="92"/>
      <c r="AS1175">
        <v>1</v>
      </c>
    </row>
    <row r="1176" spans="1:45">
      <c r="A1176">
        <v>261143</v>
      </c>
      <c r="B1176" s="8">
        <v>1001</v>
      </c>
      <c r="C1176" s="8">
        <v>1</v>
      </c>
      <c r="D1176" s="8">
        <v>3</v>
      </c>
      <c r="E1176" t="s">
        <v>3132</v>
      </c>
      <c r="F1176" s="13" t="s">
        <v>3133</v>
      </c>
      <c r="G1176" t="s">
        <v>3134</v>
      </c>
      <c r="H1176" s="13" t="s">
        <v>3135</v>
      </c>
      <c r="I1176">
        <v>1</v>
      </c>
      <c r="J1176">
        <v>5</v>
      </c>
      <c r="K1176" s="33">
        <v>1</v>
      </c>
      <c r="L1176" s="8">
        <v>999</v>
      </c>
      <c r="M1176" s="8">
        <v>0</v>
      </c>
      <c r="N1176" s="8"/>
      <c r="S1176" s="89">
        <v>1</v>
      </c>
      <c r="T1176" s="8">
        <v>5</v>
      </c>
      <c r="U1176" s="89">
        <v>80</v>
      </c>
      <c r="V1176" s="87">
        <v>1</v>
      </c>
      <c r="W1176">
        <v>1</v>
      </c>
      <c r="X1176" s="8">
        <v>1</v>
      </c>
      <c r="Y1176" s="8">
        <v>0</v>
      </c>
      <c r="Z1176" s="33">
        <v>0</v>
      </c>
      <c r="AA1176">
        <v>5</v>
      </c>
      <c r="AB1176" s="34">
        <v>3040</v>
      </c>
      <c r="AC1176" s="87">
        <v>999</v>
      </c>
      <c r="AF1176" s="63"/>
      <c r="AI1176" s="64"/>
      <c r="AJ1176" s="64"/>
      <c r="AK1176" s="64"/>
      <c r="AM1176" s="4">
        <v>80</v>
      </c>
      <c r="AN1176" s="93"/>
      <c r="AO1176" s="92"/>
      <c r="AS1176">
        <v>1</v>
      </c>
    </row>
    <row r="1177" spans="1:45">
      <c r="A1177">
        <v>261144</v>
      </c>
      <c r="B1177" s="8">
        <v>1001</v>
      </c>
      <c r="C1177" s="8">
        <v>1</v>
      </c>
      <c r="D1177" s="8">
        <v>3</v>
      </c>
      <c r="E1177" t="s">
        <v>3136</v>
      </c>
      <c r="F1177" s="13" t="s">
        <v>3137</v>
      </c>
      <c r="G1177" t="s">
        <v>3138</v>
      </c>
      <c r="H1177" s="13" t="s">
        <v>3139</v>
      </c>
      <c r="I1177">
        <v>1</v>
      </c>
      <c r="J1177">
        <v>5</v>
      </c>
      <c r="K1177" s="33">
        <v>1</v>
      </c>
      <c r="L1177" s="8">
        <v>999</v>
      </c>
      <c r="M1177" s="8">
        <v>0</v>
      </c>
      <c r="N1177" s="8"/>
      <c r="S1177" s="89">
        <v>1</v>
      </c>
      <c r="T1177" s="8">
        <v>5</v>
      </c>
      <c r="U1177" s="89">
        <v>80</v>
      </c>
      <c r="V1177" s="87">
        <v>1</v>
      </c>
      <c r="W1177">
        <v>1</v>
      </c>
      <c r="X1177" s="8">
        <v>1</v>
      </c>
      <c r="Y1177" s="8">
        <v>0</v>
      </c>
      <c r="Z1177" s="33">
        <v>0</v>
      </c>
      <c r="AA1177">
        <v>5</v>
      </c>
      <c r="AB1177" s="34">
        <v>3040</v>
      </c>
      <c r="AC1177" s="87">
        <v>999</v>
      </c>
      <c r="AF1177" s="63"/>
      <c r="AI1177" s="64"/>
      <c r="AJ1177" s="64"/>
      <c r="AK1177" s="64"/>
      <c r="AM1177" s="4">
        <v>80</v>
      </c>
      <c r="AN1177" s="93"/>
      <c r="AO1177" s="92"/>
      <c r="AS1177">
        <v>1</v>
      </c>
    </row>
    <row r="1178" spans="1:45">
      <c r="A1178">
        <v>261145</v>
      </c>
      <c r="B1178" s="8">
        <v>1001</v>
      </c>
      <c r="C1178" s="8">
        <v>1</v>
      </c>
      <c r="D1178" s="8">
        <v>3</v>
      </c>
      <c r="E1178" t="s">
        <v>3140</v>
      </c>
      <c r="F1178" s="13" t="s">
        <v>3141</v>
      </c>
      <c r="G1178" t="s">
        <v>3142</v>
      </c>
      <c r="H1178" s="13" t="s">
        <v>3143</v>
      </c>
      <c r="I1178">
        <v>1</v>
      </c>
      <c r="J1178">
        <v>5</v>
      </c>
      <c r="K1178" s="33">
        <v>1</v>
      </c>
      <c r="L1178" s="8">
        <v>999</v>
      </c>
      <c r="M1178" s="8">
        <v>0</v>
      </c>
      <c r="N1178" s="8"/>
      <c r="S1178" s="89">
        <v>1</v>
      </c>
      <c r="T1178" s="8">
        <v>5</v>
      </c>
      <c r="U1178" s="89">
        <v>80</v>
      </c>
      <c r="V1178" s="87">
        <v>1</v>
      </c>
      <c r="W1178">
        <v>1</v>
      </c>
      <c r="X1178" s="8">
        <v>1</v>
      </c>
      <c r="Y1178" s="8">
        <v>0</v>
      </c>
      <c r="Z1178" s="33">
        <v>0</v>
      </c>
      <c r="AA1178">
        <v>5</v>
      </c>
      <c r="AB1178" s="34">
        <v>3040</v>
      </c>
      <c r="AC1178" s="87">
        <v>999</v>
      </c>
      <c r="AF1178" s="63"/>
      <c r="AI1178" s="64"/>
      <c r="AJ1178" s="64"/>
      <c r="AK1178" s="64"/>
      <c r="AM1178" s="4">
        <v>80</v>
      </c>
      <c r="AN1178" s="93"/>
      <c r="AO1178" s="92"/>
      <c r="AS1178">
        <v>1</v>
      </c>
    </row>
    <row r="1179" spans="1:45">
      <c r="A1179">
        <v>261146</v>
      </c>
      <c r="B1179" s="8">
        <v>1001</v>
      </c>
      <c r="C1179" s="8">
        <v>1</v>
      </c>
      <c r="D1179" s="8">
        <v>3</v>
      </c>
      <c r="E1179" t="s">
        <v>3144</v>
      </c>
      <c r="F1179" s="13" t="s">
        <v>3145</v>
      </c>
      <c r="G1179" t="s">
        <v>3146</v>
      </c>
      <c r="H1179" s="13" t="s">
        <v>3147</v>
      </c>
      <c r="I1179">
        <v>1</v>
      </c>
      <c r="J1179">
        <v>5</v>
      </c>
      <c r="K1179" s="33">
        <v>1</v>
      </c>
      <c r="L1179" s="8">
        <v>999</v>
      </c>
      <c r="M1179" s="8">
        <v>0</v>
      </c>
      <c r="N1179" s="8"/>
      <c r="S1179" s="89">
        <v>1</v>
      </c>
      <c r="T1179" s="8">
        <v>5</v>
      </c>
      <c r="U1179" s="89">
        <v>80</v>
      </c>
      <c r="V1179" s="87">
        <v>1</v>
      </c>
      <c r="W1179">
        <v>1</v>
      </c>
      <c r="X1179" s="8">
        <v>1</v>
      </c>
      <c r="Y1179" s="8">
        <v>0</v>
      </c>
      <c r="Z1179" s="33">
        <v>0</v>
      </c>
      <c r="AA1179">
        <v>5</v>
      </c>
      <c r="AB1179" s="34">
        <v>3040</v>
      </c>
      <c r="AC1179" s="87">
        <v>999</v>
      </c>
      <c r="AF1179" s="63"/>
      <c r="AI1179" s="64"/>
      <c r="AJ1179" s="64"/>
      <c r="AK1179" s="64"/>
      <c r="AM1179" s="4">
        <v>80</v>
      </c>
      <c r="AN1179" s="93"/>
      <c r="AO1179" s="92"/>
      <c r="AS1179">
        <v>1</v>
      </c>
    </row>
    <row r="1180" spans="1:45">
      <c r="A1180">
        <v>261147</v>
      </c>
      <c r="B1180" s="8">
        <v>1001</v>
      </c>
      <c r="C1180" s="8">
        <v>1</v>
      </c>
      <c r="D1180" s="8">
        <v>3</v>
      </c>
      <c r="E1180" t="s">
        <v>3148</v>
      </c>
      <c r="F1180" s="13" t="s">
        <v>3149</v>
      </c>
      <c r="G1180" t="s">
        <v>3150</v>
      </c>
      <c r="H1180" s="13" t="s">
        <v>3151</v>
      </c>
      <c r="I1180">
        <v>1</v>
      </c>
      <c r="J1180">
        <v>5</v>
      </c>
      <c r="K1180" s="33">
        <v>1</v>
      </c>
      <c r="L1180" s="8">
        <v>999</v>
      </c>
      <c r="M1180" s="8">
        <v>0</v>
      </c>
      <c r="N1180" s="8"/>
      <c r="S1180" s="89">
        <v>1</v>
      </c>
      <c r="T1180" s="8">
        <v>5</v>
      </c>
      <c r="U1180" s="89">
        <v>80</v>
      </c>
      <c r="V1180" s="87">
        <v>1</v>
      </c>
      <c r="W1180">
        <v>1</v>
      </c>
      <c r="X1180" s="8">
        <v>1</v>
      </c>
      <c r="Y1180" s="8">
        <v>0</v>
      </c>
      <c r="Z1180" s="33">
        <v>0</v>
      </c>
      <c r="AA1180">
        <v>5</v>
      </c>
      <c r="AB1180" s="34">
        <v>3040</v>
      </c>
      <c r="AC1180" s="87">
        <v>999</v>
      </c>
      <c r="AF1180" s="63"/>
      <c r="AI1180" s="64"/>
      <c r="AJ1180" s="64"/>
      <c r="AK1180" s="64"/>
      <c r="AM1180" s="4">
        <v>80</v>
      </c>
      <c r="AN1180" s="93"/>
      <c r="AO1180" s="92"/>
      <c r="AS1180">
        <v>1</v>
      </c>
    </row>
    <row r="1181" spans="1:45">
      <c r="A1181">
        <v>261148</v>
      </c>
      <c r="B1181" s="8">
        <v>1001</v>
      </c>
      <c r="C1181" s="8">
        <v>1</v>
      </c>
      <c r="D1181" s="8">
        <v>3</v>
      </c>
      <c r="E1181" t="s">
        <v>3152</v>
      </c>
      <c r="F1181" s="13" t="s">
        <v>3153</v>
      </c>
      <c r="G1181" t="s">
        <v>3154</v>
      </c>
      <c r="H1181" s="13" t="s">
        <v>3155</v>
      </c>
      <c r="I1181">
        <v>1</v>
      </c>
      <c r="J1181">
        <v>5</v>
      </c>
      <c r="K1181" s="33">
        <v>1</v>
      </c>
      <c r="L1181" s="8">
        <v>999</v>
      </c>
      <c r="M1181" s="8">
        <v>0</v>
      </c>
      <c r="N1181" s="8"/>
      <c r="S1181" s="89">
        <v>1</v>
      </c>
      <c r="T1181" s="8">
        <v>5</v>
      </c>
      <c r="U1181" s="89">
        <v>80</v>
      </c>
      <c r="V1181" s="87">
        <v>1</v>
      </c>
      <c r="W1181">
        <v>1</v>
      </c>
      <c r="X1181" s="8">
        <v>1</v>
      </c>
      <c r="Y1181" s="8">
        <v>0</v>
      </c>
      <c r="Z1181" s="33">
        <v>0</v>
      </c>
      <c r="AA1181">
        <v>5</v>
      </c>
      <c r="AB1181" s="34">
        <v>3040</v>
      </c>
      <c r="AC1181" s="87">
        <v>999</v>
      </c>
      <c r="AF1181" s="63"/>
      <c r="AI1181" s="64"/>
      <c r="AJ1181" s="64"/>
      <c r="AK1181" s="64"/>
      <c r="AM1181" s="4">
        <v>80</v>
      </c>
      <c r="AN1181" s="93"/>
      <c r="AO1181" s="92"/>
      <c r="AS1181">
        <v>1</v>
      </c>
    </row>
    <row r="1182" spans="1:45">
      <c r="A1182">
        <v>261149</v>
      </c>
      <c r="B1182" s="8">
        <v>1001</v>
      </c>
      <c r="C1182" s="8">
        <v>1</v>
      </c>
      <c r="D1182" s="8">
        <v>3</v>
      </c>
      <c r="E1182" t="s">
        <v>3156</v>
      </c>
      <c r="F1182" s="13" t="s">
        <v>3157</v>
      </c>
      <c r="G1182" t="s">
        <v>3158</v>
      </c>
      <c r="H1182" s="13" t="s">
        <v>3159</v>
      </c>
      <c r="I1182">
        <v>1</v>
      </c>
      <c r="J1182">
        <v>5</v>
      </c>
      <c r="K1182" s="33">
        <v>1</v>
      </c>
      <c r="L1182" s="8">
        <v>999</v>
      </c>
      <c r="M1182" s="8">
        <v>0</v>
      </c>
      <c r="N1182" s="8"/>
      <c r="S1182" s="89">
        <v>1</v>
      </c>
      <c r="T1182" s="8">
        <v>5</v>
      </c>
      <c r="U1182" s="89">
        <v>80</v>
      </c>
      <c r="V1182" s="87">
        <v>1</v>
      </c>
      <c r="W1182">
        <v>1</v>
      </c>
      <c r="X1182" s="8">
        <v>1</v>
      </c>
      <c r="Y1182" s="8">
        <v>0</v>
      </c>
      <c r="Z1182" s="33">
        <v>0</v>
      </c>
      <c r="AA1182">
        <v>5</v>
      </c>
      <c r="AB1182" s="34">
        <v>3040</v>
      </c>
      <c r="AC1182" s="87">
        <v>999</v>
      </c>
      <c r="AF1182" s="63"/>
      <c r="AI1182" s="64"/>
      <c r="AJ1182" s="64"/>
      <c r="AK1182" s="64"/>
      <c r="AM1182" s="4">
        <v>80</v>
      </c>
      <c r="AN1182" s="93"/>
      <c r="AO1182" s="92"/>
      <c r="AS1182">
        <v>1</v>
      </c>
    </row>
    <row r="1183" spans="1:45">
      <c r="A1183">
        <v>261150</v>
      </c>
      <c r="B1183" s="8">
        <v>1001</v>
      </c>
      <c r="C1183" s="8">
        <v>1</v>
      </c>
      <c r="D1183" s="8">
        <v>3</v>
      </c>
      <c r="E1183" t="s">
        <v>3160</v>
      </c>
      <c r="F1183" s="13" t="s">
        <v>3161</v>
      </c>
      <c r="G1183" t="s">
        <v>3162</v>
      </c>
      <c r="H1183" s="13" t="s">
        <v>3163</v>
      </c>
      <c r="I1183">
        <v>1</v>
      </c>
      <c r="J1183">
        <v>5</v>
      </c>
      <c r="K1183" s="33">
        <v>1</v>
      </c>
      <c r="L1183" s="8">
        <v>999</v>
      </c>
      <c r="M1183" s="8">
        <v>0</v>
      </c>
      <c r="N1183" s="8"/>
      <c r="S1183" s="89">
        <v>1</v>
      </c>
      <c r="T1183" s="8">
        <v>5</v>
      </c>
      <c r="U1183" s="89">
        <v>80</v>
      </c>
      <c r="V1183" s="87">
        <v>1</v>
      </c>
      <c r="W1183">
        <v>1</v>
      </c>
      <c r="X1183" s="8">
        <v>1</v>
      </c>
      <c r="Y1183" s="8">
        <v>0</v>
      </c>
      <c r="Z1183" s="33">
        <v>0</v>
      </c>
      <c r="AA1183">
        <v>5</v>
      </c>
      <c r="AB1183" s="34">
        <v>3040</v>
      </c>
      <c r="AC1183" s="87">
        <v>999</v>
      </c>
      <c r="AF1183" s="63"/>
      <c r="AI1183" s="64"/>
      <c r="AJ1183" s="64"/>
      <c r="AK1183" s="64"/>
      <c r="AM1183" s="4">
        <v>80</v>
      </c>
      <c r="AN1183" s="93"/>
      <c r="AO1183" s="92"/>
      <c r="AS1183">
        <v>1</v>
      </c>
    </row>
    <row r="1184" spans="1:45">
      <c r="A1184">
        <v>261151</v>
      </c>
      <c r="B1184" s="8">
        <v>1001</v>
      </c>
      <c r="C1184" s="8">
        <v>1</v>
      </c>
      <c r="D1184" s="8">
        <v>3</v>
      </c>
      <c r="E1184" t="s">
        <v>3164</v>
      </c>
      <c r="F1184" s="13" t="s">
        <v>3165</v>
      </c>
      <c r="G1184" t="s">
        <v>3166</v>
      </c>
      <c r="H1184" s="13" t="s">
        <v>3167</v>
      </c>
      <c r="I1184">
        <v>1</v>
      </c>
      <c r="J1184">
        <v>5</v>
      </c>
      <c r="K1184" s="33">
        <v>1</v>
      </c>
      <c r="L1184" s="8">
        <v>999</v>
      </c>
      <c r="M1184" s="8">
        <v>0</v>
      </c>
      <c r="N1184" s="8"/>
      <c r="S1184" s="89">
        <v>1</v>
      </c>
      <c r="T1184" s="8">
        <v>5</v>
      </c>
      <c r="U1184" s="89">
        <v>80</v>
      </c>
      <c r="V1184" s="87">
        <v>1</v>
      </c>
      <c r="W1184">
        <v>1</v>
      </c>
      <c r="X1184" s="8">
        <v>1</v>
      </c>
      <c r="Y1184" s="8">
        <v>0</v>
      </c>
      <c r="Z1184" s="33">
        <v>0</v>
      </c>
      <c r="AA1184">
        <v>5</v>
      </c>
      <c r="AB1184" s="34">
        <v>3040</v>
      </c>
      <c r="AC1184" s="87">
        <v>999</v>
      </c>
      <c r="AF1184" s="63"/>
      <c r="AI1184" s="64"/>
      <c r="AJ1184" s="64"/>
      <c r="AK1184" s="64"/>
      <c r="AM1184" s="4">
        <v>80</v>
      </c>
      <c r="AN1184" s="93"/>
      <c r="AO1184" s="92"/>
      <c r="AS1184">
        <v>1</v>
      </c>
    </row>
    <row r="1185" spans="1:45">
      <c r="A1185">
        <v>261152</v>
      </c>
      <c r="B1185" s="8">
        <v>1001</v>
      </c>
      <c r="C1185" s="8">
        <v>1</v>
      </c>
      <c r="D1185" s="8">
        <v>3</v>
      </c>
      <c r="E1185" t="s">
        <v>3168</v>
      </c>
      <c r="F1185" s="13" t="s">
        <v>3169</v>
      </c>
      <c r="G1185" t="s">
        <v>3170</v>
      </c>
      <c r="H1185" s="13" t="s">
        <v>3171</v>
      </c>
      <c r="I1185">
        <v>1</v>
      </c>
      <c r="J1185">
        <v>5</v>
      </c>
      <c r="K1185" s="33">
        <v>1</v>
      </c>
      <c r="L1185" s="8">
        <v>999</v>
      </c>
      <c r="M1185" s="8">
        <v>0</v>
      </c>
      <c r="N1185" s="8"/>
      <c r="S1185" s="89">
        <v>1</v>
      </c>
      <c r="T1185" s="8">
        <v>5</v>
      </c>
      <c r="U1185" s="89">
        <v>80</v>
      </c>
      <c r="V1185" s="87">
        <v>1</v>
      </c>
      <c r="W1185">
        <v>1</v>
      </c>
      <c r="X1185" s="8">
        <v>1</v>
      </c>
      <c r="Y1185" s="8">
        <v>0</v>
      </c>
      <c r="Z1185" s="33">
        <v>0</v>
      </c>
      <c r="AA1185">
        <v>5</v>
      </c>
      <c r="AB1185" s="34">
        <v>3040</v>
      </c>
      <c r="AC1185" s="87">
        <v>999</v>
      </c>
      <c r="AF1185" s="63"/>
      <c r="AI1185" s="64"/>
      <c r="AJ1185" s="64"/>
      <c r="AK1185" s="64"/>
      <c r="AM1185" s="4">
        <v>80</v>
      </c>
      <c r="AN1185" s="93"/>
      <c r="AO1185" s="92"/>
      <c r="AS1185">
        <v>1</v>
      </c>
    </row>
    <row r="1186" spans="1:45">
      <c r="A1186">
        <v>261153</v>
      </c>
      <c r="B1186" s="8">
        <v>1001</v>
      </c>
      <c r="C1186" s="8">
        <v>1</v>
      </c>
      <c r="D1186" s="8">
        <v>3</v>
      </c>
      <c r="E1186" t="s">
        <v>3172</v>
      </c>
      <c r="F1186" s="13" t="s">
        <v>3173</v>
      </c>
      <c r="G1186" t="s">
        <v>3174</v>
      </c>
      <c r="H1186" s="13" t="s">
        <v>3175</v>
      </c>
      <c r="I1186">
        <v>1</v>
      </c>
      <c r="J1186">
        <v>5</v>
      </c>
      <c r="K1186" s="33">
        <v>1</v>
      </c>
      <c r="L1186" s="8">
        <v>999</v>
      </c>
      <c r="M1186" s="8">
        <v>0</v>
      </c>
      <c r="N1186" s="8"/>
      <c r="S1186" s="89">
        <v>1</v>
      </c>
      <c r="T1186" s="8">
        <v>5</v>
      </c>
      <c r="U1186" s="89">
        <v>80</v>
      </c>
      <c r="V1186" s="87">
        <v>1</v>
      </c>
      <c r="W1186">
        <v>1</v>
      </c>
      <c r="X1186" s="8">
        <v>1</v>
      </c>
      <c r="Y1186" s="8">
        <v>0</v>
      </c>
      <c r="Z1186" s="33">
        <v>0</v>
      </c>
      <c r="AA1186">
        <v>5</v>
      </c>
      <c r="AB1186" s="34">
        <v>3040</v>
      </c>
      <c r="AC1186" s="87">
        <v>999</v>
      </c>
      <c r="AF1186" s="63"/>
      <c r="AI1186" s="64"/>
      <c r="AJ1186" s="64"/>
      <c r="AK1186" s="64"/>
      <c r="AM1186" s="4">
        <v>80</v>
      </c>
      <c r="AN1186" s="93"/>
      <c r="AO1186" s="92"/>
      <c r="AS1186">
        <v>1</v>
      </c>
    </row>
    <row r="1187" spans="1:45">
      <c r="A1187">
        <v>261154</v>
      </c>
      <c r="B1187" s="8">
        <v>1001</v>
      </c>
      <c r="C1187" s="8">
        <v>1</v>
      </c>
      <c r="D1187" s="8">
        <v>3</v>
      </c>
      <c r="E1187" t="s">
        <v>3176</v>
      </c>
      <c r="F1187" s="13" t="s">
        <v>3177</v>
      </c>
      <c r="G1187" t="s">
        <v>3178</v>
      </c>
      <c r="H1187" s="13" t="s">
        <v>3179</v>
      </c>
      <c r="I1187">
        <v>1</v>
      </c>
      <c r="J1187">
        <v>5</v>
      </c>
      <c r="K1187" s="33">
        <v>1</v>
      </c>
      <c r="L1187" s="8">
        <v>999</v>
      </c>
      <c r="M1187" s="8">
        <v>0</v>
      </c>
      <c r="N1187" s="8"/>
      <c r="S1187" s="89">
        <v>1</v>
      </c>
      <c r="T1187" s="8">
        <v>5</v>
      </c>
      <c r="U1187" s="89">
        <v>80</v>
      </c>
      <c r="V1187" s="87">
        <v>1</v>
      </c>
      <c r="W1187">
        <v>1</v>
      </c>
      <c r="X1187" s="8">
        <v>1</v>
      </c>
      <c r="Y1187" s="8">
        <v>0</v>
      </c>
      <c r="Z1187" s="33">
        <v>0</v>
      </c>
      <c r="AA1187">
        <v>5</v>
      </c>
      <c r="AB1187" s="34">
        <v>3040</v>
      </c>
      <c r="AC1187" s="87">
        <v>999</v>
      </c>
      <c r="AF1187" s="63"/>
      <c r="AI1187" s="64"/>
      <c r="AJ1187" s="64"/>
      <c r="AK1187" s="64"/>
      <c r="AM1187" s="4">
        <v>80</v>
      </c>
      <c r="AN1187" s="93"/>
      <c r="AO1187" s="92"/>
      <c r="AS1187">
        <v>1</v>
      </c>
    </row>
    <row r="1188" spans="1:45">
      <c r="A1188">
        <v>261155</v>
      </c>
      <c r="B1188" s="8">
        <v>1001</v>
      </c>
      <c r="C1188" s="8">
        <v>1</v>
      </c>
      <c r="D1188" s="8">
        <v>3</v>
      </c>
      <c r="E1188" t="s">
        <v>3180</v>
      </c>
      <c r="F1188" s="13" t="s">
        <v>3181</v>
      </c>
      <c r="G1188" t="s">
        <v>3182</v>
      </c>
      <c r="H1188" s="13" t="s">
        <v>3183</v>
      </c>
      <c r="I1188">
        <v>1</v>
      </c>
      <c r="J1188">
        <v>5</v>
      </c>
      <c r="K1188" s="33">
        <v>1</v>
      </c>
      <c r="L1188" s="8">
        <v>999</v>
      </c>
      <c r="M1188" s="8">
        <v>0</v>
      </c>
      <c r="N1188" s="8"/>
      <c r="S1188" s="89">
        <v>1</v>
      </c>
      <c r="T1188" s="8">
        <v>5</v>
      </c>
      <c r="U1188" s="89">
        <v>80</v>
      </c>
      <c r="V1188" s="87">
        <v>1</v>
      </c>
      <c r="W1188">
        <v>1</v>
      </c>
      <c r="X1188" s="8">
        <v>1</v>
      </c>
      <c r="Y1188" s="8">
        <v>0</v>
      </c>
      <c r="Z1188" s="33">
        <v>0</v>
      </c>
      <c r="AA1188">
        <v>5</v>
      </c>
      <c r="AB1188" s="34">
        <v>3040</v>
      </c>
      <c r="AC1188" s="87">
        <v>999</v>
      </c>
      <c r="AF1188" s="63"/>
      <c r="AI1188" s="64"/>
      <c r="AJ1188" s="64"/>
      <c r="AK1188" s="64"/>
      <c r="AM1188" s="4">
        <v>80</v>
      </c>
      <c r="AN1188" s="93"/>
      <c r="AO1188" s="92"/>
      <c r="AS1188">
        <v>1</v>
      </c>
    </row>
    <row r="1189" spans="1:45">
      <c r="A1189">
        <v>261156</v>
      </c>
      <c r="B1189" s="8">
        <v>1001</v>
      </c>
      <c r="C1189" s="8">
        <v>1</v>
      </c>
      <c r="D1189" s="8">
        <v>3</v>
      </c>
      <c r="E1189" t="s">
        <v>3184</v>
      </c>
      <c r="F1189" s="13" t="s">
        <v>3185</v>
      </c>
      <c r="G1189" t="s">
        <v>3186</v>
      </c>
      <c r="H1189" s="13" t="s">
        <v>3187</v>
      </c>
      <c r="I1189">
        <v>1</v>
      </c>
      <c r="J1189">
        <v>1</v>
      </c>
      <c r="K1189" s="33">
        <v>1</v>
      </c>
      <c r="L1189" s="8">
        <v>999</v>
      </c>
      <c r="M1189" s="8">
        <v>0</v>
      </c>
      <c r="N1189" s="8"/>
      <c r="S1189" s="89">
        <v>1</v>
      </c>
      <c r="T1189" s="8">
        <v>5</v>
      </c>
      <c r="U1189" s="89">
        <v>80</v>
      </c>
      <c r="V1189" s="87">
        <v>1</v>
      </c>
      <c r="W1189">
        <v>1</v>
      </c>
      <c r="X1189" s="8">
        <v>1</v>
      </c>
      <c r="Y1189" s="8">
        <v>0</v>
      </c>
      <c r="Z1189" s="33">
        <v>0</v>
      </c>
      <c r="AA1189">
        <v>5</v>
      </c>
      <c r="AB1189" s="34">
        <v>3040</v>
      </c>
      <c r="AC1189" s="87">
        <v>999</v>
      </c>
      <c r="AF1189" s="63"/>
      <c r="AI1189" s="64"/>
      <c r="AJ1189" s="64"/>
      <c r="AK1189" s="64"/>
      <c r="AM1189" s="4">
        <v>80</v>
      </c>
      <c r="AN1189" s="93"/>
      <c r="AO1189" s="92"/>
      <c r="AS1189">
        <v>1</v>
      </c>
    </row>
    <row r="1190" spans="1:45">
      <c r="A1190">
        <v>261157</v>
      </c>
      <c r="B1190" s="8">
        <v>1001</v>
      </c>
      <c r="C1190" s="8">
        <v>1</v>
      </c>
      <c r="D1190" s="8">
        <v>3</v>
      </c>
      <c r="E1190" t="s">
        <v>3188</v>
      </c>
      <c r="F1190" s="13" t="s">
        <v>3189</v>
      </c>
      <c r="G1190" t="s">
        <v>3190</v>
      </c>
      <c r="H1190" s="13" t="s">
        <v>3191</v>
      </c>
      <c r="I1190">
        <v>1</v>
      </c>
      <c r="J1190">
        <v>1</v>
      </c>
      <c r="K1190" s="33">
        <v>1</v>
      </c>
      <c r="L1190" s="8">
        <v>999</v>
      </c>
      <c r="M1190" s="8">
        <v>0</v>
      </c>
      <c r="N1190" s="8"/>
      <c r="S1190" s="89">
        <v>1</v>
      </c>
      <c r="T1190" s="8">
        <v>5</v>
      </c>
      <c r="U1190" s="89">
        <v>80</v>
      </c>
      <c r="V1190" s="87">
        <v>1</v>
      </c>
      <c r="W1190">
        <v>1</v>
      </c>
      <c r="X1190" s="8">
        <v>1</v>
      </c>
      <c r="Y1190" s="8">
        <v>0</v>
      </c>
      <c r="Z1190" s="33">
        <v>0</v>
      </c>
      <c r="AA1190">
        <v>5</v>
      </c>
      <c r="AB1190" s="34">
        <v>3040</v>
      </c>
      <c r="AC1190" s="87">
        <v>999</v>
      </c>
      <c r="AF1190" s="63"/>
      <c r="AI1190" s="64"/>
      <c r="AJ1190" s="64"/>
      <c r="AK1190" s="64"/>
      <c r="AM1190" s="4">
        <v>80</v>
      </c>
      <c r="AN1190" s="93"/>
      <c r="AO1190" s="92"/>
      <c r="AS1190">
        <v>1</v>
      </c>
    </row>
    <row r="1191" spans="1:45">
      <c r="A1191">
        <v>261158</v>
      </c>
      <c r="B1191" s="8">
        <v>1001</v>
      </c>
      <c r="C1191" s="8">
        <v>1</v>
      </c>
      <c r="D1191" s="8">
        <v>3</v>
      </c>
      <c r="E1191" t="s">
        <v>3192</v>
      </c>
      <c r="F1191" s="13" t="s">
        <v>3193</v>
      </c>
      <c r="G1191" t="s">
        <v>3194</v>
      </c>
      <c r="H1191" s="13" t="s">
        <v>3195</v>
      </c>
      <c r="I1191">
        <v>1</v>
      </c>
      <c r="J1191">
        <v>1</v>
      </c>
      <c r="K1191" s="33">
        <v>1</v>
      </c>
      <c r="L1191" s="8">
        <v>999</v>
      </c>
      <c r="M1191" s="8">
        <v>0</v>
      </c>
      <c r="N1191" s="8"/>
      <c r="S1191" s="89">
        <v>1</v>
      </c>
      <c r="T1191" s="8">
        <v>5</v>
      </c>
      <c r="U1191" s="89">
        <v>80</v>
      </c>
      <c r="V1191" s="87">
        <v>1</v>
      </c>
      <c r="W1191">
        <v>1</v>
      </c>
      <c r="X1191" s="8">
        <v>1</v>
      </c>
      <c r="Y1191" s="8">
        <v>0</v>
      </c>
      <c r="Z1191" s="33">
        <v>0</v>
      </c>
      <c r="AA1191">
        <v>5</v>
      </c>
      <c r="AB1191" s="34">
        <v>3040</v>
      </c>
      <c r="AC1191" s="87">
        <v>999</v>
      </c>
      <c r="AF1191" s="63"/>
      <c r="AI1191" s="64"/>
      <c r="AJ1191" s="64"/>
      <c r="AK1191" s="64"/>
      <c r="AM1191" s="4">
        <v>80</v>
      </c>
      <c r="AN1191" s="93"/>
      <c r="AO1191" s="92"/>
      <c r="AS1191">
        <v>1</v>
      </c>
    </row>
    <row r="1192" spans="1:45">
      <c r="A1192">
        <v>261159</v>
      </c>
      <c r="B1192" s="8">
        <v>1001</v>
      </c>
      <c r="C1192" s="8">
        <v>1</v>
      </c>
      <c r="D1192" s="8">
        <v>3</v>
      </c>
      <c r="E1192" t="s">
        <v>3196</v>
      </c>
      <c r="F1192" s="13" t="s">
        <v>3197</v>
      </c>
      <c r="G1192" t="s">
        <v>3198</v>
      </c>
      <c r="H1192" s="13" t="s">
        <v>3199</v>
      </c>
      <c r="I1192">
        <v>1</v>
      </c>
      <c r="J1192">
        <v>1</v>
      </c>
      <c r="K1192" s="33">
        <v>1</v>
      </c>
      <c r="L1192" s="8">
        <v>999</v>
      </c>
      <c r="M1192" s="8">
        <v>0</v>
      </c>
      <c r="N1192" s="8"/>
      <c r="S1192" s="89">
        <v>1</v>
      </c>
      <c r="T1192" s="8">
        <v>5</v>
      </c>
      <c r="U1192" s="89">
        <v>80</v>
      </c>
      <c r="V1192" s="87">
        <v>1</v>
      </c>
      <c r="W1192">
        <v>1</v>
      </c>
      <c r="X1192" s="8">
        <v>1</v>
      </c>
      <c r="Y1192" s="8">
        <v>0</v>
      </c>
      <c r="Z1192" s="33">
        <v>0</v>
      </c>
      <c r="AA1192">
        <v>5</v>
      </c>
      <c r="AB1192" s="34">
        <v>3040</v>
      </c>
      <c r="AC1192" s="87">
        <v>999</v>
      </c>
      <c r="AF1192" s="63"/>
      <c r="AI1192" s="64"/>
      <c r="AJ1192" s="64"/>
      <c r="AK1192" s="64"/>
      <c r="AM1192" s="4">
        <v>80</v>
      </c>
      <c r="AN1192" s="93"/>
      <c r="AO1192" s="92"/>
      <c r="AS1192">
        <v>1</v>
      </c>
    </row>
    <row r="1193" spans="1:45">
      <c r="A1193">
        <v>261160</v>
      </c>
      <c r="B1193" s="8">
        <v>1001</v>
      </c>
      <c r="C1193" s="8">
        <v>1</v>
      </c>
      <c r="D1193" s="8">
        <v>3</v>
      </c>
      <c r="E1193" t="s">
        <v>3200</v>
      </c>
      <c r="F1193" s="13" t="s">
        <v>3201</v>
      </c>
      <c r="G1193" t="s">
        <v>3202</v>
      </c>
      <c r="H1193" s="13" t="s">
        <v>3203</v>
      </c>
      <c r="I1193">
        <v>1</v>
      </c>
      <c r="J1193">
        <v>1</v>
      </c>
      <c r="K1193" s="33">
        <v>1</v>
      </c>
      <c r="L1193" s="8">
        <v>999</v>
      </c>
      <c r="M1193" s="8">
        <v>0</v>
      </c>
      <c r="N1193" s="8"/>
      <c r="S1193" s="89">
        <v>1</v>
      </c>
      <c r="T1193" s="8">
        <v>5</v>
      </c>
      <c r="U1193" s="89">
        <v>80</v>
      </c>
      <c r="V1193" s="87">
        <v>1</v>
      </c>
      <c r="W1193">
        <v>1</v>
      </c>
      <c r="X1193" s="8">
        <v>1</v>
      </c>
      <c r="Y1193" s="8">
        <v>0</v>
      </c>
      <c r="Z1193" s="33">
        <v>0</v>
      </c>
      <c r="AA1193">
        <v>5</v>
      </c>
      <c r="AB1193" s="34">
        <v>3040</v>
      </c>
      <c r="AC1193" s="87">
        <v>999</v>
      </c>
      <c r="AF1193" s="63"/>
      <c r="AI1193" s="64"/>
      <c r="AJ1193" s="64"/>
      <c r="AK1193" s="64"/>
      <c r="AM1193" s="4">
        <v>80</v>
      </c>
      <c r="AN1193" s="93"/>
      <c r="AO1193" s="92"/>
      <c r="AS1193">
        <v>1</v>
      </c>
    </row>
    <row r="1194" spans="1:45">
      <c r="A1194">
        <v>261161</v>
      </c>
      <c r="B1194" s="8">
        <v>1001</v>
      </c>
      <c r="C1194" s="8">
        <v>1</v>
      </c>
      <c r="D1194" s="8">
        <v>3</v>
      </c>
      <c r="E1194" t="s">
        <v>3204</v>
      </c>
      <c r="F1194" s="13" t="s">
        <v>3205</v>
      </c>
      <c r="G1194" t="s">
        <v>3206</v>
      </c>
      <c r="H1194" s="13" t="s">
        <v>3207</v>
      </c>
      <c r="I1194">
        <v>1</v>
      </c>
      <c r="J1194">
        <v>1</v>
      </c>
      <c r="K1194" s="33">
        <v>1</v>
      </c>
      <c r="L1194" s="8">
        <v>999</v>
      </c>
      <c r="M1194" s="8">
        <v>0</v>
      </c>
      <c r="N1194" s="8"/>
      <c r="S1194" s="89">
        <v>1</v>
      </c>
      <c r="T1194" s="8">
        <v>5</v>
      </c>
      <c r="U1194" s="89">
        <v>80</v>
      </c>
      <c r="V1194" s="87">
        <v>1</v>
      </c>
      <c r="W1194">
        <v>1</v>
      </c>
      <c r="X1194" s="8">
        <v>1</v>
      </c>
      <c r="Y1194" s="8">
        <v>0</v>
      </c>
      <c r="Z1194" s="33">
        <v>0</v>
      </c>
      <c r="AA1194">
        <v>5</v>
      </c>
      <c r="AB1194" s="34">
        <v>3040</v>
      </c>
      <c r="AC1194" s="87">
        <v>999</v>
      </c>
      <c r="AF1194" s="63"/>
      <c r="AI1194" s="64"/>
      <c r="AJ1194" s="64"/>
      <c r="AK1194" s="64"/>
      <c r="AM1194" s="4">
        <v>80</v>
      </c>
      <c r="AN1194" s="93"/>
      <c r="AO1194" s="92"/>
      <c r="AS1194">
        <v>1</v>
      </c>
    </row>
    <row r="1195" spans="1:45">
      <c r="A1195">
        <v>261162</v>
      </c>
      <c r="B1195" s="8">
        <v>1001</v>
      </c>
      <c r="C1195" s="8">
        <v>1</v>
      </c>
      <c r="D1195" s="8">
        <v>3</v>
      </c>
      <c r="E1195" t="s">
        <v>3208</v>
      </c>
      <c r="F1195" s="13" t="s">
        <v>3209</v>
      </c>
      <c r="G1195" t="s">
        <v>3210</v>
      </c>
      <c r="H1195" s="13" t="s">
        <v>3211</v>
      </c>
      <c r="I1195">
        <v>1</v>
      </c>
      <c r="J1195">
        <v>1</v>
      </c>
      <c r="K1195" s="33">
        <v>1</v>
      </c>
      <c r="L1195" s="8">
        <v>999</v>
      </c>
      <c r="M1195" s="8">
        <v>0</v>
      </c>
      <c r="N1195" s="8"/>
      <c r="S1195" s="89">
        <v>1</v>
      </c>
      <c r="T1195" s="8">
        <v>5</v>
      </c>
      <c r="U1195" s="89">
        <v>80</v>
      </c>
      <c r="V1195" s="87">
        <v>1</v>
      </c>
      <c r="W1195">
        <v>1</v>
      </c>
      <c r="X1195" s="8">
        <v>1</v>
      </c>
      <c r="Y1195" s="8">
        <v>0</v>
      </c>
      <c r="Z1195" s="33">
        <v>0</v>
      </c>
      <c r="AA1195">
        <v>5</v>
      </c>
      <c r="AB1195" s="34">
        <v>3040</v>
      </c>
      <c r="AC1195" s="87">
        <v>999</v>
      </c>
      <c r="AF1195" s="63"/>
      <c r="AI1195" s="64"/>
      <c r="AJ1195" s="64"/>
      <c r="AK1195" s="64"/>
      <c r="AM1195" s="4">
        <v>80</v>
      </c>
      <c r="AN1195" s="93"/>
      <c r="AO1195" s="92"/>
      <c r="AS1195">
        <v>1</v>
      </c>
    </row>
    <row r="1196" spans="1:45">
      <c r="A1196">
        <v>261163</v>
      </c>
      <c r="B1196" s="8">
        <v>1001</v>
      </c>
      <c r="C1196" s="8">
        <v>1</v>
      </c>
      <c r="D1196" s="8">
        <v>3</v>
      </c>
      <c r="E1196" t="s">
        <v>3212</v>
      </c>
      <c r="F1196" s="13" t="s">
        <v>3213</v>
      </c>
      <c r="G1196" t="s">
        <v>3214</v>
      </c>
      <c r="H1196" s="13" t="s">
        <v>3215</v>
      </c>
      <c r="I1196">
        <v>1</v>
      </c>
      <c r="J1196">
        <v>1</v>
      </c>
      <c r="K1196" s="33">
        <v>1</v>
      </c>
      <c r="L1196" s="8">
        <v>999</v>
      </c>
      <c r="M1196" s="8">
        <v>0</v>
      </c>
      <c r="N1196" s="8"/>
      <c r="S1196" s="89">
        <v>1</v>
      </c>
      <c r="T1196" s="8">
        <v>5</v>
      </c>
      <c r="U1196" s="89">
        <v>80</v>
      </c>
      <c r="V1196" s="87">
        <v>1</v>
      </c>
      <c r="W1196">
        <v>1</v>
      </c>
      <c r="X1196" s="8">
        <v>1</v>
      </c>
      <c r="Y1196" s="8">
        <v>0</v>
      </c>
      <c r="Z1196" s="33">
        <v>0</v>
      </c>
      <c r="AA1196">
        <v>5</v>
      </c>
      <c r="AB1196" s="34">
        <v>3040</v>
      </c>
      <c r="AC1196" s="87">
        <v>999</v>
      </c>
      <c r="AF1196" s="63"/>
      <c r="AI1196" s="64"/>
      <c r="AJ1196" s="64"/>
      <c r="AK1196" s="64"/>
      <c r="AM1196" s="4">
        <v>80</v>
      </c>
      <c r="AN1196" s="93"/>
      <c r="AO1196" s="92"/>
      <c r="AS1196">
        <v>1</v>
      </c>
    </row>
    <row r="1197" spans="1:45">
      <c r="A1197">
        <v>261164</v>
      </c>
      <c r="B1197" s="8">
        <v>1001</v>
      </c>
      <c r="C1197" s="8">
        <v>1</v>
      </c>
      <c r="D1197" s="8">
        <v>3</v>
      </c>
      <c r="E1197" t="s">
        <v>3216</v>
      </c>
      <c r="F1197" s="13" t="s">
        <v>3217</v>
      </c>
      <c r="G1197" t="s">
        <v>3218</v>
      </c>
      <c r="H1197" s="13" t="s">
        <v>3187</v>
      </c>
      <c r="I1197">
        <v>1</v>
      </c>
      <c r="J1197">
        <v>5</v>
      </c>
      <c r="K1197" s="33">
        <v>1</v>
      </c>
      <c r="L1197" s="8">
        <v>999</v>
      </c>
      <c r="M1197" s="8">
        <v>0</v>
      </c>
      <c r="N1197" s="8"/>
      <c r="S1197" s="89">
        <v>1</v>
      </c>
      <c r="T1197" s="8">
        <v>5</v>
      </c>
      <c r="U1197" s="89">
        <v>80</v>
      </c>
      <c r="V1197" s="87">
        <v>1</v>
      </c>
      <c r="W1197">
        <v>1</v>
      </c>
      <c r="X1197" s="8">
        <v>1</v>
      </c>
      <c r="Y1197" s="8">
        <v>0</v>
      </c>
      <c r="Z1197" s="33">
        <v>0</v>
      </c>
      <c r="AA1197">
        <v>5</v>
      </c>
      <c r="AB1197" s="34">
        <v>3040</v>
      </c>
      <c r="AC1197" s="87">
        <v>999</v>
      </c>
      <c r="AF1197" s="63"/>
      <c r="AI1197" s="64"/>
      <c r="AJ1197" s="64"/>
      <c r="AK1197" s="64"/>
      <c r="AM1197" s="4">
        <v>80</v>
      </c>
      <c r="AN1197" s="93"/>
      <c r="AO1197" s="92"/>
      <c r="AS1197">
        <v>1</v>
      </c>
    </row>
    <row r="1198" spans="1:45">
      <c r="A1198">
        <v>261165</v>
      </c>
      <c r="B1198" s="8">
        <v>1001</v>
      </c>
      <c r="C1198" s="8">
        <v>1</v>
      </c>
      <c r="D1198" s="8">
        <v>3</v>
      </c>
      <c r="E1198" t="s">
        <v>3219</v>
      </c>
      <c r="F1198" s="13" t="s">
        <v>3220</v>
      </c>
      <c r="G1198" t="s">
        <v>3221</v>
      </c>
      <c r="H1198" s="13" t="s">
        <v>3191</v>
      </c>
      <c r="I1198">
        <v>1</v>
      </c>
      <c r="J1198">
        <v>5</v>
      </c>
      <c r="K1198" s="33">
        <v>1</v>
      </c>
      <c r="L1198" s="8">
        <v>999</v>
      </c>
      <c r="M1198" s="8">
        <v>0</v>
      </c>
      <c r="N1198" s="8"/>
      <c r="S1198" s="89">
        <v>1</v>
      </c>
      <c r="T1198" s="8">
        <v>5</v>
      </c>
      <c r="U1198" s="89">
        <v>80</v>
      </c>
      <c r="V1198" s="87">
        <v>1</v>
      </c>
      <c r="W1198">
        <v>1</v>
      </c>
      <c r="X1198" s="8">
        <v>1</v>
      </c>
      <c r="Y1198" s="8">
        <v>0</v>
      </c>
      <c r="Z1198" s="33">
        <v>0</v>
      </c>
      <c r="AA1198">
        <v>5</v>
      </c>
      <c r="AB1198" s="34">
        <v>3040</v>
      </c>
      <c r="AC1198" s="87">
        <v>999</v>
      </c>
      <c r="AF1198" s="63"/>
      <c r="AI1198" s="64"/>
      <c r="AJ1198" s="64"/>
      <c r="AK1198" s="64"/>
      <c r="AM1198" s="4">
        <v>80</v>
      </c>
      <c r="AN1198" s="93"/>
      <c r="AO1198" s="92"/>
      <c r="AS1198">
        <v>1</v>
      </c>
    </row>
    <row r="1199" spans="1:45">
      <c r="A1199">
        <v>261166</v>
      </c>
      <c r="B1199" s="8">
        <v>1001</v>
      </c>
      <c r="C1199" s="8">
        <v>1</v>
      </c>
      <c r="D1199" s="8">
        <v>3</v>
      </c>
      <c r="E1199" t="s">
        <v>3222</v>
      </c>
      <c r="F1199" s="13" t="s">
        <v>3223</v>
      </c>
      <c r="G1199" t="s">
        <v>3224</v>
      </c>
      <c r="H1199" s="13" t="s">
        <v>3195</v>
      </c>
      <c r="I1199">
        <v>1</v>
      </c>
      <c r="J1199">
        <v>5</v>
      </c>
      <c r="K1199" s="33">
        <v>1</v>
      </c>
      <c r="L1199" s="8">
        <v>999</v>
      </c>
      <c r="M1199" s="8">
        <v>0</v>
      </c>
      <c r="N1199" s="8"/>
      <c r="S1199" s="89">
        <v>1</v>
      </c>
      <c r="T1199" s="8">
        <v>5</v>
      </c>
      <c r="U1199" s="89">
        <v>80</v>
      </c>
      <c r="V1199" s="87">
        <v>1</v>
      </c>
      <c r="W1199">
        <v>1</v>
      </c>
      <c r="X1199" s="8">
        <v>1</v>
      </c>
      <c r="Y1199" s="8">
        <v>0</v>
      </c>
      <c r="Z1199" s="33">
        <v>0</v>
      </c>
      <c r="AA1199">
        <v>5</v>
      </c>
      <c r="AB1199" s="34">
        <v>3040</v>
      </c>
      <c r="AC1199" s="87">
        <v>999</v>
      </c>
      <c r="AF1199" s="63"/>
      <c r="AI1199" s="64"/>
      <c r="AJ1199" s="64"/>
      <c r="AK1199" s="64"/>
      <c r="AM1199" s="4">
        <v>80</v>
      </c>
      <c r="AN1199" s="93"/>
      <c r="AO1199" s="92"/>
      <c r="AS1199">
        <v>1</v>
      </c>
    </row>
    <row r="1200" spans="1:45">
      <c r="A1200">
        <v>261167</v>
      </c>
      <c r="B1200" s="8">
        <v>1001</v>
      </c>
      <c r="C1200" s="8">
        <v>1</v>
      </c>
      <c r="D1200" s="8">
        <v>3</v>
      </c>
      <c r="E1200" t="s">
        <v>3225</v>
      </c>
      <c r="F1200" s="13" t="s">
        <v>3226</v>
      </c>
      <c r="G1200" t="s">
        <v>3227</v>
      </c>
      <c r="H1200" s="13" t="s">
        <v>3199</v>
      </c>
      <c r="I1200">
        <v>1</v>
      </c>
      <c r="J1200">
        <v>5</v>
      </c>
      <c r="K1200" s="33">
        <v>1</v>
      </c>
      <c r="L1200" s="8">
        <v>999</v>
      </c>
      <c r="M1200" s="8">
        <v>0</v>
      </c>
      <c r="N1200" s="8"/>
      <c r="S1200" s="89">
        <v>1</v>
      </c>
      <c r="T1200" s="8">
        <v>5</v>
      </c>
      <c r="U1200" s="89">
        <v>80</v>
      </c>
      <c r="V1200" s="87">
        <v>1</v>
      </c>
      <c r="W1200">
        <v>1</v>
      </c>
      <c r="X1200" s="8">
        <v>1</v>
      </c>
      <c r="Y1200" s="8">
        <v>0</v>
      </c>
      <c r="Z1200" s="33">
        <v>0</v>
      </c>
      <c r="AA1200">
        <v>5</v>
      </c>
      <c r="AB1200" s="34">
        <v>3040</v>
      </c>
      <c r="AC1200" s="87">
        <v>999</v>
      </c>
      <c r="AF1200" s="63"/>
      <c r="AI1200" s="64"/>
      <c r="AJ1200" s="64"/>
      <c r="AK1200" s="64"/>
      <c r="AM1200" s="4">
        <v>80</v>
      </c>
      <c r="AN1200" s="93"/>
      <c r="AO1200" s="92"/>
      <c r="AS1200">
        <v>1</v>
      </c>
    </row>
    <row r="1201" spans="1:45">
      <c r="A1201">
        <v>261168</v>
      </c>
      <c r="B1201" s="8">
        <v>1001</v>
      </c>
      <c r="C1201" s="8">
        <v>1</v>
      </c>
      <c r="D1201" s="8">
        <v>3</v>
      </c>
      <c r="E1201" t="s">
        <v>3228</v>
      </c>
      <c r="F1201" s="13" t="s">
        <v>3229</v>
      </c>
      <c r="G1201" t="s">
        <v>3230</v>
      </c>
      <c r="H1201" s="13" t="s">
        <v>3203</v>
      </c>
      <c r="I1201">
        <v>1</v>
      </c>
      <c r="J1201">
        <v>5</v>
      </c>
      <c r="K1201" s="33">
        <v>1</v>
      </c>
      <c r="L1201" s="8">
        <v>999</v>
      </c>
      <c r="M1201" s="8">
        <v>0</v>
      </c>
      <c r="N1201" s="8"/>
      <c r="S1201" s="89">
        <v>1</v>
      </c>
      <c r="T1201" s="8">
        <v>5</v>
      </c>
      <c r="U1201" s="89">
        <v>80</v>
      </c>
      <c r="V1201" s="87">
        <v>1</v>
      </c>
      <c r="W1201">
        <v>1</v>
      </c>
      <c r="X1201" s="8">
        <v>1</v>
      </c>
      <c r="Y1201" s="8">
        <v>0</v>
      </c>
      <c r="Z1201" s="33">
        <v>0</v>
      </c>
      <c r="AA1201">
        <v>5</v>
      </c>
      <c r="AB1201" s="34">
        <v>3040</v>
      </c>
      <c r="AC1201" s="87">
        <v>999</v>
      </c>
      <c r="AF1201" s="63"/>
      <c r="AI1201" s="64"/>
      <c r="AJ1201" s="64"/>
      <c r="AK1201" s="64"/>
      <c r="AM1201" s="4">
        <v>80</v>
      </c>
      <c r="AN1201" s="93"/>
      <c r="AO1201" s="92"/>
      <c r="AS1201">
        <v>1</v>
      </c>
    </row>
    <row r="1202" spans="1:45">
      <c r="A1202">
        <v>261169</v>
      </c>
      <c r="B1202" s="8">
        <v>1001</v>
      </c>
      <c r="C1202" s="8">
        <v>1</v>
      </c>
      <c r="D1202" s="8">
        <v>3</v>
      </c>
      <c r="E1202" t="s">
        <v>3231</v>
      </c>
      <c r="F1202" s="13" t="s">
        <v>3232</v>
      </c>
      <c r="G1202" t="s">
        <v>3233</v>
      </c>
      <c r="H1202" s="13" t="s">
        <v>3207</v>
      </c>
      <c r="I1202">
        <v>1</v>
      </c>
      <c r="J1202">
        <v>5</v>
      </c>
      <c r="K1202" s="33">
        <v>1</v>
      </c>
      <c r="L1202" s="8">
        <v>999</v>
      </c>
      <c r="M1202" s="8">
        <v>0</v>
      </c>
      <c r="N1202" s="8"/>
      <c r="S1202" s="89">
        <v>1</v>
      </c>
      <c r="T1202" s="8">
        <v>5</v>
      </c>
      <c r="U1202" s="89">
        <v>80</v>
      </c>
      <c r="V1202" s="87">
        <v>1</v>
      </c>
      <c r="W1202">
        <v>1</v>
      </c>
      <c r="X1202" s="8">
        <v>1</v>
      </c>
      <c r="Y1202" s="8">
        <v>0</v>
      </c>
      <c r="Z1202" s="33">
        <v>0</v>
      </c>
      <c r="AA1202">
        <v>5</v>
      </c>
      <c r="AB1202" s="34">
        <v>3040</v>
      </c>
      <c r="AC1202" s="87">
        <v>999</v>
      </c>
      <c r="AF1202" s="63"/>
      <c r="AI1202" s="64"/>
      <c r="AJ1202" s="64"/>
      <c r="AK1202" s="64"/>
      <c r="AM1202" s="4">
        <v>80</v>
      </c>
      <c r="AN1202" s="93"/>
      <c r="AO1202" s="92"/>
      <c r="AS1202">
        <v>1</v>
      </c>
    </row>
    <row r="1203" spans="1:45">
      <c r="A1203">
        <v>261170</v>
      </c>
      <c r="B1203" s="8">
        <v>1001</v>
      </c>
      <c r="C1203" s="8">
        <v>1</v>
      </c>
      <c r="D1203" s="8">
        <v>3</v>
      </c>
      <c r="E1203" t="s">
        <v>3234</v>
      </c>
      <c r="F1203" s="13" t="s">
        <v>3235</v>
      </c>
      <c r="G1203" t="s">
        <v>3236</v>
      </c>
      <c r="H1203" s="13" t="s">
        <v>3211</v>
      </c>
      <c r="I1203">
        <v>1</v>
      </c>
      <c r="J1203">
        <v>5</v>
      </c>
      <c r="K1203" s="33">
        <v>1</v>
      </c>
      <c r="L1203" s="8">
        <v>999</v>
      </c>
      <c r="M1203" s="8">
        <v>0</v>
      </c>
      <c r="N1203" s="8"/>
      <c r="S1203" s="89">
        <v>1</v>
      </c>
      <c r="T1203" s="8">
        <v>5</v>
      </c>
      <c r="U1203" s="89">
        <v>80</v>
      </c>
      <c r="V1203" s="87">
        <v>1</v>
      </c>
      <c r="W1203">
        <v>1</v>
      </c>
      <c r="X1203" s="8">
        <v>1</v>
      </c>
      <c r="Y1203" s="8">
        <v>0</v>
      </c>
      <c r="Z1203" s="33">
        <v>0</v>
      </c>
      <c r="AA1203">
        <v>5</v>
      </c>
      <c r="AB1203" s="34">
        <v>3040</v>
      </c>
      <c r="AC1203" s="87">
        <v>999</v>
      </c>
      <c r="AF1203" s="63"/>
      <c r="AI1203" s="64"/>
      <c r="AJ1203" s="64"/>
      <c r="AK1203" s="64"/>
      <c r="AM1203" s="4">
        <v>80</v>
      </c>
      <c r="AN1203" s="93"/>
      <c r="AO1203" s="92"/>
      <c r="AS1203">
        <v>1</v>
      </c>
    </row>
    <row r="1204" spans="1:45">
      <c r="A1204">
        <v>261171</v>
      </c>
      <c r="B1204" s="8">
        <v>1001</v>
      </c>
      <c r="C1204" s="8">
        <v>1</v>
      </c>
      <c r="D1204" s="8">
        <v>3</v>
      </c>
      <c r="E1204" t="s">
        <v>3237</v>
      </c>
      <c r="F1204" s="13" t="s">
        <v>3238</v>
      </c>
      <c r="G1204" t="s">
        <v>3239</v>
      </c>
      <c r="H1204" s="13" t="s">
        <v>3215</v>
      </c>
      <c r="I1204">
        <v>1</v>
      </c>
      <c r="J1204">
        <v>5</v>
      </c>
      <c r="K1204" s="33">
        <v>1</v>
      </c>
      <c r="L1204" s="8">
        <v>999</v>
      </c>
      <c r="M1204" s="8">
        <v>0</v>
      </c>
      <c r="N1204" s="8"/>
      <c r="S1204" s="89">
        <v>1</v>
      </c>
      <c r="T1204" s="8">
        <v>5</v>
      </c>
      <c r="U1204" s="89">
        <v>80</v>
      </c>
      <c r="V1204" s="87">
        <v>1</v>
      </c>
      <c r="W1204">
        <v>1</v>
      </c>
      <c r="X1204" s="8">
        <v>1</v>
      </c>
      <c r="Y1204" s="8">
        <v>0</v>
      </c>
      <c r="Z1204" s="33">
        <v>0</v>
      </c>
      <c r="AA1204">
        <v>5</v>
      </c>
      <c r="AB1204" s="34">
        <v>3040</v>
      </c>
      <c r="AC1204" s="87">
        <v>999</v>
      </c>
      <c r="AF1204" s="63"/>
      <c r="AI1204" s="64"/>
      <c r="AJ1204" s="64"/>
      <c r="AK1204" s="64"/>
      <c r="AM1204" s="4">
        <v>80</v>
      </c>
      <c r="AN1204" s="93"/>
      <c r="AO1204" s="92"/>
      <c r="AS1204">
        <v>1</v>
      </c>
    </row>
    <row r="1205" spans="1:45">
      <c r="A1205">
        <v>261172</v>
      </c>
      <c r="B1205" s="8">
        <v>1001</v>
      </c>
      <c r="C1205" s="8">
        <v>1</v>
      </c>
      <c r="D1205" s="8">
        <v>3</v>
      </c>
      <c r="E1205" t="s">
        <v>3240</v>
      </c>
      <c r="F1205" s="13" t="s">
        <v>3241</v>
      </c>
      <c r="G1205" t="s">
        <v>3242</v>
      </c>
      <c r="H1205" s="13" t="s">
        <v>1579</v>
      </c>
      <c r="I1205">
        <v>1</v>
      </c>
      <c r="J1205">
        <v>2</v>
      </c>
      <c r="K1205" s="33">
        <v>1</v>
      </c>
      <c r="L1205" s="8">
        <v>999</v>
      </c>
      <c r="M1205" s="8">
        <v>0</v>
      </c>
      <c r="N1205" s="8"/>
      <c r="S1205" s="89">
        <v>1</v>
      </c>
      <c r="T1205" s="8">
        <v>5</v>
      </c>
      <c r="U1205" s="89">
        <v>80</v>
      </c>
      <c r="V1205" s="87">
        <v>1</v>
      </c>
      <c r="W1205">
        <v>1</v>
      </c>
      <c r="X1205" s="8">
        <v>1</v>
      </c>
      <c r="Y1205" s="8">
        <v>0</v>
      </c>
      <c r="Z1205" s="33">
        <v>0</v>
      </c>
      <c r="AA1205">
        <v>5</v>
      </c>
      <c r="AB1205" s="34">
        <v>3040</v>
      </c>
      <c r="AC1205" s="87">
        <v>999</v>
      </c>
      <c r="AF1205" s="63"/>
      <c r="AI1205" s="64"/>
      <c r="AJ1205" s="64"/>
      <c r="AK1205" s="64"/>
      <c r="AM1205" s="4"/>
      <c r="AN1205" s="93"/>
      <c r="AO1205" s="92"/>
      <c r="AS1205">
        <v>1</v>
      </c>
    </row>
    <row r="1206" spans="1:45">
      <c r="A1206">
        <v>261173</v>
      </c>
      <c r="B1206" s="8">
        <v>1001</v>
      </c>
      <c r="C1206" s="8">
        <v>1</v>
      </c>
      <c r="D1206" s="8">
        <v>3</v>
      </c>
      <c r="E1206" t="s">
        <v>3243</v>
      </c>
      <c r="F1206" s="13" t="s">
        <v>3241</v>
      </c>
      <c r="G1206" t="s">
        <v>3242</v>
      </c>
      <c r="H1206" s="13" t="s">
        <v>1581</v>
      </c>
      <c r="I1206">
        <v>1</v>
      </c>
      <c r="J1206">
        <v>3</v>
      </c>
      <c r="K1206" s="33">
        <v>1</v>
      </c>
      <c r="L1206" s="8">
        <v>999</v>
      </c>
      <c r="M1206" s="8">
        <v>0</v>
      </c>
      <c r="N1206" s="8"/>
      <c r="S1206" s="89">
        <v>1</v>
      </c>
      <c r="T1206" s="8">
        <v>5</v>
      </c>
      <c r="U1206" s="89">
        <v>80</v>
      </c>
      <c r="V1206" s="87">
        <v>1</v>
      </c>
      <c r="W1206">
        <v>1</v>
      </c>
      <c r="X1206" s="8">
        <v>1</v>
      </c>
      <c r="Y1206" s="8">
        <v>0</v>
      </c>
      <c r="Z1206" s="33">
        <v>0</v>
      </c>
      <c r="AA1206">
        <v>5</v>
      </c>
      <c r="AB1206" s="34">
        <v>3040</v>
      </c>
      <c r="AC1206" s="87">
        <v>999</v>
      </c>
      <c r="AF1206" s="63"/>
      <c r="AI1206" s="64"/>
      <c r="AJ1206" s="64"/>
      <c r="AK1206" s="64"/>
      <c r="AM1206" s="4"/>
      <c r="AN1206" s="93"/>
      <c r="AO1206" s="92"/>
      <c r="AS1206">
        <v>1</v>
      </c>
    </row>
    <row r="1207" spans="1:45">
      <c r="A1207">
        <v>261174</v>
      </c>
      <c r="B1207" s="8">
        <v>1001</v>
      </c>
      <c r="C1207" s="8">
        <v>1</v>
      </c>
      <c r="D1207" s="8">
        <v>3</v>
      </c>
      <c r="E1207" t="s">
        <v>3244</v>
      </c>
      <c r="F1207" s="13" t="s">
        <v>3241</v>
      </c>
      <c r="G1207" t="s">
        <v>3242</v>
      </c>
      <c r="H1207" s="13" t="s">
        <v>1583</v>
      </c>
      <c r="I1207">
        <v>1</v>
      </c>
      <c r="J1207">
        <v>4</v>
      </c>
      <c r="K1207" s="33">
        <v>1</v>
      </c>
      <c r="L1207" s="8">
        <v>999</v>
      </c>
      <c r="M1207" s="8">
        <v>0</v>
      </c>
      <c r="N1207" s="8"/>
      <c r="S1207" s="89">
        <v>1</v>
      </c>
      <c r="T1207" s="8">
        <v>5</v>
      </c>
      <c r="U1207" s="89">
        <v>80</v>
      </c>
      <c r="V1207" s="87">
        <v>1</v>
      </c>
      <c r="W1207">
        <v>1</v>
      </c>
      <c r="X1207" s="8">
        <v>1</v>
      </c>
      <c r="Y1207" s="8">
        <v>0</v>
      </c>
      <c r="Z1207" s="33">
        <v>0</v>
      </c>
      <c r="AA1207">
        <v>5</v>
      </c>
      <c r="AB1207" s="34">
        <v>3040</v>
      </c>
      <c r="AC1207" s="87">
        <v>999</v>
      </c>
      <c r="AF1207" s="63"/>
      <c r="AI1207" s="64"/>
      <c r="AJ1207" s="64"/>
      <c r="AK1207" s="64"/>
      <c r="AM1207" s="4"/>
      <c r="AN1207" s="93"/>
      <c r="AO1207" s="92"/>
      <c r="AS1207">
        <v>1</v>
      </c>
    </row>
    <row r="1208" spans="1:45">
      <c r="A1208">
        <v>261175</v>
      </c>
      <c r="B1208" s="8">
        <v>1001</v>
      </c>
      <c r="C1208" s="8">
        <v>1</v>
      </c>
      <c r="D1208" s="8">
        <v>3</v>
      </c>
      <c r="E1208" t="s">
        <v>3245</v>
      </c>
      <c r="F1208" s="13" t="s">
        <v>3241</v>
      </c>
      <c r="G1208" t="s">
        <v>3242</v>
      </c>
      <c r="H1208" s="13" t="s">
        <v>1585</v>
      </c>
      <c r="I1208">
        <v>1</v>
      </c>
      <c r="J1208">
        <v>5</v>
      </c>
      <c r="K1208" s="33">
        <v>1</v>
      </c>
      <c r="L1208" s="8">
        <v>999</v>
      </c>
      <c r="M1208" s="8">
        <v>0</v>
      </c>
      <c r="N1208" s="8"/>
      <c r="S1208" s="89">
        <v>1</v>
      </c>
      <c r="T1208" s="8">
        <v>5</v>
      </c>
      <c r="U1208" s="89">
        <v>80</v>
      </c>
      <c r="V1208" s="87">
        <v>1</v>
      </c>
      <c r="W1208">
        <v>1</v>
      </c>
      <c r="X1208" s="8">
        <v>1</v>
      </c>
      <c r="Y1208" s="8">
        <v>0</v>
      </c>
      <c r="Z1208" s="33">
        <v>0</v>
      </c>
      <c r="AA1208">
        <v>5</v>
      </c>
      <c r="AB1208" s="34">
        <v>3040</v>
      </c>
      <c r="AC1208" s="87">
        <v>999</v>
      </c>
      <c r="AF1208" s="63"/>
      <c r="AI1208" s="64"/>
      <c r="AJ1208" s="64"/>
      <c r="AK1208" s="64"/>
      <c r="AM1208" s="4"/>
      <c r="AN1208" s="93"/>
      <c r="AO1208" s="92"/>
      <c r="AS1208">
        <v>1</v>
      </c>
    </row>
    <row r="1209" spans="1:45">
      <c r="A1209">
        <v>261176</v>
      </c>
      <c r="B1209" s="8">
        <v>1001</v>
      </c>
      <c r="C1209" s="8">
        <v>1</v>
      </c>
      <c r="D1209" s="8">
        <v>3</v>
      </c>
      <c r="E1209" t="s">
        <v>3246</v>
      </c>
      <c r="F1209" s="13" t="s">
        <v>3241</v>
      </c>
      <c r="G1209" t="s">
        <v>3247</v>
      </c>
      <c r="H1209" s="13" t="s">
        <v>1579</v>
      </c>
      <c r="I1209">
        <v>1</v>
      </c>
      <c r="J1209">
        <v>2</v>
      </c>
      <c r="K1209" s="33">
        <v>1</v>
      </c>
      <c r="L1209" s="8">
        <v>999</v>
      </c>
      <c r="M1209" s="8">
        <v>0</v>
      </c>
      <c r="N1209" s="8"/>
      <c r="S1209" s="89">
        <v>1</v>
      </c>
      <c r="T1209" s="8">
        <v>5</v>
      </c>
      <c r="U1209" s="89">
        <v>80</v>
      </c>
      <c r="V1209" s="87">
        <v>1</v>
      </c>
      <c r="W1209">
        <v>1</v>
      </c>
      <c r="X1209" s="8">
        <v>1</v>
      </c>
      <c r="Y1209" s="8">
        <v>0</v>
      </c>
      <c r="Z1209" s="33">
        <v>0</v>
      </c>
      <c r="AA1209">
        <v>5</v>
      </c>
      <c r="AB1209" s="34">
        <v>3040</v>
      </c>
      <c r="AC1209" s="87">
        <v>999</v>
      </c>
      <c r="AF1209" s="63"/>
      <c r="AI1209" s="64"/>
      <c r="AJ1209" s="64"/>
      <c r="AK1209" s="64"/>
      <c r="AM1209" s="4"/>
      <c r="AN1209" s="93"/>
      <c r="AO1209" s="92"/>
      <c r="AS1209">
        <v>1</v>
      </c>
    </row>
    <row r="1210" spans="1:45">
      <c r="A1210">
        <v>261177</v>
      </c>
      <c r="B1210" s="8">
        <v>1001</v>
      </c>
      <c r="C1210" s="8">
        <v>1</v>
      </c>
      <c r="D1210" s="8">
        <v>3</v>
      </c>
      <c r="E1210" t="s">
        <v>3248</v>
      </c>
      <c r="F1210" s="13" t="s">
        <v>3241</v>
      </c>
      <c r="G1210" t="s">
        <v>3249</v>
      </c>
      <c r="H1210" s="13" t="s">
        <v>1581</v>
      </c>
      <c r="I1210">
        <v>1</v>
      </c>
      <c r="J1210">
        <v>3</v>
      </c>
      <c r="K1210" s="33">
        <v>1</v>
      </c>
      <c r="L1210" s="8">
        <v>999</v>
      </c>
      <c r="M1210" s="8">
        <v>0</v>
      </c>
      <c r="N1210" s="8"/>
      <c r="S1210" s="89">
        <v>1</v>
      </c>
      <c r="T1210" s="8">
        <v>5</v>
      </c>
      <c r="U1210" s="89">
        <v>80</v>
      </c>
      <c r="V1210" s="87">
        <v>1</v>
      </c>
      <c r="W1210">
        <v>1</v>
      </c>
      <c r="X1210" s="8">
        <v>1</v>
      </c>
      <c r="Y1210" s="8">
        <v>0</v>
      </c>
      <c r="Z1210" s="33">
        <v>0</v>
      </c>
      <c r="AA1210">
        <v>5</v>
      </c>
      <c r="AB1210" s="34">
        <v>3040</v>
      </c>
      <c r="AC1210" s="87">
        <v>999</v>
      </c>
      <c r="AF1210" s="63"/>
      <c r="AI1210" s="64"/>
      <c r="AJ1210" s="64"/>
      <c r="AK1210" s="64"/>
      <c r="AM1210" s="4"/>
      <c r="AN1210" s="93"/>
      <c r="AO1210" s="92"/>
      <c r="AS1210">
        <v>1</v>
      </c>
    </row>
    <row r="1211" spans="1:45">
      <c r="A1211">
        <v>261178</v>
      </c>
      <c r="B1211" s="8">
        <v>1001</v>
      </c>
      <c r="C1211" s="8">
        <v>1</v>
      </c>
      <c r="D1211" s="8">
        <v>3</v>
      </c>
      <c r="E1211" t="s">
        <v>3250</v>
      </c>
      <c r="F1211" s="13" t="s">
        <v>3241</v>
      </c>
      <c r="G1211" t="s">
        <v>3251</v>
      </c>
      <c r="H1211" s="13" t="s">
        <v>1583</v>
      </c>
      <c r="I1211">
        <v>1</v>
      </c>
      <c r="J1211">
        <v>4</v>
      </c>
      <c r="K1211" s="33">
        <v>1</v>
      </c>
      <c r="L1211" s="8">
        <v>999</v>
      </c>
      <c r="M1211" s="8">
        <v>0</v>
      </c>
      <c r="N1211" s="8"/>
      <c r="S1211" s="89">
        <v>1</v>
      </c>
      <c r="T1211" s="8">
        <v>5</v>
      </c>
      <c r="U1211" s="89">
        <v>80</v>
      </c>
      <c r="V1211" s="87">
        <v>1</v>
      </c>
      <c r="W1211">
        <v>1</v>
      </c>
      <c r="X1211" s="8">
        <v>1</v>
      </c>
      <c r="Y1211" s="8">
        <v>0</v>
      </c>
      <c r="Z1211" s="33">
        <v>0</v>
      </c>
      <c r="AA1211">
        <v>5</v>
      </c>
      <c r="AB1211" s="34">
        <v>3040</v>
      </c>
      <c r="AC1211" s="87">
        <v>999</v>
      </c>
      <c r="AF1211" s="63"/>
      <c r="AI1211" s="64"/>
      <c r="AJ1211" s="64"/>
      <c r="AK1211" s="64"/>
      <c r="AM1211" s="4"/>
      <c r="AN1211" s="93"/>
      <c r="AO1211" s="92"/>
      <c r="AS1211">
        <v>1</v>
      </c>
    </row>
    <row r="1212" spans="1:45">
      <c r="A1212">
        <v>261179</v>
      </c>
      <c r="B1212" s="8">
        <v>1001</v>
      </c>
      <c r="C1212" s="8">
        <v>1</v>
      </c>
      <c r="D1212" s="8">
        <v>3</v>
      </c>
      <c r="E1212" t="s">
        <v>3252</v>
      </c>
      <c r="F1212" s="13" t="s">
        <v>3241</v>
      </c>
      <c r="G1212" t="s">
        <v>3253</v>
      </c>
      <c r="H1212" s="13" t="s">
        <v>1585</v>
      </c>
      <c r="I1212">
        <v>1</v>
      </c>
      <c r="J1212">
        <v>5</v>
      </c>
      <c r="K1212" s="33">
        <v>1</v>
      </c>
      <c r="L1212" s="8">
        <v>999</v>
      </c>
      <c r="M1212" s="8">
        <v>0</v>
      </c>
      <c r="N1212" s="8"/>
      <c r="S1212" s="89">
        <v>1</v>
      </c>
      <c r="T1212" s="8">
        <v>5</v>
      </c>
      <c r="U1212" s="89">
        <v>80</v>
      </c>
      <c r="V1212" s="87">
        <v>1</v>
      </c>
      <c r="W1212">
        <v>1</v>
      </c>
      <c r="X1212" s="8">
        <v>1</v>
      </c>
      <c r="Y1212" s="8">
        <v>0</v>
      </c>
      <c r="Z1212" s="33">
        <v>0</v>
      </c>
      <c r="AA1212">
        <v>5</v>
      </c>
      <c r="AB1212" s="34">
        <v>3040</v>
      </c>
      <c r="AC1212" s="87">
        <v>999</v>
      </c>
      <c r="AF1212" s="63"/>
      <c r="AI1212" s="64"/>
      <c r="AJ1212" s="64"/>
      <c r="AK1212" s="64"/>
      <c r="AM1212" s="4"/>
      <c r="AN1212" s="93"/>
      <c r="AO1212" s="92"/>
      <c r="AS1212">
        <v>1</v>
      </c>
    </row>
    <row r="1213" spans="1:45">
      <c r="A1213">
        <v>261180</v>
      </c>
      <c r="B1213" s="8">
        <v>1001</v>
      </c>
      <c r="C1213" s="8">
        <v>1</v>
      </c>
      <c r="D1213" s="8">
        <v>3</v>
      </c>
      <c r="E1213" t="s">
        <v>3254</v>
      </c>
      <c r="F1213" s="13" t="s">
        <v>3241</v>
      </c>
      <c r="G1213" t="s">
        <v>3247</v>
      </c>
      <c r="H1213" s="13" t="s">
        <v>1579</v>
      </c>
      <c r="I1213">
        <v>1</v>
      </c>
      <c r="J1213">
        <v>2</v>
      </c>
      <c r="K1213" s="33">
        <v>1</v>
      </c>
      <c r="L1213" s="8">
        <v>999</v>
      </c>
      <c r="M1213" s="8">
        <v>0</v>
      </c>
      <c r="N1213" s="8"/>
      <c r="S1213" s="89">
        <v>1</v>
      </c>
      <c r="T1213" s="8">
        <v>5</v>
      </c>
      <c r="U1213" s="89">
        <v>80</v>
      </c>
      <c r="V1213" s="87">
        <v>1</v>
      </c>
      <c r="W1213">
        <v>1</v>
      </c>
      <c r="X1213" s="8">
        <v>1</v>
      </c>
      <c r="Y1213" s="8">
        <v>0</v>
      </c>
      <c r="Z1213" s="33">
        <v>0</v>
      </c>
      <c r="AA1213">
        <v>5</v>
      </c>
      <c r="AB1213" s="34">
        <v>3040</v>
      </c>
      <c r="AC1213" s="87">
        <v>999</v>
      </c>
      <c r="AF1213" s="63"/>
      <c r="AI1213" s="64"/>
      <c r="AJ1213" s="64"/>
      <c r="AK1213" s="64"/>
      <c r="AM1213" s="4"/>
      <c r="AN1213" s="93"/>
      <c r="AO1213" s="92"/>
      <c r="AS1213">
        <v>1</v>
      </c>
    </row>
    <row r="1214" spans="1:45">
      <c r="A1214">
        <v>261181</v>
      </c>
      <c r="B1214" s="8">
        <v>1001</v>
      </c>
      <c r="C1214" s="8">
        <v>1</v>
      </c>
      <c r="D1214" s="8">
        <v>3</v>
      </c>
      <c r="E1214" t="s">
        <v>3255</v>
      </c>
      <c r="F1214" s="13" t="s">
        <v>3241</v>
      </c>
      <c r="G1214" t="s">
        <v>3256</v>
      </c>
      <c r="H1214" s="13" t="s">
        <v>1581</v>
      </c>
      <c r="I1214">
        <v>1</v>
      </c>
      <c r="J1214">
        <v>3</v>
      </c>
      <c r="K1214" s="33">
        <v>1</v>
      </c>
      <c r="L1214" s="8">
        <v>999</v>
      </c>
      <c r="M1214" s="8">
        <v>0</v>
      </c>
      <c r="N1214" s="8"/>
      <c r="S1214" s="89">
        <v>1</v>
      </c>
      <c r="T1214" s="8">
        <v>5</v>
      </c>
      <c r="U1214" s="89">
        <v>80</v>
      </c>
      <c r="V1214" s="87">
        <v>1</v>
      </c>
      <c r="W1214">
        <v>1</v>
      </c>
      <c r="X1214" s="8">
        <v>1</v>
      </c>
      <c r="Y1214" s="8">
        <v>0</v>
      </c>
      <c r="Z1214" s="33">
        <v>0</v>
      </c>
      <c r="AA1214">
        <v>5</v>
      </c>
      <c r="AB1214" s="34">
        <v>3040</v>
      </c>
      <c r="AC1214" s="87">
        <v>999</v>
      </c>
      <c r="AF1214" s="63"/>
      <c r="AI1214" s="64"/>
      <c r="AJ1214" s="64"/>
      <c r="AK1214" s="64"/>
      <c r="AM1214" s="4"/>
      <c r="AN1214" s="93"/>
      <c r="AO1214" s="92"/>
      <c r="AS1214">
        <v>1</v>
      </c>
    </row>
    <row r="1215" spans="1:45">
      <c r="A1215">
        <v>261182</v>
      </c>
      <c r="B1215" s="8">
        <v>1001</v>
      </c>
      <c r="C1215" s="8">
        <v>1</v>
      </c>
      <c r="D1215" s="8">
        <v>3</v>
      </c>
      <c r="E1215" t="s">
        <v>3257</v>
      </c>
      <c r="F1215" s="13" t="s">
        <v>3241</v>
      </c>
      <c r="G1215" t="s">
        <v>3258</v>
      </c>
      <c r="H1215" s="13" t="s">
        <v>1583</v>
      </c>
      <c r="I1215">
        <v>1</v>
      </c>
      <c r="J1215">
        <v>4</v>
      </c>
      <c r="K1215" s="33">
        <v>1</v>
      </c>
      <c r="L1215" s="8">
        <v>999</v>
      </c>
      <c r="M1215" s="8">
        <v>0</v>
      </c>
      <c r="N1215" s="8"/>
      <c r="S1215" s="89">
        <v>1</v>
      </c>
      <c r="T1215" s="8">
        <v>5</v>
      </c>
      <c r="U1215" s="89">
        <v>80</v>
      </c>
      <c r="V1215" s="87">
        <v>1</v>
      </c>
      <c r="W1215">
        <v>1</v>
      </c>
      <c r="X1215" s="8">
        <v>1</v>
      </c>
      <c r="Y1215" s="8">
        <v>0</v>
      </c>
      <c r="Z1215" s="33">
        <v>0</v>
      </c>
      <c r="AA1215">
        <v>5</v>
      </c>
      <c r="AB1215" s="34">
        <v>3040</v>
      </c>
      <c r="AC1215" s="87">
        <v>999</v>
      </c>
      <c r="AF1215" s="63"/>
      <c r="AI1215" s="64"/>
      <c r="AJ1215" s="64"/>
      <c r="AK1215" s="64"/>
      <c r="AM1215" s="4"/>
      <c r="AN1215" s="93"/>
      <c r="AO1215" s="92"/>
      <c r="AS1215">
        <v>1</v>
      </c>
    </row>
    <row r="1216" spans="1:45">
      <c r="A1216">
        <v>261183</v>
      </c>
      <c r="B1216" s="8">
        <v>1001</v>
      </c>
      <c r="C1216" s="8">
        <v>1</v>
      </c>
      <c r="D1216" s="8">
        <v>3</v>
      </c>
      <c r="E1216" t="s">
        <v>3259</v>
      </c>
      <c r="F1216" s="13" t="s">
        <v>3241</v>
      </c>
      <c r="G1216" t="s">
        <v>3260</v>
      </c>
      <c r="H1216" s="13" t="s">
        <v>1585</v>
      </c>
      <c r="I1216">
        <v>1</v>
      </c>
      <c r="J1216">
        <v>5</v>
      </c>
      <c r="K1216" s="33">
        <v>1</v>
      </c>
      <c r="L1216" s="8">
        <v>999</v>
      </c>
      <c r="M1216" s="8">
        <v>0</v>
      </c>
      <c r="N1216" s="8"/>
      <c r="S1216" s="89">
        <v>1</v>
      </c>
      <c r="T1216" s="8">
        <v>5</v>
      </c>
      <c r="U1216" s="89">
        <v>80</v>
      </c>
      <c r="V1216" s="87">
        <v>1</v>
      </c>
      <c r="W1216">
        <v>1</v>
      </c>
      <c r="X1216" s="8">
        <v>1</v>
      </c>
      <c r="Y1216" s="8">
        <v>0</v>
      </c>
      <c r="Z1216" s="33">
        <v>0</v>
      </c>
      <c r="AA1216">
        <v>5</v>
      </c>
      <c r="AB1216" s="34">
        <v>3040</v>
      </c>
      <c r="AC1216" s="87">
        <v>999</v>
      </c>
      <c r="AF1216" s="63"/>
      <c r="AI1216" s="64"/>
      <c r="AJ1216" s="64"/>
      <c r="AK1216" s="64"/>
      <c r="AM1216" s="4"/>
      <c r="AN1216" s="93"/>
      <c r="AO1216" s="92"/>
      <c r="AS1216">
        <v>1</v>
      </c>
    </row>
    <row r="1217" spans="1:45">
      <c r="A1217">
        <v>261184</v>
      </c>
      <c r="B1217" s="8">
        <v>1001</v>
      </c>
      <c r="C1217" s="8">
        <v>1</v>
      </c>
      <c r="D1217" s="8">
        <v>3</v>
      </c>
      <c r="E1217" t="s">
        <v>3261</v>
      </c>
      <c r="F1217" s="13" t="s">
        <v>3241</v>
      </c>
      <c r="G1217" t="s">
        <v>3247</v>
      </c>
      <c r="H1217" s="13" t="s">
        <v>1579</v>
      </c>
      <c r="I1217">
        <v>1</v>
      </c>
      <c r="J1217">
        <v>2</v>
      </c>
      <c r="K1217" s="33">
        <v>1</v>
      </c>
      <c r="L1217" s="8">
        <v>999</v>
      </c>
      <c r="M1217" s="8">
        <v>0</v>
      </c>
      <c r="N1217" s="8"/>
      <c r="S1217" s="89">
        <v>1</v>
      </c>
      <c r="T1217" s="8">
        <v>5</v>
      </c>
      <c r="U1217" s="89">
        <v>80</v>
      </c>
      <c r="V1217" s="87">
        <v>1</v>
      </c>
      <c r="W1217">
        <v>1</v>
      </c>
      <c r="X1217" s="8">
        <v>1</v>
      </c>
      <c r="Y1217" s="8">
        <v>0</v>
      </c>
      <c r="Z1217" s="33">
        <v>0</v>
      </c>
      <c r="AA1217">
        <v>5</v>
      </c>
      <c r="AB1217" s="34">
        <v>3040</v>
      </c>
      <c r="AC1217" s="87">
        <v>999</v>
      </c>
      <c r="AF1217" s="63"/>
      <c r="AI1217" s="64"/>
      <c r="AJ1217" s="64"/>
      <c r="AK1217" s="64"/>
      <c r="AM1217" s="4"/>
      <c r="AN1217" s="93"/>
      <c r="AO1217" s="92"/>
      <c r="AS1217">
        <v>1</v>
      </c>
    </row>
    <row r="1218" spans="1:45">
      <c r="A1218">
        <v>261185</v>
      </c>
      <c r="B1218" s="8">
        <v>1001</v>
      </c>
      <c r="C1218" s="8">
        <v>1</v>
      </c>
      <c r="D1218" s="8">
        <v>3</v>
      </c>
      <c r="E1218" t="s">
        <v>3262</v>
      </c>
      <c r="F1218" s="13" t="s">
        <v>3241</v>
      </c>
      <c r="G1218" t="s">
        <v>3256</v>
      </c>
      <c r="H1218" s="13" t="s">
        <v>1581</v>
      </c>
      <c r="I1218">
        <v>1</v>
      </c>
      <c r="J1218">
        <v>3</v>
      </c>
      <c r="K1218" s="33">
        <v>1</v>
      </c>
      <c r="L1218" s="8">
        <v>999</v>
      </c>
      <c r="M1218" s="8">
        <v>0</v>
      </c>
      <c r="N1218" s="8"/>
      <c r="S1218" s="89">
        <v>1</v>
      </c>
      <c r="T1218" s="8">
        <v>5</v>
      </c>
      <c r="U1218" s="89">
        <v>80</v>
      </c>
      <c r="V1218" s="87">
        <v>1</v>
      </c>
      <c r="W1218">
        <v>1</v>
      </c>
      <c r="X1218" s="8">
        <v>1</v>
      </c>
      <c r="Y1218" s="8">
        <v>0</v>
      </c>
      <c r="Z1218" s="33">
        <v>0</v>
      </c>
      <c r="AA1218">
        <v>5</v>
      </c>
      <c r="AB1218" s="34">
        <v>3040</v>
      </c>
      <c r="AC1218" s="87">
        <v>999</v>
      </c>
      <c r="AF1218" s="63"/>
      <c r="AI1218" s="64"/>
      <c r="AJ1218" s="64"/>
      <c r="AK1218" s="64"/>
      <c r="AM1218" s="4"/>
      <c r="AN1218" s="93"/>
      <c r="AO1218" s="92"/>
      <c r="AS1218">
        <v>1</v>
      </c>
    </row>
    <row r="1219" spans="1:45">
      <c r="A1219">
        <v>261186</v>
      </c>
      <c r="B1219" s="8">
        <v>1001</v>
      </c>
      <c r="C1219" s="8">
        <v>1</v>
      </c>
      <c r="D1219" s="8">
        <v>3</v>
      </c>
      <c r="E1219" t="s">
        <v>3263</v>
      </c>
      <c r="F1219" s="13" t="s">
        <v>3241</v>
      </c>
      <c r="G1219" t="s">
        <v>3258</v>
      </c>
      <c r="H1219" s="13" t="s">
        <v>1583</v>
      </c>
      <c r="I1219">
        <v>1</v>
      </c>
      <c r="J1219">
        <v>4</v>
      </c>
      <c r="K1219" s="33">
        <v>1</v>
      </c>
      <c r="L1219" s="8">
        <v>999</v>
      </c>
      <c r="M1219" s="8">
        <v>0</v>
      </c>
      <c r="N1219" s="8"/>
      <c r="S1219" s="89">
        <v>1</v>
      </c>
      <c r="T1219" s="8">
        <v>5</v>
      </c>
      <c r="U1219" s="89">
        <v>80</v>
      </c>
      <c r="V1219" s="87">
        <v>1</v>
      </c>
      <c r="W1219">
        <v>1</v>
      </c>
      <c r="X1219" s="8">
        <v>1</v>
      </c>
      <c r="Y1219" s="8">
        <v>0</v>
      </c>
      <c r="Z1219" s="33">
        <v>0</v>
      </c>
      <c r="AA1219">
        <v>5</v>
      </c>
      <c r="AB1219" s="34">
        <v>3040</v>
      </c>
      <c r="AC1219" s="87">
        <v>999</v>
      </c>
      <c r="AF1219" s="63"/>
      <c r="AI1219" s="64"/>
      <c r="AJ1219" s="64"/>
      <c r="AK1219" s="64"/>
      <c r="AM1219" s="4"/>
      <c r="AN1219" s="93"/>
      <c r="AO1219" s="92"/>
      <c r="AS1219">
        <v>1</v>
      </c>
    </row>
    <row r="1220" spans="1:45">
      <c r="A1220">
        <v>261187</v>
      </c>
      <c r="B1220" s="8">
        <v>1001</v>
      </c>
      <c r="C1220" s="8">
        <v>1</v>
      </c>
      <c r="D1220" s="8">
        <v>3</v>
      </c>
      <c r="E1220" t="s">
        <v>3264</v>
      </c>
      <c r="F1220" s="13" t="s">
        <v>3241</v>
      </c>
      <c r="G1220" t="s">
        <v>3260</v>
      </c>
      <c r="H1220" s="13" t="s">
        <v>1585</v>
      </c>
      <c r="I1220">
        <v>1</v>
      </c>
      <c r="J1220">
        <v>5</v>
      </c>
      <c r="K1220" s="33">
        <v>1</v>
      </c>
      <c r="L1220" s="8">
        <v>999</v>
      </c>
      <c r="M1220" s="8">
        <v>0</v>
      </c>
      <c r="N1220" s="8"/>
      <c r="S1220" s="89">
        <v>1</v>
      </c>
      <c r="T1220" s="8">
        <v>5</v>
      </c>
      <c r="U1220" s="89">
        <v>80</v>
      </c>
      <c r="V1220" s="87">
        <v>1</v>
      </c>
      <c r="W1220">
        <v>1</v>
      </c>
      <c r="X1220" s="8">
        <v>1</v>
      </c>
      <c r="Y1220" s="8">
        <v>0</v>
      </c>
      <c r="Z1220" s="33">
        <v>0</v>
      </c>
      <c r="AA1220">
        <v>5</v>
      </c>
      <c r="AB1220" s="34">
        <v>3040</v>
      </c>
      <c r="AC1220" s="87">
        <v>999</v>
      </c>
      <c r="AF1220" s="63"/>
      <c r="AI1220" s="64"/>
      <c r="AJ1220" s="64"/>
      <c r="AK1220" s="64"/>
      <c r="AM1220" s="4"/>
      <c r="AN1220" s="93"/>
      <c r="AO1220" s="92"/>
      <c r="AS1220">
        <v>1</v>
      </c>
    </row>
    <row r="1221" spans="1:45">
      <c r="A1221">
        <v>261188</v>
      </c>
      <c r="B1221" s="8">
        <v>1001</v>
      </c>
      <c r="C1221" s="8">
        <v>1</v>
      </c>
      <c r="D1221" s="8">
        <v>3</v>
      </c>
      <c r="E1221" t="s">
        <v>3265</v>
      </c>
      <c r="F1221" s="13" t="s">
        <v>3241</v>
      </c>
      <c r="G1221" t="s">
        <v>3247</v>
      </c>
      <c r="H1221" s="13" t="s">
        <v>1579</v>
      </c>
      <c r="I1221">
        <v>1</v>
      </c>
      <c r="J1221">
        <v>2</v>
      </c>
      <c r="K1221" s="33">
        <v>1</v>
      </c>
      <c r="L1221" s="8">
        <v>999</v>
      </c>
      <c r="M1221" s="8">
        <v>0</v>
      </c>
      <c r="N1221" s="8"/>
      <c r="S1221" s="89">
        <v>1</v>
      </c>
      <c r="T1221" s="8">
        <v>5</v>
      </c>
      <c r="U1221" s="89">
        <v>80</v>
      </c>
      <c r="V1221" s="87">
        <v>1</v>
      </c>
      <c r="W1221">
        <v>1</v>
      </c>
      <c r="X1221" s="8">
        <v>1</v>
      </c>
      <c r="Y1221" s="8">
        <v>0</v>
      </c>
      <c r="Z1221" s="33">
        <v>0</v>
      </c>
      <c r="AA1221">
        <v>5</v>
      </c>
      <c r="AB1221" s="34">
        <v>3040</v>
      </c>
      <c r="AC1221" s="87">
        <v>999</v>
      </c>
      <c r="AF1221" s="63"/>
      <c r="AI1221" s="64"/>
      <c r="AJ1221" s="64"/>
      <c r="AK1221" s="64"/>
      <c r="AM1221" s="4"/>
      <c r="AN1221" s="93"/>
      <c r="AO1221" s="92"/>
      <c r="AS1221">
        <v>1</v>
      </c>
    </row>
    <row r="1222" spans="1:45">
      <c r="A1222">
        <v>261189</v>
      </c>
      <c r="B1222" s="8">
        <v>1001</v>
      </c>
      <c r="C1222" s="8">
        <v>1</v>
      </c>
      <c r="D1222" s="8">
        <v>3</v>
      </c>
      <c r="E1222" t="s">
        <v>3266</v>
      </c>
      <c r="F1222" s="13" t="s">
        <v>3241</v>
      </c>
      <c r="G1222" t="s">
        <v>3267</v>
      </c>
      <c r="H1222" s="13" t="s">
        <v>1581</v>
      </c>
      <c r="I1222">
        <v>1</v>
      </c>
      <c r="J1222">
        <v>3</v>
      </c>
      <c r="K1222" s="33">
        <v>1</v>
      </c>
      <c r="L1222" s="8">
        <v>999</v>
      </c>
      <c r="M1222" s="8">
        <v>0</v>
      </c>
      <c r="N1222" s="8"/>
      <c r="S1222" s="89">
        <v>1</v>
      </c>
      <c r="T1222" s="8">
        <v>5</v>
      </c>
      <c r="U1222" s="89">
        <v>80</v>
      </c>
      <c r="V1222" s="87">
        <v>1</v>
      </c>
      <c r="W1222">
        <v>1</v>
      </c>
      <c r="X1222" s="8">
        <v>1</v>
      </c>
      <c r="Y1222" s="8">
        <v>0</v>
      </c>
      <c r="Z1222" s="33">
        <v>0</v>
      </c>
      <c r="AA1222">
        <v>5</v>
      </c>
      <c r="AB1222" s="34">
        <v>3040</v>
      </c>
      <c r="AC1222" s="87">
        <v>999</v>
      </c>
      <c r="AF1222" s="63"/>
      <c r="AI1222" s="64"/>
      <c r="AJ1222" s="64"/>
      <c r="AK1222" s="64"/>
      <c r="AM1222" s="4"/>
      <c r="AN1222" s="93"/>
      <c r="AO1222" s="92"/>
      <c r="AS1222">
        <v>1</v>
      </c>
    </row>
    <row r="1223" spans="1:45">
      <c r="A1223">
        <v>261190</v>
      </c>
      <c r="B1223" s="8">
        <v>1001</v>
      </c>
      <c r="C1223" s="8">
        <v>1</v>
      </c>
      <c r="D1223" s="8">
        <v>3</v>
      </c>
      <c r="E1223" t="s">
        <v>3268</v>
      </c>
      <c r="F1223" s="13" t="s">
        <v>3241</v>
      </c>
      <c r="G1223" t="s">
        <v>3269</v>
      </c>
      <c r="H1223" s="13" t="s">
        <v>1583</v>
      </c>
      <c r="I1223">
        <v>1</v>
      </c>
      <c r="J1223">
        <v>4</v>
      </c>
      <c r="K1223" s="33">
        <v>1</v>
      </c>
      <c r="L1223" s="8">
        <v>999</v>
      </c>
      <c r="M1223" s="8">
        <v>0</v>
      </c>
      <c r="N1223" s="8"/>
      <c r="S1223" s="89">
        <v>1</v>
      </c>
      <c r="T1223" s="8">
        <v>5</v>
      </c>
      <c r="U1223" s="89">
        <v>80</v>
      </c>
      <c r="V1223" s="87">
        <v>1</v>
      </c>
      <c r="W1223">
        <v>1</v>
      </c>
      <c r="X1223" s="8">
        <v>1</v>
      </c>
      <c r="Y1223" s="8">
        <v>0</v>
      </c>
      <c r="Z1223" s="33">
        <v>0</v>
      </c>
      <c r="AA1223">
        <v>5</v>
      </c>
      <c r="AB1223" s="34">
        <v>3040</v>
      </c>
      <c r="AC1223" s="87">
        <v>999</v>
      </c>
      <c r="AF1223" s="63"/>
      <c r="AI1223" s="64"/>
      <c r="AJ1223" s="64"/>
      <c r="AK1223" s="64"/>
      <c r="AM1223" s="4"/>
      <c r="AN1223" s="93"/>
      <c r="AO1223" s="92"/>
      <c r="AS1223">
        <v>1</v>
      </c>
    </row>
    <row r="1224" spans="1:45">
      <c r="A1224">
        <v>261191</v>
      </c>
      <c r="B1224" s="8">
        <v>1001</v>
      </c>
      <c r="C1224" s="8">
        <v>1</v>
      </c>
      <c r="D1224" s="8">
        <v>3</v>
      </c>
      <c r="E1224" t="s">
        <v>3270</v>
      </c>
      <c r="F1224" s="253" t="s">
        <v>3241</v>
      </c>
      <c r="G1224" t="s">
        <v>3271</v>
      </c>
      <c r="H1224" s="13" t="s">
        <v>1585</v>
      </c>
      <c r="I1224">
        <v>1</v>
      </c>
      <c r="J1224">
        <v>5</v>
      </c>
      <c r="K1224" s="33">
        <v>1</v>
      </c>
      <c r="L1224" s="8">
        <v>999</v>
      </c>
      <c r="M1224" s="8">
        <v>0</v>
      </c>
      <c r="N1224" s="8"/>
      <c r="S1224" s="89">
        <v>1</v>
      </c>
      <c r="T1224" s="8">
        <v>5</v>
      </c>
      <c r="U1224" s="89">
        <v>80</v>
      </c>
      <c r="V1224" s="87">
        <v>1</v>
      </c>
      <c r="W1224">
        <v>1</v>
      </c>
      <c r="X1224" s="8">
        <v>1</v>
      </c>
      <c r="Y1224" s="8">
        <v>0</v>
      </c>
      <c r="Z1224" s="33">
        <v>0</v>
      </c>
      <c r="AA1224">
        <v>5</v>
      </c>
      <c r="AB1224" s="34">
        <v>3040</v>
      </c>
      <c r="AC1224" s="87">
        <v>999</v>
      </c>
      <c r="AF1224" s="63"/>
      <c r="AI1224" s="64"/>
      <c r="AJ1224" s="64"/>
      <c r="AK1224" s="64"/>
      <c r="AM1224" s="4"/>
      <c r="AN1224" s="93"/>
      <c r="AO1224" s="92"/>
      <c r="AS1224">
        <v>1</v>
      </c>
    </row>
    <row r="1225" spans="1:45">
      <c r="A1225">
        <v>261192</v>
      </c>
      <c r="B1225" s="8">
        <v>1001</v>
      </c>
      <c r="C1225" s="8">
        <v>1</v>
      </c>
      <c r="D1225" s="8">
        <v>3</v>
      </c>
      <c r="E1225" t="s">
        <v>3272</v>
      </c>
      <c r="F1225" t="s">
        <v>3272</v>
      </c>
      <c r="G1225" t="s">
        <v>3273</v>
      </c>
      <c r="H1225" s="13" t="s">
        <v>3274</v>
      </c>
      <c r="I1225">
        <v>1</v>
      </c>
      <c r="J1225">
        <v>1</v>
      </c>
      <c r="K1225" s="33">
        <v>1</v>
      </c>
      <c r="L1225" s="8">
        <v>999</v>
      </c>
      <c r="M1225" s="8">
        <v>0</v>
      </c>
      <c r="N1225" s="8"/>
      <c r="S1225" s="89">
        <v>1</v>
      </c>
      <c r="T1225" s="8">
        <v>5</v>
      </c>
      <c r="U1225" s="89">
        <v>80</v>
      </c>
      <c r="V1225" s="87">
        <v>1</v>
      </c>
      <c r="W1225">
        <v>1</v>
      </c>
      <c r="X1225" s="8">
        <v>1</v>
      </c>
      <c r="Y1225" s="8">
        <v>0</v>
      </c>
      <c r="Z1225" s="33">
        <v>0</v>
      </c>
      <c r="AA1225">
        <v>5</v>
      </c>
      <c r="AB1225" s="34">
        <v>3040</v>
      </c>
      <c r="AC1225" s="87">
        <v>999</v>
      </c>
      <c r="AF1225" s="63"/>
      <c r="AI1225" s="64"/>
      <c r="AJ1225" s="64"/>
      <c r="AK1225" s="64"/>
      <c r="AM1225" s="4">
        <v>100</v>
      </c>
      <c r="AN1225" s="93"/>
      <c r="AO1225" s="92"/>
      <c r="AS1225">
        <v>1</v>
      </c>
    </row>
    <row r="1226" spans="1:45">
      <c r="A1226">
        <v>261193</v>
      </c>
      <c r="B1226" s="8">
        <v>1001</v>
      </c>
      <c r="C1226" s="8">
        <v>1</v>
      </c>
      <c r="D1226" s="8">
        <v>3</v>
      </c>
      <c r="E1226" t="s">
        <v>3275</v>
      </c>
      <c r="F1226" t="s">
        <v>3275</v>
      </c>
      <c r="G1226" t="s">
        <v>3276</v>
      </c>
      <c r="H1226" s="13" t="s">
        <v>3277</v>
      </c>
      <c r="I1226">
        <v>1</v>
      </c>
      <c r="J1226">
        <v>1</v>
      </c>
      <c r="K1226" s="33">
        <v>1</v>
      </c>
      <c r="L1226" s="8">
        <v>999</v>
      </c>
      <c r="M1226" s="8">
        <v>0</v>
      </c>
      <c r="N1226" s="8"/>
      <c r="S1226" s="89">
        <v>1</v>
      </c>
      <c r="T1226" s="8">
        <v>5</v>
      </c>
      <c r="U1226" s="89">
        <v>80</v>
      </c>
      <c r="V1226" s="87">
        <v>1</v>
      </c>
      <c r="W1226">
        <v>1</v>
      </c>
      <c r="X1226" s="8">
        <v>1</v>
      </c>
      <c r="Y1226" s="8">
        <v>0</v>
      </c>
      <c r="Z1226" s="33">
        <v>0</v>
      </c>
      <c r="AA1226">
        <v>5</v>
      </c>
      <c r="AB1226" s="34">
        <v>3040</v>
      </c>
      <c r="AC1226" s="87">
        <v>999</v>
      </c>
      <c r="AF1226" s="63"/>
      <c r="AI1226" s="64"/>
      <c r="AJ1226" s="64"/>
      <c r="AK1226" s="64"/>
      <c r="AM1226" s="4">
        <v>100</v>
      </c>
      <c r="AN1226" s="93"/>
      <c r="AO1226" s="92"/>
      <c r="AS1226">
        <v>1</v>
      </c>
    </row>
    <row r="1227" spans="1:45">
      <c r="A1227">
        <v>261194</v>
      </c>
      <c r="B1227" s="8">
        <v>1001</v>
      </c>
      <c r="C1227" s="8">
        <v>1</v>
      </c>
      <c r="D1227" s="8">
        <v>3</v>
      </c>
      <c r="E1227" t="s">
        <v>3278</v>
      </c>
      <c r="F1227" t="s">
        <v>3278</v>
      </c>
      <c r="G1227" t="s">
        <v>3279</v>
      </c>
      <c r="H1227" s="13" t="s">
        <v>3280</v>
      </c>
      <c r="I1227">
        <v>1</v>
      </c>
      <c r="J1227">
        <v>1</v>
      </c>
      <c r="K1227" s="33">
        <v>1</v>
      </c>
      <c r="L1227" s="8">
        <v>999</v>
      </c>
      <c r="M1227" s="8">
        <v>0</v>
      </c>
      <c r="N1227" s="8"/>
      <c r="S1227" s="89">
        <v>1</v>
      </c>
      <c r="T1227" s="8">
        <v>5</v>
      </c>
      <c r="U1227" s="89">
        <v>80</v>
      </c>
      <c r="V1227" s="87">
        <v>1</v>
      </c>
      <c r="W1227">
        <v>1</v>
      </c>
      <c r="X1227" s="8">
        <v>1</v>
      </c>
      <c r="Y1227" s="8">
        <v>0</v>
      </c>
      <c r="Z1227" s="33">
        <v>0</v>
      </c>
      <c r="AA1227">
        <v>5</v>
      </c>
      <c r="AB1227" s="34">
        <v>3040</v>
      </c>
      <c r="AC1227" s="87">
        <v>999</v>
      </c>
      <c r="AF1227" s="63"/>
      <c r="AI1227" s="64"/>
      <c r="AJ1227" s="64"/>
      <c r="AK1227" s="64"/>
      <c r="AM1227" s="4">
        <v>100</v>
      </c>
      <c r="AN1227" s="93"/>
      <c r="AO1227" s="92"/>
      <c r="AS1227">
        <v>1</v>
      </c>
    </row>
    <row r="1228" spans="1:45">
      <c r="A1228">
        <v>261195</v>
      </c>
      <c r="B1228" s="8">
        <v>1001</v>
      </c>
      <c r="C1228" s="8">
        <v>1</v>
      </c>
      <c r="D1228" s="8">
        <v>3</v>
      </c>
      <c r="E1228" t="s">
        <v>3281</v>
      </c>
      <c r="F1228" t="s">
        <v>3281</v>
      </c>
      <c r="G1228" t="s">
        <v>3282</v>
      </c>
      <c r="H1228" s="13" t="s">
        <v>3283</v>
      </c>
      <c r="I1228">
        <v>1</v>
      </c>
      <c r="J1228">
        <v>1</v>
      </c>
      <c r="K1228" s="33">
        <v>1</v>
      </c>
      <c r="L1228" s="8">
        <v>999</v>
      </c>
      <c r="M1228" s="8">
        <v>0</v>
      </c>
      <c r="N1228" s="8"/>
      <c r="S1228" s="89">
        <v>1</v>
      </c>
      <c r="T1228" s="8">
        <v>5</v>
      </c>
      <c r="U1228" s="89">
        <v>80</v>
      </c>
      <c r="V1228" s="87">
        <v>1</v>
      </c>
      <c r="W1228">
        <v>1</v>
      </c>
      <c r="X1228" s="8">
        <v>1</v>
      </c>
      <c r="Y1228" s="8">
        <v>0</v>
      </c>
      <c r="Z1228" s="33">
        <v>0</v>
      </c>
      <c r="AA1228">
        <v>5</v>
      </c>
      <c r="AB1228" s="34">
        <v>3040</v>
      </c>
      <c r="AC1228" s="87">
        <v>999</v>
      </c>
      <c r="AF1228" s="63"/>
      <c r="AI1228" s="64"/>
      <c r="AJ1228" s="64"/>
      <c r="AK1228" s="64"/>
      <c r="AM1228" s="4">
        <v>100</v>
      </c>
      <c r="AN1228" s="93"/>
      <c r="AO1228" s="92"/>
      <c r="AS1228">
        <v>1</v>
      </c>
    </row>
    <row r="1229" spans="1:45">
      <c r="A1229">
        <v>261196</v>
      </c>
      <c r="B1229" s="8">
        <v>1001</v>
      </c>
      <c r="C1229" s="8">
        <v>1</v>
      </c>
      <c r="D1229" s="8">
        <v>3</v>
      </c>
      <c r="E1229" t="s">
        <v>3284</v>
      </c>
      <c r="F1229" t="s">
        <v>3284</v>
      </c>
      <c r="G1229" t="s">
        <v>3285</v>
      </c>
      <c r="H1229" s="13" t="s">
        <v>3286</v>
      </c>
      <c r="I1229">
        <v>1</v>
      </c>
      <c r="J1229">
        <v>1</v>
      </c>
      <c r="K1229" s="33">
        <v>1</v>
      </c>
      <c r="L1229" s="8">
        <v>999</v>
      </c>
      <c r="M1229" s="8">
        <v>0</v>
      </c>
      <c r="N1229" s="8"/>
      <c r="S1229" s="89">
        <v>1</v>
      </c>
      <c r="T1229" s="8">
        <v>5</v>
      </c>
      <c r="U1229" s="89">
        <v>80</v>
      </c>
      <c r="V1229" s="87">
        <v>1</v>
      </c>
      <c r="W1229">
        <v>1</v>
      </c>
      <c r="X1229" s="8">
        <v>1</v>
      </c>
      <c r="Y1229" s="8">
        <v>0</v>
      </c>
      <c r="Z1229" s="33">
        <v>0</v>
      </c>
      <c r="AA1229">
        <v>5</v>
      </c>
      <c r="AB1229" s="34">
        <v>3040</v>
      </c>
      <c r="AC1229" s="87">
        <v>999</v>
      </c>
      <c r="AF1229" s="63"/>
      <c r="AI1229" s="64"/>
      <c r="AJ1229" s="64"/>
      <c r="AK1229" s="64"/>
      <c r="AM1229" s="4">
        <v>100</v>
      </c>
      <c r="AN1229" s="93"/>
      <c r="AO1229" s="92"/>
      <c r="AS1229">
        <v>1</v>
      </c>
    </row>
    <row r="1230" spans="1:45">
      <c r="A1230">
        <v>261197</v>
      </c>
      <c r="B1230" s="8">
        <v>1001</v>
      </c>
      <c r="C1230" s="8">
        <v>1</v>
      </c>
      <c r="D1230" s="8">
        <v>3</v>
      </c>
      <c r="E1230" t="s">
        <v>3287</v>
      </c>
      <c r="F1230" t="s">
        <v>3287</v>
      </c>
      <c r="G1230" t="s">
        <v>3288</v>
      </c>
      <c r="H1230" s="13" t="s">
        <v>3289</v>
      </c>
      <c r="I1230">
        <v>1</v>
      </c>
      <c r="J1230">
        <v>1</v>
      </c>
      <c r="K1230" s="33">
        <v>1</v>
      </c>
      <c r="L1230" s="8">
        <v>999</v>
      </c>
      <c r="M1230" s="8">
        <v>0</v>
      </c>
      <c r="N1230" s="8"/>
      <c r="S1230" s="89">
        <v>1</v>
      </c>
      <c r="T1230" s="8">
        <v>5</v>
      </c>
      <c r="U1230" s="89">
        <v>80</v>
      </c>
      <c r="V1230" s="87">
        <v>1</v>
      </c>
      <c r="W1230">
        <v>1</v>
      </c>
      <c r="X1230" s="8">
        <v>1</v>
      </c>
      <c r="Y1230" s="8">
        <v>0</v>
      </c>
      <c r="Z1230" s="33">
        <v>0</v>
      </c>
      <c r="AA1230">
        <v>5</v>
      </c>
      <c r="AB1230" s="34">
        <v>3040</v>
      </c>
      <c r="AC1230" s="87">
        <v>999</v>
      </c>
      <c r="AF1230" s="63"/>
      <c r="AI1230" s="64"/>
      <c r="AJ1230" s="64"/>
      <c r="AK1230" s="64"/>
      <c r="AM1230" s="4">
        <v>100</v>
      </c>
      <c r="AN1230" s="93"/>
      <c r="AO1230" s="92"/>
      <c r="AS1230">
        <v>1</v>
      </c>
    </row>
    <row r="1231" spans="1:45">
      <c r="A1231">
        <v>261198</v>
      </c>
      <c r="B1231" s="8">
        <v>1001</v>
      </c>
      <c r="C1231" s="8">
        <v>1</v>
      </c>
      <c r="D1231" s="8">
        <v>3</v>
      </c>
      <c r="E1231" t="s">
        <v>3290</v>
      </c>
      <c r="F1231" t="s">
        <v>3290</v>
      </c>
      <c r="G1231" t="s">
        <v>3291</v>
      </c>
      <c r="H1231" s="13" t="s">
        <v>3292</v>
      </c>
      <c r="I1231">
        <v>1</v>
      </c>
      <c r="J1231">
        <v>1</v>
      </c>
      <c r="K1231" s="33">
        <v>1</v>
      </c>
      <c r="L1231" s="8">
        <v>999</v>
      </c>
      <c r="M1231" s="8">
        <v>0</v>
      </c>
      <c r="N1231" s="8"/>
      <c r="S1231" s="89">
        <v>1</v>
      </c>
      <c r="T1231" s="8">
        <v>5</v>
      </c>
      <c r="U1231" s="89">
        <v>80</v>
      </c>
      <c r="V1231" s="87">
        <v>1</v>
      </c>
      <c r="W1231">
        <v>1</v>
      </c>
      <c r="X1231" s="8">
        <v>1</v>
      </c>
      <c r="Y1231" s="8">
        <v>0</v>
      </c>
      <c r="Z1231" s="33">
        <v>0</v>
      </c>
      <c r="AA1231">
        <v>5</v>
      </c>
      <c r="AB1231" s="34">
        <v>3040</v>
      </c>
      <c r="AC1231" s="87">
        <v>999</v>
      </c>
      <c r="AF1231" s="63"/>
      <c r="AI1231" s="64"/>
      <c r="AJ1231" s="64"/>
      <c r="AK1231" s="64"/>
      <c r="AM1231" s="4">
        <v>100</v>
      </c>
      <c r="AN1231" s="93"/>
      <c r="AO1231" s="92"/>
      <c r="AS1231">
        <v>1</v>
      </c>
    </row>
    <row r="1232" spans="1:45">
      <c r="A1232">
        <v>261199</v>
      </c>
      <c r="B1232" s="8">
        <v>1001</v>
      </c>
      <c r="C1232" s="8">
        <v>1</v>
      </c>
      <c r="D1232" s="8">
        <v>3</v>
      </c>
      <c r="E1232" t="s">
        <v>3293</v>
      </c>
      <c r="F1232" t="s">
        <v>3293</v>
      </c>
      <c r="G1232" t="s">
        <v>3294</v>
      </c>
      <c r="H1232" s="13" t="s">
        <v>3295</v>
      </c>
      <c r="I1232">
        <v>1</v>
      </c>
      <c r="J1232">
        <v>1</v>
      </c>
      <c r="K1232" s="33">
        <v>1</v>
      </c>
      <c r="L1232" s="8">
        <v>999</v>
      </c>
      <c r="M1232" s="8">
        <v>0</v>
      </c>
      <c r="N1232" s="8"/>
      <c r="S1232" s="89">
        <v>1</v>
      </c>
      <c r="T1232" s="8">
        <v>5</v>
      </c>
      <c r="U1232" s="89">
        <v>80</v>
      </c>
      <c r="V1232" s="87">
        <v>1</v>
      </c>
      <c r="W1232">
        <v>1</v>
      </c>
      <c r="X1232" s="8">
        <v>1</v>
      </c>
      <c r="Y1232" s="8">
        <v>0</v>
      </c>
      <c r="Z1232" s="33">
        <v>0</v>
      </c>
      <c r="AA1232">
        <v>5</v>
      </c>
      <c r="AB1232" s="34">
        <v>3040</v>
      </c>
      <c r="AC1232" s="87">
        <v>999</v>
      </c>
      <c r="AF1232" s="63"/>
      <c r="AI1232" s="64"/>
      <c r="AJ1232" s="64"/>
      <c r="AK1232" s="64"/>
      <c r="AM1232" s="4">
        <v>100</v>
      </c>
      <c r="AN1232" s="93"/>
      <c r="AO1232" s="92"/>
      <c r="AS1232">
        <v>1</v>
      </c>
    </row>
    <row r="1233" spans="1:45">
      <c r="A1233">
        <v>261200</v>
      </c>
      <c r="B1233" s="8">
        <v>1001</v>
      </c>
      <c r="C1233" s="8">
        <v>1</v>
      </c>
      <c r="D1233" s="8">
        <v>3</v>
      </c>
      <c r="E1233" t="s">
        <v>3296</v>
      </c>
      <c r="F1233" t="s">
        <v>3296</v>
      </c>
      <c r="G1233" t="s">
        <v>3297</v>
      </c>
      <c r="H1233" s="13" t="s">
        <v>3298</v>
      </c>
      <c r="I1233">
        <v>1</v>
      </c>
      <c r="J1233">
        <v>1</v>
      </c>
      <c r="K1233" s="33">
        <v>1</v>
      </c>
      <c r="L1233" s="8">
        <v>999</v>
      </c>
      <c r="M1233" s="8">
        <v>0</v>
      </c>
      <c r="N1233" s="8"/>
      <c r="S1233" s="89">
        <v>1</v>
      </c>
      <c r="T1233" s="8">
        <v>5</v>
      </c>
      <c r="U1233" s="89">
        <v>80</v>
      </c>
      <c r="V1233" s="87">
        <v>1</v>
      </c>
      <c r="W1233">
        <v>1</v>
      </c>
      <c r="X1233" s="8">
        <v>1</v>
      </c>
      <c r="Y1233" s="8">
        <v>0</v>
      </c>
      <c r="Z1233" s="33">
        <v>0</v>
      </c>
      <c r="AA1233">
        <v>5</v>
      </c>
      <c r="AB1233" s="34">
        <v>3040</v>
      </c>
      <c r="AC1233" s="87">
        <v>999</v>
      </c>
      <c r="AF1233" s="63"/>
      <c r="AI1233" s="64"/>
      <c r="AJ1233" s="64"/>
      <c r="AK1233" s="64"/>
      <c r="AM1233" s="4">
        <v>100</v>
      </c>
      <c r="AN1233" s="93"/>
      <c r="AO1233" s="92"/>
      <c r="AS1233">
        <v>1</v>
      </c>
    </row>
    <row r="1234" spans="1:45">
      <c r="A1234">
        <v>261201</v>
      </c>
      <c r="B1234" s="8">
        <v>1001</v>
      </c>
      <c r="C1234" s="8">
        <v>1</v>
      </c>
      <c r="D1234" s="8">
        <v>3</v>
      </c>
      <c r="E1234" t="s">
        <v>3299</v>
      </c>
      <c r="F1234" t="s">
        <v>3299</v>
      </c>
      <c r="G1234" t="s">
        <v>3300</v>
      </c>
      <c r="H1234" s="13" t="s">
        <v>3301</v>
      </c>
      <c r="I1234">
        <v>1</v>
      </c>
      <c r="J1234">
        <v>1</v>
      </c>
      <c r="K1234" s="33">
        <v>1</v>
      </c>
      <c r="L1234" s="8">
        <v>999</v>
      </c>
      <c r="M1234" s="8">
        <v>0</v>
      </c>
      <c r="N1234" s="8"/>
      <c r="S1234" s="89">
        <v>1</v>
      </c>
      <c r="T1234" s="8">
        <v>5</v>
      </c>
      <c r="U1234" s="89">
        <v>80</v>
      </c>
      <c r="V1234" s="87">
        <v>1</v>
      </c>
      <c r="W1234">
        <v>1</v>
      </c>
      <c r="X1234" s="8">
        <v>1</v>
      </c>
      <c r="Y1234" s="8">
        <v>0</v>
      </c>
      <c r="Z1234" s="33">
        <v>0</v>
      </c>
      <c r="AA1234">
        <v>5</v>
      </c>
      <c r="AB1234" s="34">
        <v>3040</v>
      </c>
      <c r="AC1234" s="87">
        <v>999</v>
      </c>
      <c r="AF1234" s="63"/>
      <c r="AI1234" s="64"/>
      <c r="AJ1234" s="64"/>
      <c r="AK1234" s="64"/>
      <c r="AM1234" s="4">
        <v>100</v>
      </c>
      <c r="AN1234" s="93"/>
      <c r="AO1234" s="92"/>
      <c r="AS1234">
        <v>1</v>
      </c>
    </row>
    <row r="1235" spans="1:45">
      <c r="A1235">
        <v>261202</v>
      </c>
      <c r="B1235" s="8">
        <v>1001</v>
      </c>
      <c r="C1235" s="8">
        <v>1</v>
      </c>
      <c r="D1235" s="8">
        <v>3</v>
      </c>
      <c r="E1235" t="s">
        <v>3302</v>
      </c>
      <c r="F1235" t="s">
        <v>3302</v>
      </c>
      <c r="G1235" t="s">
        <v>3303</v>
      </c>
      <c r="H1235" s="13" t="s">
        <v>3304</v>
      </c>
      <c r="I1235">
        <v>1</v>
      </c>
      <c r="J1235">
        <v>1</v>
      </c>
      <c r="K1235" s="33">
        <v>1</v>
      </c>
      <c r="L1235" s="8">
        <v>999</v>
      </c>
      <c r="M1235" s="8">
        <v>0</v>
      </c>
      <c r="N1235" s="8"/>
      <c r="S1235" s="89">
        <v>1</v>
      </c>
      <c r="T1235" s="8">
        <v>5</v>
      </c>
      <c r="U1235" s="89">
        <v>80</v>
      </c>
      <c r="V1235" s="87">
        <v>1</v>
      </c>
      <c r="W1235">
        <v>1</v>
      </c>
      <c r="X1235" s="8">
        <v>1</v>
      </c>
      <c r="Y1235" s="8">
        <v>0</v>
      </c>
      <c r="Z1235" s="33">
        <v>0</v>
      </c>
      <c r="AA1235">
        <v>5</v>
      </c>
      <c r="AB1235" s="34">
        <v>3040</v>
      </c>
      <c r="AC1235" s="87">
        <v>999</v>
      </c>
      <c r="AF1235" s="63"/>
      <c r="AI1235" s="64"/>
      <c r="AJ1235" s="64"/>
      <c r="AK1235" s="64"/>
      <c r="AM1235" s="4">
        <v>100</v>
      </c>
      <c r="AN1235" s="93"/>
      <c r="AO1235" s="92"/>
      <c r="AS1235">
        <v>1</v>
      </c>
    </row>
    <row r="1236" spans="1:45">
      <c r="A1236">
        <v>261203</v>
      </c>
      <c r="B1236" s="8">
        <v>1001</v>
      </c>
      <c r="C1236" s="8">
        <v>1</v>
      </c>
      <c r="D1236" s="8">
        <v>3</v>
      </c>
      <c r="E1236" t="s">
        <v>3305</v>
      </c>
      <c r="F1236" t="s">
        <v>3305</v>
      </c>
      <c r="G1236" t="s">
        <v>3306</v>
      </c>
      <c r="H1236" s="13" t="s">
        <v>3307</v>
      </c>
      <c r="I1236">
        <v>1</v>
      </c>
      <c r="J1236">
        <v>1</v>
      </c>
      <c r="K1236" s="33">
        <v>1</v>
      </c>
      <c r="L1236" s="8">
        <v>999</v>
      </c>
      <c r="M1236" s="8">
        <v>0</v>
      </c>
      <c r="N1236" s="8"/>
      <c r="S1236" s="89">
        <v>1</v>
      </c>
      <c r="T1236" s="8">
        <v>5</v>
      </c>
      <c r="U1236" s="89">
        <v>80</v>
      </c>
      <c r="V1236" s="87">
        <v>1</v>
      </c>
      <c r="W1236">
        <v>1</v>
      </c>
      <c r="X1236" s="8">
        <v>1</v>
      </c>
      <c r="Y1236" s="8">
        <v>0</v>
      </c>
      <c r="Z1236" s="33">
        <v>0</v>
      </c>
      <c r="AA1236">
        <v>5</v>
      </c>
      <c r="AB1236" s="34">
        <v>3040</v>
      </c>
      <c r="AC1236" s="87">
        <v>999</v>
      </c>
      <c r="AF1236" s="63"/>
      <c r="AI1236" s="64"/>
      <c r="AJ1236" s="64"/>
      <c r="AK1236" s="64"/>
      <c r="AM1236" s="4">
        <v>100</v>
      </c>
      <c r="AN1236" s="93"/>
      <c r="AO1236" s="92"/>
      <c r="AS1236">
        <v>1</v>
      </c>
    </row>
    <row r="1237" spans="1:45">
      <c r="A1237">
        <v>261204</v>
      </c>
      <c r="B1237" s="8">
        <v>1001</v>
      </c>
      <c r="C1237" s="8">
        <v>1</v>
      </c>
      <c r="D1237" s="8">
        <v>3</v>
      </c>
      <c r="E1237" t="s">
        <v>3308</v>
      </c>
      <c r="F1237" t="s">
        <v>3308</v>
      </c>
      <c r="G1237" t="s">
        <v>3309</v>
      </c>
      <c r="H1237" s="13" t="s">
        <v>3274</v>
      </c>
      <c r="I1237">
        <v>1</v>
      </c>
      <c r="J1237">
        <v>5</v>
      </c>
      <c r="K1237" s="33">
        <v>1</v>
      </c>
      <c r="L1237" s="8">
        <v>999</v>
      </c>
      <c r="M1237" s="8">
        <v>0</v>
      </c>
      <c r="N1237" s="8"/>
      <c r="S1237" s="89">
        <v>1</v>
      </c>
      <c r="T1237" s="8">
        <v>5</v>
      </c>
      <c r="U1237" s="89">
        <v>80</v>
      </c>
      <c r="V1237" s="87">
        <v>1</v>
      </c>
      <c r="W1237">
        <v>1</v>
      </c>
      <c r="X1237" s="8">
        <v>1</v>
      </c>
      <c r="Y1237" s="8">
        <v>0</v>
      </c>
      <c r="Z1237" s="33">
        <v>0</v>
      </c>
      <c r="AA1237">
        <v>5</v>
      </c>
      <c r="AB1237" s="34">
        <v>3040</v>
      </c>
      <c r="AC1237" s="87">
        <v>999</v>
      </c>
      <c r="AF1237" s="63"/>
      <c r="AI1237" s="64"/>
      <c r="AJ1237" s="64"/>
      <c r="AK1237" s="64"/>
      <c r="AM1237" s="4">
        <v>100</v>
      </c>
      <c r="AN1237" s="93"/>
      <c r="AO1237" s="92"/>
      <c r="AS1237">
        <v>1</v>
      </c>
    </row>
    <row r="1238" spans="1:45">
      <c r="A1238">
        <v>261205</v>
      </c>
      <c r="B1238" s="8">
        <v>1001</v>
      </c>
      <c r="C1238" s="8">
        <v>1</v>
      </c>
      <c r="D1238" s="8">
        <v>3</v>
      </c>
      <c r="E1238" t="s">
        <v>3310</v>
      </c>
      <c r="F1238" t="s">
        <v>3310</v>
      </c>
      <c r="G1238" t="s">
        <v>3311</v>
      </c>
      <c r="H1238" s="13" t="s">
        <v>3277</v>
      </c>
      <c r="I1238">
        <v>1</v>
      </c>
      <c r="J1238">
        <v>5</v>
      </c>
      <c r="K1238" s="33">
        <v>1</v>
      </c>
      <c r="L1238" s="8">
        <v>999</v>
      </c>
      <c r="M1238" s="8">
        <v>0</v>
      </c>
      <c r="N1238" s="8"/>
      <c r="S1238" s="89">
        <v>1</v>
      </c>
      <c r="T1238" s="8">
        <v>5</v>
      </c>
      <c r="U1238" s="89">
        <v>80</v>
      </c>
      <c r="V1238" s="87">
        <v>1</v>
      </c>
      <c r="W1238">
        <v>1</v>
      </c>
      <c r="X1238" s="8">
        <v>1</v>
      </c>
      <c r="Y1238" s="8">
        <v>0</v>
      </c>
      <c r="Z1238" s="33">
        <v>0</v>
      </c>
      <c r="AA1238">
        <v>5</v>
      </c>
      <c r="AB1238" s="34">
        <v>3040</v>
      </c>
      <c r="AC1238" s="87">
        <v>999</v>
      </c>
      <c r="AF1238" s="63"/>
      <c r="AI1238" s="64"/>
      <c r="AJ1238" s="64"/>
      <c r="AK1238" s="64"/>
      <c r="AM1238" s="4">
        <v>100</v>
      </c>
      <c r="AN1238" s="93"/>
      <c r="AO1238" s="92"/>
      <c r="AS1238">
        <v>1</v>
      </c>
    </row>
    <row r="1239" spans="1:45">
      <c r="A1239">
        <v>261206</v>
      </c>
      <c r="B1239" s="8">
        <v>1001</v>
      </c>
      <c r="C1239" s="8">
        <v>1</v>
      </c>
      <c r="D1239" s="8">
        <v>3</v>
      </c>
      <c r="E1239" t="s">
        <v>3312</v>
      </c>
      <c r="F1239" t="s">
        <v>3312</v>
      </c>
      <c r="G1239" t="s">
        <v>3313</v>
      </c>
      <c r="H1239" s="13" t="s">
        <v>3280</v>
      </c>
      <c r="I1239">
        <v>1</v>
      </c>
      <c r="J1239">
        <v>5</v>
      </c>
      <c r="K1239" s="33">
        <v>1</v>
      </c>
      <c r="L1239" s="8">
        <v>999</v>
      </c>
      <c r="M1239" s="8">
        <v>0</v>
      </c>
      <c r="N1239" s="8"/>
      <c r="S1239" s="89">
        <v>1</v>
      </c>
      <c r="T1239" s="8">
        <v>5</v>
      </c>
      <c r="U1239" s="89">
        <v>80</v>
      </c>
      <c r="V1239" s="87">
        <v>1</v>
      </c>
      <c r="W1239">
        <v>1</v>
      </c>
      <c r="X1239" s="8">
        <v>1</v>
      </c>
      <c r="Y1239" s="8">
        <v>0</v>
      </c>
      <c r="Z1239" s="33">
        <v>0</v>
      </c>
      <c r="AA1239">
        <v>5</v>
      </c>
      <c r="AB1239" s="34">
        <v>3040</v>
      </c>
      <c r="AC1239" s="87">
        <v>999</v>
      </c>
      <c r="AF1239" s="63"/>
      <c r="AI1239" s="64"/>
      <c r="AJ1239" s="64"/>
      <c r="AK1239" s="64"/>
      <c r="AM1239" s="4">
        <v>100</v>
      </c>
      <c r="AN1239" s="93"/>
      <c r="AO1239" s="92"/>
      <c r="AS1239">
        <v>1</v>
      </c>
    </row>
    <row r="1240" spans="1:45">
      <c r="A1240">
        <v>261207</v>
      </c>
      <c r="B1240" s="8">
        <v>1001</v>
      </c>
      <c r="C1240" s="8">
        <v>1</v>
      </c>
      <c r="D1240" s="8">
        <v>3</v>
      </c>
      <c r="E1240" t="s">
        <v>3314</v>
      </c>
      <c r="F1240" t="s">
        <v>3314</v>
      </c>
      <c r="G1240" t="s">
        <v>3315</v>
      </c>
      <c r="H1240" s="13" t="s">
        <v>3283</v>
      </c>
      <c r="I1240">
        <v>1</v>
      </c>
      <c r="J1240">
        <v>5</v>
      </c>
      <c r="K1240" s="33">
        <v>1</v>
      </c>
      <c r="L1240" s="8">
        <v>999</v>
      </c>
      <c r="M1240" s="8">
        <v>0</v>
      </c>
      <c r="N1240" s="8"/>
      <c r="S1240" s="89">
        <v>1</v>
      </c>
      <c r="T1240" s="8">
        <v>5</v>
      </c>
      <c r="U1240" s="89">
        <v>80</v>
      </c>
      <c r="V1240" s="87">
        <v>1</v>
      </c>
      <c r="W1240">
        <v>1</v>
      </c>
      <c r="X1240" s="8">
        <v>1</v>
      </c>
      <c r="Y1240" s="8">
        <v>0</v>
      </c>
      <c r="Z1240" s="33">
        <v>0</v>
      </c>
      <c r="AA1240">
        <v>5</v>
      </c>
      <c r="AB1240" s="34">
        <v>3040</v>
      </c>
      <c r="AC1240" s="87">
        <v>999</v>
      </c>
      <c r="AF1240" s="63"/>
      <c r="AI1240" s="64"/>
      <c r="AJ1240" s="64"/>
      <c r="AK1240" s="64"/>
      <c r="AM1240" s="4">
        <v>100</v>
      </c>
      <c r="AN1240" s="93"/>
      <c r="AO1240" s="92"/>
      <c r="AS1240">
        <v>1</v>
      </c>
    </row>
    <row r="1241" spans="1:45">
      <c r="A1241">
        <v>261208</v>
      </c>
      <c r="B1241" s="8">
        <v>1001</v>
      </c>
      <c r="C1241" s="8">
        <v>1</v>
      </c>
      <c r="D1241" s="8">
        <v>3</v>
      </c>
      <c r="E1241" t="s">
        <v>3316</v>
      </c>
      <c r="F1241" t="s">
        <v>3316</v>
      </c>
      <c r="G1241" t="s">
        <v>3317</v>
      </c>
      <c r="H1241" s="13" t="s">
        <v>3286</v>
      </c>
      <c r="I1241">
        <v>1</v>
      </c>
      <c r="J1241">
        <v>5</v>
      </c>
      <c r="K1241" s="33">
        <v>1</v>
      </c>
      <c r="L1241" s="8">
        <v>999</v>
      </c>
      <c r="M1241" s="8">
        <v>0</v>
      </c>
      <c r="N1241" s="8"/>
      <c r="S1241" s="89">
        <v>1</v>
      </c>
      <c r="T1241" s="8">
        <v>5</v>
      </c>
      <c r="U1241" s="89">
        <v>80</v>
      </c>
      <c r="V1241" s="87">
        <v>1</v>
      </c>
      <c r="W1241">
        <v>1</v>
      </c>
      <c r="X1241" s="8">
        <v>1</v>
      </c>
      <c r="Y1241" s="8">
        <v>0</v>
      </c>
      <c r="Z1241" s="33">
        <v>0</v>
      </c>
      <c r="AA1241">
        <v>5</v>
      </c>
      <c r="AB1241" s="34">
        <v>3040</v>
      </c>
      <c r="AC1241" s="87">
        <v>999</v>
      </c>
      <c r="AF1241" s="63"/>
      <c r="AI1241" s="64"/>
      <c r="AJ1241" s="64"/>
      <c r="AK1241" s="64"/>
      <c r="AM1241" s="4">
        <v>100</v>
      </c>
      <c r="AN1241" s="93"/>
      <c r="AO1241" s="92"/>
      <c r="AS1241">
        <v>1</v>
      </c>
    </row>
    <row r="1242" spans="1:45">
      <c r="A1242">
        <v>261209</v>
      </c>
      <c r="B1242" s="8">
        <v>1001</v>
      </c>
      <c r="C1242" s="8">
        <v>1</v>
      </c>
      <c r="D1242" s="8">
        <v>3</v>
      </c>
      <c r="E1242" t="s">
        <v>3318</v>
      </c>
      <c r="F1242" t="s">
        <v>3318</v>
      </c>
      <c r="G1242" t="s">
        <v>3319</v>
      </c>
      <c r="H1242" s="13" t="s">
        <v>3289</v>
      </c>
      <c r="I1242">
        <v>1</v>
      </c>
      <c r="J1242">
        <v>5</v>
      </c>
      <c r="K1242" s="33">
        <v>1</v>
      </c>
      <c r="L1242" s="8">
        <v>999</v>
      </c>
      <c r="M1242" s="8">
        <v>0</v>
      </c>
      <c r="N1242" s="8"/>
      <c r="S1242" s="89">
        <v>1</v>
      </c>
      <c r="T1242" s="8">
        <v>5</v>
      </c>
      <c r="U1242" s="89">
        <v>80</v>
      </c>
      <c r="V1242" s="87">
        <v>1</v>
      </c>
      <c r="W1242">
        <v>1</v>
      </c>
      <c r="X1242" s="8">
        <v>1</v>
      </c>
      <c r="Y1242" s="8">
        <v>0</v>
      </c>
      <c r="Z1242" s="33">
        <v>0</v>
      </c>
      <c r="AA1242">
        <v>5</v>
      </c>
      <c r="AB1242" s="34">
        <v>3040</v>
      </c>
      <c r="AC1242" s="87">
        <v>999</v>
      </c>
      <c r="AF1242" s="63"/>
      <c r="AI1242" s="64"/>
      <c r="AJ1242" s="64"/>
      <c r="AK1242" s="64"/>
      <c r="AM1242" s="4">
        <v>100</v>
      </c>
      <c r="AN1242" s="93"/>
      <c r="AO1242" s="92"/>
      <c r="AS1242">
        <v>1</v>
      </c>
    </row>
    <row r="1243" spans="1:45">
      <c r="A1243">
        <v>261210</v>
      </c>
      <c r="B1243" s="8">
        <v>1001</v>
      </c>
      <c r="C1243" s="8">
        <v>1</v>
      </c>
      <c r="D1243" s="8">
        <v>3</v>
      </c>
      <c r="E1243" t="s">
        <v>3320</v>
      </c>
      <c r="F1243" t="s">
        <v>3320</v>
      </c>
      <c r="G1243" t="s">
        <v>3321</v>
      </c>
      <c r="H1243" s="13" t="s">
        <v>3292</v>
      </c>
      <c r="I1243">
        <v>1</v>
      </c>
      <c r="J1243">
        <v>5</v>
      </c>
      <c r="K1243" s="33">
        <v>1</v>
      </c>
      <c r="L1243" s="8">
        <v>999</v>
      </c>
      <c r="M1243" s="8">
        <v>0</v>
      </c>
      <c r="N1243" s="8"/>
      <c r="S1243" s="89">
        <v>1</v>
      </c>
      <c r="T1243" s="8">
        <v>5</v>
      </c>
      <c r="U1243" s="89">
        <v>80</v>
      </c>
      <c r="V1243" s="87">
        <v>1</v>
      </c>
      <c r="W1243">
        <v>1</v>
      </c>
      <c r="X1243" s="8">
        <v>1</v>
      </c>
      <c r="Y1243" s="8">
        <v>0</v>
      </c>
      <c r="Z1243" s="33">
        <v>0</v>
      </c>
      <c r="AA1243">
        <v>5</v>
      </c>
      <c r="AB1243" s="34">
        <v>3040</v>
      </c>
      <c r="AC1243" s="87">
        <v>999</v>
      </c>
      <c r="AF1243" s="63"/>
      <c r="AI1243" s="64"/>
      <c r="AJ1243" s="64"/>
      <c r="AK1243" s="64"/>
      <c r="AM1243" s="4">
        <v>100</v>
      </c>
      <c r="AN1243" s="93"/>
      <c r="AO1243" s="92"/>
      <c r="AS1243">
        <v>1</v>
      </c>
    </row>
    <row r="1244" spans="1:45">
      <c r="A1244">
        <v>261211</v>
      </c>
      <c r="B1244" s="8">
        <v>1001</v>
      </c>
      <c r="C1244" s="8">
        <v>1</v>
      </c>
      <c r="D1244" s="8">
        <v>3</v>
      </c>
      <c r="E1244" t="s">
        <v>3322</v>
      </c>
      <c r="F1244" t="s">
        <v>3322</v>
      </c>
      <c r="G1244" t="s">
        <v>3323</v>
      </c>
      <c r="H1244" s="13" t="s">
        <v>3295</v>
      </c>
      <c r="I1244">
        <v>1</v>
      </c>
      <c r="J1244">
        <v>5</v>
      </c>
      <c r="K1244" s="33">
        <v>1</v>
      </c>
      <c r="L1244" s="8">
        <v>999</v>
      </c>
      <c r="M1244" s="8">
        <v>0</v>
      </c>
      <c r="N1244" s="8"/>
      <c r="S1244" s="89">
        <v>1</v>
      </c>
      <c r="T1244" s="8">
        <v>5</v>
      </c>
      <c r="U1244" s="89">
        <v>80</v>
      </c>
      <c r="V1244" s="87">
        <v>1</v>
      </c>
      <c r="W1244">
        <v>1</v>
      </c>
      <c r="X1244" s="8">
        <v>1</v>
      </c>
      <c r="Y1244" s="8">
        <v>0</v>
      </c>
      <c r="Z1244" s="33">
        <v>0</v>
      </c>
      <c r="AA1244">
        <v>5</v>
      </c>
      <c r="AB1244" s="34">
        <v>3040</v>
      </c>
      <c r="AC1244" s="87">
        <v>999</v>
      </c>
      <c r="AF1244" s="63"/>
      <c r="AI1244" s="64"/>
      <c r="AJ1244" s="64"/>
      <c r="AK1244" s="64"/>
      <c r="AM1244" s="4">
        <v>100</v>
      </c>
      <c r="AN1244" s="93"/>
      <c r="AO1244" s="92"/>
      <c r="AS1244">
        <v>1</v>
      </c>
    </row>
    <row r="1245" spans="1:45">
      <c r="A1245">
        <v>261212</v>
      </c>
      <c r="B1245" s="8">
        <v>1001</v>
      </c>
      <c r="C1245" s="8">
        <v>1</v>
      </c>
      <c r="D1245" s="8">
        <v>3</v>
      </c>
      <c r="E1245" t="s">
        <v>3324</v>
      </c>
      <c r="F1245" t="s">
        <v>3324</v>
      </c>
      <c r="G1245" t="s">
        <v>3325</v>
      </c>
      <c r="H1245" s="13" t="s">
        <v>3298</v>
      </c>
      <c r="I1245">
        <v>1</v>
      </c>
      <c r="J1245">
        <v>5</v>
      </c>
      <c r="K1245" s="33">
        <v>1</v>
      </c>
      <c r="L1245" s="8">
        <v>999</v>
      </c>
      <c r="M1245" s="8">
        <v>0</v>
      </c>
      <c r="N1245" s="8"/>
      <c r="S1245" s="89">
        <v>1</v>
      </c>
      <c r="T1245" s="8">
        <v>5</v>
      </c>
      <c r="U1245" s="89">
        <v>80</v>
      </c>
      <c r="V1245" s="87">
        <v>1</v>
      </c>
      <c r="W1245">
        <v>1</v>
      </c>
      <c r="X1245" s="8">
        <v>1</v>
      </c>
      <c r="Y1245" s="8">
        <v>0</v>
      </c>
      <c r="Z1245" s="33">
        <v>0</v>
      </c>
      <c r="AA1245">
        <v>5</v>
      </c>
      <c r="AB1245" s="34">
        <v>3040</v>
      </c>
      <c r="AC1245" s="87">
        <v>999</v>
      </c>
      <c r="AF1245" s="63"/>
      <c r="AI1245" s="64"/>
      <c r="AJ1245" s="64"/>
      <c r="AK1245" s="64"/>
      <c r="AM1245" s="4">
        <v>100</v>
      </c>
      <c r="AN1245" s="93"/>
      <c r="AO1245" s="92"/>
      <c r="AS1245">
        <v>1</v>
      </c>
    </row>
    <row r="1246" spans="1:45">
      <c r="A1246">
        <v>261213</v>
      </c>
      <c r="B1246" s="8">
        <v>1001</v>
      </c>
      <c r="C1246" s="8">
        <v>1</v>
      </c>
      <c r="D1246" s="8">
        <v>3</v>
      </c>
      <c r="E1246" t="s">
        <v>3326</v>
      </c>
      <c r="F1246" t="s">
        <v>3326</v>
      </c>
      <c r="G1246" t="s">
        <v>3327</v>
      </c>
      <c r="H1246" s="13" t="s">
        <v>3301</v>
      </c>
      <c r="I1246">
        <v>1</v>
      </c>
      <c r="J1246">
        <v>5</v>
      </c>
      <c r="K1246" s="33">
        <v>1</v>
      </c>
      <c r="L1246" s="8">
        <v>999</v>
      </c>
      <c r="M1246" s="8">
        <v>0</v>
      </c>
      <c r="N1246" s="8"/>
      <c r="S1246" s="89">
        <v>1</v>
      </c>
      <c r="T1246" s="8">
        <v>5</v>
      </c>
      <c r="U1246" s="89">
        <v>80</v>
      </c>
      <c r="V1246" s="87">
        <v>1</v>
      </c>
      <c r="W1246">
        <v>1</v>
      </c>
      <c r="X1246" s="8">
        <v>1</v>
      </c>
      <c r="Y1246" s="8">
        <v>0</v>
      </c>
      <c r="Z1246" s="33">
        <v>0</v>
      </c>
      <c r="AA1246">
        <v>5</v>
      </c>
      <c r="AB1246" s="34">
        <v>3040</v>
      </c>
      <c r="AC1246" s="87">
        <v>999</v>
      </c>
      <c r="AF1246" s="63"/>
      <c r="AI1246" s="64"/>
      <c r="AJ1246" s="64"/>
      <c r="AK1246" s="64"/>
      <c r="AM1246" s="4">
        <v>100</v>
      </c>
      <c r="AN1246" s="93"/>
      <c r="AO1246" s="92"/>
      <c r="AS1246">
        <v>1</v>
      </c>
    </row>
    <row r="1247" spans="1:45">
      <c r="A1247">
        <v>261214</v>
      </c>
      <c r="B1247" s="8">
        <v>1001</v>
      </c>
      <c r="C1247" s="8">
        <v>1</v>
      </c>
      <c r="D1247" s="8">
        <v>3</v>
      </c>
      <c r="E1247" t="s">
        <v>3328</v>
      </c>
      <c r="F1247" t="s">
        <v>3328</v>
      </c>
      <c r="G1247" t="s">
        <v>3329</v>
      </c>
      <c r="H1247" s="13" t="s">
        <v>3304</v>
      </c>
      <c r="I1247">
        <v>1</v>
      </c>
      <c r="J1247">
        <v>5</v>
      </c>
      <c r="K1247" s="33">
        <v>1</v>
      </c>
      <c r="L1247" s="8">
        <v>999</v>
      </c>
      <c r="M1247" s="8">
        <v>0</v>
      </c>
      <c r="N1247" s="8"/>
      <c r="S1247" s="89">
        <v>1</v>
      </c>
      <c r="T1247" s="8">
        <v>5</v>
      </c>
      <c r="U1247" s="89">
        <v>80</v>
      </c>
      <c r="V1247" s="87">
        <v>1</v>
      </c>
      <c r="W1247">
        <v>1</v>
      </c>
      <c r="X1247" s="8">
        <v>1</v>
      </c>
      <c r="Y1247" s="8">
        <v>0</v>
      </c>
      <c r="Z1247" s="33">
        <v>0</v>
      </c>
      <c r="AA1247">
        <v>5</v>
      </c>
      <c r="AB1247" s="34">
        <v>3040</v>
      </c>
      <c r="AC1247" s="87">
        <v>999</v>
      </c>
      <c r="AF1247" s="63"/>
      <c r="AI1247" s="64"/>
      <c r="AJ1247" s="64"/>
      <c r="AK1247" s="64"/>
      <c r="AM1247" s="4">
        <v>100</v>
      </c>
      <c r="AN1247" s="93"/>
      <c r="AO1247" s="92"/>
      <c r="AS1247">
        <v>1</v>
      </c>
    </row>
    <row r="1248" spans="1:45">
      <c r="A1248">
        <v>261215</v>
      </c>
      <c r="B1248" s="8">
        <v>1001</v>
      </c>
      <c r="C1248" s="8">
        <v>1</v>
      </c>
      <c r="D1248" s="8">
        <v>3</v>
      </c>
      <c r="E1248" t="s">
        <v>3330</v>
      </c>
      <c r="F1248" t="s">
        <v>3330</v>
      </c>
      <c r="G1248" t="s">
        <v>3331</v>
      </c>
      <c r="H1248" s="13" t="s">
        <v>3307</v>
      </c>
      <c r="I1248">
        <v>1</v>
      </c>
      <c r="J1248">
        <v>5</v>
      </c>
      <c r="K1248" s="33">
        <v>1</v>
      </c>
      <c r="L1248" s="8">
        <v>999</v>
      </c>
      <c r="M1248" s="8">
        <v>0</v>
      </c>
      <c r="N1248" s="8"/>
      <c r="S1248" s="89">
        <v>1</v>
      </c>
      <c r="T1248" s="8">
        <v>5</v>
      </c>
      <c r="U1248" s="89">
        <v>80</v>
      </c>
      <c r="V1248" s="87">
        <v>1</v>
      </c>
      <c r="W1248">
        <v>1</v>
      </c>
      <c r="X1248" s="8">
        <v>1</v>
      </c>
      <c r="Y1248" s="8">
        <v>0</v>
      </c>
      <c r="Z1248" s="33">
        <v>0</v>
      </c>
      <c r="AA1248">
        <v>5</v>
      </c>
      <c r="AB1248" s="34">
        <v>3040</v>
      </c>
      <c r="AC1248" s="87">
        <v>999</v>
      </c>
      <c r="AF1248" s="63"/>
      <c r="AI1248" s="64"/>
      <c r="AJ1248" s="64"/>
      <c r="AK1248" s="64"/>
      <c r="AM1248" s="4">
        <v>100</v>
      </c>
      <c r="AN1248" s="93"/>
      <c r="AO1248" s="92"/>
      <c r="AS1248">
        <v>1</v>
      </c>
    </row>
    <row r="1249" spans="1:45">
      <c r="A1249">
        <v>261216</v>
      </c>
      <c r="B1249" s="8">
        <v>1001</v>
      </c>
      <c r="C1249" s="8">
        <v>1</v>
      </c>
      <c r="D1249" s="8">
        <v>3</v>
      </c>
      <c r="E1249" t="s">
        <v>3332</v>
      </c>
      <c r="F1249" t="s">
        <v>3332</v>
      </c>
      <c r="G1249" t="s">
        <v>3333</v>
      </c>
      <c r="H1249" s="13" t="s">
        <v>3334</v>
      </c>
      <c r="I1249">
        <v>1</v>
      </c>
      <c r="J1249">
        <v>5</v>
      </c>
      <c r="K1249" s="33">
        <v>1</v>
      </c>
      <c r="L1249" s="8">
        <v>999</v>
      </c>
      <c r="M1249" s="8">
        <v>0</v>
      </c>
      <c r="N1249" s="8"/>
      <c r="S1249" s="89">
        <v>1</v>
      </c>
      <c r="T1249" s="8">
        <v>5</v>
      </c>
      <c r="U1249" s="89">
        <v>80</v>
      </c>
      <c r="V1249" s="87">
        <v>1</v>
      </c>
      <c r="W1249">
        <v>1</v>
      </c>
      <c r="X1249" s="8">
        <v>1</v>
      </c>
      <c r="Y1249" s="8">
        <v>0</v>
      </c>
      <c r="Z1249" s="33">
        <v>0</v>
      </c>
      <c r="AA1249">
        <v>5</v>
      </c>
      <c r="AB1249" s="34">
        <v>3040</v>
      </c>
      <c r="AC1249" s="87">
        <v>999</v>
      </c>
      <c r="AF1249" s="63"/>
      <c r="AI1249" s="64"/>
      <c r="AJ1249" s="64"/>
      <c r="AK1249" s="64"/>
      <c r="AM1249" s="4">
        <v>100</v>
      </c>
      <c r="AN1249" s="93"/>
      <c r="AO1249" s="92"/>
      <c r="AS1249">
        <v>1</v>
      </c>
    </row>
    <row r="1250" spans="1:45">
      <c r="A1250">
        <v>261217</v>
      </c>
      <c r="B1250" s="8">
        <v>1001</v>
      </c>
      <c r="C1250" s="8">
        <v>1</v>
      </c>
      <c r="D1250" s="8">
        <v>3</v>
      </c>
      <c r="E1250" t="s">
        <v>3335</v>
      </c>
      <c r="F1250" t="s">
        <v>3335</v>
      </c>
      <c r="G1250" t="s">
        <v>3336</v>
      </c>
      <c r="H1250" s="13" t="s">
        <v>3337</v>
      </c>
      <c r="I1250">
        <v>1</v>
      </c>
      <c r="J1250">
        <v>5</v>
      </c>
      <c r="K1250" s="33">
        <v>1</v>
      </c>
      <c r="L1250" s="8">
        <v>999</v>
      </c>
      <c r="M1250" s="8">
        <v>0</v>
      </c>
      <c r="N1250" s="8"/>
      <c r="S1250" s="89">
        <v>1</v>
      </c>
      <c r="T1250" s="8">
        <v>5</v>
      </c>
      <c r="U1250" s="89">
        <v>80</v>
      </c>
      <c r="V1250" s="87">
        <v>1</v>
      </c>
      <c r="W1250">
        <v>1</v>
      </c>
      <c r="X1250" s="8">
        <v>1</v>
      </c>
      <c r="Y1250" s="8">
        <v>0</v>
      </c>
      <c r="Z1250" s="33">
        <v>0</v>
      </c>
      <c r="AA1250">
        <v>5</v>
      </c>
      <c r="AB1250" s="34">
        <v>3040</v>
      </c>
      <c r="AC1250" s="87">
        <v>999</v>
      </c>
      <c r="AF1250" s="63"/>
      <c r="AI1250" s="64"/>
      <c r="AJ1250" s="64"/>
      <c r="AK1250" s="64"/>
      <c r="AM1250" s="4">
        <v>100</v>
      </c>
      <c r="AN1250" s="93"/>
      <c r="AO1250" s="92"/>
      <c r="AS1250">
        <v>1</v>
      </c>
    </row>
    <row r="1251" spans="1:45">
      <c r="A1251">
        <v>261218</v>
      </c>
      <c r="B1251" s="8">
        <v>1001</v>
      </c>
      <c r="C1251" s="8">
        <v>1</v>
      </c>
      <c r="D1251" s="8">
        <v>3</v>
      </c>
      <c r="E1251" t="s">
        <v>3338</v>
      </c>
      <c r="F1251" t="s">
        <v>3338</v>
      </c>
      <c r="G1251" t="s">
        <v>3339</v>
      </c>
      <c r="H1251" s="13" t="s">
        <v>3340</v>
      </c>
      <c r="I1251">
        <v>1</v>
      </c>
      <c r="J1251">
        <v>5</v>
      </c>
      <c r="K1251" s="33">
        <v>1</v>
      </c>
      <c r="L1251" s="8">
        <v>999</v>
      </c>
      <c r="M1251" s="8">
        <v>0</v>
      </c>
      <c r="N1251" s="8"/>
      <c r="S1251" s="89">
        <v>1</v>
      </c>
      <c r="T1251" s="8">
        <v>5</v>
      </c>
      <c r="U1251" s="89">
        <v>80</v>
      </c>
      <c r="V1251" s="87">
        <v>1</v>
      </c>
      <c r="W1251">
        <v>1</v>
      </c>
      <c r="X1251" s="8">
        <v>1</v>
      </c>
      <c r="Y1251" s="8">
        <v>0</v>
      </c>
      <c r="Z1251" s="33">
        <v>0</v>
      </c>
      <c r="AA1251">
        <v>5</v>
      </c>
      <c r="AB1251" s="34">
        <v>3040</v>
      </c>
      <c r="AC1251" s="87">
        <v>999</v>
      </c>
      <c r="AF1251" s="63"/>
      <c r="AI1251" s="64"/>
      <c r="AJ1251" s="64"/>
      <c r="AK1251" s="64"/>
      <c r="AM1251" s="4">
        <v>100</v>
      </c>
      <c r="AN1251" s="93"/>
      <c r="AO1251" s="92"/>
      <c r="AS1251">
        <v>1</v>
      </c>
    </row>
    <row r="1252" spans="1:45">
      <c r="A1252">
        <v>261219</v>
      </c>
      <c r="B1252" s="8">
        <v>1001</v>
      </c>
      <c r="C1252" s="8">
        <v>1</v>
      </c>
      <c r="D1252" s="8">
        <v>3</v>
      </c>
      <c r="E1252" t="s">
        <v>3341</v>
      </c>
      <c r="F1252" t="s">
        <v>3341</v>
      </c>
      <c r="G1252" t="s">
        <v>3342</v>
      </c>
      <c r="H1252" s="13" t="s">
        <v>3343</v>
      </c>
      <c r="I1252">
        <v>1</v>
      </c>
      <c r="J1252">
        <v>5</v>
      </c>
      <c r="K1252" s="33">
        <v>1</v>
      </c>
      <c r="L1252" s="8">
        <v>999</v>
      </c>
      <c r="M1252" s="8">
        <v>0</v>
      </c>
      <c r="N1252" s="8"/>
      <c r="S1252" s="89">
        <v>1</v>
      </c>
      <c r="T1252" s="8">
        <v>5</v>
      </c>
      <c r="U1252" s="89">
        <v>80</v>
      </c>
      <c r="V1252" s="87">
        <v>1</v>
      </c>
      <c r="W1252">
        <v>1</v>
      </c>
      <c r="X1252" s="8">
        <v>1</v>
      </c>
      <c r="Y1252" s="8">
        <v>0</v>
      </c>
      <c r="Z1252" s="33">
        <v>0</v>
      </c>
      <c r="AA1252">
        <v>5</v>
      </c>
      <c r="AB1252" s="34">
        <v>3040</v>
      </c>
      <c r="AC1252" s="87">
        <v>999</v>
      </c>
      <c r="AF1252" s="63"/>
      <c r="AI1252" s="64"/>
      <c r="AJ1252" s="64"/>
      <c r="AK1252" s="64"/>
      <c r="AM1252" s="4">
        <v>100</v>
      </c>
      <c r="AN1252" s="93"/>
      <c r="AO1252" s="92"/>
      <c r="AS1252">
        <v>1</v>
      </c>
    </row>
    <row r="1253" spans="1:45">
      <c r="A1253">
        <v>261220</v>
      </c>
      <c r="B1253" s="8">
        <v>1001</v>
      </c>
      <c r="C1253" s="8">
        <v>1</v>
      </c>
      <c r="D1253" s="8">
        <v>3</v>
      </c>
      <c r="E1253" t="s">
        <v>3344</v>
      </c>
      <c r="F1253" t="s">
        <v>3344</v>
      </c>
      <c r="G1253" t="s">
        <v>3345</v>
      </c>
      <c r="H1253" s="13" t="s">
        <v>3346</v>
      </c>
      <c r="I1253">
        <v>1</v>
      </c>
      <c r="J1253">
        <v>5</v>
      </c>
      <c r="K1253" s="33">
        <v>1</v>
      </c>
      <c r="L1253" s="8">
        <v>999</v>
      </c>
      <c r="M1253" s="8">
        <v>0</v>
      </c>
      <c r="N1253" s="8"/>
      <c r="S1253" s="89">
        <v>1</v>
      </c>
      <c r="T1253" s="8">
        <v>5</v>
      </c>
      <c r="U1253" s="89">
        <v>80</v>
      </c>
      <c r="V1253" s="87">
        <v>1</v>
      </c>
      <c r="W1253">
        <v>1</v>
      </c>
      <c r="X1253" s="8">
        <v>1</v>
      </c>
      <c r="Y1253" s="8">
        <v>0</v>
      </c>
      <c r="Z1253" s="33">
        <v>0</v>
      </c>
      <c r="AA1253">
        <v>5</v>
      </c>
      <c r="AB1253" s="34">
        <v>3040</v>
      </c>
      <c r="AC1253" s="87">
        <v>999</v>
      </c>
      <c r="AF1253" s="63"/>
      <c r="AI1253" s="64"/>
      <c r="AJ1253" s="64"/>
      <c r="AK1253" s="64"/>
      <c r="AM1253" s="4">
        <v>100</v>
      </c>
      <c r="AN1253" s="93"/>
      <c r="AO1253" s="92"/>
      <c r="AS1253">
        <v>1</v>
      </c>
    </row>
    <row r="1254" spans="1:45">
      <c r="A1254">
        <v>261221</v>
      </c>
      <c r="B1254" s="8">
        <v>1001</v>
      </c>
      <c r="C1254" s="8">
        <v>1</v>
      </c>
      <c r="D1254" s="8">
        <v>3</v>
      </c>
      <c r="E1254" t="s">
        <v>3347</v>
      </c>
      <c r="F1254" t="s">
        <v>3347</v>
      </c>
      <c r="G1254" t="s">
        <v>3348</v>
      </c>
      <c r="H1254" s="13" t="s">
        <v>3349</v>
      </c>
      <c r="I1254">
        <v>1</v>
      </c>
      <c r="J1254">
        <v>5</v>
      </c>
      <c r="K1254" s="33">
        <v>1</v>
      </c>
      <c r="L1254" s="8">
        <v>999</v>
      </c>
      <c r="M1254" s="8">
        <v>0</v>
      </c>
      <c r="N1254" s="8"/>
      <c r="S1254" s="89">
        <v>1</v>
      </c>
      <c r="T1254" s="8">
        <v>5</v>
      </c>
      <c r="U1254" s="89">
        <v>80</v>
      </c>
      <c r="V1254" s="87">
        <v>1</v>
      </c>
      <c r="W1254">
        <v>1</v>
      </c>
      <c r="X1254" s="8">
        <v>1</v>
      </c>
      <c r="Y1254" s="8">
        <v>0</v>
      </c>
      <c r="Z1254" s="33">
        <v>0</v>
      </c>
      <c r="AA1254">
        <v>5</v>
      </c>
      <c r="AB1254" s="34">
        <v>3040</v>
      </c>
      <c r="AC1254" s="87">
        <v>999</v>
      </c>
      <c r="AF1254" s="63"/>
      <c r="AI1254" s="64"/>
      <c r="AJ1254" s="64"/>
      <c r="AK1254" s="64"/>
      <c r="AM1254" s="4">
        <v>100</v>
      </c>
      <c r="AN1254" s="93"/>
      <c r="AO1254" s="92"/>
      <c r="AS1254">
        <v>1</v>
      </c>
    </row>
    <row r="1255" spans="1:45">
      <c r="A1255">
        <v>261222</v>
      </c>
      <c r="B1255" s="8">
        <v>1001</v>
      </c>
      <c r="C1255" s="8">
        <v>1</v>
      </c>
      <c r="D1255" s="8">
        <v>3</v>
      </c>
      <c r="E1255" t="s">
        <v>3350</v>
      </c>
      <c r="F1255" t="s">
        <v>3350</v>
      </c>
      <c r="G1255" t="s">
        <v>3351</v>
      </c>
      <c r="H1255" s="13" t="s">
        <v>3352</v>
      </c>
      <c r="I1255">
        <v>1</v>
      </c>
      <c r="J1255">
        <v>5</v>
      </c>
      <c r="K1255" s="33">
        <v>1</v>
      </c>
      <c r="L1255" s="8">
        <v>999</v>
      </c>
      <c r="M1255" s="8">
        <v>0</v>
      </c>
      <c r="N1255" s="8"/>
      <c r="S1255" s="89">
        <v>1</v>
      </c>
      <c r="T1255" s="8">
        <v>5</v>
      </c>
      <c r="U1255" s="89">
        <v>80</v>
      </c>
      <c r="V1255" s="87">
        <v>1</v>
      </c>
      <c r="W1255">
        <v>1</v>
      </c>
      <c r="X1255" s="8">
        <v>1</v>
      </c>
      <c r="Y1255" s="8">
        <v>0</v>
      </c>
      <c r="Z1255" s="33">
        <v>0</v>
      </c>
      <c r="AA1255">
        <v>5</v>
      </c>
      <c r="AB1255" s="34">
        <v>3040</v>
      </c>
      <c r="AC1255" s="87">
        <v>999</v>
      </c>
      <c r="AF1255" s="63"/>
      <c r="AI1255" s="64"/>
      <c r="AJ1255" s="64"/>
      <c r="AK1255" s="64"/>
      <c r="AM1255" s="4">
        <v>100</v>
      </c>
      <c r="AN1255" s="93"/>
      <c r="AO1255" s="92"/>
      <c r="AS1255">
        <v>1</v>
      </c>
    </row>
    <row r="1256" spans="1:45">
      <c r="A1256">
        <v>261223</v>
      </c>
      <c r="B1256" s="8">
        <v>1001</v>
      </c>
      <c r="C1256" s="8">
        <v>1</v>
      </c>
      <c r="D1256" s="8">
        <v>3</v>
      </c>
      <c r="E1256" t="s">
        <v>3353</v>
      </c>
      <c r="F1256" t="s">
        <v>3353</v>
      </c>
      <c r="G1256" t="s">
        <v>3354</v>
      </c>
      <c r="H1256" s="13" t="s">
        <v>3355</v>
      </c>
      <c r="I1256">
        <v>1</v>
      </c>
      <c r="J1256">
        <v>5</v>
      </c>
      <c r="K1256" s="33">
        <v>1</v>
      </c>
      <c r="L1256" s="8">
        <v>999</v>
      </c>
      <c r="M1256" s="8">
        <v>0</v>
      </c>
      <c r="N1256" s="8"/>
      <c r="S1256" s="89">
        <v>1</v>
      </c>
      <c r="T1256" s="8">
        <v>5</v>
      </c>
      <c r="U1256" s="89">
        <v>80</v>
      </c>
      <c r="V1256" s="87">
        <v>1</v>
      </c>
      <c r="W1256">
        <v>1</v>
      </c>
      <c r="X1256" s="8">
        <v>1</v>
      </c>
      <c r="Y1256" s="8">
        <v>0</v>
      </c>
      <c r="Z1256" s="33">
        <v>0</v>
      </c>
      <c r="AA1256">
        <v>5</v>
      </c>
      <c r="AB1256" s="34">
        <v>3040</v>
      </c>
      <c r="AC1256" s="87">
        <v>999</v>
      </c>
      <c r="AF1256" s="63"/>
      <c r="AI1256" s="64"/>
      <c r="AJ1256" s="64"/>
      <c r="AK1256" s="64"/>
      <c r="AM1256" s="4">
        <v>100</v>
      </c>
      <c r="AN1256" s="93"/>
      <c r="AO1256" s="92"/>
      <c r="AS1256">
        <v>1</v>
      </c>
    </row>
    <row r="1257" spans="1:45">
      <c r="A1257">
        <v>261224</v>
      </c>
      <c r="B1257" s="8">
        <v>1001</v>
      </c>
      <c r="C1257" s="8">
        <v>1</v>
      </c>
      <c r="D1257" s="8">
        <v>3</v>
      </c>
      <c r="E1257" t="s">
        <v>3356</v>
      </c>
      <c r="F1257" t="s">
        <v>3356</v>
      </c>
      <c r="G1257" t="s">
        <v>3357</v>
      </c>
      <c r="H1257" s="13" t="s">
        <v>3358</v>
      </c>
      <c r="I1257">
        <v>1</v>
      </c>
      <c r="J1257">
        <v>5</v>
      </c>
      <c r="K1257" s="33">
        <v>1</v>
      </c>
      <c r="L1257" s="8">
        <v>999</v>
      </c>
      <c r="M1257" s="8">
        <v>0</v>
      </c>
      <c r="N1257" s="8"/>
      <c r="S1257" s="89">
        <v>1</v>
      </c>
      <c r="T1257" s="8">
        <v>5</v>
      </c>
      <c r="U1257" s="89">
        <v>80</v>
      </c>
      <c r="V1257" s="87">
        <v>1</v>
      </c>
      <c r="W1257">
        <v>1</v>
      </c>
      <c r="X1257" s="8">
        <v>1</v>
      </c>
      <c r="Y1257" s="8">
        <v>0</v>
      </c>
      <c r="Z1257" s="33">
        <v>0</v>
      </c>
      <c r="AA1257">
        <v>5</v>
      </c>
      <c r="AB1257" s="34">
        <v>3040</v>
      </c>
      <c r="AC1257" s="87">
        <v>999</v>
      </c>
      <c r="AF1257" s="63"/>
      <c r="AI1257" s="64"/>
      <c r="AJ1257" s="64"/>
      <c r="AK1257" s="64"/>
      <c r="AM1257" s="4">
        <v>100</v>
      </c>
      <c r="AN1257" s="93"/>
      <c r="AO1257" s="92"/>
      <c r="AS1257">
        <v>1</v>
      </c>
    </row>
    <row r="1258" spans="1:45">
      <c r="A1258">
        <v>261225</v>
      </c>
      <c r="B1258" s="8">
        <v>1001</v>
      </c>
      <c r="C1258" s="8">
        <v>1</v>
      </c>
      <c r="D1258" s="8">
        <v>3</v>
      </c>
      <c r="E1258" t="s">
        <v>3359</v>
      </c>
      <c r="F1258" t="s">
        <v>3359</v>
      </c>
      <c r="G1258" t="s">
        <v>3360</v>
      </c>
      <c r="H1258" s="13" t="s">
        <v>3361</v>
      </c>
      <c r="I1258">
        <v>1</v>
      </c>
      <c r="J1258">
        <v>5</v>
      </c>
      <c r="K1258" s="33">
        <v>1</v>
      </c>
      <c r="L1258" s="8">
        <v>999</v>
      </c>
      <c r="M1258" s="8">
        <v>0</v>
      </c>
      <c r="N1258" s="8"/>
      <c r="S1258" s="89">
        <v>1</v>
      </c>
      <c r="T1258" s="8">
        <v>5</v>
      </c>
      <c r="U1258" s="89">
        <v>80</v>
      </c>
      <c r="V1258" s="87">
        <v>1</v>
      </c>
      <c r="W1258">
        <v>1</v>
      </c>
      <c r="X1258" s="8">
        <v>1</v>
      </c>
      <c r="Y1258" s="8">
        <v>0</v>
      </c>
      <c r="Z1258" s="33">
        <v>0</v>
      </c>
      <c r="AA1258">
        <v>5</v>
      </c>
      <c r="AB1258" s="34">
        <v>3040</v>
      </c>
      <c r="AC1258" s="87">
        <v>999</v>
      </c>
      <c r="AF1258" s="63"/>
      <c r="AI1258" s="64"/>
      <c r="AJ1258" s="64"/>
      <c r="AK1258" s="64"/>
      <c r="AM1258" s="4">
        <v>100</v>
      </c>
      <c r="AN1258" s="93"/>
      <c r="AO1258" s="92"/>
      <c r="AS1258">
        <v>1</v>
      </c>
    </row>
    <row r="1259" spans="1:45">
      <c r="A1259">
        <v>261226</v>
      </c>
      <c r="B1259" s="8">
        <v>1001</v>
      </c>
      <c r="C1259" s="8">
        <v>1</v>
      </c>
      <c r="D1259" s="8">
        <v>3</v>
      </c>
      <c r="E1259" t="s">
        <v>3362</v>
      </c>
      <c r="F1259" t="s">
        <v>3362</v>
      </c>
      <c r="G1259" t="s">
        <v>3363</v>
      </c>
      <c r="H1259" s="13" t="s">
        <v>3364</v>
      </c>
      <c r="I1259">
        <v>1</v>
      </c>
      <c r="J1259">
        <v>5</v>
      </c>
      <c r="K1259" s="33">
        <v>1</v>
      </c>
      <c r="L1259" s="8">
        <v>999</v>
      </c>
      <c r="M1259" s="8">
        <v>0</v>
      </c>
      <c r="N1259" s="8"/>
      <c r="S1259" s="89">
        <v>1</v>
      </c>
      <c r="T1259" s="8">
        <v>5</v>
      </c>
      <c r="U1259" s="89">
        <v>80</v>
      </c>
      <c r="V1259" s="87">
        <v>1</v>
      </c>
      <c r="W1259">
        <v>1</v>
      </c>
      <c r="X1259" s="8">
        <v>1</v>
      </c>
      <c r="Y1259" s="8">
        <v>0</v>
      </c>
      <c r="Z1259" s="33">
        <v>0</v>
      </c>
      <c r="AA1259">
        <v>5</v>
      </c>
      <c r="AB1259" s="34">
        <v>3040</v>
      </c>
      <c r="AC1259" s="87">
        <v>999</v>
      </c>
      <c r="AF1259" s="63"/>
      <c r="AI1259" s="64"/>
      <c r="AJ1259" s="64"/>
      <c r="AK1259" s="64"/>
      <c r="AM1259" s="4">
        <v>100</v>
      </c>
      <c r="AN1259" s="93"/>
      <c r="AO1259" s="92"/>
      <c r="AS1259">
        <v>1</v>
      </c>
    </row>
    <row r="1260" spans="1:45">
      <c r="A1260">
        <v>261227</v>
      </c>
      <c r="B1260" s="8">
        <v>1001</v>
      </c>
      <c r="C1260" s="8">
        <v>1</v>
      </c>
      <c r="D1260" s="8">
        <v>3</v>
      </c>
      <c r="E1260" t="s">
        <v>3365</v>
      </c>
      <c r="F1260" t="s">
        <v>3365</v>
      </c>
      <c r="G1260" t="s">
        <v>3366</v>
      </c>
      <c r="H1260" s="13" t="s">
        <v>3367</v>
      </c>
      <c r="I1260">
        <v>1</v>
      </c>
      <c r="J1260">
        <v>5</v>
      </c>
      <c r="K1260" s="33">
        <v>1</v>
      </c>
      <c r="L1260" s="8">
        <v>999</v>
      </c>
      <c r="M1260" s="8">
        <v>0</v>
      </c>
      <c r="N1260" s="8"/>
      <c r="S1260" s="89">
        <v>1</v>
      </c>
      <c r="T1260" s="8">
        <v>5</v>
      </c>
      <c r="U1260" s="89">
        <v>80</v>
      </c>
      <c r="V1260" s="87">
        <v>1</v>
      </c>
      <c r="W1260">
        <v>1</v>
      </c>
      <c r="X1260" s="8">
        <v>1</v>
      </c>
      <c r="Y1260" s="8">
        <v>0</v>
      </c>
      <c r="Z1260" s="33">
        <v>0</v>
      </c>
      <c r="AA1260">
        <v>5</v>
      </c>
      <c r="AB1260" s="34">
        <v>3040</v>
      </c>
      <c r="AC1260" s="87">
        <v>999</v>
      </c>
      <c r="AF1260" s="63"/>
      <c r="AI1260" s="64"/>
      <c r="AJ1260" s="64"/>
      <c r="AK1260" s="64"/>
      <c r="AM1260" s="4">
        <v>100</v>
      </c>
      <c r="AN1260" s="93"/>
      <c r="AO1260" s="92"/>
      <c r="AS1260">
        <v>1</v>
      </c>
    </row>
    <row r="1261" spans="1:45">
      <c r="A1261">
        <v>261228</v>
      </c>
      <c r="B1261" s="8">
        <v>1001</v>
      </c>
      <c r="C1261" s="8">
        <v>1</v>
      </c>
      <c r="D1261" s="8">
        <v>3</v>
      </c>
      <c r="E1261" t="s">
        <v>3368</v>
      </c>
      <c r="F1261" t="s">
        <v>3368</v>
      </c>
      <c r="G1261" t="s">
        <v>3369</v>
      </c>
      <c r="H1261" s="13" t="s">
        <v>3370</v>
      </c>
      <c r="I1261">
        <v>1</v>
      </c>
      <c r="J1261">
        <v>5</v>
      </c>
      <c r="K1261" s="33">
        <v>1</v>
      </c>
      <c r="L1261" s="8">
        <v>999</v>
      </c>
      <c r="M1261" s="8">
        <v>0</v>
      </c>
      <c r="N1261" s="8"/>
      <c r="S1261" s="89">
        <v>1</v>
      </c>
      <c r="T1261" s="8">
        <v>5</v>
      </c>
      <c r="U1261" s="89">
        <v>80</v>
      </c>
      <c r="V1261" s="87">
        <v>1</v>
      </c>
      <c r="W1261">
        <v>1</v>
      </c>
      <c r="X1261" s="8">
        <v>1</v>
      </c>
      <c r="Y1261" s="8">
        <v>0</v>
      </c>
      <c r="Z1261" s="33">
        <v>0</v>
      </c>
      <c r="AA1261">
        <v>5</v>
      </c>
      <c r="AB1261" s="34">
        <v>3040</v>
      </c>
      <c r="AC1261" s="87">
        <v>999</v>
      </c>
      <c r="AF1261" s="63"/>
      <c r="AI1261" s="64"/>
      <c r="AJ1261" s="64"/>
      <c r="AK1261" s="64"/>
      <c r="AM1261" s="4">
        <v>100</v>
      </c>
      <c r="AN1261" s="93"/>
      <c r="AO1261" s="92"/>
      <c r="AS1261">
        <v>1</v>
      </c>
    </row>
    <row r="1262" spans="1:45">
      <c r="A1262">
        <v>261229</v>
      </c>
      <c r="B1262" s="8">
        <v>1001</v>
      </c>
      <c r="C1262" s="8">
        <v>1</v>
      </c>
      <c r="D1262" s="8">
        <v>3</v>
      </c>
      <c r="E1262" t="s">
        <v>3371</v>
      </c>
      <c r="F1262" t="s">
        <v>3371</v>
      </c>
      <c r="G1262" t="s">
        <v>3372</v>
      </c>
      <c r="H1262" s="13" t="s">
        <v>3373</v>
      </c>
      <c r="I1262">
        <v>1</v>
      </c>
      <c r="J1262">
        <v>5</v>
      </c>
      <c r="K1262" s="33">
        <v>1</v>
      </c>
      <c r="L1262" s="8">
        <v>999</v>
      </c>
      <c r="M1262" s="8">
        <v>0</v>
      </c>
      <c r="N1262" s="8"/>
      <c r="S1262" s="89">
        <v>1</v>
      </c>
      <c r="T1262" s="8">
        <v>5</v>
      </c>
      <c r="U1262" s="89">
        <v>80</v>
      </c>
      <c r="V1262" s="87">
        <v>1</v>
      </c>
      <c r="W1262">
        <v>1</v>
      </c>
      <c r="X1262" s="8">
        <v>1</v>
      </c>
      <c r="Y1262" s="8">
        <v>0</v>
      </c>
      <c r="Z1262" s="33">
        <v>0</v>
      </c>
      <c r="AA1262">
        <v>5</v>
      </c>
      <c r="AB1262" s="34">
        <v>3040</v>
      </c>
      <c r="AC1262" s="87">
        <v>999</v>
      </c>
      <c r="AF1262" s="63"/>
      <c r="AI1262" s="64"/>
      <c r="AJ1262" s="64"/>
      <c r="AK1262" s="64"/>
      <c r="AM1262" s="4">
        <v>100</v>
      </c>
      <c r="AN1262" s="93"/>
      <c r="AO1262" s="92"/>
      <c r="AS1262">
        <v>1</v>
      </c>
    </row>
    <row r="1263" spans="1:45">
      <c r="A1263">
        <v>261230</v>
      </c>
      <c r="B1263" s="8">
        <v>1001</v>
      </c>
      <c r="C1263" s="8">
        <v>1</v>
      </c>
      <c r="D1263" s="8">
        <v>3</v>
      </c>
      <c r="E1263" t="s">
        <v>3374</v>
      </c>
      <c r="F1263" t="s">
        <v>3374</v>
      </c>
      <c r="G1263" t="s">
        <v>3375</v>
      </c>
      <c r="H1263" s="13" t="s">
        <v>3376</v>
      </c>
      <c r="I1263">
        <v>1</v>
      </c>
      <c r="J1263">
        <v>5</v>
      </c>
      <c r="K1263" s="33">
        <v>1</v>
      </c>
      <c r="L1263" s="8">
        <v>999</v>
      </c>
      <c r="M1263" s="8">
        <v>0</v>
      </c>
      <c r="N1263" s="8"/>
      <c r="S1263" s="89">
        <v>1</v>
      </c>
      <c r="T1263" s="8">
        <v>5</v>
      </c>
      <c r="U1263" s="89">
        <v>80</v>
      </c>
      <c r="V1263" s="87">
        <v>1</v>
      </c>
      <c r="W1263">
        <v>1</v>
      </c>
      <c r="X1263" s="8">
        <v>1</v>
      </c>
      <c r="Y1263" s="8">
        <v>0</v>
      </c>
      <c r="Z1263" s="33">
        <v>0</v>
      </c>
      <c r="AA1263">
        <v>5</v>
      </c>
      <c r="AB1263" s="34">
        <v>3040</v>
      </c>
      <c r="AC1263" s="87">
        <v>999</v>
      </c>
      <c r="AF1263" s="63"/>
      <c r="AI1263" s="64"/>
      <c r="AJ1263" s="64"/>
      <c r="AK1263" s="64"/>
      <c r="AM1263" s="4">
        <v>100</v>
      </c>
      <c r="AN1263" s="93"/>
      <c r="AO1263" s="92"/>
      <c r="AS1263">
        <v>1</v>
      </c>
    </row>
    <row r="1264" spans="1:45">
      <c r="A1264">
        <v>261231</v>
      </c>
      <c r="B1264" s="8">
        <v>1001</v>
      </c>
      <c r="C1264" s="8">
        <v>1</v>
      </c>
      <c r="D1264" s="8">
        <v>3</v>
      </c>
      <c r="E1264" t="s">
        <v>3377</v>
      </c>
      <c r="F1264" t="s">
        <v>3377</v>
      </c>
      <c r="G1264" t="s">
        <v>3378</v>
      </c>
      <c r="H1264" s="13" t="s">
        <v>3379</v>
      </c>
      <c r="I1264">
        <v>1</v>
      </c>
      <c r="J1264">
        <v>5</v>
      </c>
      <c r="K1264" s="33">
        <v>1</v>
      </c>
      <c r="L1264" s="8">
        <v>999</v>
      </c>
      <c r="M1264" s="8">
        <v>0</v>
      </c>
      <c r="N1264" s="8"/>
      <c r="S1264" s="89">
        <v>1</v>
      </c>
      <c r="T1264" s="8">
        <v>5</v>
      </c>
      <c r="U1264" s="89">
        <v>80</v>
      </c>
      <c r="V1264" s="87">
        <v>1</v>
      </c>
      <c r="W1264">
        <v>1</v>
      </c>
      <c r="X1264" s="8">
        <v>1</v>
      </c>
      <c r="Y1264" s="8">
        <v>0</v>
      </c>
      <c r="Z1264" s="33">
        <v>0</v>
      </c>
      <c r="AA1264">
        <v>5</v>
      </c>
      <c r="AB1264" s="34">
        <v>3040</v>
      </c>
      <c r="AC1264" s="87">
        <v>999</v>
      </c>
      <c r="AF1264" s="63"/>
      <c r="AI1264" s="64"/>
      <c r="AJ1264" s="64"/>
      <c r="AK1264" s="64"/>
      <c r="AM1264" s="4">
        <v>100</v>
      </c>
      <c r="AN1264" s="93"/>
      <c r="AO1264" s="92"/>
      <c r="AS1264">
        <v>1</v>
      </c>
    </row>
    <row r="1265" spans="1:45">
      <c r="A1265">
        <v>261232</v>
      </c>
      <c r="B1265" s="8">
        <v>1001</v>
      </c>
      <c r="C1265" s="8">
        <v>1</v>
      </c>
      <c r="D1265" s="8">
        <v>3</v>
      </c>
      <c r="E1265" t="s">
        <v>3380</v>
      </c>
      <c r="F1265" t="s">
        <v>3380</v>
      </c>
      <c r="G1265" t="s">
        <v>3381</v>
      </c>
      <c r="H1265" s="13" t="s">
        <v>3382</v>
      </c>
      <c r="I1265">
        <v>1</v>
      </c>
      <c r="J1265">
        <v>5</v>
      </c>
      <c r="K1265" s="33">
        <v>1</v>
      </c>
      <c r="L1265" s="8">
        <v>999</v>
      </c>
      <c r="M1265" s="8">
        <v>0</v>
      </c>
      <c r="N1265" s="8"/>
      <c r="S1265" s="89">
        <v>1</v>
      </c>
      <c r="T1265" s="8">
        <v>5</v>
      </c>
      <c r="U1265" s="89">
        <v>80</v>
      </c>
      <c r="V1265" s="87">
        <v>1</v>
      </c>
      <c r="W1265">
        <v>1</v>
      </c>
      <c r="X1265" s="8">
        <v>1</v>
      </c>
      <c r="Y1265" s="8">
        <v>0</v>
      </c>
      <c r="Z1265" s="33">
        <v>0</v>
      </c>
      <c r="AA1265">
        <v>5</v>
      </c>
      <c r="AB1265" s="34">
        <v>3040</v>
      </c>
      <c r="AC1265" s="87">
        <v>999</v>
      </c>
      <c r="AF1265" s="63"/>
      <c r="AI1265" s="64"/>
      <c r="AJ1265" s="64"/>
      <c r="AK1265" s="64"/>
      <c r="AM1265" s="4">
        <v>100</v>
      </c>
      <c r="AN1265" s="93"/>
      <c r="AO1265" s="92"/>
      <c r="AS1265">
        <v>1</v>
      </c>
    </row>
    <row r="1266" spans="1:45">
      <c r="A1266">
        <v>261233</v>
      </c>
      <c r="B1266" s="8">
        <v>1001</v>
      </c>
      <c r="C1266" s="8">
        <v>1</v>
      </c>
      <c r="D1266" s="8">
        <v>3</v>
      </c>
      <c r="E1266" t="s">
        <v>3383</v>
      </c>
      <c r="F1266" t="s">
        <v>3383</v>
      </c>
      <c r="G1266" t="s">
        <v>3384</v>
      </c>
      <c r="H1266" s="13" t="s">
        <v>3385</v>
      </c>
      <c r="I1266">
        <v>1</v>
      </c>
      <c r="J1266">
        <v>5</v>
      </c>
      <c r="K1266" s="33">
        <v>1</v>
      </c>
      <c r="L1266" s="8">
        <v>999</v>
      </c>
      <c r="M1266" s="8">
        <v>0</v>
      </c>
      <c r="N1266" s="8"/>
      <c r="S1266" s="89">
        <v>1</v>
      </c>
      <c r="T1266" s="8">
        <v>5</v>
      </c>
      <c r="U1266" s="89">
        <v>80</v>
      </c>
      <c r="V1266" s="87">
        <v>1</v>
      </c>
      <c r="W1266">
        <v>1</v>
      </c>
      <c r="X1266" s="8">
        <v>1</v>
      </c>
      <c r="Y1266" s="8">
        <v>0</v>
      </c>
      <c r="Z1266" s="33">
        <v>0</v>
      </c>
      <c r="AA1266">
        <v>5</v>
      </c>
      <c r="AB1266" s="34">
        <v>3040</v>
      </c>
      <c r="AC1266" s="87">
        <v>999</v>
      </c>
      <c r="AF1266" s="63"/>
      <c r="AI1266" s="64"/>
      <c r="AJ1266" s="64"/>
      <c r="AK1266" s="64"/>
      <c r="AM1266" s="4">
        <v>100</v>
      </c>
      <c r="AN1266" s="93"/>
      <c r="AO1266" s="92"/>
      <c r="AS1266">
        <v>1</v>
      </c>
    </row>
    <row r="1267" spans="1:45">
      <c r="A1267">
        <v>261234</v>
      </c>
      <c r="B1267" s="8">
        <v>1001</v>
      </c>
      <c r="C1267" s="8">
        <v>1</v>
      </c>
      <c r="D1267" s="8">
        <v>3</v>
      </c>
      <c r="E1267" t="s">
        <v>3386</v>
      </c>
      <c r="F1267" t="s">
        <v>3386</v>
      </c>
      <c r="G1267" t="s">
        <v>3387</v>
      </c>
      <c r="H1267" s="13" t="s">
        <v>3388</v>
      </c>
      <c r="I1267">
        <v>1</v>
      </c>
      <c r="J1267">
        <v>5</v>
      </c>
      <c r="K1267" s="33">
        <v>1</v>
      </c>
      <c r="L1267" s="8">
        <v>999</v>
      </c>
      <c r="M1267" s="8">
        <v>0</v>
      </c>
      <c r="N1267" s="8"/>
      <c r="S1267" s="89">
        <v>1</v>
      </c>
      <c r="T1267" s="8">
        <v>5</v>
      </c>
      <c r="U1267" s="89">
        <v>80</v>
      </c>
      <c r="V1267" s="87">
        <v>1</v>
      </c>
      <c r="W1267">
        <v>1</v>
      </c>
      <c r="X1267" s="8">
        <v>1</v>
      </c>
      <c r="Y1267" s="8">
        <v>0</v>
      </c>
      <c r="Z1267" s="33">
        <v>0</v>
      </c>
      <c r="AA1267">
        <v>5</v>
      </c>
      <c r="AB1267" s="34">
        <v>3040</v>
      </c>
      <c r="AC1267" s="87">
        <v>999</v>
      </c>
      <c r="AF1267" s="63"/>
      <c r="AI1267" s="64"/>
      <c r="AJ1267" s="64"/>
      <c r="AK1267" s="64"/>
      <c r="AM1267" s="4">
        <v>100</v>
      </c>
      <c r="AN1267" s="93"/>
      <c r="AO1267" s="92"/>
      <c r="AS1267">
        <v>1</v>
      </c>
    </row>
    <row r="1268" spans="1:45">
      <c r="A1268">
        <v>261235</v>
      </c>
      <c r="B1268" s="8">
        <v>1001</v>
      </c>
      <c r="C1268" s="8">
        <v>1</v>
      </c>
      <c r="D1268" s="8">
        <v>3</v>
      </c>
      <c r="E1268" t="s">
        <v>3389</v>
      </c>
      <c r="F1268" t="s">
        <v>3389</v>
      </c>
      <c r="G1268" t="s">
        <v>3390</v>
      </c>
      <c r="H1268" s="253" t="s">
        <v>3391</v>
      </c>
      <c r="I1268">
        <v>1</v>
      </c>
      <c r="J1268">
        <v>5</v>
      </c>
      <c r="K1268" s="33">
        <v>1</v>
      </c>
      <c r="L1268" s="8">
        <v>999</v>
      </c>
      <c r="M1268" s="8">
        <v>0</v>
      </c>
      <c r="N1268" s="8"/>
      <c r="Q1268"/>
      <c r="S1268" s="89">
        <v>1</v>
      </c>
      <c r="T1268" s="8">
        <v>5</v>
      </c>
      <c r="U1268" s="89">
        <v>80</v>
      </c>
      <c r="V1268" s="87">
        <v>1</v>
      </c>
      <c r="W1268">
        <v>1</v>
      </c>
      <c r="X1268" s="8">
        <v>1</v>
      </c>
      <c r="Y1268" s="8">
        <v>0</v>
      </c>
      <c r="Z1268" s="33">
        <v>0</v>
      </c>
      <c r="AA1268">
        <v>5</v>
      </c>
      <c r="AB1268" s="34">
        <v>3040</v>
      </c>
      <c r="AC1268" s="87">
        <v>999</v>
      </c>
      <c r="AF1268" s="63"/>
      <c r="AI1268" s="64"/>
      <c r="AJ1268" s="64"/>
      <c r="AK1268" s="64"/>
      <c r="AM1268" s="4">
        <v>100</v>
      </c>
      <c r="AN1268" s="93"/>
      <c r="AO1268" s="92"/>
      <c r="AS1268">
        <v>1</v>
      </c>
    </row>
    <row r="1269" spans="1:45">
      <c r="A1269">
        <v>1010101</v>
      </c>
      <c r="B1269" s="8">
        <v>1001</v>
      </c>
      <c r="C1269" s="8">
        <v>5</v>
      </c>
      <c r="D1269" s="8">
        <v>1003</v>
      </c>
      <c r="E1269" t="s">
        <v>3392</v>
      </c>
      <c r="F1269" t="s">
        <v>3393</v>
      </c>
      <c r="G1269" t="s">
        <v>3394</v>
      </c>
      <c r="H1269" t="s">
        <v>3395</v>
      </c>
      <c r="I1269">
        <v>1</v>
      </c>
      <c r="J1269">
        <v>1</v>
      </c>
      <c r="K1269" s="33">
        <v>4</v>
      </c>
      <c r="L1269" s="8">
        <v>99</v>
      </c>
      <c r="M1269" s="8">
        <v>0</v>
      </c>
      <c r="N1269" s="8"/>
      <c r="Q1269" t="s">
        <v>260</v>
      </c>
      <c r="S1269" s="89">
        <v>1</v>
      </c>
      <c r="T1269" s="8">
        <v>5</v>
      </c>
      <c r="U1269" s="89">
        <v>80</v>
      </c>
      <c r="V1269" s="87">
        <v>0</v>
      </c>
      <c r="W1269">
        <v>1</v>
      </c>
      <c r="X1269" s="8">
        <v>1</v>
      </c>
      <c r="Y1269" s="8">
        <v>0</v>
      </c>
      <c r="Z1269" s="33">
        <v>0</v>
      </c>
      <c r="AA1269">
        <v>5</v>
      </c>
      <c r="AB1269" s="34">
        <v>3040</v>
      </c>
      <c r="AC1269" s="87">
        <v>380</v>
      </c>
      <c r="AD1269" s="62">
        <v>0</v>
      </c>
      <c r="AE1269" s="62">
        <v>0</v>
      </c>
      <c r="AF1269" s="62">
        <v>1</v>
      </c>
      <c r="AJ1269" s="63">
        <v>1010102</v>
      </c>
      <c r="AL1269" s="64">
        <v>1</v>
      </c>
      <c r="AN1269" s="93"/>
      <c r="AO1269" s="92"/>
      <c r="AS1269">
        <v>1</v>
      </c>
    </row>
    <row r="1270" spans="1:45">
      <c r="A1270">
        <v>1010102</v>
      </c>
      <c r="B1270" s="8">
        <v>1001</v>
      </c>
      <c r="C1270" s="8">
        <v>5</v>
      </c>
      <c r="D1270" s="8">
        <v>1003</v>
      </c>
      <c r="E1270" t="s">
        <v>3396</v>
      </c>
      <c r="F1270" t="s">
        <v>3393</v>
      </c>
      <c r="G1270" t="s">
        <v>3394</v>
      </c>
      <c r="H1270" t="s">
        <v>3395</v>
      </c>
      <c r="I1270">
        <v>1</v>
      </c>
      <c r="J1270">
        <v>1</v>
      </c>
      <c r="K1270" s="33">
        <v>4</v>
      </c>
      <c r="L1270" s="8">
        <v>99</v>
      </c>
      <c r="M1270" s="8">
        <v>0</v>
      </c>
      <c r="N1270" s="8"/>
      <c r="Q1270" t="s">
        <v>260</v>
      </c>
      <c r="S1270" s="89">
        <v>1</v>
      </c>
      <c r="T1270" s="8">
        <v>5</v>
      </c>
      <c r="U1270" s="89">
        <v>80</v>
      </c>
      <c r="V1270" s="87">
        <v>0</v>
      </c>
      <c r="W1270">
        <v>1</v>
      </c>
      <c r="X1270" s="8">
        <v>1</v>
      </c>
      <c r="Y1270" s="8">
        <v>0</v>
      </c>
      <c r="Z1270" s="33">
        <v>0</v>
      </c>
      <c r="AA1270">
        <v>5</v>
      </c>
      <c r="AB1270" s="34">
        <v>3040</v>
      </c>
      <c r="AC1270" s="87">
        <v>379</v>
      </c>
      <c r="AD1270" s="62">
        <v>0</v>
      </c>
      <c r="AE1270" s="62">
        <v>0</v>
      </c>
      <c r="AF1270" s="62">
        <v>1</v>
      </c>
      <c r="AJ1270" s="63">
        <v>1010103</v>
      </c>
      <c r="AL1270" s="64">
        <v>1</v>
      </c>
      <c r="AN1270" s="93"/>
      <c r="AO1270" s="92"/>
      <c r="AS1270">
        <v>1</v>
      </c>
    </row>
    <row r="1271" spans="1:45">
      <c r="A1271">
        <v>1010103</v>
      </c>
      <c r="B1271" s="8">
        <v>1001</v>
      </c>
      <c r="C1271" s="8">
        <v>5</v>
      </c>
      <c r="D1271" s="8">
        <v>1003</v>
      </c>
      <c r="E1271" t="s">
        <v>3397</v>
      </c>
      <c r="F1271" t="s">
        <v>3393</v>
      </c>
      <c r="G1271" t="s">
        <v>3394</v>
      </c>
      <c r="H1271" t="s">
        <v>3395</v>
      </c>
      <c r="I1271">
        <v>1</v>
      </c>
      <c r="J1271">
        <v>2</v>
      </c>
      <c r="K1271" s="33">
        <v>4</v>
      </c>
      <c r="L1271" s="8">
        <v>99</v>
      </c>
      <c r="M1271" s="8">
        <v>0</v>
      </c>
      <c r="N1271" s="8"/>
      <c r="Q1271" t="s">
        <v>260</v>
      </c>
      <c r="S1271" s="89">
        <v>1</v>
      </c>
      <c r="T1271" s="8">
        <v>5</v>
      </c>
      <c r="U1271" s="89">
        <v>110</v>
      </c>
      <c r="V1271" s="87">
        <v>0</v>
      </c>
      <c r="W1271">
        <v>1</v>
      </c>
      <c r="X1271" s="8">
        <v>1</v>
      </c>
      <c r="Y1271" s="8">
        <v>0</v>
      </c>
      <c r="Z1271" s="33">
        <v>0</v>
      </c>
      <c r="AA1271">
        <v>5</v>
      </c>
      <c r="AB1271" s="34">
        <v>4180</v>
      </c>
      <c r="AC1271" s="87">
        <v>378</v>
      </c>
      <c r="AD1271" s="62">
        <v>0</v>
      </c>
      <c r="AE1271" s="62">
        <v>0</v>
      </c>
      <c r="AF1271" s="62">
        <v>1</v>
      </c>
      <c r="AJ1271" s="63">
        <v>1010104</v>
      </c>
      <c r="AL1271" s="64">
        <v>1</v>
      </c>
      <c r="AN1271" s="93"/>
      <c r="AO1271" s="92"/>
      <c r="AS1271">
        <v>1</v>
      </c>
    </row>
    <row r="1272" spans="1:45">
      <c r="A1272">
        <v>1010104</v>
      </c>
      <c r="B1272" s="8">
        <v>1001</v>
      </c>
      <c r="C1272" s="8">
        <v>5</v>
      </c>
      <c r="D1272" s="8">
        <v>1003</v>
      </c>
      <c r="E1272" t="s">
        <v>3398</v>
      </c>
      <c r="F1272" t="s">
        <v>3393</v>
      </c>
      <c r="G1272" t="s">
        <v>3394</v>
      </c>
      <c r="H1272" t="s">
        <v>3395</v>
      </c>
      <c r="I1272">
        <v>1</v>
      </c>
      <c r="J1272">
        <v>2</v>
      </c>
      <c r="K1272" s="33">
        <v>4</v>
      </c>
      <c r="L1272" s="8">
        <v>99</v>
      </c>
      <c r="M1272" s="8">
        <v>0</v>
      </c>
      <c r="N1272" s="8"/>
      <c r="Q1272" t="s">
        <v>260</v>
      </c>
      <c r="S1272" s="89">
        <v>1</v>
      </c>
      <c r="T1272" s="8">
        <v>5</v>
      </c>
      <c r="U1272" s="89">
        <v>110</v>
      </c>
      <c r="V1272" s="87">
        <v>0</v>
      </c>
      <c r="W1272">
        <v>1</v>
      </c>
      <c r="X1272" s="8">
        <v>1</v>
      </c>
      <c r="Y1272" s="8">
        <v>0</v>
      </c>
      <c r="Z1272" s="33">
        <v>0</v>
      </c>
      <c r="AA1272">
        <v>5</v>
      </c>
      <c r="AB1272" s="34">
        <v>4180</v>
      </c>
      <c r="AC1272" s="87">
        <v>377</v>
      </c>
      <c r="AD1272" s="62">
        <v>0</v>
      </c>
      <c r="AE1272" s="62">
        <v>0</v>
      </c>
      <c r="AF1272" s="62">
        <v>1</v>
      </c>
      <c r="AJ1272" s="63">
        <v>1010105</v>
      </c>
      <c r="AL1272" s="64">
        <v>1</v>
      </c>
      <c r="AN1272" s="93"/>
      <c r="AO1272" s="92"/>
      <c r="AS1272">
        <v>1</v>
      </c>
    </row>
    <row r="1273" spans="1:45">
      <c r="A1273">
        <v>1010105</v>
      </c>
      <c r="B1273" s="8">
        <v>1001</v>
      </c>
      <c r="C1273" s="8">
        <v>5</v>
      </c>
      <c r="D1273" s="8">
        <v>1003</v>
      </c>
      <c r="E1273" t="s">
        <v>3399</v>
      </c>
      <c r="F1273" t="s">
        <v>3393</v>
      </c>
      <c r="G1273" t="s">
        <v>3400</v>
      </c>
      <c r="H1273" t="s">
        <v>3395</v>
      </c>
      <c r="I1273">
        <v>1</v>
      </c>
      <c r="J1273">
        <v>3</v>
      </c>
      <c r="K1273" s="33">
        <v>4</v>
      </c>
      <c r="L1273" s="8">
        <v>99</v>
      </c>
      <c r="M1273" s="8">
        <v>0</v>
      </c>
      <c r="N1273" s="8"/>
      <c r="Q1273" t="s">
        <v>260</v>
      </c>
      <c r="S1273" s="89">
        <v>1</v>
      </c>
      <c r="T1273" s="8">
        <v>5</v>
      </c>
      <c r="U1273" s="89">
        <v>140</v>
      </c>
      <c r="V1273" s="87">
        <v>0</v>
      </c>
      <c r="W1273">
        <v>1</v>
      </c>
      <c r="X1273" s="8">
        <v>1</v>
      </c>
      <c r="Y1273" s="8">
        <v>0</v>
      </c>
      <c r="Z1273" s="33">
        <v>0</v>
      </c>
      <c r="AA1273">
        <v>5</v>
      </c>
      <c r="AB1273" s="34">
        <v>5320</v>
      </c>
      <c r="AC1273" s="87">
        <v>376</v>
      </c>
      <c r="AD1273" s="62">
        <v>0</v>
      </c>
      <c r="AE1273" s="62">
        <v>0</v>
      </c>
      <c r="AF1273" s="62">
        <v>1</v>
      </c>
      <c r="AJ1273" s="63">
        <v>1010106</v>
      </c>
      <c r="AL1273" s="64">
        <v>1</v>
      </c>
      <c r="AN1273" s="93"/>
      <c r="AO1273" s="92"/>
      <c r="AS1273">
        <v>1</v>
      </c>
    </row>
    <row r="1274" spans="1:45">
      <c r="A1274">
        <v>1010106</v>
      </c>
      <c r="B1274" s="8">
        <v>1001</v>
      </c>
      <c r="C1274" s="8">
        <v>5</v>
      </c>
      <c r="D1274" s="8">
        <v>1003</v>
      </c>
      <c r="E1274" t="s">
        <v>3401</v>
      </c>
      <c r="F1274" t="s">
        <v>3393</v>
      </c>
      <c r="G1274" t="s">
        <v>3402</v>
      </c>
      <c r="H1274" t="s">
        <v>3395</v>
      </c>
      <c r="I1274">
        <v>1</v>
      </c>
      <c r="J1274">
        <v>3</v>
      </c>
      <c r="K1274" s="33">
        <v>4</v>
      </c>
      <c r="L1274" s="8">
        <v>99</v>
      </c>
      <c r="M1274" s="8">
        <v>0</v>
      </c>
      <c r="N1274" s="8"/>
      <c r="Q1274" t="s">
        <v>260</v>
      </c>
      <c r="S1274" s="89">
        <v>1</v>
      </c>
      <c r="T1274" s="8">
        <v>5</v>
      </c>
      <c r="U1274" s="89">
        <v>140</v>
      </c>
      <c r="V1274" s="87">
        <v>0</v>
      </c>
      <c r="W1274">
        <v>1</v>
      </c>
      <c r="X1274" s="8">
        <v>1</v>
      </c>
      <c r="Y1274" s="8">
        <v>0</v>
      </c>
      <c r="Z1274" s="33">
        <v>0</v>
      </c>
      <c r="AA1274">
        <v>5</v>
      </c>
      <c r="AB1274" s="34">
        <v>5320</v>
      </c>
      <c r="AC1274" s="87">
        <v>375</v>
      </c>
      <c r="AD1274" s="62">
        <v>0</v>
      </c>
      <c r="AE1274" s="62">
        <v>0</v>
      </c>
      <c r="AF1274" s="62">
        <v>1</v>
      </c>
      <c r="AJ1274" s="63">
        <v>1010107</v>
      </c>
      <c r="AL1274" s="64">
        <v>1</v>
      </c>
      <c r="AN1274" s="93"/>
      <c r="AO1274" s="92"/>
      <c r="AS1274">
        <v>1</v>
      </c>
    </row>
    <row r="1275" spans="1:45">
      <c r="A1275">
        <v>1010107</v>
      </c>
      <c r="B1275" s="8">
        <v>1001</v>
      </c>
      <c r="C1275" s="8">
        <v>5</v>
      </c>
      <c r="D1275" s="8">
        <v>1003</v>
      </c>
      <c r="E1275" t="s">
        <v>3403</v>
      </c>
      <c r="F1275" t="s">
        <v>3393</v>
      </c>
      <c r="G1275" t="s">
        <v>3404</v>
      </c>
      <c r="H1275" t="s">
        <v>3405</v>
      </c>
      <c r="I1275">
        <v>1</v>
      </c>
      <c r="J1275">
        <v>4</v>
      </c>
      <c r="K1275" s="33">
        <v>4</v>
      </c>
      <c r="L1275" s="8">
        <v>99</v>
      </c>
      <c r="M1275" s="8">
        <v>0</v>
      </c>
      <c r="N1275" s="8"/>
      <c r="S1275" s="89">
        <v>1</v>
      </c>
      <c r="T1275" s="8">
        <v>5</v>
      </c>
      <c r="U1275" s="89">
        <v>170</v>
      </c>
      <c r="V1275" s="87">
        <v>0</v>
      </c>
      <c r="W1275">
        <v>1</v>
      </c>
      <c r="X1275" s="8">
        <v>1</v>
      </c>
      <c r="Y1275" s="8">
        <v>0</v>
      </c>
      <c r="Z1275" s="33">
        <v>0</v>
      </c>
      <c r="AA1275">
        <v>5</v>
      </c>
      <c r="AB1275" s="34">
        <v>6460</v>
      </c>
      <c r="AC1275" s="87">
        <v>374</v>
      </c>
      <c r="AD1275" s="62">
        <v>0</v>
      </c>
      <c r="AE1275" s="62">
        <v>0</v>
      </c>
      <c r="AF1275" s="62">
        <v>1</v>
      </c>
      <c r="AJ1275" s="63">
        <v>1010108</v>
      </c>
      <c r="AL1275" s="64">
        <v>1</v>
      </c>
      <c r="AN1275" s="93"/>
      <c r="AO1275" s="92"/>
      <c r="AS1275">
        <v>1</v>
      </c>
    </row>
    <row r="1276" spans="1:45">
      <c r="A1276">
        <v>1010108</v>
      </c>
      <c r="B1276" s="8">
        <v>1001</v>
      </c>
      <c r="C1276" s="8">
        <v>5</v>
      </c>
      <c r="D1276" s="8">
        <v>1003</v>
      </c>
      <c r="E1276" t="s">
        <v>3406</v>
      </c>
      <c r="F1276" t="s">
        <v>3393</v>
      </c>
      <c r="G1276" t="s">
        <v>3407</v>
      </c>
      <c r="H1276" t="s">
        <v>3405</v>
      </c>
      <c r="I1276">
        <v>1</v>
      </c>
      <c r="J1276">
        <v>4</v>
      </c>
      <c r="K1276" s="33">
        <v>4</v>
      </c>
      <c r="L1276" s="8">
        <v>99</v>
      </c>
      <c r="M1276" s="8">
        <v>0</v>
      </c>
      <c r="N1276" s="8"/>
      <c r="S1276" s="89">
        <v>1</v>
      </c>
      <c r="T1276" s="8">
        <v>5</v>
      </c>
      <c r="U1276" s="89">
        <v>170</v>
      </c>
      <c r="V1276" s="87">
        <v>0</v>
      </c>
      <c r="W1276">
        <v>1</v>
      </c>
      <c r="X1276" s="8">
        <v>1</v>
      </c>
      <c r="Y1276" s="8">
        <v>0</v>
      </c>
      <c r="Z1276" s="33">
        <v>0</v>
      </c>
      <c r="AA1276">
        <v>5</v>
      </c>
      <c r="AB1276" s="34">
        <v>6460</v>
      </c>
      <c r="AC1276" s="87">
        <v>373</v>
      </c>
      <c r="AD1276" s="62">
        <v>0</v>
      </c>
      <c r="AE1276" s="62">
        <v>0</v>
      </c>
      <c r="AF1276" s="62">
        <v>1</v>
      </c>
      <c r="AJ1276" s="63">
        <v>1010109</v>
      </c>
      <c r="AL1276" s="64">
        <v>1</v>
      </c>
      <c r="AN1276" s="93"/>
      <c r="AO1276" s="92"/>
      <c r="AS1276">
        <v>1</v>
      </c>
    </row>
    <row r="1277" spans="1:45">
      <c r="A1277">
        <v>1010109</v>
      </c>
      <c r="B1277" s="8">
        <v>1001</v>
      </c>
      <c r="C1277" s="8">
        <v>5</v>
      </c>
      <c r="D1277" s="8">
        <v>1003</v>
      </c>
      <c r="E1277" t="s">
        <v>3408</v>
      </c>
      <c r="F1277" t="s">
        <v>3393</v>
      </c>
      <c r="G1277" t="s">
        <v>3409</v>
      </c>
      <c r="H1277" t="s">
        <v>3405</v>
      </c>
      <c r="I1277">
        <v>1</v>
      </c>
      <c r="J1277">
        <v>5</v>
      </c>
      <c r="K1277" s="33">
        <v>4</v>
      </c>
      <c r="L1277" s="8">
        <v>99</v>
      </c>
      <c r="M1277" s="8">
        <v>0</v>
      </c>
      <c r="N1277" s="8"/>
      <c r="S1277" s="89">
        <v>1</v>
      </c>
      <c r="T1277" s="8">
        <v>5</v>
      </c>
      <c r="U1277" s="89">
        <v>200</v>
      </c>
      <c r="V1277" s="87">
        <v>0</v>
      </c>
      <c r="W1277">
        <v>1</v>
      </c>
      <c r="X1277" s="8">
        <v>1</v>
      </c>
      <c r="Y1277" s="8">
        <v>0</v>
      </c>
      <c r="Z1277" s="33">
        <v>0</v>
      </c>
      <c r="AA1277">
        <v>5</v>
      </c>
      <c r="AB1277" s="34">
        <v>7600</v>
      </c>
      <c r="AC1277" s="87">
        <v>372</v>
      </c>
      <c r="AD1277" s="62">
        <v>0</v>
      </c>
      <c r="AE1277" s="62">
        <v>0</v>
      </c>
      <c r="AF1277" s="62">
        <v>1</v>
      </c>
      <c r="AJ1277" s="63">
        <v>1010110</v>
      </c>
      <c r="AL1277" s="64">
        <v>1</v>
      </c>
      <c r="AN1277" s="93"/>
      <c r="AO1277" s="92"/>
      <c r="AS1277">
        <v>1</v>
      </c>
    </row>
    <row r="1278" s="3" customFormat="1" spans="1:45">
      <c r="A1278">
        <v>1010110</v>
      </c>
      <c r="B1278" s="236">
        <v>1001</v>
      </c>
      <c r="C1278" s="236">
        <v>5</v>
      </c>
      <c r="D1278" s="236">
        <v>1003</v>
      </c>
      <c r="E1278" t="s">
        <v>3410</v>
      </c>
      <c r="F1278" t="s">
        <v>3393</v>
      </c>
      <c r="G1278" t="s">
        <v>3411</v>
      </c>
      <c r="H1278" t="s">
        <v>3412</v>
      </c>
      <c r="I1278">
        <v>1</v>
      </c>
      <c r="J1278">
        <v>5</v>
      </c>
      <c r="K1278" s="33">
        <v>4</v>
      </c>
      <c r="L1278" s="236">
        <v>99</v>
      </c>
      <c r="M1278" s="236">
        <v>0</v>
      </c>
      <c r="N1278" s="236"/>
      <c r="O1278" s="231"/>
      <c r="S1278" s="336">
        <v>1</v>
      </c>
      <c r="T1278" s="236">
        <v>5</v>
      </c>
      <c r="U1278" s="336">
        <v>200</v>
      </c>
      <c r="V1278" s="248">
        <v>0</v>
      </c>
      <c r="W1278">
        <v>1</v>
      </c>
      <c r="X1278" s="236">
        <v>1</v>
      </c>
      <c r="Y1278" s="236">
        <v>0</v>
      </c>
      <c r="Z1278" s="33">
        <v>0</v>
      </c>
      <c r="AA1278">
        <v>5</v>
      </c>
      <c r="AB1278" s="34">
        <v>7600</v>
      </c>
      <c r="AC1278" s="248">
        <v>371</v>
      </c>
      <c r="AD1278" s="62">
        <v>0</v>
      </c>
      <c r="AE1278" s="62">
        <v>0</v>
      </c>
      <c r="AF1278" s="62">
        <v>1</v>
      </c>
      <c r="AG1278" s="337"/>
      <c r="AH1278" s="337"/>
      <c r="AI1278" s="337"/>
      <c r="AJ1278" s="63">
        <v>1010111</v>
      </c>
      <c r="AK1278" s="337"/>
      <c r="AL1278" s="64">
        <v>1</v>
      </c>
      <c r="AM1278" s="234"/>
      <c r="AN1278" s="338"/>
      <c r="AO1278" s="252"/>
      <c r="AP1278" s="234"/>
      <c r="AS1278">
        <v>1</v>
      </c>
    </row>
    <row r="1279" spans="1:45">
      <c r="A1279" s="3">
        <v>1010111</v>
      </c>
      <c r="B1279" s="339">
        <v>1001</v>
      </c>
      <c r="C1279" s="339">
        <v>5</v>
      </c>
      <c r="D1279" s="339">
        <v>1003</v>
      </c>
      <c r="E1279" s="3" t="s">
        <v>3413</v>
      </c>
      <c r="F1279" s="339" t="s">
        <v>3393</v>
      </c>
      <c r="G1279" s="3" t="s">
        <v>3414</v>
      </c>
      <c r="H1279" s="3" t="s">
        <v>3415</v>
      </c>
      <c r="I1279" s="3">
        <v>1</v>
      </c>
      <c r="J1279" s="3">
        <v>5</v>
      </c>
      <c r="K1279" s="3">
        <v>1</v>
      </c>
      <c r="L1279" s="339">
        <v>99</v>
      </c>
      <c r="M1279" s="339">
        <v>0</v>
      </c>
      <c r="N1279" s="8"/>
      <c r="O1279" s="231"/>
      <c r="Q1279"/>
      <c r="S1279" s="339">
        <v>1</v>
      </c>
      <c r="T1279" s="339">
        <v>5</v>
      </c>
      <c r="U1279" s="339">
        <v>200</v>
      </c>
      <c r="V1279" s="339">
        <v>0</v>
      </c>
      <c r="W1279" s="3">
        <v>1</v>
      </c>
      <c r="X1279" s="339">
        <v>1</v>
      </c>
      <c r="Y1279" s="339">
        <v>0</v>
      </c>
      <c r="Z1279" s="3">
        <v>0</v>
      </c>
      <c r="AA1279" s="3">
        <v>5</v>
      </c>
      <c r="AB1279" s="3">
        <v>7600</v>
      </c>
      <c r="AC1279" s="339">
        <v>371</v>
      </c>
      <c r="AD1279" s="3">
        <v>0</v>
      </c>
      <c r="AE1279" s="3">
        <v>0</v>
      </c>
      <c r="AF1279" s="3">
        <v>1</v>
      </c>
      <c r="AG1279" s="337"/>
      <c r="AH1279" s="337"/>
      <c r="AI1279" s="337"/>
      <c r="AJ1279" s="337"/>
      <c r="AK1279" s="337"/>
      <c r="AL1279" s="3">
        <v>1</v>
      </c>
      <c r="AM1279" s="234"/>
      <c r="AN1279" s="93"/>
      <c r="AO1279" s="92"/>
      <c r="AP1279" s="234"/>
      <c r="AS1279" s="3">
        <v>1</v>
      </c>
    </row>
    <row r="1280" spans="1:45">
      <c r="A1280">
        <v>1010201</v>
      </c>
      <c r="B1280" s="8">
        <v>1001</v>
      </c>
      <c r="C1280" s="8">
        <v>5</v>
      </c>
      <c r="D1280" s="8">
        <v>1003</v>
      </c>
      <c r="E1280" t="s">
        <v>3416</v>
      </c>
      <c r="F1280" s="13" t="s">
        <v>3417</v>
      </c>
      <c r="G1280" t="s">
        <v>3394</v>
      </c>
      <c r="H1280" t="s">
        <v>3418</v>
      </c>
      <c r="I1280">
        <v>1</v>
      </c>
      <c r="J1280">
        <v>1</v>
      </c>
      <c r="K1280" s="33">
        <v>4</v>
      </c>
      <c r="L1280" s="8">
        <v>99</v>
      </c>
      <c r="M1280" s="8">
        <v>0</v>
      </c>
      <c r="N1280" s="8"/>
      <c r="Q1280" t="s">
        <v>260</v>
      </c>
      <c r="S1280" s="89">
        <v>1</v>
      </c>
      <c r="T1280" s="8">
        <v>5</v>
      </c>
      <c r="U1280" s="89">
        <v>80</v>
      </c>
      <c r="V1280" s="87">
        <v>0</v>
      </c>
      <c r="W1280">
        <v>1</v>
      </c>
      <c r="X1280" s="8">
        <v>1</v>
      </c>
      <c r="Y1280" s="8">
        <v>0</v>
      </c>
      <c r="Z1280" s="33">
        <v>0</v>
      </c>
      <c r="AA1280">
        <v>5</v>
      </c>
      <c r="AB1280" s="34">
        <v>3040</v>
      </c>
      <c r="AC1280" s="87">
        <v>390</v>
      </c>
      <c r="AD1280" s="62">
        <v>0</v>
      </c>
      <c r="AE1280" s="62">
        <v>0</v>
      </c>
      <c r="AF1280" s="62">
        <v>1</v>
      </c>
      <c r="AJ1280" s="63">
        <v>1010202</v>
      </c>
      <c r="AL1280" s="64">
        <v>1</v>
      </c>
      <c r="AN1280" s="93"/>
      <c r="AO1280" s="92"/>
      <c r="AS1280">
        <v>1</v>
      </c>
    </row>
    <row r="1281" spans="1:45">
      <c r="A1281">
        <v>1010202</v>
      </c>
      <c r="B1281" s="8">
        <v>1001</v>
      </c>
      <c r="C1281" s="8">
        <v>5</v>
      </c>
      <c r="D1281" s="8">
        <v>1003</v>
      </c>
      <c r="E1281" t="s">
        <v>3419</v>
      </c>
      <c r="F1281" s="13" t="s">
        <v>3417</v>
      </c>
      <c r="G1281" t="s">
        <v>3394</v>
      </c>
      <c r="H1281" t="s">
        <v>3418</v>
      </c>
      <c r="I1281">
        <v>1</v>
      </c>
      <c r="J1281">
        <v>1</v>
      </c>
      <c r="K1281" s="33">
        <v>4</v>
      </c>
      <c r="L1281" s="8">
        <v>99</v>
      </c>
      <c r="M1281" s="8">
        <v>0</v>
      </c>
      <c r="N1281" s="8"/>
      <c r="Q1281" t="s">
        <v>260</v>
      </c>
      <c r="S1281" s="89">
        <v>1</v>
      </c>
      <c r="T1281" s="8">
        <v>5</v>
      </c>
      <c r="U1281" s="89">
        <v>80</v>
      </c>
      <c r="V1281" s="87">
        <v>0</v>
      </c>
      <c r="W1281">
        <v>1</v>
      </c>
      <c r="X1281" s="8">
        <v>1</v>
      </c>
      <c r="Y1281" s="8">
        <v>0</v>
      </c>
      <c r="Z1281" s="33">
        <v>0</v>
      </c>
      <c r="AA1281">
        <v>5</v>
      </c>
      <c r="AB1281" s="34">
        <v>3040</v>
      </c>
      <c r="AC1281" s="87">
        <v>389</v>
      </c>
      <c r="AD1281" s="62">
        <v>0</v>
      </c>
      <c r="AE1281" s="62">
        <v>0</v>
      </c>
      <c r="AF1281" s="62">
        <v>1</v>
      </c>
      <c r="AJ1281" s="63">
        <v>1010203</v>
      </c>
      <c r="AL1281" s="64">
        <v>1</v>
      </c>
      <c r="AN1281" s="93"/>
      <c r="AO1281" s="92"/>
      <c r="AS1281">
        <v>1</v>
      </c>
    </row>
    <row r="1282" spans="1:45">
      <c r="A1282">
        <v>1010203</v>
      </c>
      <c r="B1282" s="8">
        <v>1001</v>
      </c>
      <c r="C1282" s="8">
        <v>5</v>
      </c>
      <c r="D1282" s="8">
        <v>1003</v>
      </c>
      <c r="E1282" t="s">
        <v>3420</v>
      </c>
      <c r="F1282" s="13" t="s">
        <v>3417</v>
      </c>
      <c r="G1282" t="s">
        <v>3394</v>
      </c>
      <c r="H1282" t="s">
        <v>3418</v>
      </c>
      <c r="I1282">
        <v>1</v>
      </c>
      <c r="J1282">
        <v>2</v>
      </c>
      <c r="K1282" s="33">
        <v>4</v>
      </c>
      <c r="L1282" s="8">
        <v>99</v>
      </c>
      <c r="M1282" s="8">
        <v>0</v>
      </c>
      <c r="N1282" s="8"/>
      <c r="Q1282" t="s">
        <v>260</v>
      </c>
      <c r="S1282" s="89">
        <v>1</v>
      </c>
      <c r="T1282" s="8">
        <v>5</v>
      </c>
      <c r="U1282" s="89">
        <v>110</v>
      </c>
      <c r="V1282" s="87">
        <v>0</v>
      </c>
      <c r="W1282">
        <v>1</v>
      </c>
      <c r="X1282" s="8">
        <v>1</v>
      </c>
      <c r="Y1282" s="8">
        <v>0</v>
      </c>
      <c r="Z1282" s="33">
        <v>0</v>
      </c>
      <c r="AA1282">
        <v>5</v>
      </c>
      <c r="AB1282" s="34">
        <v>4180</v>
      </c>
      <c r="AC1282" s="87">
        <v>388</v>
      </c>
      <c r="AD1282" s="62">
        <v>0</v>
      </c>
      <c r="AE1282" s="62">
        <v>0</v>
      </c>
      <c r="AF1282" s="62">
        <v>1</v>
      </c>
      <c r="AJ1282" s="63">
        <v>1010204</v>
      </c>
      <c r="AL1282" s="64">
        <v>1</v>
      </c>
      <c r="AN1282" s="93"/>
      <c r="AO1282" s="92"/>
      <c r="AS1282">
        <v>1</v>
      </c>
    </row>
    <row r="1283" spans="1:45">
      <c r="A1283">
        <v>1010204</v>
      </c>
      <c r="B1283" s="8">
        <v>1001</v>
      </c>
      <c r="C1283" s="8">
        <v>5</v>
      </c>
      <c r="D1283" s="8">
        <v>1003</v>
      </c>
      <c r="E1283" t="s">
        <v>3421</v>
      </c>
      <c r="F1283" s="13" t="s">
        <v>3417</v>
      </c>
      <c r="G1283" t="s">
        <v>3394</v>
      </c>
      <c r="H1283" t="s">
        <v>3418</v>
      </c>
      <c r="I1283">
        <v>1</v>
      </c>
      <c r="J1283">
        <v>2</v>
      </c>
      <c r="K1283" s="33">
        <v>4</v>
      </c>
      <c r="L1283" s="8">
        <v>99</v>
      </c>
      <c r="M1283" s="8">
        <v>0</v>
      </c>
      <c r="N1283" s="8"/>
      <c r="Q1283" t="s">
        <v>260</v>
      </c>
      <c r="S1283" s="89">
        <v>1</v>
      </c>
      <c r="T1283" s="8">
        <v>5</v>
      </c>
      <c r="U1283" s="89">
        <v>110</v>
      </c>
      <c r="V1283" s="87">
        <v>0</v>
      </c>
      <c r="W1283">
        <v>1</v>
      </c>
      <c r="X1283" s="8">
        <v>1</v>
      </c>
      <c r="Y1283" s="8">
        <v>0</v>
      </c>
      <c r="Z1283" s="33">
        <v>0</v>
      </c>
      <c r="AA1283">
        <v>5</v>
      </c>
      <c r="AB1283" s="34">
        <v>4180</v>
      </c>
      <c r="AC1283" s="87">
        <v>387</v>
      </c>
      <c r="AD1283" s="62">
        <v>0</v>
      </c>
      <c r="AE1283" s="62">
        <v>0</v>
      </c>
      <c r="AF1283" s="62">
        <v>1</v>
      </c>
      <c r="AJ1283" s="63">
        <v>1010205</v>
      </c>
      <c r="AL1283" s="64">
        <v>1</v>
      </c>
      <c r="AN1283" s="93"/>
      <c r="AO1283" s="92"/>
      <c r="AS1283">
        <v>1</v>
      </c>
    </row>
    <row r="1284" spans="1:45">
      <c r="A1284">
        <v>1010205</v>
      </c>
      <c r="B1284" s="8">
        <v>1001</v>
      </c>
      <c r="C1284" s="8">
        <v>5</v>
      </c>
      <c r="D1284" s="8">
        <v>1003</v>
      </c>
      <c r="E1284" t="s">
        <v>3422</v>
      </c>
      <c r="F1284" s="13" t="s">
        <v>3417</v>
      </c>
      <c r="G1284" t="s">
        <v>3423</v>
      </c>
      <c r="H1284" t="s">
        <v>3418</v>
      </c>
      <c r="I1284">
        <v>1</v>
      </c>
      <c r="J1284">
        <v>3</v>
      </c>
      <c r="K1284" s="33">
        <v>4</v>
      </c>
      <c r="L1284" s="8">
        <v>99</v>
      </c>
      <c r="M1284" s="8">
        <v>0</v>
      </c>
      <c r="N1284" s="8"/>
      <c r="Q1284" t="s">
        <v>260</v>
      </c>
      <c r="S1284" s="89">
        <v>1</v>
      </c>
      <c r="T1284" s="8">
        <v>5</v>
      </c>
      <c r="U1284" s="89">
        <v>140</v>
      </c>
      <c r="V1284" s="87">
        <v>0</v>
      </c>
      <c r="W1284">
        <v>1</v>
      </c>
      <c r="X1284" s="8">
        <v>1</v>
      </c>
      <c r="Y1284" s="8">
        <v>0</v>
      </c>
      <c r="Z1284" s="33">
        <v>0</v>
      </c>
      <c r="AA1284">
        <v>5</v>
      </c>
      <c r="AB1284" s="34">
        <v>5320</v>
      </c>
      <c r="AC1284" s="87">
        <v>386</v>
      </c>
      <c r="AD1284" s="62">
        <v>0</v>
      </c>
      <c r="AE1284" s="62">
        <v>0</v>
      </c>
      <c r="AF1284" s="62">
        <v>1</v>
      </c>
      <c r="AJ1284" s="63">
        <v>1010206</v>
      </c>
      <c r="AL1284" s="64">
        <v>1</v>
      </c>
      <c r="AN1284" s="93"/>
      <c r="AO1284" s="92"/>
      <c r="AS1284">
        <v>1</v>
      </c>
    </row>
    <row r="1285" spans="1:45">
      <c r="A1285">
        <v>1010206</v>
      </c>
      <c r="B1285" s="8">
        <v>1001</v>
      </c>
      <c r="C1285" s="8">
        <v>5</v>
      </c>
      <c r="D1285" s="8">
        <v>1003</v>
      </c>
      <c r="E1285" t="s">
        <v>3424</v>
      </c>
      <c r="F1285" s="13" t="s">
        <v>3417</v>
      </c>
      <c r="G1285" t="s">
        <v>3425</v>
      </c>
      <c r="H1285" t="s">
        <v>3418</v>
      </c>
      <c r="I1285">
        <v>1</v>
      </c>
      <c r="J1285">
        <v>3</v>
      </c>
      <c r="K1285" s="33">
        <v>4</v>
      </c>
      <c r="L1285" s="8">
        <v>99</v>
      </c>
      <c r="M1285" s="8">
        <v>0</v>
      </c>
      <c r="N1285" s="8"/>
      <c r="Q1285" t="s">
        <v>260</v>
      </c>
      <c r="S1285" s="89">
        <v>1</v>
      </c>
      <c r="T1285" s="8">
        <v>5</v>
      </c>
      <c r="U1285" s="89">
        <v>140</v>
      </c>
      <c r="V1285" s="87">
        <v>0</v>
      </c>
      <c r="W1285">
        <v>1</v>
      </c>
      <c r="X1285" s="8">
        <v>1</v>
      </c>
      <c r="Y1285" s="8">
        <v>0</v>
      </c>
      <c r="Z1285" s="33">
        <v>0</v>
      </c>
      <c r="AA1285">
        <v>5</v>
      </c>
      <c r="AB1285" s="34">
        <v>5320</v>
      </c>
      <c r="AC1285" s="87">
        <v>385</v>
      </c>
      <c r="AD1285" s="62">
        <v>0</v>
      </c>
      <c r="AE1285" s="62">
        <v>0</v>
      </c>
      <c r="AF1285" s="62">
        <v>1</v>
      </c>
      <c r="AJ1285" s="63">
        <v>1010207</v>
      </c>
      <c r="AL1285" s="64">
        <v>1</v>
      </c>
      <c r="AN1285" s="93"/>
      <c r="AO1285" s="92"/>
      <c r="AS1285">
        <v>1</v>
      </c>
    </row>
    <row r="1286" spans="1:45">
      <c r="A1286">
        <v>1010207</v>
      </c>
      <c r="B1286" s="8">
        <v>1001</v>
      </c>
      <c r="C1286" s="8">
        <v>5</v>
      </c>
      <c r="D1286" s="8">
        <v>1003</v>
      </c>
      <c r="E1286" t="s">
        <v>3426</v>
      </c>
      <c r="F1286" s="13" t="s">
        <v>3417</v>
      </c>
      <c r="G1286" t="s">
        <v>3427</v>
      </c>
      <c r="H1286" t="s">
        <v>3428</v>
      </c>
      <c r="I1286">
        <v>1</v>
      </c>
      <c r="J1286">
        <v>4</v>
      </c>
      <c r="K1286" s="33">
        <v>4</v>
      </c>
      <c r="L1286" s="8">
        <v>99</v>
      </c>
      <c r="M1286" s="8">
        <v>0</v>
      </c>
      <c r="N1286" s="8"/>
      <c r="S1286" s="89">
        <v>1</v>
      </c>
      <c r="T1286" s="8">
        <v>5</v>
      </c>
      <c r="U1286" s="89">
        <v>170</v>
      </c>
      <c r="V1286" s="87">
        <v>0</v>
      </c>
      <c r="W1286">
        <v>1</v>
      </c>
      <c r="X1286" s="8">
        <v>1</v>
      </c>
      <c r="Y1286" s="8">
        <v>0</v>
      </c>
      <c r="Z1286" s="33">
        <v>0</v>
      </c>
      <c r="AA1286">
        <v>5</v>
      </c>
      <c r="AB1286" s="34">
        <v>6460</v>
      </c>
      <c r="AC1286" s="87">
        <v>384</v>
      </c>
      <c r="AD1286" s="62">
        <v>0</v>
      </c>
      <c r="AE1286" s="62">
        <v>0</v>
      </c>
      <c r="AF1286" s="62">
        <v>1</v>
      </c>
      <c r="AJ1286" s="63">
        <v>1010208</v>
      </c>
      <c r="AL1286" s="64">
        <v>1</v>
      </c>
      <c r="AN1286" s="93"/>
      <c r="AO1286" s="92"/>
      <c r="AS1286">
        <v>1</v>
      </c>
    </row>
    <row r="1287" spans="1:45">
      <c r="A1287">
        <v>1010208</v>
      </c>
      <c r="B1287" s="8">
        <v>1001</v>
      </c>
      <c r="C1287" s="8">
        <v>5</v>
      </c>
      <c r="D1287" s="8">
        <v>1003</v>
      </c>
      <c r="E1287" t="s">
        <v>3429</v>
      </c>
      <c r="F1287" s="13" t="s">
        <v>3417</v>
      </c>
      <c r="G1287" t="s">
        <v>3430</v>
      </c>
      <c r="H1287" t="s">
        <v>3428</v>
      </c>
      <c r="I1287">
        <v>1</v>
      </c>
      <c r="J1287">
        <v>4</v>
      </c>
      <c r="K1287" s="33">
        <v>4</v>
      </c>
      <c r="L1287" s="8">
        <v>99</v>
      </c>
      <c r="M1287" s="8">
        <v>0</v>
      </c>
      <c r="N1287" s="8"/>
      <c r="S1287" s="89">
        <v>1</v>
      </c>
      <c r="T1287" s="8">
        <v>5</v>
      </c>
      <c r="U1287" s="89">
        <v>170</v>
      </c>
      <c r="V1287" s="87">
        <v>0</v>
      </c>
      <c r="W1287">
        <v>1</v>
      </c>
      <c r="X1287" s="8">
        <v>1</v>
      </c>
      <c r="Y1287" s="8">
        <v>0</v>
      </c>
      <c r="Z1287" s="33">
        <v>0</v>
      </c>
      <c r="AA1287">
        <v>5</v>
      </c>
      <c r="AB1287" s="34">
        <v>6460</v>
      </c>
      <c r="AC1287" s="87">
        <v>383</v>
      </c>
      <c r="AD1287" s="62">
        <v>0</v>
      </c>
      <c r="AE1287" s="62">
        <v>0</v>
      </c>
      <c r="AF1287" s="62">
        <v>1</v>
      </c>
      <c r="AJ1287" s="63">
        <v>1010209</v>
      </c>
      <c r="AL1287" s="64">
        <v>1</v>
      </c>
      <c r="AN1287" s="93"/>
      <c r="AO1287" s="92"/>
      <c r="AS1287">
        <v>1</v>
      </c>
    </row>
    <row r="1288" spans="1:45">
      <c r="A1288">
        <v>1010209</v>
      </c>
      <c r="B1288" s="8">
        <v>1001</v>
      </c>
      <c r="C1288" s="8">
        <v>5</v>
      </c>
      <c r="D1288" s="8">
        <v>1003</v>
      </c>
      <c r="E1288" t="s">
        <v>3431</v>
      </c>
      <c r="F1288" s="13" t="s">
        <v>3417</v>
      </c>
      <c r="G1288" t="s">
        <v>3432</v>
      </c>
      <c r="H1288" t="s">
        <v>3428</v>
      </c>
      <c r="I1288">
        <v>1</v>
      </c>
      <c r="J1288">
        <v>5</v>
      </c>
      <c r="K1288" s="33">
        <v>4</v>
      </c>
      <c r="L1288" s="8">
        <v>99</v>
      </c>
      <c r="M1288" s="8">
        <v>0</v>
      </c>
      <c r="N1288" s="8"/>
      <c r="S1288" s="89">
        <v>1</v>
      </c>
      <c r="T1288" s="8">
        <v>5</v>
      </c>
      <c r="U1288" s="89">
        <v>200</v>
      </c>
      <c r="V1288" s="87">
        <v>0</v>
      </c>
      <c r="W1288">
        <v>1</v>
      </c>
      <c r="X1288" s="8">
        <v>1</v>
      </c>
      <c r="Y1288" s="8">
        <v>0</v>
      </c>
      <c r="Z1288" s="33">
        <v>0</v>
      </c>
      <c r="AA1288">
        <v>5</v>
      </c>
      <c r="AB1288" s="34">
        <v>7600</v>
      </c>
      <c r="AC1288" s="87">
        <v>382</v>
      </c>
      <c r="AD1288" s="62">
        <v>0</v>
      </c>
      <c r="AE1288" s="62">
        <v>0</v>
      </c>
      <c r="AF1288" s="62">
        <v>1</v>
      </c>
      <c r="AJ1288" s="63">
        <v>1010210</v>
      </c>
      <c r="AL1288" s="64">
        <v>1</v>
      </c>
      <c r="AN1288" s="93"/>
      <c r="AO1288" s="92"/>
      <c r="AS1288">
        <v>1</v>
      </c>
    </row>
    <row r="1289" s="3" customFormat="1" spans="1:45">
      <c r="A1289">
        <v>1010210</v>
      </c>
      <c r="B1289" s="236">
        <v>1001</v>
      </c>
      <c r="C1289" s="236">
        <v>5</v>
      </c>
      <c r="D1289" s="236">
        <v>1003</v>
      </c>
      <c r="E1289" t="s">
        <v>3433</v>
      </c>
      <c r="F1289" s="253" t="s">
        <v>3417</v>
      </c>
      <c r="G1289" t="s">
        <v>3434</v>
      </c>
      <c r="H1289" t="s">
        <v>3435</v>
      </c>
      <c r="I1289">
        <v>1</v>
      </c>
      <c r="J1289">
        <v>5</v>
      </c>
      <c r="K1289" s="33">
        <v>4</v>
      </c>
      <c r="L1289" s="236">
        <v>99</v>
      </c>
      <c r="M1289" s="236">
        <v>0</v>
      </c>
      <c r="N1289" s="236"/>
      <c r="O1289" s="231"/>
      <c r="S1289" s="336">
        <v>1</v>
      </c>
      <c r="T1289" s="236">
        <v>5</v>
      </c>
      <c r="U1289" s="336">
        <v>200</v>
      </c>
      <c r="V1289" s="248">
        <v>0</v>
      </c>
      <c r="W1289">
        <v>1</v>
      </c>
      <c r="X1289" s="236">
        <v>1</v>
      </c>
      <c r="Y1289" s="236">
        <v>0</v>
      </c>
      <c r="Z1289" s="33">
        <v>0</v>
      </c>
      <c r="AA1289">
        <v>5</v>
      </c>
      <c r="AB1289" s="34">
        <v>7600</v>
      </c>
      <c r="AC1289" s="248">
        <v>381</v>
      </c>
      <c r="AD1289" s="62">
        <v>0</v>
      </c>
      <c r="AE1289" s="62">
        <v>0</v>
      </c>
      <c r="AF1289" s="62">
        <v>1</v>
      </c>
      <c r="AG1289" s="337"/>
      <c r="AH1289" s="337"/>
      <c r="AI1289" s="337"/>
      <c r="AJ1289" s="63">
        <v>1010211</v>
      </c>
      <c r="AK1289" s="337"/>
      <c r="AL1289" s="64">
        <v>1</v>
      </c>
      <c r="AM1289" s="234"/>
      <c r="AN1289" s="338"/>
      <c r="AO1289" s="252"/>
      <c r="AP1289" s="234"/>
      <c r="AS1289">
        <v>1</v>
      </c>
    </row>
    <row r="1290" spans="1:45">
      <c r="A1290" s="3">
        <v>1010211</v>
      </c>
      <c r="B1290" s="339">
        <v>1001</v>
      </c>
      <c r="C1290" s="339">
        <v>5</v>
      </c>
      <c r="D1290" s="339">
        <v>1003</v>
      </c>
      <c r="E1290" s="3" t="s">
        <v>3436</v>
      </c>
      <c r="F1290" s="339" t="s">
        <v>3417</v>
      </c>
      <c r="G1290" s="3" t="s">
        <v>3437</v>
      </c>
      <c r="H1290" s="3" t="s">
        <v>3438</v>
      </c>
      <c r="I1290" s="3">
        <v>1</v>
      </c>
      <c r="J1290" s="3">
        <v>5</v>
      </c>
      <c r="K1290" s="3">
        <v>1</v>
      </c>
      <c r="L1290" s="339">
        <v>99</v>
      </c>
      <c r="M1290" s="339">
        <v>0</v>
      </c>
      <c r="N1290" s="8"/>
      <c r="O1290" s="231"/>
      <c r="Q1290"/>
      <c r="S1290" s="339">
        <v>1</v>
      </c>
      <c r="T1290" s="339">
        <v>5</v>
      </c>
      <c r="U1290" s="339">
        <v>200</v>
      </c>
      <c r="V1290" s="339">
        <v>0</v>
      </c>
      <c r="W1290" s="3">
        <v>1</v>
      </c>
      <c r="X1290" s="339">
        <v>1</v>
      </c>
      <c r="Y1290" s="339">
        <v>0</v>
      </c>
      <c r="Z1290" s="3">
        <v>0</v>
      </c>
      <c r="AA1290" s="3">
        <v>5</v>
      </c>
      <c r="AB1290" s="3">
        <v>7600</v>
      </c>
      <c r="AC1290" s="339">
        <v>381</v>
      </c>
      <c r="AD1290" s="3">
        <v>0</v>
      </c>
      <c r="AE1290" s="3">
        <v>0</v>
      </c>
      <c r="AF1290" s="3">
        <v>1</v>
      </c>
      <c r="AG1290" s="337"/>
      <c r="AH1290" s="337"/>
      <c r="AI1290" s="337"/>
      <c r="AJ1290" s="337"/>
      <c r="AK1290" s="337"/>
      <c r="AL1290" s="3">
        <v>1</v>
      </c>
      <c r="AM1290" s="234"/>
      <c r="AN1290" s="93"/>
      <c r="AO1290" s="92"/>
      <c r="AP1290" s="234"/>
      <c r="AS1290" s="3">
        <v>1</v>
      </c>
    </row>
    <row r="1291" spans="1:45">
      <c r="A1291">
        <v>1010301</v>
      </c>
      <c r="B1291" s="8">
        <v>1001</v>
      </c>
      <c r="C1291" s="8">
        <v>5</v>
      </c>
      <c r="D1291" s="8">
        <v>1003</v>
      </c>
      <c r="E1291" t="s">
        <v>3439</v>
      </c>
      <c r="F1291" s="13" t="s">
        <v>3440</v>
      </c>
      <c r="G1291" t="s">
        <v>3394</v>
      </c>
      <c r="H1291" t="s">
        <v>3441</v>
      </c>
      <c r="I1291">
        <v>1</v>
      </c>
      <c r="J1291">
        <v>1</v>
      </c>
      <c r="K1291" s="33">
        <v>4</v>
      </c>
      <c r="L1291" s="8">
        <v>99</v>
      </c>
      <c r="M1291" s="8">
        <v>0</v>
      </c>
      <c r="N1291" s="8"/>
      <c r="Q1291" t="s">
        <v>260</v>
      </c>
      <c r="S1291" s="89">
        <v>1</v>
      </c>
      <c r="T1291" s="8">
        <v>5</v>
      </c>
      <c r="U1291" s="89">
        <v>80</v>
      </c>
      <c r="V1291" s="87">
        <v>0</v>
      </c>
      <c r="W1291">
        <v>1</v>
      </c>
      <c r="X1291" s="8">
        <v>1</v>
      </c>
      <c r="Y1291" s="8">
        <v>0</v>
      </c>
      <c r="Z1291" s="33">
        <v>0</v>
      </c>
      <c r="AA1291">
        <v>5</v>
      </c>
      <c r="AB1291" s="34">
        <v>3040</v>
      </c>
      <c r="AC1291" s="87">
        <v>400</v>
      </c>
      <c r="AD1291" s="62">
        <v>0</v>
      </c>
      <c r="AE1291" s="62">
        <v>0</v>
      </c>
      <c r="AF1291" s="62">
        <v>1</v>
      </c>
      <c r="AJ1291" s="63">
        <v>1010302</v>
      </c>
      <c r="AL1291" s="64">
        <v>1</v>
      </c>
      <c r="AN1291" s="93"/>
      <c r="AO1291" s="92"/>
      <c r="AS1291">
        <v>1</v>
      </c>
    </row>
    <row r="1292" spans="1:45">
      <c r="A1292">
        <v>1010302</v>
      </c>
      <c r="B1292" s="8">
        <v>1001</v>
      </c>
      <c r="C1292" s="8">
        <v>5</v>
      </c>
      <c r="D1292" s="8">
        <v>1003</v>
      </c>
      <c r="E1292" t="s">
        <v>3442</v>
      </c>
      <c r="F1292" s="13" t="s">
        <v>3440</v>
      </c>
      <c r="G1292" t="s">
        <v>3394</v>
      </c>
      <c r="H1292" t="s">
        <v>3441</v>
      </c>
      <c r="I1292">
        <v>1</v>
      </c>
      <c r="J1292">
        <v>1</v>
      </c>
      <c r="K1292" s="33">
        <v>4</v>
      </c>
      <c r="L1292" s="8">
        <v>99</v>
      </c>
      <c r="M1292" s="8">
        <v>0</v>
      </c>
      <c r="N1292" s="8"/>
      <c r="Q1292" t="s">
        <v>260</v>
      </c>
      <c r="S1292" s="89">
        <v>1</v>
      </c>
      <c r="T1292" s="8">
        <v>5</v>
      </c>
      <c r="U1292" s="89">
        <v>80</v>
      </c>
      <c r="V1292" s="87">
        <v>0</v>
      </c>
      <c r="W1292">
        <v>1</v>
      </c>
      <c r="X1292" s="8">
        <v>1</v>
      </c>
      <c r="Y1292" s="8">
        <v>0</v>
      </c>
      <c r="Z1292" s="33">
        <v>0</v>
      </c>
      <c r="AA1292">
        <v>5</v>
      </c>
      <c r="AB1292" s="34">
        <v>3040</v>
      </c>
      <c r="AC1292" s="87">
        <v>399</v>
      </c>
      <c r="AD1292" s="62">
        <v>0</v>
      </c>
      <c r="AE1292" s="62">
        <v>0</v>
      </c>
      <c r="AF1292" s="62">
        <v>1</v>
      </c>
      <c r="AJ1292" s="63">
        <v>1010303</v>
      </c>
      <c r="AL1292" s="64">
        <v>1</v>
      </c>
      <c r="AN1292" s="93"/>
      <c r="AO1292" s="92"/>
      <c r="AS1292">
        <v>1</v>
      </c>
    </row>
    <row r="1293" spans="1:45">
      <c r="A1293">
        <v>1010303</v>
      </c>
      <c r="B1293" s="8">
        <v>1001</v>
      </c>
      <c r="C1293" s="8">
        <v>5</v>
      </c>
      <c r="D1293" s="8">
        <v>1003</v>
      </c>
      <c r="E1293" t="s">
        <v>3443</v>
      </c>
      <c r="F1293" s="13" t="s">
        <v>3440</v>
      </c>
      <c r="G1293" t="s">
        <v>3394</v>
      </c>
      <c r="H1293" t="s">
        <v>3441</v>
      </c>
      <c r="I1293">
        <v>1</v>
      </c>
      <c r="J1293">
        <v>2</v>
      </c>
      <c r="K1293" s="33">
        <v>4</v>
      </c>
      <c r="L1293" s="8">
        <v>99</v>
      </c>
      <c r="M1293" s="8">
        <v>0</v>
      </c>
      <c r="N1293" s="8"/>
      <c r="Q1293" t="s">
        <v>260</v>
      </c>
      <c r="S1293" s="89">
        <v>1</v>
      </c>
      <c r="T1293" s="8">
        <v>5</v>
      </c>
      <c r="U1293" s="89">
        <v>110</v>
      </c>
      <c r="V1293" s="87">
        <v>0</v>
      </c>
      <c r="W1293">
        <v>1</v>
      </c>
      <c r="X1293" s="8">
        <v>1</v>
      </c>
      <c r="Y1293" s="8">
        <v>0</v>
      </c>
      <c r="Z1293" s="33">
        <v>0</v>
      </c>
      <c r="AA1293">
        <v>5</v>
      </c>
      <c r="AB1293" s="34">
        <v>4180</v>
      </c>
      <c r="AC1293" s="87">
        <v>398</v>
      </c>
      <c r="AD1293" s="62">
        <v>0</v>
      </c>
      <c r="AE1293" s="62">
        <v>0</v>
      </c>
      <c r="AF1293" s="62">
        <v>1</v>
      </c>
      <c r="AJ1293" s="63">
        <v>1010304</v>
      </c>
      <c r="AL1293" s="64">
        <v>1</v>
      </c>
      <c r="AN1293" s="93"/>
      <c r="AO1293" s="92"/>
      <c r="AS1293">
        <v>1</v>
      </c>
    </row>
    <row r="1294" spans="1:45">
      <c r="A1294">
        <v>1010304</v>
      </c>
      <c r="B1294" s="8">
        <v>1001</v>
      </c>
      <c r="C1294" s="8">
        <v>5</v>
      </c>
      <c r="D1294" s="8">
        <v>1003</v>
      </c>
      <c r="E1294" t="s">
        <v>3444</v>
      </c>
      <c r="F1294" s="13" t="s">
        <v>3440</v>
      </c>
      <c r="G1294" t="s">
        <v>3394</v>
      </c>
      <c r="H1294" t="s">
        <v>3441</v>
      </c>
      <c r="I1294">
        <v>1</v>
      </c>
      <c r="J1294">
        <v>2</v>
      </c>
      <c r="K1294" s="33">
        <v>4</v>
      </c>
      <c r="L1294" s="8">
        <v>99</v>
      </c>
      <c r="M1294" s="8">
        <v>0</v>
      </c>
      <c r="N1294" s="8"/>
      <c r="Q1294" t="s">
        <v>260</v>
      </c>
      <c r="S1294" s="89">
        <v>1</v>
      </c>
      <c r="T1294" s="8">
        <v>5</v>
      </c>
      <c r="U1294" s="89">
        <v>110</v>
      </c>
      <c r="V1294" s="87">
        <v>0</v>
      </c>
      <c r="W1294">
        <v>1</v>
      </c>
      <c r="X1294" s="8">
        <v>1</v>
      </c>
      <c r="Y1294" s="8">
        <v>0</v>
      </c>
      <c r="Z1294" s="33">
        <v>0</v>
      </c>
      <c r="AA1294">
        <v>5</v>
      </c>
      <c r="AB1294" s="34">
        <v>4180</v>
      </c>
      <c r="AC1294" s="87">
        <v>397</v>
      </c>
      <c r="AD1294" s="62">
        <v>0</v>
      </c>
      <c r="AE1294" s="62">
        <v>0</v>
      </c>
      <c r="AF1294" s="62">
        <v>1</v>
      </c>
      <c r="AJ1294" s="63">
        <v>1010305</v>
      </c>
      <c r="AL1294" s="64">
        <v>1</v>
      </c>
      <c r="AN1294" s="93"/>
      <c r="AO1294" s="92"/>
      <c r="AS1294">
        <v>1</v>
      </c>
    </row>
    <row r="1295" spans="1:45">
      <c r="A1295">
        <v>1010305</v>
      </c>
      <c r="B1295" s="8">
        <v>1001</v>
      </c>
      <c r="C1295" s="8">
        <v>5</v>
      </c>
      <c r="D1295" s="8">
        <v>1003</v>
      </c>
      <c r="E1295" t="s">
        <v>3445</v>
      </c>
      <c r="F1295" s="13" t="s">
        <v>3440</v>
      </c>
      <c r="G1295" t="s">
        <v>3446</v>
      </c>
      <c r="H1295" t="s">
        <v>3441</v>
      </c>
      <c r="I1295">
        <v>1</v>
      </c>
      <c r="J1295">
        <v>3</v>
      </c>
      <c r="K1295" s="33">
        <v>4</v>
      </c>
      <c r="L1295" s="8">
        <v>99</v>
      </c>
      <c r="M1295" s="8">
        <v>0</v>
      </c>
      <c r="N1295" s="8"/>
      <c r="Q1295" t="s">
        <v>260</v>
      </c>
      <c r="S1295" s="89">
        <v>1</v>
      </c>
      <c r="T1295" s="8">
        <v>5</v>
      </c>
      <c r="U1295" s="89">
        <v>140</v>
      </c>
      <c r="V1295" s="87">
        <v>0</v>
      </c>
      <c r="W1295">
        <v>1</v>
      </c>
      <c r="X1295" s="8">
        <v>1</v>
      </c>
      <c r="Y1295" s="8">
        <v>0</v>
      </c>
      <c r="Z1295" s="33">
        <v>0</v>
      </c>
      <c r="AA1295">
        <v>5</v>
      </c>
      <c r="AB1295" s="34">
        <v>5320</v>
      </c>
      <c r="AC1295" s="87">
        <v>396</v>
      </c>
      <c r="AD1295" s="62">
        <v>0</v>
      </c>
      <c r="AE1295" s="62">
        <v>0</v>
      </c>
      <c r="AF1295" s="62">
        <v>1</v>
      </c>
      <c r="AJ1295" s="63">
        <v>1010306</v>
      </c>
      <c r="AL1295" s="64">
        <v>1</v>
      </c>
      <c r="AN1295" s="93"/>
      <c r="AO1295" s="92"/>
      <c r="AS1295">
        <v>1</v>
      </c>
    </row>
    <row r="1296" spans="1:45">
      <c r="A1296">
        <v>1010306</v>
      </c>
      <c r="B1296" s="8">
        <v>1001</v>
      </c>
      <c r="C1296" s="8">
        <v>5</v>
      </c>
      <c r="D1296" s="8">
        <v>1003</v>
      </c>
      <c r="E1296" t="s">
        <v>3447</v>
      </c>
      <c r="F1296" s="13" t="s">
        <v>3440</v>
      </c>
      <c r="G1296" t="s">
        <v>3448</v>
      </c>
      <c r="H1296" t="s">
        <v>3441</v>
      </c>
      <c r="I1296">
        <v>1</v>
      </c>
      <c r="J1296">
        <v>3</v>
      </c>
      <c r="K1296" s="33">
        <v>4</v>
      </c>
      <c r="L1296" s="8">
        <v>99</v>
      </c>
      <c r="M1296" s="8">
        <v>0</v>
      </c>
      <c r="N1296" s="8"/>
      <c r="Q1296" t="s">
        <v>260</v>
      </c>
      <c r="S1296" s="89">
        <v>1</v>
      </c>
      <c r="T1296" s="8">
        <v>5</v>
      </c>
      <c r="U1296" s="89">
        <v>140</v>
      </c>
      <c r="V1296" s="87">
        <v>0</v>
      </c>
      <c r="W1296">
        <v>1</v>
      </c>
      <c r="X1296" s="8">
        <v>1</v>
      </c>
      <c r="Y1296" s="8">
        <v>0</v>
      </c>
      <c r="Z1296" s="33">
        <v>0</v>
      </c>
      <c r="AA1296">
        <v>5</v>
      </c>
      <c r="AB1296" s="34">
        <v>5320</v>
      </c>
      <c r="AC1296" s="87">
        <v>395</v>
      </c>
      <c r="AD1296" s="62">
        <v>0</v>
      </c>
      <c r="AE1296" s="62">
        <v>0</v>
      </c>
      <c r="AF1296" s="62">
        <v>1</v>
      </c>
      <c r="AJ1296" s="63">
        <v>1010307</v>
      </c>
      <c r="AL1296" s="64">
        <v>1</v>
      </c>
      <c r="AN1296" s="93"/>
      <c r="AO1296" s="92"/>
      <c r="AS1296">
        <v>1</v>
      </c>
    </row>
    <row r="1297" spans="1:45">
      <c r="A1297">
        <v>1010307</v>
      </c>
      <c r="B1297" s="8">
        <v>1001</v>
      </c>
      <c r="C1297" s="8">
        <v>5</v>
      </c>
      <c r="D1297" s="8">
        <v>1003</v>
      </c>
      <c r="E1297" t="s">
        <v>3449</v>
      </c>
      <c r="F1297" s="13" t="s">
        <v>3440</v>
      </c>
      <c r="G1297" t="s">
        <v>3450</v>
      </c>
      <c r="H1297" t="s">
        <v>3451</v>
      </c>
      <c r="I1297">
        <v>1</v>
      </c>
      <c r="J1297">
        <v>4</v>
      </c>
      <c r="K1297" s="33">
        <v>4</v>
      </c>
      <c r="L1297" s="8">
        <v>99</v>
      </c>
      <c r="M1297" s="8">
        <v>0</v>
      </c>
      <c r="N1297" s="8"/>
      <c r="S1297" s="89">
        <v>1</v>
      </c>
      <c r="T1297" s="8">
        <v>5</v>
      </c>
      <c r="U1297" s="89">
        <v>170</v>
      </c>
      <c r="V1297" s="87">
        <v>0</v>
      </c>
      <c r="W1297">
        <v>1</v>
      </c>
      <c r="X1297" s="8">
        <v>1</v>
      </c>
      <c r="Y1297" s="8">
        <v>0</v>
      </c>
      <c r="Z1297" s="33">
        <v>0</v>
      </c>
      <c r="AA1297">
        <v>5</v>
      </c>
      <c r="AB1297" s="34">
        <v>6460</v>
      </c>
      <c r="AC1297" s="87">
        <v>394</v>
      </c>
      <c r="AD1297" s="62">
        <v>0</v>
      </c>
      <c r="AE1297" s="62">
        <v>0</v>
      </c>
      <c r="AF1297" s="62">
        <v>1</v>
      </c>
      <c r="AJ1297" s="63">
        <v>1010308</v>
      </c>
      <c r="AL1297" s="64">
        <v>1</v>
      </c>
      <c r="AN1297" s="93"/>
      <c r="AO1297" s="92"/>
      <c r="AS1297">
        <v>1</v>
      </c>
    </row>
    <row r="1298" spans="1:45">
      <c r="A1298">
        <v>1010308</v>
      </c>
      <c r="B1298" s="8">
        <v>1001</v>
      </c>
      <c r="C1298" s="8">
        <v>5</v>
      </c>
      <c r="D1298" s="8">
        <v>1003</v>
      </c>
      <c r="E1298" t="s">
        <v>3452</v>
      </c>
      <c r="F1298" s="13" t="s">
        <v>3440</v>
      </c>
      <c r="G1298" t="s">
        <v>3453</v>
      </c>
      <c r="H1298" t="s">
        <v>3451</v>
      </c>
      <c r="I1298">
        <v>1</v>
      </c>
      <c r="J1298">
        <v>4</v>
      </c>
      <c r="K1298" s="33">
        <v>4</v>
      </c>
      <c r="L1298" s="8">
        <v>99</v>
      </c>
      <c r="M1298" s="8">
        <v>0</v>
      </c>
      <c r="N1298" s="8"/>
      <c r="S1298" s="89">
        <v>1</v>
      </c>
      <c r="T1298" s="8">
        <v>5</v>
      </c>
      <c r="U1298" s="89">
        <v>170</v>
      </c>
      <c r="V1298" s="87">
        <v>0</v>
      </c>
      <c r="W1298">
        <v>1</v>
      </c>
      <c r="X1298" s="8">
        <v>1</v>
      </c>
      <c r="Y1298" s="8">
        <v>0</v>
      </c>
      <c r="Z1298" s="33">
        <v>0</v>
      </c>
      <c r="AA1298">
        <v>5</v>
      </c>
      <c r="AB1298" s="34">
        <v>6460</v>
      </c>
      <c r="AC1298" s="87">
        <v>393</v>
      </c>
      <c r="AD1298" s="62">
        <v>0</v>
      </c>
      <c r="AE1298" s="62">
        <v>0</v>
      </c>
      <c r="AF1298" s="62">
        <v>1</v>
      </c>
      <c r="AJ1298" s="63">
        <v>1010309</v>
      </c>
      <c r="AL1298" s="64">
        <v>1</v>
      </c>
      <c r="AN1298" s="93"/>
      <c r="AO1298" s="92"/>
      <c r="AS1298">
        <v>1</v>
      </c>
    </row>
    <row r="1299" spans="1:45">
      <c r="A1299">
        <v>1010309</v>
      </c>
      <c r="B1299" s="8">
        <v>1001</v>
      </c>
      <c r="C1299" s="8">
        <v>5</v>
      </c>
      <c r="D1299" s="8">
        <v>1003</v>
      </c>
      <c r="E1299" t="s">
        <v>3454</v>
      </c>
      <c r="F1299" s="13" t="s">
        <v>3440</v>
      </c>
      <c r="G1299" t="s">
        <v>3455</v>
      </c>
      <c r="H1299" t="s">
        <v>3451</v>
      </c>
      <c r="I1299">
        <v>1</v>
      </c>
      <c r="J1299">
        <v>5</v>
      </c>
      <c r="K1299" s="33">
        <v>4</v>
      </c>
      <c r="L1299" s="8">
        <v>99</v>
      </c>
      <c r="M1299" s="8">
        <v>0</v>
      </c>
      <c r="N1299" s="8"/>
      <c r="S1299" s="89">
        <v>1</v>
      </c>
      <c r="T1299" s="8">
        <v>5</v>
      </c>
      <c r="U1299" s="89">
        <v>200</v>
      </c>
      <c r="V1299" s="87">
        <v>0</v>
      </c>
      <c r="W1299">
        <v>1</v>
      </c>
      <c r="X1299" s="8">
        <v>1</v>
      </c>
      <c r="Y1299" s="8">
        <v>0</v>
      </c>
      <c r="Z1299" s="33">
        <v>0</v>
      </c>
      <c r="AA1299">
        <v>5</v>
      </c>
      <c r="AB1299" s="34">
        <v>7600</v>
      </c>
      <c r="AC1299" s="87">
        <v>392</v>
      </c>
      <c r="AD1299" s="62">
        <v>0</v>
      </c>
      <c r="AE1299" s="62">
        <v>0</v>
      </c>
      <c r="AF1299" s="62">
        <v>1</v>
      </c>
      <c r="AJ1299" s="63">
        <v>1010310</v>
      </c>
      <c r="AL1299" s="64">
        <v>1</v>
      </c>
      <c r="AN1299" s="93"/>
      <c r="AO1299" s="92"/>
      <c r="AS1299">
        <v>1</v>
      </c>
    </row>
    <row r="1300" s="3" customFormat="1" spans="1:45">
      <c r="A1300">
        <v>1010310</v>
      </c>
      <c r="B1300" s="236">
        <v>1001</v>
      </c>
      <c r="C1300" s="236">
        <v>5</v>
      </c>
      <c r="D1300" s="236">
        <v>1003</v>
      </c>
      <c r="E1300" t="s">
        <v>3456</v>
      </c>
      <c r="F1300" s="253" t="s">
        <v>3440</v>
      </c>
      <c r="G1300" t="s">
        <v>3457</v>
      </c>
      <c r="H1300" t="s">
        <v>3458</v>
      </c>
      <c r="I1300">
        <v>1</v>
      </c>
      <c r="J1300">
        <v>5</v>
      </c>
      <c r="K1300" s="33">
        <v>4</v>
      </c>
      <c r="L1300" s="236">
        <v>99</v>
      </c>
      <c r="M1300" s="236">
        <v>0</v>
      </c>
      <c r="N1300" s="236"/>
      <c r="O1300" s="231"/>
      <c r="S1300" s="336">
        <v>1</v>
      </c>
      <c r="T1300" s="236">
        <v>5</v>
      </c>
      <c r="U1300" s="336">
        <v>200</v>
      </c>
      <c r="V1300" s="248">
        <v>0</v>
      </c>
      <c r="W1300">
        <v>1</v>
      </c>
      <c r="X1300" s="236">
        <v>1</v>
      </c>
      <c r="Y1300" s="236">
        <v>0</v>
      </c>
      <c r="Z1300" s="33">
        <v>0</v>
      </c>
      <c r="AA1300">
        <v>5</v>
      </c>
      <c r="AB1300" s="34">
        <v>7600</v>
      </c>
      <c r="AC1300" s="248">
        <v>391</v>
      </c>
      <c r="AD1300" s="62">
        <v>0</v>
      </c>
      <c r="AE1300" s="62">
        <v>0</v>
      </c>
      <c r="AF1300" s="62">
        <v>1</v>
      </c>
      <c r="AG1300" s="337"/>
      <c r="AH1300" s="337"/>
      <c r="AI1300" s="337"/>
      <c r="AJ1300" s="63">
        <v>1010311</v>
      </c>
      <c r="AK1300" s="337"/>
      <c r="AL1300" s="64">
        <v>1</v>
      </c>
      <c r="AM1300" s="234"/>
      <c r="AN1300" s="338"/>
      <c r="AO1300" s="252"/>
      <c r="AP1300" s="234"/>
      <c r="AS1300">
        <v>1</v>
      </c>
    </row>
    <row r="1301" spans="1:45">
      <c r="A1301" s="3">
        <v>1010311</v>
      </c>
      <c r="B1301" s="339">
        <v>1001</v>
      </c>
      <c r="C1301" s="339">
        <v>5</v>
      </c>
      <c r="D1301" s="339">
        <v>1003</v>
      </c>
      <c r="E1301" s="3" t="s">
        <v>3459</v>
      </c>
      <c r="F1301" s="339" t="s">
        <v>3440</v>
      </c>
      <c r="G1301" s="3" t="s">
        <v>3460</v>
      </c>
      <c r="H1301" s="3" t="s">
        <v>3461</v>
      </c>
      <c r="I1301" s="3">
        <v>1</v>
      </c>
      <c r="J1301" s="3">
        <v>5</v>
      </c>
      <c r="K1301" s="3">
        <v>1</v>
      </c>
      <c r="L1301" s="339">
        <v>99</v>
      </c>
      <c r="M1301" s="339">
        <v>0</v>
      </c>
      <c r="N1301" s="8"/>
      <c r="O1301" s="231"/>
      <c r="Q1301"/>
      <c r="S1301" s="339">
        <v>1</v>
      </c>
      <c r="T1301" s="339">
        <v>5</v>
      </c>
      <c r="U1301" s="339">
        <v>200</v>
      </c>
      <c r="V1301" s="339">
        <v>0</v>
      </c>
      <c r="W1301" s="3">
        <v>1</v>
      </c>
      <c r="X1301" s="339">
        <v>1</v>
      </c>
      <c r="Y1301" s="339">
        <v>0</v>
      </c>
      <c r="Z1301" s="3">
        <v>0</v>
      </c>
      <c r="AA1301" s="3">
        <v>5</v>
      </c>
      <c r="AB1301" s="3">
        <v>7600</v>
      </c>
      <c r="AC1301" s="339">
        <v>391</v>
      </c>
      <c r="AD1301" s="3">
        <v>0</v>
      </c>
      <c r="AE1301" s="3">
        <v>0</v>
      </c>
      <c r="AF1301" s="3">
        <v>1</v>
      </c>
      <c r="AG1301" s="337"/>
      <c r="AH1301" s="337"/>
      <c r="AI1301" s="337"/>
      <c r="AJ1301" s="337"/>
      <c r="AK1301" s="337"/>
      <c r="AL1301" s="3">
        <v>1</v>
      </c>
      <c r="AM1301" s="234"/>
      <c r="AN1301" s="93"/>
      <c r="AO1301" s="92"/>
      <c r="AP1301" s="234"/>
      <c r="AS1301" s="3">
        <v>1</v>
      </c>
    </row>
    <row r="1302" spans="1:45">
      <c r="A1302">
        <v>1010401</v>
      </c>
      <c r="B1302" s="8">
        <v>1001</v>
      </c>
      <c r="C1302" s="8">
        <v>5</v>
      </c>
      <c r="D1302" s="8">
        <v>1003</v>
      </c>
      <c r="E1302" t="s">
        <v>3462</v>
      </c>
      <c r="F1302" s="13" t="s">
        <v>3463</v>
      </c>
      <c r="G1302" t="s">
        <v>3394</v>
      </c>
      <c r="H1302" t="s">
        <v>3464</v>
      </c>
      <c r="I1302">
        <v>1</v>
      </c>
      <c r="J1302">
        <v>1</v>
      </c>
      <c r="K1302" s="33">
        <v>4</v>
      </c>
      <c r="L1302" s="8">
        <v>99</v>
      </c>
      <c r="M1302" s="8">
        <v>0</v>
      </c>
      <c r="N1302" s="8"/>
      <c r="Q1302" t="s">
        <v>260</v>
      </c>
      <c r="S1302" s="89">
        <v>1</v>
      </c>
      <c r="T1302" s="8">
        <v>5</v>
      </c>
      <c r="U1302" s="89">
        <v>80</v>
      </c>
      <c r="V1302" s="87">
        <v>0</v>
      </c>
      <c r="W1302">
        <v>1</v>
      </c>
      <c r="X1302" s="8">
        <v>1</v>
      </c>
      <c r="Y1302" s="8">
        <v>0</v>
      </c>
      <c r="Z1302" s="33">
        <v>0</v>
      </c>
      <c r="AA1302">
        <v>5</v>
      </c>
      <c r="AB1302" s="34">
        <v>3040</v>
      </c>
      <c r="AC1302" s="87">
        <v>410</v>
      </c>
      <c r="AD1302" s="62">
        <v>0</v>
      </c>
      <c r="AE1302" s="62">
        <v>0</v>
      </c>
      <c r="AF1302" s="62">
        <v>1</v>
      </c>
      <c r="AJ1302" s="63">
        <v>1010402</v>
      </c>
      <c r="AL1302" s="64">
        <v>1</v>
      </c>
      <c r="AN1302" s="93"/>
      <c r="AO1302" s="92"/>
      <c r="AS1302">
        <v>1</v>
      </c>
    </row>
    <row r="1303" spans="1:45">
      <c r="A1303">
        <v>1010402</v>
      </c>
      <c r="B1303" s="8">
        <v>1001</v>
      </c>
      <c r="C1303" s="8">
        <v>5</v>
      </c>
      <c r="D1303" s="8">
        <v>1003</v>
      </c>
      <c r="E1303" t="s">
        <v>3465</v>
      </c>
      <c r="F1303" s="13" t="s">
        <v>3463</v>
      </c>
      <c r="G1303" t="s">
        <v>3394</v>
      </c>
      <c r="H1303" t="s">
        <v>3464</v>
      </c>
      <c r="I1303">
        <v>1</v>
      </c>
      <c r="J1303">
        <v>1</v>
      </c>
      <c r="K1303" s="33">
        <v>4</v>
      </c>
      <c r="L1303" s="8">
        <v>99</v>
      </c>
      <c r="M1303" s="8">
        <v>0</v>
      </c>
      <c r="N1303" s="8"/>
      <c r="Q1303" t="s">
        <v>260</v>
      </c>
      <c r="S1303" s="89">
        <v>1</v>
      </c>
      <c r="T1303" s="8">
        <v>5</v>
      </c>
      <c r="U1303" s="89">
        <v>80</v>
      </c>
      <c r="V1303" s="87">
        <v>0</v>
      </c>
      <c r="W1303">
        <v>1</v>
      </c>
      <c r="X1303" s="8">
        <v>1</v>
      </c>
      <c r="Y1303" s="8">
        <v>0</v>
      </c>
      <c r="Z1303" s="33">
        <v>0</v>
      </c>
      <c r="AA1303">
        <v>5</v>
      </c>
      <c r="AB1303" s="34">
        <v>3040</v>
      </c>
      <c r="AC1303" s="87">
        <v>409</v>
      </c>
      <c r="AD1303" s="62">
        <v>0</v>
      </c>
      <c r="AE1303" s="62">
        <v>0</v>
      </c>
      <c r="AF1303" s="62">
        <v>1</v>
      </c>
      <c r="AJ1303" s="63">
        <v>1010403</v>
      </c>
      <c r="AL1303" s="64">
        <v>1</v>
      </c>
      <c r="AN1303" s="93"/>
      <c r="AO1303" s="92"/>
      <c r="AS1303">
        <v>1</v>
      </c>
    </row>
    <row r="1304" spans="1:45">
      <c r="A1304">
        <v>1010403</v>
      </c>
      <c r="B1304" s="8">
        <v>1001</v>
      </c>
      <c r="C1304" s="8">
        <v>5</v>
      </c>
      <c r="D1304" s="8">
        <v>1003</v>
      </c>
      <c r="E1304" t="s">
        <v>3466</v>
      </c>
      <c r="F1304" s="13" t="s">
        <v>3463</v>
      </c>
      <c r="G1304" t="s">
        <v>3394</v>
      </c>
      <c r="H1304" t="s">
        <v>3464</v>
      </c>
      <c r="I1304">
        <v>1</v>
      </c>
      <c r="J1304">
        <v>2</v>
      </c>
      <c r="K1304" s="33">
        <v>4</v>
      </c>
      <c r="L1304" s="8">
        <v>99</v>
      </c>
      <c r="M1304" s="8">
        <v>0</v>
      </c>
      <c r="N1304" s="8"/>
      <c r="Q1304" t="s">
        <v>260</v>
      </c>
      <c r="S1304" s="89">
        <v>1</v>
      </c>
      <c r="T1304" s="8">
        <v>5</v>
      </c>
      <c r="U1304" s="89">
        <v>110</v>
      </c>
      <c r="V1304" s="87">
        <v>0</v>
      </c>
      <c r="W1304">
        <v>1</v>
      </c>
      <c r="X1304" s="8">
        <v>1</v>
      </c>
      <c r="Y1304" s="8">
        <v>0</v>
      </c>
      <c r="Z1304" s="33">
        <v>0</v>
      </c>
      <c r="AA1304">
        <v>5</v>
      </c>
      <c r="AB1304" s="34">
        <v>4180</v>
      </c>
      <c r="AC1304" s="87">
        <v>408</v>
      </c>
      <c r="AD1304" s="62">
        <v>0</v>
      </c>
      <c r="AE1304" s="62">
        <v>0</v>
      </c>
      <c r="AF1304" s="62">
        <v>1</v>
      </c>
      <c r="AJ1304" s="63">
        <v>1010404</v>
      </c>
      <c r="AL1304" s="64">
        <v>1</v>
      </c>
      <c r="AN1304" s="93"/>
      <c r="AO1304" s="92"/>
      <c r="AS1304">
        <v>1</v>
      </c>
    </row>
    <row r="1305" spans="1:45">
      <c r="A1305">
        <v>1010404</v>
      </c>
      <c r="B1305" s="8">
        <v>1001</v>
      </c>
      <c r="C1305" s="8">
        <v>5</v>
      </c>
      <c r="D1305" s="8">
        <v>1003</v>
      </c>
      <c r="E1305" t="s">
        <v>3467</v>
      </c>
      <c r="F1305" s="13" t="s">
        <v>3463</v>
      </c>
      <c r="G1305" t="s">
        <v>3394</v>
      </c>
      <c r="H1305" t="s">
        <v>3464</v>
      </c>
      <c r="I1305">
        <v>1</v>
      </c>
      <c r="J1305">
        <v>2</v>
      </c>
      <c r="K1305" s="33">
        <v>4</v>
      </c>
      <c r="L1305" s="8">
        <v>99</v>
      </c>
      <c r="M1305" s="8">
        <v>0</v>
      </c>
      <c r="N1305" s="8"/>
      <c r="Q1305" t="s">
        <v>260</v>
      </c>
      <c r="S1305" s="89">
        <v>1</v>
      </c>
      <c r="T1305" s="8">
        <v>5</v>
      </c>
      <c r="U1305" s="89">
        <v>110</v>
      </c>
      <c r="V1305" s="87">
        <v>0</v>
      </c>
      <c r="W1305">
        <v>1</v>
      </c>
      <c r="X1305" s="8">
        <v>1</v>
      </c>
      <c r="Y1305" s="8">
        <v>0</v>
      </c>
      <c r="Z1305" s="33">
        <v>0</v>
      </c>
      <c r="AA1305">
        <v>5</v>
      </c>
      <c r="AB1305" s="34">
        <v>4180</v>
      </c>
      <c r="AC1305" s="87">
        <v>407</v>
      </c>
      <c r="AD1305" s="62">
        <v>0</v>
      </c>
      <c r="AE1305" s="62">
        <v>0</v>
      </c>
      <c r="AF1305" s="62">
        <v>1</v>
      </c>
      <c r="AJ1305" s="63">
        <v>1010405</v>
      </c>
      <c r="AL1305" s="64">
        <v>1</v>
      </c>
      <c r="AN1305" s="93"/>
      <c r="AO1305" s="92"/>
      <c r="AS1305">
        <v>1</v>
      </c>
    </row>
    <row r="1306" spans="1:45">
      <c r="A1306">
        <v>1010405</v>
      </c>
      <c r="B1306" s="8">
        <v>1001</v>
      </c>
      <c r="C1306" s="8">
        <v>5</v>
      </c>
      <c r="D1306" s="8">
        <v>1003</v>
      </c>
      <c r="E1306" t="s">
        <v>3468</v>
      </c>
      <c r="F1306" s="13" t="s">
        <v>3463</v>
      </c>
      <c r="G1306" t="s">
        <v>3469</v>
      </c>
      <c r="H1306" t="s">
        <v>3464</v>
      </c>
      <c r="I1306">
        <v>1</v>
      </c>
      <c r="J1306">
        <v>3</v>
      </c>
      <c r="K1306" s="33">
        <v>4</v>
      </c>
      <c r="L1306" s="8">
        <v>99</v>
      </c>
      <c r="M1306" s="8">
        <v>0</v>
      </c>
      <c r="N1306" s="8"/>
      <c r="Q1306" t="s">
        <v>260</v>
      </c>
      <c r="S1306" s="89">
        <v>1</v>
      </c>
      <c r="T1306" s="8">
        <v>5</v>
      </c>
      <c r="U1306" s="89">
        <v>140</v>
      </c>
      <c r="V1306" s="87">
        <v>0</v>
      </c>
      <c r="W1306">
        <v>1</v>
      </c>
      <c r="X1306" s="8">
        <v>1</v>
      </c>
      <c r="Y1306" s="8">
        <v>0</v>
      </c>
      <c r="Z1306" s="33">
        <v>0</v>
      </c>
      <c r="AA1306">
        <v>5</v>
      </c>
      <c r="AB1306" s="34">
        <v>5320</v>
      </c>
      <c r="AC1306" s="87">
        <v>406</v>
      </c>
      <c r="AD1306" s="62">
        <v>0</v>
      </c>
      <c r="AE1306" s="62">
        <v>0</v>
      </c>
      <c r="AF1306" s="62">
        <v>1</v>
      </c>
      <c r="AJ1306" s="63">
        <v>1010406</v>
      </c>
      <c r="AL1306" s="64">
        <v>1</v>
      </c>
      <c r="AN1306" s="93"/>
      <c r="AO1306" s="92"/>
      <c r="AS1306">
        <v>1</v>
      </c>
    </row>
    <row r="1307" spans="1:45">
      <c r="A1307">
        <v>1010406</v>
      </c>
      <c r="B1307" s="8">
        <v>1001</v>
      </c>
      <c r="C1307" s="8">
        <v>5</v>
      </c>
      <c r="D1307" s="8">
        <v>1003</v>
      </c>
      <c r="E1307" t="s">
        <v>3470</v>
      </c>
      <c r="F1307" s="13" t="s">
        <v>3463</v>
      </c>
      <c r="G1307" t="s">
        <v>3471</v>
      </c>
      <c r="H1307" t="s">
        <v>3464</v>
      </c>
      <c r="I1307">
        <v>1</v>
      </c>
      <c r="J1307">
        <v>3</v>
      </c>
      <c r="K1307" s="33">
        <v>4</v>
      </c>
      <c r="L1307" s="8">
        <v>99</v>
      </c>
      <c r="M1307" s="8">
        <v>0</v>
      </c>
      <c r="N1307" s="8"/>
      <c r="Q1307" t="s">
        <v>260</v>
      </c>
      <c r="S1307" s="89">
        <v>1</v>
      </c>
      <c r="T1307" s="8">
        <v>5</v>
      </c>
      <c r="U1307" s="89">
        <v>140</v>
      </c>
      <c r="V1307" s="87">
        <v>0</v>
      </c>
      <c r="W1307">
        <v>1</v>
      </c>
      <c r="X1307" s="8">
        <v>1</v>
      </c>
      <c r="Y1307" s="8">
        <v>0</v>
      </c>
      <c r="Z1307" s="33">
        <v>0</v>
      </c>
      <c r="AA1307">
        <v>5</v>
      </c>
      <c r="AB1307" s="34">
        <v>5320</v>
      </c>
      <c r="AC1307" s="87">
        <v>405</v>
      </c>
      <c r="AD1307" s="62">
        <v>0</v>
      </c>
      <c r="AE1307" s="62">
        <v>0</v>
      </c>
      <c r="AF1307" s="62">
        <v>1</v>
      </c>
      <c r="AJ1307" s="63">
        <v>1010407</v>
      </c>
      <c r="AL1307" s="64">
        <v>1</v>
      </c>
      <c r="AN1307" s="93"/>
      <c r="AO1307" s="92"/>
      <c r="AS1307">
        <v>1</v>
      </c>
    </row>
    <row r="1308" spans="1:45">
      <c r="A1308">
        <v>1010407</v>
      </c>
      <c r="B1308" s="8">
        <v>1001</v>
      </c>
      <c r="C1308" s="8">
        <v>5</v>
      </c>
      <c r="D1308" s="8">
        <v>1003</v>
      </c>
      <c r="E1308" t="s">
        <v>3472</v>
      </c>
      <c r="F1308" s="13" t="s">
        <v>3463</v>
      </c>
      <c r="G1308" t="s">
        <v>3473</v>
      </c>
      <c r="H1308" t="s">
        <v>3474</v>
      </c>
      <c r="I1308">
        <v>1</v>
      </c>
      <c r="J1308">
        <v>4</v>
      </c>
      <c r="K1308" s="33">
        <v>4</v>
      </c>
      <c r="L1308" s="8">
        <v>99</v>
      </c>
      <c r="M1308" s="8">
        <v>0</v>
      </c>
      <c r="N1308" s="8"/>
      <c r="S1308" s="89">
        <v>1</v>
      </c>
      <c r="T1308" s="8">
        <v>5</v>
      </c>
      <c r="U1308" s="89">
        <v>170</v>
      </c>
      <c r="V1308" s="87">
        <v>0</v>
      </c>
      <c r="W1308">
        <v>1</v>
      </c>
      <c r="X1308" s="8">
        <v>1</v>
      </c>
      <c r="Y1308" s="8">
        <v>0</v>
      </c>
      <c r="Z1308" s="33">
        <v>0</v>
      </c>
      <c r="AA1308">
        <v>5</v>
      </c>
      <c r="AB1308" s="34">
        <v>6460</v>
      </c>
      <c r="AC1308" s="87">
        <v>404</v>
      </c>
      <c r="AD1308" s="62">
        <v>0</v>
      </c>
      <c r="AE1308" s="62">
        <v>0</v>
      </c>
      <c r="AF1308" s="62">
        <v>1</v>
      </c>
      <c r="AJ1308" s="63">
        <v>1010408</v>
      </c>
      <c r="AL1308" s="64">
        <v>1</v>
      </c>
      <c r="AN1308" s="93"/>
      <c r="AO1308" s="92"/>
      <c r="AS1308">
        <v>1</v>
      </c>
    </row>
    <row r="1309" spans="1:45">
      <c r="A1309">
        <v>1010408</v>
      </c>
      <c r="B1309" s="8">
        <v>1001</v>
      </c>
      <c r="C1309" s="8">
        <v>5</v>
      </c>
      <c r="D1309" s="8">
        <v>1003</v>
      </c>
      <c r="E1309" t="s">
        <v>3475</v>
      </c>
      <c r="F1309" s="13" t="s">
        <v>3463</v>
      </c>
      <c r="G1309" t="s">
        <v>3476</v>
      </c>
      <c r="H1309" t="s">
        <v>3474</v>
      </c>
      <c r="I1309">
        <v>1</v>
      </c>
      <c r="J1309">
        <v>4</v>
      </c>
      <c r="K1309" s="33">
        <v>4</v>
      </c>
      <c r="L1309" s="8">
        <v>99</v>
      </c>
      <c r="M1309" s="8">
        <v>0</v>
      </c>
      <c r="N1309" s="8"/>
      <c r="S1309" s="89">
        <v>1</v>
      </c>
      <c r="T1309" s="8">
        <v>5</v>
      </c>
      <c r="U1309" s="89">
        <v>170</v>
      </c>
      <c r="V1309" s="87">
        <v>0</v>
      </c>
      <c r="W1309">
        <v>1</v>
      </c>
      <c r="X1309" s="8">
        <v>1</v>
      </c>
      <c r="Y1309" s="8">
        <v>0</v>
      </c>
      <c r="Z1309" s="33">
        <v>0</v>
      </c>
      <c r="AA1309">
        <v>5</v>
      </c>
      <c r="AB1309" s="34">
        <v>6460</v>
      </c>
      <c r="AC1309" s="87">
        <v>403</v>
      </c>
      <c r="AD1309" s="62">
        <v>0</v>
      </c>
      <c r="AE1309" s="62">
        <v>0</v>
      </c>
      <c r="AF1309" s="62">
        <v>1</v>
      </c>
      <c r="AJ1309" s="63">
        <v>1010409</v>
      </c>
      <c r="AL1309" s="64">
        <v>1</v>
      </c>
      <c r="AN1309" s="93"/>
      <c r="AO1309" s="92"/>
      <c r="AS1309">
        <v>1</v>
      </c>
    </row>
    <row r="1310" spans="1:45">
      <c r="A1310">
        <v>1010409</v>
      </c>
      <c r="B1310" s="8">
        <v>1001</v>
      </c>
      <c r="C1310" s="8">
        <v>5</v>
      </c>
      <c r="D1310" s="8">
        <v>1003</v>
      </c>
      <c r="E1310" t="s">
        <v>3477</v>
      </c>
      <c r="F1310" s="13" t="s">
        <v>3463</v>
      </c>
      <c r="G1310" t="s">
        <v>3478</v>
      </c>
      <c r="H1310" t="s">
        <v>3474</v>
      </c>
      <c r="I1310">
        <v>1</v>
      </c>
      <c r="J1310">
        <v>5</v>
      </c>
      <c r="K1310" s="33">
        <v>4</v>
      </c>
      <c r="L1310" s="8">
        <v>99</v>
      </c>
      <c r="M1310" s="8">
        <v>0</v>
      </c>
      <c r="N1310" s="8"/>
      <c r="S1310" s="89">
        <v>1</v>
      </c>
      <c r="T1310" s="8">
        <v>5</v>
      </c>
      <c r="U1310" s="89">
        <v>200</v>
      </c>
      <c r="V1310" s="87">
        <v>0</v>
      </c>
      <c r="W1310">
        <v>1</v>
      </c>
      <c r="X1310" s="8">
        <v>1</v>
      </c>
      <c r="Y1310" s="8">
        <v>0</v>
      </c>
      <c r="Z1310" s="33">
        <v>0</v>
      </c>
      <c r="AA1310">
        <v>5</v>
      </c>
      <c r="AB1310" s="34">
        <v>7600</v>
      </c>
      <c r="AC1310" s="87">
        <v>402</v>
      </c>
      <c r="AD1310" s="62">
        <v>0</v>
      </c>
      <c r="AE1310" s="62">
        <v>0</v>
      </c>
      <c r="AF1310" s="62">
        <v>1</v>
      </c>
      <c r="AJ1310" s="63">
        <v>1010410</v>
      </c>
      <c r="AL1310" s="64">
        <v>1</v>
      </c>
      <c r="AN1310" s="93"/>
      <c r="AO1310" s="92"/>
      <c r="AS1310">
        <v>1</v>
      </c>
    </row>
    <row r="1311" s="3" customFormat="1" spans="1:45">
      <c r="A1311">
        <v>1010410</v>
      </c>
      <c r="B1311" s="236">
        <v>1001</v>
      </c>
      <c r="C1311" s="236">
        <v>5</v>
      </c>
      <c r="D1311" s="236">
        <v>1003</v>
      </c>
      <c r="E1311" t="s">
        <v>3479</v>
      </c>
      <c r="F1311" s="253" t="s">
        <v>3463</v>
      </c>
      <c r="G1311" t="s">
        <v>3480</v>
      </c>
      <c r="H1311" t="s">
        <v>3481</v>
      </c>
      <c r="I1311">
        <v>1</v>
      </c>
      <c r="J1311">
        <v>5</v>
      </c>
      <c r="K1311" s="33">
        <v>4</v>
      </c>
      <c r="L1311" s="236">
        <v>99</v>
      </c>
      <c r="M1311" s="236">
        <v>0</v>
      </c>
      <c r="N1311" s="236"/>
      <c r="O1311" s="231"/>
      <c r="S1311" s="336">
        <v>1</v>
      </c>
      <c r="T1311" s="236">
        <v>5</v>
      </c>
      <c r="U1311" s="336">
        <v>200</v>
      </c>
      <c r="V1311" s="248">
        <v>0</v>
      </c>
      <c r="W1311">
        <v>1</v>
      </c>
      <c r="X1311" s="236">
        <v>1</v>
      </c>
      <c r="Y1311" s="236">
        <v>0</v>
      </c>
      <c r="Z1311" s="33">
        <v>0</v>
      </c>
      <c r="AA1311">
        <v>5</v>
      </c>
      <c r="AB1311" s="34">
        <v>7600</v>
      </c>
      <c r="AC1311" s="248">
        <v>401</v>
      </c>
      <c r="AD1311" s="62">
        <v>0</v>
      </c>
      <c r="AE1311" s="62">
        <v>0</v>
      </c>
      <c r="AF1311" s="62">
        <v>1</v>
      </c>
      <c r="AG1311" s="337"/>
      <c r="AH1311" s="337"/>
      <c r="AI1311" s="337"/>
      <c r="AJ1311" s="63">
        <v>1010411</v>
      </c>
      <c r="AK1311" s="337"/>
      <c r="AL1311" s="64">
        <v>1</v>
      </c>
      <c r="AM1311" s="234"/>
      <c r="AN1311" s="338"/>
      <c r="AO1311" s="252"/>
      <c r="AP1311" s="234"/>
      <c r="AS1311">
        <v>1</v>
      </c>
    </row>
    <row r="1312" spans="1:45">
      <c r="A1312" s="3">
        <v>1010411</v>
      </c>
      <c r="B1312" s="339">
        <v>1001</v>
      </c>
      <c r="C1312" s="339">
        <v>5</v>
      </c>
      <c r="D1312" s="339">
        <v>1003</v>
      </c>
      <c r="E1312" s="339" t="s">
        <v>3482</v>
      </c>
      <c r="F1312" s="339" t="s">
        <v>3463</v>
      </c>
      <c r="G1312" s="3" t="s">
        <v>3483</v>
      </c>
      <c r="H1312" s="3" t="s">
        <v>3484</v>
      </c>
      <c r="I1312" s="3">
        <v>1</v>
      </c>
      <c r="J1312" s="3">
        <v>5</v>
      </c>
      <c r="K1312" s="3">
        <v>1</v>
      </c>
      <c r="L1312" s="339">
        <v>99</v>
      </c>
      <c r="M1312" s="339">
        <v>0</v>
      </c>
      <c r="N1312" s="8"/>
      <c r="O1312" s="231"/>
      <c r="Q1312"/>
      <c r="S1312" s="339">
        <v>1</v>
      </c>
      <c r="T1312" s="339">
        <v>5</v>
      </c>
      <c r="U1312" s="339">
        <v>200</v>
      </c>
      <c r="V1312" s="339">
        <v>0</v>
      </c>
      <c r="W1312" s="3">
        <v>1</v>
      </c>
      <c r="X1312" s="339">
        <v>1</v>
      </c>
      <c r="Y1312" s="339">
        <v>0</v>
      </c>
      <c r="Z1312" s="3">
        <v>0</v>
      </c>
      <c r="AA1312" s="3">
        <v>5</v>
      </c>
      <c r="AB1312" s="3">
        <v>7600</v>
      </c>
      <c r="AC1312" s="339">
        <v>401</v>
      </c>
      <c r="AD1312" s="3">
        <v>0</v>
      </c>
      <c r="AE1312" s="3">
        <v>0</v>
      </c>
      <c r="AF1312" s="3">
        <v>1</v>
      </c>
      <c r="AG1312" s="337"/>
      <c r="AH1312" s="337"/>
      <c r="AI1312" s="337"/>
      <c r="AJ1312" s="337"/>
      <c r="AK1312" s="337"/>
      <c r="AL1312" s="3">
        <v>1</v>
      </c>
      <c r="AM1312" s="234"/>
      <c r="AN1312" s="93"/>
      <c r="AO1312" s="92"/>
      <c r="AP1312" s="234"/>
      <c r="AS1312" s="3">
        <v>1</v>
      </c>
    </row>
    <row r="1313" spans="1:45">
      <c r="A1313">
        <v>1010501</v>
      </c>
      <c r="B1313" s="8">
        <v>1001</v>
      </c>
      <c r="C1313" s="8">
        <v>5</v>
      </c>
      <c r="D1313" s="8">
        <v>1003</v>
      </c>
      <c r="E1313" s="13" t="s">
        <v>3485</v>
      </c>
      <c r="F1313" s="13" t="s">
        <v>3486</v>
      </c>
      <c r="G1313" t="s">
        <v>3394</v>
      </c>
      <c r="H1313" t="s">
        <v>3487</v>
      </c>
      <c r="I1313">
        <v>1</v>
      </c>
      <c r="J1313">
        <v>1</v>
      </c>
      <c r="K1313" s="33">
        <v>4</v>
      </c>
      <c r="L1313" s="8">
        <v>99</v>
      </c>
      <c r="M1313" s="8">
        <v>0</v>
      </c>
      <c r="N1313" s="8"/>
      <c r="Q1313" t="s">
        <v>260</v>
      </c>
      <c r="S1313" s="89">
        <v>1</v>
      </c>
      <c r="T1313" s="8">
        <v>5</v>
      </c>
      <c r="U1313" s="89">
        <v>80</v>
      </c>
      <c r="V1313" s="87">
        <v>0</v>
      </c>
      <c r="W1313">
        <v>1</v>
      </c>
      <c r="X1313" s="8">
        <v>1</v>
      </c>
      <c r="Y1313" s="8">
        <v>0</v>
      </c>
      <c r="Z1313" s="33">
        <v>0</v>
      </c>
      <c r="AA1313">
        <v>5</v>
      </c>
      <c r="AB1313" s="34">
        <v>3040</v>
      </c>
      <c r="AC1313" s="87">
        <v>420</v>
      </c>
      <c r="AD1313" s="62">
        <v>0</v>
      </c>
      <c r="AE1313" s="62">
        <v>0</v>
      </c>
      <c r="AF1313" s="62">
        <v>1</v>
      </c>
      <c r="AJ1313" s="63">
        <v>1010502</v>
      </c>
      <c r="AL1313" s="64">
        <v>1</v>
      </c>
      <c r="AN1313" s="93"/>
      <c r="AO1313" s="92"/>
      <c r="AS1313">
        <v>1</v>
      </c>
    </row>
    <row r="1314" spans="1:45">
      <c r="A1314">
        <v>1010502</v>
      </c>
      <c r="B1314" s="8">
        <v>1001</v>
      </c>
      <c r="C1314" s="8">
        <v>5</v>
      </c>
      <c r="D1314" s="8">
        <v>1003</v>
      </c>
      <c r="E1314" s="13" t="s">
        <v>3488</v>
      </c>
      <c r="F1314" s="13" t="s">
        <v>3486</v>
      </c>
      <c r="G1314" t="s">
        <v>3394</v>
      </c>
      <c r="H1314" t="s">
        <v>3487</v>
      </c>
      <c r="I1314">
        <v>1</v>
      </c>
      <c r="J1314">
        <v>1</v>
      </c>
      <c r="K1314" s="33">
        <v>4</v>
      </c>
      <c r="L1314" s="8">
        <v>99</v>
      </c>
      <c r="M1314" s="8">
        <v>0</v>
      </c>
      <c r="N1314" s="8"/>
      <c r="Q1314" t="s">
        <v>260</v>
      </c>
      <c r="S1314" s="89">
        <v>1</v>
      </c>
      <c r="T1314" s="8">
        <v>5</v>
      </c>
      <c r="U1314" s="89">
        <v>80</v>
      </c>
      <c r="V1314" s="87">
        <v>0</v>
      </c>
      <c r="W1314">
        <v>1</v>
      </c>
      <c r="X1314" s="8">
        <v>1</v>
      </c>
      <c r="Y1314" s="8">
        <v>0</v>
      </c>
      <c r="Z1314" s="33">
        <v>0</v>
      </c>
      <c r="AA1314">
        <v>5</v>
      </c>
      <c r="AB1314" s="34">
        <v>3040</v>
      </c>
      <c r="AC1314" s="87">
        <v>419</v>
      </c>
      <c r="AD1314" s="62">
        <v>0</v>
      </c>
      <c r="AE1314" s="62">
        <v>0</v>
      </c>
      <c r="AF1314" s="62">
        <v>1</v>
      </c>
      <c r="AJ1314" s="63">
        <v>1010503</v>
      </c>
      <c r="AL1314" s="64">
        <v>1</v>
      </c>
      <c r="AN1314" s="93"/>
      <c r="AO1314" s="92"/>
      <c r="AS1314">
        <v>1</v>
      </c>
    </row>
    <row r="1315" spans="1:45">
      <c r="A1315">
        <v>1010503</v>
      </c>
      <c r="B1315" s="8">
        <v>1001</v>
      </c>
      <c r="C1315" s="8">
        <v>5</v>
      </c>
      <c r="D1315" s="8">
        <v>1003</v>
      </c>
      <c r="E1315" s="13" t="s">
        <v>3489</v>
      </c>
      <c r="F1315" s="13" t="s">
        <v>3486</v>
      </c>
      <c r="G1315" t="s">
        <v>3394</v>
      </c>
      <c r="H1315" t="s">
        <v>3487</v>
      </c>
      <c r="I1315">
        <v>1</v>
      </c>
      <c r="J1315">
        <v>2</v>
      </c>
      <c r="K1315" s="33">
        <v>4</v>
      </c>
      <c r="L1315" s="8">
        <v>99</v>
      </c>
      <c r="M1315" s="8">
        <v>0</v>
      </c>
      <c r="N1315" s="8"/>
      <c r="Q1315" t="s">
        <v>260</v>
      </c>
      <c r="S1315" s="89">
        <v>1</v>
      </c>
      <c r="T1315" s="8">
        <v>5</v>
      </c>
      <c r="U1315" s="89">
        <v>110</v>
      </c>
      <c r="V1315" s="87">
        <v>0</v>
      </c>
      <c r="W1315">
        <v>1</v>
      </c>
      <c r="X1315" s="8">
        <v>1</v>
      </c>
      <c r="Y1315" s="8">
        <v>0</v>
      </c>
      <c r="Z1315" s="33">
        <v>0</v>
      </c>
      <c r="AA1315">
        <v>5</v>
      </c>
      <c r="AB1315" s="34">
        <v>4180</v>
      </c>
      <c r="AC1315" s="87">
        <v>418</v>
      </c>
      <c r="AD1315" s="62">
        <v>0</v>
      </c>
      <c r="AE1315" s="62">
        <v>0</v>
      </c>
      <c r="AF1315" s="62">
        <v>1</v>
      </c>
      <c r="AJ1315" s="63">
        <v>1010504</v>
      </c>
      <c r="AL1315" s="64">
        <v>1</v>
      </c>
      <c r="AN1315" s="93"/>
      <c r="AO1315" s="92"/>
      <c r="AS1315">
        <v>1</v>
      </c>
    </row>
    <row r="1316" spans="1:45">
      <c r="A1316">
        <v>1010504</v>
      </c>
      <c r="B1316" s="8">
        <v>1001</v>
      </c>
      <c r="C1316" s="8">
        <v>5</v>
      </c>
      <c r="D1316" s="8">
        <v>1003</v>
      </c>
      <c r="E1316" s="13" t="s">
        <v>3490</v>
      </c>
      <c r="F1316" s="13" t="s">
        <v>3486</v>
      </c>
      <c r="G1316" t="s">
        <v>3394</v>
      </c>
      <c r="H1316" t="s">
        <v>3487</v>
      </c>
      <c r="I1316">
        <v>1</v>
      </c>
      <c r="J1316">
        <v>2</v>
      </c>
      <c r="K1316" s="33">
        <v>4</v>
      </c>
      <c r="L1316" s="8">
        <v>99</v>
      </c>
      <c r="M1316" s="8">
        <v>0</v>
      </c>
      <c r="N1316" s="8"/>
      <c r="Q1316" t="s">
        <v>260</v>
      </c>
      <c r="S1316" s="89">
        <v>1</v>
      </c>
      <c r="T1316" s="8">
        <v>5</v>
      </c>
      <c r="U1316" s="89">
        <v>110</v>
      </c>
      <c r="V1316" s="87">
        <v>0</v>
      </c>
      <c r="W1316">
        <v>1</v>
      </c>
      <c r="X1316" s="8">
        <v>1</v>
      </c>
      <c r="Y1316" s="8">
        <v>0</v>
      </c>
      <c r="Z1316" s="33">
        <v>0</v>
      </c>
      <c r="AA1316">
        <v>5</v>
      </c>
      <c r="AB1316" s="34">
        <v>4180</v>
      </c>
      <c r="AC1316" s="87">
        <v>417</v>
      </c>
      <c r="AD1316" s="62">
        <v>0</v>
      </c>
      <c r="AE1316" s="62">
        <v>0</v>
      </c>
      <c r="AF1316" s="62">
        <v>1</v>
      </c>
      <c r="AJ1316" s="63">
        <v>1010505</v>
      </c>
      <c r="AL1316" s="64">
        <v>1</v>
      </c>
      <c r="AN1316" s="93"/>
      <c r="AO1316" s="92"/>
      <c r="AS1316">
        <v>1</v>
      </c>
    </row>
    <row r="1317" spans="1:45">
      <c r="A1317">
        <v>1010505</v>
      </c>
      <c r="B1317" s="8">
        <v>1001</v>
      </c>
      <c r="C1317" s="8">
        <v>5</v>
      </c>
      <c r="D1317" s="8">
        <v>1003</v>
      </c>
      <c r="E1317" s="13" t="s">
        <v>3491</v>
      </c>
      <c r="F1317" s="13" t="s">
        <v>3486</v>
      </c>
      <c r="G1317" t="s">
        <v>3492</v>
      </c>
      <c r="H1317" t="s">
        <v>3487</v>
      </c>
      <c r="I1317">
        <v>1</v>
      </c>
      <c r="J1317">
        <v>3</v>
      </c>
      <c r="K1317" s="33">
        <v>4</v>
      </c>
      <c r="L1317" s="8">
        <v>99</v>
      </c>
      <c r="M1317" s="8">
        <v>0</v>
      </c>
      <c r="N1317" s="8"/>
      <c r="Q1317" t="s">
        <v>260</v>
      </c>
      <c r="S1317" s="89">
        <v>1</v>
      </c>
      <c r="T1317" s="8">
        <v>5</v>
      </c>
      <c r="U1317" s="89">
        <v>140</v>
      </c>
      <c r="V1317" s="87">
        <v>0</v>
      </c>
      <c r="W1317">
        <v>1</v>
      </c>
      <c r="X1317" s="8">
        <v>1</v>
      </c>
      <c r="Y1317" s="8">
        <v>0</v>
      </c>
      <c r="Z1317" s="33">
        <v>0</v>
      </c>
      <c r="AA1317">
        <v>5</v>
      </c>
      <c r="AB1317" s="34">
        <v>5320</v>
      </c>
      <c r="AC1317" s="87">
        <v>416</v>
      </c>
      <c r="AD1317" s="62">
        <v>0</v>
      </c>
      <c r="AE1317" s="62">
        <v>0</v>
      </c>
      <c r="AF1317" s="62">
        <v>1</v>
      </c>
      <c r="AJ1317" s="63">
        <v>1010506</v>
      </c>
      <c r="AL1317" s="64">
        <v>1</v>
      </c>
      <c r="AN1317" s="93"/>
      <c r="AO1317" s="92"/>
      <c r="AS1317">
        <v>1</v>
      </c>
    </row>
    <row r="1318" spans="1:45">
      <c r="A1318">
        <v>1010506</v>
      </c>
      <c r="B1318" s="8">
        <v>1001</v>
      </c>
      <c r="C1318" s="8">
        <v>5</v>
      </c>
      <c r="D1318" s="8">
        <v>1003</v>
      </c>
      <c r="E1318" s="13" t="s">
        <v>3493</v>
      </c>
      <c r="F1318" s="13" t="s">
        <v>3486</v>
      </c>
      <c r="G1318" t="s">
        <v>3494</v>
      </c>
      <c r="H1318" t="s">
        <v>3487</v>
      </c>
      <c r="I1318">
        <v>1</v>
      </c>
      <c r="J1318">
        <v>3</v>
      </c>
      <c r="K1318" s="33">
        <v>4</v>
      </c>
      <c r="L1318" s="8">
        <v>99</v>
      </c>
      <c r="M1318" s="8">
        <v>0</v>
      </c>
      <c r="N1318" s="8"/>
      <c r="Q1318" t="s">
        <v>260</v>
      </c>
      <c r="S1318" s="89">
        <v>1</v>
      </c>
      <c r="T1318" s="8">
        <v>5</v>
      </c>
      <c r="U1318" s="89">
        <v>140</v>
      </c>
      <c r="V1318" s="87">
        <v>0</v>
      </c>
      <c r="W1318">
        <v>1</v>
      </c>
      <c r="X1318" s="8">
        <v>1</v>
      </c>
      <c r="Y1318" s="8">
        <v>0</v>
      </c>
      <c r="Z1318" s="33">
        <v>0</v>
      </c>
      <c r="AA1318">
        <v>5</v>
      </c>
      <c r="AB1318" s="34">
        <v>5320</v>
      </c>
      <c r="AC1318" s="87">
        <v>415</v>
      </c>
      <c r="AD1318" s="62">
        <v>0</v>
      </c>
      <c r="AE1318" s="62">
        <v>0</v>
      </c>
      <c r="AF1318" s="62">
        <v>1</v>
      </c>
      <c r="AJ1318" s="63">
        <v>1010507</v>
      </c>
      <c r="AL1318" s="64">
        <v>1</v>
      </c>
      <c r="AN1318" s="93"/>
      <c r="AO1318" s="92"/>
      <c r="AS1318">
        <v>1</v>
      </c>
    </row>
    <row r="1319" spans="1:45">
      <c r="A1319">
        <v>1010507</v>
      </c>
      <c r="B1319" s="8">
        <v>1001</v>
      </c>
      <c r="C1319" s="8">
        <v>5</v>
      </c>
      <c r="D1319" s="8">
        <v>1003</v>
      </c>
      <c r="E1319" s="13" t="s">
        <v>3495</v>
      </c>
      <c r="F1319" s="13" t="s">
        <v>3486</v>
      </c>
      <c r="G1319" t="s">
        <v>3496</v>
      </c>
      <c r="H1319" t="s">
        <v>3497</v>
      </c>
      <c r="I1319">
        <v>1</v>
      </c>
      <c r="J1319">
        <v>4</v>
      </c>
      <c r="K1319" s="33">
        <v>4</v>
      </c>
      <c r="L1319" s="8">
        <v>99</v>
      </c>
      <c r="M1319" s="8">
        <v>0</v>
      </c>
      <c r="N1319" s="8"/>
      <c r="S1319" s="89">
        <v>1</v>
      </c>
      <c r="T1319" s="8">
        <v>5</v>
      </c>
      <c r="U1319" s="89">
        <v>170</v>
      </c>
      <c r="V1319" s="87">
        <v>0</v>
      </c>
      <c r="W1319">
        <v>1</v>
      </c>
      <c r="X1319" s="8">
        <v>1</v>
      </c>
      <c r="Y1319" s="8">
        <v>0</v>
      </c>
      <c r="Z1319" s="33">
        <v>0</v>
      </c>
      <c r="AA1319">
        <v>5</v>
      </c>
      <c r="AB1319" s="34">
        <v>6460</v>
      </c>
      <c r="AC1319" s="87">
        <v>414</v>
      </c>
      <c r="AD1319" s="62">
        <v>0</v>
      </c>
      <c r="AE1319" s="62">
        <v>0</v>
      </c>
      <c r="AF1319" s="62">
        <v>1</v>
      </c>
      <c r="AJ1319" s="63">
        <v>1010508</v>
      </c>
      <c r="AL1319" s="64">
        <v>1</v>
      </c>
      <c r="AN1319" s="93"/>
      <c r="AO1319" s="92"/>
      <c r="AS1319">
        <v>1</v>
      </c>
    </row>
    <row r="1320" spans="1:45">
      <c r="A1320">
        <v>1010508</v>
      </c>
      <c r="B1320" s="8">
        <v>1001</v>
      </c>
      <c r="C1320" s="8">
        <v>5</v>
      </c>
      <c r="D1320" s="8">
        <v>1003</v>
      </c>
      <c r="E1320" s="13" t="s">
        <v>3498</v>
      </c>
      <c r="F1320" s="13" t="s">
        <v>3486</v>
      </c>
      <c r="G1320" t="s">
        <v>3499</v>
      </c>
      <c r="H1320" t="s">
        <v>3497</v>
      </c>
      <c r="I1320">
        <v>1</v>
      </c>
      <c r="J1320">
        <v>4</v>
      </c>
      <c r="K1320" s="33">
        <v>4</v>
      </c>
      <c r="L1320" s="8">
        <v>99</v>
      </c>
      <c r="M1320" s="8">
        <v>0</v>
      </c>
      <c r="N1320" s="8"/>
      <c r="S1320" s="89">
        <v>1</v>
      </c>
      <c r="T1320" s="8">
        <v>5</v>
      </c>
      <c r="U1320" s="89">
        <v>170</v>
      </c>
      <c r="V1320" s="87">
        <v>0</v>
      </c>
      <c r="W1320">
        <v>1</v>
      </c>
      <c r="X1320" s="8">
        <v>1</v>
      </c>
      <c r="Y1320" s="8">
        <v>0</v>
      </c>
      <c r="Z1320" s="33">
        <v>0</v>
      </c>
      <c r="AA1320">
        <v>5</v>
      </c>
      <c r="AB1320" s="34">
        <v>6460</v>
      </c>
      <c r="AC1320" s="87">
        <v>413</v>
      </c>
      <c r="AD1320" s="62">
        <v>0</v>
      </c>
      <c r="AE1320" s="62">
        <v>0</v>
      </c>
      <c r="AF1320" s="62">
        <v>1</v>
      </c>
      <c r="AJ1320" s="63">
        <v>1010509</v>
      </c>
      <c r="AL1320" s="64">
        <v>1</v>
      </c>
      <c r="AN1320" s="93"/>
      <c r="AO1320" s="92"/>
      <c r="AS1320">
        <v>1</v>
      </c>
    </row>
    <row r="1321" spans="1:45">
      <c r="A1321">
        <v>1010509</v>
      </c>
      <c r="B1321" s="8">
        <v>1001</v>
      </c>
      <c r="C1321" s="8">
        <v>5</v>
      </c>
      <c r="D1321" s="8">
        <v>1003</v>
      </c>
      <c r="E1321" s="13" t="s">
        <v>3500</v>
      </c>
      <c r="F1321" s="13" t="s">
        <v>3486</v>
      </c>
      <c r="G1321" t="s">
        <v>3501</v>
      </c>
      <c r="H1321" t="s">
        <v>3497</v>
      </c>
      <c r="I1321">
        <v>1</v>
      </c>
      <c r="J1321">
        <v>5</v>
      </c>
      <c r="K1321" s="33">
        <v>4</v>
      </c>
      <c r="L1321" s="8">
        <v>99</v>
      </c>
      <c r="M1321" s="8">
        <v>0</v>
      </c>
      <c r="N1321" s="8"/>
      <c r="S1321" s="89">
        <v>1</v>
      </c>
      <c r="T1321" s="8">
        <v>5</v>
      </c>
      <c r="U1321" s="89">
        <v>200</v>
      </c>
      <c r="V1321" s="87">
        <v>0</v>
      </c>
      <c r="W1321">
        <v>1</v>
      </c>
      <c r="X1321" s="8">
        <v>1</v>
      </c>
      <c r="Y1321" s="8">
        <v>0</v>
      </c>
      <c r="Z1321" s="33">
        <v>0</v>
      </c>
      <c r="AA1321">
        <v>5</v>
      </c>
      <c r="AB1321" s="34">
        <v>7600</v>
      </c>
      <c r="AC1321" s="87">
        <v>412</v>
      </c>
      <c r="AD1321" s="62">
        <v>0</v>
      </c>
      <c r="AE1321" s="62">
        <v>0</v>
      </c>
      <c r="AF1321" s="62">
        <v>1</v>
      </c>
      <c r="AJ1321" s="63">
        <v>1010510</v>
      </c>
      <c r="AL1321" s="64">
        <v>1</v>
      </c>
      <c r="AN1321" s="93"/>
      <c r="AO1321" s="92"/>
      <c r="AS1321">
        <v>1</v>
      </c>
    </row>
    <row r="1322" s="3" customFormat="1" spans="1:45">
      <c r="A1322">
        <v>1010510</v>
      </c>
      <c r="B1322" s="236">
        <v>1001</v>
      </c>
      <c r="C1322" s="236">
        <v>5</v>
      </c>
      <c r="D1322" s="236">
        <v>1003</v>
      </c>
      <c r="E1322" s="253" t="s">
        <v>3502</v>
      </c>
      <c r="F1322" s="253" t="s">
        <v>3486</v>
      </c>
      <c r="G1322" t="s">
        <v>3503</v>
      </c>
      <c r="H1322" t="s">
        <v>3504</v>
      </c>
      <c r="I1322">
        <v>1</v>
      </c>
      <c r="J1322">
        <v>5</v>
      </c>
      <c r="K1322" s="33">
        <v>4</v>
      </c>
      <c r="L1322" s="236">
        <v>99</v>
      </c>
      <c r="M1322" s="236">
        <v>0</v>
      </c>
      <c r="N1322" s="236"/>
      <c r="O1322" s="231"/>
      <c r="S1322" s="336">
        <v>1</v>
      </c>
      <c r="T1322" s="236">
        <v>5</v>
      </c>
      <c r="U1322" s="336">
        <v>200</v>
      </c>
      <c r="V1322" s="248">
        <v>0</v>
      </c>
      <c r="W1322">
        <v>1</v>
      </c>
      <c r="X1322" s="236">
        <v>1</v>
      </c>
      <c r="Y1322" s="236">
        <v>0</v>
      </c>
      <c r="Z1322" s="33">
        <v>0</v>
      </c>
      <c r="AA1322">
        <v>5</v>
      </c>
      <c r="AB1322" s="34">
        <v>7600</v>
      </c>
      <c r="AC1322" s="248">
        <v>411</v>
      </c>
      <c r="AD1322" s="62">
        <v>0</v>
      </c>
      <c r="AE1322" s="62">
        <v>0</v>
      </c>
      <c r="AF1322" s="62">
        <v>1</v>
      </c>
      <c r="AG1322" s="337"/>
      <c r="AH1322" s="337"/>
      <c r="AI1322" s="337"/>
      <c r="AJ1322" s="63">
        <v>1010511</v>
      </c>
      <c r="AK1322" s="337"/>
      <c r="AL1322" s="64">
        <v>1</v>
      </c>
      <c r="AM1322" s="234"/>
      <c r="AN1322" s="338"/>
      <c r="AO1322" s="252"/>
      <c r="AP1322" s="234"/>
      <c r="AS1322">
        <v>1</v>
      </c>
    </row>
    <row r="1323" spans="1:45">
      <c r="A1323" s="3">
        <v>1010511</v>
      </c>
      <c r="B1323" s="339">
        <v>1001</v>
      </c>
      <c r="C1323" s="339">
        <v>5</v>
      </c>
      <c r="D1323" s="339">
        <v>1003</v>
      </c>
      <c r="E1323" s="339" t="s">
        <v>3505</v>
      </c>
      <c r="F1323" s="339" t="s">
        <v>3486</v>
      </c>
      <c r="G1323" s="3" t="s">
        <v>3506</v>
      </c>
      <c r="H1323" s="3" t="s">
        <v>3507</v>
      </c>
      <c r="I1323" s="3">
        <v>1</v>
      </c>
      <c r="J1323" s="3">
        <v>5</v>
      </c>
      <c r="K1323" s="3">
        <v>1</v>
      </c>
      <c r="L1323" s="339">
        <v>99</v>
      </c>
      <c r="M1323" s="339">
        <v>0</v>
      </c>
      <c r="N1323" s="8"/>
      <c r="O1323" s="231"/>
      <c r="Q1323"/>
      <c r="S1323" s="339">
        <v>1</v>
      </c>
      <c r="T1323" s="339">
        <v>5</v>
      </c>
      <c r="U1323" s="339">
        <v>200</v>
      </c>
      <c r="V1323" s="339">
        <v>0</v>
      </c>
      <c r="W1323" s="3">
        <v>1</v>
      </c>
      <c r="X1323" s="339">
        <v>1</v>
      </c>
      <c r="Y1323" s="339">
        <v>0</v>
      </c>
      <c r="Z1323" s="3">
        <v>0</v>
      </c>
      <c r="AA1323" s="3">
        <v>5</v>
      </c>
      <c r="AB1323" s="3">
        <v>7600</v>
      </c>
      <c r="AC1323" s="339">
        <v>411</v>
      </c>
      <c r="AD1323" s="3">
        <v>0</v>
      </c>
      <c r="AE1323" s="3">
        <v>0</v>
      </c>
      <c r="AF1323" s="3">
        <v>1</v>
      </c>
      <c r="AG1323" s="337"/>
      <c r="AH1323" s="337"/>
      <c r="AI1323" s="337"/>
      <c r="AJ1323" s="337"/>
      <c r="AK1323" s="337"/>
      <c r="AL1323" s="3">
        <v>1</v>
      </c>
      <c r="AM1323" s="234"/>
      <c r="AN1323" s="93"/>
      <c r="AO1323" s="92"/>
      <c r="AP1323" s="234"/>
      <c r="AS1323" s="3">
        <v>1</v>
      </c>
    </row>
    <row r="1324" spans="1:45">
      <c r="A1324">
        <v>1010601</v>
      </c>
      <c r="B1324" s="8">
        <v>1001</v>
      </c>
      <c r="C1324" s="8">
        <v>5</v>
      </c>
      <c r="D1324" s="8">
        <v>1003</v>
      </c>
      <c r="E1324" s="13" t="s">
        <v>3508</v>
      </c>
      <c r="F1324" s="13" t="s">
        <v>3509</v>
      </c>
      <c r="G1324" t="s">
        <v>3394</v>
      </c>
      <c r="H1324" t="s">
        <v>3510</v>
      </c>
      <c r="I1324">
        <v>1</v>
      </c>
      <c r="J1324">
        <v>1</v>
      </c>
      <c r="K1324" s="33">
        <v>4</v>
      </c>
      <c r="L1324" s="8">
        <v>99</v>
      </c>
      <c r="M1324" s="8">
        <v>0</v>
      </c>
      <c r="N1324" s="8"/>
      <c r="Q1324" t="s">
        <v>260</v>
      </c>
      <c r="S1324" s="89">
        <v>1</v>
      </c>
      <c r="T1324" s="8">
        <v>5</v>
      </c>
      <c r="U1324" s="89">
        <v>80</v>
      </c>
      <c r="V1324" s="87">
        <v>0</v>
      </c>
      <c r="W1324">
        <v>1</v>
      </c>
      <c r="X1324" s="8">
        <v>1</v>
      </c>
      <c r="Y1324" s="8">
        <v>0</v>
      </c>
      <c r="Z1324" s="33">
        <v>0</v>
      </c>
      <c r="AA1324">
        <v>5</v>
      </c>
      <c r="AB1324" s="34">
        <v>3040</v>
      </c>
      <c r="AC1324" s="87">
        <v>430</v>
      </c>
      <c r="AD1324" s="62">
        <v>0</v>
      </c>
      <c r="AE1324" s="62">
        <v>0</v>
      </c>
      <c r="AF1324" s="62">
        <v>1</v>
      </c>
      <c r="AJ1324" s="63">
        <v>1010602</v>
      </c>
      <c r="AL1324" s="64">
        <v>1</v>
      </c>
      <c r="AN1324" s="93"/>
      <c r="AO1324" s="92"/>
      <c r="AS1324">
        <v>1</v>
      </c>
    </row>
    <row r="1325" spans="1:45">
      <c r="A1325">
        <v>1010602</v>
      </c>
      <c r="B1325" s="8">
        <v>1001</v>
      </c>
      <c r="C1325" s="8">
        <v>5</v>
      </c>
      <c r="D1325" s="8">
        <v>1003</v>
      </c>
      <c r="E1325" s="13" t="s">
        <v>3511</v>
      </c>
      <c r="F1325" s="13" t="s">
        <v>3509</v>
      </c>
      <c r="G1325" t="s">
        <v>3394</v>
      </c>
      <c r="H1325" t="s">
        <v>3510</v>
      </c>
      <c r="I1325">
        <v>1</v>
      </c>
      <c r="J1325">
        <v>1</v>
      </c>
      <c r="K1325" s="33">
        <v>4</v>
      </c>
      <c r="L1325" s="8">
        <v>99</v>
      </c>
      <c r="M1325" s="8">
        <v>0</v>
      </c>
      <c r="N1325" s="8"/>
      <c r="Q1325" t="s">
        <v>260</v>
      </c>
      <c r="S1325" s="89">
        <v>1</v>
      </c>
      <c r="T1325" s="8">
        <v>5</v>
      </c>
      <c r="U1325" s="89">
        <v>80</v>
      </c>
      <c r="V1325" s="87">
        <v>0</v>
      </c>
      <c r="W1325">
        <v>1</v>
      </c>
      <c r="X1325" s="8">
        <v>1</v>
      </c>
      <c r="Y1325" s="8">
        <v>0</v>
      </c>
      <c r="Z1325" s="33">
        <v>0</v>
      </c>
      <c r="AA1325">
        <v>5</v>
      </c>
      <c r="AB1325" s="34">
        <v>3040</v>
      </c>
      <c r="AC1325" s="87">
        <v>429</v>
      </c>
      <c r="AD1325" s="62">
        <v>0</v>
      </c>
      <c r="AE1325" s="62">
        <v>0</v>
      </c>
      <c r="AF1325" s="62">
        <v>1</v>
      </c>
      <c r="AJ1325" s="63">
        <v>1010603</v>
      </c>
      <c r="AL1325" s="64">
        <v>1</v>
      </c>
      <c r="AN1325" s="93"/>
      <c r="AO1325" s="92"/>
      <c r="AS1325">
        <v>1</v>
      </c>
    </row>
    <row r="1326" spans="1:45">
      <c r="A1326">
        <v>1010603</v>
      </c>
      <c r="B1326" s="8">
        <v>1001</v>
      </c>
      <c r="C1326" s="8">
        <v>5</v>
      </c>
      <c r="D1326" s="8">
        <v>1003</v>
      </c>
      <c r="E1326" s="13" t="s">
        <v>3512</v>
      </c>
      <c r="F1326" s="13" t="s">
        <v>3509</v>
      </c>
      <c r="G1326" t="s">
        <v>3394</v>
      </c>
      <c r="H1326" t="s">
        <v>3510</v>
      </c>
      <c r="I1326">
        <v>1</v>
      </c>
      <c r="J1326">
        <v>2</v>
      </c>
      <c r="K1326" s="33">
        <v>4</v>
      </c>
      <c r="L1326" s="8">
        <v>99</v>
      </c>
      <c r="M1326" s="8">
        <v>0</v>
      </c>
      <c r="N1326" s="8"/>
      <c r="Q1326" t="s">
        <v>260</v>
      </c>
      <c r="S1326" s="89">
        <v>1</v>
      </c>
      <c r="T1326" s="8">
        <v>5</v>
      </c>
      <c r="U1326" s="89">
        <v>110</v>
      </c>
      <c r="V1326" s="87">
        <v>0</v>
      </c>
      <c r="W1326">
        <v>1</v>
      </c>
      <c r="X1326" s="8">
        <v>1</v>
      </c>
      <c r="Y1326" s="8">
        <v>0</v>
      </c>
      <c r="Z1326" s="33">
        <v>0</v>
      </c>
      <c r="AA1326">
        <v>5</v>
      </c>
      <c r="AB1326" s="34">
        <v>4180</v>
      </c>
      <c r="AC1326" s="87">
        <v>428</v>
      </c>
      <c r="AD1326" s="62">
        <v>0</v>
      </c>
      <c r="AE1326" s="62">
        <v>0</v>
      </c>
      <c r="AF1326" s="62">
        <v>1</v>
      </c>
      <c r="AJ1326" s="63">
        <v>1010604</v>
      </c>
      <c r="AL1326" s="64">
        <v>1</v>
      </c>
      <c r="AN1326" s="93"/>
      <c r="AO1326" s="92"/>
      <c r="AS1326">
        <v>1</v>
      </c>
    </row>
    <row r="1327" spans="1:45">
      <c r="A1327">
        <v>1010604</v>
      </c>
      <c r="B1327" s="8">
        <v>1001</v>
      </c>
      <c r="C1327" s="8">
        <v>5</v>
      </c>
      <c r="D1327" s="8">
        <v>1003</v>
      </c>
      <c r="E1327" s="13" t="s">
        <v>3513</v>
      </c>
      <c r="F1327" s="13" t="s">
        <v>3509</v>
      </c>
      <c r="G1327" t="s">
        <v>3394</v>
      </c>
      <c r="H1327" t="s">
        <v>3510</v>
      </c>
      <c r="I1327">
        <v>1</v>
      </c>
      <c r="J1327">
        <v>2</v>
      </c>
      <c r="K1327" s="33">
        <v>4</v>
      </c>
      <c r="L1327" s="8">
        <v>99</v>
      </c>
      <c r="M1327" s="8">
        <v>0</v>
      </c>
      <c r="N1327" s="8"/>
      <c r="Q1327" t="s">
        <v>260</v>
      </c>
      <c r="S1327" s="89">
        <v>1</v>
      </c>
      <c r="T1327" s="8">
        <v>5</v>
      </c>
      <c r="U1327" s="89">
        <v>110</v>
      </c>
      <c r="V1327" s="87">
        <v>0</v>
      </c>
      <c r="W1327">
        <v>1</v>
      </c>
      <c r="X1327" s="8">
        <v>1</v>
      </c>
      <c r="Y1327" s="8">
        <v>0</v>
      </c>
      <c r="Z1327" s="33">
        <v>0</v>
      </c>
      <c r="AA1327">
        <v>5</v>
      </c>
      <c r="AB1327" s="34">
        <v>4180</v>
      </c>
      <c r="AC1327" s="87">
        <v>427</v>
      </c>
      <c r="AD1327" s="62">
        <v>0</v>
      </c>
      <c r="AE1327" s="62">
        <v>0</v>
      </c>
      <c r="AF1327" s="62">
        <v>1</v>
      </c>
      <c r="AJ1327" s="63">
        <v>1010605</v>
      </c>
      <c r="AL1327" s="64">
        <v>1</v>
      </c>
      <c r="AN1327" s="93"/>
      <c r="AO1327" s="92"/>
      <c r="AS1327">
        <v>1</v>
      </c>
    </row>
    <row r="1328" spans="1:45">
      <c r="A1328">
        <v>1010605</v>
      </c>
      <c r="B1328" s="8">
        <v>1001</v>
      </c>
      <c r="C1328" s="8">
        <v>5</v>
      </c>
      <c r="D1328" s="8">
        <v>1003</v>
      </c>
      <c r="E1328" s="13" t="s">
        <v>3514</v>
      </c>
      <c r="F1328" s="13" t="s">
        <v>3509</v>
      </c>
      <c r="G1328" t="s">
        <v>3515</v>
      </c>
      <c r="H1328" t="s">
        <v>3510</v>
      </c>
      <c r="I1328">
        <v>1</v>
      </c>
      <c r="J1328">
        <v>3</v>
      </c>
      <c r="K1328" s="33">
        <v>4</v>
      </c>
      <c r="L1328" s="8">
        <v>99</v>
      </c>
      <c r="M1328" s="8">
        <v>0</v>
      </c>
      <c r="N1328" s="8"/>
      <c r="Q1328" t="s">
        <v>260</v>
      </c>
      <c r="S1328" s="89">
        <v>1</v>
      </c>
      <c r="T1328" s="8">
        <v>5</v>
      </c>
      <c r="U1328" s="89">
        <v>140</v>
      </c>
      <c r="V1328" s="87">
        <v>0</v>
      </c>
      <c r="W1328">
        <v>1</v>
      </c>
      <c r="X1328" s="8">
        <v>1</v>
      </c>
      <c r="Y1328" s="8">
        <v>0</v>
      </c>
      <c r="Z1328" s="33">
        <v>0</v>
      </c>
      <c r="AA1328">
        <v>5</v>
      </c>
      <c r="AB1328" s="34">
        <v>5320</v>
      </c>
      <c r="AC1328" s="87">
        <v>426</v>
      </c>
      <c r="AD1328" s="62">
        <v>0</v>
      </c>
      <c r="AE1328" s="62">
        <v>0</v>
      </c>
      <c r="AF1328" s="62">
        <v>1</v>
      </c>
      <c r="AJ1328" s="63">
        <v>1010606</v>
      </c>
      <c r="AL1328" s="64">
        <v>1</v>
      </c>
      <c r="AN1328" s="93"/>
      <c r="AO1328" s="92"/>
      <c r="AS1328">
        <v>1</v>
      </c>
    </row>
    <row r="1329" spans="1:45">
      <c r="A1329">
        <v>1010606</v>
      </c>
      <c r="B1329" s="8">
        <v>1001</v>
      </c>
      <c r="C1329" s="8">
        <v>5</v>
      </c>
      <c r="D1329" s="8">
        <v>1003</v>
      </c>
      <c r="E1329" s="13" t="s">
        <v>3516</v>
      </c>
      <c r="F1329" s="13" t="s">
        <v>3509</v>
      </c>
      <c r="G1329" t="s">
        <v>3517</v>
      </c>
      <c r="H1329" t="s">
        <v>3510</v>
      </c>
      <c r="I1329">
        <v>1</v>
      </c>
      <c r="J1329">
        <v>3</v>
      </c>
      <c r="K1329" s="33">
        <v>4</v>
      </c>
      <c r="L1329" s="8">
        <v>99</v>
      </c>
      <c r="M1329" s="8">
        <v>0</v>
      </c>
      <c r="N1329" s="8"/>
      <c r="Q1329" t="s">
        <v>260</v>
      </c>
      <c r="S1329" s="89">
        <v>1</v>
      </c>
      <c r="T1329" s="8">
        <v>5</v>
      </c>
      <c r="U1329" s="89">
        <v>140</v>
      </c>
      <c r="V1329" s="87">
        <v>0</v>
      </c>
      <c r="W1329">
        <v>1</v>
      </c>
      <c r="X1329" s="8">
        <v>1</v>
      </c>
      <c r="Y1329" s="8">
        <v>0</v>
      </c>
      <c r="Z1329" s="33">
        <v>0</v>
      </c>
      <c r="AA1329">
        <v>5</v>
      </c>
      <c r="AB1329" s="34">
        <v>5320</v>
      </c>
      <c r="AC1329" s="87">
        <v>425</v>
      </c>
      <c r="AD1329" s="62">
        <v>0</v>
      </c>
      <c r="AE1329" s="62">
        <v>0</v>
      </c>
      <c r="AF1329" s="62">
        <v>1</v>
      </c>
      <c r="AJ1329" s="63">
        <v>1010607</v>
      </c>
      <c r="AL1329" s="64">
        <v>1</v>
      </c>
      <c r="AN1329" s="93"/>
      <c r="AO1329" s="92"/>
      <c r="AS1329">
        <v>1</v>
      </c>
    </row>
    <row r="1330" spans="1:45">
      <c r="A1330">
        <v>1010607</v>
      </c>
      <c r="B1330" s="8">
        <v>1001</v>
      </c>
      <c r="C1330" s="8">
        <v>5</v>
      </c>
      <c r="D1330" s="8">
        <v>1003</v>
      </c>
      <c r="E1330" s="13" t="s">
        <v>3518</v>
      </c>
      <c r="F1330" s="13" t="s">
        <v>3509</v>
      </c>
      <c r="G1330" t="s">
        <v>3519</v>
      </c>
      <c r="H1330" t="s">
        <v>3520</v>
      </c>
      <c r="I1330">
        <v>1</v>
      </c>
      <c r="J1330">
        <v>4</v>
      </c>
      <c r="K1330" s="33">
        <v>4</v>
      </c>
      <c r="L1330" s="8">
        <v>99</v>
      </c>
      <c r="M1330" s="8">
        <v>0</v>
      </c>
      <c r="N1330" s="8"/>
      <c r="S1330" s="89">
        <v>1</v>
      </c>
      <c r="T1330" s="8">
        <v>5</v>
      </c>
      <c r="U1330" s="89">
        <v>170</v>
      </c>
      <c r="V1330" s="87">
        <v>0</v>
      </c>
      <c r="W1330">
        <v>1</v>
      </c>
      <c r="X1330" s="8">
        <v>1</v>
      </c>
      <c r="Y1330" s="8">
        <v>0</v>
      </c>
      <c r="Z1330" s="33">
        <v>0</v>
      </c>
      <c r="AA1330">
        <v>5</v>
      </c>
      <c r="AB1330" s="34">
        <v>6460</v>
      </c>
      <c r="AC1330" s="87">
        <v>424</v>
      </c>
      <c r="AD1330" s="62">
        <v>0</v>
      </c>
      <c r="AE1330" s="62">
        <v>0</v>
      </c>
      <c r="AF1330" s="62">
        <v>1</v>
      </c>
      <c r="AJ1330" s="63">
        <v>1010608</v>
      </c>
      <c r="AL1330" s="64">
        <v>1</v>
      </c>
      <c r="AN1330" s="93"/>
      <c r="AO1330" s="92"/>
      <c r="AS1330">
        <v>1</v>
      </c>
    </row>
    <row r="1331" spans="1:45">
      <c r="A1331">
        <v>1010608</v>
      </c>
      <c r="B1331" s="8">
        <v>1001</v>
      </c>
      <c r="C1331" s="8">
        <v>5</v>
      </c>
      <c r="D1331" s="8">
        <v>1003</v>
      </c>
      <c r="E1331" s="13" t="s">
        <v>3521</v>
      </c>
      <c r="F1331" s="13" t="s">
        <v>3509</v>
      </c>
      <c r="G1331" t="s">
        <v>3522</v>
      </c>
      <c r="H1331" t="s">
        <v>3520</v>
      </c>
      <c r="I1331">
        <v>1</v>
      </c>
      <c r="J1331">
        <v>4</v>
      </c>
      <c r="K1331" s="33">
        <v>4</v>
      </c>
      <c r="L1331" s="8">
        <v>99</v>
      </c>
      <c r="M1331" s="8">
        <v>0</v>
      </c>
      <c r="N1331" s="8"/>
      <c r="S1331" s="89">
        <v>1</v>
      </c>
      <c r="T1331" s="8">
        <v>5</v>
      </c>
      <c r="U1331" s="89">
        <v>170</v>
      </c>
      <c r="V1331" s="87">
        <v>0</v>
      </c>
      <c r="W1331">
        <v>1</v>
      </c>
      <c r="X1331" s="8">
        <v>1</v>
      </c>
      <c r="Y1331" s="8">
        <v>0</v>
      </c>
      <c r="Z1331" s="33">
        <v>0</v>
      </c>
      <c r="AA1331">
        <v>5</v>
      </c>
      <c r="AB1331" s="34">
        <v>6460</v>
      </c>
      <c r="AC1331" s="87">
        <v>423</v>
      </c>
      <c r="AD1331" s="62">
        <v>0</v>
      </c>
      <c r="AE1331" s="62">
        <v>0</v>
      </c>
      <c r="AF1331" s="62">
        <v>1</v>
      </c>
      <c r="AJ1331" s="63">
        <v>1010609</v>
      </c>
      <c r="AL1331" s="64">
        <v>1</v>
      </c>
      <c r="AN1331" s="93"/>
      <c r="AO1331" s="92"/>
      <c r="AS1331">
        <v>1</v>
      </c>
    </row>
    <row r="1332" spans="1:45">
      <c r="A1332">
        <v>1010609</v>
      </c>
      <c r="B1332" s="8">
        <v>1001</v>
      </c>
      <c r="C1332" s="8">
        <v>5</v>
      </c>
      <c r="D1332" s="8">
        <v>1003</v>
      </c>
      <c r="E1332" s="13" t="s">
        <v>3523</v>
      </c>
      <c r="F1332" s="13" t="s">
        <v>3509</v>
      </c>
      <c r="G1332" t="s">
        <v>3524</v>
      </c>
      <c r="H1332" t="s">
        <v>3520</v>
      </c>
      <c r="I1332">
        <v>1</v>
      </c>
      <c r="J1332">
        <v>5</v>
      </c>
      <c r="K1332" s="33">
        <v>4</v>
      </c>
      <c r="L1332" s="8">
        <v>99</v>
      </c>
      <c r="M1332" s="8">
        <v>0</v>
      </c>
      <c r="N1332" s="8"/>
      <c r="S1332" s="89">
        <v>1</v>
      </c>
      <c r="T1332" s="8">
        <v>5</v>
      </c>
      <c r="U1332" s="89">
        <v>200</v>
      </c>
      <c r="V1332" s="87">
        <v>0</v>
      </c>
      <c r="W1332">
        <v>1</v>
      </c>
      <c r="X1332" s="8">
        <v>1</v>
      </c>
      <c r="Y1332" s="8">
        <v>0</v>
      </c>
      <c r="Z1332" s="33">
        <v>0</v>
      </c>
      <c r="AA1332">
        <v>5</v>
      </c>
      <c r="AB1332" s="34">
        <v>7600</v>
      </c>
      <c r="AC1332" s="87">
        <v>422</v>
      </c>
      <c r="AD1332" s="62">
        <v>0</v>
      </c>
      <c r="AE1332" s="62">
        <v>0</v>
      </c>
      <c r="AF1332" s="62">
        <v>1</v>
      </c>
      <c r="AJ1332" s="63">
        <v>1010610</v>
      </c>
      <c r="AL1332" s="64">
        <v>1</v>
      </c>
      <c r="AN1332" s="93"/>
      <c r="AO1332" s="92"/>
      <c r="AS1332">
        <v>1</v>
      </c>
    </row>
    <row r="1333" s="3" customFormat="1" spans="1:45">
      <c r="A1333">
        <v>1010610</v>
      </c>
      <c r="B1333" s="236">
        <v>1001</v>
      </c>
      <c r="C1333" s="236">
        <v>5</v>
      </c>
      <c r="D1333" s="236">
        <v>1003</v>
      </c>
      <c r="E1333" s="253" t="s">
        <v>3525</v>
      </c>
      <c r="F1333" s="253" t="s">
        <v>3509</v>
      </c>
      <c r="G1333" t="s">
        <v>3526</v>
      </c>
      <c r="H1333" t="s">
        <v>3527</v>
      </c>
      <c r="I1333">
        <v>1</v>
      </c>
      <c r="J1333">
        <v>5</v>
      </c>
      <c r="K1333" s="33">
        <v>4</v>
      </c>
      <c r="L1333" s="236">
        <v>99</v>
      </c>
      <c r="M1333" s="236">
        <v>0</v>
      </c>
      <c r="N1333" s="236"/>
      <c r="O1333" s="231"/>
      <c r="S1333" s="336">
        <v>1</v>
      </c>
      <c r="T1333" s="236">
        <v>5</v>
      </c>
      <c r="U1333" s="336">
        <v>200</v>
      </c>
      <c r="V1333" s="248">
        <v>0</v>
      </c>
      <c r="W1333">
        <v>1</v>
      </c>
      <c r="X1333" s="236">
        <v>1</v>
      </c>
      <c r="Y1333" s="236">
        <v>0</v>
      </c>
      <c r="Z1333" s="33">
        <v>0</v>
      </c>
      <c r="AA1333">
        <v>5</v>
      </c>
      <c r="AB1333" s="34">
        <v>7600</v>
      </c>
      <c r="AC1333" s="248">
        <v>421</v>
      </c>
      <c r="AD1333" s="62">
        <v>0</v>
      </c>
      <c r="AE1333" s="62">
        <v>0</v>
      </c>
      <c r="AF1333" s="62">
        <v>1</v>
      </c>
      <c r="AG1333" s="337"/>
      <c r="AH1333" s="337"/>
      <c r="AJ1333" s="63">
        <v>1010611</v>
      </c>
      <c r="AK1333" s="337"/>
      <c r="AL1333" s="64">
        <v>1</v>
      </c>
      <c r="AM1333" s="234"/>
      <c r="AN1333" s="338"/>
      <c r="AO1333" s="252"/>
      <c r="AP1333" s="234"/>
      <c r="AS1333">
        <v>1</v>
      </c>
    </row>
    <row r="1334" spans="1:45">
      <c r="A1334" s="3">
        <v>1010611</v>
      </c>
      <c r="B1334" s="339">
        <v>1001</v>
      </c>
      <c r="C1334" s="339">
        <v>5</v>
      </c>
      <c r="D1334" s="339">
        <v>1003</v>
      </c>
      <c r="E1334" s="3" t="s">
        <v>3528</v>
      </c>
      <c r="F1334" s="339" t="s">
        <v>3509</v>
      </c>
      <c r="G1334" s="3" t="s">
        <v>3529</v>
      </c>
      <c r="H1334" s="3" t="s">
        <v>3530</v>
      </c>
      <c r="I1334" s="3">
        <v>1</v>
      </c>
      <c r="J1334" s="3">
        <v>5</v>
      </c>
      <c r="K1334" s="3">
        <v>1</v>
      </c>
      <c r="L1334" s="339">
        <v>99</v>
      </c>
      <c r="M1334" s="339">
        <v>0</v>
      </c>
      <c r="N1334" s="8"/>
      <c r="O1334" s="231"/>
      <c r="Q1334"/>
      <c r="S1334" s="339">
        <v>1</v>
      </c>
      <c r="T1334" s="339">
        <v>5</v>
      </c>
      <c r="U1334" s="339">
        <v>200</v>
      </c>
      <c r="V1334" s="339">
        <v>0</v>
      </c>
      <c r="W1334" s="3">
        <v>1</v>
      </c>
      <c r="X1334" s="339">
        <v>1</v>
      </c>
      <c r="Y1334" s="339">
        <v>0</v>
      </c>
      <c r="Z1334" s="3">
        <v>0</v>
      </c>
      <c r="AA1334" s="3">
        <v>5</v>
      </c>
      <c r="AB1334" s="3">
        <v>7600</v>
      </c>
      <c r="AC1334" s="339">
        <v>421</v>
      </c>
      <c r="AD1334" s="3">
        <v>0</v>
      </c>
      <c r="AE1334" s="3">
        <v>0</v>
      </c>
      <c r="AF1334" s="3">
        <v>1</v>
      </c>
      <c r="AG1334" s="337"/>
      <c r="AH1334" s="337"/>
      <c r="AI1334" s="64"/>
      <c r="AJ1334" s="337"/>
      <c r="AK1334" s="337"/>
      <c r="AL1334" s="3">
        <v>1</v>
      </c>
      <c r="AM1334" s="234"/>
      <c r="AN1334" s="93"/>
      <c r="AO1334" s="92"/>
      <c r="AP1334" s="234"/>
      <c r="AQ1334"/>
      <c r="AS1334" s="3">
        <v>1</v>
      </c>
    </row>
    <row r="1335" spans="1:45">
      <c r="A1335">
        <v>1100101</v>
      </c>
      <c r="B1335" s="8">
        <v>1001</v>
      </c>
      <c r="C1335" s="8">
        <v>5</v>
      </c>
      <c r="D1335" s="8">
        <v>1003</v>
      </c>
      <c r="E1335" t="s">
        <v>3531</v>
      </c>
      <c r="F1335" s="13" t="s">
        <v>3532</v>
      </c>
      <c r="G1335" t="s">
        <v>3533</v>
      </c>
      <c r="H1335" t="s">
        <v>3534</v>
      </c>
      <c r="I1335">
        <v>1</v>
      </c>
      <c r="J1335">
        <v>1</v>
      </c>
      <c r="K1335" s="33">
        <v>4</v>
      </c>
      <c r="L1335" s="8">
        <v>99</v>
      </c>
      <c r="M1335" s="8">
        <v>0</v>
      </c>
      <c r="N1335" s="8"/>
      <c r="Q1335" t="s">
        <v>260</v>
      </c>
      <c r="S1335" s="89">
        <v>1</v>
      </c>
      <c r="T1335" s="8">
        <v>5</v>
      </c>
      <c r="U1335" s="89">
        <v>80</v>
      </c>
      <c r="V1335" s="87">
        <v>0</v>
      </c>
      <c r="W1335">
        <v>1</v>
      </c>
      <c r="X1335" s="8">
        <v>1</v>
      </c>
      <c r="Y1335" s="8">
        <v>0</v>
      </c>
      <c r="Z1335" s="33">
        <v>2</v>
      </c>
      <c r="AA1335">
        <v>5</v>
      </c>
      <c r="AB1335" s="34">
        <v>3040</v>
      </c>
      <c r="AC1335" s="87">
        <v>140</v>
      </c>
      <c r="AD1335" s="62">
        <v>0</v>
      </c>
      <c r="AE1335" s="62">
        <v>0</v>
      </c>
      <c r="AF1335" s="62">
        <v>1</v>
      </c>
      <c r="AI1335" s="64"/>
      <c r="AJ1335" s="63">
        <v>1100102</v>
      </c>
      <c r="AL1335" s="64">
        <v>1</v>
      </c>
      <c r="AM1335" s="4"/>
      <c r="AN1335" s="93" t="s">
        <v>3535</v>
      </c>
      <c r="AO1335" s="92"/>
      <c r="AQ1335" t="s">
        <v>3531</v>
      </c>
      <c r="AS1335">
        <v>1</v>
      </c>
    </row>
    <row r="1336" spans="1:45">
      <c r="A1336">
        <v>1100102</v>
      </c>
      <c r="B1336" s="8">
        <v>1001</v>
      </c>
      <c r="C1336" s="8">
        <v>5</v>
      </c>
      <c r="D1336" s="8">
        <v>1003</v>
      </c>
      <c r="E1336" t="s">
        <v>3536</v>
      </c>
      <c r="F1336" s="13" t="s">
        <v>3532</v>
      </c>
      <c r="G1336" t="s">
        <v>3537</v>
      </c>
      <c r="H1336" t="s">
        <v>3534</v>
      </c>
      <c r="I1336">
        <v>1</v>
      </c>
      <c r="J1336">
        <v>1</v>
      </c>
      <c r="K1336" s="33">
        <v>4</v>
      </c>
      <c r="L1336" s="8">
        <v>99</v>
      </c>
      <c r="M1336" s="8">
        <v>0</v>
      </c>
      <c r="N1336" s="8"/>
      <c r="Q1336" t="s">
        <v>260</v>
      </c>
      <c r="S1336" s="89">
        <v>1</v>
      </c>
      <c r="T1336" s="8">
        <v>5</v>
      </c>
      <c r="U1336" s="89">
        <v>80</v>
      </c>
      <c r="V1336" s="87">
        <v>0</v>
      </c>
      <c r="W1336">
        <v>1</v>
      </c>
      <c r="X1336" s="8">
        <v>1</v>
      </c>
      <c r="Y1336" s="8">
        <v>0</v>
      </c>
      <c r="Z1336" s="33">
        <v>2</v>
      </c>
      <c r="AA1336">
        <v>5</v>
      </c>
      <c r="AB1336" s="34">
        <v>3040</v>
      </c>
      <c r="AC1336" s="87">
        <v>139</v>
      </c>
      <c r="AD1336" s="62">
        <v>0</v>
      </c>
      <c r="AE1336" s="62">
        <v>0</v>
      </c>
      <c r="AF1336" s="62">
        <v>1</v>
      </c>
      <c r="AI1336" s="64"/>
      <c r="AJ1336" s="63">
        <v>1100103</v>
      </c>
      <c r="AL1336" s="64">
        <v>1</v>
      </c>
      <c r="AM1336" s="4"/>
      <c r="AN1336" s="93"/>
      <c r="AO1336" s="92"/>
      <c r="AQ1336" t="s">
        <v>3536</v>
      </c>
      <c r="AS1336">
        <v>1</v>
      </c>
    </row>
    <row r="1337" spans="1:45">
      <c r="A1337">
        <v>1100103</v>
      </c>
      <c r="B1337" s="8">
        <v>1001</v>
      </c>
      <c r="C1337" s="8">
        <v>5</v>
      </c>
      <c r="D1337" s="8">
        <v>1003</v>
      </c>
      <c r="E1337" t="s">
        <v>3538</v>
      </c>
      <c r="F1337" s="13" t="s">
        <v>3532</v>
      </c>
      <c r="G1337" t="s">
        <v>3539</v>
      </c>
      <c r="H1337" t="s">
        <v>3534</v>
      </c>
      <c r="I1337">
        <v>1</v>
      </c>
      <c r="J1337">
        <v>2</v>
      </c>
      <c r="K1337" s="33">
        <v>4</v>
      </c>
      <c r="L1337" s="8">
        <v>99</v>
      </c>
      <c r="M1337" s="8">
        <v>0</v>
      </c>
      <c r="N1337" s="8"/>
      <c r="Q1337" t="s">
        <v>260</v>
      </c>
      <c r="S1337" s="89">
        <v>1</v>
      </c>
      <c r="T1337" s="8">
        <v>5</v>
      </c>
      <c r="U1337" s="89">
        <v>110</v>
      </c>
      <c r="V1337" s="87">
        <v>0</v>
      </c>
      <c r="W1337">
        <v>1</v>
      </c>
      <c r="X1337" s="8">
        <v>1</v>
      </c>
      <c r="Y1337" s="8">
        <v>0</v>
      </c>
      <c r="Z1337" s="33">
        <v>2</v>
      </c>
      <c r="AA1337">
        <v>5</v>
      </c>
      <c r="AB1337" s="34">
        <v>4180</v>
      </c>
      <c r="AC1337" s="87">
        <v>138</v>
      </c>
      <c r="AD1337" s="62">
        <v>0</v>
      </c>
      <c r="AE1337" s="62">
        <v>0</v>
      </c>
      <c r="AF1337" s="62">
        <v>1</v>
      </c>
      <c r="AI1337" s="64"/>
      <c r="AJ1337" s="63">
        <v>1100104</v>
      </c>
      <c r="AL1337" s="64">
        <v>1</v>
      </c>
      <c r="AM1337" s="4"/>
      <c r="AN1337" s="93"/>
      <c r="AO1337" s="92"/>
      <c r="AQ1337" t="s">
        <v>3538</v>
      </c>
      <c r="AS1337">
        <v>1</v>
      </c>
    </row>
    <row r="1338" spans="1:45">
      <c r="A1338">
        <v>1100104</v>
      </c>
      <c r="B1338" s="8">
        <v>1001</v>
      </c>
      <c r="C1338" s="8">
        <v>5</v>
      </c>
      <c r="D1338" s="8">
        <v>1003</v>
      </c>
      <c r="E1338" t="s">
        <v>3540</v>
      </c>
      <c r="F1338" s="13" t="s">
        <v>3532</v>
      </c>
      <c r="G1338" t="s">
        <v>3541</v>
      </c>
      <c r="H1338" t="s">
        <v>3542</v>
      </c>
      <c r="I1338">
        <v>1</v>
      </c>
      <c r="J1338">
        <v>2</v>
      </c>
      <c r="K1338" s="33">
        <v>4</v>
      </c>
      <c r="L1338" s="8">
        <v>99</v>
      </c>
      <c r="M1338" s="8">
        <v>0</v>
      </c>
      <c r="N1338" s="8"/>
      <c r="Q1338" t="s">
        <v>260</v>
      </c>
      <c r="S1338" s="89">
        <v>1</v>
      </c>
      <c r="T1338" s="8">
        <v>5</v>
      </c>
      <c r="U1338" s="89">
        <v>110</v>
      </c>
      <c r="V1338" s="87">
        <v>0</v>
      </c>
      <c r="W1338">
        <v>1</v>
      </c>
      <c r="X1338" s="8">
        <v>1</v>
      </c>
      <c r="Y1338" s="8">
        <v>0</v>
      </c>
      <c r="Z1338" s="33">
        <v>2</v>
      </c>
      <c r="AA1338">
        <v>5</v>
      </c>
      <c r="AB1338" s="34">
        <v>4180</v>
      </c>
      <c r="AC1338" s="87">
        <v>137</v>
      </c>
      <c r="AD1338" s="62">
        <v>0</v>
      </c>
      <c r="AE1338" s="62">
        <v>0</v>
      </c>
      <c r="AF1338" s="62">
        <v>1</v>
      </c>
      <c r="AI1338" s="64"/>
      <c r="AJ1338" s="63">
        <v>1100105</v>
      </c>
      <c r="AL1338" s="64">
        <v>1</v>
      </c>
      <c r="AM1338" s="4"/>
      <c r="AN1338" s="93"/>
      <c r="AO1338" s="92"/>
      <c r="AQ1338" t="s">
        <v>3540</v>
      </c>
      <c r="AS1338">
        <v>1</v>
      </c>
    </row>
    <row r="1339" spans="1:45">
      <c r="A1339">
        <v>1100105</v>
      </c>
      <c r="B1339" s="8">
        <v>1001</v>
      </c>
      <c r="C1339" s="8">
        <v>5</v>
      </c>
      <c r="D1339" s="8">
        <v>1003</v>
      </c>
      <c r="E1339" t="s">
        <v>3543</v>
      </c>
      <c r="F1339" s="13" t="s">
        <v>3532</v>
      </c>
      <c r="G1339" t="s">
        <v>3544</v>
      </c>
      <c r="H1339" t="s">
        <v>3542</v>
      </c>
      <c r="I1339">
        <v>1</v>
      </c>
      <c r="J1339">
        <v>3</v>
      </c>
      <c r="K1339" s="33">
        <v>4</v>
      </c>
      <c r="L1339" s="8">
        <v>99</v>
      </c>
      <c r="M1339" s="8">
        <v>0</v>
      </c>
      <c r="N1339" s="8"/>
      <c r="Q1339" t="s">
        <v>260</v>
      </c>
      <c r="S1339" s="89">
        <v>1</v>
      </c>
      <c r="T1339" s="8">
        <v>5</v>
      </c>
      <c r="U1339" s="89">
        <v>140</v>
      </c>
      <c r="V1339" s="87">
        <v>0</v>
      </c>
      <c r="W1339">
        <v>1</v>
      </c>
      <c r="X1339" s="8">
        <v>1</v>
      </c>
      <c r="Y1339" s="8">
        <v>0</v>
      </c>
      <c r="Z1339" s="33">
        <v>2</v>
      </c>
      <c r="AA1339">
        <v>5</v>
      </c>
      <c r="AB1339" s="34">
        <v>5320</v>
      </c>
      <c r="AC1339" s="87">
        <v>136</v>
      </c>
      <c r="AD1339" s="62">
        <v>0</v>
      </c>
      <c r="AE1339" s="62">
        <v>0</v>
      </c>
      <c r="AF1339" s="62">
        <v>1</v>
      </c>
      <c r="AI1339" s="64"/>
      <c r="AJ1339" s="63">
        <v>1100106</v>
      </c>
      <c r="AL1339" s="64">
        <v>1</v>
      </c>
      <c r="AM1339" s="4"/>
      <c r="AN1339" s="93"/>
      <c r="AO1339" s="92"/>
      <c r="AQ1339" t="s">
        <v>3543</v>
      </c>
      <c r="AS1339">
        <v>1</v>
      </c>
    </row>
    <row r="1340" spans="1:45">
      <c r="A1340">
        <v>1100106</v>
      </c>
      <c r="B1340" s="8">
        <v>1001</v>
      </c>
      <c r="C1340" s="8">
        <v>5</v>
      </c>
      <c r="D1340" s="8">
        <v>1003</v>
      </c>
      <c r="E1340" t="s">
        <v>3545</v>
      </c>
      <c r="F1340" s="13" t="s">
        <v>3532</v>
      </c>
      <c r="G1340" t="s">
        <v>3546</v>
      </c>
      <c r="H1340" t="s">
        <v>3542</v>
      </c>
      <c r="I1340">
        <v>1</v>
      </c>
      <c r="J1340">
        <v>3</v>
      </c>
      <c r="K1340" s="33">
        <v>4</v>
      </c>
      <c r="L1340" s="8">
        <v>99</v>
      </c>
      <c r="M1340" s="8">
        <v>0</v>
      </c>
      <c r="N1340" s="8"/>
      <c r="Q1340" t="s">
        <v>260</v>
      </c>
      <c r="S1340" s="89">
        <v>1</v>
      </c>
      <c r="T1340" s="8">
        <v>5</v>
      </c>
      <c r="U1340" s="89">
        <v>140</v>
      </c>
      <c r="V1340" s="87">
        <v>0</v>
      </c>
      <c r="W1340">
        <v>1</v>
      </c>
      <c r="X1340" s="8">
        <v>1</v>
      </c>
      <c r="Y1340" s="8">
        <v>0</v>
      </c>
      <c r="Z1340" s="33">
        <v>0</v>
      </c>
      <c r="AA1340">
        <v>5</v>
      </c>
      <c r="AB1340" s="34">
        <v>5320</v>
      </c>
      <c r="AC1340" s="87">
        <v>135</v>
      </c>
      <c r="AD1340" s="62">
        <v>0</v>
      </c>
      <c r="AE1340" s="62">
        <v>0</v>
      </c>
      <c r="AF1340" s="62">
        <v>1</v>
      </c>
      <c r="AI1340" s="64"/>
      <c r="AJ1340" s="63">
        <v>1100107</v>
      </c>
      <c r="AL1340" s="64">
        <v>1</v>
      </c>
      <c r="AM1340" s="4"/>
      <c r="AN1340" s="93"/>
      <c r="AO1340" s="92"/>
      <c r="AQ1340" t="s">
        <v>3545</v>
      </c>
      <c r="AS1340">
        <v>1</v>
      </c>
    </row>
    <row r="1341" spans="1:45">
      <c r="A1341">
        <v>1100107</v>
      </c>
      <c r="B1341" s="8">
        <v>1001</v>
      </c>
      <c r="C1341" s="8">
        <v>5</v>
      </c>
      <c r="D1341" s="8">
        <v>1003</v>
      </c>
      <c r="E1341" t="s">
        <v>3547</v>
      </c>
      <c r="F1341" s="13" t="s">
        <v>3532</v>
      </c>
      <c r="G1341" t="s">
        <v>3548</v>
      </c>
      <c r="H1341" t="s">
        <v>3549</v>
      </c>
      <c r="I1341">
        <v>1</v>
      </c>
      <c r="J1341">
        <v>4</v>
      </c>
      <c r="K1341" s="33">
        <v>4</v>
      </c>
      <c r="L1341" s="8">
        <v>99</v>
      </c>
      <c r="M1341" s="8">
        <v>0</v>
      </c>
      <c r="N1341" s="8"/>
      <c r="S1341" s="89">
        <v>1</v>
      </c>
      <c r="T1341" s="8">
        <v>5</v>
      </c>
      <c r="U1341" s="89">
        <v>170</v>
      </c>
      <c r="V1341" s="87">
        <v>0</v>
      </c>
      <c r="W1341">
        <v>1</v>
      </c>
      <c r="X1341" s="8">
        <v>1</v>
      </c>
      <c r="Y1341" s="8">
        <v>0</v>
      </c>
      <c r="Z1341" s="33">
        <v>0</v>
      </c>
      <c r="AA1341">
        <v>5</v>
      </c>
      <c r="AB1341" s="34">
        <v>6460</v>
      </c>
      <c r="AC1341" s="87">
        <v>134</v>
      </c>
      <c r="AD1341" s="62">
        <v>0</v>
      </c>
      <c r="AE1341" s="62">
        <v>0</v>
      </c>
      <c r="AF1341" s="62">
        <v>1</v>
      </c>
      <c r="AI1341" s="64"/>
      <c r="AJ1341" s="63">
        <v>1100108</v>
      </c>
      <c r="AL1341" s="64">
        <v>1</v>
      </c>
      <c r="AM1341" s="4"/>
      <c r="AN1341" s="93"/>
      <c r="AO1341" s="92"/>
      <c r="AQ1341" t="s">
        <v>3547</v>
      </c>
      <c r="AS1341">
        <v>1</v>
      </c>
    </row>
    <row r="1342" spans="1:45">
      <c r="A1342">
        <v>1100108</v>
      </c>
      <c r="B1342" s="8">
        <v>1001</v>
      </c>
      <c r="C1342" s="8">
        <v>5</v>
      </c>
      <c r="D1342" s="8">
        <v>1003</v>
      </c>
      <c r="E1342" t="s">
        <v>3550</v>
      </c>
      <c r="F1342" s="13" t="s">
        <v>3532</v>
      </c>
      <c r="G1342" t="s">
        <v>3551</v>
      </c>
      <c r="H1342" t="s">
        <v>3549</v>
      </c>
      <c r="I1342">
        <v>1</v>
      </c>
      <c r="J1342">
        <v>4</v>
      </c>
      <c r="K1342" s="33">
        <v>4</v>
      </c>
      <c r="L1342" s="8">
        <v>99</v>
      </c>
      <c r="M1342" s="8">
        <v>0</v>
      </c>
      <c r="N1342" s="8"/>
      <c r="S1342" s="89">
        <v>1</v>
      </c>
      <c r="T1342" s="8">
        <v>5</v>
      </c>
      <c r="U1342" s="89">
        <v>170</v>
      </c>
      <c r="V1342" s="87">
        <v>0</v>
      </c>
      <c r="W1342">
        <v>1</v>
      </c>
      <c r="X1342" s="8">
        <v>1</v>
      </c>
      <c r="Y1342" s="8">
        <v>0</v>
      </c>
      <c r="Z1342" s="33">
        <v>0</v>
      </c>
      <c r="AA1342">
        <v>5</v>
      </c>
      <c r="AB1342" s="34">
        <v>6460</v>
      </c>
      <c r="AC1342" s="87">
        <v>133</v>
      </c>
      <c r="AD1342" s="62">
        <v>0</v>
      </c>
      <c r="AE1342" s="62">
        <v>0</v>
      </c>
      <c r="AF1342" s="62">
        <v>1</v>
      </c>
      <c r="AI1342" s="64"/>
      <c r="AJ1342" s="63">
        <v>1100109</v>
      </c>
      <c r="AL1342" s="64">
        <v>1</v>
      </c>
      <c r="AM1342" s="4"/>
      <c r="AN1342" s="93"/>
      <c r="AO1342" s="92"/>
      <c r="AQ1342" t="s">
        <v>3550</v>
      </c>
      <c r="AS1342">
        <v>1</v>
      </c>
    </row>
    <row r="1343" spans="1:45">
      <c r="A1343">
        <v>1100109</v>
      </c>
      <c r="B1343" s="8">
        <v>1001</v>
      </c>
      <c r="C1343" s="8">
        <v>5</v>
      </c>
      <c r="D1343" s="8">
        <v>1003</v>
      </c>
      <c r="E1343" t="s">
        <v>3552</v>
      </c>
      <c r="F1343" s="13" t="s">
        <v>3532</v>
      </c>
      <c r="G1343" t="s">
        <v>3553</v>
      </c>
      <c r="H1343" t="s">
        <v>3549</v>
      </c>
      <c r="I1343">
        <v>1</v>
      </c>
      <c r="J1343">
        <v>5</v>
      </c>
      <c r="K1343" s="33">
        <v>4</v>
      </c>
      <c r="L1343" s="8">
        <v>99</v>
      </c>
      <c r="M1343" s="8">
        <v>0</v>
      </c>
      <c r="N1343" s="8"/>
      <c r="S1343" s="89">
        <v>1</v>
      </c>
      <c r="T1343" s="8">
        <v>5</v>
      </c>
      <c r="U1343" s="89">
        <v>200</v>
      </c>
      <c r="V1343" s="87">
        <v>0</v>
      </c>
      <c r="W1343">
        <v>1</v>
      </c>
      <c r="X1343" s="8">
        <v>1</v>
      </c>
      <c r="Y1343" s="8">
        <v>0</v>
      </c>
      <c r="Z1343" s="33">
        <v>0</v>
      </c>
      <c r="AA1343">
        <v>5</v>
      </c>
      <c r="AB1343" s="34">
        <v>7600</v>
      </c>
      <c r="AC1343" s="87">
        <v>132</v>
      </c>
      <c r="AD1343" s="62">
        <v>0</v>
      </c>
      <c r="AE1343" s="62">
        <v>0</v>
      </c>
      <c r="AF1343" s="62">
        <v>1</v>
      </c>
      <c r="AI1343" s="64"/>
      <c r="AJ1343" s="63">
        <v>1100110</v>
      </c>
      <c r="AL1343" s="64">
        <v>1</v>
      </c>
      <c r="AM1343" s="4"/>
      <c r="AN1343" s="93"/>
      <c r="AO1343" s="92"/>
      <c r="AQ1343" t="s">
        <v>3552</v>
      </c>
      <c r="AS1343">
        <v>1</v>
      </c>
    </row>
    <row r="1344" spans="1:45">
      <c r="A1344">
        <v>1100110</v>
      </c>
      <c r="B1344" s="8">
        <v>1001</v>
      </c>
      <c r="C1344" s="8">
        <v>5</v>
      </c>
      <c r="D1344" s="8">
        <v>1003</v>
      </c>
      <c r="E1344" t="s">
        <v>3554</v>
      </c>
      <c r="F1344" s="13" t="s">
        <v>3532</v>
      </c>
      <c r="G1344" t="s">
        <v>3555</v>
      </c>
      <c r="H1344" t="s">
        <v>3556</v>
      </c>
      <c r="I1344">
        <v>1</v>
      </c>
      <c r="J1344">
        <v>5</v>
      </c>
      <c r="K1344" s="33">
        <v>4</v>
      </c>
      <c r="L1344" s="8">
        <v>99</v>
      </c>
      <c r="M1344" s="8">
        <v>0</v>
      </c>
      <c r="N1344" s="8"/>
      <c r="S1344" s="89">
        <v>1</v>
      </c>
      <c r="T1344" s="8">
        <v>5</v>
      </c>
      <c r="U1344" s="89">
        <v>200</v>
      </c>
      <c r="V1344" s="87">
        <v>0</v>
      </c>
      <c r="W1344">
        <v>1</v>
      </c>
      <c r="X1344" s="8">
        <v>1</v>
      </c>
      <c r="Y1344" s="8">
        <v>0</v>
      </c>
      <c r="Z1344" s="33">
        <v>0</v>
      </c>
      <c r="AA1344">
        <v>5</v>
      </c>
      <c r="AB1344" s="34">
        <v>7600</v>
      </c>
      <c r="AC1344" s="87">
        <v>131</v>
      </c>
      <c r="AD1344" s="62">
        <v>0</v>
      </c>
      <c r="AE1344" s="62">
        <v>0</v>
      </c>
      <c r="AF1344" s="62">
        <v>1</v>
      </c>
      <c r="AI1344" s="64"/>
      <c r="AJ1344" s="63">
        <v>1100111</v>
      </c>
      <c r="AL1344" s="64">
        <v>1</v>
      </c>
      <c r="AM1344" s="4"/>
      <c r="AN1344" s="93"/>
      <c r="AO1344" s="92"/>
      <c r="AQ1344" t="s">
        <v>3554</v>
      </c>
      <c r="AS1344">
        <v>1</v>
      </c>
    </row>
    <row r="1345" spans="1:45">
      <c r="A1345">
        <v>1100111</v>
      </c>
      <c r="B1345" s="8">
        <v>1001</v>
      </c>
      <c r="C1345" s="8">
        <v>5</v>
      </c>
      <c r="D1345" s="8">
        <v>1003</v>
      </c>
      <c r="E1345" t="s">
        <v>3557</v>
      </c>
      <c r="F1345" s="13" t="s">
        <v>3532</v>
      </c>
      <c r="G1345" t="s">
        <v>3558</v>
      </c>
      <c r="H1345" t="s">
        <v>3559</v>
      </c>
      <c r="I1345">
        <v>1</v>
      </c>
      <c r="J1345">
        <v>5</v>
      </c>
      <c r="K1345" s="33">
        <v>4</v>
      </c>
      <c r="L1345" s="8">
        <v>99</v>
      </c>
      <c r="M1345" s="8">
        <v>0</v>
      </c>
      <c r="N1345" s="8"/>
      <c r="S1345" s="89">
        <v>1</v>
      </c>
      <c r="T1345" s="8">
        <v>5</v>
      </c>
      <c r="U1345" s="89">
        <v>200</v>
      </c>
      <c r="V1345" s="87">
        <v>0</v>
      </c>
      <c r="W1345">
        <v>1</v>
      </c>
      <c r="X1345" s="8">
        <v>1</v>
      </c>
      <c r="Y1345" s="8">
        <v>0</v>
      </c>
      <c r="Z1345" s="33">
        <v>0</v>
      </c>
      <c r="AA1345">
        <v>5</v>
      </c>
      <c r="AB1345" s="34">
        <v>7600</v>
      </c>
      <c r="AC1345" s="87">
        <v>131</v>
      </c>
      <c r="AD1345" s="62">
        <v>0</v>
      </c>
      <c r="AE1345" s="62">
        <v>0</v>
      </c>
      <c r="AF1345" s="62">
        <v>1</v>
      </c>
      <c r="AI1345" s="64"/>
      <c r="AJ1345" s="63">
        <v>1100112</v>
      </c>
      <c r="AL1345" s="64">
        <v>1</v>
      </c>
      <c r="AM1345" s="4"/>
      <c r="AN1345" s="93"/>
      <c r="AO1345" s="92"/>
      <c r="AQ1345" t="s">
        <v>3557</v>
      </c>
      <c r="AS1345">
        <v>1</v>
      </c>
    </row>
    <row r="1346" spans="1:45">
      <c r="A1346">
        <v>1100112</v>
      </c>
      <c r="B1346" s="8">
        <v>1001</v>
      </c>
      <c r="C1346" s="8">
        <v>5</v>
      </c>
      <c r="D1346" s="8">
        <v>1003</v>
      </c>
      <c r="E1346" t="s">
        <v>3560</v>
      </c>
      <c r="F1346" s="13" t="s">
        <v>3532</v>
      </c>
      <c r="G1346" t="s">
        <v>3561</v>
      </c>
      <c r="H1346" t="s">
        <v>3559</v>
      </c>
      <c r="I1346">
        <v>1</v>
      </c>
      <c r="J1346">
        <v>5</v>
      </c>
      <c r="K1346" s="33">
        <v>1</v>
      </c>
      <c r="L1346" s="8">
        <v>99</v>
      </c>
      <c r="M1346" s="8">
        <v>0</v>
      </c>
      <c r="N1346" s="8"/>
      <c r="Q1346"/>
      <c r="S1346" s="89">
        <v>1</v>
      </c>
      <c r="T1346" s="8">
        <v>5</v>
      </c>
      <c r="U1346" s="89">
        <v>200</v>
      </c>
      <c r="V1346" s="87">
        <v>0</v>
      </c>
      <c r="W1346">
        <v>1</v>
      </c>
      <c r="X1346" s="8">
        <v>1</v>
      </c>
      <c r="Y1346" s="8">
        <v>0</v>
      </c>
      <c r="Z1346" s="33">
        <v>0</v>
      </c>
      <c r="AA1346">
        <v>5</v>
      </c>
      <c r="AB1346" s="34">
        <v>7600</v>
      </c>
      <c r="AC1346" s="87">
        <v>131</v>
      </c>
      <c r="AD1346" s="62">
        <v>0</v>
      </c>
      <c r="AE1346" s="62">
        <v>0</v>
      </c>
      <c r="AF1346" s="62">
        <v>1</v>
      </c>
      <c r="AI1346" s="64"/>
      <c r="AL1346" s="64">
        <v>1</v>
      </c>
      <c r="AM1346" s="4"/>
      <c r="AN1346" s="93"/>
      <c r="AO1346" s="92"/>
      <c r="AQ1346" t="s">
        <v>3560</v>
      </c>
      <c r="AS1346">
        <v>1</v>
      </c>
    </row>
    <row r="1347" spans="1:45">
      <c r="A1347">
        <v>1100201</v>
      </c>
      <c r="B1347" s="8">
        <v>1001</v>
      </c>
      <c r="C1347" s="8">
        <v>5</v>
      </c>
      <c r="D1347" s="8">
        <v>1003</v>
      </c>
      <c r="E1347" t="s">
        <v>3562</v>
      </c>
      <c r="F1347" s="13" t="s">
        <v>3563</v>
      </c>
      <c r="G1347" t="s">
        <v>3564</v>
      </c>
      <c r="H1347" t="s">
        <v>3565</v>
      </c>
      <c r="I1347">
        <v>1</v>
      </c>
      <c r="J1347">
        <v>1</v>
      </c>
      <c r="K1347" s="33">
        <v>4</v>
      </c>
      <c r="L1347" s="8">
        <v>99</v>
      </c>
      <c r="M1347" s="8">
        <v>0</v>
      </c>
      <c r="N1347" s="8"/>
      <c r="Q1347" t="s">
        <v>260</v>
      </c>
      <c r="S1347" s="89">
        <v>1</v>
      </c>
      <c r="T1347" s="8">
        <v>5</v>
      </c>
      <c r="U1347" s="89">
        <v>80</v>
      </c>
      <c r="V1347" s="87">
        <v>0</v>
      </c>
      <c r="W1347">
        <v>1</v>
      </c>
      <c r="X1347" s="8">
        <v>1</v>
      </c>
      <c r="Y1347" s="8">
        <v>0</v>
      </c>
      <c r="Z1347" s="33">
        <v>2</v>
      </c>
      <c r="AA1347">
        <v>5</v>
      </c>
      <c r="AB1347" s="34">
        <v>3040</v>
      </c>
      <c r="AC1347" s="87">
        <f t="shared" ref="AC1347:AC1410" si="0">AC1334+10</f>
        <v>431</v>
      </c>
      <c r="AD1347" s="62">
        <v>0</v>
      </c>
      <c r="AE1347" s="62">
        <v>0</v>
      </c>
      <c r="AF1347" s="62">
        <v>1</v>
      </c>
      <c r="AI1347" s="64"/>
      <c r="AJ1347" s="63">
        <v>1100202</v>
      </c>
      <c r="AL1347" s="64">
        <v>1</v>
      </c>
      <c r="AM1347" s="4"/>
      <c r="AN1347" s="93" t="s">
        <v>3535</v>
      </c>
      <c r="AO1347" s="92"/>
      <c r="AQ1347" t="s">
        <v>3562</v>
      </c>
      <c r="AS1347">
        <v>1</v>
      </c>
    </row>
    <row r="1348" spans="1:45">
      <c r="A1348">
        <v>1100202</v>
      </c>
      <c r="B1348" s="8">
        <v>1001</v>
      </c>
      <c r="C1348" s="8">
        <v>5</v>
      </c>
      <c r="D1348" s="8">
        <v>1003</v>
      </c>
      <c r="E1348" t="s">
        <v>3566</v>
      </c>
      <c r="F1348" s="13" t="s">
        <v>3563</v>
      </c>
      <c r="G1348" t="s">
        <v>3567</v>
      </c>
      <c r="H1348" t="s">
        <v>3565</v>
      </c>
      <c r="I1348">
        <v>1</v>
      </c>
      <c r="J1348">
        <v>1</v>
      </c>
      <c r="K1348" s="33">
        <v>4</v>
      </c>
      <c r="L1348" s="8">
        <v>99</v>
      </c>
      <c r="M1348" s="8">
        <v>0</v>
      </c>
      <c r="N1348" s="8"/>
      <c r="Q1348" t="s">
        <v>260</v>
      </c>
      <c r="S1348" s="89">
        <v>1</v>
      </c>
      <c r="T1348" s="8">
        <v>5</v>
      </c>
      <c r="U1348" s="89">
        <v>80</v>
      </c>
      <c r="V1348" s="87">
        <v>0</v>
      </c>
      <c r="W1348">
        <v>1</v>
      </c>
      <c r="X1348" s="8">
        <v>1</v>
      </c>
      <c r="Y1348" s="8">
        <v>0</v>
      </c>
      <c r="Z1348" s="33">
        <v>2</v>
      </c>
      <c r="AA1348">
        <v>5</v>
      </c>
      <c r="AB1348" s="34">
        <v>3040</v>
      </c>
      <c r="AC1348" s="87">
        <f t="shared" si="0"/>
        <v>150</v>
      </c>
      <c r="AD1348" s="62">
        <v>0</v>
      </c>
      <c r="AE1348" s="62">
        <v>0</v>
      </c>
      <c r="AF1348" s="62">
        <v>1</v>
      </c>
      <c r="AI1348" s="64"/>
      <c r="AJ1348" s="63">
        <v>1100203</v>
      </c>
      <c r="AL1348" s="64">
        <v>1</v>
      </c>
      <c r="AM1348" s="4"/>
      <c r="AN1348" s="93"/>
      <c r="AO1348" s="92"/>
      <c r="AQ1348" t="s">
        <v>3566</v>
      </c>
      <c r="AS1348">
        <v>1</v>
      </c>
    </row>
    <row r="1349" spans="1:45">
      <c r="A1349">
        <v>1100203</v>
      </c>
      <c r="B1349" s="8">
        <v>1001</v>
      </c>
      <c r="C1349" s="8">
        <v>5</v>
      </c>
      <c r="D1349" s="8">
        <v>1003</v>
      </c>
      <c r="E1349" t="s">
        <v>3568</v>
      </c>
      <c r="F1349" s="13" t="s">
        <v>3563</v>
      </c>
      <c r="G1349" t="s">
        <v>3569</v>
      </c>
      <c r="H1349" t="s">
        <v>3565</v>
      </c>
      <c r="I1349">
        <v>1</v>
      </c>
      <c r="J1349">
        <v>2</v>
      </c>
      <c r="K1349" s="33">
        <v>4</v>
      </c>
      <c r="L1349" s="8">
        <v>99</v>
      </c>
      <c r="M1349" s="8">
        <v>0</v>
      </c>
      <c r="N1349" s="8"/>
      <c r="Q1349" t="s">
        <v>260</v>
      </c>
      <c r="S1349" s="89">
        <v>1</v>
      </c>
      <c r="T1349" s="8">
        <v>5</v>
      </c>
      <c r="U1349" s="89">
        <v>110</v>
      </c>
      <c r="V1349" s="87">
        <v>0</v>
      </c>
      <c r="W1349">
        <v>1</v>
      </c>
      <c r="X1349" s="8">
        <v>1</v>
      </c>
      <c r="Y1349" s="8">
        <v>0</v>
      </c>
      <c r="Z1349" s="33">
        <v>2</v>
      </c>
      <c r="AA1349">
        <v>5</v>
      </c>
      <c r="AB1349" s="34">
        <v>4180</v>
      </c>
      <c r="AC1349" s="87">
        <f t="shared" si="0"/>
        <v>149</v>
      </c>
      <c r="AD1349" s="62">
        <v>0</v>
      </c>
      <c r="AE1349" s="62">
        <v>0</v>
      </c>
      <c r="AF1349" s="62">
        <v>1</v>
      </c>
      <c r="AI1349" s="64"/>
      <c r="AJ1349" s="63">
        <v>1100204</v>
      </c>
      <c r="AL1349" s="64">
        <v>1</v>
      </c>
      <c r="AM1349" s="4"/>
      <c r="AN1349" s="93"/>
      <c r="AO1349" s="92"/>
      <c r="AQ1349" t="s">
        <v>3568</v>
      </c>
      <c r="AS1349">
        <v>1</v>
      </c>
    </row>
    <row r="1350" spans="1:45">
      <c r="A1350">
        <v>1100204</v>
      </c>
      <c r="B1350" s="8">
        <v>1001</v>
      </c>
      <c r="C1350" s="8">
        <v>5</v>
      </c>
      <c r="D1350" s="8">
        <v>1003</v>
      </c>
      <c r="E1350" t="s">
        <v>3570</v>
      </c>
      <c r="F1350" s="13" t="s">
        <v>3563</v>
      </c>
      <c r="G1350" t="s">
        <v>3571</v>
      </c>
      <c r="H1350" t="s">
        <v>3572</v>
      </c>
      <c r="I1350">
        <v>1</v>
      </c>
      <c r="J1350">
        <v>2</v>
      </c>
      <c r="K1350" s="33">
        <v>4</v>
      </c>
      <c r="L1350" s="8">
        <v>99</v>
      </c>
      <c r="M1350" s="8">
        <v>0</v>
      </c>
      <c r="N1350" s="8"/>
      <c r="Q1350" t="s">
        <v>260</v>
      </c>
      <c r="S1350" s="89">
        <v>1</v>
      </c>
      <c r="T1350" s="8">
        <v>5</v>
      </c>
      <c r="U1350" s="89">
        <v>110</v>
      </c>
      <c r="V1350" s="87">
        <v>0</v>
      </c>
      <c r="W1350">
        <v>1</v>
      </c>
      <c r="X1350" s="8">
        <v>1</v>
      </c>
      <c r="Y1350" s="8">
        <v>0</v>
      </c>
      <c r="Z1350" s="33">
        <v>2</v>
      </c>
      <c r="AA1350">
        <v>5</v>
      </c>
      <c r="AB1350" s="34">
        <v>4180</v>
      </c>
      <c r="AC1350" s="87">
        <f t="shared" si="0"/>
        <v>148</v>
      </c>
      <c r="AD1350" s="62">
        <v>0</v>
      </c>
      <c r="AE1350" s="62">
        <v>0</v>
      </c>
      <c r="AF1350" s="62">
        <v>1</v>
      </c>
      <c r="AI1350" s="64"/>
      <c r="AJ1350" s="63">
        <v>1100205</v>
      </c>
      <c r="AL1350" s="64">
        <v>1</v>
      </c>
      <c r="AM1350" s="4"/>
      <c r="AN1350" s="93"/>
      <c r="AO1350" s="92"/>
      <c r="AQ1350" t="s">
        <v>3570</v>
      </c>
      <c r="AS1350">
        <v>1</v>
      </c>
    </row>
    <row r="1351" spans="1:45">
      <c r="A1351">
        <v>1100205</v>
      </c>
      <c r="B1351" s="8">
        <v>1001</v>
      </c>
      <c r="C1351" s="8">
        <v>5</v>
      </c>
      <c r="D1351" s="8">
        <v>1003</v>
      </c>
      <c r="E1351" t="s">
        <v>3573</v>
      </c>
      <c r="F1351" s="13" t="s">
        <v>3563</v>
      </c>
      <c r="G1351" t="s">
        <v>3574</v>
      </c>
      <c r="H1351" t="s">
        <v>3572</v>
      </c>
      <c r="I1351">
        <v>1</v>
      </c>
      <c r="J1351">
        <v>3</v>
      </c>
      <c r="K1351" s="33">
        <v>4</v>
      </c>
      <c r="L1351" s="8">
        <v>99</v>
      </c>
      <c r="M1351" s="8">
        <v>0</v>
      </c>
      <c r="N1351" s="8"/>
      <c r="Q1351" t="s">
        <v>260</v>
      </c>
      <c r="S1351" s="89">
        <v>1</v>
      </c>
      <c r="T1351" s="8">
        <v>5</v>
      </c>
      <c r="U1351" s="89">
        <v>140</v>
      </c>
      <c r="V1351" s="87">
        <v>0</v>
      </c>
      <c r="W1351">
        <v>1</v>
      </c>
      <c r="X1351" s="8">
        <v>1</v>
      </c>
      <c r="Y1351" s="8">
        <v>0</v>
      </c>
      <c r="Z1351" s="33">
        <v>2</v>
      </c>
      <c r="AA1351">
        <v>5</v>
      </c>
      <c r="AB1351" s="34">
        <v>5320</v>
      </c>
      <c r="AC1351" s="87">
        <f t="shared" si="0"/>
        <v>147</v>
      </c>
      <c r="AD1351" s="62">
        <v>0</v>
      </c>
      <c r="AE1351" s="62">
        <v>0</v>
      </c>
      <c r="AF1351" s="62">
        <v>1</v>
      </c>
      <c r="AI1351" s="64"/>
      <c r="AJ1351" s="63">
        <v>1100206</v>
      </c>
      <c r="AL1351" s="64">
        <v>1</v>
      </c>
      <c r="AM1351" s="4"/>
      <c r="AN1351" s="93"/>
      <c r="AO1351" s="92"/>
      <c r="AQ1351" t="s">
        <v>3573</v>
      </c>
      <c r="AS1351">
        <v>1</v>
      </c>
    </row>
    <row r="1352" spans="1:45">
      <c r="A1352">
        <v>1100206</v>
      </c>
      <c r="B1352" s="8">
        <v>1001</v>
      </c>
      <c r="C1352" s="8">
        <v>5</v>
      </c>
      <c r="D1352" s="8">
        <v>1003</v>
      </c>
      <c r="E1352" t="s">
        <v>3575</v>
      </c>
      <c r="F1352" s="13" t="s">
        <v>3563</v>
      </c>
      <c r="G1352" t="s">
        <v>3576</v>
      </c>
      <c r="H1352" t="s">
        <v>3572</v>
      </c>
      <c r="I1352">
        <v>1</v>
      </c>
      <c r="J1352">
        <v>3</v>
      </c>
      <c r="K1352" s="33">
        <v>4</v>
      </c>
      <c r="L1352" s="8">
        <v>99</v>
      </c>
      <c r="M1352" s="8">
        <v>0</v>
      </c>
      <c r="N1352" s="8"/>
      <c r="Q1352" t="s">
        <v>260</v>
      </c>
      <c r="S1352" s="89">
        <v>1</v>
      </c>
      <c r="T1352" s="8">
        <v>5</v>
      </c>
      <c r="U1352" s="89">
        <v>140</v>
      </c>
      <c r="V1352" s="87">
        <v>0</v>
      </c>
      <c r="W1352">
        <v>1</v>
      </c>
      <c r="X1352" s="8">
        <v>1</v>
      </c>
      <c r="Y1352" s="8">
        <v>0</v>
      </c>
      <c r="Z1352" s="33">
        <v>0</v>
      </c>
      <c r="AA1352">
        <v>5</v>
      </c>
      <c r="AB1352" s="34">
        <v>5320</v>
      </c>
      <c r="AC1352" s="87">
        <f t="shared" si="0"/>
        <v>146</v>
      </c>
      <c r="AD1352" s="62">
        <v>0</v>
      </c>
      <c r="AE1352" s="62">
        <v>0</v>
      </c>
      <c r="AF1352" s="62">
        <v>1</v>
      </c>
      <c r="AI1352" s="64"/>
      <c r="AJ1352" s="63">
        <v>1100207</v>
      </c>
      <c r="AL1352" s="64">
        <v>1</v>
      </c>
      <c r="AM1352" s="4"/>
      <c r="AN1352" s="93"/>
      <c r="AO1352" s="92"/>
      <c r="AQ1352" t="s">
        <v>3575</v>
      </c>
      <c r="AS1352">
        <v>1</v>
      </c>
    </row>
    <row r="1353" spans="1:45">
      <c r="A1353">
        <v>1100207</v>
      </c>
      <c r="B1353" s="8">
        <v>1001</v>
      </c>
      <c r="C1353" s="8">
        <v>5</v>
      </c>
      <c r="D1353" s="8">
        <v>1003</v>
      </c>
      <c r="E1353" t="s">
        <v>3577</v>
      </c>
      <c r="F1353" s="13" t="s">
        <v>3563</v>
      </c>
      <c r="G1353" t="s">
        <v>3578</v>
      </c>
      <c r="H1353" t="s">
        <v>3579</v>
      </c>
      <c r="I1353">
        <v>1</v>
      </c>
      <c r="J1353">
        <v>4</v>
      </c>
      <c r="K1353" s="33">
        <v>4</v>
      </c>
      <c r="L1353" s="8">
        <v>99</v>
      </c>
      <c r="M1353" s="8">
        <v>0</v>
      </c>
      <c r="N1353" s="8"/>
      <c r="S1353" s="89">
        <v>1</v>
      </c>
      <c r="T1353" s="8">
        <v>5</v>
      </c>
      <c r="U1353" s="89">
        <v>170</v>
      </c>
      <c r="V1353" s="87">
        <v>0</v>
      </c>
      <c r="W1353">
        <v>1</v>
      </c>
      <c r="X1353" s="8">
        <v>1</v>
      </c>
      <c r="Y1353" s="8">
        <v>0</v>
      </c>
      <c r="Z1353" s="33">
        <v>0</v>
      </c>
      <c r="AA1353">
        <v>5</v>
      </c>
      <c r="AB1353" s="34">
        <v>6460</v>
      </c>
      <c r="AC1353" s="87">
        <f t="shared" si="0"/>
        <v>145</v>
      </c>
      <c r="AD1353" s="62">
        <v>0</v>
      </c>
      <c r="AE1353" s="62">
        <v>0</v>
      </c>
      <c r="AF1353" s="62">
        <v>1</v>
      </c>
      <c r="AI1353" s="64"/>
      <c r="AJ1353" s="63">
        <v>1100208</v>
      </c>
      <c r="AL1353" s="64">
        <v>1</v>
      </c>
      <c r="AM1353" s="4"/>
      <c r="AN1353" s="93"/>
      <c r="AO1353" s="92"/>
      <c r="AQ1353" t="s">
        <v>3577</v>
      </c>
      <c r="AS1353">
        <v>1</v>
      </c>
    </row>
    <row r="1354" spans="1:45">
      <c r="A1354">
        <v>1100208</v>
      </c>
      <c r="B1354" s="8">
        <v>1001</v>
      </c>
      <c r="C1354" s="8">
        <v>5</v>
      </c>
      <c r="D1354" s="8">
        <v>1003</v>
      </c>
      <c r="E1354" t="s">
        <v>3580</v>
      </c>
      <c r="F1354" s="13" t="s">
        <v>3563</v>
      </c>
      <c r="G1354" t="s">
        <v>3581</v>
      </c>
      <c r="H1354" t="s">
        <v>3579</v>
      </c>
      <c r="I1354">
        <v>1</v>
      </c>
      <c r="J1354">
        <v>4</v>
      </c>
      <c r="K1354" s="33">
        <v>4</v>
      </c>
      <c r="L1354" s="8">
        <v>99</v>
      </c>
      <c r="M1354" s="8">
        <v>0</v>
      </c>
      <c r="N1354" s="8"/>
      <c r="S1354" s="89">
        <v>1</v>
      </c>
      <c r="T1354" s="8">
        <v>5</v>
      </c>
      <c r="U1354" s="89">
        <v>170</v>
      </c>
      <c r="V1354" s="87">
        <v>0</v>
      </c>
      <c r="W1354">
        <v>1</v>
      </c>
      <c r="X1354" s="8">
        <v>1</v>
      </c>
      <c r="Y1354" s="8">
        <v>0</v>
      </c>
      <c r="Z1354" s="33">
        <v>0</v>
      </c>
      <c r="AA1354">
        <v>5</v>
      </c>
      <c r="AB1354" s="34">
        <v>6460</v>
      </c>
      <c r="AC1354" s="87">
        <f t="shared" si="0"/>
        <v>144</v>
      </c>
      <c r="AD1354" s="62">
        <v>0</v>
      </c>
      <c r="AE1354" s="62">
        <v>0</v>
      </c>
      <c r="AF1354" s="62">
        <v>1</v>
      </c>
      <c r="AI1354" s="64"/>
      <c r="AJ1354" s="63">
        <v>1100209</v>
      </c>
      <c r="AL1354" s="64">
        <v>1</v>
      </c>
      <c r="AM1354" s="4"/>
      <c r="AN1354" s="93"/>
      <c r="AO1354" s="92"/>
      <c r="AQ1354" t="s">
        <v>3580</v>
      </c>
      <c r="AS1354">
        <v>1</v>
      </c>
    </row>
    <row r="1355" spans="1:45">
      <c r="A1355">
        <v>1100209</v>
      </c>
      <c r="B1355" s="8">
        <v>1001</v>
      </c>
      <c r="C1355" s="8">
        <v>5</v>
      </c>
      <c r="D1355" s="8">
        <v>1003</v>
      </c>
      <c r="E1355" t="s">
        <v>3582</v>
      </c>
      <c r="F1355" s="13" t="s">
        <v>3563</v>
      </c>
      <c r="G1355" t="s">
        <v>3583</v>
      </c>
      <c r="H1355" t="s">
        <v>3579</v>
      </c>
      <c r="I1355">
        <v>1</v>
      </c>
      <c r="J1355">
        <v>5</v>
      </c>
      <c r="K1355" s="33">
        <v>4</v>
      </c>
      <c r="L1355" s="8">
        <v>99</v>
      </c>
      <c r="M1355" s="8">
        <v>0</v>
      </c>
      <c r="N1355" s="8"/>
      <c r="S1355" s="89">
        <v>1</v>
      </c>
      <c r="T1355" s="8">
        <v>5</v>
      </c>
      <c r="U1355" s="89">
        <v>200</v>
      </c>
      <c r="V1355" s="87">
        <v>0</v>
      </c>
      <c r="W1355">
        <v>1</v>
      </c>
      <c r="X1355" s="8">
        <v>1</v>
      </c>
      <c r="Y1355" s="8">
        <v>0</v>
      </c>
      <c r="Z1355" s="33">
        <v>0</v>
      </c>
      <c r="AA1355">
        <v>5</v>
      </c>
      <c r="AB1355" s="34">
        <v>7600</v>
      </c>
      <c r="AC1355" s="87">
        <f t="shared" si="0"/>
        <v>143</v>
      </c>
      <c r="AD1355" s="62">
        <v>0</v>
      </c>
      <c r="AE1355" s="62">
        <v>0</v>
      </c>
      <c r="AF1355" s="62">
        <v>1</v>
      </c>
      <c r="AI1355" s="64"/>
      <c r="AJ1355" s="63">
        <v>1100210</v>
      </c>
      <c r="AL1355" s="64">
        <v>1</v>
      </c>
      <c r="AM1355" s="4"/>
      <c r="AN1355" s="93"/>
      <c r="AO1355" s="92"/>
      <c r="AQ1355" t="s">
        <v>3582</v>
      </c>
      <c r="AS1355">
        <v>1</v>
      </c>
    </row>
    <row r="1356" spans="1:45">
      <c r="A1356">
        <v>1100210</v>
      </c>
      <c r="B1356" s="8">
        <v>1001</v>
      </c>
      <c r="C1356" s="8">
        <v>5</v>
      </c>
      <c r="D1356" s="8">
        <v>1003</v>
      </c>
      <c r="E1356" t="s">
        <v>3584</v>
      </c>
      <c r="F1356" s="13" t="s">
        <v>3563</v>
      </c>
      <c r="G1356" t="s">
        <v>3585</v>
      </c>
      <c r="H1356" t="s">
        <v>3586</v>
      </c>
      <c r="I1356">
        <v>1</v>
      </c>
      <c r="J1356">
        <v>5</v>
      </c>
      <c r="K1356" s="33">
        <v>4</v>
      </c>
      <c r="L1356" s="8">
        <v>99</v>
      </c>
      <c r="M1356" s="8">
        <v>0</v>
      </c>
      <c r="N1356" s="8"/>
      <c r="S1356" s="89">
        <v>1</v>
      </c>
      <c r="T1356" s="8">
        <v>5</v>
      </c>
      <c r="U1356" s="89">
        <v>200</v>
      </c>
      <c r="V1356" s="87">
        <v>0</v>
      </c>
      <c r="W1356">
        <v>1</v>
      </c>
      <c r="X1356" s="8">
        <v>1</v>
      </c>
      <c r="Y1356" s="8">
        <v>0</v>
      </c>
      <c r="Z1356" s="33">
        <v>0</v>
      </c>
      <c r="AA1356">
        <v>5</v>
      </c>
      <c r="AB1356" s="34">
        <v>7600</v>
      </c>
      <c r="AC1356" s="87">
        <f t="shared" si="0"/>
        <v>142</v>
      </c>
      <c r="AD1356" s="62">
        <v>0</v>
      </c>
      <c r="AE1356" s="62">
        <v>0</v>
      </c>
      <c r="AF1356" s="62">
        <v>1</v>
      </c>
      <c r="AI1356" s="64"/>
      <c r="AJ1356" s="63">
        <v>1100211</v>
      </c>
      <c r="AL1356" s="64">
        <v>1</v>
      </c>
      <c r="AM1356" s="4"/>
      <c r="AN1356" s="93"/>
      <c r="AO1356" s="92"/>
      <c r="AQ1356" t="s">
        <v>3584</v>
      </c>
      <c r="AS1356">
        <v>1</v>
      </c>
    </row>
    <row r="1357" spans="1:45">
      <c r="A1357">
        <v>1100211</v>
      </c>
      <c r="B1357" s="8">
        <v>1001</v>
      </c>
      <c r="C1357" s="8">
        <v>5</v>
      </c>
      <c r="D1357" s="8">
        <v>1003</v>
      </c>
      <c r="E1357" t="s">
        <v>3587</v>
      </c>
      <c r="F1357" s="13" t="s">
        <v>3563</v>
      </c>
      <c r="G1357" t="s">
        <v>3588</v>
      </c>
      <c r="H1357" t="s">
        <v>3589</v>
      </c>
      <c r="I1357">
        <v>1</v>
      </c>
      <c r="J1357">
        <v>5</v>
      </c>
      <c r="K1357" s="33">
        <v>4</v>
      </c>
      <c r="L1357" s="8">
        <v>99</v>
      </c>
      <c r="M1357" s="8">
        <v>0</v>
      </c>
      <c r="N1357" s="8"/>
      <c r="S1357" s="89">
        <v>1</v>
      </c>
      <c r="T1357" s="8">
        <v>5</v>
      </c>
      <c r="U1357" s="89">
        <v>200</v>
      </c>
      <c r="V1357" s="87">
        <v>0</v>
      </c>
      <c r="W1357">
        <v>1</v>
      </c>
      <c r="X1357" s="8">
        <v>1</v>
      </c>
      <c r="Y1357" s="8">
        <v>0</v>
      </c>
      <c r="Z1357" s="33">
        <v>0</v>
      </c>
      <c r="AA1357">
        <v>5</v>
      </c>
      <c r="AB1357" s="34">
        <v>7600</v>
      </c>
      <c r="AC1357" s="87">
        <f t="shared" si="0"/>
        <v>141</v>
      </c>
      <c r="AD1357" s="62">
        <v>0</v>
      </c>
      <c r="AE1357" s="62">
        <v>0</v>
      </c>
      <c r="AF1357" s="62">
        <v>1</v>
      </c>
      <c r="AI1357" s="64"/>
      <c r="AJ1357" s="63">
        <v>1100212</v>
      </c>
      <c r="AL1357" s="64">
        <v>1</v>
      </c>
      <c r="AM1357" s="4"/>
      <c r="AN1357" s="93"/>
      <c r="AO1357" s="92"/>
      <c r="AQ1357" t="s">
        <v>3587</v>
      </c>
      <c r="AS1357">
        <v>1</v>
      </c>
    </row>
    <row r="1358" spans="1:45">
      <c r="A1358">
        <v>1100212</v>
      </c>
      <c r="B1358" s="8">
        <v>1001</v>
      </c>
      <c r="C1358" s="8">
        <v>5</v>
      </c>
      <c r="D1358" s="8">
        <v>1003</v>
      </c>
      <c r="E1358" t="s">
        <v>3590</v>
      </c>
      <c r="F1358" s="13" t="s">
        <v>3563</v>
      </c>
      <c r="G1358" t="s">
        <v>3591</v>
      </c>
      <c r="H1358" t="s">
        <v>3589</v>
      </c>
      <c r="I1358">
        <v>1</v>
      </c>
      <c r="J1358">
        <v>5</v>
      </c>
      <c r="K1358" s="33">
        <v>1</v>
      </c>
      <c r="L1358" s="8">
        <v>99</v>
      </c>
      <c r="M1358" s="8">
        <v>0</v>
      </c>
      <c r="N1358" s="8"/>
      <c r="Q1358"/>
      <c r="S1358" s="89">
        <v>1</v>
      </c>
      <c r="T1358" s="8">
        <v>5</v>
      </c>
      <c r="U1358" s="89">
        <v>200</v>
      </c>
      <c r="V1358" s="87">
        <v>0</v>
      </c>
      <c r="W1358">
        <v>1</v>
      </c>
      <c r="X1358" s="8">
        <v>1</v>
      </c>
      <c r="Y1358" s="8">
        <v>0</v>
      </c>
      <c r="Z1358" s="33">
        <v>0</v>
      </c>
      <c r="AA1358">
        <v>5</v>
      </c>
      <c r="AB1358" s="34">
        <v>7600</v>
      </c>
      <c r="AC1358" s="87">
        <f t="shared" si="0"/>
        <v>141</v>
      </c>
      <c r="AD1358" s="62">
        <v>0</v>
      </c>
      <c r="AE1358" s="62">
        <v>0</v>
      </c>
      <c r="AF1358" s="62">
        <v>1</v>
      </c>
      <c r="AI1358" s="64"/>
      <c r="AL1358" s="64">
        <v>1</v>
      </c>
      <c r="AM1358" s="4"/>
      <c r="AN1358" s="93"/>
      <c r="AO1358" s="92"/>
      <c r="AQ1358" t="s">
        <v>3590</v>
      </c>
      <c r="AS1358">
        <v>1</v>
      </c>
    </row>
    <row r="1359" spans="1:45">
      <c r="A1359">
        <v>1100301</v>
      </c>
      <c r="B1359" s="8">
        <v>1001</v>
      </c>
      <c r="C1359" s="8">
        <v>5</v>
      </c>
      <c r="D1359" s="8">
        <v>1003</v>
      </c>
      <c r="E1359" t="s">
        <v>3592</v>
      </c>
      <c r="F1359" s="13" t="s">
        <v>3593</v>
      </c>
      <c r="G1359" t="s">
        <v>3594</v>
      </c>
      <c r="H1359" t="s">
        <v>3595</v>
      </c>
      <c r="I1359">
        <v>1</v>
      </c>
      <c r="J1359">
        <v>1</v>
      </c>
      <c r="K1359" s="33">
        <v>4</v>
      </c>
      <c r="L1359" s="8">
        <v>99</v>
      </c>
      <c r="M1359" s="8">
        <v>0</v>
      </c>
      <c r="N1359" s="8"/>
      <c r="Q1359" t="s">
        <v>260</v>
      </c>
      <c r="S1359" s="89">
        <v>1</v>
      </c>
      <c r="T1359" s="8">
        <v>5</v>
      </c>
      <c r="U1359" s="89">
        <v>80</v>
      </c>
      <c r="V1359" s="87">
        <v>0</v>
      </c>
      <c r="W1359">
        <v>1</v>
      </c>
      <c r="X1359" s="8">
        <v>1</v>
      </c>
      <c r="Y1359" s="8">
        <v>0</v>
      </c>
      <c r="Z1359" s="33">
        <v>2</v>
      </c>
      <c r="AA1359">
        <v>5</v>
      </c>
      <c r="AB1359" s="34">
        <v>3040</v>
      </c>
      <c r="AC1359" s="87">
        <f t="shared" si="0"/>
        <v>141</v>
      </c>
      <c r="AD1359" s="62">
        <v>0</v>
      </c>
      <c r="AE1359" s="62">
        <v>0</v>
      </c>
      <c r="AF1359" s="62">
        <v>1</v>
      </c>
      <c r="AI1359" s="64"/>
      <c r="AJ1359" s="63">
        <v>1100302</v>
      </c>
      <c r="AL1359" s="64">
        <v>1</v>
      </c>
      <c r="AM1359" s="4"/>
      <c r="AN1359" s="93" t="s">
        <v>3535</v>
      </c>
      <c r="AO1359" s="92"/>
      <c r="AQ1359" t="s">
        <v>3592</v>
      </c>
      <c r="AS1359">
        <v>1</v>
      </c>
    </row>
    <row r="1360" spans="1:45">
      <c r="A1360">
        <v>1100302</v>
      </c>
      <c r="B1360" s="8">
        <v>1001</v>
      </c>
      <c r="C1360" s="8">
        <v>5</v>
      </c>
      <c r="D1360" s="8">
        <v>1003</v>
      </c>
      <c r="E1360" t="s">
        <v>3596</v>
      </c>
      <c r="F1360" s="13" t="s">
        <v>3593</v>
      </c>
      <c r="G1360" t="s">
        <v>3597</v>
      </c>
      <c r="H1360" t="s">
        <v>3595</v>
      </c>
      <c r="I1360">
        <v>1</v>
      </c>
      <c r="J1360">
        <v>1</v>
      </c>
      <c r="K1360" s="33">
        <v>4</v>
      </c>
      <c r="L1360" s="8">
        <v>99</v>
      </c>
      <c r="M1360" s="8">
        <v>0</v>
      </c>
      <c r="N1360" s="8"/>
      <c r="Q1360" t="s">
        <v>260</v>
      </c>
      <c r="S1360" s="89">
        <v>1</v>
      </c>
      <c r="T1360" s="8">
        <v>5</v>
      </c>
      <c r="U1360" s="89">
        <v>80</v>
      </c>
      <c r="V1360" s="87">
        <v>0</v>
      </c>
      <c r="W1360">
        <v>1</v>
      </c>
      <c r="X1360" s="8">
        <v>1</v>
      </c>
      <c r="Y1360" s="8">
        <v>0</v>
      </c>
      <c r="Z1360" s="33">
        <v>2</v>
      </c>
      <c r="AA1360">
        <v>5</v>
      </c>
      <c r="AB1360" s="34">
        <v>3040</v>
      </c>
      <c r="AC1360" s="87">
        <f t="shared" si="0"/>
        <v>441</v>
      </c>
      <c r="AD1360" s="62">
        <v>0</v>
      </c>
      <c r="AE1360" s="62">
        <v>0</v>
      </c>
      <c r="AF1360" s="62">
        <v>1</v>
      </c>
      <c r="AI1360" s="64"/>
      <c r="AJ1360" s="63">
        <v>1100303</v>
      </c>
      <c r="AL1360" s="64">
        <v>1</v>
      </c>
      <c r="AM1360" s="4"/>
      <c r="AN1360" s="93"/>
      <c r="AO1360" s="92"/>
      <c r="AQ1360" t="s">
        <v>3596</v>
      </c>
      <c r="AS1360">
        <v>1</v>
      </c>
    </row>
    <row r="1361" spans="1:45">
      <c r="A1361">
        <v>1100303</v>
      </c>
      <c r="B1361" s="8">
        <v>1001</v>
      </c>
      <c r="C1361" s="8">
        <v>5</v>
      </c>
      <c r="D1361" s="8">
        <v>1003</v>
      </c>
      <c r="E1361" t="s">
        <v>3598</v>
      </c>
      <c r="F1361" s="13" t="s">
        <v>3593</v>
      </c>
      <c r="G1361" t="s">
        <v>3599</v>
      </c>
      <c r="H1361" t="s">
        <v>3595</v>
      </c>
      <c r="I1361">
        <v>1</v>
      </c>
      <c r="J1361">
        <v>2</v>
      </c>
      <c r="K1361" s="33">
        <v>4</v>
      </c>
      <c r="L1361" s="8">
        <v>99</v>
      </c>
      <c r="M1361" s="8">
        <v>0</v>
      </c>
      <c r="N1361" s="8"/>
      <c r="Q1361" t="s">
        <v>260</v>
      </c>
      <c r="S1361" s="89">
        <v>1</v>
      </c>
      <c r="T1361" s="8">
        <v>5</v>
      </c>
      <c r="U1361" s="89">
        <v>110</v>
      </c>
      <c r="V1361" s="87">
        <v>0</v>
      </c>
      <c r="W1361">
        <v>1</v>
      </c>
      <c r="X1361" s="8">
        <v>1</v>
      </c>
      <c r="Y1361" s="8">
        <v>0</v>
      </c>
      <c r="Z1361" s="33">
        <v>2</v>
      </c>
      <c r="AA1361">
        <v>5</v>
      </c>
      <c r="AB1361" s="34">
        <v>4180</v>
      </c>
      <c r="AC1361" s="87">
        <f t="shared" si="0"/>
        <v>160</v>
      </c>
      <c r="AD1361" s="62">
        <v>0</v>
      </c>
      <c r="AE1361" s="62">
        <v>0</v>
      </c>
      <c r="AF1361" s="62">
        <v>1</v>
      </c>
      <c r="AI1361" s="64"/>
      <c r="AJ1361" s="63">
        <v>1100304</v>
      </c>
      <c r="AL1361" s="64">
        <v>1</v>
      </c>
      <c r="AM1361" s="4"/>
      <c r="AN1361" s="93"/>
      <c r="AO1361" s="92"/>
      <c r="AQ1361" t="s">
        <v>3598</v>
      </c>
      <c r="AS1361">
        <v>1</v>
      </c>
    </row>
    <row r="1362" spans="1:45">
      <c r="A1362">
        <v>1100304</v>
      </c>
      <c r="B1362" s="8">
        <v>1001</v>
      </c>
      <c r="C1362" s="8">
        <v>5</v>
      </c>
      <c r="D1362" s="8">
        <v>1003</v>
      </c>
      <c r="E1362" t="s">
        <v>3600</v>
      </c>
      <c r="F1362" s="13" t="s">
        <v>3593</v>
      </c>
      <c r="G1362" t="s">
        <v>3601</v>
      </c>
      <c r="H1362" t="s">
        <v>3602</v>
      </c>
      <c r="I1362">
        <v>1</v>
      </c>
      <c r="J1362">
        <v>2</v>
      </c>
      <c r="K1362" s="33">
        <v>4</v>
      </c>
      <c r="L1362" s="8">
        <v>99</v>
      </c>
      <c r="M1362" s="8">
        <v>0</v>
      </c>
      <c r="N1362" s="8"/>
      <c r="Q1362" t="s">
        <v>260</v>
      </c>
      <c r="S1362" s="89">
        <v>1</v>
      </c>
      <c r="T1362" s="8">
        <v>5</v>
      </c>
      <c r="U1362" s="89">
        <v>110</v>
      </c>
      <c r="V1362" s="87">
        <v>0</v>
      </c>
      <c r="W1362">
        <v>1</v>
      </c>
      <c r="X1362" s="8">
        <v>1</v>
      </c>
      <c r="Y1362" s="8">
        <v>0</v>
      </c>
      <c r="Z1362" s="33">
        <v>2</v>
      </c>
      <c r="AA1362">
        <v>5</v>
      </c>
      <c r="AB1362" s="34">
        <v>4180</v>
      </c>
      <c r="AC1362" s="87">
        <f t="shared" si="0"/>
        <v>159</v>
      </c>
      <c r="AD1362" s="62">
        <v>0</v>
      </c>
      <c r="AE1362" s="62">
        <v>0</v>
      </c>
      <c r="AF1362" s="62">
        <v>1</v>
      </c>
      <c r="AI1362" s="64"/>
      <c r="AJ1362" s="63">
        <v>1100305</v>
      </c>
      <c r="AL1362" s="64">
        <v>1</v>
      </c>
      <c r="AM1362" s="4"/>
      <c r="AN1362" s="93"/>
      <c r="AO1362" s="92"/>
      <c r="AQ1362" t="s">
        <v>3600</v>
      </c>
      <c r="AS1362">
        <v>1</v>
      </c>
    </row>
    <row r="1363" spans="1:45">
      <c r="A1363">
        <v>1100305</v>
      </c>
      <c r="B1363" s="8">
        <v>1001</v>
      </c>
      <c r="C1363" s="8">
        <v>5</v>
      </c>
      <c r="D1363" s="8">
        <v>1003</v>
      </c>
      <c r="E1363" t="s">
        <v>3603</v>
      </c>
      <c r="F1363" s="13" t="s">
        <v>3593</v>
      </c>
      <c r="G1363" t="s">
        <v>3604</v>
      </c>
      <c r="H1363" t="s">
        <v>3602</v>
      </c>
      <c r="I1363">
        <v>1</v>
      </c>
      <c r="J1363">
        <v>3</v>
      </c>
      <c r="K1363" s="33">
        <v>4</v>
      </c>
      <c r="L1363" s="8">
        <v>99</v>
      </c>
      <c r="M1363" s="8">
        <v>0</v>
      </c>
      <c r="N1363" s="8"/>
      <c r="Q1363" t="s">
        <v>260</v>
      </c>
      <c r="S1363" s="89">
        <v>1</v>
      </c>
      <c r="T1363" s="8">
        <v>5</v>
      </c>
      <c r="U1363" s="89">
        <v>140</v>
      </c>
      <c r="V1363" s="87">
        <v>0</v>
      </c>
      <c r="W1363">
        <v>1</v>
      </c>
      <c r="X1363" s="8">
        <v>1</v>
      </c>
      <c r="Y1363" s="8">
        <v>0</v>
      </c>
      <c r="Z1363" s="33">
        <v>2</v>
      </c>
      <c r="AA1363">
        <v>5</v>
      </c>
      <c r="AB1363" s="34">
        <v>5320</v>
      </c>
      <c r="AC1363" s="87">
        <f t="shared" si="0"/>
        <v>158</v>
      </c>
      <c r="AD1363" s="62">
        <v>0</v>
      </c>
      <c r="AE1363" s="62">
        <v>0</v>
      </c>
      <c r="AF1363" s="62">
        <v>1</v>
      </c>
      <c r="AI1363" s="64"/>
      <c r="AJ1363" s="63">
        <v>1100306</v>
      </c>
      <c r="AL1363" s="64">
        <v>1</v>
      </c>
      <c r="AM1363" s="4"/>
      <c r="AN1363" s="93"/>
      <c r="AO1363" s="92"/>
      <c r="AQ1363" t="s">
        <v>3603</v>
      </c>
      <c r="AS1363">
        <v>1</v>
      </c>
    </row>
    <row r="1364" spans="1:45">
      <c r="A1364">
        <v>1100306</v>
      </c>
      <c r="B1364" s="8">
        <v>1001</v>
      </c>
      <c r="C1364" s="8">
        <v>5</v>
      </c>
      <c r="D1364" s="8">
        <v>1003</v>
      </c>
      <c r="E1364" t="s">
        <v>3605</v>
      </c>
      <c r="F1364" s="13" t="s">
        <v>3593</v>
      </c>
      <c r="G1364" t="s">
        <v>3606</v>
      </c>
      <c r="H1364" t="s">
        <v>3602</v>
      </c>
      <c r="I1364">
        <v>1</v>
      </c>
      <c r="J1364">
        <v>3</v>
      </c>
      <c r="K1364" s="33">
        <v>4</v>
      </c>
      <c r="L1364" s="8">
        <v>99</v>
      </c>
      <c r="M1364" s="8">
        <v>0</v>
      </c>
      <c r="N1364" s="8"/>
      <c r="Q1364" t="s">
        <v>260</v>
      </c>
      <c r="S1364" s="89">
        <v>1</v>
      </c>
      <c r="T1364" s="8">
        <v>5</v>
      </c>
      <c r="U1364" s="89">
        <v>140</v>
      </c>
      <c r="V1364" s="87">
        <v>0</v>
      </c>
      <c r="W1364">
        <v>1</v>
      </c>
      <c r="X1364" s="8">
        <v>1</v>
      </c>
      <c r="Y1364" s="8">
        <v>0</v>
      </c>
      <c r="Z1364" s="33">
        <v>0</v>
      </c>
      <c r="AA1364">
        <v>5</v>
      </c>
      <c r="AB1364" s="34">
        <v>5320</v>
      </c>
      <c r="AC1364" s="87">
        <f t="shared" si="0"/>
        <v>157</v>
      </c>
      <c r="AD1364" s="62">
        <v>0</v>
      </c>
      <c r="AE1364" s="62">
        <v>0</v>
      </c>
      <c r="AF1364" s="62">
        <v>1</v>
      </c>
      <c r="AI1364" s="64"/>
      <c r="AJ1364" s="63">
        <v>1100307</v>
      </c>
      <c r="AL1364" s="64">
        <v>1</v>
      </c>
      <c r="AM1364" s="4"/>
      <c r="AN1364" s="93"/>
      <c r="AO1364" s="92"/>
      <c r="AQ1364" t="s">
        <v>3605</v>
      </c>
      <c r="AS1364">
        <v>1</v>
      </c>
    </row>
    <row r="1365" spans="1:45">
      <c r="A1365">
        <v>1100307</v>
      </c>
      <c r="B1365" s="8">
        <v>1001</v>
      </c>
      <c r="C1365" s="8">
        <v>5</v>
      </c>
      <c r="D1365" s="8">
        <v>1003</v>
      </c>
      <c r="E1365" t="s">
        <v>3607</v>
      </c>
      <c r="F1365" s="13" t="s">
        <v>3593</v>
      </c>
      <c r="G1365" t="s">
        <v>3608</v>
      </c>
      <c r="H1365" t="s">
        <v>3609</v>
      </c>
      <c r="I1365">
        <v>1</v>
      </c>
      <c r="J1365">
        <v>4</v>
      </c>
      <c r="K1365" s="33">
        <v>4</v>
      </c>
      <c r="L1365" s="8">
        <v>99</v>
      </c>
      <c r="M1365" s="8">
        <v>0</v>
      </c>
      <c r="N1365" s="8"/>
      <c r="S1365" s="89">
        <v>1</v>
      </c>
      <c r="T1365" s="8">
        <v>5</v>
      </c>
      <c r="U1365" s="89">
        <v>170</v>
      </c>
      <c r="V1365" s="87">
        <v>0</v>
      </c>
      <c r="W1365">
        <v>1</v>
      </c>
      <c r="X1365" s="8">
        <v>1</v>
      </c>
      <c r="Y1365" s="8">
        <v>0</v>
      </c>
      <c r="Z1365" s="33">
        <v>0</v>
      </c>
      <c r="AA1365">
        <v>5</v>
      </c>
      <c r="AB1365" s="34">
        <v>6460</v>
      </c>
      <c r="AC1365" s="87">
        <f t="shared" si="0"/>
        <v>156</v>
      </c>
      <c r="AD1365" s="62">
        <v>0</v>
      </c>
      <c r="AE1365" s="62">
        <v>0</v>
      </c>
      <c r="AF1365" s="62">
        <v>1</v>
      </c>
      <c r="AI1365" s="64"/>
      <c r="AJ1365" s="63">
        <v>1100308</v>
      </c>
      <c r="AL1365" s="64">
        <v>1</v>
      </c>
      <c r="AM1365" s="4"/>
      <c r="AN1365" s="93"/>
      <c r="AO1365" s="92"/>
      <c r="AQ1365" t="s">
        <v>3607</v>
      </c>
      <c r="AS1365">
        <v>1</v>
      </c>
    </row>
    <row r="1366" spans="1:45">
      <c r="A1366">
        <v>1100308</v>
      </c>
      <c r="B1366" s="8">
        <v>1001</v>
      </c>
      <c r="C1366" s="8">
        <v>5</v>
      </c>
      <c r="D1366" s="8">
        <v>1003</v>
      </c>
      <c r="E1366" t="s">
        <v>3610</v>
      </c>
      <c r="F1366" s="13" t="s">
        <v>3593</v>
      </c>
      <c r="G1366" t="s">
        <v>3611</v>
      </c>
      <c r="H1366" t="s">
        <v>3609</v>
      </c>
      <c r="I1366">
        <v>1</v>
      </c>
      <c r="J1366">
        <v>4</v>
      </c>
      <c r="K1366" s="33">
        <v>4</v>
      </c>
      <c r="L1366" s="8">
        <v>99</v>
      </c>
      <c r="M1366" s="8">
        <v>0</v>
      </c>
      <c r="N1366" s="8"/>
      <c r="S1366" s="89">
        <v>1</v>
      </c>
      <c r="T1366" s="8">
        <v>5</v>
      </c>
      <c r="U1366" s="89">
        <v>170</v>
      </c>
      <c r="V1366" s="87">
        <v>0</v>
      </c>
      <c r="W1366">
        <v>1</v>
      </c>
      <c r="X1366" s="8">
        <v>1</v>
      </c>
      <c r="Y1366" s="8">
        <v>0</v>
      </c>
      <c r="Z1366" s="33">
        <v>0</v>
      </c>
      <c r="AA1366">
        <v>5</v>
      </c>
      <c r="AB1366" s="34">
        <v>6460</v>
      </c>
      <c r="AC1366" s="87">
        <f t="shared" si="0"/>
        <v>155</v>
      </c>
      <c r="AD1366" s="62">
        <v>0</v>
      </c>
      <c r="AE1366" s="62">
        <v>0</v>
      </c>
      <c r="AF1366" s="62">
        <v>1</v>
      </c>
      <c r="AI1366" s="64"/>
      <c r="AJ1366" s="63">
        <v>1100309</v>
      </c>
      <c r="AL1366" s="64">
        <v>1</v>
      </c>
      <c r="AM1366" s="4"/>
      <c r="AN1366" s="93"/>
      <c r="AO1366" s="92"/>
      <c r="AQ1366" t="s">
        <v>3610</v>
      </c>
      <c r="AS1366">
        <v>1</v>
      </c>
    </row>
    <row r="1367" spans="1:45">
      <c r="A1367">
        <v>1100309</v>
      </c>
      <c r="B1367" s="8">
        <v>1001</v>
      </c>
      <c r="C1367" s="8">
        <v>5</v>
      </c>
      <c r="D1367" s="8">
        <v>1003</v>
      </c>
      <c r="E1367" t="s">
        <v>3612</v>
      </c>
      <c r="F1367" s="13" t="s">
        <v>3593</v>
      </c>
      <c r="G1367" t="s">
        <v>3613</v>
      </c>
      <c r="H1367" t="s">
        <v>3609</v>
      </c>
      <c r="I1367">
        <v>1</v>
      </c>
      <c r="J1367">
        <v>5</v>
      </c>
      <c r="K1367" s="33">
        <v>4</v>
      </c>
      <c r="L1367" s="8">
        <v>99</v>
      </c>
      <c r="M1367" s="8">
        <v>0</v>
      </c>
      <c r="N1367" s="8"/>
      <c r="S1367" s="89">
        <v>1</v>
      </c>
      <c r="T1367" s="8">
        <v>5</v>
      </c>
      <c r="U1367" s="89">
        <v>200</v>
      </c>
      <c r="V1367" s="87">
        <v>0</v>
      </c>
      <c r="W1367">
        <v>1</v>
      </c>
      <c r="X1367" s="8">
        <v>1</v>
      </c>
      <c r="Y1367" s="8">
        <v>0</v>
      </c>
      <c r="Z1367" s="33">
        <v>0</v>
      </c>
      <c r="AA1367">
        <v>5</v>
      </c>
      <c r="AB1367" s="34">
        <v>7600</v>
      </c>
      <c r="AC1367" s="87">
        <f t="shared" si="0"/>
        <v>154</v>
      </c>
      <c r="AD1367" s="62">
        <v>0</v>
      </c>
      <c r="AE1367" s="62">
        <v>0</v>
      </c>
      <c r="AF1367" s="62">
        <v>1</v>
      </c>
      <c r="AI1367" s="64"/>
      <c r="AJ1367" s="63">
        <v>1100310</v>
      </c>
      <c r="AL1367" s="64">
        <v>1</v>
      </c>
      <c r="AM1367" s="4"/>
      <c r="AN1367" s="93"/>
      <c r="AO1367" s="92"/>
      <c r="AQ1367" t="s">
        <v>3612</v>
      </c>
      <c r="AS1367">
        <v>1</v>
      </c>
    </row>
    <row r="1368" spans="1:45">
      <c r="A1368">
        <v>1100310</v>
      </c>
      <c r="B1368" s="8">
        <v>1001</v>
      </c>
      <c r="C1368" s="8">
        <v>5</v>
      </c>
      <c r="D1368" s="8">
        <v>1003</v>
      </c>
      <c r="E1368" t="s">
        <v>3614</v>
      </c>
      <c r="F1368" s="13" t="s">
        <v>3593</v>
      </c>
      <c r="G1368" t="s">
        <v>3615</v>
      </c>
      <c r="H1368" t="s">
        <v>3616</v>
      </c>
      <c r="I1368">
        <v>1</v>
      </c>
      <c r="J1368">
        <v>5</v>
      </c>
      <c r="K1368" s="33">
        <v>4</v>
      </c>
      <c r="L1368" s="8">
        <v>99</v>
      </c>
      <c r="M1368" s="8">
        <v>0</v>
      </c>
      <c r="N1368" s="8"/>
      <c r="S1368" s="89">
        <v>1</v>
      </c>
      <c r="T1368" s="8">
        <v>5</v>
      </c>
      <c r="U1368" s="89">
        <v>200</v>
      </c>
      <c r="V1368" s="87">
        <v>0</v>
      </c>
      <c r="W1368">
        <v>1</v>
      </c>
      <c r="X1368" s="8">
        <v>1</v>
      </c>
      <c r="Y1368" s="8">
        <v>0</v>
      </c>
      <c r="Z1368" s="33">
        <v>0</v>
      </c>
      <c r="AA1368">
        <v>5</v>
      </c>
      <c r="AB1368" s="34">
        <v>7600</v>
      </c>
      <c r="AC1368" s="87">
        <f t="shared" si="0"/>
        <v>153</v>
      </c>
      <c r="AD1368" s="62">
        <v>0</v>
      </c>
      <c r="AE1368" s="62">
        <v>0</v>
      </c>
      <c r="AF1368" s="62">
        <v>1</v>
      </c>
      <c r="AI1368" s="64"/>
      <c r="AJ1368" s="63">
        <v>1100311</v>
      </c>
      <c r="AL1368" s="64">
        <v>1</v>
      </c>
      <c r="AM1368" s="4"/>
      <c r="AN1368" s="93"/>
      <c r="AO1368" s="92"/>
      <c r="AQ1368" t="s">
        <v>3614</v>
      </c>
      <c r="AS1368">
        <v>1</v>
      </c>
    </row>
    <row r="1369" spans="1:45">
      <c r="A1369">
        <v>1100311</v>
      </c>
      <c r="B1369" s="8">
        <v>1001</v>
      </c>
      <c r="C1369" s="8">
        <v>5</v>
      </c>
      <c r="D1369" s="8">
        <v>1003</v>
      </c>
      <c r="E1369" t="s">
        <v>3617</v>
      </c>
      <c r="F1369" s="13" t="s">
        <v>3593</v>
      </c>
      <c r="G1369" t="s">
        <v>3618</v>
      </c>
      <c r="H1369" t="s">
        <v>3619</v>
      </c>
      <c r="I1369">
        <v>1</v>
      </c>
      <c r="J1369">
        <v>5</v>
      </c>
      <c r="K1369" s="33">
        <v>4</v>
      </c>
      <c r="L1369" s="8">
        <v>99</v>
      </c>
      <c r="M1369" s="8">
        <v>0</v>
      </c>
      <c r="N1369" s="8"/>
      <c r="S1369" s="89">
        <v>1</v>
      </c>
      <c r="T1369" s="8">
        <v>5</v>
      </c>
      <c r="U1369" s="89">
        <v>200</v>
      </c>
      <c r="V1369" s="87">
        <v>0</v>
      </c>
      <c r="W1369">
        <v>1</v>
      </c>
      <c r="X1369" s="8">
        <v>1</v>
      </c>
      <c r="Y1369" s="8">
        <v>0</v>
      </c>
      <c r="Z1369" s="33">
        <v>0</v>
      </c>
      <c r="AA1369">
        <v>5</v>
      </c>
      <c r="AB1369" s="34">
        <v>7600</v>
      </c>
      <c r="AC1369" s="87">
        <f t="shared" si="0"/>
        <v>152</v>
      </c>
      <c r="AD1369" s="62">
        <v>0</v>
      </c>
      <c r="AE1369" s="62">
        <v>0</v>
      </c>
      <c r="AF1369" s="62">
        <v>1</v>
      </c>
      <c r="AI1369" s="64"/>
      <c r="AJ1369" s="63">
        <v>1100312</v>
      </c>
      <c r="AL1369" s="64">
        <v>1</v>
      </c>
      <c r="AM1369" s="4"/>
      <c r="AN1369" s="93"/>
      <c r="AO1369" s="92"/>
      <c r="AQ1369" t="s">
        <v>3614</v>
      </c>
      <c r="AS1369">
        <v>1</v>
      </c>
    </row>
    <row r="1370" spans="1:45">
      <c r="A1370">
        <v>1100312</v>
      </c>
      <c r="B1370" s="8">
        <v>1001</v>
      </c>
      <c r="C1370" s="8">
        <v>5</v>
      </c>
      <c r="D1370" s="8">
        <v>1003</v>
      </c>
      <c r="E1370" t="s">
        <v>3620</v>
      </c>
      <c r="F1370" s="13" t="s">
        <v>3593</v>
      </c>
      <c r="G1370" t="s">
        <v>3621</v>
      </c>
      <c r="H1370" t="s">
        <v>3619</v>
      </c>
      <c r="I1370">
        <v>1</v>
      </c>
      <c r="J1370">
        <v>5</v>
      </c>
      <c r="K1370" s="33">
        <v>1</v>
      </c>
      <c r="L1370" s="8">
        <v>99</v>
      </c>
      <c r="M1370" s="8">
        <v>0</v>
      </c>
      <c r="N1370" s="8"/>
      <c r="Q1370"/>
      <c r="S1370" s="89">
        <v>1</v>
      </c>
      <c r="T1370" s="8">
        <v>5</v>
      </c>
      <c r="U1370" s="89">
        <v>200</v>
      </c>
      <c r="V1370" s="87">
        <v>0</v>
      </c>
      <c r="W1370">
        <v>1</v>
      </c>
      <c r="X1370" s="8">
        <v>1</v>
      </c>
      <c r="Y1370" s="8">
        <v>0</v>
      </c>
      <c r="Z1370" s="33">
        <v>0</v>
      </c>
      <c r="AA1370">
        <v>5</v>
      </c>
      <c r="AB1370" s="34">
        <v>7600</v>
      </c>
      <c r="AC1370" s="87">
        <f t="shared" si="0"/>
        <v>151</v>
      </c>
      <c r="AD1370" s="62">
        <v>0</v>
      </c>
      <c r="AE1370" s="62">
        <v>0</v>
      </c>
      <c r="AF1370" s="62">
        <v>1</v>
      </c>
      <c r="AI1370" s="64"/>
      <c r="AL1370" s="64">
        <v>1</v>
      </c>
      <c r="AM1370" s="4"/>
      <c r="AN1370" s="93"/>
      <c r="AO1370" s="92"/>
      <c r="AQ1370" t="s">
        <v>3620</v>
      </c>
      <c r="AS1370">
        <v>1</v>
      </c>
    </row>
    <row r="1371" spans="1:45">
      <c r="A1371">
        <v>1100401</v>
      </c>
      <c r="B1371" s="8">
        <v>1001</v>
      </c>
      <c r="C1371" s="8">
        <v>5</v>
      </c>
      <c r="D1371" s="8">
        <v>1003</v>
      </c>
      <c r="E1371" t="s">
        <v>3622</v>
      </c>
      <c r="F1371" s="13" t="s">
        <v>3623</v>
      </c>
      <c r="G1371" t="s">
        <v>3624</v>
      </c>
      <c r="H1371" t="s">
        <v>3625</v>
      </c>
      <c r="I1371">
        <v>1</v>
      </c>
      <c r="J1371">
        <v>1</v>
      </c>
      <c r="K1371" s="33">
        <v>4</v>
      </c>
      <c r="L1371" s="8">
        <v>99</v>
      </c>
      <c r="M1371" s="8">
        <v>0</v>
      </c>
      <c r="N1371" s="8"/>
      <c r="Q1371" t="s">
        <v>260</v>
      </c>
      <c r="S1371" s="89">
        <v>1</v>
      </c>
      <c r="T1371" s="8">
        <v>5</v>
      </c>
      <c r="U1371" s="89">
        <v>80</v>
      </c>
      <c r="V1371" s="87">
        <v>0</v>
      </c>
      <c r="W1371">
        <v>1</v>
      </c>
      <c r="X1371" s="8">
        <v>1</v>
      </c>
      <c r="Y1371" s="8">
        <v>0</v>
      </c>
      <c r="Z1371" s="33">
        <v>2</v>
      </c>
      <c r="AA1371">
        <v>5</v>
      </c>
      <c r="AB1371" s="34">
        <v>3040</v>
      </c>
      <c r="AC1371" s="87">
        <f t="shared" si="0"/>
        <v>151</v>
      </c>
      <c r="AD1371" s="62">
        <v>0</v>
      </c>
      <c r="AE1371" s="62">
        <v>0</v>
      </c>
      <c r="AF1371" s="62">
        <v>1</v>
      </c>
      <c r="AI1371" s="64"/>
      <c r="AJ1371" s="63">
        <v>1100402</v>
      </c>
      <c r="AL1371" s="64">
        <v>1</v>
      </c>
      <c r="AM1371" s="4"/>
      <c r="AN1371" s="93" t="s">
        <v>3535</v>
      </c>
      <c r="AO1371" s="92"/>
      <c r="AQ1371" t="s">
        <v>3622</v>
      </c>
      <c r="AS1371">
        <v>1</v>
      </c>
    </row>
    <row r="1372" spans="1:45">
      <c r="A1372">
        <v>1100402</v>
      </c>
      <c r="B1372" s="8">
        <v>1001</v>
      </c>
      <c r="C1372" s="8">
        <v>5</v>
      </c>
      <c r="D1372" s="8">
        <v>1003</v>
      </c>
      <c r="E1372" t="s">
        <v>3626</v>
      </c>
      <c r="F1372" s="13" t="s">
        <v>3623</v>
      </c>
      <c r="G1372" t="s">
        <v>3627</v>
      </c>
      <c r="H1372" t="s">
        <v>3625</v>
      </c>
      <c r="I1372">
        <v>1</v>
      </c>
      <c r="J1372">
        <v>1</v>
      </c>
      <c r="K1372" s="33">
        <v>4</v>
      </c>
      <c r="L1372" s="8">
        <v>99</v>
      </c>
      <c r="M1372" s="8">
        <v>0</v>
      </c>
      <c r="N1372" s="8"/>
      <c r="Q1372" t="s">
        <v>260</v>
      </c>
      <c r="S1372" s="89">
        <v>1</v>
      </c>
      <c r="T1372" s="8">
        <v>5</v>
      </c>
      <c r="U1372" s="89">
        <v>80</v>
      </c>
      <c r="V1372" s="87">
        <v>0</v>
      </c>
      <c r="W1372">
        <v>1</v>
      </c>
      <c r="X1372" s="8">
        <v>1</v>
      </c>
      <c r="Y1372" s="8">
        <v>0</v>
      </c>
      <c r="Z1372" s="33">
        <v>2</v>
      </c>
      <c r="AA1372">
        <v>5</v>
      </c>
      <c r="AB1372" s="34">
        <v>3040</v>
      </c>
      <c r="AC1372" s="87">
        <f t="shared" si="0"/>
        <v>151</v>
      </c>
      <c r="AD1372" s="62">
        <v>0</v>
      </c>
      <c r="AE1372" s="62">
        <v>0</v>
      </c>
      <c r="AF1372" s="62">
        <v>1</v>
      </c>
      <c r="AI1372" s="64"/>
      <c r="AJ1372" s="63">
        <v>1100403</v>
      </c>
      <c r="AL1372" s="64">
        <v>1</v>
      </c>
      <c r="AM1372" s="4"/>
      <c r="AN1372" s="93"/>
      <c r="AO1372" s="92"/>
      <c r="AQ1372" t="s">
        <v>3626</v>
      </c>
      <c r="AS1372">
        <v>1</v>
      </c>
    </row>
    <row r="1373" spans="1:45">
      <c r="A1373">
        <v>1100403</v>
      </c>
      <c r="B1373" s="8">
        <v>1001</v>
      </c>
      <c r="C1373" s="8">
        <v>5</v>
      </c>
      <c r="D1373" s="8">
        <v>1003</v>
      </c>
      <c r="E1373" t="s">
        <v>3628</v>
      </c>
      <c r="F1373" s="13" t="s">
        <v>3623</v>
      </c>
      <c r="G1373" t="s">
        <v>3629</v>
      </c>
      <c r="H1373" t="s">
        <v>3625</v>
      </c>
      <c r="I1373">
        <v>1</v>
      </c>
      <c r="J1373">
        <v>2</v>
      </c>
      <c r="K1373" s="33">
        <v>4</v>
      </c>
      <c r="L1373" s="8">
        <v>99</v>
      </c>
      <c r="M1373" s="8">
        <v>0</v>
      </c>
      <c r="N1373" s="8"/>
      <c r="Q1373" t="s">
        <v>260</v>
      </c>
      <c r="S1373" s="89">
        <v>1</v>
      </c>
      <c r="T1373" s="8">
        <v>5</v>
      </c>
      <c r="U1373" s="89">
        <v>110</v>
      </c>
      <c r="V1373" s="87">
        <v>0</v>
      </c>
      <c r="W1373">
        <v>1</v>
      </c>
      <c r="X1373" s="8">
        <v>1</v>
      </c>
      <c r="Y1373" s="8">
        <v>0</v>
      </c>
      <c r="Z1373" s="33">
        <v>2</v>
      </c>
      <c r="AA1373">
        <v>5</v>
      </c>
      <c r="AB1373" s="34">
        <v>4180</v>
      </c>
      <c r="AC1373" s="87">
        <f t="shared" si="0"/>
        <v>451</v>
      </c>
      <c r="AD1373" s="62">
        <v>0</v>
      </c>
      <c r="AE1373" s="62">
        <v>0</v>
      </c>
      <c r="AF1373" s="62">
        <v>1</v>
      </c>
      <c r="AI1373" s="64"/>
      <c r="AJ1373" s="63">
        <v>1100404</v>
      </c>
      <c r="AL1373" s="64">
        <v>1</v>
      </c>
      <c r="AM1373" s="4"/>
      <c r="AN1373" s="93"/>
      <c r="AO1373" s="92"/>
      <c r="AQ1373" t="s">
        <v>3628</v>
      </c>
      <c r="AS1373">
        <v>1</v>
      </c>
    </row>
    <row r="1374" spans="1:45">
      <c r="A1374">
        <v>1100404</v>
      </c>
      <c r="B1374" s="8">
        <v>1001</v>
      </c>
      <c r="C1374" s="8">
        <v>5</v>
      </c>
      <c r="D1374" s="8">
        <v>1003</v>
      </c>
      <c r="E1374" t="s">
        <v>3630</v>
      </c>
      <c r="F1374" s="13" t="s">
        <v>3623</v>
      </c>
      <c r="G1374" t="s">
        <v>3631</v>
      </c>
      <c r="H1374" t="s">
        <v>3632</v>
      </c>
      <c r="I1374">
        <v>1</v>
      </c>
      <c r="J1374">
        <v>2</v>
      </c>
      <c r="K1374" s="33">
        <v>4</v>
      </c>
      <c r="L1374" s="8">
        <v>99</v>
      </c>
      <c r="M1374" s="8">
        <v>0</v>
      </c>
      <c r="N1374" s="8"/>
      <c r="Q1374" t="s">
        <v>260</v>
      </c>
      <c r="S1374" s="89">
        <v>1</v>
      </c>
      <c r="T1374" s="8">
        <v>5</v>
      </c>
      <c r="U1374" s="89">
        <v>110</v>
      </c>
      <c r="V1374" s="87">
        <v>0</v>
      </c>
      <c r="W1374">
        <v>1</v>
      </c>
      <c r="X1374" s="8">
        <v>1</v>
      </c>
      <c r="Y1374" s="8">
        <v>0</v>
      </c>
      <c r="Z1374" s="33">
        <v>2</v>
      </c>
      <c r="AA1374">
        <v>5</v>
      </c>
      <c r="AB1374" s="34">
        <v>4180</v>
      </c>
      <c r="AC1374" s="87">
        <f t="shared" si="0"/>
        <v>170</v>
      </c>
      <c r="AD1374" s="62">
        <v>0</v>
      </c>
      <c r="AE1374" s="62">
        <v>0</v>
      </c>
      <c r="AF1374" s="62">
        <v>1</v>
      </c>
      <c r="AI1374" s="64"/>
      <c r="AJ1374" s="63">
        <v>1100405</v>
      </c>
      <c r="AL1374" s="64">
        <v>1</v>
      </c>
      <c r="AM1374" s="4"/>
      <c r="AN1374" s="93"/>
      <c r="AO1374" s="92"/>
      <c r="AQ1374" t="s">
        <v>3630</v>
      </c>
      <c r="AS1374">
        <v>1</v>
      </c>
    </row>
    <row r="1375" spans="1:45">
      <c r="A1375">
        <v>1100405</v>
      </c>
      <c r="B1375" s="8">
        <v>1001</v>
      </c>
      <c r="C1375" s="8">
        <v>5</v>
      </c>
      <c r="D1375" s="8">
        <v>1003</v>
      </c>
      <c r="E1375" t="s">
        <v>3633</v>
      </c>
      <c r="F1375" s="13" t="s">
        <v>3623</v>
      </c>
      <c r="G1375" t="s">
        <v>3634</v>
      </c>
      <c r="H1375" t="s">
        <v>3632</v>
      </c>
      <c r="I1375">
        <v>1</v>
      </c>
      <c r="J1375">
        <v>3</v>
      </c>
      <c r="K1375" s="33">
        <v>4</v>
      </c>
      <c r="L1375" s="8">
        <v>99</v>
      </c>
      <c r="M1375" s="8">
        <v>0</v>
      </c>
      <c r="N1375" s="8"/>
      <c r="Q1375" t="s">
        <v>260</v>
      </c>
      <c r="S1375" s="89">
        <v>1</v>
      </c>
      <c r="T1375" s="8">
        <v>5</v>
      </c>
      <c r="U1375" s="89">
        <v>140</v>
      </c>
      <c r="V1375" s="87">
        <v>0</v>
      </c>
      <c r="W1375">
        <v>1</v>
      </c>
      <c r="X1375" s="8">
        <v>1</v>
      </c>
      <c r="Y1375" s="8">
        <v>0</v>
      </c>
      <c r="Z1375" s="33">
        <v>2</v>
      </c>
      <c r="AA1375">
        <v>5</v>
      </c>
      <c r="AB1375" s="34">
        <v>5320</v>
      </c>
      <c r="AC1375" s="87">
        <f t="shared" si="0"/>
        <v>169</v>
      </c>
      <c r="AD1375" s="62">
        <v>0</v>
      </c>
      <c r="AE1375" s="62">
        <v>0</v>
      </c>
      <c r="AF1375" s="62">
        <v>1</v>
      </c>
      <c r="AI1375" s="64"/>
      <c r="AJ1375" s="63">
        <v>1100406</v>
      </c>
      <c r="AL1375" s="64">
        <v>1</v>
      </c>
      <c r="AM1375" s="4"/>
      <c r="AN1375" s="93"/>
      <c r="AO1375" s="92"/>
      <c r="AQ1375" t="s">
        <v>3633</v>
      </c>
      <c r="AS1375">
        <v>1</v>
      </c>
    </row>
    <row r="1376" spans="1:45">
      <c r="A1376">
        <v>1100406</v>
      </c>
      <c r="B1376" s="8">
        <v>1001</v>
      </c>
      <c r="C1376" s="8">
        <v>5</v>
      </c>
      <c r="D1376" s="8">
        <v>1003</v>
      </c>
      <c r="E1376" t="s">
        <v>3635</v>
      </c>
      <c r="F1376" s="13" t="s">
        <v>3623</v>
      </c>
      <c r="G1376" t="s">
        <v>3636</v>
      </c>
      <c r="H1376" t="s">
        <v>3632</v>
      </c>
      <c r="I1376">
        <v>1</v>
      </c>
      <c r="J1376">
        <v>3</v>
      </c>
      <c r="K1376" s="33">
        <v>4</v>
      </c>
      <c r="L1376" s="8">
        <v>99</v>
      </c>
      <c r="M1376" s="8">
        <v>0</v>
      </c>
      <c r="N1376" s="8"/>
      <c r="Q1376" t="s">
        <v>260</v>
      </c>
      <c r="S1376" s="89">
        <v>1</v>
      </c>
      <c r="T1376" s="8">
        <v>5</v>
      </c>
      <c r="U1376" s="89">
        <v>140</v>
      </c>
      <c r="V1376" s="87">
        <v>0</v>
      </c>
      <c r="W1376">
        <v>1</v>
      </c>
      <c r="X1376" s="8">
        <v>1</v>
      </c>
      <c r="Y1376" s="8">
        <v>0</v>
      </c>
      <c r="Z1376" s="33">
        <v>0</v>
      </c>
      <c r="AA1376">
        <v>5</v>
      </c>
      <c r="AB1376" s="34">
        <v>5320</v>
      </c>
      <c r="AC1376" s="87">
        <f t="shared" si="0"/>
        <v>168</v>
      </c>
      <c r="AD1376" s="62">
        <v>0</v>
      </c>
      <c r="AE1376" s="62">
        <v>0</v>
      </c>
      <c r="AF1376" s="62">
        <v>1</v>
      </c>
      <c r="AI1376" s="64"/>
      <c r="AJ1376" s="63">
        <v>1100407</v>
      </c>
      <c r="AL1376" s="64">
        <v>1</v>
      </c>
      <c r="AM1376" s="4"/>
      <c r="AN1376" s="93"/>
      <c r="AO1376" s="92"/>
      <c r="AQ1376" t="s">
        <v>3635</v>
      </c>
      <c r="AS1376">
        <v>1</v>
      </c>
    </row>
    <row r="1377" spans="1:45">
      <c r="A1377">
        <v>1100407</v>
      </c>
      <c r="B1377" s="8">
        <v>1001</v>
      </c>
      <c r="C1377" s="8">
        <v>5</v>
      </c>
      <c r="D1377" s="8">
        <v>1003</v>
      </c>
      <c r="E1377" t="s">
        <v>3637</v>
      </c>
      <c r="F1377" s="13" t="s">
        <v>3623</v>
      </c>
      <c r="G1377" t="s">
        <v>3638</v>
      </c>
      <c r="H1377" t="s">
        <v>3639</v>
      </c>
      <c r="I1377">
        <v>1</v>
      </c>
      <c r="J1377">
        <v>4</v>
      </c>
      <c r="K1377" s="33">
        <v>4</v>
      </c>
      <c r="L1377" s="8">
        <v>99</v>
      </c>
      <c r="M1377" s="8">
        <v>0</v>
      </c>
      <c r="N1377" s="8"/>
      <c r="S1377" s="89">
        <v>1</v>
      </c>
      <c r="T1377" s="8">
        <v>5</v>
      </c>
      <c r="U1377" s="89">
        <v>170</v>
      </c>
      <c r="V1377" s="87">
        <v>0</v>
      </c>
      <c r="W1377">
        <v>1</v>
      </c>
      <c r="X1377" s="8">
        <v>1</v>
      </c>
      <c r="Y1377" s="8">
        <v>0</v>
      </c>
      <c r="Z1377" s="33">
        <v>0</v>
      </c>
      <c r="AA1377">
        <v>5</v>
      </c>
      <c r="AB1377" s="34">
        <v>6460</v>
      </c>
      <c r="AC1377" s="87">
        <f t="shared" si="0"/>
        <v>167</v>
      </c>
      <c r="AD1377" s="62">
        <v>0</v>
      </c>
      <c r="AE1377" s="62">
        <v>0</v>
      </c>
      <c r="AF1377" s="62">
        <v>1</v>
      </c>
      <c r="AI1377" s="64"/>
      <c r="AJ1377" s="63">
        <v>1100408</v>
      </c>
      <c r="AL1377" s="64">
        <v>1</v>
      </c>
      <c r="AM1377" s="4"/>
      <c r="AN1377" s="93"/>
      <c r="AO1377" s="92"/>
      <c r="AQ1377" t="s">
        <v>3637</v>
      </c>
      <c r="AS1377">
        <v>1</v>
      </c>
    </row>
    <row r="1378" spans="1:45">
      <c r="A1378">
        <v>1100408</v>
      </c>
      <c r="B1378" s="8">
        <v>1001</v>
      </c>
      <c r="C1378" s="8">
        <v>5</v>
      </c>
      <c r="D1378" s="8">
        <v>1003</v>
      </c>
      <c r="E1378" t="s">
        <v>3640</v>
      </c>
      <c r="F1378" s="13" t="s">
        <v>3623</v>
      </c>
      <c r="G1378" t="s">
        <v>3641</v>
      </c>
      <c r="H1378" t="s">
        <v>3639</v>
      </c>
      <c r="I1378">
        <v>1</v>
      </c>
      <c r="J1378">
        <v>4</v>
      </c>
      <c r="K1378" s="33">
        <v>4</v>
      </c>
      <c r="L1378" s="8">
        <v>99</v>
      </c>
      <c r="M1378" s="8">
        <v>0</v>
      </c>
      <c r="N1378" s="8"/>
      <c r="S1378" s="89">
        <v>1</v>
      </c>
      <c r="T1378" s="8">
        <v>5</v>
      </c>
      <c r="U1378" s="89">
        <v>170</v>
      </c>
      <c r="V1378" s="87">
        <v>0</v>
      </c>
      <c r="W1378">
        <v>1</v>
      </c>
      <c r="X1378" s="8">
        <v>1</v>
      </c>
      <c r="Y1378" s="8">
        <v>0</v>
      </c>
      <c r="Z1378" s="33">
        <v>0</v>
      </c>
      <c r="AA1378">
        <v>5</v>
      </c>
      <c r="AB1378" s="34">
        <v>6460</v>
      </c>
      <c r="AC1378" s="87">
        <f t="shared" si="0"/>
        <v>166</v>
      </c>
      <c r="AD1378" s="62">
        <v>0</v>
      </c>
      <c r="AE1378" s="62">
        <v>0</v>
      </c>
      <c r="AF1378" s="62">
        <v>1</v>
      </c>
      <c r="AI1378" s="64"/>
      <c r="AJ1378" s="63">
        <v>1100409</v>
      </c>
      <c r="AL1378" s="64">
        <v>1</v>
      </c>
      <c r="AM1378" s="4"/>
      <c r="AN1378" s="93"/>
      <c r="AO1378" s="92"/>
      <c r="AQ1378" t="s">
        <v>3640</v>
      </c>
      <c r="AS1378">
        <v>1</v>
      </c>
    </row>
    <row r="1379" spans="1:45">
      <c r="A1379">
        <v>1100409</v>
      </c>
      <c r="B1379" s="8">
        <v>1001</v>
      </c>
      <c r="C1379" s="8">
        <v>5</v>
      </c>
      <c r="D1379" s="8">
        <v>1003</v>
      </c>
      <c r="E1379" t="s">
        <v>3642</v>
      </c>
      <c r="F1379" s="13" t="s">
        <v>3623</v>
      </c>
      <c r="G1379" t="s">
        <v>3643</v>
      </c>
      <c r="H1379" t="s">
        <v>3639</v>
      </c>
      <c r="I1379">
        <v>1</v>
      </c>
      <c r="J1379">
        <v>5</v>
      </c>
      <c r="K1379" s="33">
        <v>4</v>
      </c>
      <c r="L1379" s="8">
        <v>99</v>
      </c>
      <c r="M1379" s="8">
        <v>0</v>
      </c>
      <c r="N1379" s="8"/>
      <c r="S1379" s="89">
        <v>1</v>
      </c>
      <c r="T1379" s="8">
        <v>5</v>
      </c>
      <c r="U1379" s="89">
        <v>200</v>
      </c>
      <c r="V1379" s="87">
        <v>0</v>
      </c>
      <c r="W1379">
        <v>1</v>
      </c>
      <c r="X1379" s="8">
        <v>1</v>
      </c>
      <c r="Y1379" s="8">
        <v>0</v>
      </c>
      <c r="Z1379" s="33">
        <v>0</v>
      </c>
      <c r="AA1379">
        <v>5</v>
      </c>
      <c r="AB1379" s="34">
        <v>7600</v>
      </c>
      <c r="AC1379" s="87">
        <f t="shared" si="0"/>
        <v>165</v>
      </c>
      <c r="AD1379" s="62">
        <v>0</v>
      </c>
      <c r="AE1379" s="62">
        <v>0</v>
      </c>
      <c r="AF1379" s="62">
        <v>1</v>
      </c>
      <c r="AI1379" s="64"/>
      <c r="AJ1379" s="63">
        <v>1100410</v>
      </c>
      <c r="AL1379" s="64">
        <v>1</v>
      </c>
      <c r="AM1379" s="4"/>
      <c r="AN1379" s="93"/>
      <c r="AO1379" s="92"/>
      <c r="AQ1379" t="s">
        <v>3642</v>
      </c>
      <c r="AS1379">
        <v>1</v>
      </c>
    </row>
    <row r="1380" spans="1:45">
      <c r="A1380">
        <v>1100410</v>
      </c>
      <c r="B1380" s="8">
        <v>1001</v>
      </c>
      <c r="C1380" s="8">
        <v>5</v>
      </c>
      <c r="D1380" s="8">
        <v>1003</v>
      </c>
      <c r="E1380" t="s">
        <v>3644</v>
      </c>
      <c r="F1380" s="13" t="s">
        <v>3623</v>
      </c>
      <c r="G1380" t="s">
        <v>3645</v>
      </c>
      <c r="H1380" t="s">
        <v>3646</v>
      </c>
      <c r="I1380">
        <v>1</v>
      </c>
      <c r="J1380">
        <v>5</v>
      </c>
      <c r="K1380" s="33">
        <v>4</v>
      </c>
      <c r="L1380" s="8">
        <v>99</v>
      </c>
      <c r="M1380" s="8">
        <v>0</v>
      </c>
      <c r="N1380" s="8"/>
      <c r="S1380" s="89">
        <v>1</v>
      </c>
      <c r="T1380" s="8">
        <v>5</v>
      </c>
      <c r="U1380" s="89">
        <v>200</v>
      </c>
      <c r="V1380" s="87">
        <v>0</v>
      </c>
      <c r="W1380">
        <v>1</v>
      </c>
      <c r="X1380" s="8">
        <v>1</v>
      </c>
      <c r="Y1380" s="8">
        <v>0</v>
      </c>
      <c r="Z1380" s="33">
        <v>0</v>
      </c>
      <c r="AA1380">
        <v>5</v>
      </c>
      <c r="AB1380" s="34">
        <v>7600</v>
      </c>
      <c r="AC1380" s="87">
        <f t="shared" si="0"/>
        <v>164</v>
      </c>
      <c r="AD1380" s="62">
        <v>0</v>
      </c>
      <c r="AE1380" s="62">
        <v>0</v>
      </c>
      <c r="AF1380" s="62">
        <v>1</v>
      </c>
      <c r="AI1380" s="64"/>
      <c r="AJ1380" s="63">
        <v>1100411</v>
      </c>
      <c r="AL1380" s="64">
        <v>1</v>
      </c>
      <c r="AM1380" s="4"/>
      <c r="AN1380" s="93"/>
      <c r="AO1380" s="92"/>
      <c r="AQ1380" t="s">
        <v>3644</v>
      </c>
      <c r="AS1380">
        <v>1</v>
      </c>
    </row>
    <row r="1381" spans="1:45">
      <c r="A1381">
        <v>1100411</v>
      </c>
      <c r="B1381" s="8">
        <v>1001</v>
      </c>
      <c r="C1381" s="8">
        <v>5</v>
      </c>
      <c r="D1381" s="8">
        <v>1003</v>
      </c>
      <c r="E1381" t="s">
        <v>3647</v>
      </c>
      <c r="F1381" s="13" t="s">
        <v>3623</v>
      </c>
      <c r="G1381" t="s">
        <v>3648</v>
      </c>
      <c r="H1381" t="s">
        <v>3649</v>
      </c>
      <c r="I1381">
        <v>1</v>
      </c>
      <c r="J1381">
        <v>5</v>
      </c>
      <c r="K1381" s="33">
        <v>4</v>
      </c>
      <c r="L1381" s="8">
        <v>99</v>
      </c>
      <c r="M1381" s="8">
        <v>0</v>
      </c>
      <c r="N1381" s="8"/>
      <c r="S1381" s="89">
        <v>1</v>
      </c>
      <c r="T1381" s="8">
        <v>5</v>
      </c>
      <c r="U1381" s="89">
        <v>200</v>
      </c>
      <c r="V1381" s="87">
        <v>0</v>
      </c>
      <c r="W1381">
        <v>1</v>
      </c>
      <c r="X1381" s="8">
        <v>1</v>
      </c>
      <c r="Y1381" s="8">
        <v>0</v>
      </c>
      <c r="Z1381" s="33">
        <v>0</v>
      </c>
      <c r="AA1381">
        <v>5</v>
      </c>
      <c r="AB1381" s="34">
        <v>7600</v>
      </c>
      <c r="AC1381" s="87">
        <f t="shared" si="0"/>
        <v>163</v>
      </c>
      <c r="AD1381" s="62">
        <v>0</v>
      </c>
      <c r="AE1381" s="62">
        <v>0</v>
      </c>
      <c r="AF1381" s="62">
        <v>1</v>
      </c>
      <c r="AI1381" s="64"/>
      <c r="AJ1381" s="63">
        <v>1100412</v>
      </c>
      <c r="AL1381" s="64">
        <v>1</v>
      </c>
      <c r="AM1381" s="4"/>
      <c r="AN1381" s="93"/>
      <c r="AO1381" s="92"/>
      <c r="AQ1381" t="s">
        <v>3647</v>
      </c>
      <c r="AS1381">
        <v>1</v>
      </c>
    </row>
    <row r="1382" spans="1:45">
      <c r="A1382">
        <v>1100412</v>
      </c>
      <c r="B1382" s="8">
        <v>1001</v>
      </c>
      <c r="C1382" s="8">
        <v>5</v>
      </c>
      <c r="D1382" s="8">
        <v>1003</v>
      </c>
      <c r="E1382" t="s">
        <v>3650</v>
      </c>
      <c r="F1382" s="13" t="s">
        <v>3623</v>
      </c>
      <c r="G1382" t="s">
        <v>3651</v>
      </c>
      <c r="H1382" t="s">
        <v>3649</v>
      </c>
      <c r="I1382">
        <v>1</v>
      </c>
      <c r="J1382">
        <v>5</v>
      </c>
      <c r="K1382" s="33">
        <v>1</v>
      </c>
      <c r="L1382" s="8">
        <v>99</v>
      </c>
      <c r="M1382" s="8">
        <v>0</v>
      </c>
      <c r="N1382" s="8"/>
      <c r="Q1382"/>
      <c r="S1382" s="89">
        <v>1</v>
      </c>
      <c r="T1382" s="8">
        <v>5</v>
      </c>
      <c r="U1382" s="89">
        <v>200</v>
      </c>
      <c r="V1382" s="87">
        <v>0</v>
      </c>
      <c r="W1382">
        <v>1</v>
      </c>
      <c r="X1382" s="8">
        <v>1</v>
      </c>
      <c r="Y1382" s="8">
        <v>0</v>
      </c>
      <c r="Z1382" s="33">
        <v>0</v>
      </c>
      <c r="AA1382">
        <v>5</v>
      </c>
      <c r="AB1382" s="34">
        <v>7600</v>
      </c>
      <c r="AC1382" s="87">
        <f t="shared" si="0"/>
        <v>162</v>
      </c>
      <c r="AD1382" s="62">
        <v>0</v>
      </c>
      <c r="AE1382" s="62">
        <v>0</v>
      </c>
      <c r="AF1382" s="62">
        <v>1</v>
      </c>
      <c r="AI1382" s="64"/>
      <c r="AL1382" s="64">
        <v>1</v>
      </c>
      <c r="AM1382" s="4"/>
      <c r="AN1382" s="93"/>
      <c r="AO1382" s="92"/>
      <c r="AQ1382" t="s">
        <v>3650</v>
      </c>
      <c r="AS1382">
        <v>1</v>
      </c>
    </row>
    <row r="1383" spans="1:45">
      <c r="A1383">
        <v>1100501</v>
      </c>
      <c r="B1383" s="8">
        <v>1001</v>
      </c>
      <c r="C1383" s="8">
        <v>5</v>
      </c>
      <c r="D1383" s="8">
        <v>1003</v>
      </c>
      <c r="E1383" t="s">
        <v>3652</v>
      </c>
      <c r="F1383" s="13" t="s">
        <v>3653</v>
      </c>
      <c r="G1383" t="s">
        <v>3654</v>
      </c>
      <c r="H1383" t="s">
        <v>3655</v>
      </c>
      <c r="I1383">
        <v>1</v>
      </c>
      <c r="J1383">
        <v>1</v>
      </c>
      <c r="K1383" s="33">
        <v>4</v>
      </c>
      <c r="L1383" s="8">
        <v>99</v>
      </c>
      <c r="M1383" s="8">
        <v>0</v>
      </c>
      <c r="N1383" s="8"/>
      <c r="Q1383" t="s">
        <v>260</v>
      </c>
      <c r="S1383" s="89">
        <v>1</v>
      </c>
      <c r="T1383" s="8">
        <v>5</v>
      </c>
      <c r="U1383" s="89">
        <v>80</v>
      </c>
      <c r="V1383" s="87">
        <v>0</v>
      </c>
      <c r="W1383">
        <v>1</v>
      </c>
      <c r="X1383" s="8">
        <v>1</v>
      </c>
      <c r="Y1383" s="8">
        <v>0</v>
      </c>
      <c r="Z1383" s="33">
        <v>2</v>
      </c>
      <c r="AA1383">
        <v>5</v>
      </c>
      <c r="AB1383" s="34">
        <v>3040</v>
      </c>
      <c r="AC1383" s="87">
        <f t="shared" si="0"/>
        <v>161</v>
      </c>
      <c r="AD1383" s="62">
        <v>0</v>
      </c>
      <c r="AE1383" s="62">
        <v>0</v>
      </c>
      <c r="AF1383" s="62">
        <v>1</v>
      </c>
      <c r="AI1383" s="64"/>
      <c r="AJ1383" s="63">
        <v>1100502</v>
      </c>
      <c r="AL1383" s="64">
        <v>1</v>
      </c>
      <c r="AM1383" s="4"/>
      <c r="AN1383" s="93" t="s">
        <v>3535</v>
      </c>
      <c r="AO1383" s="92"/>
      <c r="AQ1383" t="s">
        <v>3652</v>
      </c>
      <c r="AS1383">
        <v>1</v>
      </c>
    </row>
    <row r="1384" spans="1:45">
      <c r="A1384">
        <v>1100502</v>
      </c>
      <c r="B1384" s="8">
        <v>1001</v>
      </c>
      <c r="C1384" s="8">
        <v>5</v>
      </c>
      <c r="D1384" s="8">
        <v>1003</v>
      </c>
      <c r="E1384" t="s">
        <v>3656</v>
      </c>
      <c r="F1384" s="13" t="s">
        <v>3653</v>
      </c>
      <c r="G1384" t="s">
        <v>3657</v>
      </c>
      <c r="H1384" t="s">
        <v>3655</v>
      </c>
      <c r="I1384">
        <v>1</v>
      </c>
      <c r="J1384">
        <v>1</v>
      </c>
      <c r="K1384" s="33">
        <v>4</v>
      </c>
      <c r="L1384" s="8">
        <v>99</v>
      </c>
      <c r="M1384" s="8">
        <v>0</v>
      </c>
      <c r="N1384" s="8"/>
      <c r="Q1384" t="s">
        <v>260</v>
      </c>
      <c r="S1384" s="89">
        <v>1</v>
      </c>
      <c r="T1384" s="8">
        <v>5</v>
      </c>
      <c r="U1384" s="89">
        <v>80</v>
      </c>
      <c r="V1384" s="87">
        <v>0</v>
      </c>
      <c r="W1384">
        <v>1</v>
      </c>
      <c r="X1384" s="8">
        <v>1</v>
      </c>
      <c r="Y1384" s="8">
        <v>0</v>
      </c>
      <c r="Z1384" s="33">
        <v>2</v>
      </c>
      <c r="AA1384">
        <v>5</v>
      </c>
      <c r="AB1384" s="34">
        <v>3040</v>
      </c>
      <c r="AC1384" s="87">
        <f t="shared" si="0"/>
        <v>161</v>
      </c>
      <c r="AD1384" s="62">
        <v>0</v>
      </c>
      <c r="AE1384" s="62">
        <v>0</v>
      </c>
      <c r="AF1384" s="62">
        <v>1</v>
      </c>
      <c r="AI1384" s="64"/>
      <c r="AJ1384" s="63">
        <v>1100503</v>
      </c>
      <c r="AL1384" s="64">
        <v>1</v>
      </c>
      <c r="AM1384" s="4"/>
      <c r="AN1384" s="93"/>
      <c r="AO1384" s="92"/>
      <c r="AQ1384" t="s">
        <v>3656</v>
      </c>
      <c r="AS1384">
        <v>1</v>
      </c>
    </row>
    <row r="1385" spans="1:45">
      <c r="A1385">
        <v>1100503</v>
      </c>
      <c r="B1385" s="8">
        <v>1001</v>
      </c>
      <c r="C1385" s="8">
        <v>5</v>
      </c>
      <c r="D1385" s="8">
        <v>1003</v>
      </c>
      <c r="E1385" t="s">
        <v>3658</v>
      </c>
      <c r="F1385" s="13" t="s">
        <v>3653</v>
      </c>
      <c r="G1385" t="s">
        <v>3659</v>
      </c>
      <c r="H1385" t="s">
        <v>3655</v>
      </c>
      <c r="I1385">
        <v>1</v>
      </c>
      <c r="J1385">
        <v>2</v>
      </c>
      <c r="K1385" s="33">
        <v>4</v>
      </c>
      <c r="L1385" s="8">
        <v>99</v>
      </c>
      <c r="M1385" s="8">
        <v>0</v>
      </c>
      <c r="N1385" s="8"/>
      <c r="Q1385" t="s">
        <v>260</v>
      </c>
      <c r="S1385" s="89">
        <v>1</v>
      </c>
      <c r="T1385" s="8">
        <v>5</v>
      </c>
      <c r="U1385" s="89">
        <v>110</v>
      </c>
      <c r="V1385" s="87">
        <v>0</v>
      </c>
      <c r="W1385">
        <v>1</v>
      </c>
      <c r="X1385" s="8">
        <v>1</v>
      </c>
      <c r="Y1385" s="8">
        <v>0</v>
      </c>
      <c r="Z1385" s="33">
        <v>2</v>
      </c>
      <c r="AA1385">
        <v>5</v>
      </c>
      <c r="AB1385" s="34">
        <v>4180</v>
      </c>
      <c r="AC1385" s="87">
        <f t="shared" si="0"/>
        <v>161</v>
      </c>
      <c r="AD1385" s="62">
        <v>0</v>
      </c>
      <c r="AE1385" s="62">
        <v>0</v>
      </c>
      <c r="AF1385" s="62">
        <v>1</v>
      </c>
      <c r="AI1385" s="64"/>
      <c r="AJ1385" s="63">
        <v>1100504</v>
      </c>
      <c r="AL1385" s="64">
        <v>1</v>
      </c>
      <c r="AM1385" s="4"/>
      <c r="AN1385" s="93"/>
      <c r="AO1385" s="92"/>
      <c r="AQ1385" t="s">
        <v>3658</v>
      </c>
      <c r="AS1385">
        <v>1</v>
      </c>
    </row>
    <row r="1386" spans="1:45">
      <c r="A1386">
        <v>1100504</v>
      </c>
      <c r="B1386" s="8">
        <v>1001</v>
      </c>
      <c r="C1386" s="8">
        <v>5</v>
      </c>
      <c r="D1386" s="8">
        <v>1003</v>
      </c>
      <c r="E1386" t="s">
        <v>3660</v>
      </c>
      <c r="F1386" s="13" t="s">
        <v>3653</v>
      </c>
      <c r="G1386" t="s">
        <v>3661</v>
      </c>
      <c r="H1386" t="s">
        <v>3662</v>
      </c>
      <c r="I1386">
        <v>1</v>
      </c>
      <c r="J1386">
        <v>2</v>
      </c>
      <c r="K1386" s="33">
        <v>4</v>
      </c>
      <c r="L1386" s="8">
        <v>99</v>
      </c>
      <c r="M1386" s="8">
        <v>0</v>
      </c>
      <c r="N1386" s="8"/>
      <c r="Q1386" t="s">
        <v>260</v>
      </c>
      <c r="S1386" s="89">
        <v>1</v>
      </c>
      <c r="T1386" s="8">
        <v>5</v>
      </c>
      <c r="U1386" s="89">
        <v>110</v>
      </c>
      <c r="V1386" s="87">
        <v>0</v>
      </c>
      <c r="W1386">
        <v>1</v>
      </c>
      <c r="X1386" s="8">
        <v>1</v>
      </c>
      <c r="Y1386" s="8">
        <v>0</v>
      </c>
      <c r="Z1386" s="33">
        <v>2</v>
      </c>
      <c r="AA1386">
        <v>5</v>
      </c>
      <c r="AB1386" s="34">
        <v>4180</v>
      </c>
      <c r="AC1386" s="87">
        <f t="shared" si="0"/>
        <v>461</v>
      </c>
      <c r="AD1386" s="62">
        <v>0</v>
      </c>
      <c r="AE1386" s="62">
        <v>0</v>
      </c>
      <c r="AF1386" s="62">
        <v>1</v>
      </c>
      <c r="AI1386" s="64"/>
      <c r="AJ1386" s="63">
        <v>1100505</v>
      </c>
      <c r="AL1386" s="64">
        <v>1</v>
      </c>
      <c r="AM1386" s="4"/>
      <c r="AN1386" s="93"/>
      <c r="AO1386" s="92"/>
      <c r="AQ1386" t="s">
        <v>3660</v>
      </c>
      <c r="AS1386">
        <v>1</v>
      </c>
    </row>
    <row r="1387" spans="1:45">
      <c r="A1387">
        <v>1100505</v>
      </c>
      <c r="B1387" s="8">
        <v>1001</v>
      </c>
      <c r="C1387" s="8">
        <v>5</v>
      </c>
      <c r="D1387" s="8">
        <v>1003</v>
      </c>
      <c r="E1387" t="s">
        <v>3663</v>
      </c>
      <c r="F1387" s="13" t="s">
        <v>3653</v>
      </c>
      <c r="G1387" t="s">
        <v>3664</v>
      </c>
      <c r="H1387" t="s">
        <v>3662</v>
      </c>
      <c r="I1387">
        <v>1</v>
      </c>
      <c r="J1387">
        <v>3</v>
      </c>
      <c r="K1387" s="33">
        <v>4</v>
      </c>
      <c r="L1387" s="8">
        <v>99</v>
      </c>
      <c r="M1387" s="8">
        <v>0</v>
      </c>
      <c r="N1387" s="8"/>
      <c r="Q1387" t="s">
        <v>260</v>
      </c>
      <c r="S1387" s="89">
        <v>1</v>
      </c>
      <c r="T1387" s="8">
        <v>5</v>
      </c>
      <c r="U1387" s="89">
        <v>140</v>
      </c>
      <c r="V1387" s="87">
        <v>0</v>
      </c>
      <c r="W1387">
        <v>1</v>
      </c>
      <c r="X1387" s="8">
        <v>1</v>
      </c>
      <c r="Y1387" s="8">
        <v>0</v>
      </c>
      <c r="Z1387" s="33">
        <v>2</v>
      </c>
      <c r="AA1387">
        <v>5</v>
      </c>
      <c r="AB1387" s="34">
        <v>5320</v>
      </c>
      <c r="AC1387" s="87">
        <f t="shared" si="0"/>
        <v>180</v>
      </c>
      <c r="AD1387" s="62">
        <v>0</v>
      </c>
      <c r="AE1387" s="62">
        <v>0</v>
      </c>
      <c r="AF1387" s="62">
        <v>1</v>
      </c>
      <c r="AI1387" s="64"/>
      <c r="AJ1387" s="63">
        <v>1100506</v>
      </c>
      <c r="AL1387" s="64">
        <v>1</v>
      </c>
      <c r="AM1387" s="4"/>
      <c r="AN1387" s="93"/>
      <c r="AO1387" s="92"/>
      <c r="AQ1387" t="s">
        <v>3663</v>
      </c>
      <c r="AS1387">
        <v>1</v>
      </c>
    </row>
    <row r="1388" spans="1:45">
      <c r="A1388">
        <v>1100506</v>
      </c>
      <c r="B1388" s="8">
        <v>1001</v>
      </c>
      <c r="C1388" s="8">
        <v>5</v>
      </c>
      <c r="D1388" s="8">
        <v>1003</v>
      </c>
      <c r="E1388" t="s">
        <v>3665</v>
      </c>
      <c r="F1388" s="13" t="s">
        <v>3653</v>
      </c>
      <c r="G1388" t="s">
        <v>3666</v>
      </c>
      <c r="H1388" t="s">
        <v>3662</v>
      </c>
      <c r="I1388">
        <v>1</v>
      </c>
      <c r="J1388">
        <v>3</v>
      </c>
      <c r="K1388" s="33">
        <v>4</v>
      </c>
      <c r="L1388" s="8">
        <v>99</v>
      </c>
      <c r="M1388" s="8">
        <v>0</v>
      </c>
      <c r="N1388" s="8"/>
      <c r="Q1388" t="s">
        <v>260</v>
      </c>
      <c r="S1388" s="89">
        <v>1</v>
      </c>
      <c r="T1388" s="8">
        <v>5</v>
      </c>
      <c r="U1388" s="89">
        <v>140</v>
      </c>
      <c r="V1388" s="87">
        <v>0</v>
      </c>
      <c r="W1388">
        <v>1</v>
      </c>
      <c r="X1388" s="8">
        <v>1</v>
      </c>
      <c r="Y1388" s="8">
        <v>0</v>
      </c>
      <c r="Z1388" s="33">
        <v>0</v>
      </c>
      <c r="AA1388">
        <v>5</v>
      </c>
      <c r="AB1388" s="34">
        <v>5320</v>
      </c>
      <c r="AC1388" s="87">
        <f t="shared" si="0"/>
        <v>179</v>
      </c>
      <c r="AD1388" s="62">
        <v>0</v>
      </c>
      <c r="AE1388" s="62">
        <v>0</v>
      </c>
      <c r="AF1388" s="62">
        <v>1</v>
      </c>
      <c r="AI1388" s="64"/>
      <c r="AJ1388" s="63">
        <v>1100507</v>
      </c>
      <c r="AL1388" s="64">
        <v>1</v>
      </c>
      <c r="AM1388" s="4"/>
      <c r="AN1388" s="93"/>
      <c r="AO1388" s="92"/>
      <c r="AQ1388" t="s">
        <v>3665</v>
      </c>
      <c r="AS1388">
        <v>1</v>
      </c>
    </row>
    <row r="1389" spans="1:45">
      <c r="A1389">
        <v>1100507</v>
      </c>
      <c r="B1389" s="8">
        <v>1001</v>
      </c>
      <c r="C1389" s="8">
        <v>5</v>
      </c>
      <c r="D1389" s="8">
        <v>1003</v>
      </c>
      <c r="E1389" t="s">
        <v>3667</v>
      </c>
      <c r="F1389" s="13" t="s">
        <v>3653</v>
      </c>
      <c r="G1389" t="s">
        <v>3668</v>
      </c>
      <c r="H1389" t="s">
        <v>3669</v>
      </c>
      <c r="I1389">
        <v>1</v>
      </c>
      <c r="J1389">
        <v>4</v>
      </c>
      <c r="K1389" s="33">
        <v>4</v>
      </c>
      <c r="L1389" s="8">
        <v>99</v>
      </c>
      <c r="M1389" s="8">
        <v>0</v>
      </c>
      <c r="N1389" s="8"/>
      <c r="S1389" s="89">
        <v>1</v>
      </c>
      <c r="T1389" s="8">
        <v>5</v>
      </c>
      <c r="U1389" s="89">
        <v>170</v>
      </c>
      <c r="V1389" s="87">
        <v>0</v>
      </c>
      <c r="W1389">
        <v>1</v>
      </c>
      <c r="X1389" s="8">
        <v>1</v>
      </c>
      <c r="Y1389" s="8">
        <v>0</v>
      </c>
      <c r="Z1389" s="33">
        <v>0</v>
      </c>
      <c r="AA1389">
        <v>5</v>
      </c>
      <c r="AB1389" s="34">
        <v>6460</v>
      </c>
      <c r="AC1389" s="87">
        <f t="shared" si="0"/>
        <v>178</v>
      </c>
      <c r="AD1389" s="62">
        <v>0</v>
      </c>
      <c r="AE1389" s="62">
        <v>0</v>
      </c>
      <c r="AF1389" s="62">
        <v>1</v>
      </c>
      <c r="AI1389" s="64"/>
      <c r="AJ1389" s="63">
        <v>1100508</v>
      </c>
      <c r="AL1389" s="64">
        <v>1</v>
      </c>
      <c r="AM1389" s="4"/>
      <c r="AN1389" s="93"/>
      <c r="AO1389" s="92"/>
      <c r="AQ1389" t="s">
        <v>3667</v>
      </c>
      <c r="AS1389">
        <v>1</v>
      </c>
    </row>
    <row r="1390" spans="1:45">
      <c r="A1390">
        <v>1100508</v>
      </c>
      <c r="B1390" s="8">
        <v>1001</v>
      </c>
      <c r="C1390" s="8">
        <v>5</v>
      </c>
      <c r="D1390" s="8">
        <v>1003</v>
      </c>
      <c r="E1390" t="s">
        <v>3670</v>
      </c>
      <c r="F1390" s="13" t="s">
        <v>3653</v>
      </c>
      <c r="G1390" t="s">
        <v>3671</v>
      </c>
      <c r="H1390" t="s">
        <v>3669</v>
      </c>
      <c r="I1390">
        <v>1</v>
      </c>
      <c r="J1390">
        <v>4</v>
      </c>
      <c r="K1390" s="33">
        <v>4</v>
      </c>
      <c r="L1390" s="8">
        <v>99</v>
      </c>
      <c r="M1390" s="8">
        <v>0</v>
      </c>
      <c r="N1390" s="8"/>
      <c r="S1390" s="89">
        <v>1</v>
      </c>
      <c r="T1390" s="8">
        <v>5</v>
      </c>
      <c r="U1390" s="89">
        <v>170</v>
      </c>
      <c r="V1390" s="87">
        <v>0</v>
      </c>
      <c r="W1390">
        <v>1</v>
      </c>
      <c r="X1390" s="8">
        <v>1</v>
      </c>
      <c r="Y1390" s="8">
        <v>0</v>
      </c>
      <c r="Z1390" s="33">
        <v>0</v>
      </c>
      <c r="AA1390">
        <v>5</v>
      </c>
      <c r="AB1390" s="34">
        <v>6460</v>
      </c>
      <c r="AC1390" s="87">
        <f t="shared" si="0"/>
        <v>177</v>
      </c>
      <c r="AD1390" s="62">
        <v>0</v>
      </c>
      <c r="AE1390" s="62">
        <v>0</v>
      </c>
      <c r="AF1390" s="62">
        <v>1</v>
      </c>
      <c r="AI1390" s="64"/>
      <c r="AJ1390" s="63">
        <v>1100509</v>
      </c>
      <c r="AL1390" s="64">
        <v>1</v>
      </c>
      <c r="AM1390" s="4"/>
      <c r="AN1390" s="93"/>
      <c r="AO1390" s="92"/>
      <c r="AQ1390" t="s">
        <v>3670</v>
      </c>
      <c r="AS1390">
        <v>1</v>
      </c>
    </row>
    <row r="1391" spans="1:45">
      <c r="A1391">
        <v>1100509</v>
      </c>
      <c r="B1391" s="8">
        <v>1001</v>
      </c>
      <c r="C1391" s="8">
        <v>5</v>
      </c>
      <c r="D1391" s="8">
        <v>1003</v>
      </c>
      <c r="E1391" t="s">
        <v>3672</v>
      </c>
      <c r="F1391" s="13" t="s">
        <v>3653</v>
      </c>
      <c r="G1391" t="s">
        <v>3673</v>
      </c>
      <c r="H1391" t="s">
        <v>3669</v>
      </c>
      <c r="I1391">
        <v>1</v>
      </c>
      <c r="J1391">
        <v>5</v>
      </c>
      <c r="K1391" s="33">
        <v>4</v>
      </c>
      <c r="L1391" s="8">
        <v>99</v>
      </c>
      <c r="M1391" s="8">
        <v>0</v>
      </c>
      <c r="N1391" s="8"/>
      <c r="S1391" s="89">
        <v>1</v>
      </c>
      <c r="T1391" s="8">
        <v>5</v>
      </c>
      <c r="U1391" s="89">
        <v>200</v>
      </c>
      <c r="V1391" s="87">
        <v>0</v>
      </c>
      <c r="W1391">
        <v>1</v>
      </c>
      <c r="X1391" s="8">
        <v>1</v>
      </c>
      <c r="Y1391" s="8">
        <v>0</v>
      </c>
      <c r="Z1391" s="33">
        <v>0</v>
      </c>
      <c r="AA1391">
        <v>5</v>
      </c>
      <c r="AB1391" s="34">
        <v>7600</v>
      </c>
      <c r="AC1391" s="87">
        <f t="shared" si="0"/>
        <v>176</v>
      </c>
      <c r="AD1391" s="62">
        <v>0</v>
      </c>
      <c r="AE1391" s="62">
        <v>0</v>
      </c>
      <c r="AF1391" s="62">
        <v>1</v>
      </c>
      <c r="AI1391" s="64"/>
      <c r="AJ1391" s="63">
        <v>1100510</v>
      </c>
      <c r="AL1391" s="64">
        <v>1</v>
      </c>
      <c r="AM1391" s="4"/>
      <c r="AN1391" s="93"/>
      <c r="AO1391" s="92"/>
      <c r="AQ1391" t="s">
        <v>3672</v>
      </c>
      <c r="AS1391">
        <v>1</v>
      </c>
    </row>
    <row r="1392" spans="1:45">
      <c r="A1392">
        <v>1100510</v>
      </c>
      <c r="B1392" s="8">
        <v>1001</v>
      </c>
      <c r="C1392" s="8">
        <v>5</v>
      </c>
      <c r="D1392" s="8">
        <v>1003</v>
      </c>
      <c r="E1392" t="s">
        <v>3674</v>
      </c>
      <c r="F1392" s="13" t="s">
        <v>3653</v>
      </c>
      <c r="G1392" t="s">
        <v>3675</v>
      </c>
      <c r="H1392" t="s">
        <v>3676</v>
      </c>
      <c r="I1392">
        <v>1</v>
      </c>
      <c r="J1392">
        <v>5</v>
      </c>
      <c r="K1392" s="33">
        <v>4</v>
      </c>
      <c r="L1392" s="8">
        <v>99</v>
      </c>
      <c r="M1392" s="8">
        <v>0</v>
      </c>
      <c r="N1392" s="8"/>
      <c r="S1392" s="89">
        <v>1</v>
      </c>
      <c r="T1392" s="8">
        <v>5</v>
      </c>
      <c r="U1392" s="89">
        <v>200</v>
      </c>
      <c r="V1392" s="87">
        <v>0</v>
      </c>
      <c r="W1392">
        <v>1</v>
      </c>
      <c r="X1392" s="8">
        <v>1</v>
      </c>
      <c r="Y1392" s="8">
        <v>0</v>
      </c>
      <c r="Z1392" s="33">
        <v>0</v>
      </c>
      <c r="AA1392">
        <v>5</v>
      </c>
      <c r="AB1392" s="34">
        <v>7600</v>
      </c>
      <c r="AC1392" s="87">
        <f t="shared" si="0"/>
        <v>175</v>
      </c>
      <c r="AD1392" s="62">
        <v>0</v>
      </c>
      <c r="AE1392" s="62">
        <v>0</v>
      </c>
      <c r="AF1392" s="62">
        <v>1</v>
      </c>
      <c r="AI1392" s="64"/>
      <c r="AJ1392" s="63">
        <v>1100511</v>
      </c>
      <c r="AL1392" s="64">
        <v>1</v>
      </c>
      <c r="AM1392" s="4"/>
      <c r="AN1392" s="93"/>
      <c r="AO1392" s="92"/>
      <c r="AQ1392" t="s">
        <v>3674</v>
      </c>
      <c r="AS1392">
        <v>1</v>
      </c>
    </row>
    <row r="1393" spans="1:45">
      <c r="A1393">
        <v>1100511</v>
      </c>
      <c r="B1393" s="8">
        <v>1001</v>
      </c>
      <c r="C1393" s="8">
        <v>5</v>
      </c>
      <c r="D1393" s="8">
        <v>1003</v>
      </c>
      <c r="E1393" t="s">
        <v>3677</v>
      </c>
      <c r="F1393" s="13" t="s">
        <v>3653</v>
      </c>
      <c r="G1393" t="s">
        <v>3678</v>
      </c>
      <c r="H1393" t="s">
        <v>3679</v>
      </c>
      <c r="I1393">
        <v>1</v>
      </c>
      <c r="J1393">
        <v>5</v>
      </c>
      <c r="K1393" s="33">
        <v>4</v>
      </c>
      <c r="L1393" s="8">
        <v>99</v>
      </c>
      <c r="M1393" s="8">
        <v>0</v>
      </c>
      <c r="N1393" s="8"/>
      <c r="S1393" s="89">
        <v>1</v>
      </c>
      <c r="T1393" s="8">
        <v>5</v>
      </c>
      <c r="U1393" s="89">
        <v>200</v>
      </c>
      <c r="V1393" s="87">
        <v>0</v>
      </c>
      <c r="W1393">
        <v>1</v>
      </c>
      <c r="X1393" s="8">
        <v>1</v>
      </c>
      <c r="Y1393" s="8">
        <v>0</v>
      </c>
      <c r="Z1393" s="33">
        <v>0</v>
      </c>
      <c r="AA1393">
        <v>5</v>
      </c>
      <c r="AB1393" s="34">
        <v>7600</v>
      </c>
      <c r="AC1393" s="87">
        <f t="shared" si="0"/>
        <v>174</v>
      </c>
      <c r="AD1393" s="62">
        <v>0</v>
      </c>
      <c r="AE1393" s="62">
        <v>0</v>
      </c>
      <c r="AF1393" s="62">
        <v>1</v>
      </c>
      <c r="AI1393" s="64"/>
      <c r="AJ1393" s="63">
        <v>1100512</v>
      </c>
      <c r="AL1393" s="64">
        <v>1</v>
      </c>
      <c r="AM1393" s="4"/>
      <c r="AN1393" s="93"/>
      <c r="AO1393" s="92"/>
      <c r="AQ1393" t="s">
        <v>3677</v>
      </c>
      <c r="AS1393">
        <v>1</v>
      </c>
    </row>
    <row r="1394" spans="1:45">
      <c r="A1394">
        <v>1100512</v>
      </c>
      <c r="B1394" s="8">
        <v>1001</v>
      </c>
      <c r="C1394" s="8">
        <v>5</v>
      </c>
      <c r="D1394" s="8">
        <v>1003</v>
      </c>
      <c r="E1394" t="s">
        <v>3680</v>
      </c>
      <c r="F1394" s="13" t="s">
        <v>3653</v>
      </c>
      <c r="G1394" t="s">
        <v>3681</v>
      </c>
      <c r="H1394" t="s">
        <v>3679</v>
      </c>
      <c r="I1394">
        <v>1</v>
      </c>
      <c r="J1394">
        <v>5</v>
      </c>
      <c r="K1394" s="33">
        <v>1</v>
      </c>
      <c r="L1394" s="8">
        <v>99</v>
      </c>
      <c r="M1394" s="8">
        <v>0</v>
      </c>
      <c r="N1394" s="8"/>
      <c r="Q1394"/>
      <c r="S1394" s="89">
        <v>1</v>
      </c>
      <c r="T1394" s="8">
        <v>5</v>
      </c>
      <c r="U1394" s="89">
        <v>200</v>
      </c>
      <c r="V1394" s="87">
        <v>0</v>
      </c>
      <c r="W1394">
        <v>1</v>
      </c>
      <c r="X1394" s="8">
        <v>1</v>
      </c>
      <c r="Y1394" s="8">
        <v>0</v>
      </c>
      <c r="Z1394" s="33">
        <v>0</v>
      </c>
      <c r="AA1394">
        <v>5</v>
      </c>
      <c r="AB1394" s="34">
        <v>7600</v>
      </c>
      <c r="AC1394" s="87">
        <f t="shared" si="0"/>
        <v>173</v>
      </c>
      <c r="AD1394" s="62">
        <v>0</v>
      </c>
      <c r="AE1394" s="62">
        <v>0</v>
      </c>
      <c r="AF1394" s="62">
        <v>1</v>
      </c>
      <c r="AI1394" s="64"/>
      <c r="AL1394" s="64">
        <v>1</v>
      </c>
      <c r="AM1394" s="4"/>
      <c r="AN1394" s="93"/>
      <c r="AO1394" s="92"/>
      <c r="AQ1394" t="s">
        <v>3680</v>
      </c>
      <c r="AS1394">
        <v>1</v>
      </c>
    </row>
    <row r="1395" spans="1:45">
      <c r="A1395">
        <v>1100601</v>
      </c>
      <c r="B1395" s="8">
        <v>1001</v>
      </c>
      <c r="C1395" s="8">
        <v>5</v>
      </c>
      <c r="D1395" s="8">
        <v>1003</v>
      </c>
      <c r="E1395" t="s">
        <v>3682</v>
      </c>
      <c r="F1395" s="13" t="s">
        <v>3683</v>
      </c>
      <c r="G1395" t="s">
        <v>3684</v>
      </c>
      <c r="H1395" t="s">
        <v>3685</v>
      </c>
      <c r="I1395">
        <v>1</v>
      </c>
      <c r="J1395">
        <v>1</v>
      </c>
      <c r="K1395" s="33">
        <v>4</v>
      </c>
      <c r="L1395" s="8">
        <v>99</v>
      </c>
      <c r="M1395" s="8">
        <v>0</v>
      </c>
      <c r="N1395" s="8"/>
      <c r="Q1395" t="s">
        <v>260</v>
      </c>
      <c r="S1395" s="89">
        <v>1</v>
      </c>
      <c r="T1395" s="8">
        <v>5</v>
      </c>
      <c r="U1395" s="89">
        <v>80</v>
      </c>
      <c r="V1395" s="87">
        <v>0</v>
      </c>
      <c r="W1395">
        <v>1</v>
      </c>
      <c r="X1395" s="8">
        <v>1</v>
      </c>
      <c r="Y1395" s="8">
        <v>0</v>
      </c>
      <c r="Z1395" s="33">
        <v>2</v>
      </c>
      <c r="AA1395">
        <v>5</v>
      </c>
      <c r="AB1395" s="34">
        <v>3040</v>
      </c>
      <c r="AC1395" s="87">
        <f t="shared" si="0"/>
        <v>172</v>
      </c>
      <c r="AD1395" s="62">
        <v>0</v>
      </c>
      <c r="AE1395" s="62">
        <v>0</v>
      </c>
      <c r="AF1395" s="62">
        <v>1</v>
      </c>
      <c r="AI1395" s="64"/>
      <c r="AJ1395" s="63">
        <v>1100602</v>
      </c>
      <c r="AL1395" s="64">
        <v>1</v>
      </c>
      <c r="AM1395" s="4"/>
      <c r="AN1395" s="93" t="s">
        <v>3535</v>
      </c>
      <c r="AO1395" s="92"/>
      <c r="AQ1395" t="s">
        <v>3682</v>
      </c>
      <c r="AS1395">
        <v>1</v>
      </c>
    </row>
    <row r="1396" spans="1:45">
      <c r="A1396">
        <v>1100602</v>
      </c>
      <c r="B1396" s="8">
        <v>1001</v>
      </c>
      <c r="C1396" s="8">
        <v>5</v>
      </c>
      <c r="D1396" s="8">
        <v>1003</v>
      </c>
      <c r="E1396" t="s">
        <v>3686</v>
      </c>
      <c r="F1396" s="13" t="s">
        <v>3683</v>
      </c>
      <c r="G1396" t="s">
        <v>3687</v>
      </c>
      <c r="H1396" t="s">
        <v>3685</v>
      </c>
      <c r="I1396">
        <v>1</v>
      </c>
      <c r="J1396">
        <v>1</v>
      </c>
      <c r="K1396" s="33">
        <v>4</v>
      </c>
      <c r="L1396" s="8">
        <v>99</v>
      </c>
      <c r="M1396" s="8">
        <v>0</v>
      </c>
      <c r="N1396" s="8"/>
      <c r="Q1396" t="s">
        <v>260</v>
      </c>
      <c r="S1396" s="89">
        <v>1</v>
      </c>
      <c r="T1396" s="8">
        <v>5</v>
      </c>
      <c r="U1396" s="89">
        <v>80</v>
      </c>
      <c r="V1396" s="87">
        <v>0</v>
      </c>
      <c r="W1396">
        <v>1</v>
      </c>
      <c r="X1396" s="8">
        <v>1</v>
      </c>
      <c r="Y1396" s="8">
        <v>0</v>
      </c>
      <c r="Z1396" s="33">
        <v>2</v>
      </c>
      <c r="AA1396">
        <v>5</v>
      </c>
      <c r="AB1396" s="34">
        <v>3040</v>
      </c>
      <c r="AC1396" s="87">
        <f t="shared" si="0"/>
        <v>171</v>
      </c>
      <c r="AD1396" s="62">
        <v>0</v>
      </c>
      <c r="AE1396" s="62">
        <v>0</v>
      </c>
      <c r="AF1396" s="62">
        <v>1</v>
      </c>
      <c r="AI1396" s="64"/>
      <c r="AJ1396" s="63">
        <v>1100603</v>
      </c>
      <c r="AL1396" s="64">
        <v>1</v>
      </c>
      <c r="AM1396" s="4"/>
      <c r="AN1396" s="93"/>
      <c r="AO1396" s="92"/>
      <c r="AQ1396" t="s">
        <v>3686</v>
      </c>
      <c r="AS1396">
        <v>1</v>
      </c>
    </row>
    <row r="1397" spans="1:45">
      <c r="A1397">
        <v>1100603</v>
      </c>
      <c r="B1397" s="8">
        <v>1001</v>
      </c>
      <c r="C1397" s="8">
        <v>5</v>
      </c>
      <c r="D1397" s="8">
        <v>1003</v>
      </c>
      <c r="E1397" t="s">
        <v>3688</v>
      </c>
      <c r="F1397" s="13" t="s">
        <v>3683</v>
      </c>
      <c r="G1397" t="s">
        <v>3689</v>
      </c>
      <c r="H1397" t="s">
        <v>3685</v>
      </c>
      <c r="I1397">
        <v>1</v>
      </c>
      <c r="J1397">
        <v>2</v>
      </c>
      <c r="K1397" s="33">
        <v>4</v>
      </c>
      <c r="L1397" s="8">
        <v>99</v>
      </c>
      <c r="M1397" s="8">
        <v>0</v>
      </c>
      <c r="N1397" s="8"/>
      <c r="Q1397" t="s">
        <v>260</v>
      </c>
      <c r="S1397" s="89">
        <v>1</v>
      </c>
      <c r="T1397" s="8">
        <v>5</v>
      </c>
      <c r="U1397" s="89">
        <v>110</v>
      </c>
      <c r="V1397" s="87">
        <v>0</v>
      </c>
      <c r="W1397">
        <v>1</v>
      </c>
      <c r="X1397" s="8">
        <v>1</v>
      </c>
      <c r="Y1397" s="8">
        <v>0</v>
      </c>
      <c r="Z1397" s="33">
        <v>2</v>
      </c>
      <c r="AA1397">
        <v>5</v>
      </c>
      <c r="AB1397" s="34">
        <v>4180</v>
      </c>
      <c r="AC1397" s="87">
        <f t="shared" si="0"/>
        <v>171</v>
      </c>
      <c r="AD1397" s="62">
        <v>0</v>
      </c>
      <c r="AE1397" s="62">
        <v>0</v>
      </c>
      <c r="AF1397" s="62">
        <v>1</v>
      </c>
      <c r="AI1397" s="64"/>
      <c r="AJ1397" s="63">
        <v>1100604</v>
      </c>
      <c r="AL1397" s="64">
        <v>1</v>
      </c>
      <c r="AM1397" s="4"/>
      <c r="AN1397" s="93"/>
      <c r="AO1397" s="92"/>
      <c r="AQ1397" t="s">
        <v>3688</v>
      </c>
      <c r="AS1397">
        <v>1</v>
      </c>
    </row>
    <row r="1398" spans="1:45">
      <c r="A1398">
        <v>1100604</v>
      </c>
      <c r="B1398" s="8">
        <v>1001</v>
      </c>
      <c r="C1398" s="8">
        <v>5</v>
      </c>
      <c r="D1398" s="8">
        <v>1003</v>
      </c>
      <c r="E1398" t="s">
        <v>3690</v>
      </c>
      <c r="F1398" s="13" t="s">
        <v>3683</v>
      </c>
      <c r="G1398" t="s">
        <v>3691</v>
      </c>
      <c r="H1398" t="s">
        <v>3692</v>
      </c>
      <c r="I1398">
        <v>1</v>
      </c>
      <c r="J1398">
        <v>2</v>
      </c>
      <c r="K1398" s="33">
        <v>4</v>
      </c>
      <c r="L1398" s="8">
        <v>99</v>
      </c>
      <c r="M1398" s="8">
        <v>0</v>
      </c>
      <c r="N1398" s="8"/>
      <c r="Q1398" t="s">
        <v>260</v>
      </c>
      <c r="S1398" s="89">
        <v>1</v>
      </c>
      <c r="T1398" s="8">
        <v>5</v>
      </c>
      <c r="U1398" s="89">
        <v>110</v>
      </c>
      <c r="V1398" s="87">
        <v>0</v>
      </c>
      <c r="W1398">
        <v>1</v>
      </c>
      <c r="X1398" s="8">
        <v>1</v>
      </c>
      <c r="Y1398" s="8">
        <v>0</v>
      </c>
      <c r="Z1398" s="33">
        <v>2</v>
      </c>
      <c r="AA1398">
        <v>5</v>
      </c>
      <c r="AB1398" s="34">
        <v>4180</v>
      </c>
      <c r="AC1398" s="87">
        <f t="shared" si="0"/>
        <v>171</v>
      </c>
      <c r="AD1398" s="62">
        <v>0</v>
      </c>
      <c r="AE1398" s="62">
        <v>0</v>
      </c>
      <c r="AF1398" s="62">
        <v>1</v>
      </c>
      <c r="AI1398" s="64"/>
      <c r="AJ1398" s="63">
        <v>1100605</v>
      </c>
      <c r="AL1398" s="64">
        <v>1</v>
      </c>
      <c r="AM1398" s="4"/>
      <c r="AN1398" s="93"/>
      <c r="AO1398" s="92"/>
      <c r="AQ1398" t="s">
        <v>3690</v>
      </c>
      <c r="AS1398">
        <v>1</v>
      </c>
    </row>
    <row r="1399" spans="1:45">
      <c r="A1399">
        <v>1100605</v>
      </c>
      <c r="B1399" s="8">
        <v>1001</v>
      </c>
      <c r="C1399" s="8">
        <v>5</v>
      </c>
      <c r="D1399" s="8">
        <v>1003</v>
      </c>
      <c r="E1399" t="s">
        <v>3693</v>
      </c>
      <c r="F1399" s="13" t="s">
        <v>3683</v>
      </c>
      <c r="G1399" t="s">
        <v>3694</v>
      </c>
      <c r="H1399" t="s">
        <v>3692</v>
      </c>
      <c r="I1399">
        <v>1</v>
      </c>
      <c r="J1399">
        <v>3</v>
      </c>
      <c r="K1399" s="33">
        <v>4</v>
      </c>
      <c r="L1399" s="8">
        <v>99</v>
      </c>
      <c r="M1399" s="8">
        <v>0</v>
      </c>
      <c r="N1399" s="8"/>
      <c r="Q1399" t="s">
        <v>260</v>
      </c>
      <c r="S1399" s="89">
        <v>1</v>
      </c>
      <c r="T1399" s="8">
        <v>5</v>
      </c>
      <c r="U1399" s="89">
        <v>140</v>
      </c>
      <c r="V1399" s="87">
        <v>0</v>
      </c>
      <c r="W1399">
        <v>1</v>
      </c>
      <c r="X1399" s="8">
        <v>1</v>
      </c>
      <c r="Y1399" s="8">
        <v>0</v>
      </c>
      <c r="Z1399" s="33">
        <v>2</v>
      </c>
      <c r="AA1399">
        <v>5</v>
      </c>
      <c r="AB1399" s="34">
        <v>5320</v>
      </c>
      <c r="AC1399" s="87">
        <f t="shared" si="0"/>
        <v>471</v>
      </c>
      <c r="AD1399" s="62">
        <v>0</v>
      </c>
      <c r="AE1399" s="62">
        <v>0</v>
      </c>
      <c r="AF1399" s="62">
        <v>1</v>
      </c>
      <c r="AI1399" s="64"/>
      <c r="AJ1399" s="63">
        <v>1100606</v>
      </c>
      <c r="AL1399" s="64">
        <v>1</v>
      </c>
      <c r="AM1399" s="4"/>
      <c r="AN1399" s="93"/>
      <c r="AO1399" s="92"/>
      <c r="AQ1399" t="s">
        <v>3693</v>
      </c>
      <c r="AS1399">
        <v>1</v>
      </c>
    </row>
    <row r="1400" spans="1:45">
      <c r="A1400">
        <v>1100606</v>
      </c>
      <c r="B1400" s="8">
        <v>1001</v>
      </c>
      <c r="C1400" s="8">
        <v>5</v>
      </c>
      <c r="D1400" s="8">
        <v>1003</v>
      </c>
      <c r="E1400" t="s">
        <v>3695</v>
      </c>
      <c r="F1400" s="13" t="s">
        <v>3683</v>
      </c>
      <c r="G1400" t="s">
        <v>3696</v>
      </c>
      <c r="H1400" t="s">
        <v>3692</v>
      </c>
      <c r="I1400">
        <v>1</v>
      </c>
      <c r="J1400">
        <v>3</v>
      </c>
      <c r="K1400" s="33">
        <v>4</v>
      </c>
      <c r="L1400" s="8">
        <v>99</v>
      </c>
      <c r="M1400" s="8">
        <v>0</v>
      </c>
      <c r="N1400" s="8"/>
      <c r="Q1400" t="s">
        <v>260</v>
      </c>
      <c r="S1400" s="89">
        <v>1</v>
      </c>
      <c r="T1400" s="8">
        <v>5</v>
      </c>
      <c r="U1400" s="89">
        <v>140</v>
      </c>
      <c r="V1400" s="87">
        <v>0</v>
      </c>
      <c r="W1400">
        <v>1</v>
      </c>
      <c r="X1400" s="8">
        <v>1</v>
      </c>
      <c r="Y1400" s="8">
        <v>0</v>
      </c>
      <c r="Z1400" s="33">
        <v>0</v>
      </c>
      <c r="AA1400">
        <v>5</v>
      </c>
      <c r="AB1400" s="34">
        <v>5320</v>
      </c>
      <c r="AC1400" s="87">
        <f t="shared" si="0"/>
        <v>190</v>
      </c>
      <c r="AD1400" s="62">
        <v>0</v>
      </c>
      <c r="AE1400" s="62">
        <v>0</v>
      </c>
      <c r="AF1400" s="62">
        <v>1</v>
      </c>
      <c r="AI1400" s="64"/>
      <c r="AJ1400" s="63">
        <v>1100607</v>
      </c>
      <c r="AL1400" s="64">
        <v>1</v>
      </c>
      <c r="AM1400" s="4"/>
      <c r="AN1400" s="93"/>
      <c r="AO1400" s="92"/>
      <c r="AQ1400" t="s">
        <v>3695</v>
      </c>
      <c r="AS1400">
        <v>1</v>
      </c>
    </row>
    <row r="1401" spans="1:45">
      <c r="A1401">
        <v>1100607</v>
      </c>
      <c r="B1401" s="8">
        <v>1001</v>
      </c>
      <c r="C1401" s="8">
        <v>5</v>
      </c>
      <c r="D1401" s="8">
        <v>1003</v>
      </c>
      <c r="E1401" t="s">
        <v>3697</v>
      </c>
      <c r="F1401" s="13" t="s">
        <v>3683</v>
      </c>
      <c r="G1401" t="s">
        <v>3698</v>
      </c>
      <c r="H1401" t="s">
        <v>3699</v>
      </c>
      <c r="I1401">
        <v>1</v>
      </c>
      <c r="J1401">
        <v>4</v>
      </c>
      <c r="K1401" s="33">
        <v>4</v>
      </c>
      <c r="L1401" s="8">
        <v>99</v>
      </c>
      <c r="M1401" s="8">
        <v>0</v>
      </c>
      <c r="N1401" s="8"/>
      <c r="S1401" s="89">
        <v>1</v>
      </c>
      <c r="T1401" s="8">
        <v>5</v>
      </c>
      <c r="U1401" s="89">
        <v>170</v>
      </c>
      <c r="V1401" s="87">
        <v>0</v>
      </c>
      <c r="W1401">
        <v>1</v>
      </c>
      <c r="X1401" s="8">
        <v>1</v>
      </c>
      <c r="Y1401" s="8">
        <v>0</v>
      </c>
      <c r="Z1401" s="33">
        <v>0</v>
      </c>
      <c r="AA1401">
        <v>5</v>
      </c>
      <c r="AB1401" s="34">
        <v>6460</v>
      </c>
      <c r="AC1401" s="87">
        <f t="shared" si="0"/>
        <v>189</v>
      </c>
      <c r="AD1401" s="62">
        <v>0</v>
      </c>
      <c r="AE1401" s="62">
        <v>0</v>
      </c>
      <c r="AF1401" s="62">
        <v>1</v>
      </c>
      <c r="AI1401" s="64"/>
      <c r="AJ1401" s="63">
        <v>1100608</v>
      </c>
      <c r="AL1401" s="64">
        <v>1</v>
      </c>
      <c r="AM1401" s="4"/>
      <c r="AN1401" s="93"/>
      <c r="AO1401" s="92"/>
      <c r="AQ1401" t="s">
        <v>3697</v>
      </c>
      <c r="AS1401">
        <v>1</v>
      </c>
    </row>
    <row r="1402" spans="1:45">
      <c r="A1402">
        <v>1100608</v>
      </c>
      <c r="B1402" s="8">
        <v>1001</v>
      </c>
      <c r="C1402" s="8">
        <v>5</v>
      </c>
      <c r="D1402" s="8">
        <v>1003</v>
      </c>
      <c r="E1402" t="s">
        <v>3700</v>
      </c>
      <c r="F1402" s="13" t="s">
        <v>3683</v>
      </c>
      <c r="G1402" t="s">
        <v>3701</v>
      </c>
      <c r="H1402" t="s">
        <v>3699</v>
      </c>
      <c r="I1402">
        <v>1</v>
      </c>
      <c r="J1402">
        <v>4</v>
      </c>
      <c r="K1402" s="33">
        <v>4</v>
      </c>
      <c r="L1402" s="8">
        <v>99</v>
      </c>
      <c r="M1402" s="8">
        <v>0</v>
      </c>
      <c r="N1402" s="8"/>
      <c r="S1402" s="89">
        <v>1</v>
      </c>
      <c r="T1402" s="8">
        <v>5</v>
      </c>
      <c r="U1402" s="89">
        <v>170</v>
      </c>
      <c r="V1402" s="87">
        <v>0</v>
      </c>
      <c r="W1402">
        <v>1</v>
      </c>
      <c r="X1402" s="8">
        <v>1</v>
      </c>
      <c r="Y1402" s="8">
        <v>0</v>
      </c>
      <c r="Z1402" s="33">
        <v>0</v>
      </c>
      <c r="AA1402">
        <v>5</v>
      </c>
      <c r="AB1402" s="34">
        <v>6460</v>
      </c>
      <c r="AC1402" s="87">
        <f t="shared" si="0"/>
        <v>188</v>
      </c>
      <c r="AD1402" s="62">
        <v>0</v>
      </c>
      <c r="AE1402" s="62">
        <v>0</v>
      </c>
      <c r="AF1402" s="62">
        <v>1</v>
      </c>
      <c r="AI1402" s="64"/>
      <c r="AJ1402" s="63">
        <v>1100609</v>
      </c>
      <c r="AL1402" s="64">
        <v>1</v>
      </c>
      <c r="AM1402" s="4"/>
      <c r="AN1402" s="93"/>
      <c r="AO1402" s="92"/>
      <c r="AQ1402" t="s">
        <v>3700</v>
      </c>
      <c r="AS1402">
        <v>1</v>
      </c>
    </row>
    <row r="1403" spans="1:45">
      <c r="A1403">
        <v>1100609</v>
      </c>
      <c r="B1403" s="8">
        <v>1001</v>
      </c>
      <c r="C1403" s="8">
        <v>5</v>
      </c>
      <c r="D1403" s="8">
        <v>1003</v>
      </c>
      <c r="E1403" t="s">
        <v>3702</v>
      </c>
      <c r="F1403" s="13" t="s">
        <v>3683</v>
      </c>
      <c r="G1403" t="s">
        <v>3703</v>
      </c>
      <c r="H1403" t="s">
        <v>3699</v>
      </c>
      <c r="I1403">
        <v>1</v>
      </c>
      <c r="J1403">
        <v>5</v>
      </c>
      <c r="K1403" s="33">
        <v>4</v>
      </c>
      <c r="L1403" s="8">
        <v>99</v>
      </c>
      <c r="M1403" s="8">
        <v>0</v>
      </c>
      <c r="N1403" s="8"/>
      <c r="S1403" s="89">
        <v>1</v>
      </c>
      <c r="T1403" s="8">
        <v>5</v>
      </c>
      <c r="U1403" s="89">
        <v>200</v>
      </c>
      <c r="V1403" s="87">
        <v>0</v>
      </c>
      <c r="W1403">
        <v>1</v>
      </c>
      <c r="X1403" s="8">
        <v>1</v>
      </c>
      <c r="Y1403" s="8">
        <v>0</v>
      </c>
      <c r="Z1403" s="33">
        <v>0</v>
      </c>
      <c r="AA1403">
        <v>5</v>
      </c>
      <c r="AB1403" s="34">
        <v>7600</v>
      </c>
      <c r="AC1403" s="87">
        <f t="shared" si="0"/>
        <v>187</v>
      </c>
      <c r="AD1403" s="62">
        <v>0</v>
      </c>
      <c r="AE1403" s="62">
        <v>0</v>
      </c>
      <c r="AF1403" s="62">
        <v>1</v>
      </c>
      <c r="AI1403" s="64"/>
      <c r="AJ1403" s="63">
        <v>1100610</v>
      </c>
      <c r="AL1403" s="64">
        <v>1</v>
      </c>
      <c r="AM1403" s="4"/>
      <c r="AN1403" s="93"/>
      <c r="AO1403" s="92"/>
      <c r="AQ1403" t="s">
        <v>3702</v>
      </c>
      <c r="AS1403">
        <v>1</v>
      </c>
    </row>
    <row r="1404" spans="1:45">
      <c r="A1404">
        <v>1100610</v>
      </c>
      <c r="B1404" s="8">
        <v>1001</v>
      </c>
      <c r="C1404" s="8">
        <v>5</v>
      </c>
      <c r="D1404" s="8">
        <v>1003</v>
      </c>
      <c r="E1404" t="s">
        <v>3704</v>
      </c>
      <c r="F1404" s="13" t="s">
        <v>3683</v>
      </c>
      <c r="G1404" t="s">
        <v>3705</v>
      </c>
      <c r="H1404" t="s">
        <v>3706</v>
      </c>
      <c r="I1404">
        <v>1</v>
      </c>
      <c r="J1404">
        <v>5</v>
      </c>
      <c r="K1404" s="33">
        <v>4</v>
      </c>
      <c r="L1404" s="8">
        <v>99</v>
      </c>
      <c r="M1404" s="8">
        <v>0</v>
      </c>
      <c r="N1404" s="8"/>
      <c r="S1404" s="89">
        <v>1</v>
      </c>
      <c r="T1404" s="8">
        <v>5</v>
      </c>
      <c r="U1404" s="89">
        <v>200</v>
      </c>
      <c r="V1404" s="87">
        <v>0</v>
      </c>
      <c r="W1404">
        <v>1</v>
      </c>
      <c r="X1404" s="8">
        <v>1</v>
      </c>
      <c r="Y1404" s="8">
        <v>0</v>
      </c>
      <c r="Z1404" s="33">
        <v>0</v>
      </c>
      <c r="AA1404">
        <v>5</v>
      </c>
      <c r="AB1404" s="34">
        <v>7600</v>
      </c>
      <c r="AC1404" s="87">
        <f t="shared" si="0"/>
        <v>186</v>
      </c>
      <c r="AD1404" s="62">
        <v>0</v>
      </c>
      <c r="AE1404" s="62">
        <v>0</v>
      </c>
      <c r="AF1404" s="62">
        <v>1</v>
      </c>
      <c r="AI1404" s="64"/>
      <c r="AJ1404" s="63">
        <v>1100611</v>
      </c>
      <c r="AL1404" s="64">
        <v>1</v>
      </c>
      <c r="AM1404" s="4"/>
      <c r="AN1404" s="93"/>
      <c r="AO1404" s="92"/>
      <c r="AQ1404" t="s">
        <v>3704</v>
      </c>
      <c r="AS1404">
        <v>1</v>
      </c>
    </row>
    <row r="1405" spans="1:45">
      <c r="A1405">
        <v>1100611</v>
      </c>
      <c r="B1405" s="8">
        <v>1001</v>
      </c>
      <c r="C1405" s="8">
        <v>5</v>
      </c>
      <c r="D1405" s="8">
        <v>1003</v>
      </c>
      <c r="E1405" t="s">
        <v>3707</v>
      </c>
      <c r="F1405" s="13" t="s">
        <v>3683</v>
      </c>
      <c r="G1405" t="s">
        <v>3708</v>
      </c>
      <c r="H1405" t="s">
        <v>3709</v>
      </c>
      <c r="I1405">
        <v>1</v>
      </c>
      <c r="J1405">
        <v>5</v>
      </c>
      <c r="K1405" s="33">
        <v>4</v>
      </c>
      <c r="L1405" s="8">
        <v>99</v>
      </c>
      <c r="M1405" s="8">
        <v>0</v>
      </c>
      <c r="N1405" s="8"/>
      <c r="S1405" s="89">
        <v>1</v>
      </c>
      <c r="T1405" s="8">
        <v>5</v>
      </c>
      <c r="U1405" s="89">
        <v>200</v>
      </c>
      <c r="V1405" s="87">
        <v>0</v>
      </c>
      <c r="W1405">
        <v>1</v>
      </c>
      <c r="X1405" s="8">
        <v>1</v>
      </c>
      <c r="Y1405" s="8">
        <v>0</v>
      </c>
      <c r="Z1405" s="33">
        <v>0</v>
      </c>
      <c r="AA1405">
        <v>5</v>
      </c>
      <c r="AB1405" s="34">
        <v>7600</v>
      </c>
      <c r="AC1405" s="87">
        <f t="shared" si="0"/>
        <v>185</v>
      </c>
      <c r="AD1405" s="62">
        <v>0</v>
      </c>
      <c r="AE1405" s="62">
        <v>0</v>
      </c>
      <c r="AF1405" s="62">
        <v>1</v>
      </c>
      <c r="AI1405" s="64"/>
      <c r="AJ1405" s="63">
        <v>1100612</v>
      </c>
      <c r="AL1405" s="64">
        <v>1</v>
      </c>
      <c r="AM1405" s="4"/>
      <c r="AN1405" s="93"/>
      <c r="AO1405" s="92"/>
      <c r="AQ1405" t="s">
        <v>3707</v>
      </c>
      <c r="AS1405">
        <v>1</v>
      </c>
    </row>
    <row r="1406" spans="1:45">
      <c r="A1406">
        <v>1100612</v>
      </c>
      <c r="B1406" s="8">
        <v>1001</v>
      </c>
      <c r="C1406" s="8">
        <v>5</v>
      </c>
      <c r="D1406" s="8">
        <v>1003</v>
      </c>
      <c r="E1406" t="s">
        <v>3710</v>
      </c>
      <c r="F1406" s="13" t="s">
        <v>3683</v>
      </c>
      <c r="G1406" t="s">
        <v>3711</v>
      </c>
      <c r="H1406" t="s">
        <v>3709</v>
      </c>
      <c r="I1406">
        <v>1</v>
      </c>
      <c r="J1406">
        <v>5</v>
      </c>
      <c r="K1406" s="33">
        <v>1</v>
      </c>
      <c r="L1406" s="8">
        <v>99</v>
      </c>
      <c r="M1406" s="8">
        <v>0</v>
      </c>
      <c r="N1406" s="8"/>
      <c r="Q1406"/>
      <c r="S1406" s="89">
        <v>1</v>
      </c>
      <c r="T1406" s="8">
        <v>5</v>
      </c>
      <c r="U1406" s="89">
        <v>200</v>
      </c>
      <c r="V1406" s="87">
        <v>0</v>
      </c>
      <c r="W1406">
        <v>1</v>
      </c>
      <c r="X1406" s="8">
        <v>1</v>
      </c>
      <c r="Y1406" s="8">
        <v>0</v>
      </c>
      <c r="Z1406" s="33">
        <v>0</v>
      </c>
      <c r="AA1406">
        <v>5</v>
      </c>
      <c r="AB1406" s="34">
        <v>7600</v>
      </c>
      <c r="AC1406" s="87">
        <f t="shared" si="0"/>
        <v>184</v>
      </c>
      <c r="AD1406" s="62">
        <v>0</v>
      </c>
      <c r="AE1406" s="62">
        <v>0</v>
      </c>
      <c r="AF1406" s="62">
        <v>1</v>
      </c>
      <c r="AI1406" s="64"/>
      <c r="AL1406" s="64">
        <v>1</v>
      </c>
      <c r="AM1406" s="4"/>
      <c r="AN1406" s="93"/>
      <c r="AO1406" s="92"/>
      <c r="AQ1406" t="s">
        <v>3710</v>
      </c>
      <c r="AS1406">
        <v>1</v>
      </c>
    </row>
    <row r="1407" spans="1:45">
      <c r="A1407">
        <v>1100701</v>
      </c>
      <c r="B1407" s="8">
        <v>1001</v>
      </c>
      <c r="C1407" s="8">
        <v>5</v>
      </c>
      <c r="D1407" s="8">
        <v>1003</v>
      </c>
      <c r="E1407" t="s">
        <v>3712</v>
      </c>
      <c r="F1407" s="13" t="s">
        <v>3713</v>
      </c>
      <c r="G1407" t="s">
        <v>3714</v>
      </c>
      <c r="H1407" t="s">
        <v>3715</v>
      </c>
      <c r="I1407">
        <v>1</v>
      </c>
      <c r="J1407">
        <v>1</v>
      </c>
      <c r="K1407" s="33">
        <v>4</v>
      </c>
      <c r="L1407" s="8">
        <v>99</v>
      </c>
      <c r="M1407" s="8">
        <v>0</v>
      </c>
      <c r="N1407" s="8"/>
      <c r="Q1407" t="s">
        <v>260</v>
      </c>
      <c r="S1407" s="89">
        <v>1</v>
      </c>
      <c r="T1407" s="8">
        <v>5</v>
      </c>
      <c r="U1407" s="89">
        <v>80</v>
      </c>
      <c r="V1407" s="87">
        <v>0</v>
      </c>
      <c r="W1407">
        <v>1</v>
      </c>
      <c r="X1407" s="8">
        <v>1</v>
      </c>
      <c r="Y1407" s="8">
        <v>0</v>
      </c>
      <c r="Z1407" s="33">
        <v>2</v>
      </c>
      <c r="AA1407">
        <v>5</v>
      </c>
      <c r="AB1407" s="34">
        <v>3040</v>
      </c>
      <c r="AC1407" s="87">
        <f t="shared" si="0"/>
        <v>183</v>
      </c>
      <c r="AD1407" s="62">
        <v>0</v>
      </c>
      <c r="AE1407" s="62">
        <v>0</v>
      </c>
      <c r="AF1407" s="62">
        <v>1</v>
      </c>
      <c r="AI1407" s="64"/>
      <c r="AJ1407" s="63">
        <v>1100702</v>
      </c>
      <c r="AL1407" s="64">
        <v>1</v>
      </c>
      <c r="AM1407" s="4"/>
      <c r="AN1407" s="93" t="s">
        <v>3535</v>
      </c>
      <c r="AO1407" s="92"/>
      <c r="AQ1407" t="s">
        <v>3712</v>
      </c>
      <c r="AS1407">
        <v>1</v>
      </c>
    </row>
    <row r="1408" spans="1:45">
      <c r="A1408">
        <v>1100702</v>
      </c>
      <c r="B1408" s="8">
        <v>1001</v>
      </c>
      <c r="C1408" s="8">
        <v>5</v>
      </c>
      <c r="D1408" s="8">
        <v>1003</v>
      </c>
      <c r="E1408" t="s">
        <v>3716</v>
      </c>
      <c r="F1408" s="13" t="s">
        <v>3713</v>
      </c>
      <c r="G1408" t="s">
        <v>3717</v>
      </c>
      <c r="H1408" t="s">
        <v>3715</v>
      </c>
      <c r="I1408">
        <v>1</v>
      </c>
      <c r="J1408">
        <v>1</v>
      </c>
      <c r="K1408" s="33">
        <v>4</v>
      </c>
      <c r="L1408" s="8">
        <v>99</v>
      </c>
      <c r="M1408" s="8">
        <v>0</v>
      </c>
      <c r="N1408" s="8"/>
      <c r="Q1408" t="s">
        <v>260</v>
      </c>
      <c r="S1408" s="89">
        <v>1</v>
      </c>
      <c r="T1408" s="8">
        <v>5</v>
      </c>
      <c r="U1408" s="89">
        <v>80</v>
      </c>
      <c r="V1408" s="87">
        <v>0</v>
      </c>
      <c r="W1408">
        <v>1</v>
      </c>
      <c r="X1408" s="8">
        <v>1</v>
      </c>
      <c r="Y1408" s="8">
        <v>0</v>
      </c>
      <c r="Z1408" s="33">
        <v>2</v>
      </c>
      <c r="AA1408">
        <v>5</v>
      </c>
      <c r="AB1408" s="34">
        <v>3040</v>
      </c>
      <c r="AC1408" s="87">
        <f t="shared" si="0"/>
        <v>182</v>
      </c>
      <c r="AD1408" s="62">
        <v>0</v>
      </c>
      <c r="AE1408" s="62">
        <v>0</v>
      </c>
      <c r="AF1408" s="62">
        <v>1</v>
      </c>
      <c r="AI1408" s="64"/>
      <c r="AJ1408" s="63">
        <v>1100703</v>
      </c>
      <c r="AL1408" s="64">
        <v>1</v>
      </c>
      <c r="AM1408" s="4"/>
      <c r="AN1408" s="93"/>
      <c r="AO1408" s="92"/>
      <c r="AQ1408" t="s">
        <v>3716</v>
      </c>
      <c r="AS1408">
        <v>1</v>
      </c>
    </row>
    <row r="1409" spans="1:45">
      <c r="A1409">
        <v>1100703</v>
      </c>
      <c r="B1409" s="8">
        <v>1001</v>
      </c>
      <c r="C1409" s="8">
        <v>5</v>
      </c>
      <c r="D1409" s="8">
        <v>1003</v>
      </c>
      <c r="E1409" t="s">
        <v>3718</v>
      </c>
      <c r="F1409" s="13" t="s">
        <v>3713</v>
      </c>
      <c r="G1409" t="s">
        <v>3719</v>
      </c>
      <c r="H1409" t="s">
        <v>3715</v>
      </c>
      <c r="I1409">
        <v>1</v>
      </c>
      <c r="J1409">
        <v>2</v>
      </c>
      <c r="K1409" s="33">
        <v>4</v>
      </c>
      <c r="L1409" s="8">
        <v>99</v>
      </c>
      <c r="M1409" s="8">
        <v>0</v>
      </c>
      <c r="N1409" s="8"/>
      <c r="Q1409" t="s">
        <v>260</v>
      </c>
      <c r="S1409" s="89">
        <v>1</v>
      </c>
      <c r="T1409" s="8">
        <v>5</v>
      </c>
      <c r="U1409" s="89">
        <v>110</v>
      </c>
      <c r="V1409" s="87">
        <v>0</v>
      </c>
      <c r="W1409">
        <v>1</v>
      </c>
      <c r="X1409" s="8">
        <v>1</v>
      </c>
      <c r="Y1409" s="8">
        <v>0</v>
      </c>
      <c r="Z1409" s="33">
        <v>2</v>
      </c>
      <c r="AA1409">
        <v>5</v>
      </c>
      <c r="AB1409" s="34">
        <v>4180</v>
      </c>
      <c r="AC1409" s="87">
        <f t="shared" si="0"/>
        <v>181</v>
      </c>
      <c r="AD1409" s="62">
        <v>0</v>
      </c>
      <c r="AE1409" s="62">
        <v>0</v>
      </c>
      <c r="AF1409" s="62">
        <v>1</v>
      </c>
      <c r="AI1409" s="64"/>
      <c r="AJ1409" s="63">
        <v>1100704</v>
      </c>
      <c r="AL1409" s="64">
        <v>1</v>
      </c>
      <c r="AM1409" s="4"/>
      <c r="AN1409" s="93"/>
      <c r="AO1409" s="92"/>
      <c r="AQ1409" t="s">
        <v>3718</v>
      </c>
      <c r="AS1409">
        <v>1</v>
      </c>
    </row>
    <row r="1410" spans="1:45">
      <c r="A1410">
        <v>1100704</v>
      </c>
      <c r="B1410" s="8">
        <v>1001</v>
      </c>
      <c r="C1410" s="8">
        <v>5</v>
      </c>
      <c r="D1410" s="8">
        <v>1003</v>
      </c>
      <c r="E1410" t="s">
        <v>3720</v>
      </c>
      <c r="F1410" s="13" t="s">
        <v>3713</v>
      </c>
      <c r="G1410" t="s">
        <v>3721</v>
      </c>
      <c r="H1410" t="s">
        <v>3722</v>
      </c>
      <c r="I1410">
        <v>1</v>
      </c>
      <c r="J1410">
        <v>2</v>
      </c>
      <c r="K1410" s="33">
        <v>4</v>
      </c>
      <c r="L1410" s="8">
        <v>99</v>
      </c>
      <c r="M1410" s="8">
        <v>0</v>
      </c>
      <c r="N1410" s="8"/>
      <c r="Q1410" t="s">
        <v>260</v>
      </c>
      <c r="S1410" s="89">
        <v>1</v>
      </c>
      <c r="T1410" s="8">
        <v>5</v>
      </c>
      <c r="U1410" s="89">
        <v>110</v>
      </c>
      <c r="V1410" s="87">
        <v>0</v>
      </c>
      <c r="W1410">
        <v>1</v>
      </c>
      <c r="X1410" s="8">
        <v>1</v>
      </c>
      <c r="Y1410" s="8">
        <v>0</v>
      </c>
      <c r="Z1410" s="33">
        <v>2</v>
      </c>
      <c r="AA1410">
        <v>5</v>
      </c>
      <c r="AB1410" s="34">
        <v>4180</v>
      </c>
      <c r="AC1410" s="87">
        <f t="shared" si="0"/>
        <v>181</v>
      </c>
      <c r="AD1410" s="62">
        <v>0</v>
      </c>
      <c r="AE1410" s="62">
        <v>0</v>
      </c>
      <c r="AF1410" s="62">
        <v>1</v>
      </c>
      <c r="AI1410" s="64"/>
      <c r="AJ1410" s="63">
        <v>1100705</v>
      </c>
      <c r="AL1410" s="64">
        <v>1</v>
      </c>
      <c r="AM1410" s="4"/>
      <c r="AN1410" s="93"/>
      <c r="AO1410" s="92"/>
      <c r="AQ1410" t="s">
        <v>3720</v>
      </c>
      <c r="AS1410">
        <v>1</v>
      </c>
    </row>
    <row r="1411" spans="1:45">
      <c r="A1411">
        <v>1100705</v>
      </c>
      <c r="B1411" s="8">
        <v>1001</v>
      </c>
      <c r="C1411" s="8">
        <v>5</v>
      </c>
      <c r="D1411" s="8">
        <v>1003</v>
      </c>
      <c r="E1411" t="s">
        <v>3723</v>
      </c>
      <c r="F1411" s="13" t="s">
        <v>3713</v>
      </c>
      <c r="G1411" t="s">
        <v>3724</v>
      </c>
      <c r="H1411" t="s">
        <v>3722</v>
      </c>
      <c r="I1411">
        <v>1</v>
      </c>
      <c r="J1411">
        <v>3</v>
      </c>
      <c r="K1411" s="33">
        <v>4</v>
      </c>
      <c r="L1411" s="8">
        <v>99</v>
      </c>
      <c r="M1411" s="8">
        <v>0</v>
      </c>
      <c r="N1411" s="8"/>
      <c r="Q1411" t="s">
        <v>260</v>
      </c>
      <c r="S1411" s="89">
        <v>1</v>
      </c>
      <c r="T1411" s="8">
        <v>5</v>
      </c>
      <c r="U1411" s="89">
        <v>140</v>
      </c>
      <c r="V1411" s="87">
        <v>0</v>
      </c>
      <c r="W1411">
        <v>1</v>
      </c>
      <c r="X1411" s="8">
        <v>1</v>
      </c>
      <c r="Y1411" s="8">
        <v>0</v>
      </c>
      <c r="Z1411" s="33">
        <v>2</v>
      </c>
      <c r="AA1411">
        <v>5</v>
      </c>
      <c r="AB1411" s="34">
        <v>5320</v>
      </c>
      <c r="AC1411" s="87">
        <f t="shared" ref="AC1411:AC1452" si="1">AC1398+10</f>
        <v>181</v>
      </c>
      <c r="AD1411" s="62">
        <v>0</v>
      </c>
      <c r="AE1411" s="62">
        <v>0</v>
      </c>
      <c r="AF1411" s="62">
        <v>1</v>
      </c>
      <c r="AI1411" s="64"/>
      <c r="AJ1411" s="63">
        <v>1100706</v>
      </c>
      <c r="AL1411" s="64">
        <v>1</v>
      </c>
      <c r="AM1411" s="4"/>
      <c r="AN1411" s="93"/>
      <c r="AO1411" s="92"/>
      <c r="AQ1411" t="s">
        <v>3723</v>
      </c>
      <c r="AS1411">
        <v>1</v>
      </c>
    </row>
    <row r="1412" spans="1:45">
      <c r="A1412">
        <v>1100706</v>
      </c>
      <c r="B1412" s="8">
        <v>1001</v>
      </c>
      <c r="C1412" s="8">
        <v>5</v>
      </c>
      <c r="D1412" s="8">
        <v>1003</v>
      </c>
      <c r="E1412" t="s">
        <v>3725</v>
      </c>
      <c r="F1412" s="13" t="s">
        <v>3713</v>
      </c>
      <c r="G1412" t="s">
        <v>3726</v>
      </c>
      <c r="H1412" t="s">
        <v>3722</v>
      </c>
      <c r="I1412">
        <v>1</v>
      </c>
      <c r="J1412">
        <v>3</v>
      </c>
      <c r="K1412" s="33">
        <v>4</v>
      </c>
      <c r="L1412" s="8">
        <v>99</v>
      </c>
      <c r="M1412" s="8">
        <v>0</v>
      </c>
      <c r="N1412" s="8"/>
      <c r="Q1412" t="s">
        <v>260</v>
      </c>
      <c r="S1412" s="89">
        <v>1</v>
      </c>
      <c r="T1412" s="8">
        <v>5</v>
      </c>
      <c r="U1412" s="89">
        <v>140</v>
      </c>
      <c r="V1412" s="87">
        <v>0</v>
      </c>
      <c r="W1412">
        <v>1</v>
      </c>
      <c r="X1412" s="8">
        <v>1</v>
      </c>
      <c r="Y1412" s="8">
        <v>0</v>
      </c>
      <c r="Z1412" s="33">
        <v>0</v>
      </c>
      <c r="AA1412">
        <v>5</v>
      </c>
      <c r="AB1412" s="34">
        <v>5320</v>
      </c>
      <c r="AC1412" s="87">
        <f t="shared" si="1"/>
        <v>481</v>
      </c>
      <c r="AD1412" s="62">
        <v>0</v>
      </c>
      <c r="AE1412" s="62">
        <v>0</v>
      </c>
      <c r="AF1412" s="62">
        <v>1</v>
      </c>
      <c r="AI1412" s="64"/>
      <c r="AJ1412" s="63">
        <v>1100707</v>
      </c>
      <c r="AL1412" s="64">
        <v>1</v>
      </c>
      <c r="AM1412" s="4"/>
      <c r="AN1412" s="93"/>
      <c r="AO1412" s="92"/>
      <c r="AQ1412" t="s">
        <v>3725</v>
      </c>
      <c r="AS1412">
        <v>1</v>
      </c>
    </row>
    <row r="1413" spans="1:45">
      <c r="A1413">
        <v>1100707</v>
      </c>
      <c r="B1413" s="8">
        <v>1001</v>
      </c>
      <c r="C1413" s="8">
        <v>5</v>
      </c>
      <c r="D1413" s="8">
        <v>1003</v>
      </c>
      <c r="E1413" t="s">
        <v>3727</v>
      </c>
      <c r="F1413" s="13" t="s">
        <v>3713</v>
      </c>
      <c r="G1413" t="s">
        <v>3728</v>
      </c>
      <c r="H1413" t="s">
        <v>3729</v>
      </c>
      <c r="I1413">
        <v>1</v>
      </c>
      <c r="J1413">
        <v>4</v>
      </c>
      <c r="K1413" s="33">
        <v>4</v>
      </c>
      <c r="L1413" s="8">
        <v>99</v>
      </c>
      <c r="M1413" s="8">
        <v>0</v>
      </c>
      <c r="N1413" s="8"/>
      <c r="S1413" s="89">
        <v>1</v>
      </c>
      <c r="T1413" s="8">
        <v>5</v>
      </c>
      <c r="U1413" s="89">
        <v>170</v>
      </c>
      <c r="V1413" s="87">
        <v>0</v>
      </c>
      <c r="W1413">
        <v>1</v>
      </c>
      <c r="X1413" s="8">
        <v>1</v>
      </c>
      <c r="Y1413" s="8">
        <v>0</v>
      </c>
      <c r="Z1413" s="33">
        <v>0</v>
      </c>
      <c r="AA1413">
        <v>5</v>
      </c>
      <c r="AB1413" s="34">
        <v>6460</v>
      </c>
      <c r="AC1413" s="87">
        <f t="shared" si="1"/>
        <v>200</v>
      </c>
      <c r="AD1413" s="62">
        <v>0</v>
      </c>
      <c r="AE1413" s="62">
        <v>0</v>
      </c>
      <c r="AF1413" s="62">
        <v>1</v>
      </c>
      <c r="AI1413" s="64"/>
      <c r="AJ1413" s="63">
        <v>1100708</v>
      </c>
      <c r="AL1413" s="64">
        <v>1</v>
      </c>
      <c r="AM1413" s="4"/>
      <c r="AN1413" s="93"/>
      <c r="AO1413" s="92"/>
      <c r="AQ1413" t="s">
        <v>3727</v>
      </c>
      <c r="AS1413">
        <v>1</v>
      </c>
    </row>
    <row r="1414" spans="1:45">
      <c r="A1414">
        <v>1100708</v>
      </c>
      <c r="B1414" s="8">
        <v>1001</v>
      </c>
      <c r="C1414" s="8">
        <v>5</v>
      </c>
      <c r="D1414" s="8">
        <v>1003</v>
      </c>
      <c r="E1414" t="s">
        <v>3730</v>
      </c>
      <c r="F1414" s="13" t="s">
        <v>3713</v>
      </c>
      <c r="G1414" t="s">
        <v>3731</v>
      </c>
      <c r="H1414" t="s">
        <v>3729</v>
      </c>
      <c r="I1414">
        <v>1</v>
      </c>
      <c r="J1414">
        <v>4</v>
      </c>
      <c r="K1414" s="33">
        <v>4</v>
      </c>
      <c r="L1414" s="8">
        <v>99</v>
      </c>
      <c r="M1414" s="8">
        <v>0</v>
      </c>
      <c r="N1414" s="8"/>
      <c r="S1414" s="89">
        <v>1</v>
      </c>
      <c r="T1414" s="8">
        <v>5</v>
      </c>
      <c r="U1414" s="89">
        <v>170</v>
      </c>
      <c r="V1414" s="87">
        <v>0</v>
      </c>
      <c r="W1414">
        <v>1</v>
      </c>
      <c r="X1414" s="8">
        <v>1</v>
      </c>
      <c r="Y1414" s="8">
        <v>0</v>
      </c>
      <c r="Z1414" s="33">
        <v>0</v>
      </c>
      <c r="AA1414">
        <v>5</v>
      </c>
      <c r="AB1414" s="34">
        <v>6460</v>
      </c>
      <c r="AC1414" s="87">
        <f t="shared" si="1"/>
        <v>199</v>
      </c>
      <c r="AD1414" s="62">
        <v>0</v>
      </c>
      <c r="AE1414" s="62">
        <v>0</v>
      </c>
      <c r="AF1414" s="62">
        <v>1</v>
      </c>
      <c r="AI1414" s="64"/>
      <c r="AJ1414" s="63">
        <v>1100709</v>
      </c>
      <c r="AL1414" s="64">
        <v>1</v>
      </c>
      <c r="AM1414" s="4"/>
      <c r="AN1414" s="93"/>
      <c r="AO1414" s="92"/>
      <c r="AQ1414" t="s">
        <v>3730</v>
      </c>
      <c r="AS1414">
        <v>1</v>
      </c>
    </row>
    <row r="1415" spans="1:45">
      <c r="A1415">
        <v>1100709</v>
      </c>
      <c r="B1415" s="8">
        <v>1001</v>
      </c>
      <c r="C1415" s="8">
        <v>5</v>
      </c>
      <c r="D1415" s="8">
        <v>1003</v>
      </c>
      <c r="E1415" t="s">
        <v>3732</v>
      </c>
      <c r="F1415" s="13" t="s">
        <v>3713</v>
      </c>
      <c r="G1415" t="s">
        <v>3733</v>
      </c>
      <c r="H1415" t="s">
        <v>3729</v>
      </c>
      <c r="I1415">
        <v>1</v>
      </c>
      <c r="J1415">
        <v>5</v>
      </c>
      <c r="K1415" s="33">
        <v>4</v>
      </c>
      <c r="L1415" s="8">
        <v>99</v>
      </c>
      <c r="M1415" s="8">
        <v>0</v>
      </c>
      <c r="N1415" s="8"/>
      <c r="S1415" s="89">
        <v>1</v>
      </c>
      <c r="T1415" s="8">
        <v>5</v>
      </c>
      <c r="U1415" s="89">
        <v>200</v>
      </c>
      <c r="V1415" s="87">
        <v>0</v>
      </c>
      <c r="W1415">
        <v>1</v>
      </c>
      <c r="X1415" s="8">
        <v>1</v>
      </c>
      <c r="Y1415" s="8">
        <v>0</v>
      </c>
      <c r="Z1415" s="33">
        <v>0</v>
      </c>
      <c r="AA1415">
        <v>5</v>
      </c>
      <c r="AB1415" s="34">
        <v>7600</v>
      </c>
      <c r="AC1415" s="87">
        <f t="shared" si="1"/>
        <v>198</v>
      </c>
      <c r="AD1415" s="62">
        <v>0</v>
      </c>
      <c r="AE1415" s="62">
        <v>0</v>
      </c>
      <c r="AF1415" s="62">
        <v>1</v>
      </c>
      <c r="AI1415" s="64"/>
      <c r="AJ1415" s="63">
        <v>1100710</v>
      </c>
      <c r="AL1415" s="64">
        <v>1</v>
      </c>
      <c r="AM1415" s="4"/>
      <c r="AN1415" s="93"/>
      <c r="AO1415" s="92"/>
      <c r="AQ1415" t="s">
        <v>3732</v>
      </c>
      <c r="AS1415">
        <v>1</v>
      </c>
    </row>
    <row r="1416" spans="1:45">
      <c r="A1416">
        <v>1100710</v>
      </c>
      <c r="B1416" s="8">
        <v>1001</v>
      </c>
      <c r="C1416" s="8">
        <v>5</v>
      </c>
      <c r="D1416" s="8">
        <v>1003</v>
      </c>
      <c r="E1416" t="s">
        <v>3734</v>
      </c>
      <c r="F1416" s="13" t="s">
        <v>3713</v>
      </c>
      <c r="G1416" t="s">
        <v>3735</v>
      </c>
      <c r="H1416" t="s">
        <v>3736</v>
      </c>
      <c r="I1416">
        <v>1</v>
      </c>
      <c r="J1416">
        <v>5</v>
      </c>
      <c r="K1416" s="33">
        <v>4</v>
      </c>
      <c r="L1416" s="8">
        <v>99</v>
      </c>
      <c r="M1416" s="8">
        <v>0</v>
      </c>
      <c r="N1416" s="8"/>
      <c r="S1416" s="89">
        <v>1</v>
      </c>
      <c r="T1416" s="8">
        <v>5</v>
      </c>
      <c r="U1416" s="89">
        <v>200</v>
      </c>
      <c r="V1416" s="87">
        <v>0</v>
      </c>
      <c r="W1416">
        <v>1</v>
      </c>
      <c r="X1416" s="8">
        <v>1</v>
      </c>
      <c r="Y1416" s="8">
        <v>0</v>
      </c>
      <c r="Z1416" s="33">
        <v>0</v>
      </c>
      <c r="AA1416">
        <v>5</v>
      </c>
      <c r="AB1416" s="34">
        <v>7600</v>
      </c>
      <c r="AC1416" s="87">
        <f t="shared" si="1"/>
        <v>197</v>
      </c>
      <c r="AD1416" s="62">
        <v>0</v>
      </c>
      <c r="AE1416" s="62">
        <v>0</v>
      </c>
      <c r="AF1416" s="62">
        <v>1</v>
      </c>
      <c r="AI1416" s="64"/>
      <c r="AJ1416" s="63">
        <v>1100711</v>
      </c>
      <c r="AL1416" s="64">
        <v>1</v>
      </c>
      <c r="AM1416" s="4"/>
      <c r="AN1416" s="93"/>
      <c r="AO1416" s="92"/>
      <c r="AQ1416" t="s">
        <v>3734</v>
      </c>
      <c r="AS1416">
        <v>1</v>
      </c>
    </row>
    <row r="1417" spans="1:45">
      <c r="A1417">
        <v>1100711</v>
      </c>
      <c r="B1417" s="8">
        <v>1001</v>
      </c>
      <c r="C1417" s="8">
        <v>5</v>
      </c>
      <c r="D1417" s="8">
        <v>1003</v>
      </c>
      <c r="E1417" t="s">
        <v>3737</v>
      </c>
      <c r="F1417" s="13" t="s">
        <v>3713</v>
      </c>
      <c r="G1417" t="s">
        <v>3738</v>
      </c>
      <c r="H1417" t="s">
        <v>3739</v>
      </c>
      <c r="I1417">
        <v>1</v>
      </c>
      <c r="J1417">
        <v>5</v>
      </c>
      <c r="K1417" s="33">
        <v>4</v>
      </c>
      <c r="L1417" s="8">
        <v>99</v>
      </c>
      <c r="M1417" s="8">
        <v>0</v>
      </c>
      <c r="N1417" s="8"/>
      <c r="S1417" s="89">
        <v>1</v>
      </c>
      <c r="T1417" s="8">
        <v>5</v>
      </c>
      <c r="U1417" s="89">
        <v>200</v>
      </c>
      <c r="V1417" s="87">
        <v>0</v>
      </c>
      <c r="W1417">
        <v>1</v>
      </c>
      <c r="X1417" s="8">
        <v>1</v>
      </c>
      <c r="Y1417" s="8">
        <v>0</v>
      </c>
      <c r="Z1417" s="33">
        <v>0</v>
      </c>
      <c r="AA1417">
        <v>5</v>
      </c>
      <c r="AB1417" s="34">
        <v>7600</v>
      </c>
      <c r="AC1417" s="87">
        <f t="shared" si="1"/>
        <v>196</v>
      </c>
      <c r="AD1417" s="62">
        <v>0</v>
      </c>
      <c r="AE1417" s="62">
        <v>0</v>
      </c>
      <c r="AF1417" s="62">
        <v>1</v>
      </c>
      <c r="AI1417" s="64"/>
      <c r="AJ1417" s="63">
        <v>1100712</v>
      </c>
      <c r="AL1417" s="64">
        <v>1</v>
      </c>
      <c r="AM1417" s="4"/>
      <c r="AN1417" s="93"/>
      <c r="AO1417" s="92"/>
      <c r="AQ1417" t="s">
        <v>3737</v>
      </c>
      <c r="AS1417">
        <v>1</v>
      </c>
    </row>
    <row r="1418" spans="1:45">
      <c r="A1418">
        <v>1100712</v>
      </c>
      <c r="B1418" s="8">
        <v>1001</v>
      </c>
      <c r="C1418" s="8">
        <v>5</v>
      </c>
      <c r="D1418" s="8">
        <v>1003</v>
      </c>
      <c r="E1418" t="s">
        <v>3740</v>
      </c>
      <c r="F1418" s="13" t="s">
        <v>3713</v>
      </c>
      <c r="G1418" t="s">
        <v>3741</v>
      </c>
      <c r="H1418" t="s">
        <v>3739</v>
      </c>
      <c r="I1418">
        <v>1</v>
      </c>
      <c r="J1418">
        <v>5</v>
      </c>
      <c r="K1418" s="33">
        <v>1</v>
      </c>
      <c r="L1418" s="8">
        <v>99</v>
      </c>
      <c r="M1418" s="8">
        <v>0</v>
      </c>
      <c r="N1418" s="8"/>
      <c r="Q1418"/>
      <c r="S1418" s="89">
        <v>1</v>
      </c>
      <c r="T1418" s="8">
        <v>5</v>
      </c>
      <c r="U1418" s="89">
        <v>200</v>
      </c>
      <c r="V1418" s="87">
        <v>0</v>
      </c>
      <c r="W1418">
        <v>1</v>
      </c>
      <c r="X1418" s="8">
        <v>1</v>
      </c>
      <c r="Y1418" s="8">
        <v>0</v>
      </c>
      <c r="Z1418" s="33">
        <v>0</v>
      </c>
      <c r="AA1418">
        <v>5</v>
      </c>
      <c r="AB1418" s="34">
        <v>7600</v>
      </c>
      <c r="AC1418" s="87">
        <f t="shared" si="1"/>
        <v>195</v>
      </c>
      <c r="AD1418" s="62">
        <v>0</v>
      </c>
      <c r="AE1418" s="62">
        <v>0</v>
      </c>
      <c r="AF1418" s="62">
        <v>1</v>
      </c>
      <c r="AI1418" s="64"/>
      <c r="AL1418" s="64">
        <v>1</v>
      </c>
      <c r="AM1418" s="4"/>
      <c r="AN1418" s="93"/>
      <c r="AO1418" s="92"/>
      <c r="AQ1418" t="s">
        <v>3740</v>
      </c>
      <c r="AS1418">
        <v>1</v>
      </c>
    </row>
    <row r="1419" spans="1:45">
      <c r="A1419">
        <v>1100801</v>
      </c>
      <c r="B1419" s="8">
        <v>1001</v>
      </c>
      <c r="C1419" s="8">
        <v>5</v>
      </c>
      <c r="D1419" s="8">
        <v>1003</v>
      </c>
      <c r="E1419" t="s">
        <v>3742</v>
      </c>
      <c r="F1419" s="13" t="s">
        <v>3743</v>
      </c>
      <c r="G1419" t="s">
        <v>3744</v>
      </c>
      <c r="H1419" t="s">
        <v>3745</v>
      </c>
      <c r="I1419">
        <v>1</v>
      </c>
      <c r="J1419">
        <v>1</v>
      </c>
      <c r="K1419" s="33">
        <v>4</v>
      </c>
      <c r="L1419" s="8">
        <v>99</v>
      </c>
      <c r="M1419" s="8">
        <v>0</v>
      </c>
      <c r="N1419" s="8"/>
      <c r="Q1419" t="s">
        <v>260</v>
      </c>
      <c r="S1419" s="89">
        <v>1</v>
      </c>
      <c r="T1419" s="8">
        <v>5</v>
      </c>
      <c r="U1419" s="89">
        <v>80</v>
      </c>
      <c r="V1419" s="87">
        <v>0</v>
      </c>
      <c r="W1419">
        <v>1</v>
      </c>
      <c r="X1419" s="8">
        <v>1</v>
      </c>
      <c r="Y1419" s="8">
        <v>0</v>
      </c>
      <c r="Z1419" s="33">
        <v>2</v>
      </c>
      <c r="AA1419">
        <v>5</v>
      </c>
      <c r="AB1419" s="34">
        <v>3040</v>
      </c>
      <c r="AC1419" s="87">
        <f t="shared" si="1"/>
        <v>194</v>
      </c>
      <c r="AD1419" s="62">
        <v>0</v>
      </c>
      <c r="AE1419" s="62">
        <v>0</v>
      </c>
      <c r="AF1419" s="62">
        <v>1</v>
      </c>
      <c r="AI1419" s="64"/>
      <c r="AJ1419" s="63">
        <v>1100802</v>
      </c>
      <c r="AL1419" s="64">
        <v>1</v>
      </c>
      <c r="AM1419" s="4"/>
      <c r="AN1419" s="93" t="s">
        <v>3535</v>
      </c>
      <c r="AO1419" s="92"/>
      <c r="AQ1419" t="s">
        <v>3742</v>
      </c>
      <c r="AS1419">
        <v>1</v>
      </c>
    </row>
    <row r="1420" spans="1:45">
      <c r="A1420">
        <v>1100802</v>
      </c>
      <c r="B1420" s="8">
        <v>1001</v>
      </c>
      <c r="C1420" s="8">
        <v>5</v>
      </c>
      <c r="D1420" s="8">
        <v>1003</v>
      </c>
      <c r="E1420" t="s">
        <v>3746</v>
      </c>
      <c r="F1420" s="13" t="s">
        <v>3743</v>
      </c>
      <c r="G1420" t="s">
        <v>3747</v>
      </c>
      <c r="H1420" t="s">
        <v>3745</v>
      </c>
      <c r="I1420">
        <v>1</v>
      </c>
      <c r="J1420">
        <v>1</v>
      </c>
      <c r="K1420" s="33">
        <v>4</v>
      </c>
      <c r="L1420" s="8">
        <v>99</v>
      </c>
      <c r="M1420" s="8">
        <v>0</v>
      </c>
      <c r="N1420" s="8"/>
      <c r="Q1420" t="s">
        <v>260</v>
      </c>
      <c r="S1420" s="89">
        <v>1</v>
      </c>
      <c r="T1420" s="8">
        <v>5</v>
      </c>
      <c r="U1420" s="89">
        <v>80</v>
      </c>
      <c r="V1420" s="87">
        <v>0</v>
      </c>
      <c r="W1420">
        <v>1</v>
      </c>
      <c r="X1420" s="8">
        <v>1</v>
      </c>
      <c r="Y1420" s="8">
        <v>0</v>
      </c>
      <c r="Z1420" s="33">
        <v>2</v>
      </c>
      <c r="AA1420">
        <v>5</v>
      </c>
      <c r="AB1420" s="34">
        <v>3040</v>
      </c>
      <c r="AC1420" s="87">
        <f t="shared" si="1"/>
        <v>193</v>
      </c>
      <c r="AD1420" s="62">
        <v>0</v>
      </c>
      <c r="AE1420" s="62">
        <v>0</v>
      </c>
      <c r="AF1420" s="62">
        <v>1</v>
      </c>
      <c r="AI1420" s="64"/>
      <c r="AJ1420" s="63">
        <v>1100803</v>
      </c>
      <c r="AL1420" s="64">
        <v>1</v>
      </c>
      <c r="AM1420" s="4"/>
      <c r="AN1420" s="93"/>
      <c r="AO1420" s="92"/>
      <c r="AQ1420" t="s">
        <v>3746</v>
      </c>
      <c r="AS1420">
        <v>1</v>
      </c>
    </row>
    <row r="1421" spans="1:45">
      <c r="A1421">
        <v>1100803</v>
      </c>
      <c r="B1421" s="8">
        <v>1001</v>
      </c>
      <c r="C1421" s="8">
        <v>5</v>
      </c>
      <c r="D1421" s="8">
        <v>1003</v>
      </c>
      <c r="E1421" t="s">
        <v>3748</v>
      </c>
      <c r="F1421" s="13" t="s">
        <v>3743</v>
      </c>
      <c r="G1421" t="s">
        <v>3749</v>
      </c>
      <c r="H1421" t="s">
        <v>3745</v>
      </c>
      <c r="I1421">
        <v>1</v>
      </c>
      <c r="J1421">
        <v>2</v>
      </c>
      <c r="K1421" s="33">
        <v>4</v>
      </c>
      <c r="L1421" s="8">
        <v>99</v>
      </c>
      <c r="M1421" s="8">
        <v>0</v>
      </c>
      <c r="N1421" s="8"/>
      <c r="Q1421" t="s">
        <v>260</v>
      </c>
      <c r="S1421" s="89">
        <v>1</v>
      </c>
      <c r="T1421" s="8">
        <v>5</v>
      </c>
      <c r="U1421" s="89">
        <v>110</v>
      </c>
      <c r="V1421" s="87">
        <v>0</v>
      </c>
      <c r="W1421">
        <v>1</v>
      </c>
      <c r="X1421" s="8">
        <v>1</v>
      </c>
      <c r="Y1421" s="8">
        <v>0</v>
      </c>
      <c r="Z1421" s="33">
        <v>2</v>
      </c>
      <c r="AA1421">
        <v>5</v>
      </c>
      <c r="AB1421" s="34">
        <v>4180</v>
      </c>
      <c r="AC1421" s="87">
        <f t="shared" si="1"/>
        <v>192</v>
      </c>
      <c r="AD1421" s="62">
        <v>0</v>
      </c>
      <c r="AE1421" s="62">
        <v>0</v>
      </c>
      <c r="AF1421" s="62">
        <v>1</v>
      </c>
      <c r="AI1421" s="64"/>
      <c r="AJ1421" s="63">
        <v>1100804</v>
      </c>
      <c r="AL1421" s="64">
        <v>1</v>
      </c>
      <c r="AM1421" s="4"/>
      <c r="AN1421" s="93"/>
      <c r="AO1421" s="92"/>
      <c r="AQ1421" t="s">
        <v>3748</v>
      </c>
      <c r="AS1421">
        <v>1</v>
      </c>
    </row>
    <row r="1422" spans="1:45">
      <c r="A1422">
        <v>1100804</v>
      </c>
      <c r="B1422" s="8">
        <v>1001</v>
      </c>
      <c r="C1422" s="8">
        <v>5</v>
      </c>
      <c r="D1422" s="8">
        <v>1003</v>
      </c>
      <c r="E1422" t="s">
        <v>3750</v>
      </c>
      <c r="F1422" s="13" t="s">
        <v>3743</v>
      </c>
      <c r="G1422" t="s">
        <v>3751</v>
      </c>
      <c r="H1422" t="s">
        <v>3752</v>
      </c>
      <c r="I1422">
        <v>1</v>
      </c>
      <c r="J1422">
        <v>2</v>
      </c>
      <c r="K1422" s="33">
        <v>4</v>
      </c>
      <c r="L1422" s="8">
        <v>99</v>
      </c>
      <c r="M1422" s="8">
        <v>0</v>
      </c>
      <c r="N1422" s="8"/>
      <c r="Q1422" t="s">
        <v>260</v>
      </c>
      <c r="S1422" s="89">
        <v>1</v>
      </c>
      <c r="T1422" s="8">
        <v>5</v>
      </c>
      <c r="U1422" s="89">
        <v>110</v>
      </c>
      <c r="V1422" s="87">
        <v>0</v>
      </c>
      <c r="W1422">
        <v>1</v>
      </c>
      <c r="X1422" s="8">
        <v>1</v>
      </c>
      <c r="Y1422" s="8">
        <v>0</v>
      </c>
      <c r="Z1422" s="33">
        <v>2</v>
      </c>
      <c r="AA1422">
        <v>5</v>
      </c>
      <c r="AB1422" s="34">
        <v>4180</v>
      </c>
      <c r="AC1422" s="87">
        <f t="shared" si="1"/>
        <v>191</v>
      </c>
      <c r="AD1422" s="62">
        <v>0</v>
      </c>
      <c r="AE1422" s="62">
        <v>0</v>
      </c>
      <c r="AF1422" s="62">
        <v>1</v>
      </c>
      <c r="AI1422" s="64"/>
      <c r="AJ1422" s="63">
        <v>1100805</v>
      </c>
      <c r="AL1422" s="64">
        <v>1</v>
      </c>
      <c r="AM1422" s="4"/>
      <c r="AN1422" s="93"/>
      <c r="AO1422" s="92"/>
      <c r="AQ1422" t="s">
        <v>3750</v>
      </c>
      <c r="AS1422">
        <v>1</v>
      </c>
    </row>
    <row r="1423" spans="1:45">
      <c r="A1423">
        <v>1100805</v>
      </c>
      <c r="B1423" s="8">
        <v>1001</v>
      </c>
      <c r="C1423" s="8">
        <v>5</v>
      </c>
      <c r="D1423" s="8">
        <v>1003</v>
      </c>
      <c r="E1423" t="s">
        <v>3753</v>
      </c>
      <c r="F1423" s="13" t="s">
        <v>3743</v>
      </c>
      <c r="G1423" t="s">
        <v>3754</v>
      </c>
      <c r="H1423" t="s">
        <v>3752</v>
      </c>
      <c r="I1423">
        <v>1</v>
      </c>
      <c r="J1423">
        <v>3</v>
      </c>
      <c r="K1423" s="33">
        <v>4</v>
      </c>
      <c r="L1423" s="8">
        <v>99</v>
      </c>
      <c r="M1423" s="8">
        <v>0</v>
      </c>
      <c r="N1423" s="8"/>
      <c r="Q1423" t="s">
        <v>260</v>
      </c>
      <c r="S1423" s="89">
        <v>1</v>
      </c>
      <c r="T1423" s="8">
        <v>5</v>
      </c>
      <c r="U1423" s="89">
        <v>140</v>
      </c>
      <c r="V1423" s="87">
        <v>0</v>
      </c>
      <c r="W1423">
        <v>1</v>
      </c>
      <c r="X1423" s="8">
        <v>1</v>
      </c>
      <c r="Y1423" s="8">
        <v>0</v>
      </c>
      <c r="Z1423" s="33">
        <v>2</v>
      </c>
      <c r="AA1423">
        <v>5</v>
      </c>
      <c r="AB1423" s="34">
        <v>5320</v>
      </c>
      <c r="AC1423" s="87">
        <f t="shared" si="1"/>
        <v>191</v>
      </c>
      <c r="AD1423" s="62">
        <v>0</v>
      </c>
      <c r="AE1423" s="62">
        <v>0</v>
      </c>
      <c r="AF1423" s="62">
        <v>1</v>
      </c>
      <c r="AI1423" s="64"/>
      <c r="AJ1423" s="63">
        <v>1100806</v>
      </c>
      <c r="AL1423" s="64">
        <v>1</v>
      </c>
      <c r="AM1423" s="4"/>
      <c r="AN1423" s="93"/>
      <c r="AO1423" s="92"/>
      <c r="AQ1423" t="s">
        <v>3753</v>
      </c>
      <c r="AS1423">
        <v>1</v>
      </c>
    </row>
    <row r="1424" spans="1:45">
      <c r="A1424">
        <v>1100806</v>
      </c>
      <c r="B1424" s="8">
        <v>1001</v>
      </c>
      <c r="C1424" s="8">
        <v>5</v>
      </c>
      <c r="D1424" s="8">
        <v>1003</v>
      </c>
      <c r="E1424" t="s">
        <v>3755</v>
      </c>
      <c r="F1424" s="13" t="s">
        <v>3743</v>
      </c>
      <c r="G1424" t="s">
        <v>3756</v>
      </c>
      <c r="H1424" t="s">
        <v>3752</v>
      </c>
      <c r="I1424">
        <v>1</v>
      </c>
      <c r="J1424">
        <v>3</v>
      </c>
      <c r="K1424" s="33">
        <v>4</v>
      </c>
      <c r="L1424" s="8">
        <v>99</v>
      </c>
      <c r="M1424" s="8">
        <v>0</v>
      </c>
      <c r="N1424" s="8"/>
      <c r="Q1424" t="s">
        <v>260</v>
      </c>
      <c r="S1424" s="89">
        <v>1</v>
      </c>
      <c r="T1424" s="8">
        <v>5</v>
      </c>
      <c r="U1424" s="89">
        <v>140</v>
      </c>
      <c r="V1424" s="87">
        <v>0</v>
      </c>
      <c r="W1424">
        <v>1</v>
      </c>
      <c r="X1424" s="8">
        <v>1</v>
      </c>
      <c r="Y1424" s="8">
        <v>0</v>
      </c>
      <c r="Z1424" s="33">
        <v>0</v>
      </c>
      <c r="AA1424">
        <v>5</v>
      </c>
      <c r="AB1424" s="34">
        <v>5320</v>
      </c>
      <c r="AC1424" s="87">
        <f t="shared" si="1"/>
        <v>191</v>
      </c>
      <c r="AD1424" s="62">
        <v>0</v>
      </c>
      <c r="AE1424" s="62">
        <v>0</v>
      </c>
      <c r="AF1424" s="62">
        <v>1</v>
      </c>
      <c r="AI1424" s="64"/>
      <c r="AJ1424" s="63">
        <v>1100807</v>
      </c>
      <c r="AL1424" s="64">
        <v>1</v>
      </c>
      <c r="AM1424" s="4"/>
      <c r="AN1424" s="93"/>
      <c r="AO1424" s="92"/>
      <c r="AQ1424" t="s">
        <v>3755</v>
      </c>
      <c r="AS1424">
        <v>1</v>
      </c>
    </row>
    <row r="1425" spans="1:45">
      <c r="A1425">
        <v>1100807</v>
      </c>
      <c r="B1425" s="8">
        <v>1001</v>
      </c>
      <c r="C1425" s="8">
        <v>5</v>
      </c>
      <c r="D1425" s="8">
        <v>1003</v>
      </c>
      <c r="E1425" t="s">
        <v>3757</v>
      </c>
      <c r="F1425" s="13" t="s">
        <v>3743</v>
      </c>
      <c r="G1425" t="s">
        <v>3758</v>
      </c>
      <c r="H1425" t="s">
        <v>3759</v>
      </c>
      <c r="I1425">
        <v>1</v>
      </c>
      <c r="J1425">
        <v>4</v>
      </c>
      <c r="K1425" s="33">
        <v>4</v>
      </c>
      <c r="L1425" s="8">
        <v>99</v>
      </c>
      <c r="M1425" s="8">
        <v>0</v>
      </c>
      <c r="N1425" s="8"/>
      <c r="S1425" s="89">
        <v>1</v>
      </c>
      <c r="T1425" s="8">
        <v>5</v>
      </c>
      <c r="U1425" s="89">
        <v>170</v>
      </c>
      <c r="V1425" s="87">
        <v>0</v>
      </c>
      <c r="W1425">
        <v>1</v>
      </c>
      <c r="X1425" s="8">
        <v>1</v>
      </c>
      <c r="Y1425" s="8">
        <v>0</v>
      </c>
      <c r="Z1425" s="33">
        <v>0</v>
      </c>
      <c r="AA1425">
        <v>5</v>
      </c>
      <c r="AB1425" s="34">
        <v>6460</v>
      </c>
      <c r="AC1425" s="87">
        <f t="shared" si="1"/>
        <v>491</v>
      </c>
      <c r="AD1425" s="62">
        <v>0</v>
      </c>
      <c r="AE1425" s="62">
        <v>0</v>
      </c>
      <c r="AF1425" s="62">
        <v>1</v>
      </c>
      <c r="AI1425" s="64"/>
      <c r="AJ1425" s="63">
        <v>1100808</v>
      </c>
      <c r="AL1425" s="64">
        <v>1</v>
      </c>
      <c r="AM1425" s="4"/>
      <c r="AN1425" s="93"/>
      <c r="AO1425" s="92"/>
      <c r="AQ1425" t="s">
        <v>3757</v>
      </c>
      <c r="AS1425">
        <v>1</v>
      </c>
    </row>
    <row r="1426" spans="1:45">
      <c r="A1426">
        <v>1100808</v>
      </c>
      <c r="B1426" s="8">
        <v>1001</v>
      </c>
      <c r="C1426" s="8">
        <v>5</v>
      </c>
      <c r="D1426" s="8">
        <v>1003</v>
      </c>
      <c r="E1426" t="s">
        <v>3760</v>
      </c>
      <c r="F1426" s="13" t="s">
        <v>3743</v>
      </c>
      <c r="G1426" t="s">
        <v>3761</v>
      </c>
      <c r="H1426" t="s">
        <v>3759</v>
      </c>
      <c r="I1426">
        <v>1</v>
      </c>
      <c r="J1426">
        <v>4</v>
      </c>
      <c r="K1426" s="33">
        <v>4</v>
      </c>
      <c r="L1426" s="8">
        <v>99</v>
      </c>
      <c r="M1426" s="8">
        <v>0</v>
      </c>
      <c r="N1426" s="8"/>
      <c r="S1426" s="89">
        <v>1</v>
      </c>
      <c r="T1426" s="8">
        <v>5</v>
      </c>
      <c r="U1426" s="89">
        <v>170</v>
      </c>
      <c r="V1426" s="87">
        <v>0</v>
      </c>
      <c r="W1426">
        <v>1</v>
      </c>
      <c r="X1426" s="8">
        <v>1</v>
      </c>
      <c r="Y1426" s="8">
        <v>0</v>
      </c>
      <c r="Z1426" s="33">
        <v>0</v>
      </c>
      <c r="AA1426">
        <v>5</v>
      </c>
      <c r="AB1426" s="34">
        <v>6460</v>
      </c>
      <c r="AC1426" s="87">
        <f t="shared" si="1"/>
        <v>210</v>
      </c>
      <c r="AD1426" s="62">
        <v>0</v>
      </c>
      <c r="AE1426" s="62">
        <v>0</v>
      </c>
      <c r="AF1426" s="62">
        <v>1</v>
      </c>
      <c r="AI1426" s="64"/>
      <c r="AJ1426" s="63">
        <v>1100809</v>
      </c>
      <c r="AL1426" s="64">
        <v>1</v>
      </c>
      <c r="AM1426" s="4"/>
      <c r="AN1426" s="93"/>
      <c r="AO1426" s="92"/>
      <c r="AQ1426" t="s">
        <v>3760</v>
      </c>
      <c r="AS1426">
        <v>1</v>
      </c>
    </row>
    <row r="1427" spans="1:45">
      <c r="A1427">
        <v>1100809</v>
      </c>
      <c r="B1427" s="8">
        <v>1001</v>
      </c>
      <c r="C1427" s="8">
        <v>5</v>
      </c>
      <c r="D1427" s="8">
        <v>1003</v>
      </c>
      <c r="E1427" t="s">
        <v>3762</v>
      </c>
      <c r="F1427" s="13" t="s">
        <v>3743</v>
      </c>
      <c r="G1427" t="s">
        <v>3763</v>
      </c>
      <c r="H1427" t="s">
        <v>3759</v>
      </c>
      <c r="I1427">
        <v>1</v>
      </c>
      <c r="J1427">
        <v>5</v>
      </c>
      <c r="K1427" s="33">
        <v>4</v>
      </c>
      <c r="L1427" s="8">
        <v>99</v>
      </c>
      <c r="M1427" s="8">
        <v>0</v>
      </c>
      <c r="N1427" s="8"/>
      <c r="S1427" s="89">
        <v>1</v>
      </c>
      <c r="T1427" s="8">
        <v>5</v>
      </c>
      <c r="U1427" s="89">
        <v>200</v>
      </c>
      <c r="V1427" s="87">
        <v>0</v>
      </c>
      <c r="W1427">
        <v>1</v>
      </c>
      <c r="X1427" s="8">
        <v>1</v>
      </c>
      <c r="Y1427" s="8">
        <v>0</v>
      </c>
      <c r="Z1427" s="33">
        <v>0</v>
      </c>
      <c r="AA1427">
        <v>5</v>
      </c>
      <c r="AB1427" s="34">
        <v>7600</v>
      </c>
      <c r="AC1427" s="87">
        <f t="shared" si="1"/>
        <v>209</v>
      </c>
      <c r="AD1427" s="62">
        <v>0</v>
      </c>
      <c r="AE1427" s="62">
        <v>0</v>
      </c>
      <c r="AF1427" s="62">
        <v>1</v>
      </c>
      <c r="AI1427" s="64"/>
      <c r="AJ1427" s="63">
        <v>1100810</v>
      </c>
      <c r="AL1427" s="64">
        <v>1</v>
      </c>
      <c r="AM1427" s="4"/>
      <c r="AN1427" s="93"/>
      <c r="AO1427" s="92"/>
      <c r="AQ1427" t="s">
        <v>3762</v>
      </c>
      <c r="AS1427">
        <v>1</v>
      </c>
    </row>
    <row r="1428" spans="1:45">
      <c r="A1428">
        <v>1100810</v>
      </c>
      <c r="B1428" s="8">
        <v>1001</v>
      </c>
      <c r="C1428" s="8">
        <v>5</v>
      </c>
      <c r="D1428" s="8">
        <v>1003</v>
      </c>
      <c r="E1428" t="s">
        <v>3764</v>
      </c>
      <c r="F1428" s="13" t="s">
        <v>3743</v>
      </c>
      <c r="G1428" t="s">
        <v>3765</v>
      </c>
      <c r="H1428" t="s">
        <v>3766</v>
      </c>
      <c r="I1428">
        <v>1</v>
      </c>
      <c r="J1428">
        <v>5</v>
      </c>
      <c r="K1428" s="33">
        <v>4</v>
      </c>
      <c r="L1428" s="8">
        <v>99</v>
      </c>
      <c r="M1428" s="8">
        <v>0</v>
      </c>
      <c r="N1428" s="8"/>
      <c r="S1428" s="89">
        <v>1</v>
      </c>
      <c r="T1428" s="8">
        <v>5</v>
      </c>
      <c r="U1428" s="89">
        <v>200</v>
      </c>
      <c r="V1428" s="87">
        <v>0</v>
      </c>
      <c r="W1428">
        <v>1</v>
      </c>
      <c r="X1428" s="8">
        <v>1</v>
      </c>
      <c r="Y1428" s="8">
        <v>0</v>
      </c>
      <c r="Z1428" s="33">
        <v>0</v>
      </c>
      <c r="AA1428">
        <v>5</v>
      </c>
      <c r="AB1428" s="34">
        <v>7600</v>
      </c>
      <c r="AC1428" s="87">
        <f t="shared" si="1"/>
        <v>208</v>
      </c>
      <c r="AD1428" s="62">
        <v>0</v>
      </c>
      <c r="AE1428" s="62">
        <v>0</v>
      </c>
      <c r="AF1428" s="62">
        <v>1</v>
      </c>
      <c r="AI1428" s="64"/>
      <c r="AJ1428" s="63">
        <v>1100811</v>
      </c>
      <c r="AL1428" s="64">
        <v>1</v>
      </c>
      <c r="AM1428" s="4"/>
      <c r="AN1428" s="93"/>
      <c r="AO1428" s="92"/>
      <c r="AQ1428" t="s">
        <v>3764</v>
      </c>
      <c r="AS1428">
        <v>1</v>
      </c>
    </row>
    <row r="1429" spans="1:45">
      <c r="A1429">
        <v>1100811</v>
      </c>
      <c r="B1429" s="8">
        <v>1001</v>
      </c>
      <c r="C1429" s="8">
        <v>5</v>
      </c>
      <c r="D1429" s="8">
        <v>1003</v>
      </c>
      <c r="E1429" t="s">
        <v>3767</v>
      </c>
      <c r="F1429" s="13" t="s">
        <v>3743</v>
      </c>
      <c r="G1429" t="s">
        <v>3768</v>
      </c>
      <c r="H1429" t="s">
        <v>3769</v>
      </c>
      <c r="I1429">
        <v>1</v>
      </c>
      <c r="J1429">
        <v>5</v>
      </c>
      <c r="K1429" s="33">
        <v>4</v>
      </c>
      <c r="L1429" s="8">
        <v>99</v>
      </c>
      <c r="M1429" s="8">
        <v>0</v>
      </c>
      <c r="N1429" s="8"/>
      <c r="S1429" s="89">
        <v>1</v>
      </c>
      <c r="T1429" s="8">
        <v>5</v>
      </c>
      <c r="U1429" s="89">
        <v>200</v>
      </c>
      <c r="V1429" s="87">
        <v>0</v>
      </c>
      <c r="W1429">
        <v>1</v>
      </c>
      <c r="X1429" s="8">
        <v>1</v>
      </c>
      <c r="Y1429" s="8">
        <v>0</v>
      </c>
      <c r="Z1429" s="33">
        <v>0</v>
      </c>
      <c r="AA1429">
        <v>5</v>
      </c>
      <c r="AB1429" s="34">
        <v>7600</v>
      </c>
      <c r="AC1429" s="87">
        <f t="shared" si="1"/>
        <v>207</v>
      </c>
      <c r="AD1429" s="62">
        <v>0</v>
      </c>
      <c r="AE1429" s="62">
        <v>0</v>
      </c>
      <c r="AF1429" s="62">
        <v>1</v>
      </c>
      <c r="AI1429" s="64"/>
      <c r="AJ1429" s="63">
        <v>1100812</v>
      </c>
      <c r="AL1429" s="64">
        <v>1</v>
      </c>
      <c r="AM1429" s="4"/>
      <c r="AN1429" s="93"/>
      <c r="AO1429" s="92"/>
      <c r="AQ1429" t="s">
        <v>3767</v>
      </c>
      <c r="AS1429">
        <v>1</v>
      </c>
    </row>
    <row r="1430" spans="1:45">
      <c r="A1430">
        <v>1100812</v>
      </c>
      <c r="B1430" s="8">
        <v>1001</v>
      </c>
      <c r="C1430" s="8">
        <v>5</v>
      </c>
      <c r="D1430" s="8">
        <v>1003</v>
      </c>
      <c r="E1430" t="s">
        <v>3770</v>
      </c>
      <c r="F1430" s="13" t="s">
        <v>3743</v>
      </c>
      <c r="G1430" t="s">
        <v>3771</v>
      </c>
      <c r="H1430" t="s">
        <v>3769</v>
      </c>
      <c r="I1430">
        <v>1</v>
      </c>
      <c r="J1430">
        <v>5</v>
      </c>
      <c r="K1430" s="33">
        <v>1</v>
      </c>
      <c r="L1430" s="8">
        <v>99</v>
      </c>
      <c r="M1430" s="8">
        <v>0</v>
      </c>
      <c r="N1430" s="8"/>
      <c r="Q1430"/>
      <c r="S1430" s="89">
        <v>1</v>
      </c>
      <c r="T1430" s="8">
        <v>5</v>
      </c>
      <c r="U1430" s="89">
        <v>200</v>
      </c>
      <c r="V1430" s="87">
        <v>0</v>
      </c>
      <c r="W1430">
        <v>1</v>
      </c>
      <c r="X1430" s="8">
        <v>1</v>
      </c>
      <c r="Y1430" s="8">
        <v>0</v>
      </c>
      <c r="Z1430" s="33">
        <v>0</v>
      </c>
      <c r="AA1430">
        <v>5</v>
      </c>
      <c r="AB1430" s="34">
        <v>7600</v>
      </c>
      <c r="AC1430" s="87">
        <f t="shared" si="1"/>
        <v>206</v>
      </c>
      <c r="AD1430" s="62">
        <v>0</v>
      </c>
      <c r="AE1430" s="62">
        <v>0</v>
      </c>
      <c r="AF1430" s="62">
        <v>1</v>
      </c>
      <c r="AI1430" s="64"/>
      <c r="AL1430" s="64">
        <v>1</v>
      </c>
      <c r="AM1430" s="4"/>
      <c r="AN1430" s="93"/>
      <c r="AO1430" s="92"/>
      <c r="AQ1430" t="s">
        <v>3770</v>
      </c>
      <c r="AS1430">
        <v>1</v>
      </c>
    </row>
    <row r="1431" spans="1:45">
      <c r="A1431">
        <v>1100901</v>
      </c>
      <c r="B1431" s="8">
        <v>1001</v>
      </c>
      <c r="C1431" s="8">
        <v>5</v>
      </c>
      <c r="D1431" s="8">
        <v>1003</v>
      </c>
      <c r="E1431" t="s">
        <v>3772</v>
      </c>
      <c r="F1431" s="13" t="s">
        <v>3773</v>
      </c>
      <c r="G1431" t="s">
        <v>3774</v>
      </c>
      <c r="H1431" t="s">
        <v>3775</v>
      </c>
      <c r="I1431">
        <v>1</v>
      </c>
      <c r="J1431">
        <v>1</v>
      </c>
      <c r="K1431" s="33">
        <v>4</v>
      </c>
      <c r="L1431" s="8">
        <v>99</v>
      </c>
      <c r="M1431" s="8">
        <v>0</v>
      </c>
      <c r="N1431" s="8"/>
      <c r="Q1431" t="s">
        <v>260</v>
      </c>
      <c r="S1431" s="89">
        <v>1</v>
      </c>
      <c r="T1431" s="8">
        <v>5</v>
      </c>
      <c r="U1431" s="89">
        <v>80</v>
      </c>
      <c r="V1431" s="87">
        <v>0</v>
      </c>
      <c r="W1431">
        <v>1</v>
      </c>
      <c r="X1431" s="8">
        <v>1</v>
      </c>
      <c r="Y1431" s="8">
        <v>0</v>
      </c>
      <c r="Z1431" s="33">
        <v>2</v>
      </c>
      <c r="AA1431">
        <v>5</v>
      </c>
      <c r="AB1431" s="34">
        <v>3040</v>
      </c>
      <c r="AC1431" s="87">
        <f t="shared" si="1"/>
        <v>205</v>
      </c>
      <c r="AD1431" s="62">
        <v>0</v>
      </c>
      <c r="AE1431" s="62">
        <v>0</v>
      </c>
      <c r="AF1431" s="62">
        <v>1</v>
      </c>
      <c r="AI1431" s="64"/>
      <c r="AJ1431" s="63">
        <v>1100902</v>
      </c>
      <c r="AL1431" s="64">
        <v>1</v>
      </c>
      <c r="AM1431" s="4"/>
      <c r="AN1431" s="93" t="s">
        <v>3535</v>
      </c>
      <c r="AO1431" s="92"/>
      <c r="AQ1431" t="s">
        <v>3772</v>
      </c>
      <c r="AS1431">
        <v>1</v>
      </c>
    </row>
    <row r="1432" spans="1:45">
      <c r="A1432">
        <v>1100902</v>
      </c>
      <c r="B1432" s="8">
        <v>1001</v>
      </c>
      <c r="C1432" s="8">
        <v>5</v>
      </c>
      <c r="D1432" s="8">
        <v>1003</v>
      </c>
      <c r="E1432" t="s">
        <v>3776</v>
      </c>
      <c r="F1432" s="13" t="s">
        <v>3773</v>
      </c>
      <c r="G1432" t="s">
        <v>3777</v>
      </c>
      <c r="H1432" t="s">
        <v>3775</v>
      </c>
      <c r="I1432">
        <v>1</v>
      </c>
      <c r="J1432">
        <v>1</v>
      </c>
      <c r="K1432" s="33">
        <v>4</v>
      </c>
      <c r="L1432" s="8">
        <v>99</v>
      </c>
      <c r="M1432" s="8">
        <v>0</v>
      </c>
      <c r="N1432" s="8"/>
      <c r="Q1432" t="s">
        <v>260</v>
      </c>
      <c r="S1432" s="89">
        <v>1</v>
      </c>
      <c r="T1432" s="8">
        <v>5</v>
      </c>
      <c r="U1432" s="89">
        <v>80</v>
      </c>
      <c r="V1432" s="87">
        <v>0</v>
      </c>
      <c r="W1432">
        <v>1</v>
      </c>
      <c r="X1432" s="8">
        <v>1</v>
      </c>
      <c r="Y1432" s="8">
        <v>0</v>
      </c>
      <c r="Z1432" s="33">
        <v>2</v>
      </c>
      <c r="AA1432">
        <v>5</v>
      </c>
      <c r="AB1432" s="34">
        <v>3040</v>
      </c>
      <c r="AC1432" s="87">
        <f t="shared" si="1"/>
        <v>204</v>
      </c>
      <c r="AD1432" s="62">
        <v>0</v>
      </c>
      <c r="AE1432" s="62">
        <v>0</v>
      </c>
      <c r="AF1432" s="62">
        <v>1</v>
      </c>
      <c r="AI1432" s="64"/>
      <c r="AJ1432" s="63">
        <v>1100903</v>
      </c>
      <c r="AL1432" s="64">
        <v>1</v>
      </c>
      <c r="AM1432" s="4"/>
      <c r="AN1432" s="93"/>
      <c r="AO1432" s="92"/>
      <c r="AQ1432" t="s">
        <v>3776</v>
      </c>
      <c r="AS1432">
        <v>1</v>
      </c>
    </row>
    <row r="1433" spans="1:45">
      <c r="A1433">
        <v>1100903</v>
      </c>
      <c r="B1433" s="8">
        <v>1001</v>
      </c>
      <c r="C1433" s="8">
        <v>5</v>
      </c>
      <c r="D1433" s="8">
        <v>1003</v>
      </c>
      <c r="E1433" t="s">
        <v>3778</v>
      </c>
      <c r="F1433" s="13" t="s">
        <v>3773</v>
      </c>
      <c r="G1433" t="s">
        <v>3779</v>
      </c>
      <c r="H1433" t="s">
        <v>3775</v>
      </c>
      <c r="I1433">
        <v>1</v>
      </c>
      <c r="J1433">
        <v>2</v>
      </c>
      <c r="K1433" s="33">
        <v>4</v>
      </c>
      <c r="L1433" s="8">
        <v>99</v>
      </c>
      <c r="M1433" s="8">
        <v>0</v>
      </c>
      <c r="N1433" s="8"/>
      <c r="Q1433" t="s">
        <v>260</v>
      </c>
      <c r="S1433" s="89">
        <v>1</v>
      </c>
      <c r="T1433" s="8">
        <v>5</v>
      </c>
      <c r="U1433" s="89">
        <v>110</v>
      </c>
      <c r="V1433" s="87">
        <v>0</v>
      </c>
      <c r="W1433">
        <v>1</v>
      </c>
      <c r="X1433" s="8">
        <v>1</v>
      </c>
      <c r="Y1433" s="8">
        <v>0</v>
      </c>
      <c r="Z1433" s="33">
        <v>2</v>
      </c>
      <c r="AA1433">
        <v>5</v>
      </c>
      <c r="AB1433" s="34">
        <v>4180</v>
      </c>
      <c r="AC1433" s="87">
        <f t="shared" si="1"/>
        <v>203</v>
      </c>
      <c r="AD1433" s="62">
        <v>0</v>
      </c>
      <c r="AE1433" s="62">
        <v>0</v>
      </c>
      <c r="AF1433" s="62">
        <v>1</v>
      </c>
      <c r="AI1433" s="64"/>
      <c r="AJ1433" s="63">
        <v>1100904</v>
      </c>
      <c r="AL1433" s="64">
        <v>1</v>
      </c>
      <c r="AM1433" s="4"/>
      <c r="AN1433" s="93"/>
      <c r="AO1433" s="92"/>
      <c r="AQ1433" t="s">
        <v>3778</v>
      </c>
      <c r="AS1433">
        <v>1</v>
      </c>
    </row>
    <row r="1434" spans="1:45">
      <c r="A1434">
        <v>1100904</v>
      </c>
      <c r="B1434" s="8">
        <v>1001</v>
      </c>
      <c r="C1434" s="8">
        <v>5</v>
      </c>
      <c r="D1434" s="8">
        <v>1003</v>
      </c>
      <c r="E1434" t="s">
        <v>3780</v>
      </c>
      <c r="F1434" s="13" t="s">
        <v>3773</v>
      </c>
      <c r="G1434" t="s">
        <v>3781</v>
      </c>
      <c r="H1434" t="s">
        <v>3782</v>
      </c>
      <c r="I1434">
        <v>1</v>
      </c>
      <c r="J1434">
        <v>2</v>
      </c>
      <c r="K1434" s="33">
        <v>4</v>
      </c>
      <c r="L1434" s="8">
        <v>99</v>
      </c>
      <c r="M1434" s="8">
        <v>0</v>
      </c>
      <c r="N1434" s="8"/>
      <c r="Q1434" t="s">
        <v>260</v>
      </c>
      <c r="S1434" s="89">
        <v>1</v>
      </c>
      <c r="T1434" s="8">
        <v>5</v>
      </c>
      <c r="U1434" s="89">
        <v>110</v>
      </c>
      <c r="V1434" s="87">
        <v>0</v>
      </c>
      <c r="W1434">
        <v>1</v>
      </c>
      <c r="X1434" s="8">
        <v>1</v>
      </c>
      <c r="Y1434" s="8">
        <v>0</v>
      </c>
      <c r="Z1434" s="33">
        <v>2</v>
      </c>
      <c r="AA1434">
        <v>5</v>
      </c>
      <c r="AB1434" s="34">
        <v>4180</v>
      </c>
      <c r="AC1434" s="87">
        <f t="shared" si="1"/>
        <v>202</v>
      </c>
      <c r="AD1434" s="62">
        <v>0</v>
      </c>
      <c r="AE1434" s="62">
        <v>0</v>
      </c>
      <c r="AF1434" s="62">
        <v>1</v>
      </c>
      <c r="AI1434" s="64"/>
      <c r="AJ1434" s="63">
        <v>1100905</v>
      </c>
      <c r="AL1434" s="64">
        <v>1</v>
      </c>
      <c r="AM1434" s="4"/>
      <c r="AN1434" s="93"/>
      <c r="AO1434" s="92"/>
      <c r="AQ1434" t="s">
        <v>3780</v>
      </c>
      <c r="AS1434">
        <v>1</v>
      </c>
    </row>
    <row r="1435" spans="1:45">
      <c r="A1435">
        <v>1100905</v>
      </c>
      <c r="B1435" s="8">
        <v>1001</v>
      </c>
      <c r="C1435" s="8">
        <v>5</v>
      </c>
      <c r="D1435" s="8">
        <v>1003</v>
      </c>
      <c r="E1435" t="s">
        <v>3783</v>
      </c>
      <c r="F1435" s="13" t="s">
        <v>3773</v>
      </c>
      <c r="G1435" t="s">
        <v>3784</v>
      </c>
      <c r="H1435" t="s">
        <v>3782</v>
      </c>
      <c r="I1435">
        <v>1</v>
      </c>
      <c r="J1435">
        <v>3</v>
      </c>
      <c r="K1435" s="33">
        <v>4</v>
      </c>
      <c r="L1435" s="8">
        <v>99</v>
      </c>
      <c r="M1435" s="8">
        <v>0</v>
      </c>
      <c r="N1435" s="8"/>
      <c r="Q1435" t="s">
        <v>260</v>
      </c>
      <c r="S1435" s="89">
        <v>1</v>
      </c>
      <c r="T1435" s="8">
        <v>5</v>
      </c>
      <c r="U1435" s="89">
        <v>140</v>
      </c>
      <c r="V1435" s="87">
        <v>0</v>
      </c>
      <c r="W1435">
        <v>1</v>
      </c>
      <c r="X1435" s="8">
        <v>1</v>
      </c>
      <c r="Y1435" s="8">
        <v>0</v>
      </c>
      <c r="Z1435" s="33">
        <v>2</v>
      </c>
      <c r="AA1435">
        <v>5</v>
      </c>
      <c r="AB1435" s="34">
        <v>5320</v>
      </c>
      <c r="AC1435" s="87">
        <f t="shared" si="1"/>
        <v>201</v>
      </c>
      <c r="AD1435" s="62">
        <v>0</v>
      </c>
      <c r="AE1435" s="62">
        <v>0</v>
      </c>
      <c r="AF1435" s="62">
        <v>1</v>
      </c>
      <c r="AI1435" s="64"/>
      <c r="AJ1435" s="63">
        <v>1100906</v>
      </c>
      <c r="AL1435" s="64">
        <v>1</v>
      </c>
      <c r="AM1435" s="4"/>
      <c r="AN1435" s="93"/>
      <c r="AO1435" s="92"/>
      <c r="AQ1435" t="s">
        <v>3783</v>
      </c>
      <c r="AS1435">
        <v>1</v>
      </c>
    </row>
    <row r="1436" spans="1:45">
      <c r="A1436">
        <v>1100906</v>
      </c>
      <c r="B1436" s="8">
        <v>1001</v>
      </c>
      <c r="C1436" s="8">
        <v>5</v>
      </c>
      <c r="D1436" s="8">
        <v>1003</v>
      </c>
      <c r="E1436" t="s">
        <v>3785</v>
      </c>
      <c r="F1436" s="13" t="s">
        <v>3773</v>
      </c>
      <c r="G1436" t="s">
        <v>3786</v>
      </c>
      <c r="H1436" t="s">
        <v>3782</v>
      </c>
      <c r="I1436">
        <v>1</v>
      </c>
      <c r="J1436">
        <v>3</v>
      </c>
      <c r="K1436" s="33">
        <v>4</v>
      </c>
      <c r="L1436" s="8">
        <v>99</v>
      </c>
      <c r="M1436" s="8">
        <v>0</v>
      </c>
      <c r="N1436" s="8"/>
      <c r="Q1436" t="s">
        <v>260</v>
      </c>
      <c r="S1436" s="89">
        <v>1</v>
      </c>
      <c r="T1436" s="8">
        <v>5</v>
      </c>
      <c r="U1436" s="89">
        <v>140</v>
      </c>
      <c r="V1436" s="87">
        <v>0</v>
      </c>
      <c r="W1436">
        <v>1</v>
      </c>
      <c r="X1436" s="8">
        <v>1</v>
      </c>
      <c r="Y1436" s="8">
        <v>0</v>
      </c>
      <c r="Z1436" s="33">
        <v>0</v>
      </c>
      <c r="AA1436">
        <v>5</v>
      </c>
      <c r="AB1436" s="34">
        <v>5320</v>
      </c>
      <c r="AC1436" s="87">
        <f t="shared" si="1"/>
        <v>201</v>
      </c>
      <c r="AD1436" s="62">
        <v>0</v>
      </c>
      <c r="AE1436" s="62">
        <v>0</v>
      </c>
      <c r="AF1436" s="62">
        <v>1</v>
      </c>
      <c r="AI1436" s="64"/>
      <c r="AJ1436" s="63">
        <v>1100907</v>
      </c>
      <c r="AL1436" s="64">
        <v>1</v>
      </c>
      <c r="AM1436" s="4"/>
      <c r="AN1436" s="93"/>
      <c r="AO1436" s="92"/>
      <c r="AQ1436" t="s">
        <v>3785</v>
      </c>
      <c r="AS1436">
        <v>1</v>
      </c>
    </row>
    <row r="1437" spans="1:45">
      <c r="A1437">
        <v>1100907</v>
      </c>
      <c r="B1437" s="8">
        <v>1001</v>
      </c>
      <c r="C1437" s="8">
        <v>5</v>
      </c>
      <c r="D1437" s="8">
        <v>1003</v>
      </c>
      <c r="E1437" t="s">
        <v>3787</v>
      </c>
      <c r="F1437" s="13" t="s">
        <v>3773</v>
      </c>
      <c r="G1437" t="s">
        <v>3788</v>
      </c>
      <c r="H1437" t="s">
        <v>3789</v>
      </c>
      <c r="I1437">
        <v>1</v>
      </c>
      <c r="J1437">
        <v>4</v>
      </c>
      <c r="K1437" s="33">
        <v>4</v>
      </c>
      <c r="L1437" s="8">
        <v>99</v>
      </c>
      <c r="M1437" s="8">
        <v>0</v>
      </c>
      <c r="N1437" s="8"/>
      <c r="S1437" s="89">
        <v>1</v>
      </c>
      <c r="T1437" s="8">
        <v>5</v>
      </c>
      <c r="U1437" s="89">
        <v>170</v>
      </c>
      <c r="V1437" s="87">
        <v>0</v>
      </c>
      <c r="W1437">
        <v>1</v>
      </c>
      <c r="X1437" s="8">
        <v>1</v>
      </c>
      <c r="Y1437" s="8">
        <v>0</v>
      </c>
      <c r="Z1437" s="33">
        <v>0</v>
      </c>
      <c r="AA1437">
        <v>5</v>
      </c>
      <c r="AB1437" s="34">
        <v>6460</v>
      </c>
      <c r="AC1437" s="87">
        <f t="shared" si="1"/>
        <v>201</v>
      </c>
      <c r="AD1437" s="62">
        <v>0</v>
      </c>
      <c r="AE1437" s="62">
        <v>0</v>
      </c>
      <c r="AF1437" s="62">
        <v>1</v>
      </c>
      <c r="AI1437" s="64"/>
      <c r="AJ1437" s="63">
        <v>1100908</v>
      </c>
      <c r="AL1437" s="64">
        <v>1</v>
      </c>
      <c r="AM1437" s="4"/>
      <c r="AN1437" s="93"/>
      <c r="AO1437" s="92"/>
      <c r="AQ1437" t="s">
        <v>3787</v>
      </c>
      <c r="AS1437">
        <v>1</v>
      </c>
    </row>
    <row r="1438" spans="1:45">
      <c r="A1438">
        <v>1100908</v>
      </c>
      <c r="B1438" s="8">
        <v>1001</v>
      </c>
      <c r="C1438" s="8">
        <v>5</v>
      </c>
      <c r="D1438" s="8">
        <v>1003</v>
      </c>
      <c r="E1438" t="s">
        <v>3790</v>
      </c>
      <c r="F1438" s="13" t="s">
        <v>3773</v>
      </c>
      <c r="G1438" t="s">
        <v>3791</v>
      </c>
      <c r="H1438" t="s">
        <v>3789</v>
      </c>
      <c r="I1438">
        <v>1</v>
      </c>
      <c r="J1438">
        <v>4</v>
      </c>
      <c r="K1438" s="33">
        <v>4</v>
      </c>
      <c r="L1438" s="8">
        <v>99</v>
      </c>
      <c r="M1438" s="8">
        <v>0</v>
      </c>
      <c r="N1438" s="8"/>
      <c r="S1438" s="89">
        <v>1</v>
      </c>
      <c r="T1438" s="8">
        <v>5</v>
      </c>
      <c r="U1438" s="89">
        <v>170</v>
      </c>
      <c r="V1438" s="87">
        <v>0</v>
      </c>
      <c r="W1438">
        <v>1</v>
      </c>
      <c r="X1438" s="8">
        <v>1</v>
      </c>
      <c r="Y1438" s="8">
        <v>0</v>
      </c>
      <c r="Z1438" s="33">
        <v>0</v>
      </c>
      <c r="AA1438">
        <v>5</v>
      </c>
      <c r="AB1438" s="34">
        <v>6460</v>
      </c>
      <c r="AC1438" s="87">
        <f t="shared" si="1"/>
        <v>501</v>
      </c>
      <c r="AD1438" s="62">
        <v>0</v>
      </c>
      <c r="AE1438" s="62">
        <v>0</v>
      </c>
      <c r="AF1438" s="62">
        <v>1</v>
      </c>
      <c r="AI1438" s="64"/>
      <c r="AJ1438" s="63">
        <v>1100909</v>
      </c>
      <c r="AL1438" s="64">
        <v>1</v>
      </c>
      <c r="AM1438" s="4"/>
      <c r="AN1438" s="93"/>
      <c r="AO1438" s="92"/>
      <c r="AQ1438" t="s">
        <v>3790</v>
      </c>
      <c r="AS1438">
        <v>1</v>
      </c>
    </row>
    <row r="1439" spans="1:45">
      <c r="A1439">
        <v>1100909</v>
      </c>
      <c r="B1439" s="8">
        <v>1001</v>
      </c>
      <c r="C1439" s="8">
        <v>5</v>
      </c>
      <c r="D1439" s="8">
        <v>1003</v>
      </c>
      <c r="E1439" t="s">
        <v>3792</v>
      </c>
      <c r="F1439" s="13" t="s">
        <v>3773</v>
      </c>
      <c r="G1439" t="s">
        <v>3793</v>
      </c>
      <c r="H1439" t="s">
        <v>3789</v>
      </c>
      <c r="I1439">
        <v>1</v>
      </c>
      <c r="J1439">
        <v>5</v>
      </c>
      <c r="K1439" s="33">
        <v>4</v>
      </c>
      <c r="L1439" s="8">
        <v>99</v>
      </c>
      <c r="M1439" s="8">
        <v>0</v>
      </c>
      <c r="N1439" s="8"/>
      <c r="S1439" s="89">
        <v>1</v>
      </c>
      <c r="T1439" s="8">
        <v>5</v>
      </c>
      <c r="U1439" s="89">
        <v>200</v>
      </c>
      <c r="V1439" s="87">
        <v>0</v>
      </c>
      <c r="W1439">
        <v>1</v>
      </c>
      <c r="X1439" s="8">
        <v>1</v>
      </c>
      <c r="Y1439" s="8">
        <v>0</v>
      </c>
      <c r="Z1439" s="33">
        <v>0</v>
      </c>
      <c r="AA1439">
        <v>5</v>
      </c>
      <c r="AB1439" s="34">
        <v>7600</v>
      </c>
      <c r="AC1439" s="87">
        <f t="shared" si="1"/>
        <v>220</v>
      </c>
      <c r="AD1439" s="62">
        <v>0</v>
      </c>
      <c r="AE1439" s="62">
        <v>0</v>
      </c>
      <c r="AF1439" s="62">
        <v>1</v>
      </c>
      <c r="AI1439" s="64"/>
      <c r="AJ1439" s="63">
        <v>1100910</v>
      </c>
      <c r="AL1439" s="64">
        <v>1</v>
      </c>
      <c r="AM1439" s="4"/>
      <c r="AN1439" s="93"/>
      <c r="AO1439" s="92"/>
      <c r="AQ1439" t="s">
        <v>3792</v>
      </c>
      <c r="AS1439">
        <v>1</v>
      </c>
    </row>
    <row r="1440" spans="1:45">
      <c r="A1440">
        <v>1100910</v>
      </c>
      <c r="B1440" s="8">
        <v>1001</v>
      </c>
      <c r="C1440" s="8">
        <v>5</v>
      </c>
      <c r="D1440" s="8">
        <v>1003</v>
      </c>
      <c r="E1440" t="s">
        <v>3794</v>
      </c>
      <c r="F1440" s="13" t="s">
        <v>3773</v>
      </c>
      <c r="G1440" t="s">
        <v>3795</v>
      </c>
      <c r="H1440" t="s">
        <v>3796</v>
      </c>
      <c r="I1440">
        <v>1</v>
      </c>
      <c r="J1440">
        <v>5</v>
      </c>
      <c r="K1440" s="33">
        <v>4</v>
      </c>
      <c r="L1440" s="8">
        <v>99</v>
      </c>
      <c r="M1440" s="8">
        <v>0</v>
      </c>
      <c r="N1440" s="8"/>
      <c r="S1440" s="89">
        <v>1</v>
      </c>
      <c r="T1440" s="8">
        <v>5</v>
      </c>
      <c r="U1440" s="89">
        <v>200</v>
      </c>
      <c r="V1440" s="87">
        <v>0</v>
      </c>
      <c r="W1440">
        <v>1</v>
      </c>
      <c r="X1440" s="8">
        <v>1</v>
      </c>
      <c r="Y1440" s="8">
        <v>0</v>
      </c>
      <c r="Z1440" s="33">
        <v>0</v>
      </c>
      <c r="AA1440">
        <v>5</v>
      </c>
      <c r="AB1440" s="34">
        <v>7600</v>
      </c>
      <c r="AC1440" s="87">
        <f t="shared" si="1"/>
        <v>219</v>
      </c>
      <c r="AD1440" s="62">
        <v>0</v>
      </c>
      <c r="AE1440" s="62">
        <v>0</v>
      </c>
      <c r="AF1440" s="62">
        <v>1</v>
      </c>
      <c r="AI1440" s="64"/>
      <c r="AJ1440" s="63">
        <v>1100911</v>
      </c>
      <c r="AL1440" s="64">
        <v>1</v>
      </c>
      <c r="AM1440" s="4"/>
      <c r="AN1440" s="93"/>
      <c r="AO1440" s="92"/>
      <c r="AQ1440" t="s">
        <v>3794</v>
      </c>
      <c r="AS1440">
        <v>1</v>
      </c>
    </row>
    <row r="1441" spans="1:45">
      <c r="A1441">
        <v>1100911</v>
      </c>
      <c r="B1441" s="8">
        <v>1001</v>
      </c>
      <c r="C1441" s="8">
        <v>5</v>
      </c>
      <c r="D1441" s="8">
        <v>1003</v>
      </c>
      <c r="E1441" t="s">
        <v>3797</v>
      </c>
      <c r="F1441" s="13" t="s">
        <v>3773</v>
      </c>
      <c r="G1441" t="s">
        <v>3798</v>
      </c>
      <c r="H1441" t="s">
        <v>3799</v>
      </c>
      <c r="I1441">
        <v>1</v>
      </c>
      <c r="J1441">
        <v>5</v>
      </c>
      <c r="K1441" s="33">
        <v>4</v>
      </c>
      <c r="L1441" s="8">
        <v>99</v>
      </c>
      <c r="M1441" s="8">
        <v>0</v>
      </c>
      <c r="N1441" s="8"/>
      <c r="S1441" s="89">
        <v>1</v>
      </c>
      <c r="T1441" s="8">
        <v>5</v>
      </c>
      <c r="U1441" s="89">
        <v>200</v>
      </c>
      <c r="V1441" s="87">
        <v>0</v>
      </c>
      <c r="W1441">
        <v>1</v>
      </c>
      <c r="X1441" s="8">
        <v>1</v>
      </c>
      <c r="Y1441" s="8">
        <v>0</v>
      </c>
      <c r="Z1441" s="33">
        <v>0</v>
      </c>
      <c r="AA1441">
        <v>5</v>
      </c>
      <c r="AB1441" s="34">
        <v>7600</v>
      </c>
      <c r="AC1441" s="87">
        <f t="shared" si="1"/>
        <v>218</v>
      </c>
      <c r="AD1441" s="62">
        <v>0</v>
      </c>
      <c r="AE1441" s="62">
        <v>0</v>
      </c>
      <c r="AF1441" s="62">
        <v>1</v>
      </c>
      <c r="AI1441" s="64"/>
      <c r="AJ1441" s="63">
        <v>1100912</v>
      </c>
      <c r="AL1441" s="64">
        <v>1</v>
      </c>
      <c r="AM1441" s="4"/>
      <c r="AN1441" s="93"/>
      <c r="AO1441" s="92"/>
      <c r="AQ1441" t="s">
        <v>3797</v>
      </c>
      <c r="AS1441">
        <v>1</v>
      </c>
    </row>
    <row r="1442" spans="1:45">
      <c r="A1442">
        <v>1100912</v>
      </c>
      <c r="B1442" s="8">
        <v>1001</v>
      </c>
      <c r="C1442" s="8">
        <v>5</v>
      </c>
      <c r="D1442" s="8">
        <v>1003</v>
      </c>
      <c r="E1442" t="s">
        <v>3800</v>
      </c>
      <c r="F1442" s="13" t="s">
        <v>3773</v>
      </c>
      <c r="G1442" t="s">
        <v>3801</v>
      </c>
      <c r="H1442" t="s">
        <v>3799</v>
      </c>
      <c r="I1442">
        <v>1</v>
      </c>
      <c r="J1442">
        <v>5</v>
      </c>
      <c r="K1442" s="33">
        <v>1</v>
      </c>
      <c r="L1442" s="8">
        <v>99</v>
      </c>
      <c r="M1442" s="8">
        <v>0</v>
      </c>
      <c r="N1442" s="8"/>
      <c r="Q1442"/>
      <c r="S1442" s="89">
        <v>1</v>
      </c>
      <c r="T1442" s="8">
        <v>5</v>
      </c>
      <c r="U1442" s="89">
        <v>200</v>
      </c>
      <c r="V1442" s="87">
        <v>0</v>
      </c>
      <c r="W1442">
        <v>1</v>
      </c>
      <c r="X1442" s="8">
        <v>1</v>
      </c>
      <c r="Y1442" s="8">
        <v>0</v>
      </c>
      <c r="Z1442" s="33">
        <v>0</v>
      </c>
      <c r="AA1442">
        <v>5</v>
      </c>
      <c r="AB1442" s="34">
        <v>7600</v>
      </c>
      <c r="AC1442" s="87">
        <f t="shared" si="1"/>
        <v>217</v>
      </c>
      <c r="AD1442" s="62">
        <v>0</v>
      </c>
      <c r="AE1442" s="62">
        <v>0</v>
      </c>
      <c r="AF1442" s="62">
        <v>1</v>
      </c>
      <c r="AI1442" s="64"/>
      <c r="AL1442" s="64">
        <v>1</v>
      </c>
      <c r="AM1442" s="4"/>
      <c r="AN1442" s="93"/>
      <c r="AO1442" s="92"/>
      <c r="AQ1442" t="s">
        <v>3800</v>
      </c>
      <c r="AS1442">
        <v>1</v>
      </c>
    </row>
    <row r="1443" spans="1:45">
      <c r="A1443">
        <v>1101001</v>
      </c>
      <c r="B1443" s="8">
        <v>1001</v>
      </c>
      <c r="C1443" s="8">
        <v>5</v>
      </c>
      <c r="D1443" s="8">
        <v>1003</v>
      </c>
      <c r="E1443" t="s">
        <v>3802</v>
      </c>
      <c r="F1443" s="13" t="s">
        <v>3803</v>
      </c>
      <c r="G1443" t="s">
        <v>3804</v>
      </c>
      <c r="H1443" t="s">
        <v>3805</v>
      </c>
      <c r="I1443">
        <v>1</v>
      </c>
      <c r="J1443">
        <v>1</v>
      </c>
      <c r="K1443" s="33">
        <v>4</v>
      </c>
      <c r="L1443" s="8">
        <v>99</v>
      </c>
      <c r="M1443" s="8">
        <v>0</v>
      </c>
      <c r="N1443" s="8"/>
      <c r="Q1443" t="s">
        <v>260</v>
      </c>
      <c r="S1443" s="89">
        <v>1</v>
      </c>
      <c r="T1443" s="8">
        <v>5</v>
      </c>
      <c r="U1443" s="89">
        <v>80</v>
      </c>
      <c r="V1443" s="87">
        <v>0</v>
      </c>
      <c r="W1443">
        <v>1</v>
      </c>
      <c r="X1443" s="8">
        <v>1</v>
      </c>
      <c r="Y1443" s="8">
        <v>0</v>
      </c>
      <c r="Z1443" s="33">
        <v>0</v>
      </c>
      <c r="AA1443">
        <v>5</v>
      </c>
      <c r="AB1443" s="34">
        <v>3040</v>
      </c>
      <c r="AC1443" s="87">
        <f t="shared" si="1"/>
        <v>216</v>
      </c>
      <c r="AD1443" s="62">
        <v>0</v>
      </c>
      <c r="AE1443" s="62">
        <v>0</v>
      </c>
      <c r="AF1443" s="62">
        <v>1</v>
      </c>
      <c r="AI1443" s="64"/>
      <c r="AJ1443" s="63">
        <v>1101002</v>
      </c>
      <c r="AL1443" s="64">
        <v>1</v>
      </c>
      <c r="AM1443" s="4"/>
      <c r="AN1443" s="93" t="s">
        <v>3535</v>
      </c>
      <c r="AO1443" s="92"/>
      <c r="AQ1443" t="s">
        <v>3802</v>
      </c>
      <c r="AS1443">
        <v>1</v>
      </c>
    </row>
    <row r="1444" spans="1:45">
      <c r="A1444">
        <v>1101002</v>
      </c>
      <c r="B1444" s="8">
        <v>1001</v>
      </c>
      <c r="C1444" s="8">
        <v>5</v>
      </c>
      <c r="D1444" s="8">
        <v>1003</v>
      </c>
      <c r="E1444" t="s">
        <v>3806</v>
      </c>
      <c r="F1444" s="13" t="s">
        <v>3803</v>
      </c>
      <c r="G1444" t="s">
        <v>3807</v>
      </c>
      <c r="H1444" t="s">
        <v>3805</v>
      </c>
      <c r="I1444">
        <v>1</v>
      </c>
      <c r="J1444">
        <v>1</v>
      </c>
      <c r="K1444" s="33">
        <v>4</v>
      </c>
      <c r="L1444" s="8">
        <v>99</v>
      </c>
      <c r="M1444" s="8">
        <v>0</v>
      </c>
      <c r="N1444" s="8"/>
      <c r="Q1444" t="s">
        <v>260</v>
      </c>
      <c r="S1444" s="89">
        <v>1</v>
      </c>
      <c r="T1444" s="8">
        <v>5</v>
      </c>
      <c r="U1444" s="89">
        <v>80</v>
      </c>
      <c r="V1444" s="87">
        <v>0</v>
      </c>
      <c r="W1444">
        <v>1</v>
      </c>
      <c r="X1444" s="8">
        <v>1</v>
      </c>
      <c r="Y1444" s="8">
        <v>0</v>
      </c>
      <c r="Z1444" s="33">
        <v>0</v>
      </c>
      <c r="AA1444">
        <v>5</v>
      </c>
      <c r="AB1444" s="34">
        <v>3040</v>
      </c>
      <c r="AC1444" s="87">
        <f t="shared" si="1"/>
        <v>215</v>
      </c>
      <c r="AD1444" s="62">
        <v>0</v>
      </c>
      <c r="AE1444" s="62">
        <v>0</v>
      </c>
      <c r="AF1444" s="62">
        <v>1</v>
      </c>
      <c r="AI1444" s="64"/>
      <c r="AJ1444" s="63">
        <v>1101003</v>
      </c>
      <c r="AL1444" s="64">
        <v>1</v>
      </c>
      <c r="AM1444" s="4"/>
      <c r="AN1444" s="93"/>
      <c r="AO1444" s="92"/>
      <c r="AQ1444" t="s">
        <v>3806</v>
      </c>
      <c r="AS1444">
        <v>1</v>
      </c>
    </row>
    <row r="1445" spans="1:45">
      <c r="A1445">
        <v>1101003</v>
      </c>
      <c r="B1445" s="8">
        <v>1001</v>
      </c>
      <c r="C1445" s="8">
        <v>5</v>
      </c>
      <c r="D1445" s="8">
        <v>1003</v>
      </c>
      <c r="E1445" t="s">
        <v>3808</v>
      </c>
      <c r="F1445" s="13" t="s">
        <v>3803</v>
      </c>
      <c r="G1445" t="s">
        <v>3809</v>
      </c>
      <c r="H1445" t="s">
        <v>3805</v>
      </c>
      <c r="I1445">
        <v>1</v>
      </c>
      <c r="J1445">
        <v>2</v>
      </c>
      <c r="K1445" s="33">
        <v>4</v>
      </c>
      <c r="L1445" s="8">
        <v>99</v>
      </c>
      <c r="M1445" s="8">
        <v>0</v>
      </c>
      <c r="N1445" s="8"/>
      <c r="Q1445" t="s">
        <v>260</v>
      </c>
      <c r="S1445" s="89">
        <v>1</v>
      </c>
      <c r="T1445" s="8">
        <v>5</v>
      </c>
      <c r="U1445" s="89">
        <v>110</v>
      </c>
      <c r="V1445" s="87">
        <v>0</v>
      </c>
      <c r="W1445">
        <v>1</v>
      </c>
      <c r="X1445" s="8">
        <v>1</v>
      </c>
      <c r="Y1445" s="8">
        <v>0</v>
      </c>
      <c r="Z1445" s="33">
        <v>0</v>
      </c>
      <c r="AA1445">
        <v>5</v>
      </c>
      <c r="AB1445" s="34">
        <v>4180</v>
      </c>
      <c r="AC1445" s="87">
        <f t="shared" si="1"/>
        <v>214</v>
      </c>
      <c r="AD1445" s="62">
        <v>0</v>
      </c>
      <c r="AE1445" s="62">
        <v>0</v>
      </c>
      <c r="AF1445" s="62">
        <v>1</v>
      </c>
      <c r="AI1445" s="64"/>
      <c r="AJ1445" s="63">
        <v>1101004</v>
      </c>
      <c r="AL1445" s="64">
        <v>1</v>
      </c>
      <c r="AM1445" s="4"/>
      <c r="AN1445" s="93"/>
      <c r="AO1445" s="92"/>
      <c r="AQ1445" t="s">
        <v>3808</v>
      </c>
      <c r="AS1445">
        <v>1</v>
      </c>
    </row>
    <row r="1446" spans="1:45">
      <c r="A1446">
        <v>1101004</v>
      </c>
      <c r="B1446" s="8">
        <v>1001</v>
      </c>
      <c r="C1446" s="8">
        <v>5</v>
      </c>
      <c r="D1446" s="8">
        <v>1003</v>
      </c>
      <c r="E1446" t="s">
        <v>3810</v>
      </c>
      <c r="F1446" s="13" t="s">
        <v>3803</v>
      </c>
      <c r="G1446" t="s">
        <v>3811</v>
      </c>
      <c r="H1446" t="s">
        <v>3812</v>
      </c>
      <c r="I1446">
        <v>1</v>
      </c>
      <c r="J1446">
        <v>2</v>
      </c>
      <c r="K1446" s="33">
        <v>4</v>
      </c>
      <c r="L1446" s="8">
        <v>99</v>
      </c>
      <c r="M1446" s="8">
        <v>0</v>
      </c>
      <c r="N1446" s="8"/>
      <c r="Q1446" t="s">
        <v>260</v>
      </c>
      <c r="S1446" s="89">
        <v>1</v>
      </c>
      <c r="T1446" s="8">
        <v>5</v>
      </c>
      <c r="U1446" s="89">
        <v>110</v>
      </c>
      <c r="V1446" s="87">
        <v>0</v>
      </c>
      <c r="W1446">
        <v>1</v>
      </c>
      <c r="X1446" s="8">
        <v>1</v>
      </c>
      <c r="Y1446" s="8">
        <v>0</v>
      </c>
      <c r="Z1446" s="33">
        <v>0</v>
      </c>
      <c r="AA1446">
        <v>5</v>
      </c>
      <c r="AB1446" s="34">
        <v>4180</v>
      </c>
      <c r="AC1446" s="87">
        <f t="shared" si="1"/>
        <v>213</v>
      </c>
      <c r="AD1446" s="62">
        <v>0</v>
      </c>
      <c r="AE1446" s="62">
        <v>0</v>
      </c>
      <c r="AF1446" s="62">
        <v>1</v>
      </c>
      <c r="AI1446" s="64"/>
      <c r="AJ1446" s="63">
        <v>1101005</v>
      </c>
      <c r="AL1446" s="64">
        <v>1</v>
      </c>
      <c r="AM1446" s="4"/>
      <c r="AN1446" s="93"/>
      <c r="AO1446" s="92"/>
      <c r="AQ1446" t="s">
        <v>3810</v>
      </c>
      <c r="AS1446">
        <v>1</v>
      </c>
    </row>
    <row r="1447" spans="1:45">
      <c r="A1447">
        <v>1101005</v>
      </c>
      <c r="B1447" s="8">
        <v>1001</v>
      </c>
      <c r="C1447" s="8">
        <v>5</v>
      </c>
      <c r="D1447" s="8">
        <v>1003</v>
      </c>
      <c r="E1447" t="s">
        <v>3813</v>
      </c>
      <c r="F1447" s="13" t="s">
        <v>3803</v>
      </c>
      <c r="G1447" t="s">
        <v>3814</v>
      </c>
      <c r="H1447" t="s">
        <v>3812</v>
      </c>
      <c r="I1447">
        <v>1</v>
      </c>
      <c r="J1447">
        <v>3</v>
      </c>
      <c r="K1447" s="33">
        <v>4</v>
      </c>
      <c r="L1447" s="8">
        <v>99</v>
      </c>
      <c r="M1447" s="8">
        <v>0</v>
      </c>
      <c r="N1447" s="8"/>
      <c r="Q1447" t="s">
        <v>260</v>
      </c>
      <c r="S1447" s="89">
        <v>1</v>
      </c>
      <c r="T1447" s="8">
        <v>5</v>
      </c>
      <c r="U1447" s="89">
        <v>140</v>
      </c>
      <c r="V1447" s="87">
        <v>0</v>
      </c>
      <c r="W1447">
        <v>1</v>
      </c>
      <c r="X1447" s="8">
        <v>1</v>
      </c>
      <c r="Y1447" s="8">
        <v>0</v>
      </c>
      <c r="Z1447" s="33">
        <v>0</v>
      </c>
      <c r="AA1447">
        <v>5</v>
      </c>
      <c r="AB1447" s="34">
        <v>5320</v>
      </c>
      <c r="AC1447" s="87">
        <f t="shared" si="1"/>
        <v>212</v>
      </c>
      <c r="AD1447" s="62">
        <v>0</v>
      </c>
      <c r="AE1447" s="62">
        <v>0</v>
      </c>
      <c r="AF1447" s="62">
        <v>1</v>
      </c>
      <c r="AI1447" s="64"/>
      <c r="AJ1447" s="63">
        <v>1101006</v>
      </c>
      <c r="AL1447" s="64">
        <v>1</v>
      </c>
      <c r="AM1447" s="4"/>
      <c r="AN1447" s="93"/>
      <c r="AO1447" s="92"/>
      <c r="AQ1447" t="s">
        <v>3813</v>
      </c>
      <c r="AS1447">
        <v>1</v>
      </c>
    </row>
    <row r="1448" spans="1:45">
      <c r="A1448">
        <v>1101006</v>
      </c>
      <c r="B1448" s="8">
        <v>1001</v>
      </c>
      <c r="C1448" s="8">
        <v>5</v>
      </c>
      <c r="D1448" s="8">
        <v>1003</v>
      </c>
      <c r="E1448" t="s">
        <v>3815</v>
      </c>
      <c r="F1448" s="13" t="s">
        <v>3803</v>
      </c>
      <c r="G1448" t="s">
        <v>3816</v>
      </c>
      <c r="H1448" t="s">
        <v>3812</v>
      </c>
      <c r="I1448">
        <v>1</v>
      </c>
      <c r="J1448">
        <v>3</v>
      </c>
      <c r="K1448" s="33">
        <v>4</v>
      </c>
      <c r="L1448" s="8">
        <v>99</v>
      </c>
      <c r="M1448" s="8">
        <v>0</v>
      </c>
      <c r="N1448" s="8"/>
      <c r="Q1448" t="s">
        <v>260</v>
      </c>
      <c r="S1448" s="89">
        <v>1</v>
      </c>
      <c r="T1448" s="8">
        <v>5</v>
      </c>
      <c r="U1448" s="89">
        <v>140</v>
      </c>
      <c r="V1448" s="87">
        <v>0</v>
      </c>
      <c r="W1448">
        <v>1</v>
      </c>
      <c r="X1448" s="8">
        <v>1</v>
      </c>
      <c r="Y1448" s="8">
        <v>0</v>
      </c>
      <c r="Z1448" s="33">
        <v>0</v>
      </c>
      <c r="AA1448">
        <v>5</v>
      </c>
      <c r="AB1448" s="34">
        <v>5320</v>
      </c>
      <c r="AC1448" s="87">
        <f t="shared" si="1"/>
        <v>211</v>
      </c>
      <c r="AD1448" s="62">
        <v>0</v>
      </c>
      <c r="AE1448" s="62">
        <v>0</v>
      </c>
      <c r="AF1448" s="62">
        <v>1</v>
      </c>
      <c r="AI1448" s="64"/>
      <c r="AJ1448" s="63">
        <v>1101007</v>
      </c>
      <c r="AL1448" s="64">
        <v>1</v>
      </c>
      <c r="AM1448" s="4"/>
      <c r="AN1448" s="93"/>
      <c r="AO1448" s="92"/>
      <c r="AQ1448" t="s">
        <v>3815</v>
      </c>
      <c r="AS1448">
        <v>1</v>
      </c>
    </row>
    <row r="1449" spans="1:45">
      <c r="A1449">
        <v>1101007</v>
      </c>
      <c r="B1449" s="8">
        <v>1001</v>
      </c>
      <c r="C1449" s="8">
        <v>5</v>
      </c>
      <c r="D1449" s="8">
        <v>1003</v>
      </c>
      <c r="E1449" t="s">
        <v>3817</v>
      </c>
      <c r="F1449" s="13" t="s">
        <v>3803</v>
      </c>
      <c r="G1449" t="s">
        <v>3818</v>
      </c>
      <c r="H1449" t="s">
        <v>3819</v>
      </c>
      <c r="I1449">
        <v>1</v>
      </c>
      <c r="J1449">
        <v>4</v>
      </c>
      <c r="K1449" s="33">
        <v>4</v>
      </c>
      <c r="L1449" s="8">
        <v>99</v>
      </c>
      <c r="M1449" s="8">
        <v>0</v>
      </c>
      <c r="N1449" s="8"/>
      <c r="S1449" s="89">
        <v>1</v>
      </c>
      <c r="T1449" s="8">
        <v>5</v>
      </c>
      <c r="U1449" s="89">
        <v>170</v>
      </c>
      <c r="V1449" s="87">
        <v>0</v>
      </c>
      <c r="W1449">
        <v>1</v>
      </c>
      <c r="X1449" s="8">
        <v>1</v>
      </c>
      <c r="Y1449" s="8">
        <v>0</v>
      </c>
      <c r="Z1449" s="33">
        <v>0</v>
      </c>
      <c r="AA1449">
        <v>5</v>
      </c>
      <c r="AB1449" s="34">
        <v>6460</v>
      </c>
      <c r="AC1449" s="87">
        <f t="shared" si="1"/>
        <v>211</v>
      </c>
      <c r="AD1449" s="62">
        <v>0</v>
      </c>
      <c r="AE1449" s="62">
        <v>0</v>
      </c>
      <c r="AF1449" s="62">
        <v>1</v>
      </c>
      <c r="AI1449" s="64"/>
      <c r="AJ1449" s="63">
        <v>1101008</v>
      </c>
      <c r="AL1449" s="64">
        <v>1</v>
      </c>
      <c r="AM1449" s="4"/>
      <c r="AN1449" s="93"/>
      <c r="AO1449" s="92"/>
      <c r="AQ1449" t="s">
        <v>3817</v>
      </c>
      <c r="AS1449">
        <v>1</v>
      </c>
    </row>
    <row r="1450" spans="1:45">
      <c r="A1450">
        <v>1101008</v>
      </c>
      <c r="B1450" s="8">
        <v>1001</v>
      </c>
      <c r="C1450" s="8">
        <v>5</v>
      </c>
      <c r="D1450" s="8">
        <v>1003</v>
      </c>
      <c r="E1450" t="s">
        <v>3820</v>
      </c>
      <c r="F1450" s="13" t="s">
        <v>3803</v>
      </c>
      <c r="G1450" t="s">
        <v>3821</v>
      </c>
      <c r="H1450" t="s">
        <v>3819</v>
      </c>
      <c r="I1450">
        <v>1</v>
      </c>
      <c r="J1450">
        <v>4</v>
      </c>
      <c r="K1450" s="33">
        <v>4</v>
      </c>
      <c r="L1450" s="8">
        <v>99</v>
      </c>
      <c r="M1450" s="8">
        <v>0</v>
      </c>
      <c r="N1450" s="8"/>
      <c r="S1450" s="89">
        <v>1</v>
      </c>
      <c r="T1450" s="8">
        <v>5</v>
      </c>
      <c r="U1450" s="89">
        <v>170</v>
      </c>
      <c r="V1450" s="87">
        <v>0</v>
      </c>
      <c r="W1450">
        <v>1</v>
      </c>
      <c r="X1450" s="8">
        <v>1</v>
      </c>
      <c r="Y1450" s="8">
        <v>0</v>
      </c>
      <c r="Z1450" s="33">
        <v>0</v>
      </c>
      <c r="AA1450">
        <v>5</v>
      </c>
      <c r="AB1450" s="34">
        <v>6460</v>
      </c>
      <c r="AC1450" s="87">
        <f t="shared" si="1"/>
        <v>211</v>
      </c>
      <c r="AD1450" s="62">
        <v>0</v>
      </c>
      <c r="AE1450" s="62">
        <v>0</v>
      </c>
      <c r="AF1450" s="62">
        <v>1</v>
      </c>
      <c r="AI1450" s="64"/>
      <c r="AJ1450" s="63">
        <v>1101009</v>
      </c>
      <c r="AL1450" s="64">
        <v>1</v>
      </c>
      <c r="AM1450" s="4"/>
      <c r="AN1450" s="93"/>
      <c r="AO1450" s="92"/>
      <c r="AQ1450" t="s">
        <v>3820</v>
      </c>
      <c r="AS1450">
        <v>1</v>
      </c>
    </row>
    <row r="1451" spans="1:45">
      <c r="A1451">
        <v>1101009</v>
      </c>
      <c r="B1451" s="8">
        <v>1001</v>
      </c>
      <c r="C1451" s="8">
        <v>5</v>
      </c>
      <c r="D1451" s="8">
        <v>1003</v>
      </c>
      <c r="E1451" t="s">
        <v>3822</v>
      </c>
      <c r="F1451" s="13" t="s">
        <v>3803</v>
      </c>
      <c r="G1451" t="s">
        <v>3823</v>
      </c>
      <c r="H1451" t="s">
        <v>3819</v>
      </c>
      <c r="I1451">
        <v>1</v>
      </c>
      <c r="J1451">
        <v>5</v>
      </c>
      <c r="K1451" s="33">
        <v>4</v>
      </c>
      <c r="L1451" s="8">
        <v>99</v>
      </c>
      <c r="M1451" s="8">
        <v>0</v>
      </c>
      <c r="N1451" s="8"/>
      <c r="S1451" s="89">
        <v>1</v>
      </c>
      <c r="T1451" s="8">
        <v>5</v>
      </c>
      <c r="U1451" s="89">
        <v>200</v>
      </c>
      <c r="V1451" s="87">
        <v>0</v>
      </c>
      <c r="W1451">
        <v>1</v>
      </c>
      <c r="X1451" s="8">
        <v>1</v>
      </c>
      <c r="Y1451" s="8">
        <v>0</v>
      </c>
      <c r="Z1451" s="33">
        <v>0</v>
      </c>
      <c r="AA1451">
        <v>5</v>
      </c>
      <c r="AB1451" s="34">
        <v>7600</v>
      </c>
      <c r="AC1451" s="87">
        <f t="shared" si="1"/>
        <v>511</v>
      </c>
      <c r="AD1451" s="62">
        <v>0</v>
      </c>
      <c r="AE1451" s="62">
        <v>0</v>
      </c>
      <c r="AF1451" s="62">
        <v>1</v>
      </c>
      <c r="AI1451" s="64"/>
      <c r="AJ1451" s="63">
        <v>1101010</v>
      </c>
      <c r="AL1451" s="64">
        <v>1</v>
      </c>
      <c r="AM1451" s="4"/>
      <c r="AN1451" s="93"/>
      <c r="AO1451" s="92"/>
      <c r="AQ1451" t="s">
        <v>3822</v>
      </c>
      <c r="AS1451">
        <v>1</v>
      </c>
    </row>
    <row r="1452" spans="1:45">
      <c r="A1452">
        <v>1101010</v>
      </c>
      <c r="B1452" s="8">
        <v>1001</v>
      </c>
      <c r="C1452" s="8">
        <v>5</v>
      </c>
      <c r="D1452" s="8">
        <v>1003</v>
      </c>
      <c r="E1452" t="s">
        <v>3824</v>
      </c>
      <c r="F1452" s="13" t="s">
        <v>3803</v>
      </c>
      <c r="G1452" t="s">
        <v>3825</v>
      </c>
      <c r="H1452" t="s">
        <v>3826</v>
      </c>
      <c r="I1452">
        <v>1</v>
      </c>
      <c r="J1452">
        <v>5</v>
      </c>
      <c r="K1452" s="33">
        <v>1</v>
      </c>
      <c r="L1452" s="8">
        <v>99</v>
      </c>
      <c r="M1452" s="8">
        <v>0</v>
      </c>
      <c r="N1452" s="8"/>
      <c r="Q1452"/>
      <c r="S1452" s="89">
        <v>1</v>
      </c>
      <c r="T1452" s="8">
        <v>5</v>
      </c>
      <c r="U1452" s="89">
        <v>200</v>
      </c>
      <c r="V1452" s="87">
        <v>0</v>
      </c>
      <c r="W1452">
        <v>1</v>
      </c>
      <c r="X1452" s="8">
        <v>1</v>
      </c>
      <c r="Y1452" s="8">
        <v>0</v>
      </c>
      <c r="Z1452" s="33">
        <v>0</v>
      </c>
      <c r="AA1452">
        <v>5</v>
      </c>
      <c r="AB1452" s="34">
        <v>7600</v>
      </c>
      <c r="AC1452" s="87">
        <f t="shared" si="1"/>
        <v>230</v>
      </c>
      <c r="AD1452" s="62">
        <v>0</v>
      </c>
      <c r="AE1452" s="62">
        <v>0</v>
      </c>
      <c r="AF1452" s="62">
        <v>1</v>
      </c>
      <c r="AI1452" s="64"/>
      <c r="AL1452" s="64">
        <v>1</v>
      </c>
      <c r="AM1452" s="4"/>
      <c r="AN1452" s="93"/>
      <c r="AO1452" s="92"/>
      <c r="AQ1452" t="s">
        <v>3824</v>
      </c>
      <c r="AS1452">
        <v>1</v>
      </c>
    </row>
    <row r="1453" spans="1:45">
      <c r="A1453">
        <v>1101101</v>
      </c>
      <c r="B1453" s="8">
        <v>1001</v>
      </c>
      <c r="C1453" s="8">
        <v>5</v>
      </c>
      <c r="D1453" s="8">
        <v>1003</v>
      </c>
      <c r="E1453" t="s">
        <v>3827</v>
      </c>
      <c r="F1453" s="13" t="s">
        <v>3828</v>
      </c>
      <c r="G1453" t="s">
        <v>3829</v>
      </c>
      <c r="H1453" t="s">
        <v>3830</v>
      </c>
      <c r="I1453">
        <v>1</v>
      </c>
      <c r="J1453">
        <v>1</v>
      </c>
      <c r="K1453" s="33">
        <v>4</v>
      </c>
      <c r="L1453" s="8">
        <v>99</v>
      </c>
      <c r="M1453" s="8">
        <v>0</v>
      </c>
      <c r="N1453" s="8"/>
      <c r="Q1453" t="s">
        <v>260</v>
      </c>
      <c r="S1453" s="89">
        <v>1</v>
      </c>
      <c r="T1453" s="8">
        <v>5</v>
      </c>
      <c r="U1453" s="89">
        <v>80</v>
      </c>
      <c r="V1453" s="87">
        <v>0</v>
      </c>
      <c r="W1453">
        <v>1</v>
      </c>
      <c r="X1453" s="8">
        <v>1</v>
      </c>
      <c r="Y1453" s="8">
        <v>0</v>
      </c>
      <c r="Z1453" s="33">
        <v>0</v>
      </c>
      <c r="AA1453">
        <v>5</v>
      </c>
      <c r="AB1453" s="34">
        <v>3040</v>
      </c>
      <c r="AC1453" s="87">
        <f t="shared" ref="AC1453:AC1516" si="2">AC1442+10</f>
        <v>227</v>
      </c>
      <c r="AD1453" s="62">
        <v>0</v>
      </c>
      <c r="AE1453" s="62">
        <v>0</v>
      </c>
      <c r="AF1453" s="62">
        <v>1</v>
      </c>
      <c r="AI1453" s="64"/>
      <c r="AJ1453" s="63">
        <v>1101102</v>
      </c>
      <c r="AL1453" s="64">
        <v>1</v>
      </c>
      <c r="AM1453" s="4"/>
      <c r="AN1453" s="93" t="s">
        <v>3535</v>
      </c>
      <c r="AO1453" s="92"/>
      <c r="AQ1453" t="s">
        <v>3827</v>
      </c>
      <c r="AS1453">
        <v>1</v>
      </c>
    </row>
    <row r="1454" spans="1:45">
      <c r="A1454">
        <v>1101102</v>
      </c>
      <c r="B1454" s="8">
        <v>1001</v>
      </c>
      <c r="C1454" s="8">
        <v>5</v>
      </c>
      <c r="D1454" s="8">
        <v>1003</v>
      </c>
      <c r="E1454" t="s">
        <v>3831</v>
      </c>
      <c r="F1454" s="13" t="s">
        <v>3828</v>
      </c>
      <c r="G1454" t="s">
        <v>3832</v>
      </c>
      <c r="H1454" t="s">
        <v>3830</v>
      </c>
      <c r="I1454">
        <v>1</v>
      </c>
      <c r="J1454">
        <v>1</v>
      </c>
      <c r="K1454" s="33">
        <v>4</v>
      </c>
      <c r="L1454" s="8">
        <v>99</v>
      </c>
      <c r="M1454" s="8">
        <v>0</v>
      </c>
      <c r="N1454" s="8"/>
      <c r="Q1454" t="s">
        <v>260</v>
      </c>
      <c r="S1454" s="89">
        <v>1</v>
      </c>
      <c r="T1454" s="8">
        <v>5</v>
      </c>
      <c r="U1454" s="89">
        <v>80</v>
      </c>
      <c r="V1454" s="87">
        <v>0</v>
      </c>
      <c r="W1454">
        <v>1</v>
      </c>
      <c r="X1454" s="8">
        <v>1</v>
      </c>
      <c r="Y1454" s="8">
        <v>0</v>
      </c>
      <c r="Z1454" s="33">
        <v>0</v>
      </c>
      <c r="AA1454">
        <v>5</v>
      </c>
      <c r="AB1454" s="34">
        <v>3040</v>
      </c>
      <c r="AC1454" s="87">
        <f t="shared" si="2"/>
        <v>226</v>
      </c>
      <c r="AD1454" s="62">
        <v>0</v>
      </c>
      <c r="AE1454" s="62">
        <v>0</v>
      </c>
      <c r="AF1454" s="62">
        <v>1</v>
      </c>
      <c r="AI1454" s="64"/>
      <c r="AJ1454" s="63">
        <v>1101103</v>
      </c>
      <c r="AL1454" s="64">
        <v>1</v>
      </c>
      <c r="AM1454" s="4"/>
      <c r="AN1454" s="93"/>
      <c r="AO1454" s="92"/>
      <c r="AQ1454" t="s">
        <v>3831</v>
      </c>
      <c r="AS1454">
        <v>1</v>
      </c>
    </row>
    <row r="1455" spans="1:45">
      <c r="A1455">
        <v>1101103</v>
      </c>
      <c r="B1455" s="8">
        <v>1001</v>
      </c>
      <c r="C1455" s="8">
        <v>5</v>
      </c>
      <c r="D1455" s="8">
        <v>1003</v>
      </c>
      <c r="E1455" t="s">
        <v>3833</v>
      </c>
      <c r="F1455" s="13" t="s">
        <v>3828</v>
      </c>
      <c r="G1455" t="s">
        <v>3834</v>
      </c>
      <c r="H1455" t="s">
        <v>3830</v>
      </c>
      <c r="I1455">
        <v>1</v>
      </c>
      <c r="J1455">
        <v>2</v>
      </c>
      <c r="K1455" s="33">
        <v>4</v>
      </c>
      <c r="L1455" s="8">
        <v>99</v>
      </c>
      <c r="M1455" s="8">
        <v>0</v>
      </c>
      <c r="N1455" s="8"/>
      <c r="Q1455" t="s">
        <v>260</v>
      </c>
      <c r="S1455" s="89">
        <v>1</v>
      </c>
      <c r="T1455" s="8">
        <v>5</v>
      </c>
      <c r="U1455" s="89">
        <v>110</v>
      </c>
      <c r="V1455" s="87">
        <v>0</v>
      </c>
      <c r="W1455">
        <v>1</v>
      </c>
      <c r="X1455" s="8">
        <v>1</v>
      </c>
      <c r="Y1455" s="8">
        <v>0</v>
      </c>
      <c r="Z1455" s="33">
        <v>0</v>
      </c>
      <c r="AA1455">
        <v>5</v>
      </c>
      <c r="AB1455" s="34">
        <v>4180</v>
      </c>
      <c r="AC1455" s="87">
        <f t="shared" si="2"/>
        <v>225</v>
      </c>
      <c r="AD1455" s="62">
        <v>0</v>
      </c>
      <c r="AE1455" s="62">
        <v>0</v>
      </c>
      <c r="AF1455" s="62">
        <v>1</v>
      </c>
      <c r="AI1455" s="64"/>
      <c r="AJ1455" s="63">
        <v>1101104</v>
      </c>
      <c r="AL1455" s="64">
        <v>1</v>
      </c>
      <c r="AM1455" s="4"/>
      <c r="AN1455" s="93"/>
      <c r="AO1455" s="92"/>
      <c r="AQ1455" t="s">
        <v>3833</v>
      </c>
      <c r="AS1455">
        <v>1</v>
      </c>
    </row>
    <row r="1456" spans="1:45">
      <c r="A1456">
        <v>1101104</v>
      </c>
      <c r="B1456" s="8">
        <v>1001</v>
      </c>
      <c r="C1456" s="8">
        <v>5</v>
      </c>
      <c r="D1456" s="8">
        <v>1003</v>
      </c>
      <c r="E1456" t="s">
        <v>3835</v>
      </c>
      <c r="F1456" s="13" t="s">
        <v>3828</v>
      </c>
      <c r="G1456" t="s">
        <v>3836</v>
      </c>
      <c r="H1456" t="s">
        <v>3837</v>
      </c>
      <c r="I1456">
        <v>1</v>
      </c>
      <c r="J1456">
        <v>2</v>
      </c>
      <c r="K1456" s="33">
        <v>4</v>
      </c>
      <c r="L1456" s="8">
        <v>99</v>
      </c>
      <c r="M1456" s="8">
        <v>0</v>
      </c>
      <c r="N1456" s="8"/>
      <c r="Q1456" t="s">
        <v>260</v>
      </c>
      <c r="S1456" s="89">
        <v>1</v>
      </c>
      <c r="T1456" s="8">
        <v>5</v>
      </c>
      <c r="U1456" s="89">
        <v>110</v>
      </c>
      <c r="V1456" s="87">
        <v>0</v>
      </c>
      <c r="W1456">
        <v>1</v>
      </c>
      <c r="X1456" s="8">
        <v>1</v>
      </c>
      <c r="Y1456" s="8">
        <v>0</v>
      </c>
      <c r="Z1456" s="33">
        <v>0</v>
      </c>
      <c r="AA1456">
        <v>5</v>
      </c>
      <c r="AB1456" s="34">
        <v>4180</v>
      </c>
      <c r="AC1456" s="87">
        <f t="shared" si="2"/>
        <v>224</v>
      </c>
      <c r="AD1456" s="62">
        <v>0</v>
      </c>
      <c r="AE1456" s="62">
        <v>0</v>
      </c>
      <c r="AF1456" s="62">
        <v>1</v>
      </c>
      <c r="AI1456" s="64"/>
      <c r="AJ1456" s="63">
        <v>1101105</v>
      </c>
      <c r="AL1456" s="64">
        <v>1</v>
      </c>
      <c r="AM1456" s="4"/>
      <c r="AN1456" s="93"/>
      <c r="AO1456" s="92"/>
      <c r="AQ1456" t="s">
        <v>3835</v>
      </c>
      <c r="AS1456">
        <v>1</v>
      </c>
    </row>
    <row r="1457" spans="1:45">
      <c r="A1457">
        <v>1101105</v>
      </c>
      <c r="B1457" s="8">
        <v>1001</v>
      </c>
      <c r="C1457" s="8">
        <v>5</v>
      </c>
      <c r="D1457" s="8">
        <v>1003</v>
      </c>
      <c r="E1457" t="s">
        <v>3838</v>
      </c>
      <c r="F1457" s="13" t="s">
        <v>3828</v>
      </c>
      <c r="G1457" t="s">
        <v>3839</v>
      </c>
      <c r="H1457" t="s">
        <v>3837</v>
      </c>
      <c r="I1457">
        <v>1</v>
      </c>
      <c r="J1457">
        <v>3</v>
      </c>
      <c r="K1457" s="33">
        <v>4</v>
      </c>
      <c r="L1457" s="8">
        <v>99</v>
      </c>
      <c r="M1457" s="8">
        <v>0</v>
      </c>
      <c r="N1457" s="8"/>
      <c r="Q1457" t="s">
        <v>260</v>
      </c>
      <c r="S1457" s="89">
        <v>1</v>
      </c>
      <c r="T1457" s="8">
        <v>5</v>
      </c>
      <c r="U1457" s="89">
        <v>140</v>
      </c>
      <c r="V1457" s="87">
        <v>0</v>
      </c>
      <c r="W1457">
        <v>1</v>
      </c>
      <c r="X1457" s="8">
        <v>1</v>
      </c>
      <c r="Y1457" s="8">
        <v>0</v>
      </c>
      <c r="Z1457" s="33">
        <v>0</v>
      </c>
      <c r="AA1457">
        <v>5</v>
      </c>
      <c r="AB1457" s="34">
        <v>5320</v>
      </c>
      <c r="AC1457" s="87">
        <f t="shared" si="2"/>
        <v>223</v>
      </c>
      <c r="AD1457" s="62">
        <v>0</v>
      </c>
      <c r="AE1457" s="62">
        <v>0</v>
      </c>
      <c r="AF1457" s="62">
        <v>1</v>
      </c>
      <c r="AI1457" s="64"/>
      <c r="AJ1457" s="63">
        <v>1101106</v>
      </c>
      <c r="AL1457" s="64">
        <v>1</v>
      </c>
      <c r="AM1457" s="4"/>
      <c r="AN1457" s="93"/>
      <c r="AO1457" s="92"/>
      <c r="AQ1457" t="s">
        <v>3838</v>
      </c>
      <c r="AS1457">
        <v>1</v>
      </c>
    </row>
    <row r="1458" spans="1:45">
      <c r="A1458">
        <v>1101106</v>
      </c>
      <c r="B1458" s="8">
        <v>1001</v>
      </c>
      <c r="C1458" s="8">
        <v>5</v>
      </c>
      <c r="D1458" s="8">
        <v>1003</v>
      </c>
      <c r="E1458" t="s">
        <v>3840</v>
      </c>
      <c r="F1458" s="13" t="s">
        <v>3828</v>
      </c>
      <c r="G1458" t="s">
        <v>3841</v>
      </c>
      <c r="H1458" t="s">
        <v>3837</v>
      </c>
      <c r="I1458">
        <v>1</v>
      </c>
      <c r="J1458">
        <v>3</v>
      </c>
      <c r="K1458" s="33">
        <v>4</v>
      </c>
      <c r="L1458" s="8">
        <v>99</v>
      </c>
      <c r="M1458" s="8">
        <v>0</v>
      </c>
      <c r="N1458" s="8"/>
      <c r="Q1458" t="s">
        <v>260</v>
      </c>
      <c r="S1458" s="89">
        <v>1</v>
      </c>
      <c r="T1458" s="8">
        <v>5</v>
      </c>
      <c r="U1458" s="89">
        <v>140</v>
      </c>
      <c r="V1458" s="87">
        <v>0</v>
      </c>
      <c r="W1458">
        <v>1</v>
      </c>
      <c r="X1458" s="8">
        <v>1</v>
      </c>
      <c r="Y1458" s="8">
        <v>0</v>
      </c>
      <c r="Z1458" s="33">
        <v>0</v>
      </c>
      <c r="AA1458">
        <v>5</v>
      </c>
      <c r="AB1458" s="34">
        <v>5320</v>
      </c>
      <c r="AC1458" s="87">
        <f t="shared" si="2"/>
        <v>222</v>
      </c>
      <c r="AD1458" s="62">
        <v>0</v>
      </c>
      <c r="AE1458" s="62">
        <v>0</v>
      </c>
      <c r="AF1458" s="62">
        <v>1</v>
      </c>
      <c r="AI1458" s="64"/>
      <c r="AJ1458" s="63">
        <v>1101107</v>
      </c>
      <c r="AL1458" s="64">
        <v>1</v>
      </c>
      <c r="AM1458" s="4"/>
      <c r="AN1458" s="93"/>
      <c r="AO1458" s="92"/>
      <c r="AQ1458" t="s">
        <v>3840</v>
      </c>
      <c r="AS1458">
        <v>1</v>
      </c>
    </row>
    <row r="1459" spans="1:45">
      <c r="A1459">
        <v>1101107</v>
      </c>
      <c r="B1459" s="8">
        <v>1001</v>
      </c>
      <c r="C1459" s="8">
        <v>5</v>
      </c>
      <c r="D1459" s="8">
        <v>1003</v>
      </c>
      <c r="E1459" t="s">
        <v>3842</v>
      </c>
      <c r="F1459" s="13" t="s">
        <v>3828</v>
      </c>
      <c r="G1459" t="s">
        <v>3843</v>
      </c>
      <c r="H1459" t="s">
        <v>3844</v>
      </c>
      <c r="I1459">
        <v>1</v>
      </c>
      <c r="J1459">
        <v>4</v>
      </c>
      <c r="K1459" s="33">
        <v>4</v>
      </c>
      <c r="L1459" s="8">
        <v>99</v>
      </c>
      <c r="M1459" s="8">
        <v>0</v>
      </c>
      <c r="N1459" s="8"/>
      <c r="S1459" s="89">
        <v>1</v>
      </c>
      <c r="T1459" s="8">
        <v>5</v>
      </c>
      <c r="U1459" s="89">
        <v>170</v>
      </c>
      <c r="V1459" s="87">
        <v>0</v>
      </c>
      <c r="W1459">
        <v>1</v>
      </c>
      <c r="X1459" s="8">
        <v>1</v>
      </c>
      <c r="Y1459" s="8">
        <v>0</v>
      </c>
      <c r="Z1459" s="33">
        <v>0</v>
      </c>
      <c r="AA1459">
        <v>5</v>
      </c>
      <c r="AB1459" s="34">
        <v>6460</v>
      </c>
      <c r="AC1459" s="87">
        <f t="shared" si="2"/>
        <v>221</v>
      </c>
      <c r="AD1459" s="62">
        <v>0</v>
      </c>
      <c r="AE1459" s="62">
        <v>0</v>
      </c>
      <c r="AF1459" s="62">
        <v>1</v>
      </c>
      <c r="AI1459" s="64"/>
      <c r="AJ1459" s="63">
        <v>1101108</v>
      </c>
      <c r="AL1459" s="64">
        <v>1</v>
      </c>
      <c r="AM1459" s="4"/>
      <c r="AN1459" s="93"/>
      <c r="AO1459" s="92"/>
      <c r="AQ1459" t="s">
        <v>3842</v>
      </c>
      <c r="AS1459">
        <v>1</v>
      </c>
    </row>
    <row r="1460" spans="1:45">
      <c r="A1460">
        <v>1101108</v>
      </c>
      <c r="B1460" s="8">
        <v>1001</v>
      </c>
      <c r="C1460" s="8">
        <v>5</v>
      </c>
      <c r="D1460" s="8">
        <v>1003</v>
      </c>
      <c r="E1460" t="s">
        <v>3845</v>
      </c>
      <c r="F1460" s="13" t="s">
        <v>3828</v>
      </c>
      <c r="G1460" t="s">
        <v>3846</v>
      </c>
      <c r="H1460" t="s">
        <v>3844</v>
      </c>
      <c r="I1460">
        <v>1</v>
      </c>
      <c r="J1460">
        <v>4</v>
      </c>
      <c r="K1460" s="33">
        <v>4</v>
      </c>
      <c r="L1460" s="8">
        <v>99</v>
      </c>
      <c r="M1460" s="8">
        <v>0</v>
      </c>
      <c r="N1460" s="8"/>
      <c r="S1460" s="89">
        <v>1</v>
      </c>
      <c r="T1460" s="8">
        <v>5</v>
      </c>
      <c r="U1460" s="89">
        <v>170</v>
      </c>
      <c r="V1460" s="87">
        <v>0</v>
      </c>
      <c r="W1460">
        <v>1</v>
      </c>
      <c r="X1460" s="8">
        <v>1</v>
      </c>
      <c r="Y1460" s="8">
        <v>0</v>
      </c>
      <c r="Z1460" s="33">
        <v>0</v>
      </c>
      <c r="AA1460">
        <v>5</v>
      </c>
      <c r="AB1460" s="34">
        <v>6460</v>
      </c>
      <c r="AC1460" s="87">
        <f t="shared" si="2"/>
        <v>221</v>
      </c>
      <c r="AD1460" s="62">
        <v>0</v>
      </c>
      <c r="AE1460" s="62">
        <v>0</v>
      </c>
      <c r="AF1460" s="62">
        <v>1</v>
      </c>
      <c r="AI1460" s="64"/>
      <c r="AJ1460" s="63">
        <v>1101109</v>
      </c>
      <c r="AL1460" s="64">
        <v>1</v>
      </c>
      <c r="AM1460" s="4"/>
      <c r="AN1460" s="93"/>
      <c r="AO1460" s="92"/>
      <c r="AQ1460" t="s">
        <v>3845</v>
      </c>
      <c r="AS1460">
        <v>1</v>
      </c>
    </row>
    <row r="1461" spans="1:45">
      <c r="A1461">
        <v>1101109</v>
      </c>
      <c r="B1461" s="8">
        <v>1001</v>
      </c>
      <c r="C1461" s="8">
        <v>5</v>
      </c>
      <c r="D1461" s="8">
        <v>1003</v>
      </c>
      <c r="E1461" t="s">
        <v>3847</v>
      </c>
      <c r="F1461" s="13" t="s">
        <v>3828</v>
      </c>
      <c r="G1461" t="s">
        <v>3848</v>
      </c>
      <c r="H1461" t="s">
        <v>3844</v>
      </c>
      <c r="I1461">
        <v>1</v>
      </c>
      <c r="J1461">
        <v>5</v>
      </c>
      <c r="K1461" s="33">
        <v>4</v>
      </c>
      <c r="L1461" s="8">
        <v>99</v>
      </c>
      <c r="M1461" s="8">
        <v>0</v>
      </c>
      <c r="N1461" s="8"/>
      <c r="S1461" s="89">
        <v>1</v>
      </c>
      <c r="T1461" s="8">
        <v>5</v>
      </c>
      <c r="U1461" s="89">
        <v>200</v>
      </c>
      <c r="V1461" s="87">
        <v>0</v>
      </c>
      <c r="W1461">
        <v>1</v>
      </c>
      <c r="X1461" s="8">
        <v>1</v>
      </c>
      <c r="Y1461" s="8">
        <v>0</v>
      </c>
      <c r="Z1461" s="33">
        <v>0</v>
      </c>
      <c r="AA1461">
        <v>5</v>
      </c>
      <c r="AB1461" s="34">
        <v>7600</v>
      </c>
      <c r="AC1461" s="87">
        <f t="shared" si="2"/>
        <v>221</v>
      </c>
      <c r="AD1461" s="62">
        <v>0</v>
      </c>
      <c r="AE1461" s="62">
        <v>0</v>
      </c>
      <c r="AF1461" s="62">
        <v>1</v>
      </c>
      <c r="AI1461" s="64"/>
      <c r="AJ1461" s="63">
        <v>1101110</v>
      </c>
      <c r="AL1461" s="64">
        <v>1</v>
      </c>
      <c r="AM1461" s="4"/>
      <c r="AN1461" s="93"/>
      <c r="AO1461" s="92"/>
      <c r="AQ1461" t="s">
        <v>3847</v>
      </c>
      <c r="AS1461">
        <v>1</v>
      </c>
    </row>
    <row r="1462" spans="1:45">
      <c r="A1462">
        <v>1101110</v>
      </c>
      <c r="B1462" s="8">
        <v>1001</v>
      </c>
      <c r="C1462" s="8">
        <v>5</v>
      </c>
      <c r="D1462" s="8">
        <v>1003</v>
      </c>
      <c r="E1462" t="s">
        <v>3849</v>
      </c>
      <c r="F1462" s="13" t="s">
        <v>3828</v>
      </c>
      <c r="G1462" t="s">
        <v>3850</v>
      </c>
      <c r="H1462" t="s">
        <v>3851</v>
      </c>
      <c r="I1462">
        <v>1</v>
      </c>
      <c r="J1462">
        <v>5</v>
      </c>
      <c r="K1462" s="33">
        <v>1</v>
      </c>
      <c r="L1462" s="8">
        <v>99</v>
      </c>
      <c r="M1462" s="8">
        <v>0</v>
      </c>
      <c r="N1462" s="8"/>
      <c r="Q1462"/>
      <c r="S1462" s="89">
        <v>1</v>
      </c>
      <c r="T1462" s="8">
        <v>5</v>
      </c>
      <c r="U1462" s="89">
        <v>200</v>
      </c>
      <c r="V1462" s="87">
        <v>0</v>
      </c>
      <c r="W1462">
        <v>1</v>
      </c>
      <c r="X1462" s="8">
        <v>1</v>
      </c>
      <c r="Y1462" s="8">
        <v>0</v>
      </c>
      <c r="Z1462" s="33">
        <v>0</v>
      </c>
      <c r="AA1462">
        <v>5</v>
      </c>
      <c r="AB1462" s="34">
        <v>7600</v>
      </c>
      <c r="AC1462" s="87">
        <f t="shared" si="2"/>
        <v>521</v>
      </c>
      <c r="AD1462" s="62">
        <v>0</v>
      </c>
      <c r="AE1462" s="62">
        <v>0</v>
      </c>
      <c r="AF1462" s="62">
        <v>1</v>
      </c>
      <c r="AI1462" s="64"/>
      <c r="AL1462" s="64">
        <v>1</v>
      </c>
      <c r="AM1462" s="4"/>
      <c r="AN1462" s="93"/>
      <c r="AO1462" s="92"/>
      <c r="AQ1462" t="s">
        <v>3849</v>
      </c>
      <c r="AS1462">
        <v>1</v>
      </c>
    </row>
    <row r="1463" spans="1:45">
      <c r="A1463">
        <v>1101201</v>
      </c>
      <c r="B1463" s="8">
        <v>1001</v>
      </c>
      <c r="C1463" s="8">
        <v>5</v>
      </c>
      <c r="D1463" s="8">
        <v>1003</v>
      </c>
      <c r="E1463" t="s">
        <v>3852</v>
      </c>
      <c r="F1463" s="13" t="s">
        <v>3853</v>
      </c>
      <c r="G1463" t="s">
        <v>3854</v>
      </c>
      <c r="H1463" t="s">
        <v>3855</v>
      </c>
      <c r="I1463">
        <v>1</v>
      </c>
      <c r="J1463">
        <v>1</v>
      </c>
      <c r="K1463" s="33">
        <v>4</v>
      </c>
      <c r="L1463" s="8">
        <v>99</v>
      </c>
      <c r="M1463" s="8">
        <v>0</v>
      </c>
      <c r="N1463" s="8"/>
      <c r="Q1463" t="s">
        <v>260</v>
      </c>
      <c r="S1463" s="89">
        <v>1</v>
      </c>
      <c r="T1463" s="8">
        <v>5</v>
      </c>
      <c r="U1463" s="89">
        <v>80</v>
      </c>
      <c r="V1463" s="87">
        <v>0</v>
      </c>
      <c r="W1463">
        <v>1</v>
      </c>
      <c r="X1463" s="8">
        <v>1</v>
      </c>
      <c r="Y1463" s="8">
        <v>0</v>
      </c>
      <c r="Z1463" s="33">
        <v>0</v>
      </c>
      <c r="AA1463">
        <v>5</v>
      </c>
      <c r="AB1463" s="34">
        <v>3040</v>
      </c>
      <c r="AC1463" s="87">
        <f t="shared" si="2"/>
        <v>240</v>
      </c>
      <c r="AD1463" s="62">
        <v>0</v>
      </c>
      <c r="AE1463" s="62">
        <v>0</v>
      </c>
      <c r="AF1463" s="62">
        <v>1</v>
      </c>
      <c r="AI1463" s="64"/>
      <c r="AJ1463" s="63">
        <v>1101202</v>
      </c>
      <c r="AL1463" s="64">
        <v>1</v>
      </c>
      <c r="AM1463" s="4"/>
      <c r="AN1463" s="93" t="s">
        <v>3535</v>
      </c>
      <c r="AO1463" s="92"/>
      <c r="AQ1463" t="s">
        <v>3852</v>
      </c>
      <c r="AS1463">
        <v>1</v>
      </c>
    </row>
    <row r="1464" spans="1:45">
      <c r="A1464">
        <v>1101202</v>
      </c>
      <c r="B1464" s="8">
        <v>1001</v>
      </c>
      <c r="C1464" s="8">
        <v>5</v>
      </c>
      <c r="D1464" s="8">
        <v>1003</v>
      </c>
      <c r="E1464" t="s">
        <v>3856</v>
      </c>
      <c r="F1464" s="13" t="s">
        <v>3853</v>
      </c>
      <c r="G1464" t="s">
        <v>3857</v>
      </c>
      <c r="H1464" t="s">
        <v>3855</v>
      </c>
      <c r="I1464">
        <v>1</v>
      </c>
      <c r="J1464">
        <v>1</v>
      </c>
      <c r="K1464" s="33">
        <v>4</v>
      </c>
      <c r="L1464" s="8">
        <v>99</v>
      </c>
      <c r="M1464" s="8">
        <v>0</v>
      </c>
      <c r="N1464" s="8"/>
      <c r="Q1464" t="s">
        <v>260</v>
      </c>
      <c r="S1464" s="89">
        <v>1</v>
      </c>
      <c r="T1464" s="8">
        <v>5</v>
      </c>
      <c r="U1464" s="89">
        <v>80</v>
      </c>
      <c r="V1464" s="87">
        <v>0</v>
      </c>
      <c r="W1464">
        <v>1</v>
      </c>
      <c r="X1464" s="8">
        <v>1</v>
      </c>
      <c r="Y1464" s="8">
        <v>0</v>
      </c>
      <c r="Z1464" s="33">
        <v>0</v>
      </c>
      <c r="AA1464">
        <v>5</v>
      </c>
      <c r="AB1464" s="34">
        <v>3040</v>
      </c>
      <c r="AC1464" s="87">
        <f t="shared" si="2"/>
        <v>237</v>
      </c>
      <c r="AD1464" s="62">
        <v>0</v>
      </c>
      <c r="AE1464" s="62">
        <v>0</v>
      </c>
      <c r="AF1464" s="62">
        <v>1</v>
      </c>
      <c r="AI1464" s="64"/>
      <c r="AJ1464" s="63">
        <v>1101203</v>
      </c>
      <c r="AL1464" s="64">
        <v>1</v>
      </c>
      <c r="AM1464" s="4"/>
      <c r="AN1464" s="93"/>
      <c r="AO1464" s="92"/>
      <c r="AQ1464" t="s">
        <v>3856</v>
      </c>
      <c r="AS1464">
        <v>1</v>
      </c>
    </row>
    <row r="1465" spans="1:45">
      <c r="A1465">
        <v>1101203</v>
      </c>
      <c r="B1465" s="8">
        <v>1001</v>
      </c>
      <c r="C1465" s="8">
        <v>5</v>
      </c>
      <c r="D1465" s="8">
        <v>1003</v>
      </c>
      <c r="E1465" t="s">
        <v>3858</v>
      </c>
      <c r="F1465" s="13" t="s">
        <v>3853</v>
      </c>
      <c r="G1465" t="s">
        <v>3859</v>
      </c>
      <c r="H1465" t="s">
        <v>3855</v>
      </c>
      <c r="I1465">
        <v>1</v>
      </c>
      <c r="J1465">
        <v>2</v>
      </c>
      <c r="K1465" s="33">
        <v>4</v>
      </c>
      <c r="L1465" s="8">
        <v>99</v>
      </c>
      <c r="M1465" s="8">
        <v>0</v>
      </c>
      <c r="N1465" s="8"/>
      <c r="Q1465" t="s">
        <v>260</v>
      </c>
      <c r="S1465" s="89">
        <v>1</v>
      </c>
      <c r="T1465" s="8">
        <v>5</v>
      </c>
      <c r="U1465" s="89">
        <v>110</v>
      </c>
      <c r="V1465" s="87">
        <v>0</v>
      </c>
      <c r="W1465">
        <v>1</v>
      </c>
      <c r="X1465" s="8">
        <v>1</v>
      </c>
      <c r="Y1465" s="8">
        <v>0</v>
      </c>
      <c r="Z1465" s="33">
        <v>0</v>
      </c>
      <c r="AA1465">
        <v>5</v>
      </c>
      <c r="AB1465" s="34">
        <v>4180</v>
      </c>
      <c r="AC1465" s="87">
        <f t="shared" si="2"/>
        <v>236</v>
      </c>
      <c r="AD1465" s="62">
        <v>0</v>
      </c>
      <c r="AE1465" s="62">
        <v>0</v>
      </c>
      <c r="AF1465" s="62">
        <v>1</v>
      </c>
      <c r="AI1465" s="64"/>
      <c r="AJ1465" s="63">
        <v>1101204</v>
      </c>
      <c r="AL1465" s="64">
        <v>1</v>
      </c>
      <c r="AM1465" s="4"/>
      <c r="AN1465" s="93"/>
      <c r="AO1465" s="92"/>
      <c r="AQ1465" t="s">
        <v>3858</v>
      </c>
      <c r="AS1465">
        <v>1</v>
      </c>
    </row>
    <row r="1466" spans="1:45">
      <c r="A1466">
        <v>1101204</v>
      </c>
      <c r="B1466" s="8">
        <v>1001</v>
      </c>
      <c r="C1466" s="8">
        <v>5</v>
      </c>
      <c r="D1466" s="8">
        <v>1003</v>
      </c>
      <c r="E1466" t="s">
        <v>3860</v>
      </c>
      <c r="F1466" s="13" t="s">
        <v>3853</v>
      </c>
      <c r="G1466" t="s">
        <v>3861</v>
      </c>
      <c r="H1466" t="s">
        <v>3862</v>
      </c>
      <c r="I1466">
        <v>1</v>
      </c>
      <c r="J1466">
        <v>2</v>
      </c>
      <c r="K1466" s="33">
        <v>4</v>
      </c>
      <c r="L1466" s="8">
        <v>99</v>
      </c>
      <c r="M1466" s="8">
        <v>0</v>
      </c>
      <c r="N1466" s="8"/>
      <c r="Q1466" t="s">
        <v>260</v>
      </c>
      <c r="S1466" s="89">
        <v>1</v>
      </c>
      <c r="T1466" s="8">
        <v>5</v>
      </c>
      <c r="U1466" s="89">
        <v>110</v>
      </c>
      <c r="V1466" s="87">
        <v>0</v>
      </c>
      <c r="W1466">
        <v>1</v>
      </c>
      <c r="X1466" s="8">
        <v>1</v>
      </c>
      <c r="Y1466" s="8">
        <v>0</v>
      </c>
      <c r="Z1466" s="33">
        <v>0</v>
      </c>
      <c r="AA1466">
        <v>5</v>
      </c>
      <c r="AB1466" s="34">
        <v>4180</v>
      </c>
      <c r="AC1466" s="87">
        <f t="shared" si="2"/>
        <v>235</v>
      </c>
      <c r="AD1466" s="62">
        <v>0</v>
      </c>
      <c r="AE1466" s="62">
        <v>0</v>
      </c>
      <c r="AF1466" s="62">
        <v>1</v>
      </c>
      <c r="AI1466" s="64"/>
      <c r="AJ1466" s="63">
        <v>1101205</v>
      </c>
      <c r="AL1466" s="64">
        <v>1</v>
      </c>
      <c r="AM1466" s="4"/>
      <c r="AN1466" s="93"/>
      <c r="AO1466" s="92"/>
      <c r="AQ1466" t="s">
        <v>3860</v>
      </c>
      <c r="AS1466">
        <v>1</v>
      </c>
    </row>
    <row r="1467" spans="1:45">
      <c r="A1467">
        <v>1101205</v>
      </c>
      <c r="B1467" s="8">
        <v>1001</v>
      </c>
      <c r="C1467" s="8">
        <v>5</v>
      </c>
      <c r="D1467" s="8">
        <v>1003</v>
      </c>
      <c r="E1467" t="s">
        <v>3863</v>
      </c>
      <c r="F1467" s="13" t="s">
        <v>3853</v>
      </c>
      <c r="G1467" t="s">
        <v>3864</v>
      </c>
      <c r="H1467" t="s">
        <v>3862</v>
      </c>
      <c r="I1467">
        <v>1</v>
      </c>
      <c r="J1467">
        <v>3</v>
      </c>
      <c r="K1467" s="33">
        <v>4</v>
      </c>
      <c r="L1467" s="8">
        <v>99</v>
      </c>
      <c r="M1467" s="8">
        <v>0</v>
      </c>
      <c r="N1467" s="8"/>
      <c r="Q1467" t="s">
        <v>260</v>
      </c>
      <c r="S1467" s="89">
        <v>1</v>
      </c>
      <c r="T1467" s="8">
        <v>5</v>
      </c>
      <c r="U1467" s="89">
        <v>140</v>
      </c>
      <c r="V1467" s="87">
        <v>0</v>
      </c>
      <c r="W1467">
        <v>1</v>
      </c>
      <c r="X1467" s="8">
        <v>1</v>
      </c>
      <c r="Y1467" s="8">
        <v>0</v>
      </c>
      <c r="Z1467" s="33">
        <v>0</v>
      </c>
      <c r="AA1467">
        <v>5</v>
      </c>
      <c r="AB1467" s="34">
        <v>5320</v>
      </c>
      <c r="AC1467" s="87">
        <f t="shared" si="2"/>
        <v>234</v>
      </c>
      <c r="AD1467" s="62">
        <v>0</v>
      </c>
      <c r="AE1467" s="62">
        <v>0</v>
      </c>
      <c r="AF1467" s="62">
        <v>1</v>
      </c>
      <c r="AI1467" s="64"/>
      <c r="AJ1467" s="63">
        <v>1101206</v>
      </c>
      <c r="AL1467" s="64">
        <v>1</v>
      </c>
      <c r="AM1467" s="4"/>
      <c r="AN1467" s="93"/>
      <c r="AO1467" s="92"/>
      <c r="AQ1467" t="s">
        <v>3863</v>
      </c>
      <c r="AS1467">
        <v>1</v>
      </c>
    </row>
    <row r="1468" spans="1:45">
      <c r="A1468">
        <v>1101206</v>
      </c>
      <c r="B1468" s="8">
        <v>1001</v>
      </c>
      <c r="C1468" s="8">
        <v>5</v>
      </c>
      <c r="D1468" s="8">
        <v>1003</v>
      </c>
      <c r="E1468" t="s">
        <v>3865</v>
      </c>
      <c r="F1468" s="13" t="s">
        <v>3853</v>
      </c>
      <c r="G1468" t="s">
        <v>3866</v>
      </c>
      <c r="H1468" t="s">
        <v>3862</v>
      </c>
      <c r="I1468">
        <v>1</v>
      </c>
      <c r="J1468">
        <v>3</v>
      </c>
      <c r="K1468" s="33">
        <v>4</v>
      </c>
      <c r="L1468" s="8">
        <v>99</v>
      </c>
      <c r="M1468" s="8">
        <v>0</v>
      </c>
      <c r="N1468" s="8"/>
      <c r="Q1468" t="s">
        <v>260</v>
      </c>
      <c r="S1468" s="89">
        <v>1</v>
      </c>
      <c r="T1468" s="8">
        <v>5</v>
      </c>
      <c r="U1468" s="89">
        <v>140</v>
      </c>
      <c r="V1468" s="87">
        <v>0</v>
      </c>
      <c r="W1468">
        <v>1</v>
      </c>
      <c r="X1468" s="8">
        <v>1</v>
      </c>
      <c r="Y1468" s="8">
        <v>0</v>
      </c>
      <c r="Z1468" s="33">
        <v>0</v>
      </c>
      <c r="AA1468">
        <v>5</v>
      </c>
      <c r="AB1468" s="34">
        <v>5320</v>
      </c>
      <c r="AC1468" s="87">
        <f t="shared" si="2"/>
        <v>233</v>
      </c>
      <c r="AD1468" s="62">
        <v>0</v>
      </c>
      <c r="AE1468" s="62">
        <v>0</v>
      </c>
      <c r="AF1468" s="62">
        <v>1</v>
      </c>
      <c r="AI1468" s="64"/>
      <c r="AJ1468" s="63">
        <v>1101207</v>
      </c>
      <c r="AL1468" s="64">
        <v>1</v>
      </c>
      <c r="AM1468" s="4"/>
      <c r="AN1468" s="93"/>
      <c r="AO1468" s="92"/>
      <c r="AQ1468" t="s">
        <v>3865</v>
      </c>
      <c r="AS1468">
        <v>1</v>
      </c>
    </row>
    <row r="1469" spans="1:45">
      <c r="A1469">
        <v>1101207</v>
      </c>
      <c r="B1469" s="8">
        <v>1001</v>
      </c>
      <c r="C1469" s="8">
        <v>5</v>
      </c>
      <c r="D1469" s="8">
        <v>1003</v>
      </c>
      <c r="E1469" t="s">
        <v>3867</v>
      </c>
      <c r="F1469" s="13" t="s">
        <v>3853</v>
      </c>
      <c r="G1469" t="s">
        <v>3868</v>
      </c>
      <c r="H1469" t="s">
        <v>3869</v>
      </c>
      <c r="I1469">
        <v>1</v>
      </c>
      <c r="J1469">
        <v>4</v>
      </c>
      <c r="K1469" s="33">
        <v>4</v>
      </c>
      <c r="L1469" s="8">
        <v>99</v>
      </c>
      <c r="M1469" s="8">
        <v>0</v>
      </c>
      <c r="N1469" s="8"/>
      <c r="S1469" s="89">
        <v>1</v>
      </c>
      <c r="T1469" s="8">
        <v>5</v>
      </c>
      <c r="U1469" s="89">
        <v>170</v>
      </c>
      <c r="V1469" s="87">
        <v>0</v>
      </c>
      <c r="W1469">
        <v>1</v>
      </c>
      <c r="X1469" s="8">
        <v>1</v>
      </c>
      <c r="Y1469" s="8">
        <v>0</v>
      </c>
      <c r="Z1469" s="33">
        <v>0</v>
      </c>
      <c r="AA1469">
        <v>5</v>
      </c>
      <c r="AB1469" s="34">
        <v>6460</v>
      </c>
      <c r="AC1469" s="87">
        <f t="shared" si="2"/>
        <v>232</v>
      </c>
      <c r="AD1469" s="62">
        <v>0</v>
      </c>
      <c r="AE1469" s="62">
        <v>0</v>
      </c>
      <c r="AF1469" s="62">
        <v>1</v>
      </c>
      <c r="AI1469" s="64"/>
      <c r="AJ1469" s="63">
        <v>1101208</v>
      </c>
      <c r="AL1469" s="64">
        <v>1</v>
      </c>
      <c r="AM1469" s="4"/>
      <c r="AN1469" s="93"/>
      <c r="AO1469" s="92"/>
      <c r="AQ1469" t="s">
        <v>3867</v>
      </c>
      <c r="AS1469">
        <v>1</v>
      </c>
    </row>
    <row r="1470" spans="1:45">
      <c r="A1470">
        <v>1101208</v>
      </c>
      <c r="B1470" s="8">
        <v>1001</v>
      </c>
      <c r="C1470" s="8">
        <v>5</v>
      </c>
      <c r="D1470" s="8">
        <v>1003</v>
      </c>
      <c r="E1470" t="s">
        <v>3870</v>
      </c>
      <c r="F1470" s="13" t="s">
        <v>3853</v>
      </c>
      <c r="G1470" t="s">
        <v>3871</v>
      </c>
      <c r="H1470" t="s">
        <v>3869</v>
      </c>
      <c r="I1470">
        <v>1</v>
      </c>
      <c r="J1470">
        <v>4</v>
      </c>
      <c r="K1470" s="33">
        <v>4</v>
      </c>
      <c r="L1470" s="8">
        <v>99</v>
      </c>
      <c r="M1470" s="8">
        <v>0</v>
      </c>
      <c r="N1470" s="8"/>
      <c r="S1470" s="89">
        <v>1</v>
      </c>
      <c r="T1470" s="8">
        <v>5</v>
      </c>
      <c r="U1470" s="89">
        <v>170</v>
      </c>
      <c r="V1470" s="87">
        <v>0</v>
      </c>
      <c r="W1470">
        <v>1</v>
      </c>
      <c r="X1470" s="8">
        <v>1</v>
      </c>
      <c r="Y1470" s="8">
        <v>0</v>
      </c>
      <c r="Z1470" s="33">
        <v>0</v>
      </c>
      <c r="AA1470">
        <v>5</v>
      </c>
      <c r="AB1470" s="34">
        <v>6460</v>
      </c>
      <c r="AC1470" s="87">
        <f t="shared" si="2"/>
        <v>231</v>
      </c>
      <c r="AD1470" s="62">
        <v>0</v>
      </c>
      <c r="AE1470" s="62">
        <v>0</v>
      </c>
      <c r="AF1470" s="62">
        <v>1</v>
      </c>
      <c r="AI1470" s="64"/>
      <c r="AJ1470" s="63">
        <v>1101209</v>
      </c>
      <c r="AL1470" s="64">
        <v>1</v>
      </c>
      <c r="AM1470" s="4"/>
      <c r="AN1470" s="93"/>
      <c r="AO1470" s="92"/>
      <c r="AQ1470" t="s">
        <v>3870</v>
      </c>
      <c r="AS1470">
        <v>1</v>
      </c>
    </row>
    <row r="1471" spans="1:45">
      <c r="A1471">
        <v>1101209</v>
      </c>
      <c r="B1471" s="8">
        <v>1001</v>
      </c>
      <c r="C1471" s="8">
        <v>5</v>
      </c>
      <c r="D1471" s="8">
        <v>1003</v>
      </c>
      <c r="E1471" t="s">
        <v>3872</v>
      </c>
      <c r="F1471" s="13" t="s">
        <v>3853</v>
      </c>
      <c r="G1471" t="s">
        <v>3873</v>
      </c>
      <c r="H1471" t="s">
        <v>3869</v>
      </c>
      <c r="I1471">
        <v>1</v>
      </c>
      <c r="J1471">
        <v>5</v>
      </c>
      <c r="K1471" s="33">
        <v>4</v>
      </c>
      <c r="L1471" s="8">
        <v>99</v>
      </c>
      <c r="M1471" s="8">
        <v>0</v>
      </c>
      <c r="N1471" s="8"/>
      <c r="S1471" s="89">
        <v>1</v>
      </c>
      <c r="T1471" s="8">
        <v>5</v>
      </c>
      <c r="U1471" s="89">
        <v>200</v>
      </c>
      <c r="V1471" s="87">
        <v>0</v>
      </c>
      <c r="W1471">
        <v>1</v>
      </c>
      <c r="X1471" s="8">
        <v>1</v>
      </c>
      <c r="Y1471" s="8">
        <v>0</v>
      </c>
      <c r="Z1471" s="33">
        <v>0</v>
      </c>
      <c r="AA1471">
        <v>5</v>
      </c>
      <c r="AB1471" s="34">
        <v>7600</v>
      </c>
      <c r="AC1471" s="87">
        <f t="shared" si="2"/>
        <v>231</v>
      </c>
      <c r="AD1471" s="62">
        <v>0</v>
      </c>
      <c r="AE1471" s="62">
        <v>0</v>
      </c>
      <c r="AF1471" s="62">
        <v>1</v>
      </c>
      <c r="AI1471" s="64"/>
      <c r="AJ1471" s="63">
        <v>1101210</v>
      </c>
      <c r="AL1471" s="64">
        <v>1</v>
      </c>
      <c r="AM1471" s="4"/>
      <c r="AN1471" s="93"/>
      <c r="AO1471" s="92"/>
      <c r="AQ1471" t="s">
        <v>3872</v>
      </c>
      <c r="AS1471">
        <v>1</v>
      </c>
    </row>
    <row r="1472" spans="1:45">
      <c r="A1472">
        <v>1101210</v>
      </c>
      <c r="B1472" s="8">
        <v>1001</v>
      </c>
      <c r="C1472" s="8">
        <v>5</v>
      </c>
      <c r="D1472" s="8">
        <v>1003</v>
      </c>
      <c r="E1472" t="s">
        <v>3874</v>
      </c>
      <c r="F1472" s="13" t="s">
        <v>3853</v>
      </c>
      <c r="G1472" t="s">
        <v>3875</v>
      </c>
      <c r="H1472" t="s">
        <v>3876</v>
      </c>
      <c r="I1472">
        <v>1</v>
      </c>
      <c r="J1472">
        <v>5</v>
      </c>
      <c r="K1472" s="33">
        <v>1</v>
      </c>
      <c r="L1472" s="8">
        <v>99</v>
      </c>
      <c r="M1472" s="8">
        <v>0</v>
      </c>
      <c r="N1472" s="8"/>
      <c r="Q1472"/>
      <c r="S1472" s="89">
        <v>1</v>
      </c>
      <c r="T1472" s="8">
        <v>5</v>
      </c>
      <c r="U1472" s="89">
        <v>200</v>
      </c>
      <c r="V1472" s="87">
        <v>0</v>
      </c>
      <c r="W1472">
        <v>1</v>
      </c>
      <c r="X1472" s="8">
        <v>1</v>
      </c>
      <c r="Y1472" s="8">
        <v>0</v>
      </c>
      <c r="Z1472" s="33">
        <v>0</v>
      </c>
      <c r="AA1472">
        <v>5</v>
      </c>
      <c r="AB1472" s="34">
        <v>7600</v>
      </c>
      <c r="AC1472" s="87">
        <f t="shared" si="2"/>
        <v>231</v>
      </c>
      <c r="AD1472" s="62">
        <v>0</v>
      </c>
      <c r="AE1472" s="62">
        <v>0</v>
      </c>
      <c r="AF1472" s="62">
        <v>1</v>
      </c>
      <c r="AI1472" s="64"/>
      <c r="AL1472" s="64">
        <v>1</v>
      </c>
      <c r="AM1472" s="4"/>
      <c r="AN1472" s="93"/>
      <c r="AO1472" s="92"/>
      <c r="AQ1472" t="s">
        <v>3874</v>
      </c>
      <c r="AS1472">
        <v>1</v>
      </c>
    </row>
    <row r="1473" spans="1:45">
      <c r="A1473">
        <v>1101301</v>
      </c>
      <c r="B1473" s="8">
        <v>1001</v>
      </c>
      <c r="C1473" s="8">
        <v>5</v>
      </c>
      <c r="D1473" s="8">
        <v>1003</v>
      </c>
      <c r="E1473" t="s">
        <v>3877</v>
      </c>
      <c r="F1473" s="13" t="s">
        <v>3878</v>
      </c>
      <c r="G1473" t="s">
        <v>3879</v>
      </c>
      <c r="H1473" t="s">
        <v>3880</v>
      </c>
      <c r="I1473">
        <v>1</v>
      </c>
      <c r="J1473">
        <v>1</v>
      </c>
      <c r="K1473" s="33">
        <v>4</v>
      </c>
      <c r="L1473" s="8">
        <v>99</v>
      </c>
      <c r="M1473" s="8">
        <v>0</v>
      </c>
      <c r="N1473" s="8"/>
      <c r="Q1473" t="s">
        <v>260</v>
      </c>
      <c r="S1473" s="89">
        <v>1</v>
      </c>
      <c r="T1473" s="8">
        <v>5</v>
      </c>
      <c r="U1473" s="89">
        <v>80</v>
      </c>
      <c r="V1473" s="87">
        <v>0</v>
      </c>
      <c r="W1473">
        <v>1</v>
      </c>
      <c r="X1473" s="8">
        <v>1</v>
      </c>
      <c r="Y1473" s="8">
        <v>0</v>
      </c>
      <c r="Z1473" s="33">
        <v>0</v>
      </c>
      <c r="AA1473">
        <v>5</v>
      </c>
      <c r="AB1473" s="34">
        <v>3040</v>
      </c>
      <c r="AC1473" s="87">
        <f t="shared" si="2"/>
        <v>531</v>
      </c>
      <c r="AD1473" s="62">
        <v>0</v>
      </c>
      <c r="AE1473" s="62">
        <v>0</v>
      </c>
      <c r="AF1473" s="62">
        <v>1</v>
      </c>
      <c r="AI1473" s="64"/>
      <c r="AJ1473" s="63">
        <v>1101302</v>
      </c>
      <c r="AL1473" s="64">
        <v>1</v>
      </c>
      <c r="AM1473" s="4"/>
      <c r="AN1473" s="93" t="s">
        <v>3535</v>
      </c>
      <c r="AO1473" s="92"/>
      <c r="AQ1473" t="s">
        <v>3877</v>
      </c>
      <c r="AS1473">
        <v>1</v>
      </c>
    </row>
    <row r="1474" spans="1:45">
      <c r="A1474">
        <v>1101302</v>
      </c>
      <c r="B1474" s="8">
        <v>1001</v>
      </c>
      <c r="C1474" s="8">
        <v>5</v>
      </c>
      <c r="D1474" s="8">
        <v>1003</v>
      </c>
      <c r="E1474" t="s">
        <v>3881</v>
      </c>
      <c r="F1474" s="13" t="s">
        <v>3878</v>
      </c>
      <c r="G1474" t="s">
        <v>3882</v>
      </c>
      <c r="H1474" t="s">
        <v>3880</v>
      </c>
      <c r="I1474">
        <v>1</v>
      </c>
      <c r="J1474">
        <v>1</v>
      </c>
      <c r="K1474" s="33">
        <v>4</v>
      </c>
      <c r="L1474" s="8">
        <v>99</v>
      </c>
      <c r="M1474" s="8">
        <v>0</v>
      </c>
      <c r="N1474" s="8"/>
      <c r="Q1474" t="s">
        <v>260</v>
      </c>
      <c r="S1474" s="89">
        <v>1</v>
      </c>
      <c r="T1474" s="8">
        <v>5</v>
      </c>
      <c r="U1474" s="89">
        <v>80</v>
      </c>
      <c r="V1474" s="87">
        <v>0</v>
      </c>
      <c r="W1474">
        <v>1</v>
      </c>
      <c r="X1474" s="8">
        <v>1</v>
      </c>
      <c r="Y1474" s="8">
        <v>0</v>
      </c>
      <c r="Z1474" s="33">
        <v>0</v>
      </c>
      <c r="AA1474">
        <v>5</v>
      </c>
      <c r="AB1474" s="34">
        <v>3040</v>
      </c>
      <c r="AC1474" s="87">
        <f t="shared" si="2"/>
        <v>250</v>
      </c>
      <c r="AD1474" s="62">
        <v>0</v>
      </c>
      <c r="AE1474" s="62">
        <v>0</v>
      </c>
      <c r="AF1474" s="62">
        <v>1</v>
      </c>
      <c r="AI1474" s="64"/>
      <c r="AJ1474" s="63">
        <v>1101303</v>
      </c>
      <c r="AL1474" s="64">
        <v>1</v>
      </c>
      <c r="AM1474" s="4"/>
      <c r="AN1474" s="93"/>
      <c r="AO1474" s="92"/>
      <c r="AQ1474" t="s">
        <v>3881</v>
      </c>
      <c r="AS1474">
        <v>1</v>
      </c>
    </row>
    <row r="1475" spans="1:45">
      <c r="A1475">
        <v>1101303</v>
      </c>
      <c r="B1475" s="8">
        <v>1001</v>
      </c>
      <c r="C1475" s="8">
        <v>5</v>
      </c>
      <c r="D1475" s="8">
        <v>1003</v>
      </c>
      <c r="E1475" t="s">
        <v>3883</v>
      </c>
      <c r="F1475" s="13" t="s">
        <v>3878</v>
      </c>
      <c r="G1475" t="s">
        <v>3884</v>
      </c>
      <c r="H1475" t="s">
        <v>3880</v>
      </c>
      <c r="I1475">
        <v>1</v>
      </c>
      <c r="J1475">
        <v>2</v>
      </c>
      <c r="K1475" s="33">
        <v>4</v>
      </c>
      <c r="L1475" s="8">
        <v>99</v>
      </c>
      <c r="M1475" s="8">
        <v>0</v>
      </c>
      <c r="N1475" s="8"/>
      <c r="Q1475" t="s">
        <v>260</v>
      </c>
      <c r="S1475" s="89">
        <v>1</v>
      </c>
      <c r="T1475" s="8">
        <v>5</v>
      </c>
      <c r="U1475" s="89">
        <v>110</v>
      </c>
      <c r="V1475" s="87">
        <v>0</v>
      </c>
      <c r="W1475">
        <v>1</v>
      </c>
      <c r="X1475" s="8">
        <v>1</v>
      </c>
      <c r="Y1475" s="8">
        <v>0</v>
      </c>
      <c r="Z1475" s="33">
        <v>0</v>
      </c>
      <c r="AA1475">
        <v>5</v>
      </c>
      <c r="AB1475" s="34">
        <v>4180</v>
      </c>
      <c r="AC1475" s="87">
        <f t="shared" si="2"/>
        <v>247</v>
      </c>
      <c r="AD1475" s="62">
        <v>0</v>
      </c>
      <c r="AE1475" s="62">
        <v>0</v>
      </c>
      <c r="AF1475" s="62">
        <v>1</v>
      </c>
      <c r="AI1475" s="64"/>
      <c r="AJ1475" s="63">
        <v>1101304</v>
      </c>
      <c r="AL1475" s="64">
        <v>1</v>
      </c>
      <c r="AM1475" s="4"/>
      <c r="AN1475" s="93"/>
      <c r="AO1475" s="92"/>
      <c r="AQ1475" t="s">
        <v>3883</v>
      </c>
      <c r="AS1475">
        <v>1</v>
      </c>
    </row>
    <row r="1476" spans="1:45">
      <c r="A1476">
        <v>1101304</v>
      </c>
      <c r="B1476" s="8">
        <v>1001</v>
      </c>
      <c r="C1476" s="8">
        <v>5</v>
      </c>
      <c r="D1476" s="8">
        <v>1003</v>
      </c>
      <c r="E1476" t="s">
        <v>3885</v>
      </c>
      <c r="F1476" s="13" t="s">
        <v>3878</v>
      </c>
      <c r="G1476" t="s">
        <v>3886</v>
      </c>
      <c r="H1476" t="s">
        <v>3887</v>
      </c>
      <c r="I1476">
        <v>1</v>
      </c>
      <c r="J1476">
        <v>2</v>
      </c>
      <c r="K1476" s="33">
        <v>4</v>
      </c>
      <c r="L1476" s="8">
        <v>99</v>
      </c>
      <c r="M1476" s="8">
        <v>0</v>
      </c>
      <c r="N1476" s="8"/>
      <c r="Q1476" t="s">
        <v>260</v>
      </c>
      <c r="S1476" s="89">
        <v>1</v>
      </c>
      <c r="T1476" s="8">
        <v>5</v>
      </c>
      <c r="U1476" s="89">
        <v>110</v>
      </c>
      <c r="V1476" s="87">
        <v>0</v>
      </c>
      <c r="W1476">
        <v>1</v>
      </c>
      <c r="X1476" s="8">
        <v>1</v>
      </c>
      <c r="Y1476" s="8">
        <v>0</v>
      </c>
      <c r="Z1476" s="33">
        <v>0</v>
      </c>
      <c r="AA1476">
        <v>5</v>
      </c>
      <c r="AB1476" s="34">
        <v>4180</v>
      </c>
      <c r="AC1476" s="87">
        <f t="shared" si="2"/>
        <v>246</v>
      </c>
      <c r="AD1476" s="62">
        <v>0</v>
      </c>
      <c r="AE1476" s="62">
        <v>0</v>
      </c>
      <c r="AF1476" s="62">
        <v>1</v>
      </c>
      <c r="AI1476" s="64"/>
      <c r="AJ1476" s="63">
        <v>1101305</v>
      </c>
      <c r="AL1476" s="64">
        <v>1</v>
      </c>
      <c r="AM1476" s="4"/>
      <c r="AN1476" s="93"/>
      <c r="AO1476" s="92"/>
      <c r="AQ1476" t="s">
        <v>3885</v>
      </c>
      <c r="AS1476">
        <v>1</v>
      </c>
    </row>
    <row r="1477" spans="1:45">
      <c r="A1477">
        <v>1101305</v>
      </c>
      <c r="B1477" s="8">
        <v>1001</v>
      </c>
      <c r="C1477" s="8">
        <v>5</v>
      </c>
      <c r="D1477" s="8">
        <v>1003</v>
      </c>
      <c r="E1477" t="s">
        <v>3888</v>
      </c>
      <c r="F1477" s="13" t="s">
        <v>3878</v>
      </c>
      <c r="G1477" t="s">
        <v>3889</v>
      </c>
      <c r="H1477" t="s">
        <v>3887</v>
      </c>
      <c r="I1477">
        <v>1</v>
      </c>
      <c r="J1477">
        <v>3</v>
      </c>
      <c r="K1477" s="33">
        <v>4</v>
      </c>
      <c r="L1477" s="8">
        <v>99</v>
      </c>
      <c r="M1477" s="8">
        <v>0</v>
      </c>
      <c r="N1477" s="8"/>
      <c r="Q1477" t="s">
        <v>260</v>
      </c>
      <c r="S1477" s="89">
        <v>1</v>
      </c>
      <c r="T1477" s="8">
        <v>5</v>
      </c>
      <c r="U1477" s="89">
        <v>140</v>
      </c>
      <c r="V1477" s="87">
        <v>0</v>
      </c>
      <c r="W1477">
        <v>1</v>
      </c>
      <c r="X1477" s="8">
        <v>1</v>
      </c>
      <c r="Y1477" s="8">
        <v>0</v>
      </c>
      <c r="Z1477" s="33">
        <v>0</v>
      </c>
      <c r="AA1477">
        <v>5</v>
      </c>
      <c r="AB1477" s="34">
        <v>5320</v>
      </c>
      <c r="AC1477" s="87">
        <f t="shared" si="2"/>
        <v>245</v>
      </c>
      <c r="AD1477" s="62">
        <v>0</v>
      </c>
      <c r="AE1477" s="62">
        <v>0</v>
      </c>
      <c r="AF1477" s="62">
        <v>1</v>
      </c>
      <c r="AI1477" s="64"/>
      <c r="AJ1477" s="63">
        <v>1101306</v>
      </c>
      <c r="AL1477" s="64">
        <v>1</v>
      </c>
      <c r="AM1477" s="4"/>
      <c r="AN1477" s="93"/>
      <c r="AO1477" s="92"/>
      <c r="AQ1477" t="s">
        <v>3888</v>
      </c>
      <c r="AS1477">
        <v>1</v>
      </c>
    </row>
    <row r="1478" spans="1:45">
      <c r="A1478">
        <v>1101306</v>
      </c>
      <c r="B1478" s="8">
        <v>1001</v>
      </c>
      <c r="C1478" s="8">
        <v>5</v>
      </c>
      <c r="D1478" s="8">
        <v>1003</v>
      </c>
      <c r="E1478" t="s">
        <v>3890</v>
      </c>
      <c r="F1478" s="13" t="s">
        <v>3878</v>
      </c>
      <c r="G1478" t="s">
        <v>3891</v>
      </c>
      <c r="H1478" t="s">
        <v>3887</v>
      </c>
      <c r="I1478">
        <v>1</v>
      </c>
      <c r="J1478">
        <v>3</v>
      </c>
      <c r="K1478" s="33">
        <v>4</v>
      </c>
      <c r="L1478" s="8">
        <v>99</v>
      </c>
      <c r="M1478" s="8">
        <v>0</v>
      </c>
      <c r="N1478" s="8"/>
      <c r="Q1478" t="s">
        <v>260</v>
      </c>
      <c r="S1478" s="89">
        <v>1</v>
      </c>
      <c r="T1478" s="8">
        <v>5</v>
      </c>
      <c r="U1478" s="89">
        <v>140</v>
      </c>
      <c r="V1478" s="87">
        <v>0</v>
      </c>
      <c r="W1478">
        <v>1</v>
      </c>
      <c r="X1478" s="8">
        <v>1</v>
      </c>
      <c r="Y1478" s="8">
        <v>0</v>
      </c>
      <c r="Z1478" s="33">
        <v>0</v>
      </c>
      <c r="AA1478">
        <v>5</v>
      </c>
      <c r="AB1478" s="34">
        <v>5320</v>
      </c>
      <c r="AC1478" s="87">
        <f t="shared" si="2"/>
        <v>244</v>
      </c>
      <c r="AD1478" s="62">
        <v>0</v>
      </c>
      <c r="AE1478" s="62">
        <v>0</v>
      </c>
      <c r="AF1478" s="62">
        <v>1</v>
      </c>
      <c r="AI1478" s="64"/>
      <c r="AJ1478" s="63">
        <v>1101307</v>
      </c>
      <c r="AL1478" s="64">
        <v>1</v>
      </c>
      <c r="AM1478" s="4"/>
      <c r="AN1478" s="93"/>
      <c r="AO1478" s="92"/>
      <c r="AQ1478" t="s">
        <v>3890</v>
      </c>
      <c r="AS1478">
        <v>1</v>
      </c>
    </row>
    <row r="1479" spans="1:45">
      <c r="A1479">
        <v>1101307</v>
      </c>
      <c r="B1479" s="8">
        <v>1001</v>
      </c>
      <c r="C1479" s="8">
        <v>5</v>
      </c>
      <c r="D1479" s="8">
        <v>1003</v>
      </c>
      <c r="E1479" t="s">
        <v>3892</v>
      </c>
      <c r="F1479" s="13" t="s">
        <v>3878</v>
      </c>
      <c r="G1479" t="s">
        <v>3893</v>
      </c>
      <c r="H1479" t="s">
        <v>3894</v>
      </c>
      <c r="I1479">
        <v>1</v>
      </c>
      <c r="J1479">
        <v>4</v>
      </c>
      <c r="K1479" s="33">
        <v>4</v>
      </c>
      <c r="L1479" s="8">
        <v>99</v>
      </c>
      <c r="M1479" s="8">
        <v>0</v>
      </c>
      <c r="N1479" s="8"/>
      <c r="S1479" s="89">
        <v>1</v>
      </c>
      <c r="T1479" s="8">
        <v>5</v>
      </c>
      <c r="U1479" s="89">
        <v>170</v>
      </c>
      <c r="V1479" s="87">
        <v>0</v>
      </c>
      <c r="W1479">
        <v>1</v>
      </c>
      <c r="X1479" s="8">
        <v>1</v>
      </c>
      <c r="Y1479" s="8">
        <v>0</v>
      </c>
      <c r="Z1479" s="33">
        <v>0</v>
      </c>
      <c r="AA1479">
        <v>5</v>
      </c>
      <c r="AB1479" s="34">
        <v>6460</v>
      </c>
      <c r="AC1479" s="87">
        <f t="shared" si="2"/>
        <v>243</v>
      </c>
      <c r="AD1479" s="62">
        <v>0</v>
      </c>
      <c r="AE1479" s="62">
        <v>0</v>
      </c>
      <c r="AF1479" s="62">
        <v>1</v>
      </c>
      <c r="AI1479" s="64"/>
      <c r="AJ1479" s="63">
        <v>1101308</v>
      </c>
      <c r="AL1479" s="64">
        <v>1</v>
      </c>
      <c r="AM1479" s="4"/>
      <c r="AN1479" s="93"/>
      <c r="AO1479" s="92"/>
      <c r="AQ1479" t="s">
        <v>3892</v>
      </c>
      <c r="AS1479">
        <v>1</v>
      </c>
    </row>
    <row r="1480" spans="1:45">
      <c r="A1480">
        <v>1101308</v>
      </c>
      <c r="B1480" s="8">
        <v>1001</v>
      </c>
      <c r="C1480" s="8">
        <v>5</v>
      </c>
      <c r="D1480" s="8">
        <v>1003</v>
      </c>
      <c r="E1480" t="s">
        <v>3895</v>
      </c>
      <c r="F1480" s="13" t="s">
        <v>3878</v>
      </c>
      <c r="G1480" t="s">
        <v>3896</v>
      </c>
      <c r="H1480" t="s">
        <v>3894</v>
      </c>
      <c r="I1480">
        <v>1</v>
      </c>
      <c r="J1480">
        <v>4</v>
      </c>
      <c r="K1480" s="33">
        <v>4</v>
      </c>
      <c r="L1480" s="8">
        <v>99</v>
      </c>
      <c r="M1480" s="8">
        <v>0</v>
      </c>
      <c r="N1480" s="8"/>
      <c r="S1480" s="89">
        <v>1</v>
      </c>
      <c r="T1480" s="8">
        <v>5</v>
      </c>
      <c r="U1480" s="89">
        <v>170</v>
      </c>
      <c r="V1480" s="87">
        <v>0</v>
      </c>
      <c r="W1480">
        <v>1</v>
      </c>
      <c r="X1480" s="8">
        <v>1</v>
      </c>
      <c r="Y1480" s="8">
        <v>0</v>
      </c>
      <c r="Z1480" s="33">
        <v>0</v>
      </c>
      <c r="AA1480">
        <v>5</v>
      </c>
      <c r="AB1480" s="34">
        <v>6460</v>
      </c>
      <c r="AC1480" s="87">
        <f t="shared" si="2"/>
        <v>242</v>
      </c>
      <c r="AD1480" s="62">
        <v>0</v>
      </c>
      <c r="AE1480" s="62">
        <v>0</v>
      </c>
      <c r="AF1480" s="62">
        <v>1</v>
      </c>
      <c r="AI1480" s="64"/>
      <c r="AJ1480" s="63">
        <v>1101309</v>
      </c>
      <c r="AL1480" s="64">
        <v>1</v>
      </c>
      <c r="AM1480" s="4"/>
      <c r="AN1480" s="93"/>
      <c r="AO1480" s="92"/>
      <c r="AQ1480" t="s">
        <v>3895</v>
      </c>
      <c r="AS1480">
        <v>1</v>
      </c>
    </row>
    <row r="1481" spans="1:45">
      <c r="A1481">
        <v>1101309</v>
      </c>
      <c r="B1481" s="8">
        <v>1001</v>
      </c>
      <c r="C1481" s="8">
        <v>5</v>
      </c>
      <c r="D1481" s="8">
        <v>1003</v>
      </c>
      <c r="E1481" t="s">
        <v>3897</v>
      </c>
      <c r="F1481" s="13" t="s">
        <v>3878</v>
      </c>
      <c r="G1481" t="s">
        <v>3898</v>
      </c>
      <c r="H1481" t="s">
        <v>3894</v>
      </c>
      <c r="I1481">
        <v>1</v>
      </c>
      <c r="J1481">
        <v>5</v>
      </c>
      <c r="K1481" s="33">
        <v>4</v>
      </c>
      <c r="L1481" s="8">
        <v>99</v>
      </c>
      <c r="M1481" s="8">
        <v>0</v>
      </c>
      <c r="N1481" s="8"/>
      <c r="S1481" s="89">
        <v>1</v>
      </c>
      <c r="T1481" s="8">
        <v>5</v>
      </c>
      <c r="U1481" s="89">
        <v>200</v>
      </c>
      <c r="V1481" s="87">
        <v>0</v>
      </c>
      <c r="W1481">
        <v>1</v>
      </c>
      <c r="X1481" s="8">
        <v>1</v>
      </c>
      <c r="Y1481" s="8">
        <v>0</v>
      </c>
      <c r="Z1481" s="33">
        <v>0</v>
      </c>
      <c r="AA1481">
        <v>5</v>
      </c>
      <c r="AB1481" s="34">
        <v>7600</v>
      </c>
      <c r="AC1481" s="87">
        <f t="shared" si="2"/>
        <v>241</v>
      </c>
      <c r="AD1481" s="62">
        <v>0</v>
      </c>
      <c r="AE1481" s="62">
        <v>0</v>
      </c>
      <c r="AF1481" s="62">
        <v>1</v>
      </c>
      <c r="AI1481" s="64"/>
      <c r="AJ1481" s="63">
        <v>1101310</v>
      </c>
      <c r="AL1481" s="64">
        <v>1</v>
      </c>
      <c r="AM1481" s="4"/>
      <c r="AN1481" s="93"/>
      <c r="AO1481" s="92"/>
      <c r="AQ1481" t="s">
        <v>3897</v>
      </c>
      <c r="AS1481">
        <v>1</v>
      </c>
    </row>
    <row r="1482" spans="1:45">
      <c r="A1482">
        <v>1101310</v>
      </c>
      <c r="B1482" s="8">
        <v>1001</v>
      </c>
      <c r="C1482" s="8">
        <v>5</v>
      </c>
      <c r="D1482" s="8">
        <v>1003</v>
      </c>
      <c r="E1482" t="s">
        <v>3899</v>
      </c>
      <c r="F1482" s="13" t="s">
        <v>3878</v>
      </c>
      <c r="G1482" t="s">
        <v>3900</v>
      </c>
      <c r="H1482" t="s">
        <v>3901</v>
      </c>
      <c r="I1482">
        <v>1</v>
      </c>
      <c r="J1482">
        <v>5</v>
      </c>
      <c r="K1482" s="33">
        <v>1</v>
      </c>
      <c r="L1482" s="8">
        <v>99</v>
      </c>
      <c r="M1482" s="8">
        <v>0</v>
      </c>
      <c r="N1482" s="8"/>
      <c r="Q1482"/>
      <c r="S1482" s="89">
        <v>1</v>
      </c>
      <c r="T1482" s="8">
        <v>5</v>
      </c>
      <c r="U1482" s="89">
        <v>200</v>
      </c>
      <c r="V1482" s="87">
        <v>0</v>
      </c>
      <c r="W1482">
        <v>1</v>
      </c>
      <c r="X1482" s="8">
        <v>1</v>
      </c>
      <c r="Y1482" s="8">
        <v>0</v>
      </c>
      <c r="Z1482" s="33">
        <v>0</v>
      </c>
      <c r="AA1482">
        <v>5</v>
      </c>
      <c r="AB1482" s="34">
        <v>7600</v>
      </c>
      <c r="AC1482" s="87">
        <f t="shared" si="2"/>
        <v>241</v>
      </c>
      <c r="AD1482" s="62">
        <v>0</v>
      </c>
      <c r="AE1482" s="62">
        <v>0</v>
      </c>
      <c r="AF1482" s="62">
        <v>1</v>
      </c>
      <c r="AI1482" s="64"/>
      <c r="AL1482" s="64">
        <v>1</v>
      </c>
      <c r="AM1482" s="4"/>
      <c r="AN1482" s="93"/>
      <c r="AO1482" s="92"/>
      <c r="AQ1482" t="s">
        <v>3899</v>
      </c>
      <c r="AS1482">
        <v>1</v>
      </c>
    </row>
    <row r="1483" spans="1:45">
      <c r="A1483">
        <v>1101401</v>
      </c>
      <c r="B1483" s="8">
        <v>1001</v>
      </c>
      <c r="C1483" s="8">
        <v>5</v>
      </c>
      <c r="D1483" s="8">
        <v>1003</v>
      </c>
      <c r="E1483" t="s">
        <v>3902</v>
      </c>
      <c r="F1483" s="13" t="s">
        <v>3903</v>
      </c>
      <c r="G1483" t="s">
        <v>3904</v>
      </c>
      <c r="H1483" t="s">
        <v>3905</v>
      </c>
      <c r="I1483">
        <v>1</v>
      </c>
      <c r="J1483">
        <v>1</v>
      </c>
      <c r="K1483" s="33">
        <v>4</v>
      </c>
      <c r="L1483" s="8">
        <v>99</v>
      </c>
      <c r="M1483" s="8">
        <v>0</v>
      </c>
      <c r="N1483" s="8"/>
      <c r="Q1483" t="s">
        <v>260</v>
      </c>
      <c r="S1483" s="89">
        <v>1</v>
      </c>
      <c r="T1483" s="8">
        <v>5</v>
      </c>
      <c r="U1483" s="89">
        <v>80</v>
      </c>
      <c r="V1483" s="87">
        <v>0</v>
      </c>
      <c r="W1483">
        <v>1</v>
      </c>
      <c r="X1483" s="8">
        <v>1</v>
      </c>
      <c r="Y1483" s="8">
        <v>0</v>
      </c>
      <c r="Z1483" s="33">
        <v>0</v>
      </c>
      <c r="AA1483">
        <v>5</v>
      </c>
      <c r="AB1483" s="34">
        <v>3040</v>
      </c>
      <c r="AC1483" s="87">
        <f t="shared" si="2"/>
        <v>241</v>
      </c>
      <c r="AD1483" s="62">
        <v>0</v>
      </c>
      <c r="AE1483" s="62">
        <v>0</v>
      </c>
      <c r="AF1483" s="62">
        <v>1</v>
      </c>
      <c r="AI1483" s="64"/>
      <c r="AJ1483" s="63">
        <v>1101402</v>
      </c>
      <c r="AL1483" s="64">
        <v>1</v>
      </c>
      <c r="AM1483" s="4"/>
      <c r="AN1483" s="93" t="s">
        <v>3535</v>
      </c>
      <c r="AO1483" s="92"/>
      <c r="AQ1483" t="s">
        <v>3902</v>
      </c>
      <c r="AS1483">
        <v>1</v>
      </c>
    </row>
    <row r="1484" spans="1:45">
      <c r="A1484">
        <v>1101402</v>
      </c>
      <c r="B1484" s="8">
        <v>1001</v>
      </c>
      <c r="C1484" s="8">
        <v>5</v>
      </c>
      <c r="D1484" s="8">
        <v>1003</v>
      </c>
      <c r="E1484" t="s">
        <v>3906</v>
      </c>
      <c r="F1484" s="13" t="s">
        <v>3903</v>
      </c>
      <c r="G1484" t="s">
        <v>3907</v>
      </c>
      <c r="H1484" t="s">
        <v>3905</v>
      </c>
      <c r="I1484">
        <v>1</v>
      </c>
      <c r="J1484">
        <v>1</v>
      </c>
      <c r="K1484" s="33">
        <v>4</v>
      </c>
      <c r="L1484" s="8">
        <v>99</v>
      </c>
      <c r="M1484" s="8">
        <v>0</v>
      </c>
      <c r="N1484" s="8"/>
      <c r="Q1484" t="s">
        <v>260</v>
      </c>
      <c r="S1484" s="89">
        <v>1</v>
      </c>
      <c r="T1484" s="8">
        <v>5</v>
      </c>
      <c r="U1484" s="89">
        <v>80</v>
      </c>
      <c r="V1484" s="87">
        <v>0</v>
      </c>
      <c r="W1484">
        <v>1</v>
      </c>
      <c r="X1484" s="8">
        <v>1</v>
      </c>
      <c r="Y1484" s="8">
        <v>0</v>
      </c>
      <c r="Z1484" s="33">
        <v>0</v>
      </c>
      <c r="AA1484">
        <v>5</v>
      </c>
      <c r="AB1484" s="34">
        <v>3040</v>
      </c>
      <c r="AC1484" s="87">
        <f t="shared" si="2"/>
        <v>541</v>
      </c>
      <c r="AD1484" s="62">
        <v>0</v>
      </c>
      <c r="AE1484" s="62">
        <v>0</v>
      </c>
      <c r="AF1484" s="62">
        <v>1</v>
      </c>
      <c r="AI1484" s="64"/>
      <c r="AJ1484" s="63">
        <v>1101403</v>
      </c>
      <c r="AL1484" s="64">
        <v>1</v>
      </c>
      <c r="AM1484" s="4"/>
      <c r="AN1484" s="93"/>
      <c r="AO1484" s="92"/>
      <c r="AQ1484" t="s">
        <v>3906</v>
      </c>
      <c r="AS1484">
        <v>1</v>
      </c>
    </row>
    <row r="1485" spans="1:45">
      <c r="A1485">
        <v>1101403</v>
      </c>
      <c r="B1485" s="8">
        <v>1001</v>
      </c>
      <c r="C1485" s="8">
        <v>5</v>
      </c>
      <c r="D1485" s="8">
        <v>1003</v>
      </c>
      <c r="E1485" t="s">
        <v>3908</v>
      </c>
      <c r="F1485" s="13" t="s">
        <v>3903</v>
      </c>
      <c r="G1485" t="s">
        <v>3909</v>
      </c>
      <c r="H1485" t="s">
        <v>3905</v>
      </c>
      <c r="I1485">
        <v>1</v>
      </c>
      <c r="J1485">
        <v>2</v>
      </c>
      <c r="K1485" s="33">
        <v>4</v>
      </c>
      <c r="L1485" s="8">
        <v>99</v>
      </c>
      <c r="M1485" s="8">
        <v>0</v>
      </c>
      <c r="N1485" s="8"/>
      <c r="Q1485" t="s">
        <v>260</v>
      </c>
      <c r="S1485" s="89">
        <v>1</v>
      </c>
      <c r="T1485" s="8">
        <v>5</v>
      </c>
      <c r="U1485" s="89">
        <v>110</v>
      </c>
      <c r="V1485" s="87">
        <v>0</v>
      </c>
      <c r="W1485">
        <v>1</v>
      </c>
      <c r="X1485" s="8">
        <v>1</v>
      </c>
      <c r="Y1485" s="8">
        <v>0</v>
      </c>
      <c r="Z1485" s="33">
        <v>0</v>
      </c>
      <c r="AA1485">
        <v>5</v>
      </c>
      <c r="AB1485" s="34">
        <v>4180</v>
      </c>
      <c r="AC1485" s="87">
        <f t="shared" si="2"/>
        <v>260</v>
      </c>
      <c r="AD1485" s="62">
        <v>0</v>
      </c>
      <c r="AE1485" s="62">
        <v>0</v>
      </c>
      <c r="AF1485" s="62">
        <v>1</v>
      </c>
      <c r="AI1485" s="64"/>
      <c r="AJ1485" s="63">
        <v>1101404</v>
      </c>
      <c r="AL1485" s="64">
        <v>1</v>
      </c>
      <c r="AM1485" s="4"/>
      <c r="AN1485" s="93"/>
      <c r="AO1485" s="92"/>
      <c r="AQ1485" t="s">
        <v>3908</v>
      </c>
      <c r="AS1485">
        <v>1</v>
      </c>
    </row>
    <row r="1486" spans="1:45">
      <c r="A1486">
        <v>1101404</v>
      </c>
      <c r="B1486" s="8">
        <v>1001</v>
      </c>
      <c r="C1486" s="8">
        <v>5</v>
      </c>
      <c r="D1486" s="8">
        <v>1003</v>
      </c>
      <c r="E1486" t="s">
        <v>3910</v>
      </c>
      <c r="F1486" s="13" t="s">
        <v>3903</v>
      </c>
      <c r="G1486" t="s">
        <v>3911</v>
      </c>
      <c r="H1486" t="s">
        <v>3912</v>
      </c>
      <c r="I1486">
        <v>1</v>
      </c>
      <c r="J1486">
        <v>2</v>
      </c>
      <c r="K1486" s="33">
        <v>4</v>
      </c>
      <c r="L1486" s="8">
        <v>99</v>
      </c>
      <c r="M1486" s="8">
        <v>0</v>
      </c>
      <c r="N1486" s="8"/>
      <c r="Q1486" t="s">
        <v>260</v>
      </c>
      <c r="S1486" s="89">
        <v>1</v>
      </c>
      <c r="T1486" s="8">
        <v>5</v>
      </c>
      <c r="U1486" s="89">
        <v>110</v>
      </c>
      <c r="V1486" s="87">
        <v>0</v>
      </c>
      <c r="W1486">
        <v>1</v>
      </c>
      <c r="X1486" s="8">
        <v>1</v>
      </c>
      <c r="Y1486" s="8">
        <v>0</v>
      </c>
      <c r="Z1486" s="33">
        <v>0</v>
      </c>
      <c r="AA1486">
        <v>5</v>
      </c>
      <c r="AB1486" s="34">
        <v>4180</v>
      </c>
      <c r="AC1486" s="87">
        <f t="shared" si="2"/>
        <v>257</v>
      </c>
      <c r="AD1486" s="62">
        <v>0</v>
      </c>
      <c r="AE1486" s="62">
        <v>0</v>
      </c>
      <c r="AF1486" s="62">
        <v>1</v>
      </c>
      <c r="AI1486" s="64"/>
      <c r="AJ1486" s="63">
        <v>1101405</v>
      </c>
      <c r="AL1486" s="64">
        <v>1</v>
      </c>
      <c r="AM1486" s="4"/>
      <c r="AN1486" s="93"/>
      <c r="AO1486" s="92"/>
      <c r="AQ1486" t="s">
        <v>3910</v>
      </c>
      <c r="AS1486">
        <v>1</v>
      </c>
    </row>
    <row r="1487" spans="1:45">
      <c r="A1487">
        <v>1101405</v>
      </c>
      <c r="B1487" s="8">
        <v>1001</v>
      </c>
      <c r="C1487" s="8">
        <v>5</v>
      </c>
      <c r="D1487" s="8">
        <v>1003</v>
      </c>
      <c r="E1487" t="s">
        <v>3913</v>
      </c>
      <c r="F1487" s="13" t="s">
        <v>3903</v>
      </c>
      <c r="G1487" t="s">
        <v>3914</v>
      </c>
      <c r="H1487" t="s">
        <v>3912</v>
      </c>
      <c r="I1487">
        <v>1</v>
      </c>
      <c r="J1487">
        <v>3</v>
      </c>
      <c r="K1487" s="33">
        <v>4</v>
      </c>
      <c r="L1487" s="8">
        <v>99</v>
      </c>
      <c r="M1487" s="8">
        <v>0</v>
      </c>
      <c r="N1487" s="8"/>
      <c r="Q1487" t="s">
        <v>260</v>
      </c>
      <c r="S1487" s="89">
        <v>1</v>
      </c>
      <c r="T1487" s="8">
        <v>5</v>
      </c>
      <c r="U1487" s="89">
        <v>140</v>
      </c>
      <c r="V1487" s="87">
        <v>0</v>
      </c>
      <c r="W1487">
        <v>1</v>
      </c>
      <c r="X1487" s="8">
        <v>1</v>
      </c>
      <c r="Y1487" s="8">
        <v>0</v>
      </c>
      <c r="Z1487" s="33">
        <v>0</v>
      </c>
      <c r="AA1487">
        <v>5</v>
      </c>
      <c r="AB1487" s="34">
        <v>5320</v>
      </c>
      <c r="AC1487" s="87">
        <f t="shared" si="2"/>
        <v>256</v>
      </c>
      <c r="AD1487" s="62">
        <v>0</v>
      </c>
      <c r="AE1487" s="62">
        <v>0</v>
      </c>
      <c r="AF1487" s="62">
        <v>1</v>
      </c>
      <c r="AI1487" s="64"/>
      <c r="AJ1487" s="63">
        <v>1101406</v>
      </c>
      <c r="AL1487" s="64">
        <v>1</v>
      </c>
      <c r="AM1487" s="4"/>
      <c r="AN1487" s="93"/>
      <c r="AO1487" s="92"/>
      <c r="AQ1487" t="s">
        <v>3913</v>
      </c>
      <c r="AS1487">
        <v>1</v>
      </c>
    </row>
    <row r="1488" spans="1:45">
      <c r="A1488">
        <v>1101406</v>
      </c>
      <c r="B1488" s="8">
        <v>1001</v>
      </c>
      <c r="C1488" s="8">
        <v>5</v>
      </c>
      <c r="D1488" s="8">
        <v>1003</v>
      </c>
      <c r="E1488" t="s">
        <v>3915</v>
      </c>
      <c r="F1488" s="13" t="s">
        <v>3903</v>
      </c>
      <c r="G1488" t="s">
        <v>3916</v>
      </c>
      <c r="H1488" t="s">
        <v>3912</v>
      </c>
      <c r="I1488">
        <v>1</v>
      </c>
      <c r="J1488">
        <v>3</v>
      </c>
      <c r="K1488" s="33">
        <v>4</v>
      </c>
      <c r="L1488" s="8">
        <v>99</v>
      </c>
      <c r="M1488" s="8">
        <v>0</v>
      </c>
      <c r="N1488" s="8"/>
      <c r="Q1488" t="s">
        <v>260</v>
      </c>
      <c r="S1488" s="89">
        <v>1</v>
      </c>
      <c r="T1488" s="8">
        <v>5</v>
      </c>
      <c r="U1488" s="89">
        <v>140</v>
      </c>
      <c r="V1488" s="87">
        <v>0</v>
      </c>
      <c r="W1488">
        <v>1</v>
      </c>
      <c r="X1488" s="8">
        <v>1</v>
      </c>
      <c r="Y1488" s="8">
        <v>0</v>
      </c>
      <c r="Z1488" s="33">
        <v>0</v>
      </c>
      <c r="AA1488">
        <v>5</v>
      </c>
      <c r="AB1488" s="34">
        <v>5320</v>
      </c>
      <c r="AC1488" s="87">
        <f t="shared" si="2"/>
        <v>255</v>
      </c>
      <c r="AD1488" s="62">
        <v>0</v>
      </c>
      <c r="AE1488" s="62">
        <v>0</v>
      </c>
      <c r="AF1488" s="62">
        <v>1</v>
      </c>
      <c r="AI1488" s="64"/>
      <c r="AJ1488" s="63">
        <v>1101407</v>
      </c>
      <c r="AL1488" s="64">
        <v>1</v>
      </c>
      <c r="AM1488" s="4"/>
      <c r="AN1488" s="93"/>
      <c r="AO1488" s="92"/>
      <c r="AQ1488" t="s">
        <v>3915</v>
      </c>
      <c r="AS1488">
        <v>1</v>
      </c>
    </row>
    <row r="1489" spans="1:45">
      <c r="A1489">
        <v>1101407</v>
      </c>
      <c r="B1489" s="8">
        <v>1001</v>
      </c>
      <c r="C1489" s="8">
        <v>5</v>
      </c>
      <c r="D1489" s="8">
        <v>1003</v>
      </c>
      <c r="E1489" t="s">
        <v>3917</v>
      </c>
      <c r="F1489" s="13" t="s">
        <v>3903</v>
      </c>
      <c r="G1489" t="s">
        <v>3918</v>
      </c>
      <c r="H1489" t="s">
        <v>3919</v>
      </c>
      <c r="I1489">
        <v>1</v>
      </c>
      <c r="J1489">
        <v>4</v>
      </c>
      <c r="K1489" s="33">
        <v>4</v>
      </c>
      <c r="L1489" s="8">
        <v>99</v>
      </c>
      <c r="M1489" s="8">
        <v>0</v>
      </c>
      <c r="N1489" s="8"/>
      <c r="S1489" s="89">
        <v>1</v>
      </c>
      <c r="T1489" s="8">
        <v>5</v>
      </c>
      <c r="U1489" s="89">
        <v>170</v>
      </c>
      <c r="V1489" s="87">
        <v>0</v>
      </c>
      <c r="W1489">
        <v>1</v>
      </c>
      <c r="X1489" s="8">
        <v>1</v>
      </c>
      <c r="Y1489" s="8">
        <v>0</v>
      </c>
      <c r="Z1489" s="33">
        <v>0</v>
      </c>
      <c r="AA1489">
        <v>5</v>
      </c>
      <c r="AB1489" s="34">
        <v>6460</v>
      </c>
      <c r="AC1489" s="87">
        <f t="shared" si="2"/>
        <v>254</v>
      </c>
      <c r="AD1489" s="62">
        <v>0</v>
      </c>
      <c r="AE1489" s="62">
        <v>0</v>
      </c>
      <c r="AF1489" s="62">
        <v>1</v>
      </c>
      <c r="AI1489" s="64"/>
      <c r="AJ1489" s="63">
        <v>1101408</v>
      </c>
      <c r="AL1489" s="64">
        <v>1</v>
      </c>
      <c r="AM1489" s="4"/>
      <c r="AN1489" s="93"/>
      <c r="AO1489" s="92"/>
      <c r="AQ1489" t="s">
        <v>3917</v>
      </c>
      <c r="AS1489">
        <v>1</v>
      </c>
    </row>
    <row r="1490" spans="1:45">
      <c r="A1490">
        <v>1101408</v>
      </c>
      <c r="B1490" s="8">
        <v>1001</v>
      </c>
      <c r="C1490" s="8">
        <v>5</v>
      </c>
      <c r="D1490" s="8">
        <v>1003</v>
      </c>
      <c r="E1490" t="s">
        <v>3920</v>
      </c>
      <c r="F1490" s="13" t="s">
        <v>3903</v>
      </c>
      <c r="G1490" t="s">
        <v>3921</v>
      </c>
      <c r="H1490" t="s">
        <v>3919</v>
      </c>
      <c r="I1490">
        <v>1</v>
      </c>
      <c r="J1490">
        <v>4</v>
      </c>
      <c r="K1490" s="33">
        <v>4</v>
      </c>
      <c r="L1490" s="8">
        <v>99</v>
      </c>
      <c r="M1490" s="8">
        <v>0</v>
      </c>
      <c r="N1490" s="8"/>
      <c r="S1490" s="89">
        <v>1</v>
      </c>
      <c r="T1490" s="8">
        <v>5</v>
      </c>
      <c r="U1490" s="89">
        <v>170</v>
      </c>
      <c r="V1490" s="87">
        <v>0</v>
      </c>
      <c r="W1490">
        <v>1</v>
      </c>
      <c r="X1490" s="8">
        <v>1</v>
      </c>
      <c r="Y1490" s="8">
        <v>0</v>
      </c>
      <c r="Z1490" s="33">
        <v>0</v>
      </c>
      <c r="AA1490">
        <v>5</v>
      </c>
      <c r="AB1490" s="34">
        <v>6460</v>
      </c>
      <c r="AC1490" s="87">
        <f t="shared" si="2"/>
        <v>253</v>
      </c>
      <c r="AD1490" s="62">
        <v>0</v>
      </c>
      <c r="AE1490" s="62">
        <v>0</v>
      </c>
      <c r="AF1490" s="62">
        <v>1</v>
      </c>
      <c r="AI1490" s="64"/>
      <c r="AJ1490" s="63">
        <v>1101409</v>
      </c>
      <c r="AL1490" s="64">
        <v>1</v>
      </c>
      <c r="AM1490" s="4"/>
      <c r="AN1490" s="93"/>
      <c r="AO1490" s="92"/>
      <c r="AQ1490" t="s">
        <v>3920</v>
      </c>
      <c r="AS1490">
        <v>1</v>
      </c>
    </row>
    <row r="1491" spans="1:45">
      <c r="A1491">
        <v>1101409</v>
      </c>
      <c r="B1491" s="8">
        <v>1001</v>
      </c>
      <c r="C1491" s="8">
        <v>5</v>
      </c>
      <c r="D1491" s="8">
        <v>1003</v>
      </c>
      <c r="E1491" t="s">
        <v>3922</v>
      </c>
      <c r="F1491" s="13" t="s">
        <v>3903</v>
      </c>
      <c r="G1491" t="s">
        <v>3923</v>
      </c>
      <c r="H1491" t="s">
        <v>3919</v>
      </c>
      <c r="I1491">
        <v>1</v>
      </c>
      <c r="J1491">
        <v>5</v>
      </c>
      <c r="K1491" s="33">
        <v>4</v>
      </c>
      <c r="L1491" s="8">
        <v>99</v>
      </c>
      <c r="M1491" s="8">
        <v>0</v>
      </c>
      <c r="N1491" s="8"/>
      <c r="S1491" s="89">
        <v>1</v>
      </c>
      <c r="T1491" s="8">
        <v>5</v>
      </c>
      <c r="U1491" s="89">
        <v>200</v>
      </c>
      <c r="V1491" s="87">
        <v>0</v>
      </c>
      <c r="W1491">
        <v>1</v>
      </c>
      <c r="X1491" s="8">
        <v>1</v>
      </c>
      <c r="Y1491" s="8">
        <v>0</v>
      </c>
      <c r="Z1491" s="33">
        <v>0</v>
      </c>
      <c r="AA1491">
        <v>5</v>
      </c>
      <c r="AB1491" s="34">
        <v>7600</v>
      </c>
      <c r="AC1491" s="87">
        <f t="shared" si="2"/>
        <v>252</v>
      </c>
      <c r="AD1491" s="62">
        <v>0</v>
      </c>
      <c r="AE1491" s="62">
        <v>0</v>
      </c>
      <c r="AF1491" s="62">
        <v>1</v>
      </c>
      <c r="AI1491" s="64"/>
      <c r="AJ1491" s="63">
        <v>1101410</v>
      </c>
      <c r="AL1491" s="64">
        <v>1</v>
      </c>
      <c r="AM1491" s="4"/>
      <c r="AN1491" s="93"/>
      <c r="AO1491" s="92"/>
      <c r="AQ1491" t="s">
        <v>3922</v>
      </c>
      <c r="AS1491">
        <v>1</v>
      </c>
    </row>
    <row r="1492" spans="1:45">
      <c r="A1492">
        <v>1101410</v>
      </c>
      <c r="B1492" s="8">
        <v>1001</v>
      </c>
      <c r="C1492" s="8">
        <v>5</v>
      </c>
      <c r="D1492" s="8">
        <v>1003</v>
      </c>
      <c r="E1492" t="s">
        <v>3924</v>
      </c>
      <c r="F1492" s="13" t="s">
        <v>3903</v>
      </c>
      <c r="G1492" t="s">
        <v>3925</v>
      </c>
      <c r="H1492" t="s">
        <v>3926</v>
      </c>
      <c r="I1492">
        <v>1</v>
      </c>
      <c r="J1492">
        <v>5</v>
      </c>
      <c r="K1492" s="33">
        <v>1</v>
      </c>
      <c r="L1492" s="8">
        <v>99</v>
      </c>
      <c r="M1492" s="8">
        <v>0</v>
      </c>
      <c r="N1492" s="8"/>
      <c r="Q1492"/>
      <c r="S1492" s="89">
        <v>1</v>
      </c>
      <c r="T1492" s="8">
        <v>5</v>
      </c>
      <c r="U1492" s="89">
        <v>200</v>
      </c>
      <c r="V1492" s="87">
        <v>0</v>
      </c>
      <c r="W1492">
        <v>1</v>
      </c>
      <c r="X1492" s="8">
        <v>1</v>
      </c>
      <c r="Y1492" s="8">
        <v>0</v>
      </c>
      <c r="Z1492" s="33">
        <v>0</v>
      </c>
      <c r="AA1492">
        <v>5</v>
      </c>
      <c r="AB1492" s="34">
        <v>7600</v>
      </c>
      <c r="AC1492" s="87">
        <f t="shared" si="2"/>
        <v>251</v>
      </c>
      <c r="AD1492" s="62">
        <v>0</v>
      </c>
      <c r="AE1492" s="62">
        <v>0</v>
      </c>
      <c r="AF1492" s="62">
        <v>1</v>
      </c>
      <c r="AI1492" s="64"/>
      <c r="AL1492" s="64">
        <v>1</v>
      </c>
      <c r="AM1492" s="4"/>
      <c r="AN1492" s="93"/>
      <c r="AO1492" s="92"/>
      <c r="AQ1492" t="s">
        <v>3924</v>
      </c>
      <c r="AS1492">
        <v>1</v>
      </c>
    </row>
    <row r="1493" spans="1:45">
      <c r="A1493">
        <v>1101501</v>
      </c>
      <c r="B1493" s="8">
        <v>1001</v>
      </c>
      <c r="C1493" s="8">
        <v>5</v>
      </c>
      <c r="D1493" s="8">
        <v>1003</v>
      </c>
      <c r="E1493" t="s">
        <v>3927</v>
      </c>
      <c r="F1493" s="13" t="s">
        <v>3928</v>
      </c>
      <c r="G1493" t="s">
        <v>3929</v>
      </c>
      <c r="H1493" t="s">
        <v>3930</v>
      </c>
      <c r="I1493">
        <v>1</v>
      </c>
      <c r="J1493">
        <v>1</v>
      </c>
      <c r="K1493" s="33">
        <v>4</v>
      </c>
      <c r="L1493" s="8">
        <v>99</v>
      </c>
      <c r="M1493" s="8">
        <v>0</v>
      </c>
      <c r="N1493" s="8"/>
      <c r="Q1493" t="s">
        <v>260</v>
      </c>
      <c r="S1493" s="89">
        <v>1</v>
      </c>
      <c r="T1493" s="8">
        <v>5</v>
      </c>
      <c r="U1493" s="89">
        <v>80</v>
      </c>
      <c r="V1493" s="87">
        <v>0</v>
      </c>
      <c r="W1493">
        <v>1</v>
      </c>
      <c r="X1493" s="8">
        <v>1</v>
      </c>
      <c r="Y1493" s="8">
        <v>0</v>
      </c>
      <c r="Z1493" s="33">
        <v>0</v>
      </c>
      <c r="AA1493">
        <v>5</v>
      </c>
      <c r="AB1493" s="34">
        <v>3040</v>
      </c>
      <c r="AC1493" s="87">
        <f t="shared" si="2"/>
        <v>251</v>
      </c>
      <c r="AD1493" s="62">
        <v>0</v>
      </c>
      <c r="AE1493" s="62">
        <v>0</v>
      </c>
      <c r="AF1493" s="62">
        <v>1</v>
      </c>
      <c r="AI1493" s="64"/>
      <c r="AJ1493" s="63">
        <v>1101502</v>
      </c>
      <c r="AL1493" s="64">
        <v>1</v>
      </c>
      <c r="AM1493" s="4"/>
      <c r="AN1493" s="93" t="s">
        <v>3535</v>
      </c>
      <c r="AO1493" s="92"/>
      <c r="AQ1493" t="s">
        <v>3927</v>
      </c>
      <c r="AS1493">
        <v>1</v>
      </c>
    </row>
    <row r="1494" spans="1:45">
      <c r="A1494">
        <v>1101502</v>
      </c>
      <c r="B1494" s="8">
        <v>1001</v>
      </c>
      <c r="C1494" s="8">
        <v>5</v>
      </c>
      <c r="D1494" s="8">
        <v>1003</v>
      </c>
      <c r="E1494" t="s">
        <v>3931</v>
      </c>
      <c r="F1494" s="13" t="s">
        <v>3928</v>
      </c>
      <c r="G1494" t="s">
        <v>3932</v>
      </c>
      <c r="H1494" t="s">
        <v>3930</v>
      </c>
      <c r="I1494">
        <v>1</v>
      </c>
      <c r="J1494">
        <v>1</v>
      </c>
      <c r="K1494" s="33">
        <v>4</v>
      </c>
      <c r="L1494" s="8">
        <v>99</v>
      </c>
      <c r="M1494" s="8">
        <v>0</v>
      </c>
      <c r="N1494" s="8"/>
      <c r="Q1494" t="s">
        <v>260</v>
      </c>
      <c r="S1494" s="89">
        <v>1</v>
      </c>
      <c r="T1494" s="8">
        <v>5</v>
      </c>
      <c r="U1494" s="89">
        <v>80</v>
      </c>
      <c r="V1494" s="87">
        <v>0</v>
      </c>
      <c r="W1494">
        <v>1</v>
      </c>
      <c r="X1494" s="8">
        <v>1</v>
      </c>
      <c r="Y1494" s="8">
        <v>0</v>
      </c>
      <c r="Z1494" s="33">
        <v>0</v>
      </c>
      <c r="AA1494">
        <v>5</v>
      </c>
      <c r="AB1494" s="34">
        <v>3040</v>
      </c>
      <c r="AC1494" s="87">
        <f t="shared" si="2"/>
        <v>251</v>
      </c>
      <c r="AD1494" s="62">
        <v>0</v>
      </c>
      <c r="AE1494" s="62">
        <v>0</v>
      </c>
      <c r="AF1494" s="62">
        <v>1</v>
      </c>
      <c r="AI1494" s="64"/>
      <c r="AJ1494" s="63">
        <v>1101503</v>
      </c>
      <c r="AL1494" s="64">
        <v>1</v>
      </c>
      <c r="AM1494" s="4"/>
      <c r="AN1494" s="93"/>
      <c r="AO1494" s="92"/>
      <c r="AQ1494" t="s">
        <v>3931</v>
      </c>
      <c r="AS1494">
        <v>1</v>
      </c>
    </row>
    <row r="1495" spans="1:45">
      <c r="A1495">
        <v>1101503</v>
      </c>
      <c r="B1495" s="8">
        <v>1001</v>
      </c>
      <c r="C1495" s="8">
        <v>5</v>
      </c>
      <c r="D1495" s="8">
        <v>1003</v>
      </c>
      <c r="E1495" t="s">
        <v>3933</v>
      </c>
      <c r="F1495" s="13" t="s">
        <v>3928</v>
      </c>
      <c r="G1495" t="s">
        <v>3934</v>
      </c>
      <c r="H1495" t="s">
        <v>3930</v>
      </c>
      <c r="I1495">
        <v>1</v>
      </c>
      <c r="J1495">
        <v>2</v>
      </c>
      <c r="K1495" s="33">
        <v>4</v>
      </c>
      <c r="L1495" s="8">
        <v>99</v>
      </c>
      <c r="M1495" s="8">
        <v>0</v>
      </c>
      <c r="N1495" s="8"/>
      <c r="Q1495" t="s">
        <v>260</v>
      </c>
      <c r="S1495" s="89">
        <v>1</v>
      </c>
      <c r="T1495" s="8">
        <v>5</v>
      </c>
      <c r="U1495" s="89">
        <v>110</v>
      </c>
      <c r="V1495" s="87">
        <v>0</v>
      </c>
      <c r="W1495">
        <v>1</v>
      </c>
      <c r="X1495" s="8">
        <v>1</v>
      </c>
      <c r="Y1495" s="8">
        <v>0</v>
      </c>
      <c r="Z1495" s="33">
        <v>0</v>
      </c>
      <c r="AA1495">
        <v>5</v>
      </c>
      <c r="AB1495" s="34">
        <v>4180</v>
      </c>
      <c r="AC1495" s="87">
        <f t="shared" si="2"/>
        <v>551</v>
      </c>
      <c r="AD1495" s="62">
        <v>0</v>
      </c>
      <c r="AE1495" s="62">
        <v>0</v>
      </c>
      <c r="AF1495" s="62">
        <v>1</v>
      </c>
      <c r="AI1495" s="64"/>
      <c r="AJ1495" s="63">
        <v>1101504</v>
      </c>
      <c r="AL1495" s="64">
        <v>1</v>
      </c>
      <c r="AM1495" s="4"/>
      <c r="AN1495" s="93"/>
      <c r="AO1495" s="92"/>
      <c r="AQ1495" t="s">
        <v>3933</v>
      </c>
      <c r="AS1495">
        <v>1</v>
      </c>
    </row>
    <row r="1496" spans="1:45">
      <c r="A1496">
        <v>1101504</v>
      </c>
      <c r="B1496" s="8">
        <v>1001</v>
      </c>
      <c r="C1496" s="8">
        <v>5</v>
      </c>
      <c r="D1496" s="8">
        <v>1003</v>
      </c>
      <c r="E1496" t="s">
        <v>3935</v>
      </c>
      <c r="F1496" s="13" t="s">
        <v>3928</v>
      </c>
      <c r="G1496" t="s">
        <v>3936</v>
      </c>
      <c r="H1496" t="s">
        <v>3937</v>
      </c>
      <c r="I1496">
        <v>1</v>
      </c>
      <c r="J1496">
        <v>2</v>
      </c>
      <c r="K1496" s="33">
        <v>4</v>
      </c>
      <c r="L1496" s="8">
        <v>99</v>
      </c>
      <c r="M1496" s="8">
        <v>0</v>
      </c>
      <c r="N1496" s="8"/>
      <c r="Q1496" t="s">
        <v>260</v>
      </c>
      <c r="S1496" s="89">
        <v>1</v>
      </c>
      <c r="T1496" s="8">
        <v>5</v>
      </c>
      <c r="U1496" s="89">
        <v>110</v>
      </c>
      <c r="V1496" s="87">
        <v>0</v>
      </c>
      <c r="W1496">
        <v>1</v>
      </c>
      <c r="X1496" s="8">
        <v>1</v>
      </c>
      <c r="Y1496" s="8">
        <v>0</v>
      </c>
      <c r="Z1496" s="33">
        <v>0</v>
      </c>
      <c r="AA1496">
        <v>5</v>
      </c>
      <c r="AB1496" s="34">
        <v>4180</v>
      </c>
      <c r="AC1496" s="87">
        <f t="shared" si="2"/>
        <v>270</v>
      </c>
      <c r="AD1496" s="62">
        <v>0</v>
      </c>
      <c r="AE1496" s="62">
        <v>0</v>
      </c>
      <c r="AF1496" s="62">
        <v>1</v>
      </c>
      <c r="AI1496" s="64"/>
      <c r="AJ1496" s="63">
        <v>1101505</v>
      </c>
      <c r="AL1496" s="64">
        <v>1</v>
      </c>
      <c r="AM1496" s="4"/>
      <c r="AN1496" s="93"/>
      <c r="AO1496" s="92"/>
      <c r="AQ1496" t="s">
        <v>3935</v>
      </c>
      <c r="AS1496">
        <v>1</v>
      </c>
    </row>
    <row r="1497" spans="1:45">
      <c r="A1497">
        <v>1101505</v>
      </c>
      <c r="B1497" s="8">
        <v>1001</v>
      </c>
      <c r="C1497" s="8">
        <v>5</v>
      </c>
      <c r="D1497" s="8">
        <v>1003</v>
      </c>
      <c r="E1497" t="s">
        <v>3938</v>
      </c>
      <c r="F1497" s="13" t="s">
        <v>3928</v>
      </c>
      <c r="G1497" t="s">
        <v>3939</v>
      </c>
      <c r="H1497" t="s">
        <v>3937</v>
      </c>
      <c r="I1497">
        <v>1</v>
      </c>
      <c r="J1497">
        <v>3</v>
      </c>
      <c r="K1497" s="33">
        <v>4</v>
      </c>
      <c r="L1497" s="8">
        <v>99</v>
      </c>
      <c r="M1497" s="8">
        <v>0</v>
      </c>
      <c r="N1497" s="8"/>
      <c r="Q1497" t="s">
        <v>260</v>
      </c>
      <c r="S1497" s="89">
        <v>1</v>
      </c>
      <c r="T1497" s="8">
        <v>5</v>
      </c>
      <c r="U1497" s="89">
        <v>140</v>
      </c>
      <c r="V1497" s="87">
        <v>0</v>
      </c>
      <c r="W1497">
        <v>1</v>
      </c>
      <c r="X1497" s="8">
        <v>1</v>
      </c>
      <c r="Y1497" s="8">
        <v>0</v>
      </c>
      <c r="Z1497" s="33">
        <v>0</v>
      </c>
      <c r="AA1497">
        <v>5</v>
      </c>
      <c r="AB1497" s="34">
        <v>5320</v>
      </c>
      <c r="AC1497" s="87">
        <f t="shared" si="2"/>
        <v>267</v>
      </c>
      <c r="AD1497" s="62">
        <v>0</v>
      </c>
      <c r="AE1497" s="62">
        <v>0</v>
      </c>
      <c r="AF1497" s="62">
        <v>1</v>
      </c>
      <c r="AI1497" s="64"/>
      <c r="AJ1497" s="63">
        <v>1101506</v>
      </c>
      <c r="AL1497" s="64">
        <v>1</v>
      </c>
      <c r="AM1497" s="4"/>
      <c r="AN1497" s="93"/>
      <c r="AO1497" s="92"/>
      <c r="AQ1497" t="s">
        <v>3938</v>
      </c>
      <c r="AS1497">
        <v>1</v>
      </c>
    </row>
    <row r="1498" spans="1:45">
      <c r="A1498">
        <v>1101506</v>
      </c>
      <c r="B1498" s="8">
        <v>1001</v>
      </c>
      <c r="C1498" s="8">
        <v>5</v>
      </c>
      <c r="D1498" s="8">
        <v>1003</v>
      </c>
      <c r="E1498" t="s">
        <v>3940</v>
      </c>
      <c r="F1498" s="13" t="s">
        <v>3928</v>
      </c>
      <c r="G1498" t="s">
        <v>3941</v>
      </c>
      <c r="H1498" t="s">
        <v>3937</v>
      </c>
      <c r="I1498">
        <v>1</v>
      </c>
      <c r="J1498">
        <v>3</v>
      </c>
      <c r="K1498" s="33">
        <v>4</v>
      </c>
      <c r="L1498" s="8">
        <v>99</v>
      </c>
      <c r="M1498" s="8">
        <v>0</v>
      </c>
      <c r="N1498" s="8"/>
      <c r="Q1498" t="s">
        <v>260</v>
      </c>
      <c r="S1498" s="89">
        <v>1</v>
      </c>
      <c r="T1498" s="8">
        <v>5</v>
      </c>
      <c r="U1498" s="89">
        <v>140</v>
      </c>
      <c r="V1498" s="87">
        <v>0</v>
      </c>
      <c r="W1498">
        <v>1</v>
      </c>
      <c r="X1498" s="8">
        <v>1</v>
      </c>
      <c r="Y1498" s="8">
        <v>0</v>
      </c>
      <c r="Z1498" s="33">
        <v>0</v>
      </c>
      <c r="AA1498">
        <v>5</v>
      </c>
      <c r="AB1498" s="34">
        <v>5320</v>
      </c>
      <c r="AC1498" s="87">
        <f t="shared" si="2"/>
        <v>266</v>
      </c>
      <c r="AD1498" s="62">
        <v>0</v>
      </c>
      <c r="AE1498" s="62">
        <v>0</v>
      </c>
      <c r="AF1498" s="62">
        <v>1</v>
      </c>
      <c r="AI1498" s="64"/>
      <c r="AJ1498" s="63">
        <v>1101507</v>
      </c>
      <c r="AL1498" s="64">
        <v>1</v>
      </c>
      <c r="AM1498" s="4"/>
      <c r="AN1498" s="93"/>
      <c r="AO1498" s="92"/>
      <c r="AQ1498" t="s">
        <v>3940</v>
      </c>
      <c r="AS1498">
        <v>1</v>
      </c>
    </row>
    <row r="1499" spans="1:45">
      <c r="A1499">
        <v>1101507</v>
      </c>
      <c r="B1499" s="8">
        <v>1001</v>
      </c>
      <c r="C1499" s="8">
        <v>5</v>
      </c>
      <c r="D1499" s="8">
        <v>1003</v>
      </c>
      <c r="E1499" t="s">
        <v>3942</v>
      </c>
      <c r="F1499" s="13" t="s">
        <v>3928</v>
      </c>
      <c r="G1499" t="s">
        <v>3943</v>
      </c>
      <c r="H1499" t="s">
        <v>3944</v>
      </c>
      <c r="I1499">
        <v>1</v>
      </c>
      <c r="J1499">
        <v>4</v>
      </c>
      <c r="K1499" s="33">
        <v>4</v>
      </c>
      <c r="L1499" s="8">
        <v>99</v>
      </c>
      <c r="M1499" s="8">
        <v>0</v>
      </c>
      <c r="N1499" s="8"/>
      <c r="S1499" s="89">
        <v>1</v>
      </c>
      <c r="T1499" s="8">
        <v>5</v>
      </c>
      <c r="U1499" s="89">
        <v>170</v>
      </c>
      <c r="V1499" s="87">
        <v>0</v>
      </c>
      <c r="W1499">
        <v>1</v>
      </c>
      <c r="X1499" s="8">
        <v>1</v>
      </c>
      <c r="Y1499" s="8">
        <v>0</v>
      </c>
      <c r="Z1499" s="33">
        <v>0</v>
      </c>
      <c r="AA1499">
        <v>5</v>
      </c>
      <c r="AB1499" s="34">
        <v>6460</v>
      </c>
      <c r="AC1499" s="87">
        <f t="shared" si="2"/>
        <v>265</v>
      </c>
      <c r="AD1499" s="62">
        <v>0</v>
      </c>
      <c r="AE1499" s="62">
        <v>0</v>
      </c>
      <c r="AF1499" s="62">
        <v>1</v>
      </c>
      <c r="AI1499" s="64"/>
      <c r="AJ1499" s="63">
        <v>1101508</v>
      </c>
      <c r="AL1499" s="64">
        <v>1</v>
      </c>
      <c r="AM1499" s="4"/>
      <c r="AN1499" s="93"/>
      <c r="AO1499" s="92"/>
      <c r="AQ1499" t="s">
        <v>3942</v>
      </c>
      <c r="AS1499">
        <v>1</v>
      </c>
    </row>
    <row r="1500" spans="1:45">
      <c r="A1500">
        <v>1101508</v>
      </c>
      <c r="B1500" s="8">
        <v>1001</v>
      </c>
      <c r="C1500" s="8">
        <v>5</v>
      </c>
      <c r="D1500" s="8">
        <v>1003</v>
      </c>
      <c r="E1500" t="s">
        <v>3945</v>
      </c>
      <c r="F1500" s="13" t="s">
        <v>3928</v>
      </c>
      <c r="G1500" t="s">
        <v>3946</v>
      </c>
      <c r="H1500" t="s">
        <v>3944</v>
      </c>
      <c r="I1500">
        <v>1</v>
      </c>
      <c r="J1500">
        <v>4</v>
      </c>
      <c r="K1500" s="33">
        <v>4</v>
      </c>
      <c r="L1500" s="8">
        <v>99</v>
      </c>
      <c r="M1500" s="8">
        <v>0</v>
      </c>
      <c r="N1500" s="8"/>
      <c r="S1500" s="89">
        <v>1</v>
      </c>
      <c r="T1500" s="8">
        <v>5</v>
      </c>
      <c r="U1500" s="89">
        <v>170</v>
      </c>
      <c r="V1500" s="87">
        <v>0</v>
      </c>
      <c r="W1500">
        <v>1</v>
      </c>
      <c r="X1500" s="8">
        <v>1</v>
      </c>
      <c r="Y1500" s="8">
        <v>0</v>
      </c>
      <c r="Z1500" s="33">
        <v>0</v>
      </c>
      <c r="AA1500">
        <v>5</v>
      </c>
      <c r="AB1500" s="34">
        <v>6460</v>
      </c>
      <c r="AC1500" s="87">
        <f t="shared" si="2"/>
        <v>264</v>
      </c>
      <c r="AD1500" s="62">
        <v>0</v>
      </c>
      <c r="AE1500" s="62">
        <v>0</v>
      </c>
      <c r="AF1500" s="62">
        <v>1</v>
      </c>
      <c r="AI1500" s="64"/>
      <c r="AJ1500" s="63">
        <v>1101509</v>
      </c>
      <c r="AL1500" s="64">
        <v>1</v>
      </c>
      <c r="AM1500" s="4"/>
      <c r="AN1500" s="93"/>
      <c r="AO1500" s="92"/>
      <c r="AQ1500" t="s">
        <v>3945</v>
      </c>
      <c r="AS1500">
        <v>1</v>
      </c>
    </row>
    <row r="1501" spans="1:45">
      <c r="A1501">
        <v>1101509</v>
      </c>
      <c r="B1501" s="8">
        <v>1001</v>
      </c>
      <c r="C1501" s="8">
        <v>5</v>
      </c>
      <c r="D1501" s="8">
        <v>1003</v>
      </c>
      <c r="E1501" t="s">
        <v>3947</v>
      </c>
      <c r="F1501" s="13" t="s">
        <v>3928</v>
      </c>
      <c r="G1501" t="s">
        <v>3948</v>
      </c>
      <c r="H1501" t="s">
        <v>3944</v>
      </c>
      <c r="I1501">
        <v>1</v>
      </c>
      <c r="J1501">
        <v>5</v>
      </c>
      <c r="K1501" s="33">
        <v>4</v>
      </c>
      <c r="L1501" s="8">
        <v>99</v>
      </c>
      <c r="M1501" s="8">
        <v>0</v>
      </c>
      <c r="N1501" s="8"/>
      <c r="S1501" s="89">
        <v>1</v>
      </c>
      <c r="T1501" s="8">
        <v>5</v>
      </c>
      <c r="U1501" s="89">
        <v>200</v>
      </c>
      <c r="V1501" s="87">
        <v>0</v>
      </c>
      <c r="W1501">
        <v>1</v>
      </c>
      <c r="X1501" s="8">
        <v>1</v>
      </c>
      <c r="Y1501" s="8">
        <v>0</v>
      </c>
      <c r="Z1501" s="33">
        <v>0</v>
      </c>
      <c r="AA1501">
        <v>5</v>
      </c>
      <c r="AB1501" s="34">
        <v>7600</v>
      </c>
      <c r="AC1501" s="87">
        <f t="shared" si="2"/>
        <v>263</v>
      </c>
      <c r="AD1501" s="62">
        <v>0</v>
      </c>
      <c r="AE1501" s="62">
        <v>0</v>
      </c>
      <c r="AF1501" s="62">
        <v>1</v>
      </c>
      <c r="AI1501" s="64"/>
      <c r="AJ1501" s="63">
        <v>1101510</v>
      </c>
      <c r="AL1501" s="64">
        <v>1</v>
      </c>
      <c r="AM1501" s="4"/>
      <c r="AN1501" s="93"/>
      <c r="AO1501" s="92"/>
      <c r="AQ1501" t="s">
        <v>3947</v>
      </c>
      <c r="AS1501">
        <v>1</v>
      </c>
    </row>
    <row r="1502" spans="1:45">
      <c r="A1502">
        <v>1101510</v>
      </c>
      <c r="B1502" s="8">
        <v>1001</v>
      </c>
      <c r="C1502" s="8">
        <v>5</v>
      </c>
      <c r="D1502" s="8">
        <v>1003</v>
      </c>
      <c r="E1502" t="s">
        <v>3949</v>
      </c>
      <c r="F1502" s="13" t="s">
        <v>3928</v>
      </c>
      <c r="G1502" t="s">
        <v>3950</v>
      </c>
      <c r="H1502" t="s">
        <v>3951</v>
      </c>
      <c r="I1502">
        <v>1</v>
      </c>
      <c r="J1502">
        <v>5</v>
      </c>
      <c r="K1502" s="33">
        <v>1</v>
      </c>
      <c r="L1502" s="8">
        <v>99</v>
      </c>
      <c r="M1502" s="8">
        <v>0</v>
      </c>
      <c r="N1502" s="8"/>
      <c r="Q1502"/>
      <c r="S1502" s="89">
        <v>1</v>
      </c>
      <c r="T1502" s="8">
        <v>5</v>
      </c>
      <c r="U1502" s="89">
        <v>200</v>
      </c>
      <c r="V1502" s="87">
        <v>0</v>
      </c>
      <c r="W1502">
        <v>1</v>
      </c>
      <c r="X1502" s="8">
        <v>1</v>
      </c>
      <c r="Y1502" s="8">
        <v>0</v>
      </c>
      <c r="Z1502" s="33">
        <v>0</v>
      </c>
      <c r="AA1502">
        <v>5</v>
      </c>
      <c r="AB1502" s="34">
        <v>7600</v>
      </c>
      <c r="AC1502" s="87">
        <f t="shared" si="2"/>
        <v>262</v>
      </c>
      <c r="AD1502" s="62">
        <v>0</v>
      </c>
      <c r="AE1502" s="62">
        <v>0</v>
      </c>
      <c r="AF1502" s="62">
        <v>1</v>
      </c>
      <c r="AI1502" s="64"/>
      <c r="AL1502" s="64">
        <v>1</v>
      </c>
      <c r="AM1502" s="4"/>
      <c r="AN1502" s="93"/>
      <c r="AO1502" s="92"/>
      <c r="AQ1502" t="s">
        <v>3949</v>
      </c>
      <c r="AS1502">
        <v>1</v>
      </c>
    </row>
    <row r="1503" spans="1:45">
      <c r="A1503">
        <v>1101601</v>
      </c>
      <c r="B1503" s="8">
        <v>1001</v>
      </c>
      <c r="C1503" s="8">
        <v>5</v>
      </c>
      <c r="D1503" s="8">
        <v>1003</v>
      </c>
      <c r="E1503" t="s">
        <v>3952</v>
      </c>
      <c r="F1503" s="13" t="s">
        <v>3953</v>
      </c>
      <c r="G1503" t="s">
        <v>3954</v>
      </c>
      <c r="H1503" t="s">
        <v>3955</v>
      </c>
      <c r="I1503">
        <v>1</v>
      </c>
      <c r="J1503">
        <v>1</v>
      </c>
      <c r="K1503" s="33">
        <v>4</v>
      </c>
      <c r="L1503" s="8">
        <v>99</v>
      </c>
      <c r="M1503" s="8">
        <v>0</v>
      </c>
      <c r="N1503" s="8"/>
      <c r="Q1503" t="s">
        <v>260</v>
      </c>
      <c r="S1503" s="89">
        <v>1</v>
      </c>
      <c r="T1503" s="8">
        <v>5</v>
      </c>
      <c r="U1503" s="89">
        <v>80</v>
      </c>
      <c r="V1503" s="87">
        <v>0</v>
      </c>
      <c r="W1503">
        <v>1</v>
      </c>
      <c r="X1503" s="8">
        <v>1</v>
      </c>
      <c r="Y1503" s="8">
        <v>0</v>
      </c>
      <c r="Z1503" s="33">
        <v>0</v>
      </c>
      <c r="AA1503">
        <v>5</v>
      </c>
      <c r="AB1503" s="34">
        <v>3040</v>
      </c>
      <c r="AC1503" s="87">
        <f t="shared" si="2"/>
        <v>261</v>
      </c>
      <c r="AD1503" s="62">
        <v>0</v>
      </c>
      <c r="AE1503" s="62">
        <v>0</v>
      </c>
      <c r="AF1503" s="62">
        <v>1</v>
      </c>
      <c r="AI1503" s="64"/>
      <c r="AJ1503" s="63">
        <v>1101602</v>
      </c>
      <c r="AL1503" s="64">
        <v>1</v>
      </c>
      <c r="AM1503" s="4"/>
      <c r="AN1503" s="93" t="s">
        <v>3535</v>
      </c>
      <c r="AO1503" s="92"/>
      <c r="AQ1503" t="s">
        <v>3952</v>
      </c>
      <c r="AS1503">
        <v>1</v>
      </c>
    </row>
    <row r="1504" spans="1:45">
      <c r="A1504">
        <v>1101602</v>
      </c>
      <c r="B1504" s="8">
        <v>1001</v>
      </c>
      <c r="C1504" s="8">
        <v>5</v>
      </c>
      <c r="D1504" s="8">
        <v>1003</v>
      </c>
      <c r="E1504" t="s">
        <v>3956</v>
      </c>
      <c r="F1504" s="13" t="s">
        <v>3953</v>
      </c>
      <c r="G1504" t="s">
        <v>3957</v>
      </c>
      <c r="H1504" t="s">
        <v>3955</v>
      </c>
      <c r="I1504">
        <v>1</v>
      </c>
      <c r="J1504">
        <v>1</v>
      </c>
      <c r="K1504" s="33">
        <v>4</v>
      </c>
      <c r="L1504" s="8">
        <v>99</v>
      </c>
      <c r="M1504" s="8">
        <v>0</v>
      </c>
      <c r="N1504" s="8"/>
      <c r="Q1504" t="s">
        <v>260</v>
      </c>
      <c r="S1504" s="89">
        <v>1</v>
      </c>
      <c r="T1504" s="8">
        <v>5</v>
      </c>
      <c r="U1504" s="89">
        <v>80</v>
      </c>
      <c r="V1504" s="87">
        <v>0</v>
      </c>
      <c r="W1504">
        <v>1</v>
      </c>
      <c r="X1504" s="8">
        <v>1</v>
      </c>
      <c r="Y1504" s="8">
        <v>0</v>
      </c>
      <c r="Z1504" s="33">
        <v>0</v>
      </c>
      <c r="AA1504">
        <v>5</v>
      </c>
      <c r="AB1504" s="34">
        <v>3040</v>
      </c>
      <c r="AC1504" s="87">
        <f t="shared" si="2"/>
        <v>261</v>
      </c>
      <c r="AD1504" s="62">
        <v>0</v>
      </c>
      <c r="AE1504" s="62">
        <v>0</v>
      </c>
      <c r="AF1504" s="62">
        <v>1</v>
      </c>
      <c r="AI1504" s="64"/>
      <c r="AJ1504" s="63">
        <v>1101603</v>
      </c>
      <c r="AL1504" s="64">
        <v>1</v>
      </c>
      <c r="AM1504" s="4"/>
      <c r="AN1504" s="93"/>
      <c r="AO1504" s="92"/>
      <c r="AQ1504" t="s">
        <v>3956</v>
      </c>
      <c r="AS1504">
        <v>1</v>
      </c>
    </row>
    <row r="1505" spans="1:45">
      <c r="A1505">
        <v>1101603</v>
      </c>
      <c r="B1505" s="8">
        <v>1001</v>
      </c>
      <c r="C1505" s="8">
        <v>5</v>
      </c>
      <c r="D1505" s="8">
        <v>1003</v>
      </c>
      <c r="E1505" t="s">
        <v>3958</v>
      </c>
      <c r="F1505" s="13" t="s">
        <v>3953</v>
      </c>
      <c r="G1505" t="s">
        <v>3959</v>
      </c>
      <c r="H1505" t="s">
        <v>3955</v>
      </c>
      <c r="I1505">
        <v>1</v>
      </c>
      <c r="J1505">
        <v>2</v>
      </c>
      <c r="K1505" s="33">
        <v>4</v>
      </c>
      <c r="L1505" s="8">
        <v>99</v>
      </c>
      <c r="M1505" s="8">
        <v>0</v>
      </c>
      <c r="N1505" s="8"/>
      <c r="Q1505" t="s">
        <v>260</v>
      </c>
      <c r="S1505" s="89">
        <v>1</v>
      </c>
      <c r="T1505" s="8">
        <v>5</v>
      </c>
      <c r="U1505" s="89">
        <v>110</v>
      </c>
      <c r="V1505" s="87">
        <v>0</v>
      </c>
      <c r="W1505">
        <v>1</v>
      </c>
      <c r="X1505" s="8">
        <v>1</v>
      </c>
      <c r="Y1505" s="8">
        <v>0</v>
      </c>
      <c r="Z1505" s="33">
        <v>0</v>
      </c>
      <c r="AA1505">
        <v>5</v>
      </c>
      <c r="AB1505" s="34">
        <v>4180</v>
      </c>
      <c r="AC1505" s="87">
        <f t="shared" si="2"/>
        <v>261</v>
      </c>
      <c r="AD1505" s="62">
        <v>0</v>
      </c>
      <c r="AE1505" s="62">
        <v>0</v>
      </c>
      <c r="AF1505" s="62">
        <v>1</v>
      </c>
      <c r="AI1505" s="64"/>
      <c r="AJ1505" s="63">
        <v>1101604</v>
      </c>
      <c r="AL1505" s="64">
        <v>1</v>
      </c>
      <c r="AM1505" s="4"/>
      <c r="AN1505" s="93"/>
      <c r="AO1505" s="92"/>
      <c r="AQ1505" t="s">
        <v>3958</v>
      </c>
      <c r="AS1505">
        <v>1</v>
      </c>
    </row>
    <row r="1506" spans="1:45">
      <c r="A1506">
        <v>1101604</v>
      </c>
      <c r="B1506" s="8">
        <v>1001</v>
      </c>
      <c r="C1506" s="8">
        <v>5</v>
      </c>
      <c r="D1506" s="8">
        <v>1003</v>
      </c>
      <c r="E1506" t="s">
        <v>3960</v>
      </c>
      <c r="F1506" s="13" t="s">
        <v>3953</v>
      </c>
      <c r="G1506" t="s">
        <v>3961</v>
      </c>
      <c r="H1506" t="s">
        <v>3962</v>
      </c>
      <c r="I1506">
        <v>1</v>
      </c>
      <c r="J1506">
        <v>2</v>
      </c>
      <c r="K1506" s="33">
        <v>4</v>
      </c>
      <c r="L1506" s="8">
        <v>99</v>
      </c>
      <c r="M1506" s="8">
        <v>0</v>
      </c>
      <c r="N1506" s="8"/>
      <c r="Q1506" t="s">
        <v>260</v>
      </c>
      <c r="S1506" s="89">
        <v>1</v>
      </c>
      <c r="T1506" s="8">
        <v>5</v>
      </c>
      <c r="U1506" s="89">
        <v>110</v>
      </c>
      <c r="V1506" s="87">
        <v>0</v>
      </c>
      <c r="W1506">
        <v>1</v>
      </c>
      <c r="X1506" s="8">
        <v>1</v>
      </c>
      <c r="Y1506" s="8">
        <v>0</v>
      </c>
      <c r="Z1506" s="33">
        <v>0</v>
      </c>
      <c r="AA1506">
        <v>5</v>
      </c>
      <c r="AB1506" s="34">
        <v>4180</v>
      </c>
      <c r="AC1506" s="87">
        <f t="shared" si="2"/>
        <v>561</v>
      </c>
      <c r="AD1506" s="62">
        <v>0</v>
      </c>
      <c r="AE1506" s="62">
        <v>0</v>
      </c>
      <c r="AF1506" s="62">
        <v>1</v>
      </c>
      <c r="AI1506" s="64"/>
      <c r="AJ1506" s="63">
        <v>1101605</v>
      </c>
      <c r="AL1506" s="64">
        <v>1</v>
      </c>
      <c r="AM1506" s="4"/>
      <c r="AN1506" s="93"/>
      <c r="AO1506" s="92"/>
      <c r="AQ1506" t="s">
        <v>3960</v>
      </c>
      <c r="AS1506">
        <v>1</v>
      </c>
    </row>
    <row r="1507" spans="1:45">
      <c r="A1507">
        <v>1101605</v>
      </c>
      <c r="B1507" s="8">
        <v>1001</v>
      </c>
      <c r="C1507" s="8">
        <v>5</v>
      </c>
      <c r="D1507" s="8">
        <v>1003</v>
      </c>
      <c r="E1507" t="s">
        <v>3963</v>
      </c>
      <c r="F1507" s="13" t="s">
        <v>3953</v>
      </c>
      <c r="G1507" t="s">
        <v>3964</v>
      </c>
      <c r="H1507" t="s">
        <v>3962</v>
      </c>
      <c r="I1507">
        <v>1</v>
      </c>
      <c r="J1507">
        <v>3</v>
      </c>
      <c r="K1507" s="33">
        <v>4</v>
      </c>
      <c r="L1507" s="8">
        <v>99</v>
      </c>
      <c r="M1507" s="8">
        <v>0</v>
      </c>
      <c r="N1507" s="8"/>
      <c r="Q1507" t="s">
        <v>260</v>
      </c>
      <c r="S1507" s="89">
        <v>1</v>
      </c>
      <c r="T1507" s="8">
        <v>5</v>
      </c>
      <c r="U1507" s="89">
        <v>140</v>
      </c>
      <c r="V1507" s="87">
        <v>0</v>
      </c>
      <c r="W1507">
        <v>1</v>
      </c>
      <c r="X1507" s="8">
        <v>1</v>
      </c>
      <c r="Y1507" s="8">
        <v>0</v>
      </c>
      <c r="Z1507" s="33">
        <v>0</v>
      </c>
      <c r="AA1507">
        <v>5</v>
      </c>
      <c r="AB1507" s="34">
        <v>5320</v>
      </c>
      <c r="AC1507" s="87">
        <f t="shared" si="2"/>
        <v>280</v>
      </c>
      <c r="AD1507" s="62">
        <v>0</v>
      </c>
      <c r="AE1507" s="62">
        <v>0</v>
      </c>
      <c r="AF1507" s="62">
        <v>1</v>
      </c>
      <c r="AI1507" s="64"/>
      <c r="AJ1507" s="63">
        <v>1101606</v>
      </c>
      <c r="AL1507" s="64">
        <v>1</v>
      </c>
      <c r="AM1507" s="4"/>
      <c r="AN1507" s="93"/>
      <c r="AO1507" s="92"/>
      <c r="AQ1507" t="s">
        <v>3963</v>
      </c>
      <c r="AS1507">
        <v>1</v>
      </c>
    </row>
    <row r="1508" spans="1:45">
      <c r="A1508">
        <v>1101606</v>
      </c>
      <c r="B1508" s="8">
        <v>1001</v>
      </c>
      <c r="C1508" s="8">
        <v>5</v>
      </c>
      <c r="D1508" s="8">
        <v>1003</v>
      </c>
      <c r="E1508" t="s">
        <v>3965</v>
      </c>
      <c r="F1508" s="13" t="s">
        <v>3953</v>
      </c>
      <c r="G1508" t="s">
        <v>3966</v>
      </c>
      <c r="H1508" t="s">
        <v>3962</v>
      </c>
      <c r="I1508">
        <v>1</v>
      </c>
      <c r="J1508">
        <v>3</v>
      </c>
      <c r="K1508" s="33">
        <v>4</v>
      </c>
      <c r="L1508" s="8">
        <v>99</v>
      </c>
      <c r="M1508" s="8">
        <v>0</v>
      </c>
      <c r="N1508" s="8"/>
      <c r="Q1508" t="s">
        <v>260</v>
      </c>
      <c r="S1508" s="89">
        <v>1</v>
      </c>
      <c r="T1508" s="8">
        <v>5</v>
      </c>
      <c r="U1508" s="89">
        <v>140</v>
      </c>
      <c r="V1508" s="87">
        <v>0</v>
      </c>
      <c r="W1508">
        <v>1</v>
      </c>
      <c r="X1508" s="8">
        <v>1</v>
      </c>
      <c r="Y1508" s="8">
        <v>0</v>
      </c>
      <c r="Z1508" s="33">
        <v>0</v>
      </c>
      <c r="AA1508">
        <v>5</v>
      </c>
      <c r="AB1508" s="34">
        <v>5320</v>
      </c>
      <c r="AC1508" s="87">
        <f t="shared" si="2"/>
        <v>277</v>
      </c>
      <c r="AD1508" s="62">
        <v>0</v>
      </c>
      <c r="AE1508" s="62">
        <v>0</v>
      </c>
      <c r="AF1508" s="62">
        <v>1</v>
      </c>
      <c r="AI1508" s="64"/>
      <c r="AJ1508" s="63">
        <v>1101607</v>
      </c>
      <c r="AL1508" s="64">
        <v>1</v>
      </c>
      <c r="AM1508" s="4"/>
      <c r="AN1508" s="93"/>
      <c r="AO1508" s="92"/>
      <c r="AQ1508" t="s">
        <v>3965</v>
      </c>
      <c r="AS1508">
        <v>1</v>
      </c>
    </row>
    <row r="1509" spans="1:45">
      <c r="A1509">
        <v>1101607</v>
      </c>
      <c r="B1509" s="8">
        <v>1001</v>
      </c>
      <c r="C1509" s="8">
        <v>5</v>
      </c>
      <c r="D1509" s="8">
        <v>1003</v>
      </c>
      <c r="E1509" t="s">
        <v>3967</v>
      </c>
      <c r="F1509" s="13" t="s">
        <v>3953</v>
      </c>
      <c r="G1509" t="s">
        <v>3968</v>
      </c>
      <c r="H1509" t="s">
        <v>3969</v>
      </c>
      <c r="I1509">
        <v>1</v>
      </c>
      <c r="J1509">
        <v>4</v>
      </c>
      <c r="K1509" s="33">
        <v>4</v>
      </c>
      <c r="L1509" s="8">
        <v>99</v>
      </c>
      <c r="M1509" s="8">
        <v>0</v>
      </c>
      <c r="N1509" s="8"/>
      <c r="S1509" s="89">
        <v>1</v>
      </c>
      <c r="T1509" s="8">
        <v>5</v>
      </c>
      <c r="U1509" s="89">
        <v>170</v>
      </c>
      <c r="V1509" s="87">
        <v>0</v>
      </c>
      <c r="W1509">
        <v>1</v>
      </c>
      <c r="X1509" s="8">
        <v>1</v>
      </c>
      <c r="Y1509" s="8">
        <v>0</v>
      </c>
      <c r="Z1509" s="33">
        <v>0</v>
      </c>
      <c r="AA1509">
        <v>5</v>
      </c>
      <c r="AB1509" s="34">
        <v>6460</v>
      </c>
      <c r="AC1509" s="87">
        <f t="shared" si="2"/>
        <v>276</v>
      </c>
      <c r="AD1509" s="62">
        <v>0</v>
      </c>
      <c r="AE1509" s="62">
        <v>0</v>
      </c>
      <c r="AF1509" s="62">
        <v>1</v>
      </c>
      <c r="AI1509" s="64"/>
      <c r="AJ1509" s="63">
        <v>1101608</v>
      </c>
      <c r="AL1509" s="64">
        <v>1</v>
      </c>
      <c r="AM1509" s="4"/>
      <c r="AN1509" s="93"/>
      <c r="AO1509" s="92"/>
      <c r="AQ1509" t="s">
        <v>3967</v>
      </c>
      <c r="AS1509">
        <v>1</v>
      </c>
    </row>
    <row r="1510" spans="1:45">
      <c r="A1510">
        <v>1101608</v>
      </c>
      <c r="B1510" s="8">
        <v>1001</v>
      </c>
      <c r="C1510" s="8">
        <v>5</v>
      </c>
      <c r="D1510" s="8">
        <v>1003</v>
      </c>
      <c r="E1510" t="s">
        <v>3970</v>
      </c>
      <c r="F1510" s="13" t="s">
        <v>3953</v>
      </c>
      <c r="G1510" t="s">
        <v>3971</v>
      </c>
      <c r="H1510" t="s">
        <v>3969</v>
      </c>
      <c r="I1510">
        <v>1</v>
      </c>
      <c r="J1510">
        <v>4</v>
      </c>
      <c r="K1510" s="33">
        <v>4</v>
      </c>
      <c r="L1510" s="8">
        <v>99</v>
      </c>
      <c r="M1510" s="8">
        <v>0</v>
      </c>
      <c r="N1510" s="8"/>
      <c r="S1510" s="89">
        <v>1</v>
      </c>
      <c r="T1510" s="8">
        <v>5</v>
      </c>
      <c r="U1510" s="89">
        <v>170</v>
      </c>
      <c r="V1510" s="87">
        <v>0</v>
      </c>
      <c r="W1510">
        <v>1</v>
      </c>
      <c r="X1510" s="8">
        <v>1</v>
      </c>
      <c r="Y1510" s="8">
        <v>0</v>
      </c>
      <c r="Z1510" s="33">
        <v>0</v>
      </c>
      <c r="AA1510">
        <v>5</v>
      </c>
      <c r="AB1510" s="34">
        <v>6460</v>
      </c>
      <c r="AC1510" s="87">
        <f t="shared" si="2"/>
        <v>275</v>
      </c>
      <c r="AD1510" s="62">
        <v>0</v>
      </c>
      <c r="AE1510" s="62">
        <v>0</v>
      </c>
      <c r="AF1510" s="62">
        <v>1</v>
      </c>
      <c r="AI1510" s="64"/>
      <c r="AJ1510" s="63">
        <v>1101609</v>
      </c>
      <c r="AL1510" s="64">
        <v>1</v>
      </c>
      <c r="AM1510" s="4"/>
      <c r="AN1510" s="93"/>
      <c r="AO1510" s="92"/>
      <c r="AQ1510" t="s">
        <v>3970</v>
      </c>
      <c r="AS1510">
        <v>1</v>
      </c>
    </row>
    <row r="1511" spans="1:45">
      <c r="A1511">
        <v>1101609</v>
      </c>
      <c r="B1511" s="8">
        <v>1001</v>
      </c>
      <c r="C1511" s="8">
        <v>5</v>
      </c>
      <c r="D1511" s="8">
        <v>1003</v>
      </c>
      <c r="E1511" t="s">
        <v>3972</v>
      </c>
      <c r="F1511" s="13" t="s">
        <v>3953</v>
      </c>
      <c r="G1511" t="s">
        <v>3973</v>
      </c>
      <c r="H1511" t="s">
        <v>3969</v>
      </c>
      <c r="I1511">
        <v>1</v>
      </c>
      <c r="J1511">
        <v>5</v>
      </c>
      <c r="K1511" s="33">
        <v>4</v>
      </c>
      <c r="L1511" s="8">
        <v>99</v>
      </c>
      <c r="M1511" s="8">
        <v>0</v>
      </c>
      <c r="N1511" s="8"/>
      <c r="S1511" s="89">
        <v>1</v>
      </c>
      <c r="T1511" s="8">
        <v>5</v>
      </c>
      <c r="U1511" s="89">
        <v>200</v>
      </c>
      <c r="V1511" s="87">
        <v>0</v>
      </c>
      <c r="W1511">
        <v>1</v>
      </c>
      <c r="X1511" s="8">
        <v>1</v>
      </c>
      <c r="Y1511" s="8">
        <v>0</v>
      </c>
      <c r="Z1511" s="33">
        <v>0</v>
      </c>
      <c r="AA1511">
        <v>5</v>
      </c>
      <c r="AB1511" s="34">
        <v>7600</v>
      </c>
      <c r="AC1511" s="87">
        <f t="shared" si="2"/>
        <v>274</v>
      </c>
      <c r="AD1511" s="62">
        <v>0</v>
      </c>
      <c r="AE1511" s="62">
        <v>0</v>
      </c>
      <c r="AF1511" s="62">
        <v>1</v>
      </c>
      <c r="AI1511" s="64"/>
      <c r="AJ1511" s="63">
        <v>1101610</v>
      </c>
      <c r="AL1511" s="64">
        <v>1</v>
      </c>
      <c r="AM1511" s="4"/>
      <c r="AN1511" s="93"/>
      <c r="AO1511" s="92"/>
      <c r="AQ1511" t="s">
        <v>3972</v>
      </c>
      <c r="AS1511">
        <v>1</v>
      </c>
    </row>
    <row r="1512" spans="1:45">
      <c r="A1512">
        <v>1101610</v>
      </c>
      <c r="B1512" s="8">
        <v>1001</v>
      </c>
      <c r="C1512" s="8">
        <v>5</v>
      </c>
      <c r="D1512" s="8">
        <v>1003</v>
      </c>
      <c r="E1512" t="s">
        <v>3974</v>
      </c>
      <c r="F1512" s="13" t="s">
        <v>3953</v>
      </c>
      <c r="G1512" t="s">
        <v>3975</v>
      </c>
      <c r="H1512" t="s">
        <v>3976</v>
      </c>
      <c r="I1512">
        <v>1</v>
      </c>
      <c r="J1512">
        <v>5</v>
      </c>
      <c r="K1512" s="33">
        <v>1</v>
      </c>
      <c r="L1512" s="8">
        <v>99</v>
      </c>
      <c r="M1512" s="8">
        <v>0</v>
      </c>
      <c r="N1512" s="8"/>
      <c r="Q1512"/>
      <c r="S1512" s="89">
        <v>1</v>
      </c>
      <c r="T1512" s="8">
        <v>5</v>
      </c>
      <c r="U1512" s="89">
        <v>200</v>
      </c>
      <c r="V1512" s="87">
        <v>0</v>
      </c>
      <c r="W1512">
        <v>1</v>
      </c>
      <c r="X1512" s="8">
        <v>1</v>
      </c>
      <c r="Y1512" s="8">
        <v>0</v>
      </c>
      <c r="Z1512" s="33">
        <v>0</v>
      </c>
      <c r="AA1512">
        <v>5</v>
      </c>
      <c r="AB1512" s="34">
        <v>7600</v>
      </c>
      <c r="AC1512" s="87">
        <f t="shared" si="2"/>
        <v>273</v>
      </c>
      <c r="AD1512" s="62">
        <v>0</v>
      </c>
      <c r="AE1512" s="62">
        <v>0</v>
      </c>
      <c r="AF1512" s="62">
        <v>1</v>
      </c>
      <c r="AI1512" s="64"/>
      <c r="AL1512" s="64">
        <v>1</v>
      </c>
      <c r="AM1512" s="4"/>
      <c r="AN1512" s="93"/>
      <c r="AO1512" s="92"/>
      <c r="AQ1512" t="s">
        <v>3974</v>
      </c>
      <c r="AS1512">
        <v>1</v>
      </c>
    </row>
    <row r="1513" spans="1:45">
      <c r="A1513">
        <v>1101701</v>
      </c>
      <c r="B1513" s="8">
        <v>1001</v>
      </c>
      <c r="C1513" s="8">
        <v>5</v>
      </c>
      <c r="D1513" s="8">
        <v>1003</v>
      </c>
      <c r="E1513" t="s">
        <v>3977</v>
      </c>
      <c r="F1513" s="13" t="s">
        <v>3978</v>
      </c>
      <c r="G1513" t="s">
        <v>3979</v>
      </c>
      <c r="H1513" t="s">
        <v>3980</v>
      </c>
      <c r="I1513">
        <v>1</v>
      </c>
      <c r="J1513">
        <v>1</v>
      </c>
      <c r="K1513" s="33">
        <v>4</v>
      </c>
      <c r="L1513" s="8">
        <v>99</v>
      </c>
      <c r="M1513" s="8">
        <v>0</v>
      </c>
      <c r="N1513" s="8"/>
      <c r="Q1513" t="s">
        <v>260</v>
      </c>
      <c r="S1513" s="89">
        <v>1</v>
      </c>
      <c r="T1513" s="8">
        <v>5</v>
      </c>
      <c r="U1513" s="89">
        <v>80</v>
      </c>
      <c r="V1513" s="87">
        <v>0</v>
      </c>
      <c r="W1513">
        <v>1</v>
      </c>
      <c r="X1513" s="8">
        <v>1</v>
      </c>
      <c r="Y1513" s="8">
        <v>0</v>
      </c>
      <c r="Z1513" s="33">
        <v>0</v>
      </c>
      <c r="AA1513">
        <v>5</v>
      </c>
      <c r="AB1513" s="34">
        <v>3040</v>
      </c>
      <c r="AC1513" s="87">
        <f t="shared" si="2"/>
        <v>272</v>
      </c>
      <c r="AD1513" s="62">
        <v>0</v>
      </c>
      <c r="AE1513" s="62">
        <v>0</v>
      </c>
      <c r="AF1513" s="62">
        <v>1</v>
      </c>
      <c r="AI1513" s="64"/>
      <c r="AJ1513" s="63">
        <v>1101702</v>
      </c>
      <c r="AL1513" s="64">
        <v>1</v>
      </c>
      <c r="AM1513" s="4"/>
      <c r="AN1513" s="93" t="s">
        <v>3535</v>
      </c>
      <c r="AO1513" s="92"/>
      <c r="AQ1513" t="s">
        <v>3977</v>
      </c>
      <c r="AS1513">
        <v>1</v>
      </c>
    </row>
    <row r="1514" spans="1:45">
      <c r="A1514">
        <v>1101702</v>
      </c>
      <c r="B1514" s="8">
        <v>1001</v>
      </c>
      <c r="C1514" s="8">
        <v>5</v>
      </c>
      <c r="D1514" s="8">
        <v>1003</v>
      </c>
      <c r="E1514" t="s">
        <v>3981</v>
      </c>
      <c r="F1514" s="13" t="s">
        <v>3978</v>
      </c>
      <c r="G1514" t="s">
        <v>3982</v>
      </c>
      <c r="H1514" t="s">
        <v>3980</v>
      </c>
      <c r="I1514">
        <v>1</v>
      </c>
      <c r="J1514">
        <v>1</v>
      </c>
      <c r="K1514" s="33">
        <v>4</v>
      </c>
      <c r="L1514" s="8">
        <v>99</v>
      </c>
      <c r="M1514" s="8">
        <v>0</v>
      </c>
      <c r="N1514" s="8"/>
      <c r="Q1514" t="s">
        <v>260</v>
      </c>
      <c r="S1514" s="89">
        <v>1</v>
      </c>
      <c r="T1514" s="8">
        <v>5</v>
      </c>
      <c r="U1514" s="89">
        <v>80</v>
      </c>
      <c r="V1514" s="87">
        <v>0</v>
      </c>
      <c r="W1514">
        <v>1</v>
      </c>
      <c r="X1514" s="8">
        <v>1</v>
      </c>
      <c r="Y1514" s="8">
        <v>0</v>
      </c>
      <c r="Z1514" s="33">
        <v>0</v>
      </c>
      <c r="AA1514">
        <v>5</v>
      </c>
      <c r="AB1514" s="34">
        <v>3040</v>
      </c>
      <c r="AC1514" s="87">
        <f t="shared" si="2"/>
        <v>271</v>
      </c>
      <c r="AD1514" s="62">
        <v>0</v>
      </c>
      <c r="AE1514" s="62">
        <v>0</v>
      </c>
      <c r="AF1514" s="62">
        <v>1</v>
      </c>
      <c r="AI1514" s="64"/>
      <c r="AJ1514" s="63">
        <v>1101703</v>
      </c>
      <c r="AL1514" s="64">
        <v>1</v>
      </c>
      <c r="AM1514" s="4"/>
      <c r="AN1514" s="93"/>
      <c r="AO1514" s="92"/>
      <c r="AQ1514" t="s">
        <v>3981</v>
      </c>
      <c r="AS1514">
        <v>1</v>
      </c>
    </row>
    <row r="1515" spans="1:45">
      <c r="A1515">
        <v>1101703</v>
      </c>
      <c r="B1515" s="8">
        <v>1001</v>
      </c>
      <c r="C1515" s="8">
        <v>5</v>
      </c>
      <c r="D1515" s="8">
        <v>1003</v>
      </c>
      <c r="E1515" t="s">
        <v>3983</v>
      </c>
      <c r="F1515" s="13" t="s">
        <v>3978</v>
      </c>
      <c r="G1515" t="s">
        <v>3984</v>
      </c>
      <c r="H1515" t="s">
        <v>3980</v>
      </c>
      <c r="I1515">
        <v>1</v>
      </c>
      <c r="J1515">
        <v>2</v>
      </c>
      <c r="K1515" s="33">
        <v>4</v>
      </c>
      <c r="L1515" s="8">
        <v>99</v>
      </c>
      <c r="M1515" s="8">
        <v>0</v>
      </c>
      <c r="N1515" s="8"/>
      <c r="Q1515" t="s">
        <v>260</v>
      </c>
      <c r="S1515" s="89">
        <v>1</v>
      </c>
      <c r="T1515" s="8">
        <v>5</v>
      </c>
      <c r="U1515" s="89">
        <v>110</v>
      </c>
      <c r="V1515" s="87">
        <v>0</v>
      </c>
      <c r="W1515">
        <v>1</v>
      </c>
      <c r="X1515" s="8">
        <v>1</v>
      </c>
      <c r="Y1515" s="8">
        <v>0</v>
      </c>
      <c r="Z1515" s="33">
        <v>0</v>
      </c>
      <c r="AA1515">
        <v>5</v>
      </c>
      <c r="AB1515" s="34">
        <v>4180</v>
      </c>
      <c r="AC1515" s="87">
        <f t="shared" si="2"/>
        <v>271</v>
      </c>
      <c r="AD1515" s="62">
        <v>0</v>
      </c>
      <c r="AE1515" s="62">
        <v>0</v>
      </c>
      <c r="AF1515" s="62">
        <v>1</v>
      </c>
      <c r="AI1515" s="64"/>
      <c r="AJ1515" s="63">
        <v>1101704</v>
      </c>
      <c r="AL1515" s="64">
        <v>1</v>
      </c>
      <c r="AM1515" s="4"/>
      <c r="AN1515" s="93"/>
      <c r="AO1515" s="92"/>
      <c r="AQ1515" t="s">
        <v>3983</v>
      </c>
      <c r="AS1515">
        <v>1</v>
      </c>
    </row>
    <row r="1516" spans="1:45">
      <c r="A1516">
        <v>1101704</v>
      </c>
      <c r="B1516" s="8">
        <v>1001</v>
      </c>
      <c r="C1516" s="8">
        <v>5</v>
      </c>
      <c r="D1516" s="8">
        <v>1003</v>
      </c>
      <c r="E1516" t="s">
        <v>3985</v>
      </c>
      <c r="F1516" s="13" t="s">
        <v>3978</v>
      </c>
      <c r="G1516" t="s">
        <v>3986</v>
      </c>
      <c r="H1516" t="s">
        <v>3987</v>
      </c>
      <c r="I1516">
        <v>1</v>
      </c>
      <c r="J1516">
        <v>2</v>
      </c>
      <c r="K1516" s="33">
        <v>4</v>
      </c>
      <c r="L1516" s="8">
        <v>99</v>
      </c>
      <c r="M1516" s="8">
        <v>0</v>
      </c>
      <c r="N1516" s="8"/>
      <c r="Q1516" t="s">
        <v>260</v>
      </c>
      <c r="S1516" s="89">
        <v>1</v>
      </c>
      <c r="T1516" s="8">
        <v>5</v>
      </c>
      <c r="U1516" s="89">
        <v>110</v>
      </c>
      <c r="V1516" s="87">
        <v>0</v>
      </c>
      <c r="W1516">
        <v>1</v>
      </c>
      <c r="X1516" s="8">
        <v>1</v>
      </c>
      <c r="Y1516" s="8">
        <v>0</v>
      </c>
      <c r="Z1516" s="33">
        <v>0</v>
      </c>
      <c r="AA1516">
        <v>5</v>
      </c>
      <c r="AB1516" s="34">
        <v>4180</v>
      </c>
      <c r="AC1516" s="87">
        <f t="shared" si="2"/>
        <v>271</v>
      </c>
      <c r="AD1516" s="62">
        <v>0</v>
      </c>
      <c r="AE1516" s="62">
        <v>0</v>
      </c>
      <c r="AF1516" s="62">
        <v>1</v>
      </c>
      <c r="AI1516" s="64"/>
      <c r="AJ1516" s="63">
        <v>1101705</v>
      </c>
      <c r="AL1516" s="64">
        <v>1</v>
      </c>
      <c r="AM1516" s="4"/>
      <c r="AN1516" s="93"/>
      <c r="AO1516" s="92"/>
      <c r="AQ1516" t="s">
        <v>3985</v>
      </c>
      <c r="AS1516">
        <v>1</v>
      </c>
    </row>
    <row r="1517" spans="1:45">
      <c r="A1517">
        <v>1101705</v>
      </c>
      <c r="B1517" s="8">
        <v>1001</v>
      </c>
      <c r="C1517" s="8">
        <v>5</v>
      </c>
      <c r="D1517" s="8">
        <v>1003</v>
      </c>
      <c r="E1517" t="s">
        <v>3988</v>
      </c>
      <c r="F1517" s="13" t="s">
        <v>3978</v>
      </c>
      <c r="G1517" t="s">
        <v>3989</v>
      </c>
      <c r="H1517" t="s">
        <v>3987</v>
      </c>
      <c r="I1517">
        <v>1</v>
      </c>
      <c r="J1517">
        <v>3</v>
      </c>
      <c r="K1517" s="33">
        <v>4</v>
      </c>
      <c r="L1517" s="8">
        <v>99</v>
      </c>
      <c r="M1517" s="8">
        <v>0</v>
      </c>
      <c r="N1517" s="8"/>
      <c r="Q1517" t="s">
        <v>260</v>
      </c>
      <c r="S1517" s="89">
        <v>1</v>
      </c>
      <c r="T1517" s="8">
        <v>5</v>
      </c>
      <c r="U1517" s="89">
        <v>140</v>
      </c>
      <c r="V1517" s="87">
        <v>0</v>
      </c>
      <c r="W1517">
        <v>1</v>
      </c>
      <c r="X1517" s="8">
        <v>1</v>
      </c>
      <c r="Y1517" s="8">
        <v>0</v>
      </c>
      <c r="Z1517" s="33">
        <v>0</v>
      </c>
      <c r="AA1517">
        <v>5</v>
      </c>
      <c r="AB1517" s="34">
        <v>5320</v>
      </c>
      <c r="AC1517" s="87">
        <f t="shared" ref="AC1517:AC1532" si="3">AC1506+10</f>
        <v>571</v>
      </c>
      <c r="AD1517" s="62">
        <v>0</v>
      </c>
      <c r="AE1517" s="62">
        <v>0</v>
      </c>
      <c r="AF1517" s="62">
        <v>1</v>
      </c>
      <c r="AI1517" s="64"/>
      <c r="AJ1517" s="63">
        <v>1101706</v>
      </c>
      <c r="AL1517" s="64">
        <v>1</v>
      </c>
      <c r="AM1517" s="4"/>
      <c r="AN1517" s="93"/>
      <c r="AO1517" s="92"/>
      <c r="AQ1517" t="s">
        <v>3988</v>
      </c>
      <c r="AS1517">
        <v>1</v>
      </c>
    </row>
    <row r="1518" spans="1:45">
      <c r="A1518">
        <v>1101706</v>
      </c>
      <c r="B1518" s="8">
        <v>1001</v>
      </c>
      <c r="C1518" s="8">
        <v>5</v>
      </c>
      <c r="D1518" s="8">
        <v>1003</v>
      </c>
      <c r="E1518" t="s">
        <v>3990</v>
      </c>
      <c r="F1518" s="13" t="s">
        <v>3978</v>
      </c>
      <c r="G1518" t="s">
        <v>3991</v>
      </c>
      <c r="H1518" t="s">
        <v>3987</v>
      </c>
      <c r="I1518">
        <v>1</v>
      </c>
      <c r="J1518">
        <v>3</v>
      </c>
      <c r="K1518" s="33">
        <v>4</v>
      </c>
      <c r="L1518" s="8">
        <v>99</v>
      </c>
      <c r="M1518" s="8">
        <v>0</v>
      </c>
      <c r="N1518" s="8"/>
      <c r="Q1518" t="s">
        <v>260</v>
      </c>
      <c r="S1518" s="89">
        <v>1</v>
      </c>
      <c r="T1518" s="8">
        <v>5</v>
      </c>
      <c r="U1518" s="89">
        <v>140</v>
      </c>
      <c r="V1518" s="87">
        <v>0</v>
      </c>
      <c r="W1518">
        <v>1</v>
      </c>
      <c r="X1518" s="8">
        <v>1</v>
      </c>
      <c r="Y1518" s="8">
        <v>0</v>
      </c>
      <c r="Z1518" s="33">
        <v>0</v>
      </c>
      <c r="AA1518">
        <v>5</v>
      </c>
      <c r="AB1518" s="34">
        <v>5320</v>
      </c>
      <c r="AC1518" s="87">
        <f t="shared" si="3"/>
        <v>290</v>
      </c>
      <c r="AD1518" s="62">
        <v>0</v>
      </c>
      <c r="AE1518" s="62">
        <v>0</v>
      </c>
      <c r="AF1518" s="62">
        <v>1</v>
      </c>
      <c r="AI1518" s="64"/>
      <c r="AJ1518" s="63">
        <v>1101707</v>
      </c>
      <c r="AL1518" s="64">
        <v>1</v>
      </c>
      <c r="AM1518" s="4"/>
      <c r="AN1518" s="93"/>
      <c r="AO1518" s="92"/>
      <c r="AQ1518" t="s">
        <v>3990</v>
      </c>
      <c r="AS1518">
        <v>1</v>
      </c>
    </row>
    <row r="1519" spans="1:45">
      <c r="A1519">
        <v>1101707</v>
      </c>
      <c r="B1519" s="8">
        <v>1001</v>
      </c>
      <c r="C1519" s="8">
        <v>5</v>
      </c>
      <c r="D1519" s="8">
        <v>1003</v>
      </c>
      <c r="E1519" t="s">
        <v>3992</v>
      </c>
      <c r="F1519" s="13" t="s">
        <v>3978</v>
      </c>
      <c r="G1519" t="s">
        <v>3993</v>
      </c>
      <c r="H1519" t="s">
        <v>3994</v>
      </c>
      <c r="I1519">
        <v>1</v>
      </c>
      <c r="J1519">
        <v>4</v>
      </c>
      <c r="K1519" s="33">
        <v>4</v>
      </c>
      <c r="L1519" s="8">
        <v>99</v>
      </c>
      <c r="M1519" s="8">
        <v>0</v>
      </c>
      <c r="N1519" s="8"/>
      <c r="S1519" s="89">
        <v>1</v>
      </c>
      <c r="T1519" s="8">
        <v>5</v>
      </c>
      <c r="U1519" s="89">
        <v>170</v>
      </c>
      <c r="V1519" s="87">
        <v>0</v>
      </c>
      <c r="W1519">
        <v>1</v>
      </c>
      <c r="X1519" s="8">
        <v>1</v>
      </c>
      <c r="Y1519" s="8">
        <v>0</v>
      </c>
      <c r="Z1519" s="33">
        <v>0</v>
      </c>
      <c r="AA1519">
        <v>5</v>
      </c>
      <c r="AB1519" s="34">
        <v>6460</v>
      </c>
      <c r="AC1519" s="87">
        <f t="shared" si="3"/>
        <v>287</v>
      </c>
      <c r="AD1519" s="62">
        <v>0</v>
      </c>
      <c r="AE1519" s="62">
        <v>0</v>
      </c>
      <c r="AF1519" s="62">
        <v>1</v>
      </c>
      <c r="AI1519" s="64"/>
      <c r="AJ1519" s="63">
        <v>1101708</v>
      </c>
      <c r="AL1519" s="64">
        <v>1</v>
      </c>
      <c r="AM1519" s="4"/>
      <c r="AN1519" s="93"/>
      <c r="AO1519" s="92"/>
      <c r="AQ1519" t="s">
        <v>3992</v>
      </c>
      <c r="AS1519">
        <v>1</v>
      </c>
    </row>
    <row r="1520" spans="1:45">
      <c r="A1520">
        <v>1101708</v>
      </c>
      <c r="B1520" s="8">
        <v>1001</v>
      </c>
      <c r="C1520" s="8">
        <v>5</v>
      </c>
      <c r="D1520" s="8">
        <v>1003</v>
      </c>
      <c r="E1520" t="s">
        <v>3995</v>
      </c>
      <c r="F1520" s="13" t="s">
        <v>3978</v>
      </c>
      <c r="G1520" t="s">
        <v>3996</v>
      </c>
      <c r="H1520" t="s">
        <v>3994</v>
      </c>
      <c r="I1520">
        <v>1</v>
      </c>
      <c r="J1520">
        <v>4</v>
      </c>
      <c r="K1520" s="33">
        <v>4</v>
      </c>
      <c r="L1520" s="8">
        <v>99</v>
      </c>
      <c r="M1520" s="8">
        <v>0</v>
      </c>
      <c r="N1520" s="8"/>
      <c r="S1520" s="89">
        <v>1</v>
      </c>
      <c r="T1520" s="8">
        <v>5</v>
      </c>
      <c r="U1520" s="89">
        <v>170</v>
      </c>
      <c r="V1520" s="87">
        <v>0</v>
      </c>
      <c r="W1520">
        <v>1</v>
      </c>
      <c r="X1520" s="8">
        <v>1</v>
      </c>
      <c r="Y1520" s="8">
        <v>0</v>
      </c>
      <c r="Z1520" s="33">
        <v>0</v>
      </c>
      <c r="AA1520">
        <v>5</v>
      </c>
      <c r="AB1520" s="34">
        <v>6460</v>
      </c>
      <c r="AC1520" s="87">
        <f t="shared" si="3"/>
        <v>286</v>
      </c>
      <c r="AD1520" s="62">
        <v>0</v>
      </c>
      <c r="AE1520" s="62">
        <v>0</v>
      </c>
      <c r="AF1520" s="62">
        <v>1</v>
      </c>
      <c r="AI1520" s="64"/>
      <c r="AJ1520" s="63">
        <v>1101709</v>
      </c>
      <c r="AL1520" s="64">
        <v>1</v>
      </c>
      <c r="AM1520" s="4"/>
      <c r="AN1520" s="93"/>
      <c r="AO1520" s="92"/>
      <c r="AQ1520" t="s">
        <v>3995</v>
      </c>
      <c r="AS1520">
        <v>1</v>
      </c>
    </row>
    <row r="1521" spans="1:45">
      <c r="A1521">
        <v>1101709</v>
      </c>
      <c r="B1521" s="8">
        <v>1001</v>
      </c>
      <c r="C1521" s="8">
        <v>5</v>
      </c>
      <c r="D1521" s="8">
        <v>1003</v>
      </c>
      <c r="E1521" t="s">
        <v>3997</v>
      </c>
      <c r="F1521" s="13" t="s">
        <v>3978</v>
      </c>
      <c r="G1521" t="s">
        <v>3998</v>
      </c>
      <c r="H1521" t="s">
        <v>3994</v>
      </c>
      <c r="I1521">
        <v>1</v>
      </c>
      <c r="J1521">
        <v>5</v>
      </c>
      <c r="K1521" s="33">
        <v>4</v>
      </c>
      <c r="L1521" s="8">
        <v>99</v>
      </c>
      <c r="M1521" s="8">
        <v>0</v>
      </c>
      <c r="N1521" s="8"/>
      <c r="S1521" s="89">
        <v>1</v>
      </c>
      <c r="T1521" s="8">
        <v>5</v>
      </c>
      <c r="U1521" s="89">
        <v>200</v>
      </c>
      <c r="V1521" s="87">
        <v>0</v>
      </c>
      <c r="W1521">
        <v>1</v>
      </c>
      <c r="X1521" s="8">
        <v>1</v>
      </c>
      <c r="Y1521" s="8">
        <v>0</v>
      </c>
      <c r="Z1521" s="33">
        <v>0</v>
      </c>
      <c r="AA1521">
        <v>5</v>
      </c>
      <c r="AB1521" s="34">
        <v>7600</v>
      </c>
      <c r="AC1521" s="87">
        <f t="shared" si="3"/>
        <v>285</v>
      </c>
      <c r="AD1521" s="62">
        <v>0</v>
      </c>
      <c r="AE1521" s="62">
        <v>0</v>
      </c>
      <c r="AF1521" s="62">
        <v>1</v>
      </c>
      <c r="AI1521" s="64"/>
      <c r="AJ1521" s="63">
        <v>1101710</v>
      </c>
      <c r="AL1521" s="64">
        <v>1</v>
      </c>
      <c r="AM1521" s="4"/>
      <c r="AN1521" s="93"/>
      <c r="AO1521" s="92"/>
      <c r="AQ1521" t="s">
        <v>3997</v>
      </c>
      <c r="AS1521">
        <v>1</v>
      </c>
    </row>
    <row r="1522" spans="1:45">
      <c r="A1522">
        <v>1101710</v>
      </c>
      <c r="B1522" s="8">
        <v>1001</v>
      </c>
      <c r="C1522" s="8">
        <v>5</v>
      </c>
      <c r="D1522" s="8">
        <v>1003</v>
      </c>
      <c r="E1522" t="s">
        <v>3999</v>
      </c>
      <c r="F1522" s="13" t="s">
        <v>3978</v>
      </c>
      <c r="G1522" t="s">
        <v>4000</v>
      </c>
      <c r="H1522" t="s">
        <v>4001</v>
      </c>
      <c r="I1522">
        <v>1</v>
      </c>
      <c r="J1522">
        <v>5</v>
      </c>
      <c r="K1522" s="33">
        <v>1</v>
      </c>
      <c r="L1522" s="8">
        <v>99</v>
      </c>
      <c r="M1522" s="8">
        <v>0</v>
      </c>
      <c r="N1522" s="8"/>
      <c r="Q1522"/>
      <c r="S1522" s="89">
        <v>1</v>
      </c>
      <c r="T1522" s="8">
        <v>5</v>
      </c>
      <c r="U1522" s="89">
        <v>200</v>
      </c>
      <c r="V1522" s="87">
        <v>0</v>
      </c>
      <c r="W1522">
        <v>1</v>
      </c>
      <c r="X1522" s="8">
        <v>1</v>
      </c>
      <c r="Y1522" s="8">
        <v>0</v>
      </c>
      <c r="Z1522" s="33">
        <v>0</v>
      </c>
      <c r="AA1522">
        <v>5</v>
      </c>
      <c r="AB1522" s="34">
        <v>7600</v>
      </c>
      <c r="AC1522" s="87">
        <f t="shared" si="3"/>
        <v>284</v>
      </c>
      <c r="AD1522" s="62">
        <v>0</v>
      </c>
      <c r="AE1522" s="62">
        <v>0</v>
      </c>
      <c r="AF1522" s="62">
        <v>1</v>
      </c>
      <c r="AI1522" s="64"/>
      <c r="AL1522" s="64">
        <v>1</v>
      </c>
      <c r="AM1522" s="4"/>
      <c r="AN1522" s="93"/>
      <c r="AO1522" s="92"/>
      <c r="AQ1522" t="s">
        <v>3999</v>
      </c>
      <c r="AS1522">
        <v>1</v>
      </c>
    </row>
    <row r="1523" spans="1:45">
      <c r="A1523">
        <v>1101801</v>
      </c>
      <c r="B1523" s="8">
        <v>1001</v>
      </c>
      <c r="C1523" s="8">
        <v>5</v>
      </c>
      <c r="D1523" s="8">
        <v>1003</v>
      </c>
      <c r="E1523" t="s">
        <v>4002</v>
      </c>
      <c r="F1523" s="13" t="s">
        <v>4003</v>
      </c>
      <c r="G1523" t="s">
        <v>4004</v>
      </c>
      <c r="H1523" t="s">
        <v>4005</v>
      </c>
      <c r="I1523">
        <v>1</v>
      </c>
      <c r="J1523">
        <v>1</v>
      </c>
      <c r="K1523" s="33">
        <v>4</v>
      </c>
      <c r="L1523" s="8">
        <v>99</v>
      </c>
      <c r="M1523" s="8">
        <v>0</v>
      </c>
      <c r="N1523" s="8"/>
      <c r="Q1523" t="s">
        <v>260</v>
      </c>
      <c r="S1523" s="89">
        <v>1</v>
      </c>
      <c r="T1523" s="8">
        <v>5</v>
      </c>
      <c r="U1523" s="89">
        <v>80</v>
      </c>
      <c r="V1523" s="87">
        <v>0</v>
      </c>
      <c r="W1523">
        <v>1</v>
      </c>
      <c r="X1523" s="8">
        <v>1</v>
      </c>
      <c r="Y1523" s="8">
        <v>0</v>
      </c>
      <c r="Z1523" s="33">
        <v>0</v>
      </c>
      <c r="AA1523">
        <v>5</v>
      </c>
      <c r="AB1523" s="34">
        <v>3040</v>
      </c>
      <c r="AC1523" s="87">
        <f t="shared" si="3"/>
        <v>283</v>
      </c>
      <c r="AD1523" s="62">
        <v>0</v>
      </c>
      <c r="AE1523" s="62">
        <v>0</v>
      </c>
      <c r="AF1523" s="62">
        <v>1</v>
      </c>
      <c r="AI1523" s="64"/>
      <c r="AJ1523" s="63">
        <v>1101802</v>
      </c>
      <c r="AL1523" s="64">
        <v>1</v>
      </c>
      <c r="AM1523" s="4"/>
      <c r="AN1523" s="93" t="s">
        <v>3535</v>
      </c>
      <c r="AO1523" s="92"/>
      <c r="AQ1523" t="s">
        <v>4002</v>
      </c>
      <c r="AS1523">
        <v>1</v>
      </c>
    </row>
    <row r="1524" spans="1:45">
      <c r="A1524">
        <v>1101802</v>
      </c>
      <c r="B1524" s="8">
        <v>1001</v>
      </c>
      <c r="C1524" s="8">
        <v>5</v>
      </c>
      <c r="D1524" s="8">
        <v>1003</v>
      </c>
      <c r="E1524" t="s">
        <v>4006</v>
      </c>
      <c r="F1524" s="13" t="s">
        <v>4003</v>
      </c>
      <c r="G1524" t="s">
        <v>4007</v>
      </c>
      <c r="H1524" t="s">
        <v>4005</v>
      </c>
      <c r="I1524">
        <v>1</v>
      </c>
      <c r="J1524">
        <v>1</v>
      </c>
      <c r="K1524" s="33">
        <v>4</v>
      </c>
      <c r="L1524" s="8">
        <v>99</v>
      </c>
      <c r="M1524" s="8">
        <v>0</v>
      </c>
      <c r="N1524" s="8"/>
      <c r="Q1524" t="s">
        <v>260</v>
      </c>
      <c r="S1524" s="89">
        <v>1</v>
      </c>
      <c r="T1524" s="8">
        <v>5</v>
      </c>
      <c r="U1524" s="89">
        <v>80</v>
      </c>
      <c r="V1524" s="87">
        <v>0</v>
      </c>
      <c r="W1524">
        <v>1</v>
      </c>
      <c r="X1524" s="8">
        <v>1</v>
      </c>
      <c r="Y1524" s="8">
        <v>0</v>
      </c>
      <c r="Z1524" s="33">
        <v>0</v>
      </c>
      <c r="AA1524">
        <v>5</v>
      </c>
      <c r="AB1524" s="34">
        <v>3040</v>
      </c>
      <c r="AC1524" s="87">
        <f t="shared" si="3"/>
        <v>282</v>
      </c>
      <c r="AD1524" s="62">
        <v>0</v>
      </c>
      <c r="AE1524" s="62">
        <v>0</v>
      </c>
      <c r="AF1524" s="62">
        <v>1</v>
      </c>
      <c r="AI1524" s="64"/>
      <c r="AJ1524" s="63">
        <v>1101803</v>
      </c>
      <c r="AL1524" s="64">
        <v>1</v>
      </c>
      <c r="AM1524" s="4"/>
      <c r="AN1524" s="93"/>
      <c r="AO1524" s="92"/>
      <c r="AQ1524" t="s">
        <v>4006</v>
      </c>
      <c r="AS1524">
        <v>1</v>
      </c>
    </row>
    <row r="1525" spans="1:45">
      <c r="A1525">
        <v>1101803</v>
      </c>
      <c r="B1525" s="8">
        <v>1001</v>
      </c>
      <c r="C1525" s="8">
        <v>5</v>
      </c>
      <c r="D1525" s="8">
        <v>1003</v>
      </c>
      <c r="E1525" t="s">
        <v>4008</v>
      </c>
      <c r="F1525" s="13" t="s">
        <v>4003</v>
      </c>
      <c r="G1525" t="s">
        <v>4009</v>
      </c>
      <c r="H1525" t="s">
        <v>4005</v>
      </c>
      <c r="I1525">
        <v>1</v>
      </c>
      <c r="J1525">
        <v>2</v>
      </c>
      <c r="K1525" s="33">
        <v>4</v>
      </c>
      <c r="L1525" s="8">
        <v>99</v>
      </c>
      <c r="M1525" s="8">
        <v>0</v>
      </c>
      <c r="N1525" s="8"/>
      <c r="Q1525" t="s">
        <v>260</v>
      </c>
      <c r="S1525" s="89">
        <v>1</v>
      </c>
      <c r="T1525" s="8">
        <v>5</v>
      </c>
      <c r="U1525" s="89">
        <v>110</v>
      </c>
      <c r="V1525" s="87">
        <v>0</v>
      </c>
      <c r="W1525">
        <v>1</v>
      </c>
      <c r="X1525" s="8">
        <v>1</v>
      </c>
      <c r="Y1525" s="8">
        <v>0</v>
      </c>
      <c r="Z1525" s="33">
        <v>0</v>
      </c>
      <c r="AA1525">
        <v>5</v>
      </c>
      <c r="AB1525" s="34">
        <v>4180</v>
      </c>
      <c r="AC1525" s="87">
        <f t="shared" si="3"/>
        <v>281</v>
      </c>
      <c r="AD1525" s="62">
        <v>0</v>
      </c>
      <c r="AE1525" s="62">
        <v>0</v>
      </c>
      <c r="AF1525" s="62">
        <v>1</v>
      </c>
      <c r="AI1525" s="64"/>
      <c r="AJ1525" s="63">
        <v>1101804</v>
      </c>
      <c r="AL1525" s="64">
        <v>1</v>
      </c>
      <c r="AM1525" s="4"/>
      <c r="AN1525" s="93"/>
      <c r="AO1525" s="92"/>
      <c r="AQ1525" t="s">
        <v>4008</v>
      </c>
      <c r="AS1525">
        <v>1</v>
      </c>
    </row>
    <row r="1526" spans="1:45">
      <c r="A1526">
        <v>1101804</v>
      </c>
      <c r="B1526" s="8">
        <v>1001</v>
      </c>
      <c r="C1526" s="8">
        <v>5</v>
      </c>
      <c r="D1526" s="8">
        <v>1003</v>
      </c>
      <c r="E1526" t="s">
        <v>4010</v>
      </c>
      <c r="F1526" s="13" t="s">
        <v>4003</v>
      </c>
      <c r="G1526" t="s">
        <v>4011</v>
      </c>
      <c r="H1526" t="s">
        <v>4012</v>
      </c>
      <c r="I1526">
        <v>1</v>
      </c>
      <c r="J1526">
        <v>2</v>
      </c>
      <c r="K1526" s="33">
        <v>4</v>
      </c>
      <c r="L1526" s="8">
        <v>99</v>
      </c>
      <c r="M1526" s="8">
        <v>0</v>
      </c>
      <c r="N1526" s="8"/>
      <c r="Q1526" t="s">
        <v>260</v>
      </c>
      <c r="S1526" s="89">
        <v>1</v>
      </c>
      <c r="T1526" s="8">
        <v>5</v>
      </c>
      <c r="U1526" s="89">
        <v>110</v>
      </c>
      <c r="V1526" s="87">
        <v>0</v>
      </c>
      <c r="W1526">
        <v>1</v>
      </c>
      <c r="X1526" s="8">
        <v>1</v>
      </c>
      <c r="Y1526" s="8">
        <v>0</v>
      </c>
      <c r="Z1526" s="33">
        <v>0</v>
      </c>
      <c r="AA1526">
        <v>5</v>
      </c>
      <c r="AB1526" s="34">
        <v>4180</v>
      </c>
      <c r="AC1526" s="87">
        <f t="shared" si="3"/>
        <v>281</v>
      </c>
      <c r="AD1526" s="62">
        <v>0</v>
      </c>
      <c r="AE1526" s="62">
        <v>0</v>
      </c>
      <c r="AF1526" s="62">
        <v>1</v>
      </c>
      <c r="AI1526" s="64"/>
      <c r="AJ1526" s="63">
        <v>1101805</v>
      </c>
      <c r="AL1526" s="64">
        <v>1</v>
      </c>
      <c r="AM1526" s="4"/>
      <c r="AN1526" s="93"/>
      <c r="AO1526" s="92"/>
      <c r="AQ1526" t="s">
        <v>4010</v>
      </c>
      <c r="AS1526">
        <v>1</v>
      </c>
    </row>
    <row r="1527" spans="1:45">
      <c r="A1527">
        <v>1101805</v>
      </c>
      <c r="B1527" s="8">
        <v>1001</v>
      </c>
      <c r="C1527" s="8">
        <v>5</v>
      </c>
      <c r="D1527" s="8">
        <v>1003</v>
      </c>
      <c r="E1527" t="s">
        <v>4013</v>
      </c>
      <c r="F1527" s="13" t="s">
        <v>4003</v>
      </c>
      <c r="G1527" t="s">
        <v>4014</v>
      </c>
      <c r="H1527" t="s">
        <v>4012</v>
      </c>
      <c r="I1527">
        <v>1</v>
      </c>
      <c r="J1527">
        <v>3</v>
      </c>
      <c r="K1527" s="33">
        <v>4</v>
      </c>
      <c r="L1527" s="8">
        <v>99</v>
      </c>
      <c r="M1527" s="8">
        <v>0</v>
      </c>
      <c r="N1527" s="8"/>
      <c r="Q1527" t="s">
        <v>260</v>
      </c>
      <c r="S1527" s="89">
        <v>1</v>
      </c>
      <c r="T1527" s="8">
        <v>5</v>
      </c>
      <c r="U1527" s="89">
        <v>140</v>
      </c>
      <c r="V1527" s="87">
        <v>0</v>
      </c>
      <c r="W1527">
        <v>1</v>
      </c>
      <c r="X1527" s="8">
        <v>1</v>
      </c>
      <c r="Y1527" s="8">
        <v>0</v>
      </c>
      <c r="Z1527" s="33">
        <v>0</v>
      </c>
      <c r="AA1527">
        <v>5</v>
      </c>
      <c r="AB1527" s="34">
        <v>5320</v>
      </c>
      <c r="AC1527" s="87">
        <f t="shared" si="3"/>
        <v>281</v>
      </c>
      <c r="AD1527" s="62">
        <v>0</v>
      </c>
      <c r="AE1527" s="62">
        <v>0</v>
      </c>
      <c r="AF1527" s="62">
        <v>1</v>
      </c>
      <c r="AI1527" s="64"/>
      <c r="AJ1527" s="63">
        <v>1101806</v>
      </c>
      <c r="AL1527" s="64">
        <v>1</v>
      </c>
      <c r="AM1527" s="4"/>
      <c r="AN1527" s="93"/>
      <c r="AO1527" s="92"/>
      <c r="AQ1527" t="s">
        <v>4013</v>
      </c>
      <c r="AS1527">
        <v>1</v>
      </c>
    </row>
    <row r="1528" spans="1:45">
      <c r="A1528">
        <v>1101806</v>
      </c>
      <c r="B1528" s="8">
        <v>1001</v>
      </c>
      <c r="C1528" s="8">
        <v>5</v>
      </c>
      <c r="D1528" s="8">
        <v>1003</v>
      </c>
      <c r="E1528" t="s">
        <v>4015</v>
      </c>
      <c r="F1528" s="13" t="s">
        <v>4003</v>
      </c>
      <c r="G1528" t="s">
        <v>4016</v>
      </c>
      <c r="H1528" t="s">
        <v>4012</v>
      </c>
      <c r="I1528">
        <v>1</v>
      </c>
      <c r="J1528">
        <v>3</v>
      </c>
      <c r="K1528" s="33">
        <v>4</v>
      </c>
      <c r="L1528" s="8">
        <v>99</v>
      </c>
      <c r="M1528" s="8">
        <v>0</v>
      </c>
      <c r="N1528" s="8"/>
      <c r="Q1528" t="s">
        <v>260</v>
      </c>
      <c r="S1528" s="89">
        <v>1</v>
      </c>
      <c r="T1528" s="8">
        <v>5</v>
      </c>
      <c r="U1528" s="89">
        <v>140</v>
      </c>
      <c r="V1528" s="87">
        <v>0</v>
      </c>
      <c r="W1528">
        <v>1</v>
      </c>
      <c r="X1528" s="8">
        <v>1</v>
      </c>
      <c r="Y1528" s="8">
        <v>0</v>
      </c>
      <c r="Z1528" s="33">
        <v>0</v>
      </c>
      <c r="AA1528">
        <v>5</v>
      </c>
      <c r="AB1528" s="34">
        <v>5320</v>
      </c>
      <c r="AC1528" s="87">
        <f t="shared" si="3"/>
        <v>581</v>
      </c>
      <c r="AD1528" s="62">
        <v>0</v>
      </c>
      <c r="AE1528" s="62">
        <v>0</v>
      </c>
      <c r="AF1528" s="62">
        <v>1</v>
      </c>
      <c r="AI1528" s="64"/>
      <c r="AJ1528" s="63">
        <v>1101807</v>
      </c>
      <c r="AL1528" s="64">
        <v>1</v>
      </c>
      <c r="AM1528" s="4"/>
      <c r="AN1528" s="93"/>
      <c r="AO1528" s="92"/>
      <c r="AQ1528" t="s">
        <v>4015</v>
      </c>
      <c r="AS1528">
        <v>1</v>
      </c>
    </row>
    <row r="1529" spans="1:45">
      <c r="A1529">
        <v>1101807</v>
      </c>
      <c r="B1529" s="8">
        <v>1001</v>
      </c>
      <c r="C1529" s="8">
        <v>5</v>
      </c>
      <c r="D1529" s="8">
        <v>1003</v>
      </c>
      <c r="E1529" t="s">
        <v>4017</v>
      </c>
      <c r="F1529" s="13" t="s">
        <v>4003</v>
      </c>
      <c r="G1529" t="s">
        <v>4018</v>
      </c>
      <c r="H1529" t="s">
        <v>4019</v>
      </c>
      <c r="I1529">
        <v>1</v>
      </c>
      <c r="J1529">
        <v>4</v>
      </c>
      <c r="K1529" s="33">
        <v>4</v>
      </c>
      <c r="L1529" s="8">
        <v>99</v>
      </c>
      <c r="M1529" s="8">
        <v>0</v>
      </c>
      <c r="N1529" s="8"/>
      <c r="S1529" s="89">
        <v>1</v>
      </c>
      <c r="T1529" s="8">
        <v>5</v>
      </c>
      <c r="U1529" s="89">
        <v>170</v>
      </c>
      <c r="V1529" s="87">
        <v>0</v>
      </c>
      <c r="W1529">
        <v>1</v>
      </c>
      <c r="X1529" s="8">
        <v>1</v>
      </c>
      <c r="Y1529" s="8">
        <v>0</v>
      </c>
      <c r="Z1529" s="33">
        <v>0</v>
      </c>
      <c r="AA1529">
        <v>5</v>
      </c>
      <c r="AB1529" s="34">
        <v>6460</v>
      </c>
      <c r="AC1529" s="87">
        <f t="shared" si="3"/>
        <v>300</v>
      </c>
      <c r="AD1529" s="62">
        <v>0</v>
      </c>
      <c r="AE1529" s="62">
        <v>0</v>
      </c>
      <c r="AF1529" s="62">
        <v>1</v>
      </c>
      <c r="AI1529" s="64"/>
      <c r="AJ1529" s="63">
        <v>1101808</v>
      </c>
      <c r="AL1529" s="64">
        <v>1</v>
      </c>
      <c r="AM1529" s="4"/>
      <c r="AN1529" s="93"/>
      <c r="AO1529" s="92"/>
      <c r="AQ1529" t="s">
        <v>4017</v>
      </c>
      <c r="AS1529">
        <v>1</v>
      </c>
    </row>
    <row r="1530" spans="1:45">
      <c r="A1530">
        <v>1101808</v>
      </c>
      <c r="B1530" s="8">
        <v>1001</v>
      </c>
      <c r="C1530" s="8">
        <v>5</v>
      </c>
      <c r="D1530" s="8">
        <v>1003</v>
      </c>
      <c r="E1530" t="s">
        <v>4020</v>
      </c>
      <c r="F1530" s="13" t="s">
        <v>4003</v>
      </c>
      <c r="G1530" t="s">
        <v>4021</v>
      </c>
      <c r="H1530" t="s">
        <v>4019</v>
      </c>
      <c r="I1530">
        <v>1</v>
      </c>
      <c r="J1530">
        <v>4</v>
      </c>
      <c r="K1530" s="33">
        <v>4</v>
      </c>
      <c r="L1530" s="8">
        <v>99</v>
      </c>
      <c r="M1530" s="8">
        <v>0</v>
      </c>
      <c r="N1530" s="8"/>
      <c r="S1530" s="89">
        <v>1</v>
      </c>
      <c r="T1530" s="8">
        <v>5</v>
      </c>
      <c r="U1530" s="89">
        <v>170</v>
      </c>
      <c r="V1530" s="87">
        <v>0</v>
      </c>
      <c r="W1530">
        <v>1</v>
      </c>
      <c r="X1530" s="8">
        <v>1</v>
      </c>
      <c r="Y1530" s="8">
        <v>0</v>
      </c>
      <c r="Z1530" s="33">
        <v>0</v>
      </c>
      <c r="AA1530">
        <v>5</v>
      </c>
      <c r="AB1530" s="34">
        <v>6460</v>
      </c>
      <c r="AC1530" s="87">
        <f t="shared" si="3"/>
        <v>297</v>
      </c>
      <c r="AD1530" s="62">
        <v>0</v>
      </c>
      <c r="AE1530" s="62">
        <v>0</v>
      </c>
      <c r="AF1530" s="62">
        <v>1</v>
      </c>
      <c r="AI1530" s="64"/>
      <c r="AJ1530" s="63">
        <v>1101809</v>
      </c>
      <c r="AL1530" s="64">
        <v>1</v>
      </c>
      <c r="AM1530" s="4"/>
      <c r="AN1530" s="93"/>
      <c r="AO1530" s="92"/>
      <c r="AQ1530" t="s">
        <v>4020</v>
      </c>
      <c r="AS1530">
        <v>1</v>
      </c>
    </row>
    <row r="1531" spans="1:45">
      <c r="A1531">
        <v>1101809</v>
      </c>
      <c r="B1531" s="8">
        <v>1001</v>
      </c>
      <c r="C1531" s="8">
        <v>5</v>
      </c>
      <c r="D1531" s="8">
        <v>1003</v>
      </c>
      <c r="E1531" t="s">
        <v>4022</v>
      </c>
      <c r="F1531" s="13" t="s">
        <v>4003</v>
      </c>
      <c r="G1531" t="s">
        <v>4023</v>
      </c>
      <c r="H1531" t="s">
        <v>4019</v>
      </c>
      <c r="I1531">
        <v>1</v>
      </c>
      <c r="J1531">
        <v>5</v>
      </c>
      <c r="K1531" s="33">
        <v>4</v>
      </c>
      <c r="L1531" s="8">
        <v>99</v>
      </c>
      <c r="M1531" s="8">
        <v>0</v>
      </c>
      <c r="N1531" s="8"/>
      <c r="S1531" s="89">
        <v>1</v>
      </c>
      <c r="T1531" s="8">
        <v>5</v>
      </c>
      <c r="U1531" s="89">
        <v>200</v>
      </c>
      <c r="V1531" s="87">
        <v>0</v>
      </c>
      <c r="W1531">
        <v>1</v>
      </c>
      <c r="X1531" s="8">
        <v>1</v>
      </c>
      <c r="Y1531" s="8">
        <v>0</v>
      </c>
      <c r="Z1531" s="33">
        <v>0</v>
      </c>
      <c r="AA1531">
        <v>5</v>
      </c>
      <c r="AB1531" s="34">
        <v>7600</v>
      </c>
      <c r="AC1531" s="87">
        <f t="shared" si="3"/>
        <v>296</v>
      </c>
      <c r="AD1531" s="62">
        <v>0</v>
      </c>
      <c r="AE1531" s="62">
        <v>0</v>
      </c>
      <c r="AF1531" s="62">
        <v>1</v>
      </c>
      <c r="AI1531" s="64"/>
      <c r="AJ1531" s="63">
        <v>1101810</v>
      </c>
      <c r="AL1531" s="64">
        <v>1</v>
      </c>
      <c r="AM1531" s="4"/>
      <c r="AN1531" s="93"/>
      <c r="AO1531" s="92"/>
      <c r="AQ1531" t="s">
        <v>4022</v>
      </c>
      <c r="AS1531">
        <v>1</v>
      </c>
    </row>
    <row r="1532" spans="1:45">
      <c r="A1532">
        <v>1101810</v>
      </c>
      <c r="B1532" s="8">
        <v>1001</v>
      </c>
      <c r="C1532" s="8">
        <v>5</v>
      </c>
      <c r="D1532" s="8">
        <v>1003</v>
      </c>
      <c r="E1532" t="s">
        <v>4024</v>
      </c>
      <c r="F1532" s="13" t="s">
        <v>4003</v>
      </c>
      <c r="G1532" t="s">
        <v>4025</v>
      </c>
      <c r="H1532" t="s">
        <v>4026</v>
      </c>
      <c r="I1532">
        <v>1</v>
      </c>
      <c r="J1532">
        <v>5</v>
      </c>
      <c r="K1532" s="33">
        <v>4</v>
      </c>
      <c r="L1532" s="8">
        <v>99</v>
      </c>
      <c r="M1532" s="8">
        <v>0</v>
      </c>
      <c r="N1532" s="8"/>
      <c r="S1532" s="89">
        <v>1</v>
      </c>
      <c r="T1532" s="8">
        <v>5</v>
      </c>
      <c r="U1532" s="89">
        <v>200</v>
      </c>
      <c r="V1532" s="87">
        <v>0</v>
      </c>
      <c r="W1532">
        <v>1</v>
      </c>
      <c r="X1532" s="8">
        <v>1</v>
      </c>
      <c r="Y1532" s="8">
        <v>0</v>
      </c>
      <c r="Z1532" s="33">
        <v>0</v>
      </c>
      <c r="AA1532">
        <v>5</v>
      </c>
      <c r="AB1532" s="34">
        <v>7600</v>
      </c>
      <c r="AC1532" s="87">
        <f t="shared" si="3"/>
        <v>295</v>
      </c>
      <c r="AD1532" s="62">
        <v>0</v>
      </c>
      <c r="AE1532" s="62">
        <v>0</v>
      </c>
      <c r="AF1532" s="62">
        <v>1</v>
      </c>
      <c r="AI1532" s="64"/>
      <c r="AJ1532" s="63">
        <v>1101811</v>
      </c>
      <c r="AL1532" s="64">
        <v>1</v>
      </c>
      <c r="AM1532" s="4"/>
      <c r="AN1532" s="93"/>
      <c r="AO1532" s="92"/>
      <c r="AQ1532" t="s">
        <v>4024</v>
      </c>
      <c r="AS1532">
        <v>1</v>
      </c>
    </row>
    <row r="1533" spans="1:45">
      <c r="A1533">
        <v>1101811</v>
      </c>
      <c r="B1533" s="8">
        <v>1001</v>
      </c>
      <c r="C1533" s="8">
        <v>5</v>
      </c>
      <c r="D1533" s="8">
        <v>1003</v>
      </c>
      <c r="E1533" t="s">
        <v>4027</v>
      </c>
      <c r="F1533" s="13" t="s">
        <v>4003</v>
      </c>
      <c r="G1533" t="s">
        <v>4028</v>
      </c>
      <c r="H1533" t="s">
        <v>4029</v>
      </c>
      <c r="I1533">
        <v>1</v>
      </c>
      <c r="J1533">
        <v>5</v>
      </c>
      <c r="K1533" s="33">
        <v>4</v>
      </c>
      <c r="L1533" s="8">
        <v>99</v>
      </c>
      <c r="M1533" s="8">
        <v>0</v>
      </c>
      <c r="N1533" s="8"/>
      <c r="S1533" s="89">
        <v>1</v>
      </c>
      <c r="T1533" s="8">
        <v>5</v>
      </c>
      <c r="U1533" s="89">
        <v>200</v>
      </c>
      <c r="V1533" s="87">
        <v>0</v>
      </c>
      <c r="W1533">
        <v>1</v>
      </c>
      <c r="X1533" s="8">
        <v>1</v>
      </c>
      <c r="Y1533" s="8">
        <v>0</v>
      </c>
      <c r="Z1533" s="33">
        <v>0</v>
      </c>
      <c r="AA1533">
        <v>5</v>
      </c>
      <c r="AB1533" s="34">
        <v>7600</v>
      </c>
      <c r="AC1533" s="87">
        <f>AC1531</f>
        <v>296</v>
      </c>
      <c r="AD1533" s="62">
        <v>0</v>
      </c>
      <c r="AE1533" s="62">
        <v>0</v>
      </c>
      <c r="AF1533" s="62">
        <v>1</v>
      </c>
      <c r="AI1533" s="64"/>
      <c r="AJ1533" s="63">
        <v>1101812</v>
      </c>
      <c r="AL1533" s="64">
        <v>1</v>
      </c>
      <c r="AM1533" s="4"/>
      <c r="AN1533" s="93"/>
      <c r="AO1533" s="92"/>
      <c r="AQ1533" t="s">
        <v>4027</v>
      </c>
      <c r="AS1533">
        <v>1</v>
      </c>
    </row>
    <row r="1534" spans="1:45">
      <c r="A1534">
        <v>1101812</v>
      </c>
      <c r="B1534" s="8">
        <v>1001</v>
      </c>
      <c r="C1534" s="8">
        <v>5</v>
      </c>
      <c r="D1534" s="8">
        <v>1003</v>
      </c>
      <c r="E1534" t="s">
        <v>4030</v>
      </c>
      <c r="F1534" s="13" t="s">
        <v>4003</v>
      </c>
      <c r="G1534" t="s">
        <v>4031</v>
      </c>
      <c r="H1534" t="s">
        <v>4029</v>
      </c>
      <c r="I1534">
        <v>1</v>
      </c>
      <c r="J1534">
        <v>5</v>
      </c>
      <c r="K1534" s="33">
        <v>1</v>
      </c>
      <c r="L1534" s="8">
        <v>99</v>
      </c>
      <c r="M1534" s="8">
        <v>0</v>
      </c>
      <c r="N1534" s="8"/>
      <c r="Q1534"/>
      <c r="S1534" s="89">
        <v>1</v>
      </c>
      <c r="T1534" s="8">
        <v>5</v>
      </c>
      <c r="U1534" s="89">
        <v>200</v>
      </c>
      <c r="V1534" s="87">
        <v>0</v>
      </c>
      <c r="W1534">
        <v>1</v>
      </c>
      <c r="X1534" s="8">
        <v>1</v>
      </c>
      <c r="Y1534" s="8">
        <v>0</v>
      </c>
      <c r="Z1534" s="33">
        <v>0</v>
      </c>
      <c r="AA1534">
        <v>5</v>
      </c>
      <c r="AB1534" s="34">
        <v>7600</v>
      </c>
      <c r="AC1534" s="87">
        <f>AC1532</f>
        <v>295</v>
      </c>
      <c r="AD1534" s="62">
        <v>0</v>
      </c>
      <c r="AE1534" s="62">
        <v>0</v>
      </c>
      <c r="AF1534" s="62">
        <v>1</v>
      </c>
      <c r="AI1534" s="64"/>
      <c r="AL1534" s="64">
        <v>1</v>
      </c>
      <c r="AM1534" s="4"/>
      <c r="AN1534" s="93"/>
      <c r="AO1534" s="92"/>
      <c r="AQ1534" t="s">
        <v>4030</v>
      </c>
      <c r="AS1534">
        <v>1</v>
      </c>
    </row>
    <row r="1535" spans="1:45">
      <c r="A1535">
        <v>1101901</v>
      </c>
      <c r="B1535" s="8">
        <v>1001</v>
      </c>
      <c r="C1535" s="8">
        <v>5</v>
      </c>
      <c r="D1535" s="8">
        <v>1003</v>
      </c>
      <c r="E1535" t="s">
        <v>4032</v>
      </c>
      <c r="F1535" s="13" t="s">
        <v>4033</v>
      </c>
      <c r="G1535" t="s">
        <v>4034</v>
      </c>
      <c r="H1535" t="s">
        <v>4035</v>
      </c>
      <c r="I1535">
        <v>1</v>
      </c>
      <c r="J1535">
        <v>1</v>
      </c>
      <c r="K1535" s="33">
        <v>4</v>
      </c>
      <c r="L1535" s="8">
        <v>99</v>
      </c>
      <c r="M1535" s="8">
        <v>0</v>
      </c>
      <c r="N1535" s="8"/>
      <c r="Q1535" t="s">
        <v>260</v>
      </c>
      <c r="S1535" s="89">
        <v>1</v>
      </c>
      <c r="T1535" s="8">
        <v>5</v>
      </c>
      <c r="U1535" s="89">
        <v>80</v>
      </c>
      <c r="V1535" s="87">
        <v>0</v>
      </c>
      <c r="W1535">
        <v>1</v>
      </c>
      <c r="X1535" s="8">
        <v>1</v>
      </c>
      <c r="Y1535" s="8">
        <v>0</v>
      </c>
      <c r="Z1535" s="33">
        <v>0</v>
      </c>
      <c r="AA1535">
        <v>5</v>
      </c>
      <c r="AB1535" s="34">
        <v>3040</v>
      </c>
      <c r="AC1535" s="87">
        <f t="shared" ref="AC1535:AC1556" si="4">AC1522+10</f>
        <v>294</v>
      </c>
      <c r="AD1535" s="62">
        <v>0</v>
      </c>
      <c r="AE1535" s="62">
        <v>0</v>
      </c>
      <c r="AF1535" s="62">
        <v>1</v>
      </c>
      <c r="AI1535" s="64"/>
      <c r="AJ1535" s="63">
        <v>1101902</v>
      </c>
      <c r="AL1535" s="64">
        <v>1</v>
      </c>
      <c r="AM1535" s="4"/>
      <c r="AN1535" s="93" t="s">
        <v>3535</v>
      </c>
      <c r="AO1535" s="92"/>
      <c r="AQ1535" t="s">
        <v>4032</v>
      </c>
      <c r="AS1535">
        <v>1</v>
      </c>
    </row>
    <row r="1536" spans="1:45">
      <c r="A1536">
        <v>1101902</v>
      </c>
      <c r="B1536" s="8">
        <v>1001</v>
      </c>
      <c r="C1536" s="8">
        <v>5</v>
      </c>
      <c r="D1536" s="8">
        <v>1003</v>
      </c>
      <c r="E1536" t="s">
        <v>4036</v>
      </c>
      <c r="F1536" s="13" t="s">
        <v>4033</v>
      </c>
      <c r="G1536" t="s">
        <v>4037</v>
      </c>
      <c r="H1536" t="s">
        <v>4035</v>
      </c>
      <c r="I1536">
        <v>1</v>
      </c>
      <c r="J1536">
        <v>1</v>
      </c>
      <c r="K1536" s="33">
        <v>4</v>
      </c>
      <c r="L1536" s="8">
        <v>99</v>
      </c>
      <c r="M1536" s="8">
        <v>0</v>
      </c>
      <c r="N1536" s="8"/>
      <c r="Q1536" t="s">
        <v>260</v>
      </c>
      <c r="S1536" s="89">
        <v>1</v>
      </c>
      <c r="T1536" s="8">
        <v>5</v>
      </c>
      <c r="U1536" s="89">
        <v>80</v>
      </c>
      <c r="V1536" s="87">
        <v>0</v>
      </c>
      <c r="W1536">
        <v>1</v>
      </c>
      <c r="X1536" s="8">
        <v>1</v>
      </c>
      <c r="Y1536" s="8">
        <v>0</v>
      </c>
      <c r="Z1536" s="33">
        <v>0</v>
      </c>
      <c r="AA1536">
        <v>5</v>
      </c>
      <c r="AB1536" s="34">
        <v>3040</v>
      </c>
      <c r="AC1536" s="87">
        <f t="shared" si="4"/>
        <v>293</v>
      </c>
      <c r="AD1536" s="62">
        <v>0</v>
      </c>
      <c r="AE1536" s="62">
        <v>0</v>
      </c>
      <c r="AF1536" s="62">
        <v>1</v>
      </c>
      <c r="AI1536" s="64"/>
      <c r="AJ1536" s="63">
        <v>1101903</v>
      </c>
      <c r="AL1536" s="64">
        <v>1</v>
      </c>
      <c r="AM1536" s="4"/>
      <c r="AN1536" s="93"/>
      <c r="AO1536" s="92"/>
      <c r="AQ1536" t="s">
        <v>4036</v>
      </c>
      <c r="AS1536">
        <v>1</v>
      </c>
    </row>
    <row r="1537" spans="1:45">
      <c r="A1537">
        <v>1101903</v>
      </c>
      <c r="B1537" s="8">
        <v>1001</v>
      </c>
      <c r="C1537" s="8">
        <v>5</v>
      </c>
      <c r="D1537" s="8">
        <v>1003</v>
      </c>
      <c r="E1537" t="s">
        <v>4038</v>
      </c>
      <c r="F1537" s="13" t="s">
        <v>4033</v>
      </c>
      <c r="G1537" t="s">
        <v>4039</v>
      </c>
      <c r="H1537" t="s">
        <v>4035</v>
      </c>
      <c r="I1537">
        <v>1</v>
      </c>
      <c r="J1537">
        <v>2</v>
      </c>
      <c r="K1537" s="33">
        <v>4</v>
      </c>
      <c r="L1537" s="8">
        <v>99</v>
      </c>
      <c r="M1537" s="8">
        <v>0</v>
      </c>
      <c r="N1537" s="8"/>
      <c r="Q1537" t="s">
        <v>260</v>
      </c>
      <c r="S1537" s="89">
        <v>1</v>
      </c>
      <c r="T1537" s="8">
        <v>5</v>
      </c>
      <c r="U1537" s="89">
        <v>110</v>
      </c>
      <c r="V1537" s="87">
        <v>0</v>
      </c>
      <c r="W1537">
        <v>1</v>
      </c>
      <c r="X1537" s="8">
        <v>1</v>
      </c>
      <c r="Y1537" s="8">
        <v>0</v>
      </c>
      <c r="Z1537" s="33">
        <v>0</v>
      </c>
      <c r="AA1537">
        <v>5</v>
      </c>
      <c r="AB1537" s="34">
        <v>4180</v>
      </c>
      <c r="AC1537" s="87">
        <f t="shared" si="4"/>
        <v>292</v>
      </c>
      <c r="AD1537" s="62">
        <v>0</v>
      </c>
      <c r="AE1537" s="62">
        <v>0</v>
      </c>
      <c r="AF1537" s="62">
        <v>1</v>
      </c>
      <c r="AI1537" s="64"/>
      <c r="AJ1537" s="63">
        <v>1101904</v>
      </c>
      <c r="AL1537" s="64">
        <v>1</v>
      </c>
      <c r="AM1537" s="4"/>
      <c r="AN1537" s="93"/>
      <c r="AO1537" s="92"/>
      <c r="AQ1537" t="s">
        <v>4038</v>
      </c>
      <c r="AS1537">
        <v>1</v>
      </c>
    </row>
    <row r="1538" spans="1:45">
      <c r="A1538">
        <v>1101904</v>
      </c>
      <c r="B1538" s="8">
        <v>1001</v>
      </c>
      <c r="C1538" s="8">
        <v>5</v>
      </c>
      <c r="D1538" s="8">
        <v>1003</v>
      </c>
      <c r="E1538" t="s">
        <v>4040</v>
      </c>
      <c r="F1538" s="13" t="s">
        <v>4033</v>
      </c>
      <c r="G1538" t="s">
        <v>4041</v>
      </c>
      <c r="H1538" t="s">
        <v>4042</v>
      </c>
      <c r="I1538">
        <v>1</v>
      </c>
      <c r="J1538">
        <v>2</v>
      </c>
      <c r="K1538" s="33">
        <v>4</v>
      </c>
      <c r="L1538" s="8">
        <v>99</v>
      </c>
      <c r="M1538" s="8">
        <v>0</v>
      </c>
      <c r="N1538" s="8"/>
      <c r="Q1538" t="s">
        <v>260</v>
      </c>
      <c r="S1538" s="89">
        <v>1</v>
      </c>
      <c r="T1538" s="8">
        <v>5</v>
      </c>
      <c r="U1538" s="89">
        <v>110</v>
      </c>
      <c r="V1538" s="87">
        <v>0</v>
      </c>
      <c r="W1538">
        <v>1</v>
      </c>
      <c r="X1538" s="8">
        <v>1</v>
      </c>
      <c r="Y1538" s="8">
        <v>0</v>
      </c>
      <c r="Z1538" s="33">
        <v>0</v>
      </c>
      <c r="AA1538">
        <v>5</v>
      </c>
      <c r="AB1538" s="34">
        <v>4180</v>
      </c>
      <c r="AC1538" s="87">
        <f t="shared" si="4"/>
        <v>291</v>
      </c>
      <c r="AD1538" s="62">
        <v>0</v>
      </c>
      <c r="AE1538" s="62">
        <v>0</v>
      </c>
      <c r="AF1538" s="62">
        <v>1</v>
      </c>
      <c r="AI1538" s="64"/>
      <c r="AJ1538" s="63">
        <v>1101905</v>
      </c>
      <c r="AL1538" s="64">
        <v>1</v>
      </c>
      <c r="AM1538" s="4"/>
      <c r="AN1538" s="93"/>
      <c r="AO1538" s="92"/>
      <c r="AQ1538" t="s">
        <v>4040</v>
      </c>
      <c r="AS1538">
        <v>1</v>
      </c>
    </row>
    <row r="1539" spans="1:45">
      <c r="A1539">
        <v>1101905</v>
      </c>
      <c r="B1539" s="8">
        <v>1001</v>
      </c>
      <c r="C1539" s="8">
        <v>5</v>
      </c>
      <c r="D1539" s="8">
        <v>1003</v>
      </c>
      <c r="E1539" t="s">
        <v>4043</v>
      </c>
      <c r="F1539" s="13" t="s">
        <v>4033</v>
      </c>
      <c r="G1539" t="s">
        <v>4044</v>
      </c>
      <c r="H1539" t="s">
        <v>4042</v>
      </c>
      <c r="I1539">
        <v>1</v>
      </c>
      <c r="J1539">
        <v>3</v>
      </c>
      <c r="K1539" s="33">
        <v>4</v>
      </c>
      <c r="L1539" s="8">
        <v>99</v>
      </c>
      <c r="M1539" s="8">
        <v>0</v>
      </c>
      <c r="N1539" s="8"/>
      <c r="Q1539" t="s">
        <v>260</v>
      </c>
      <c r="S1539" s="89">
        <v>1</v>
      </c>
      <c r="T1539" s="8">
        <v>5</v>
      </c>
      <c r="U1539" s="89">
        <v>140</v>
      </c>
      <c r="V1539" s="87">
        <v>0</v>
      </c>
      <c r="W1539">
        <v>1</v>
      </c>
      <c r="X1539" s="8">
        <v>1</v>
      </c>
      <c r="Y1539" s="8">
        <v>0</v>
      </c>
      <c r="Z1539" s="33">
        <v>0</v>
      </c>
      <c r="AA1539">
        <v>5</v>
      </c>
      <c r="AB1539" s="34">
        <v>5320</v>
      </c>
      <c r="AC1539" s="87">
        <f t="shared" si="4"/>
        <v>291</v>
      </c>
      <c r="AD1539" s="62">
        <v>0</v>
      </c>
      <c r="AE1539" s="62">
        <v>0</v>
      </c>
      <c r="AF1539" s="62">
        <v>1</v>
      </c>
      <c r="AI1539" s="64"/>
      <c r="AJ1539" s="63">
        <v>1101906</v>
      </c>
      <c r="AL1539" s="64">
        <v>1</v>
      </c>
      <c r="AM1539" s="4"/>
      <c r="AN1539" s="93"/>
      <c r="AO1539" s="92"/>
      <c r="AQ1539" t="s">
        <v>4043</v>
      </c>
      <c r="AS1539">
        <v>1</v>
      </c>
    </row>
    <row r="1540" spans="1:45">
      <c r="A1540">
        <v>1101906</v>
      </c>
      <c r="B1540" s="8">
        <v>1001</v>
      </c>
      <c r="C1540" s="8">
        <v>5</v>
      </c>
      <c r="D1540" s="8">
        <v>1003</v>
      </c>
      <c r="E1540" t="s">
        <v>4045</v>
      </c>
      <c r="F1540" s="13" t="s">
        <v>4033</v>
      </c>
      <c r="G1540" t="s">
        <v>4046</v>
      </c>
      <c r="H1540" t="s">
        <v>4042</v>
      </c>
      <c r="I1540">
        <v>1</v>
      </c>
      <c r="J1540">
        <v>3</v>
      </c>
      <c r="K1540" s="33">
        <v>4</v>
      </c>
      <c r="L1540" s="8">
        <v>99</v>
      </c>
      <c r="M1540" s="8">
        <v>0</v>
      </c>
      <c r="N1540" s="8"/>
      <c r="Q1540" t="s">
        <v>260</v>
      </c>
      <c r="S1540" s="89">
        <v>1</v>
      </c>
      <c r="T1540" s="8">
        <v>5</v>
      </c>
      <c r="U1540" s="89">
        <v>140</v>
      </c>
      <c r="V1540" s="87">
        <v>0</v>
      </c>
      <c r="W1540">
        <v>1</v>
      </c>
      <c r="X1540" s="8">
        <v>1</v>
      </c>
      <c r="Y1540" s="8">
        <v>0</v>
      </c>
      <c r="Z1540" s="33">
        <v>0</v>
      </c>
      <c r="AA1540">
        <v>5</v>
      </c>
      <c r="AB1540" s="34">
        <v>5320</v>
      </c>
      <c r="AC1540" s="87">
        <f t="shared" si="4"/>
        <v>291</v>
      </c>
      <c r="AD1540" s="62">
        <v>0</v>
      </c>
      <c r="AE1540" s="62">
        <v>0</v>
      </c>
      <c r="AF1540" s="62">
        <v>1</v>
      </c>
      <c r="AI1540" s="64"/>
      <c r="AJ1540" s="63">
        <v>1101907</v>
      </c>
      <c r="AL1540" s="64">
        <v>1</v>
      </c>
      <c r="AM1540" s="4"/>
      <c r="AN1540" s="93"/>
      <c r="AO1540" s="92"/>
      <c r="AQ1540" t="s">
        <v>4045</v>
      </c>
      <c r="AS1540">
        <v>1</v>
      </c>
    </row>
    <row r="1541" spans="1:45">
      <c r="A1541">
        <v>1101907</v>
      </c>
      <c r="B1541" s="8">
        <v>1001</v>
      </c>
      <c r="C1541" s="8">
        <v>5</v>
      </c>
      <c r="D1541" s="8">
        <v>1003</v>
      </c>
      <c r="E1541" t="s">
        <v>4047</v>
      </c>
      <c r="F1541" s="13" t="s">
        <v>4033</v>
      </c>
      <c r="G1541" t="s">
        <v>4048</v>
      </c>
      <c r="H1541" t="s">
        <v>4049</v>
      </c>
      <c r="I1541">
        <v>1</v>
      </c>
      <c r="J1541">
        <v>4</v>
      </c>
      <c r="K1541" s="33">
        <v>4</v>
      </c>
      <c r="L1541" s="8">
        <v>99</v>
      </c>
      <c r="M1541" s="8">
        <v>0</v>
      </c>
      <c r="N1541" s="8"/>
      <c r="S1541" s="89">
        <v>1</v>
      </c>
      <c r="T1541" s="8">
        <v>5</v>
      </c>
      <c r="U1541" s="89">
        <v>170</v>
      </c>
      <c r="V1541" s="87">
        <v>0</v>
      </c>
      <c r="W1541">
        <v>1</v>
      </c>
      <c r="X1541" s="8">
        <v>1</v>
      </c>
      <c r="Y1541" s="8">
        <v>0</v>
      </c>
      <c r="Z1541" s="33">
        <v>0</v>
      </c>
      <c r="AA1541">
        <v>5</v>
      </c>
      <c r="AB1541" s="34">
        <v>6460</v>
      </c>
      <c r="AC1541" s="87">
        <f t="shared" si="4"/>
        <v>591</v>
      </c>
      <c r="AD1541" s="62">
        <v>0</v>
      </c>
      <c r="AE1541" s="62">
        <v>0</v>
      </c>
      <c r="AF1541" s="62">
        <v>1</v>
      </c>
      <c r="AI1541" s="64"/>
      <c r="AJ1541" s="63">
        <v>1101908</v>
      </c>
      <c r="AL1541" s="64">
        <v>1</v>
      </c>
      <c r="AM1541" s="4"/>
      <c r="AN1541" s="93"/>
      <c r="AO1541" s="92"/>
      <c r="AQ1541" t="s">
        <v>4047</v>
      </c>
      <c r="AS1541">
        <v>1</v>
      </c>
    </row>
    <row r="1542" spans="1:45">
      <c r="A1542">
        <v>1101908</v>
      </c>
      <c r="B1542" s="8">
        <v>1001</v>
      </c>
      <c r="C1542" s="8">
        <v>5</v>
      </c>
      <c r="D1542" s="8">
        <v>1003</v>
      </c>
      <c r="E1542" t="s">
        <v>4050</v>
      </c>
      <c r="F1542" s="13" t="s">
        <v>4033</v>
      </c>
      <c r="G1542" t="s">
        <v>4051</v>
      </c>
      <c r="H1542" t="s">
        <v>4049</v>
      </c>
      <c r="I1542">
        <v>1</v>
      </c>
      <c r="J1542">
        <v>4</v>
      </c>
      <c r="K1542" s="33">
        <v>4</v>
      </c>
      <c r="L1542" s="8">
        <v>99</v>
      </c>
      <c r="M1542" s="8">
        <v>0</v>
      </c>
      <c r="N1542" s="8"/>
      <c r="S1542" s="89">
        <v>1</v>
      </c>
      <c r="T1542" s="8">
        <v>5</v>
      </c>
      <c r="U1542" s="89">
        <v>170</v>
      </c>
      <c r="V1542" s="87">
        <v>0</v>
      </c>
      <c r="W1542">
        <v>1</v>
      </c>
      <c r="X1542" s="8">
        <v>1</v>
      </c>
      <c r="Y1542" s="8">
        <v>0</v>
      </c>
      <c r="Z1542" s="33">
        <v>0</v>
      </c>
      <c r="AA1542">
        <v>5</v>
      </c>
      <c r="AB1542" s="34">
        <v>6460</v>
      </c>
      <c r="AC1542" s="87">
        <f t="shared" si="4"/>
        <v>310</v>
      </c>
      <c r="AD1542" s="62">
        <v>0</v>
      </c>
      <c r="AE1542" s="62">
        <v>0</v>
      </c>
      <c r="AF1542" s="62">
        <v>1</v>
      </c>
      <c r="AI1542" s="64"/>
      <c r="AJ1542" s="63">
        <v>1101909</v>
      </c>
      <c r="AL1542" s="64">
        <v>1</v>
      </c>
      <c r="AM1542" s="4"/>
      <c r="AN1542" s="93"/>
      <c r="AO1542" s="92"/>
      <c r="AQ1542" t="s">
        <v>4050</v>
      </c>
      <c r="AS1542">
        <v>1</v>
      </c>
    </row>
    <row r="1543" spans="1:45">
      <c r="A1543">
        <v>1101909</v>
      </c>
      <c r="B1543" s="8">
        <v>1001</v>
      </c>
      <c r="C1543" s="8">
        <v>5</v>
      </c>
      <c r="D1543" s="8">
        <v>1003</v>
      </c>
      <c r="E1543" t="s">
        <v>4052</v>
      </c>
      <c r="F1543" s="13" t="s">
        <v>4033</v>
      </c>
      <c r="G1543" t="s">
        <v>4053</v>
      </c>
      <c r="H1543" t="s">
        <v>4049</v>
      </c>
      <c r="I1543">
        <v>1</v>
      </c>
      <c r="J1543">
        <v>5</v>
      </c>
      <c r="K1543" s="33">
        <v>4</v>
      </c>
      <c r="L1543" s="8">
        <v>99</v>
      </c>
      <c r="M1543" s="8">
        <v>0</v>
      </c>
      <c r="N1543" s="8"/>
      <c r="S1543" s="89">
        <v>1</v>
      </c>
      <c r="T1543" s="8">
        <v>5</v>
      </c>
      <c r="U1543" s="89">
        <v>200</v>
      </c>
      <c r="V1543" s="87">
        <v>0</v>
      </c>
      <c r="W1543">
        <v>1</v>
      </c>
      <c r="X1543" s="8">
        <v>1</v>
      </c>
      <c r="Y1543" s="8">
        <v>0</v>
      </c>
      <c r="Z1543" s="33">
        <v>0</v>
      </c>
      <c r="AA1543">
        <v>5</v>
      </c>
      <c r="AB1543" s="34">
        <v>7600</v>
      </c>
      <c r="AC1543" s="87">
        <f t="shared" si="4"/>
        <v>307</v>
      </c>
      <c r="AD1543" s="62">
        <v>0</v>
      </c>
      <c r="AE1543" s="62">
        <v>0</v>
      </c>
      <c r="AF1543" s="62">
        <v>1</v>
      </c>
      <c r="AI1543" s="64"/>
      <c r="AJ1543" s="63">
        <v>1101910</v>
      </c>
      <c r="AL1543" s="64">
        <v>1</v>
      </c>
      <c r="AM1543" s="4"/>
      <c r="AN1543" s="93"/>
      <c r="AO1543" s="92"/>
      <c r="AQ1543" t="s">
        <v>4052</v>
      </c>
      <c r="AS1543">
        <v>1</v>
      </c>
    </row>
    <row r="1544" spans="1:45">
      <c r="A1544">
        <v>1101910</v>
      </c>
      <c r="B1544" s="8">
        <v>1001</v>
      </c>
      <c r="C1544" s="8">
        <v>5</v>
      </c>
      <c r="D1544" s="8">
        <v>1003</v>
      </c>
      <c r="E1544" t="s">
        <v>4054</v>
      </c>
      <c r="F1544" s="13" t="s">
        <v>4033</v>
      </c>
      <c r="G1544" t="s">
        <v>4055</v>
      </c>
      <c r="H1544" t="s">
        <v>4056</v>
      </c>
      <c r="I1544">
        <v>1</v>
      </c>
      <c r="J1544">
        <v>5</v>
      </c>
      <c r="K1544" s="33">
        <v>4</v>
      </c>
      <c r="L1544" s="8">
        <v>99</v>
      </c>
      <c r="M1544" s="8">
        <v>0</v>
      </c>
      <c r="N1544" s="8"/>
      <c r="S1544" s="89">
        <v>1</v>
      </c>
      <c r="T1544" s="8">
        <v>5</v>
      </c>
      <c r="U1544" s="89">
        <v>200</v>
      </c>
      <c r="V1544" s="87">
        <v>0</v>
      </c>
      <c r="W1544">
        <v>1</v>
      </c>
      <c r="X1544" s="8">
        <v>1</v>
      </c>
      <c r="Y1544" s="8">
        <v>0</v>
      </c>
      <c r="Z1544" s="33">
        <v>0</v>
      </c>
      <c r="AA1544">
        <v>5</v>
      </c>
      <c r="AB1544" s="34">
        <v>7600</v>
      </c>
      <c r="AC1544" s="87">
        <f t="shared" si="4"/>
        <v>306</v>
      </c>
      <c r="AD1544" s="62">
        <v>0</v>
      </c>
      <c r="AE1544" s="62">
        <v>0</v>
      </c>
      <c r="AF1544" s="62">
        <v>1</v>
      </c>
      <c r="AI1544" s="64"/>
      <c r="AJ1544" s="63">
        <v>1101911</v>
      </c>
      <c r="AL1544" s="64">
        <v>1</v>
      </c>
      <c r="AM1544" s="4"/>
      <c r="AN1544" s="93"/>
      <c r="AO1544" s="92"/>
      <c r="AQ1544" t="s">
        <v>4054</v>
      </c>
      <c r="AS1544">
        <v>1</v>
      </c>
    </row>
    <row r="1545" spans="1:45">
      <c r="A1545">
        <v>1101911</v>
      </c>
      <c r="B1545" s="8">
        <v>1001</v>
      </c>
      <c r="C1545" s="8">
        <v>5</v>
      </c>
      <c r="D1545" s="8">
        <v>1003</v>
      </c>
      <c r="E1545" t="s">
        <v>4057</v>
      </c>
      <c r="F1545" s="13" t="s">
        <v>4033</v>
      </c>
      <c r="G1545" t="s">
        <v>4058</v>
      </c>
      <c r="H1545" t="s">
        <v>4059</v>
      </c>
      <c r="I1545">
        <v>1</v>
      </c>
      <c r="J1545">
        <v>5</v>
      </c>
      <c r="K1545" s="33">
        <v>4</v>
      </c>
      <c r="L1545" s="8">
        <v>99</v>
      </c>
      <c r="M1545" s="8">
        <v>0</v>
      </c>
      <c r="N1545" s="8"/>
      <c r="S1545" s="89">
        <v>1</v>
      </c>
      <c r="T1545" s="8">
        <v>5</v>
      </c>
      <c r="U1545" s="89">
        <v>200</v>
      </c>
      <c r="V1545" s="87">
        <v>0</v>
      </c>
      <c r="W1545">
        <v>1</v>
      </c>
      <c r="X1545" s="8">
        <v>1</v>
      </c>
      <c r="Y1545" s="8">
        <v>0</v>
      </c>
      <c r="Z1545" s="33">
        <v>0</v>
      </c>
      <c r="AA1545">
        <v>5</v>
      </c>
      <c r="AB1545" s="34">
        <v>7600</v>
      </c>
      <c r="AC1545" s="87">
        <f t="shared" si="4"/>
        <v>305</v>
      </c>
      <c r="AD1545" s="62">
        <v>0</v>
      </c>
      <c r="AE1545" s="62">
        <v>0</v>
      </c>
      <c r="AF1545" s="62">
        <v>1</v>
      </c>
      <c r="AI1545" s="64"/>
      <c r="AJ1545" s="63">
        <v>1101912</v>
      </c>
      <c r="AL1545" s="64">
        <v>1</v>
      </c>
      <c r="AM1545" s="4"/>
      <c r="AN1545" s="93"/>
      <c r="AO1545" s="92"/>
      <c r="AQ1545" t="s">
        <v>4057</v>
      </c>
      <c r="AS1545">
        <v>1</v>
      </c>
    </row>
    <row r="1546" spans="1:45">
      <c r="A1546">
        <v>1101912</v>
      </c>
      <c r="B1546" s="8">
        <v>1001</v>
      </c>
      <c r="C1546" s="8">
        <v>5</v>
      </c>
      <c r="D1546" s="8">
        <v>1003</v>
      </c>
      <c r="E1546" t="s">
        <v>4060</v>
      </c>
      <c r="F1546" s="13" t="s">
        <v>4033</v>
      </c>
      <c r="G1546" t="s">
        <v>4061</v>
      </c>
      <c r="H1546" t="s">
        <v>4059</v>
      </c>
      <c r="I1546">
        <v>1</v>
      </c>
      <c r="J1546">
        <v>5</v>
      </c>
      <c r="K1546" s="33">
        <v>1</v>
      </c>
      <c r="L1546" s="8">
        <v>99</v>
      </c>
      <c r="M1546" s="8">
        <v>0</v>
      </c>
      <c r="N1546" s="8"/>
      <c r="Q1546"/>
      <c r="S1546" s="89">
        <v>1</v>
      </c>
      <c r="T1546" s="8">
        <v>5</v>
      </c>
      <c r="U1546" s="89">
        <v>200</v>
      </c>
      <c r="V1546" s="87">
        <v>0</v>
      </c>
      <c r="W1546">
        <v>1</v>
      </c>
      <c r="X1546" s="8">
        <v>1</v>
      </c>
      <c r="Y1546" s="8">
        <v>0</v>
      </c>
      <c r="Z1546" s="33">
        <v>0</v>
      </c>
      <c r="AA1546">
        <v>5</v>
      </c>
      <c r="AB1546" s="34">
        <v>7600</v>
      </c>
      <c r="AC1546" s="87">
        <f t="shared" si="4"/>
        <v>306</v>
      </c>
      <c r="AD1546" s="62">
        <v>0</v>
      </c>
      <c r="AE1546" s="62">
        <v>0</v>
      </c>
      <c r="AF1546" s="62">
        <v>1</v>
      </c>
      <c r="AI1546" s="64"/>
      <c r="AL1546" s="64">
        <v>1</v>
      </c>
      <c r="AM1546" s="4"/>
      <c r="AN1546" s="93"/>
      <c r="AO1546" s="92"/>
      <c r="AQ1546" t="s">
        <v>4060</v>
      </c>
      <c r="AS1546">
        <v>1</v>
      </c>
    </row>
    <row r="1547" spans="1:45">
      <c r="A1547">
        <v>1102001</v>
      </c>
      <c r="B1547" s="8">
        <v>1001</v>
      </c>
      <c r="C1547" s="8">
        <v>5</v>
      </c>
      <c r="D1547" s="8">
        <v>1003</v>
      </c>
      <c r="E1547" t="s">
        <v>4062</v>
      </c>
      <c r="F1547" s="13" t="s">
        <v>4063</v>
      </c>
      <c r="G1547" t="s">
        <v>4064</v>
      </c>
      <c r="H1547" t="s">
        <v>4065</v>
      </c>
      <c r="I1547">
        <v>1</v>
      </c>
      <c r="J1547">
        <v>1</v>
      </c>
      <c r="K1547" s="33">
        <v>4</v>
      </c>
      <c r="L1547" s="8">
        <v>99</v>
      </c>
      <c r="M1547" s="8">
        <v>0</v>
      </c>
      <c r="N1547" s="8"/>
      <c r="Q1547" t="s">
        <v>260</v>
      </c>
      <c r="S1547" s="89">
        <v>1</v>
      </c>
      <c r="T1547" s="8">
        <v>5</v>
      </c>
      <c r="U1547" s="89">
        <v>80</v>
      </c>
      <c r="V1547" s="87">
        <v>0</v>
      </c>
      <c r="W1547">
        <v>1</v>
      </c>
      <c r="X1547" s="8">
        <v>1</v>
      </c>
      <c r="Y1547" s="8">
        <v>0</v>
      </c>
      <c r="Z1547" s="33">
        <v>0</v>
      </c>
      <c r="AA1547">
        <v>5</v>
      </c>
      <c r="AB1547" s="34">
        <v>3040</v>
      </c>
      <c r="AC1547" s="87">
        <f t="shared" si="4"/>
        <v>305</v>
      </c>
      <c r="AD1547" s="62">
        <v>0</v>
      </c>
      <c r="AE1547" s="62">
        <v>0</v>
      </c>
      <c r="AF1547" s="62">
        <v>1</v>
      </c>
      <c r="AI1547" s="64"/>
      <c r="AJ1547" s="63">
        <v>1102002</v>
      </c>
      <c r="AL1547" s="64">
        <v>1</v>
      </c>
      <c r="AM1547" s="4"/>
      <c r="AN1547" s="93" t="s">
        <v>3535</v>
      </c>
      <c r="AO1547" s="92"/>
      <c r="AQ1547" t="s">
        <v>4062</v>
      </c>
      <c r="AS1547">
        <v>1</v>
      </c>
    </row>
    <row r="1548" spans="1:45">
      <c r="A1548">
        <v>1102002</v>
      </c>
      <c r="B1548" s="8">
        <v>1001</v>
      </c>
      <c r="C1548" s="8">
        <v>5</v>
      </c>
      <c r="D1548" s="8">
        <v>1003</v>
      </c>
      <c r="E1548" t="s">
        <v>4066</v>
      </c>
      <c r="F1548" s="13" t="s">
        <v>4063</v>
      </c>
      <c r="G1548" t="s">
        <v>4067</v>
      </c>
      <c r="H1548" t="s">
        <v>4065</v>
      </c>
      <c r="I1548">
        <v>1</v>
      </c>
      <c r="J1548">
        <v>1</v>
      </c>
      <c r="K1548" s="33">
        <v>4</v>
      </c>
      <c r="L1548" s="8">
        <v>99</v>
      </c>
      <c r="M1548" s="8">
        <v>0</v>
      </c>
      <c r="N1548" s="8"/>
      <c r="Q1548" t="s">
        <v>260</v>
      </c>
      <c r="S1548" s="89">
        <v>1</v>
      </c>
      <c r="T1548" s="8">
        <v>5</v>
      </c>
      <c r="U1548" s="89">
        <v>80</v>
      </c>
      <c r="V1548" s="87">
        <v>0</v>
      </c>
      <c r="W1548">
        <v>1</v>
      </c>
      <c r="X1548" s="8">
        <v>1</v>
      </c>
      <c r="Y1548" s="8">
        <v>0</v>
      </c>
      <c r="Z1548" s="33">
        <v>0</v>
      </c>
      <c r="AA1548">
        <v>5</v>
      </c>
      <c r="AB1548" s="34">
        <v>3040</v>
      </c>
      <c r="AC1548" s="87">
        <f t="shared" si="4"/>
        <v>304</v>
      </c>
      <c r="AD1548" s="62">
        <v>0</v>
      </c>
      <c r="AE1548" s="62">
        <v>0</v>
      </c>
      <c r="AF1548" s="62">
        <v>1</v>
      </c>
      <c r="AI1548" s="64"/>
      <c r="AJ1548" s="63">
        <v>1102003</v>
      </c>
      <c r="AL1548" s="64">
        <v>1</v>
      </c>
      <c r="AM1548" s="4"/>
      <c r="AN1548" s="93"/>
      <c r="AO1548" s="92"/>
      <c r="AQ1548" t="s">
        <v>4066</v>
      </c>
      <c r="AS1548">
        <v>1</v>
      </c>
    </row>
    <row r="1549" spans="1:45">
      <c r="A1549">
        <v>1102003</v>
      </c>
      <c r="B1549" s="8">
        <v>1001</v>
      </c>
      <c r="C1549" s="8">
        <v>5</v>
      </c>
      <c r="D1549" s="8">
        <v>1003</v>
      </c>
      <c r="E1549" t="s">
        <v>4068</v>
      </c>
      <c r="F1549" s="13" t="s">
        <v>4063</v>
      </c>
      <c r="G1549" t="s">
        <v>4069</v>
      </c>
      <c r="H1549" t="s">
        <v>4065</v>
      </c>
      <c r="I1549">
        <v>1</v>
      </c>
      <c r="J1549">
        <v>2</v>
      </c>
      <c r="K1549" s="33">
        <v>4</v>
      </c>
      <c r="L1549" s="8">
        <v>99</v>
      </c>
      <c r="M1549" s="8">
        <v>0</v>
      </c>
      <c r="N1549" s="8"/>
      <c r="Q1549" t="s">
        <v>260</v>
      </c>
      <c r="S1549" s="89">
        <v>1</v>
      </c>
      <c r="T1549" s="8">
        <v>5</v>
      </c>
      <c r="U1549" s="89">
        <v>110</v>
      </c>
      <c r="V1549" s="87">
        <v>0</v>
      </c>
      <c r="W1549">
        <v>1</v>
      </c>
      <c r="X1549" s="8">
        <v>1</v>
      </c>
      <c r="Y1549" s="8">
        <v>0</v>
      </c>
      <c r="Z1549" s="33">
        <v>0</v>
      </c>
      <c r="AA1549">
        <v>5</v>
      </c>
      <c r="AB1549" s="34">
        <v>4180</v>
      </c>
      <c r="AC1549" s="87">
        <f t="shared" si="4"/>
        <v>303</v>
      </c>
      <c r="AD1549" s="62">
        <v>0</v>
      </c>
      <c r="AE1549" s="62">
        <v>0</v>
      </c>
      <c r="AF1549" s="62">
        <v>1</v>
      </c>
      <c r="AI1549" s="64"/>
      <c r="AJ1549" s="63">
        <v>1102004</v>
      </c>
      <c r="AL1549" s="64">
        <v>1</v>
      </c>
      <c r="AM1549" s="4"/>
      <c r="AN1549" s="93"/>
      <c r="AO1549" s="92"/>
      <c r="AQ1549" t="s">
        <v>4068</v>
      </c>
      <c r="AS1549">
        <v>1</v>
      </c>
    </row>
    <row r="1550" spans="1:45">
      <c r="A1550">
        <v>1102004</v>
      </c>
      <c r="B1550" s="8">
        <v>1001</v>
      </c>
      <c r="C1550" s="8">
        <v>5</v>
      </c>
      <c r="D1550" s="8">
        <v>1003</v>
      </c>
      <c r="E1550" t="s">
        <v>4070</v>
      </c>
      <c r="F1550" s="13" t="s">
        <v>4063</v>
      </c>
      <c r="G1550" t="s">
        <v>4071</v>
      </c>
      <c r="H1550" t="s">
        <v>4072</v>
      </c>
      <c r="I1550">
        <v>1</v>
      </c>
      <c r="J1550">
        <v>2</v>
      </c>
      <c r="K1550" s="33">
        <v>4</v>
      </c>
      <c r="L1550" s="8">
        <v>99</v>
      </c>
      <c r="M1550" s="8">
        <v>0</v>
      </c>
      <c r="N1550" s="8"/>
      <c r="Q1550" t="s">
        <v>260</v>
      </c>
      <c r="S1550" s="89">
        <v>1</v>
      </c>
      <c r="T1550" s="8">
        <v>5</v>
      </c>
      <c r="U1550" s="89">
        <v>110</v>
      </c>
      <c r="V1550" s="87">
        <v>0</v>
      </c>
      <c r="W1550">
        <v>1</v>
      </c>
      <c r="X1550" s="8">
        <v>1</v>
      </c>
      <c r="Y1550" s="8">
        <v>0</v>
      </c>
      <c r="Z1550" s="33">
        <v>0</v>
      </c>
      <c r="AA1550">
        <v>5</v>
      </c>
      <c r="AB1550" s="34">
        <v>4180</v>
      </c>
      <c r="AC1550" s="87">
        <f t="shared" si="4"/>
        <v>302</v>
      </c>
      <c r="AD1550" s="62">
        <v>0</v>
      </c>
      <c r="AE1550" s="62">
        <v>0</v>
      </c>
      <c r="AF1550" s="62">
        <v>1</v>
      </c>
      <c r="AI1550" s="64"/>
      <c r="AJ1550" s="63">
        <v>1102005</v>
      </c>
      <c r="AL1550" s="64">
        <v>1</v>
      </c>
      <c r="AM1550" s="4"/>
      <c r="AN1550" s="93"/>
      <c r="AO1550" s="92"/>
      <c r="AQ1550" t="s">
        <v>4070</v>
      </c>
      <c r="AS1550">
        <v>1</v>
      </c>
    </row>
    <row r="1551" spans="1:45">
      <c r="A1551">
        <v>1102005</v>
      </c>
      <c r="B1551" s="8">
        <v>1001</v>
      </c>
      <c r="C1551" s="8">
        <v>5</v>
      </c>
      <c r="D1551" s="8">
        <v>1003</v>
      </c>
      <c r="E1551" t="s">
        <v>4073</v>
      </c>
      <c r="F1551" s="13" t="s">
        <v>4063</v>
      </c>
      <c r="G1551" t="s">
        <v>4074</v>
      </c>
      <c r="H1551" t="s">
        <v>4072</v>
      </c>
      <c r="I1551">
        <v>1</v>
      </c>
      <c r="J1551">
        <v>3</v>
      </c>
      <c r="K1551" s="33">
        <v>4</v>
      </c>
      <c r="L1551" s="8">
        <v>99</v>
      </c>
      <c r="M1551" s="8">
        <v>0</v>
      </c>
      <c r="N1551" s="8"/>
      <c r="Q1551" t="s">
        <v>260</v>
      </c>
      <c r="S1551" s="89">
        <v>1</v>
      </c>
      <c r="T1551" s="8">
        <v>5</v>
      </c>
      <c r="U1551" s="89">
        <v>140</v>
      </c>
      <c r="V1551" s="87">
        <v>0</v>
      </c>
      <c r="W1551">
        <v>1</v>
      </c>
      <c r="X1551" s="8">
        <v>1</v>
      </c>
      <c r="Y1551" s="8">
        <v>0</v>
      </c>
      <c r="Z1551" s="33">
        <v>0</v>
      </c>
      <c r="AA1551">
        <v>5</v>
      </c>
      <c r="AB1551" s="34">
        <v>5320</v>
      </c>
      <c r="AC1551" s="87">
        <f t="shared" si="4"/>
        <v>301</v>
      </c>
      <c r="AD1551" s="62">
        <v>0</v>
      </c>
      <c r="AE1551" s="62">
        <v>0</v>
      </c>
      <c r="AF1551" s="62">
        <v>1</v>
      </c>
      <c r="AI1551" s="64"/>
      <c r="AJ1551" s="63">
        <v>1102006</v>
      </c>
      <c r="AL1551" s="64">
        <v>1</v>
      </c>
      <c r="AM1551" s="4"/>
      <c r="AN1551" s="93"/>
      <c r="AO1551" s="92"/>
      <c r="AQ1551" t="s">
        <v>4073</v>
      </c>
      <c r="AS1551">
        <v>1</v>
      </c>
    </row>
    <row r="1552" spans="1:45">
      <c r="A1552">
        <v>1102006</v>
      </c>
      <c r="B1552" s="8">
        <v>1001</v>
      </c>
      <c r="C1552" s="8">
        <v>5</v>
      </c>
      <c r="D1552" s="8">
        <v>1003</v>
      </c>
      <c r="E1552" t="s">
        <v>4075</v>
      </c>
      <c r="F1552" s="13" t="s">
        <v>4063</v>
      </c>
      <c r="G1552" t="s">
        <v>4076</v>
      </c>
      <c r="H1552" t="s">
        <v>4072</v>
      </c>
      <c r="I1552">
        <v>1</v>
      </c>
      <c r="J1552">
        <v>3</v>
      </c>
      <c r="K1552" s="33">
        <v>4</v>
      </c>
      <c r="L1552" s="8">
        <v>99</v>
      </c>
      <c r="M1552" s="8">
        <v>0</v>
      </c>
      <c r="N1552" s="8"/>
      <c r="Q1552" t="s">
        <v>260</v>
      </c>
      <c r="S1552" s="89">
        <v>1</v>
      </c>
      <c r="T1552" s="8">
        <v>5</v>
      </c>
      <c r="U1552" s="89">
        <v>140</v>
      </c>
      <c r="V1552" s="87">
        <v>0</v>
      </c>
      <c r="W1552">
        <v>1</v>
      </c>
      <c r="X1552" s="8">
        <v>1</v>
      </c>
      <c r="Y1552" s="8">
        <v>0</v>
      </c>
      <c r="Z1552" s="33">
        <v>0</v>
      </c>
      <c r="AA1552">
        <v>5</v>
      </c>
      <c r="AB1552" s="34">
        <v>5320</v>
      </c>
      <c r="AC1552" s="87">
        <f t="shared" si="4"/>
        <v>301</v>
      </c>
      <c r="AD1552" s="62">
        <v>0</v>
      </c>
      <c r="AE1552" s="62">
        <v>0</v>
      </c>
      <c r="AF1552" s="62">
        <v>1</v>
      </c>
      <c r="AI1552" s="64"/>
      <c r="AJ1552" s="63">
        <v>1102007</v>
      </c>
      <c r="AL1552" s="64">
        <v>1</v>
      </c>
      <c r="AM1552" s="4"/>
      <c r="AN1552" s="93"/>
      <c r="AO1552" s="92"/>
      <c r="AQ1552" t="s">
        <v>4075</v>
      </c>
      <c r="AS1552">
        <v>1</v>
      </c>
    </row>
    <row r="1553" spans="1:45">
      <c r="A1553">
        <v>1102007</v>
      </c>
      <c r="B1553" s="8">
        <v>1001</v>
      </c>
      <c r="C1553" s="8">
        <v>5</v>
      </c>
      <c r="D1553" s="8">
        <v>1003</v>
      </c>
      <c r="E1553" t="s">
        <v>4077</v>
      </c>
      <c r="F1553" s="13" t="s">
        <v>4063</v>
      </c>
      <c r="G1553" t="s">
        <v>4078</v>
      </c>
      <c r="H1553" t="s">
        <v>4079</v>
      </c>
      <c r="I1553">
        <v>1</v>
      </c>
      <c r="J1553">
        <v>4</v>
      </c>
      <c r="K1553" s="33">
        <v>4</v>
      </c>
      <c r="L1553" s="8">
        <v>99</v>
      </c>
      <c r="M1553" s="8">
        <v>0</v>
      </c>
      <c r="N1553" s="8"/>
      <c r="S1553" s="89">
        <v>1</v>
      </c>
      <c r="T1553" s="8">
        <v>5</v>
      </c>
      <c r="U1553" s="89">
        <v>170</v>
      </c>
      <c r="V1553" s="87">
        <v>0</v>
      </c>
      <c r="W1553">
        <v>1</v>
      </c>
      <c r="X1553" s="8">
        <v>1</v>
      </c>
      <c r="Y1553" s="8">
        <v>0</v>
      </c>
      <c r="Z1553" s="33">
        <v>0</v>
      </c>
      <c r="AA1553">
        <v>5</v>
      </c>
      <c r="AB1553" s="34">
        <v>6460</v>
      </c>
      <c r="AC1553" s="87">
        <f t="shared" si="4"/>
        <v>301</v>
      </c>
      <c r="AD1553" s="62">
        <v>0</v>
      </c>
      <c r="AE1553" s="62">
        <v>0</v>
      </c>
      <c r="AF1553" s="62">
        <v>1</v>
      </c>
      <c r="AI1553" s="64"/>
      <c r="AJ1553" s="63">
        <v>1102008</v>
      </c>
      <c r="AL1553" s="64">
        <v>1</v>
      </c>
      <c r="AM1553" s="4"/>
      <c r="AN1553" s="93"/>
      <c r="AO1553" s="92"/>
      <c r="AQ1553" t="s">
        <v>4077</v>
      </c>
      <c r="AS1553">
        <v>1</v>
      </c>
    </row>
    <row r="1554" spans="1:45">
      <c r="A1554">
        <v>1102008</v>
      </c>
      <c r="B1554" s="8">
        <v>1001</v>
      </c>
      <c r="C1554" s="8">
        <v>5</v>
      </c>
      <c r="D1554" s="8">
        <v>1003</v>
      </c>
      <c r="E1554" t="s">
        <v>4080</v>
      </c>
      <c r="F1554" s="13" t="s">
        <v>4063</v>
      </c>
      <c r="G1554" t="s">
        <v>4081</v>
      </c>
      <c r="H1554" t="s">
        <v>4079</v>
      </c>
      <c r="I1554">
        <v>1</v>
      </c>
      <c r="J1554">
        <v>4</v>
      </c>
      <c r="K1554" s="33">
        <v>4</v>
      </c>
      <c r="L1554" s="8">
        <v>99</v>
      </c>
      <c r="M1554" s="8">
        <v>0</v>
      </c>
      <c r="N1554" s="8"/>
      <c r="S1554" s="89">
        <v>1</v>
      </c>
      <c r="T1554" s="8">
        <v>5</v>
      </c>
      <c r="U1554" s="89">
        <v>170</v>
      </c>
      <c r="V1554" s="87">
        <v>0</v>
      </c>
      <c r="W1554">
        <v>1</v>
      </c>
      <c r="X1554" s="8">
        <v>1</v>
      </c>
      <c r="Y1554" s="8">
        <v>0</v>
      </c>
      <c r="Z1554" s="33">
        <v>0</v>
      </c>
      <c r="AA1554">
        <v>5</v>
      </c>
      <c r="AB1554" s="34">
        <v>6460</v>
      </c>
      <c r="AC1554" s="87">
        <f t="shared" si="4"/>
        <v>601</v>
      </c>
      <c r="AD1554" s="62">
        <v>0</v>
      </c>
      <c r="AE1554" s="62">
        <v>0</v>
      </c>
      <c r="AF1554" s="62">
        <v>1</v>
      </c>
      <c r="AI1554" s="64"/>
      <c r="AJ1554" s="63">
        <v>1102009</v>
      </c>
      <c r="AL1554" s="64">
        <v>1</v>
      </c>
      <c r="AM1554" s="4"/>
      <c r="AN1554" s="93"/>
      <c r="AO1554" s="92"/>
      <c r="AQ1554" t="s">
        <v>4080</v>
      </c>
      <c r="AS1554">
        <v>1</v>
      </c>
    </row>
    <row r="1555" spans="1:45">
      <c r="A1555">
        <v>1102009</v>
      </c>
      <c r="B1555" s="8">
        <v>1001</v>
      </c>
      <c r="C1555" s="8">
        <v>5</v>
      </c>
      <c r="D1555" s="8">
        <v>1003</v>
      </c>
      <c r="E1555" t="s">
        <v>4082</v>
      </c>
      <c r="F1555" s="13" t="s">
        <v>4063</v>
      </c>
      <c r="G1555" t="s">
        <v>4083</v>
      </c>
      <c r="H1555" t="s">
        <v>4079</v>
      </c>
      <c r="I1555">
        <v>1</v>
      </c>
      <c r="J1555">
        <v>5</v>
      </c>
      <c r="K1555" s="33">
        <v>4</v>
      </c>
      <c r="L1555" s="8">
        <v>99</v>
      </c>
      <c r="M1555" s="8">
        <v>0</v>
      </c>
      <c r="N1555" s="8"/>
      <c r="S1555" s="89">
        <v>1</v>
      </c>
      <c r="T1555" s="8">
        <v>5</v>
      </c>
      <c r="U1555" s="89">
        <v>200</v>
      </c>
      <c r="V1555" s="87">
        <v>0</v>
      </c>
      <c r="W1555">
        <v>1</v>
      </c>
      <c r="X1555" s="8">
        <v>1</v>
      </c>
      <c r="Y1555" s="8">
        <v>0</v>
      </c>
      <c r="Z1555" s="33">
        <v>0</v>
      </c>
      <c r="AA1555">
        <v>5</v>
      </c>
      <c r="AB1555" s="34">
        <v>7600</v>
      </c>
      <c r="AC1555" s="87">
        <f t="shared" si="4"/>
        <v>320</v>
      </c>
      <c r="AD1555" s="62">
        <v>0</v>
      </c>
      <c r="AE1555" s="62">
        <v>0</v>
      </c>
      <c r="AF1555" s="62">
        <v>1</v>
      </c>
      <c r="AI1555" s="64"/>
      <c r="AJ1555" s="63">
        <v>1102010</v>
      </c>
      <c r="AL1555" s="64">
        <v>1</v>
      </c>
      <c r="AM1555" s="4"/>
      <c r="AN1555" s="93"/>
      <c r="AO1555" s="92"/>
      <c r="AQ1555" t="s">
        <v>4082</v>
      </c>
      <c r="AS1555">
        <v>1</v>
      </c>
    </row>
    <row r="1556" spans="1:45">
      <c r="A1556">
        <v>1102010</v>
      </c>
      <c r="B1556" s="8">
        <v>1001</v>
      </c>
      <c r="C1556" s="8">
        <v>5</v>
      </c>
      <c r="D1556" s="8">
        <v>1003</v>
      </c>
      <c r="E1556" t="s">
        <v>4084</v>
      </c>
      <c r="F1556" s="13" t="s">
        <v>4063</v>
      </c>
      <c r="G1556" t="s">
        <v>4085</v>
      </c>
      <c r="H1556" t="s">
        <v>4086</v>
      </c>
      <c r="I1556">
        <v>1</v>
      </c>
      <c r="J1556">
        <v>5</v>
      </c>
      <c r="K1556" s="33">
        <v>1</v>
      </c>
      <c r="L1556" s="8">
        <v>99</v>
      </c>
      <c r="M1556" s="8">
        <v>0</v>
      </c>
      <c r="N1556" s="8"/>
      <c r="Q1556"/>
      <c r="S1556" s="89">
        <v>1</v>
      </c>
      <c r="T1556" s="8">
        <v>5</v>
      </c>
      <c r="U1556" s="89">
        <v>200</v>
      </c>
      <c r="V1556" s="87">
        <v>0</v>
      </c>
      <c r="W1556">
        <v>1</v>
      </c>
      <c r="X1556" s="8">
        <v>1</v>
      </c>
      <c r="Y1556" s="8">
        <v>0</v>
      </c>
      <c r="Z1556" s="33">
        <v>0</v>
      </c>
      <c r="AA1556">
        <v>5</v>
      </c>
      <c r="AB1556" s="34">
        <v>7600</v>
      </c>
      <c r="AC1556" s="87">
        <f t="shared" si="4"/>
        <v>317</v>
      </c>
      <c r="AD1556" s="62">
        <v>0</v>
      </c>
      <c r="AE1556" s="62">
        <v>0</v>
      </c>
      <c r="AF1556" s="62">
        <v>1</v>
      </c>
      <c r="AI1556" s="64"/>
      <c r="AL1556" s="64">
        <v>1</v>
      </c>
      <c r="AM1556" s="4"/>
      <c r="AN1556" s="93"/>
      <c r="AO1556" s="92"/>
      <c r="AQ1556" t="s">
        <v>4084</v>
      </c>
      <c r="AS1556">
        <v>1</v>
      </c>
    </row>
    <row r="1557" spans="1:45">
      <c r="A1557">
        <v>1102101</v>
      </c>
      <c r="B1557" s="8">
        <v>1001</v>
      </c>
      <c r="C1557" s="8">
        <v>5</v>
      </c>
      <c r="D1557" s="8">
        <v>1003</v>
      </c>
      <c r="E1557" t="s">
        <v>4087</v>
      </c>
      <c r="F1557" s="13" t="s">
        <v>4088</v>
      </c>
      <c r="G1557" t="s">
        <v>4089</v>
      </c>
      <c r="H1557" t="s">
        <v>4090</v>
      </c>
      <c r="I1557">
        <v>1</v>
      </c>
      <c r="J1557">
        <v>1</v>
      </c>
      <c r="K1557" s="33">
        <v>4</v>
      </c>
      <c r="L1557" s="8">
        <v>99</v>
      </c>
      <c r="M1557" s="8">
        <v>0</v>
      </c>
      <c r="N1557" s="8"/>
      <c r="Q1557" t="s">
        <v>260</v>
      </c>
      <c r="S1557" s="89">
        <v>1</v>
      </c>
      <c r="T1557" s="8">
        <v>5</v>
      </c>
      <c r="U1557" s="89">
        <v>80</v>
      </c>
      <c r="V1557" s="87">
        <v>0</v>
      </c>
      <c r="W1557">
        <v>1</v>
      </c>
      <c r="X1557" s="8">
        <v>1</v>
      </c>
      <c r="Y1557" s="8">
        <v>0</v>
      </c>
      <c r="Z1557" s="33">
        <v>0</v>
      </c>
      <c r="AA1557">
        <v>5</v>
      </c>
      <c r="AB1557" s="34">
        <v>3040</v>
      </c>
      <c r="AC1557" s="87">
        <f t="shared" ref="AC1557:AC1576" si="5">AC1546+10</f>
        <v>316</v>
      </c>
      <c r="AD1557" s="62">
        <v>0</v>
      </c>
      <c r="AE1557" s="62">
        <v>0</v>
      </c>
      <c r="AF1557" s="62">
        <v>1</v>
      </c>
      <c r="AI1557" s="64"/>
      <c r="AJ1557" s="63">
        <v>1102102</v>
      </c>
      <c r="AL1557" s="64">
        <v>1</v>
      </c>
      <c r="AM1557" s="4"/>
      <c r="AN1557" s="93" t="s">
        <v>3535</v>
      </c>
      <c r="AO1557" s="92"/>
      <c r="AQ1557" t="s">
        <v>4087</v>
      </c>
      <c r="AS1557">
        <v>1</v>
      </c>
    </row>
    <row r="1558" spans="1:45">
      <c r="A1558">
        <v>1102102</v>
      </c>
      <c r="B1558" s="8">
        <v>1001</v>
      </c>
      <c r="C1558" s="8">
        <v>5</v>
      </c>
      <c r="D1558" s="8">
        <v>1003</v>
      </c>
      <c r="E1558" t="s">
        <v>4091</v>
      </c>
      <c r="F1558" s="13" t="s">
        <v>4088</v>
      </c>
      <c r="G1558" t="s">
        <v>4092</v>
      </c>
      <c r="H1558" t="s">
        <v>4090</v>
      </c>
      <c r="I1558">
        <v>1</v>
      </c>
      <c r="J1558">
        <v>1</v>
      </c>
      <c r="K1558" s="33">
        <v>4</v>
      </c>
      <c r="L1558" s="8">
        <v>99</v>
      </c>
      <c r="M1558" s="8">
        <v>0</v>
      </c>
      <c r="N1558" s="8"/>
      <c r="Q1558" t="s">
        <v>260</v>
      </c>
      <c r="S1558" s="89">
        <v>1</v>
      </c>
      <c r="T1558" s="8">
        <v>5</v>
      </c>
      <c r="U1558" s="89">
        <v>80</v>
      </c>
      <c r="V1558" s="87">
        <v>0</v>
      </c>
      <c r="W1558">
        <v>1</v>
      </c>
      <c r="X1558" s="8">
        <v>1</v>
      </c>
      <c r="Y1558" s="8">
        <v>0</v>
      </c>
      <c r="Z1558" s="33">
        <v>0</v>
      </c>
      <c r="AA1558">
        <v>5</v>
      </c>
      <c r="AB1558" s="34">
        <v>3040</v>
      </c>
      <c r="AC1558" s="87">
        <f t="shared" si="5"/>
        <v>315</v>
      </c>
      <c r="AD1558" s="62">
        <v>0</v>
      </c>
      <c r="AE1558" s="62">
        <v>0</v>
      </c>
      <c r="AF1558" s="62">
        <v>1</v>
      </c>
      <c r="AI1558" s="64"/>
      <c r="AJ1558" s="63">
        <v>1102103</v>
      </c>
      <c r="AL1558" s="64">
        <v>1</v>
      </c>
      <c r="AM1558" s="4"/>
      <c r="AN1558" s="93"/>
      <c r="AO1558" s="92"/>
      <c r="AQ1558" t="s">
        <v>4091</v>
      </c>
      <c r="AS1558">
        <v>1</v>
      </c>
    </row>
    <row r="1559" spans="1:45">
      <c r="A1559">
        <v>1102103</v>
      </c>
      <c r="B1559" s="8">
        <v>1001</v>
      </c>
      <c r="C1559" s="8">
        <v>5</v>
      </c>
      <c r="D1559" s="8">
        <v>1003</v>
      </c>
      <c r="E1559" t="s">
        <v>4093</v>
      </c>
      <c r="F1559" s="13" t="s">
        <v>4088</v>
      </c>
      <c r="G1559" t="s">
        <v>4094</v>
      </c>
      <c r="H1559" t="s">
        <v>4090</v>
      </c>
      <c r="I1559">
        <v>1</v>
      </c>
      <c r="J1559">
        <v>2</v>
      </c>
      <c r="K1559" s="33">
        <v>4</v>
      </c>
      <c r="L1559" s="8">
        <v>99</v>
      </c>
      <c r="M1559" s="8">
        <v>0</v>
      </c>
      <c r="N1559" s="8"/>
      <c r="Q1559" t="s">
        <v>260</v>
      </c>
      <c r="S1559" s="89">
        <v>1</v>
      </c>
      <c r="T1559" s="8">
        <v>5</v>
      </c>
      <c r="U1559" s="89">
        <v>110</v>
      </c>
      <c r="V1559" s="87">
        <v>0</v>
      </c>
      <c r="W1559">
        <v>1</v>
      </c>
      <c r="X1559" s="8">
        <v>1</v>
      </c>
      <c r="Y1559" s="8">
        <v>0</v>
      </c>
      <c r="Z1559" s="33">
        <v>0</v>
      </c>
      <c r="AA1559">
        <v>5</v>
      </c>
      <c r="AB1559" s="34">
        <v>4180</v>
      </c>
      <c r="AC1559" s="87">
        <f t="shared" si="5"/>
        <v>314</v>
      </c>
      <c r="AD1559" s="62">
        <v>0</v>
      </c>
      <c r="AE1559" s="62">
        <v>0</v>
      </c>
      <c r="AF1559" s="62">
        <v>1</v>
      </c>
      <c r="AI1559" s="64"/>
      <c r="AJ1559" s="63">
        <v>1102104</v>
      </c>
      <c r="AL1559" s="64">
        <v>1</v>
      </c>
      <c r="AM1559" s="4"/>
      <c r="AN1559" s="93"/>
      <c r="AO1559" s="92"/>
      <c r="AQ1559" t="s">
        <v>4093</v>
      </c>
      <c r="AS1559">
        <v>1</v>
      </c>
    </row>
    <row r="1560" spans="1:45">
      <c r="A1560">
        <v>1102104</v>
      </c>
      <c r="B1560" s="8">
        <v>1001</v>
      </c>
      <c r="C1560" s="8">
        <v>5</v>
      </c>
      <c r="D1560" s="8">
        <v>1003</v>
      </c>
      <c r="E1560" t="s">
        <v>4095</v>
      </c>
      <c r="F1560" s="13" t="s">
        <v>4088</v>
      </c>
      <c r="G1560" t="s">
        <v>4096</v>
      </c>
      <c r="H1560" t="s">
        <v>4097</v>
      </c>
      <c r="I1560">
        <v>1</v>
      </c>
      <c r="J1560">
        <v>2</v>
      </c>
      <c r="K1560" s="33">
        <v>4</v>
      </c>
      <c r="L1560" s="8">
        <v>99</v>
      </c>
      <c r="M1560" s="8">
        <v>0</v>
      </c>
      <c r="N1560" s="8"/>
      <c r="Q1560" t="s">
        <v>260</v>
      </c>
      <c r="S1560" s="89">
        <v>1</v>
      </c>
      <c r="T1560" s="8">
        <v>5</v>
      </c>
      <c r="U1560" s="89">
        <v>110</v>
      </c>
      <c r="V1560" s="87">
        <v>0</v>
      </c>
      <c r="W1560">
        <v>1</v>
      </c>
      <c r="X1560" s="8">
        <v>1</v>
      </c>
      <c r="Y1560" s="8">
        <v>0</v>
      </c>
      <c r="Z1560" s="33">
        <v>0</v>
      </c>
      <c r="AA1560">
        <v>5</v>
      </c>
      <c r="AB1560" s="34">
        <v>4180</v>
      </c>
      <c r="AC1560" s="87">
        <f t="shared" si="5"/>
        <v>313</v>
      </c>
      <c r="AD1560" s="62">
        <v>0</v>
      </c>
      <c r="AE1560" s="62">
        <v>0</v>
      </c>
      <c r="AF1560" s="62">
        <v>1</v>
      </c>
      <c r="AI1560" s="64"/>
      <c r="AJ1560" s="63">
        <v>1102105</v>
      </c>
      <c r="AL1560" s="64">
        <v>1</v>
      </c>
      <c r="AM1560" s="4"/>
      <c r="AN1560" s="93"/>
      <c r="AO1560" s="92"/>
      <c r="AQ1560" t="s">
        <v>4095</v>
      </c>
      <c r="AS1560">
        <v>1</v>
      </c>
    </row>
    <row r="1561" spans="1:45">
      <c r="A1561">
        <v>1102105</v>
      </c>
      <c r="B1561" s="8">
        <v>1001</v>
      </c>
      <c r="C1561" s="8">
        <v>5</v>
      </c>
      <c r="D1561" s="8">
        <v>1003</v>
      </c>
      <c r="E1561" t="s">
        <v>4098</v>
      </c>
      <c r="F1561" s="13" t="s">
        <v>4088</v>
      </c>
      <c r="G1561" t="s">
        <v>4099</v>
      </c>
      <c r="H1561" t="s">
        <v>4097</v>
      </c>
      <c r="I1561">
        <v>1</v>
      </c>
      <c r="J1561">
        <v>3</v>
      </c>
      <c r="K1561" s="33">
        <v>4</v>
      </c>
      <c r="L1561" s="8">
        <v>99</v>
      </c>
      <c r="M1561" s="8">
        <v>0</v>
      </c>
      <c r="N1561" s="8"/>
      <c r="Q1561" t="s">
        <v>260</v>
      </c>
      <c r="S1561" s="89">
        <v>1</v>
      </c>
      <c r="T1561" s="8">
        <v>5</v>
      </c>
      <c r="U1561" s="89">
        <v>140</v>
      </c>
      <c r="V1561" s="87">
        <v>0</v>
      </c>
      <c r="W1561">
        <v>1</v>
      </c>
      <c r="X1561" s="8">
        <v>1</v>
      </c>
      <c r="Y1561" s="8">
        <v>0</v>
      </c>
      <c r="Z1561" s="33">
        <v>0</v>
      </c>
      <c r="AA1561">
        <v>5</v>
      </c>
      <c r="AB1561" s="34">
        <v>5320</v>
      </c>
      <c r="AC1561" s="87">
        <f t="shared" si="5"/>
        <v>312</v>
      </c>
      <c r="AD1561" s="62">
        <v>0</v>
      </c>
      <c r="AE1561" s="62">
        <v>0</v>
      </c>
      <c r="AF1561" s="62">
        <v>1</v>
      </c>
      <c r="AI1561" s="64"/>
      <c r="AJ1561" s="63">
        <v>1102106</v>
      </c>
      <c r="AL1561" s="64">
        <v>1</v>
      </c>
      <c r="AM1561" s="4"/>
      <c r="AN1561" s="93"/>
      <c r="AO1561" s="92"/>
      <c r="AQ1561" t="s">
        <v>4098</v>
      </c>
      <c r="AS1561">
        <v>1</v>
      </c>
    </row>
    <row r="1562" spans="1:45">
      <c r="A1562">
        <v>1102106</v>
      </c>
      <c r="B1562" s="8">
        <v>1001</v>
      </c>
      <c r="C1562" s="8">
        <v>5</v>
      </c>
      <c r="D1562" s="8">
        <v>1003</v>
      </c>
      <c r="E1562" t="s">
        <v>4100</v>
      </c>
      <c r="F1562" s="13" t="s">
        <v>4088</v>
      </c>
      <c r="G1562" t="s">
        <v>4101</v>
      </c>
      <c r="H1562" t="s">
        <v>4097</v>
      </c>
      <c r="I1562">
        <v>1</v>
      </c>
      <c r="J1562">
        <v>3</v>
      </c>
      <c r="K1562" s="33">
        <v>4</v>
      </c>
      <c r="L1562" s="8">
        <v>99</v>
      </c>
      <c r="M1562" s="8">
        <v>0</v>
      </c>
      <c r="N1562" s="8"/>
      <c r="Q1562" t="s">
        <v>260</v>
      </c>
      <c r="S1562" s="89">
        <v>1</v>
      </c>
      <c r="T1562" s="8">
        <v>5</v>
      </c>
      <c r="U1562" s="89">
        <v>140</v>
      </c>
      <c r="V1562" s="87">
        <v>0</v>
      </c>
      <c r="W1562">
        <v>1</v>
      </c>
      <c r="X1562" s="8">
        <v>1</v>
      </c>
      <c r="Y1562" s="8">
        <v>0</v>
      </c>
      <c r="Z1562" s="33">
        <v>0</v>
      </c>
      <c r="AA1562">
        <v>5</v>
      </c>
      <c r="AB1562" s="34">
        <v>5320</v>
      </c>
      <c r="AC1562" s="87">
        <f t="shared" si="5"/>
        <v>311</v>
      </c>
      <c r="AD1562" s="62">
        <v>0</v>
      </c>
      <c r="AE1562" s="62">
        <v>0</v>
      </c>
      <c r="AF1562" s="62">
        <v>1</v>
      </c>
      <c r="AI1562" s="64"/>
      <c r="AJ1562" s="63">
        <v>1102107</v>
      </c>
      <c r="AL1562" s="64">
        <v>1</v>
      </c>
      <c r="AM1562" s="4"/>
      <c r="AN1562" s="93"/>
      <c r="AO1562" s="92"/>
      <c r="AQ1562" t="s">
        <v>4100</v>
      </c>
      <c r="AS1562">
        <v>1</v>
      </c>
    </row>
    <row r="1563" spans="1:45">
      <c r="A1563">
        <v>1102107</v>
      </c>
      <c r="B1563" s="8">
        <v>1001</v>
      </c>
      <c r="C1563" s="8">
        <v>5</v>
      </c>
      <c r="D1563" s="8">
        <v>1003</v>
      </c>
      <c r="E1563" t="s">
        <v>4102</v>
      </c>
      <c r="F1563" s="13" t="s">
        <v>4088</v>
      </c>
      <c r="G1563" t="s">
        <v>4103</v>
      </c>
      <c r="H1563" t="s">
        <v>4104</v>
      </c>
      <c r="I1563">
        <v>1</v>
      </c>
      <c r="J1563">
        <v>4</v>
      </c>
      <c r="K1563" s="33">
        <v>4</v>
      </c>
      <c r="L1563" s="8">
        <v>99</v>
      </c>
      <c r="M1563" s="8">
        <v>0</v>
      </c>
      <c r="N1563" s="8"/>
      <c r="S1563" s="89">
        <v>1</v>
      </c>
      <c r="T1563" s="8">
        <v>5</v>
      </c>
      <c r="U1563" s="89">
        <v>170</v>
      </c>
      <c r="V1563" s="87">
        <v>0</v>
      </c>
      <c r="W1563">
        <v>1</v>
      </c>
      <c r="X1563" s="8">
        <v>1</v>
      </c>
      <c r="Y1563" s="8">
        <v>0</v>
      </c>
      <c r="Z1563" s="33">
        <v>0</v>
      </c>
      <c r="AA1563">
        <v>5</v>
      </c>
      <c r="AB1563" s="34">
        <v>6460</v>
      </c>
      <c r="AC1563" s="87">
        <f t="shared" si="5"/>
        <v>311</v>
      </c>
      <c r="AD1563" s="62">
        <v>0</v>
      </c>
      <c r="AE1563" s="62">
        <v>0</v>
      </c>
      <c r="AF1563" s="62">
        <v>1</v>
      </c>
      <c r="AI1563" s="64"/>
      <c r="AJ1563" s="63">
        <v>1102108</v>
      </c>
      <c r="AL1563" s="64">
        <v>1</v>
      </c>
      <c r="AM1563" s="4"/>
      <c r="AN1563" s="93"/>
      <c r="AO1563" s="92"/>
      <c r="AQ1563" t="s">
        <v>4102</v>
      </c>
      <c r="AS1563">
        <v>1</v>
      </c>
    </row>
    <row r="1564" spans="1:45">
      <c r="A1564">
        <v>1102108</v>
      </c>
      <c r="B1564" s="8">
        <v>1001</v>
      </c>
      <c r="C1564" s="8">
        <v>5</v>
      </c>
      <c r="D1564" s="8">
        <v>1003</v>
      </c>
      <c r="E1564" t="s">
        <v>4105</v>
      </c>
      <c r="F1564" s="13" t="s">
        <v>4088</v>
      </c>
      <c r="G1564" t="s">
        <v>4106</v>
      </c>
      <c r="H1564" t="s">
        <v>4104</v>
      </c>
      <c r="I1564">
        <v>1</v>
      </c>
      <c r="J1564">
        <v>4</v>
      </c>
      <c r="K1564" s="33">
        <v>4</v>
      </c>
      <c r="L1564" s="8">
        <v>99</v>
      </c>
      <c r="M1564" s="8">
        <v>0</v>
      </c>
      <c r="N1564" s="8"/>
      <c r="S1564" s="89">
        <v>1</v>
      </c>
      <c r="T1564" s="8">
        <v>5</v>
      </c>
      <c r="U1564" s="89">
        <v>170</v>
      </c>
      <c r="V1564" s="87">
        <v>0</v>
      </c>
      <c r="W1564">
        <v>1</v>
      </c>
      <c r="X1564" s="8">
        <v>1</v>
      </c>
      <c r="Y1564" s="8">
        <v>0</v>
      </c>
      <c r="Z1564" s="33">
        <v>0</v>
      </c>
      <c r="AA1564">
        <v>5</v>
      </c>
      <c r="AB1564" s="34">
        <v>6460</v>
      </c>
      <c r="AC1564" s="87">
        <f t="shared" si="5"/>
        <v>311</v>
      </c>
      <c r="AD1564" s="62">
        <v>0</v>
      </c>
      <c r="AE1564" s="62">
        <v>0</v>
      </c>
      <c r="AF1564" s="62">
        <v>1</v>
      </c>
      <c r="AI1564" s="64"/>
      <c r="AJ1564" s="63">
        <v>1102109</v>
      </c>
      <c r="AL1564" s="64">
        <v>1</v>
      </c>
      <c r="AM1564" s="4"/>
      <c r="AN1564" s="93"/>
      <c r="AO1564" s="92"/>
      <c r="AQ1564" t="s">
        <v>4105</v>
      </c>
      <c r="AS1564">
        <v>1</v>
      </c>
    </row>
    <row r="1565" spans="1:45">
      <c r="A1565">
        <v>1102109</v>
      </c>
      <c r="B1565" s="8">
        <v>1001</v>
      </c>
      <c r="C1565" s="8">
        <v>5</v>
      </c>
      <c r="D1565" s="8">
        <v>1003</v>
      </c>
      <c r="E1565" t="s">
        <v>4107</v>
      </c>
      <c r="F1565" s="13" t="s">
        <v>4088</v>
      </c>
      <c r="G1565" t="s">
        <v>4108</v>
      </c>
      <c r="H1565" t="s">
        <v>4104</v>
      </c>
      <c r="I1565">
        <v>1</v>
      </c>
      <c r="J1565">
        <v>5</v>
      </c>
      <c r="K1565" s="33">
        <v>4</v>
      </c>
      <c r="L1565" s="8">
        <v>99</v>
      </c>
      <c r="M1565" s="8">
        <v>0</v>
      </c>
      <c r="N1565" s="8"/>
      <c r="S1565" s="89">
        <v>1</v>
      </c>
      <c r="T1565" s="8">
        <v>5</v>
      </c>
      <c r="U1565" s="89">
        <v>200</v>
      </c>
      <c r="V1565" s="87">
        <v>0</v>
      </c>
      <c r="W1565">
        <v>1</v>
      </c>
      <c r="X1565" s="8">
        <v>1</v>
      </c>
      <c r="Y1565" s="8">
        <v>0</v>
      </c>
      <c r="Z1565" s="33">
        <v>0</v>
      </c>
      <c r="AA1565">
        <v>5</v>
      </c>
      <c r="AB1565" s="34">
        <v>7600</v>
      </c>
      <c r="AC1565" s="87">
        <f t="shared" si="5"/>
        <v>611</v>
      </c>
      <c r="AD1565" s="62">
        <v>0</v>
      </c>
      <c r="AE1565" s="62">
        <v>0</v>
      </c>
      <c r="AF1565" s="62">
        <v>1</v>
      </c>
      <c r="AI1565" s="64"/>
      <c r="AJ1565" s="63">
        <v>1102110</v>
      </c>
      <c r="AL1565" s="64">
        <v>1</v>
      </c>
      <c r="AM1565" s="4"/>
      <c r="AN1565" s="93"/>
      <c r="AO1565" s="92"/>
      <c r="AQ1565" t="s">
        <v>4107</v>
      </c>
      <c r="AS1565">
        <v>1</v>
      </c>
    </row>
    <row r="1566" spans="1:45">
      <c r="A1566">
        <v>1102110</v>
      </c>
      <c r="B1566" s="8">
        <v>1001</v>
      </c>
      <c r="C1566" s="8">
        <v>5</v>
      </c>
      <c r="D1566" s="8">
        <v>1003</v>
      </c>
      <c r="E1566" t="s">
        <v>4109</v>
      </c>
      <c r="F1566" s="13" t="s">
        <v>4088</v>
      </c>
      <c r="G1566" t="s">
        <v>4110</v>
      </c>
      <c r="H1566" t="s">
        <v>4111</v>
      </c>
      <c r="I1566">
        <v>1</v>
      </c>
      <c r="J1566">
        <v>5</v>
      </c>
      <c r="K1566" s="33">
        <v>1</v>
      </c>
      <c r="L1566" s="8">
        <v>99</v>
      </c>
      <c r="M1566" s="8">
        <v>0</v>
      </c>
      <c r="N1566" s="8"/>
      <c r="Q1566"/>
      <c r="S1566" s="89">
        <v>1</v>
      </c>
      <c r="T1566" s="8">
        <v>5</v>
      </c>
      <c r="U1566" s="89">
        <v>200</v>
      </c>
      <c r="V1566" s="87">
        <v>0</v>
      </c>
      <c r="W1566">
        <v>1</v>
      </c>
      <c r="X1566" s="8">
        <v>1</v>
      </c>
      <c r="Y1566" s="8">
        <v>0</v>
      </c>
      <c r="Z1566" s="33">
        <v>0</v>
      </c>
      <c r="AA1566">
        <v>5</v>
      </c>
      <c r="AB1566" s="34">
        <v>7600</v>
      </c>
      <c r="AC1566" s="87">
        <f t="shared" si="5"/>
        <v>330</v>
      </c>
      <c r="AD1566" s="62">
        <v>0</v>
      </c>
      <c r="AE1566" s="62">
        <v>0</v>
      </c>
      <c r="AF1566" s="62">
        <v>1</v>
      </c>
      <c r="AL1566" s="64">
        <v>1</v>
      </c>
      <c r="AN1566" s="93"/>
      <c r="AO1566" s="92"/>
      <c r="AQ1566" t="s">
        <v>4109</v>
      </c>
      <c r="AS1566">
        <v>1</v>
      </c>
    </row>
    <row r="1567" spans="1:45">
      <c r="A1567">
        <v>1102201</v>
      </c>
      <c r="B1567" s="8">
        <v>1001</v>
      </c>
      <c r="C1567" s="8">
        <v>5</v>
      </c>
      <c r="D1567" s="8">
        <v>1003</v>
      </c>
      <c r="E1567" t="s">
        <v>4112</v>
      </c>
      <c r="F1567" s="13" t="s">
        <v>4113</v>
      </c>
      <c r="G1567" t="s">
        <v>4114</v>
      </c>
      <c r="H1567" t="s">
        <v>4115</v>
      </c>
      <c r="I1567">
        <v>1</v>
      </c>
      <c r="J1567">
        <v>1</v>
      </c>
      <c r="K1567" s="33">
        <v>4</v>
      </c>
      <c r="L1567" s="8">
        <v>99</v>
      </c>
      <c r="M1567" s="8">
        <v>0</v>
      </c>
      <c r="N1567" s="8"/>
      <c r="Q1567" t="s">
        <v>260</v>
      </c>
      <c r="S1567" s="89">
        <v>1</v>
      </c>
      <c r="T1567" s="8">
        <v>5</v>
      </c>
      <c r="U1567" s="89">
        <v>80</v>
      </c>
      <c r="V1567" s="87">
        <v>0</v>
      </c>
      <c r="W1567">
        <v>1</v>
      </c>
      <c r="X1567" s="8">
        <v>1</v>
      </c>
      <c r="Y1567" s="8">
        <v>0</v>
      </c>
      <c r="Z1567" s="33">
        <v>0</v>
      </c>
      <c r="AA1567">
        <v>5</v>
      </c>
      <c r="AB1567" s="34">
        <v>3040</v>
      </c>
      <c r="AC1567" s="87">
        <f t="shared" si="5"/>
        <v>327</v>
      </c>
      <c r="AD1567" s="62">
        <v>0</v>
      </c>
      <c r="AE1567" s="62">
        <v>0</v>
      </c>
      <c r="AF1567" s="62">
        <v>1</v>
      </c>
      <c r="AJ1567" s="63">
        <v>1102202</v>
      </c>
      <c r="AL1567" s="64">
        <v>1</v>
      </c>
      <c r="AN1567" s="93"/>
      <c r="AO1567" s="92"/>
      <c r="AS1567">
        <v>1</v>
      </c>
    </row>
    <row r="1568" spans="1:45">
      <c r="A1568">
        <v>1102202</v>
      </c>
      <c r="B1568" s="8">
        <v>1001</v>
      </c>
      <c r="C1568" s="8">
        <v>5</v>
      </c>
      <c r="D1568" s="8">
        <v>1003</v>
      </c>
      <c r="E1568" t="s">
        <v>4116</v>
      </c>
      <c r="F1568" s="13" t="s">
        <v>4113</v>
      </c>
      <c r="G1568" t="s">
        <v>4117</v>
      </c>
      <c r="H1568" t="s">
        <v>4115</v>
      </c>
      <c r="I1568">
        <v>1</v>
      </c>
      <c r="J1568">
        <v>1</v>
      </c>
      <c r="K1568" s="33">
        <v>4</v>
      </c>
      <c r="L1568" s="8">
        <v>99</v>
      </c>
      <c r="M1568" s="8">
        <v>0</v>
      </c>
      <c r="N1568" s="8"/>
      <c r="Q1568" t="s">
        <v>260</v>
      </c>
      <c r="S1568" s="89">
        <v>1</v>
      </c>
      <c r="T1568" s="8">
        <v>5</v>
      </c>
      <c r="U1568" s="89">
        <v>80</v>
      </c>
      <c r="V1568" s="87">
        <v>0</v>
      </c>
      <c r="W1568">
        <v>1</v>
      </c>
      <c r="X1568" s="8">
        <v>1</v>
      </c>
      <c r="Y1568" s="8">
        <v>0</v>
      </c>
      <c r="Z1568" s="33">
        <v>0</v>
      </c>
      <c r="AA1568">
        <v>5</v>
      </c>
      <c r="AB1568" s="34">
        <v>3040</v>
      </c>
      <c r="AC1568" s="87">
        <f t="shared" si="5"/>
        <v>326</v>
      </c>
      <c r="AD1568" s="62">
        <v>0</v>
      </c>
      <c r="AE1568" s="62">
        <v>0</v>
      </c>
      <c r="AF1568" s="62">
        <v>1</v>
      </c>
      <c r="AJ1568" s="63">
        <v>1102203</v>
      </c>
      <c r="AL1568" s="64">
        <v>1</v>
      </c>
      <c r="AN1568" s="93"/>
      <c r="AO1568" s="92"/>
      <c r="AS1568">
        <v>1</v>
      </c>
    </row>
    <row r="1569" spans="1:45">
      <c r="A1569">
        <v>1102203</v>
      </c>
      <c r="B1569" s="8">
        <v>1001</v>
      </c>
      <c r="C1569" s="8">
        <v>5</v>
      </c>
      <c r="D1569" s="8">
        <v>1003</v>
      </c>
      <c r="E1569" t="s">
        <v>4118</v>
      </c>
      <c r="F1569" s="13" t="s">
        <v>4113</v>
      </c>
      <c r="G1569" t="s">
        <v>4119</v>
      </c>
      <c r="H1569" t="s">
        <v>4115</v>
      </c>
      <c r="I1569">
        <v>1</v>
      </c>
      <c r="J1569">
        <v>2</v>
      </c>
      <c r="K1569" s="33">
        <v>4</v>
      </c>
      <c r="L1569" s="8">
        <v>99</v>
      </c>
      <c r="M1569" s="8">
        <v>0</v>
      </c>
      <c r="N1569" s="8"/>
      <c r="Q1569" t="s">
        <v>260</v>
      </c>
      <c r="S1569" s="89">
        <v>1</v>
      </c>
      <c r="T1569" s="8">
        <v>5</v>
      </c>
      <c r="U1569" s="89">
        <v>110</v>
      </c>
      <c r="V1569" s="87">
        <v>0</v>
      </c>
      <c r="W1569">
        <v>1</v>
      </c>
      <c r="X1569" s="8">
        <v>1</v>
      </c>
      <c r="Y1569" s="8">
        <v>0</v>
      </c>
      <c r="Z1569" s="33">
        <v>0</v>
      </c>
      <c r="AA1569">
        <v>5</v>
      </c>
      <c r="AB1569" s="34">
        <v>4180</v>
      </c>
      <c r="AC1569" s="87">
        <f t="shared" si="5"/>
        <v>325</v>
      </c>
      <c r="AD1569" s="62">
        <v>0</v>
      </c>
      <c r="AE1569" s="62">
        <v>0</v>
      </c>
      <c r="AF1569" s="62">
        <v>1</v>
      </c>
      <c r="AJ1569" s="63">
        <v>1102204</v>
      </c>
      <c r="AL1569" s="64">
        <v>1</v>
      </c>
      <c r="AN1569" s="93"/>
      <c r="AO1569" s="92"/>
      <c r="AS1569">
        <v>1</v>
      </c>
    </row>
    <row r="1570" spans="1:45">
      <c r="A1570">
        <v>1102204</v>
      </c>
      <c r="B1570" s="8">
        <v>1001</v>
      </c>
      <c r="C1570" s="8">
        <v>5</v>
      </c>
      <c r="D1570" s="8">
        <v>1003</v>
      </c>
      <c r="E1570" t="s">
        <v>4120</v>
      </c>
      <c r="F1570" s="13" t="s">
        <v>4113</v>
      </c>
      <c r="G1570" t="s">
        <v>4121</v>
      </c>
      <c r="H1570" t="s">
        <v>4122</v>
      </c>
      <c r="I1570">
        <v>1</v>
      </c>
      <c r="J1570">
        <v>2</v>
      </c>
      <c r="K1570" s="33">
        <v>4</v>
      </c>
      <c r="L1570" s="8">
        <v>99</v>
      </c>
      <c r="M1570" s="8">
        <v>0</v>
      </c>
      <c r="N1570" s="8"/>
      <c r="Q1570" t="s">
        <v>260</v>
      </c>
      <c r="S1570" s="89">
        <v>1</v>
      </c>
      <c r="T1570" s="8">
        <v>5</v>
      </c>
      <c r="U1570" s="89">
        <v>110</v>
      </c>
      <c r="V1570" s="87">
        <v>0</v>
      </c>
      <c r="W1570">
        <v>1</v>
      </c>
      <c r="X1570" s="8">
        <v>1</v>
      </c>
      <c r="Y1570" s="8">
        <v>0</v>
      </c>
      <c r="Z1570" s="33">
        <v>0</v>
      </c>
      <c r="AA1570">
        <v>5</v>
      </c>
      <c r="AB1570" s="34">
        <v>4180</v>
      </c>
      <c r="AC1570" s="87">
        <f t="shared" si="5"/>
        <v>324</v>
      </c>
      <c r="AD1570" s="62">
        <v>0</v>
      </c>
      <c r="AE1570" s="62">
        <v>0</v>
      </c>
      <c r="AF1570" s="62">
        <v>1</v>
      </c>
      <c r="AJ1570" s="63">
        <v>1102205</v>
      </c>
      <c r="AL1570" s="64">
        <v>1</v>
      </c>
      <c r="AN1570" s="93"/>
      <c r="AO1570" s="92"/>
      <c r="AS1570">
        <v>1</v>
      </c>
    </row>
    <row r="1571" spans="1:45">
      <c r="A1571">
        <v>1102205</v>
      </c>
      <c r="B1571" s="8">
        <v>1001</v>
      </c>
      <c r="C1571" s="8">
        <v>5</v>
      </c>
      <c r="D1571" s="8">
        <v>1003</v>
      </c>
      <c r="E1571" t="s">
        <v>4123</v>
      </c>
      <c r="F1571" s="13" t="s">
        <v>4113</v>
      </c>
      <c r="G1571" t="s">
        <v>4124</v>
      </c>
      <c r="H1571" t="s">
        <v>4122</v>
      </c>
      <c r="I1571">
        <v>1</v>
      </c>
      <c r="J1571">
        <v>3</v>
      </c>
      <c r="K1571" s="33">
        <v>4</v>
      </c>
      <c r="L1571" s="8">
        <v>99</v>
      </c>
      <c r="M1571" s="8">
        <v>0</v>
      </c>
      <c r="N1571" s="8"/>
      <c r="Q1571" t="s">
        <v>260</v>
      </c>
      <c r="S1571" s="89">
        <v>1</v>
      </c>
      <c r="T1571" s="8">
        <v>5</v>
      </c>
      <c r="U1571" s="89">
        <v>140</v>
      </c>
      <c r="V1571" s="87">
        <v>0</v>
      </c>
      <c r="W1571">
        <v>1</v>
      </c>
      <c r="X1571" s="8">
        <v>1</v>
      </c>
      <c r="Y1571" s="8">
        <v>0</v>
      </c>
      <c r="Z1571" s="33">
        <v>0</v>
      </c>
      <c r="AA1571">
        <v>5</v>
      </c>
      <c r="AB1571" s="34">
        <v>5320</v>
      </c>
      <c r="AC1571" s="87">
        <f t="shared" si="5"/>
        <v>323</v>
      </c>
      <c r="AD1571" s="62">
        <v>0</v>
      </c>
      <c r="AE1571" s="62">
        <v>0</v>
      </c>
      <c r="AF1571" s="62">
        <v>1</v>
      </c>
      <c r="AJ1571" s="63">
        <v>1102206</v>
      </c>
      <c r="AL1571" s="64">
        <v>1</v>
      </c>
      <c r="AN1571" s="93"/>
      <c r="AO1571" s="92"/>
      <c r="AS1571">
        <v>1</v>
      </c>
    </row>
    <row r="1572" spans="1:45">
      <c r="A1572">
        <v>1102206</v>
      </c>
      <c r="B1572" s="8">
        <v>1001</v>
      </c>
      <c r="C1572" s="8">
        <v>5</v>
      </c>
      <c r="D1572" s="8">
        <v>1003</v>
      </c>
      <c r="E1572" t="s">
        <v>4125</v>
      </c>
      <c r="F1572" s="13" t="s">
        <v>4113</v>
      </c>
      <c r="G1572" t="s">
        <v>4126</v>
      </c>
      <c r="H1572" t="s">
        <v>4122</v>
      </c>
      <c r="I1572">
        <v>1</v>
      </c>
      <c r="J1572">
        <v>3</v>
      </c>
      <c r="K1572" s="33">
        <v>4</v>
      </c>
      <c r="L1572" s="8">
        <v>99</v>
      </c>
      <c r="M1572" s="8">
        <v>0</v>
      </c>
      <c r="N1572" s="8"/>
      <c r="Q1572" t="s">
        <v>260</v>
      </c>
      <c r="S1572" s="89">
        <v>1</v>
      </c>
      <c r="T1572" s="8">
        <v>5</v>
      </c>
      <c r="U1572" s="89">
        <v>140</v>
      </c>
      <c r="V1572" s="87">
        <v>0</v>
      </c>
      <c r="W1572">
        <v>1</v>
      </c>
      <c r="X1572" s="8">
        <v>1</v>
      </c>
      <c r="Y1572" s="8">
        <v>0</v>
      </c>
      <c r="Z1572" s="33">
        <v>0</v>
      </c>
      <c r="AA1572">
        <v>5</v>
      </c>
      <c r="AB1572" s="34">
        <v>5320</v>
      </c>
      <c r="AC1572" s="87">
        <f t="shared" si="5"/>
        <v>322</v>
      </c>
      <c r="AD1572" s="62">
        <v>0</v>
      </c>
      <c r="AE1572" s="62">
        <v>0</v>
      </c>
      <c r="AF1572" s="62">
        <v>1</v>
      </c>
      <c r="AJ1572" s="63">
        <v>1102207</v>
      </c>
      <c r="AL1572" s="64">
        <v>1</v>
      </c>
      <c r="AN1572" s="93"/>
      <c r="AO1572" s="92"/>
      <c r="AS1572">
        <v>1</v>
      </c>
    </row>
    <row r="1573" spans="1:45">
      <c r="A1573">
        <v>1102207</v>
      </c>
      <c r="B1573" s="8">
        <v>1001</v>
      </c>
      <c r="C1573" s="8">
        <v>5</v>
      </c>
      <c r="D1573" s="8">
        <v>1003</v>
      </c>
      <c r="E1573" t="s">
        <v>4127</v>
      </c>
      <c r="F1573" s="13" t="s">
        <v>4113</v>
      </c>
      <c r="G1573" t="s">
        <v>4128</v>
      </c>
      <c r="H1573" t="s">
        <v>4129</v>
      </c>
      <c r="I1573">
        <v>1</v>
      </c>
      <c r="J1573">
        <v>4</v>
      </c>
      <c r="K1573" s="33">
        <v>4</v>
      </c>
      <c r="L1573" s="8">
        <v>99</v>
      </c>
      <c r="M1573" s="8">
        <v>0</v>
      </c>
      <c r="N1573" s="8"/>
      <c r="S1573" s="89">
        <v>1</v>
      </c>
      <c r="T1573" s="8">
        <v>5</v>
      </c>
      <c r="U1573" s="89">
        <v>170</v>
      </c>
      <c r="V1573" s="87">
        <v>0</v>
      </c>
      <c r="W1573">
        <v>1</v>
      </c>
      <c r="X1573" s="8">
        <v>1</v>
      </c>
      <c r="Y1573" s="8">
        <v>0</v>
      </c>
      <c r="Z1573" s="33">
        <v>0</v>
      </c>
      <c r="AA1573">
        <v>5</v>
      </c>
      <c r="AB1573" s="34">
        <v>6460</v>
      </c>
      <c r="AC1573" s="87">
        <f t="shared" si="5"/>
        <v>321</v>
      </c>
      <c r="AD1573" s="62">
        <v>0</v>
      </c>
      <c r="AE1573" s="62">
        <v>0</v>
      </c>
      <c r="AF1573" s="62">
        <v>1</v>
      </c>
      <c r="AJ1573" s="63">
        <v>1102208</v>
      </c>
      <c r="AL1573" s="64">
        <v>1</v>
      </c>
      <c r="AN1573" s="93"/>
      <c r="AO1573" s="92"/>
      <c r="AS1573">
        <v>1</v>
      </c>
    </row>
    <row r="1574" spans="1:45">
      <c r="A1574">
        <v>1102208</v>
      </c>
      <c r="B1574" s="8">
        <v>1001</v>
      </c>
      <c r="C1574" s="8">
        <v>5</v>
      </c>
      <c r="D1574" s="8">
        <v>1003</v>
      </c>
      <c r="E1574" t="s">
        <v>4130</v>
      </c>
      <c r="F1574" s="13" t="s">
        <v>4113</v>
      </c>
      <c r="G1574" t="s">
        <v>4131</v>
      </c>
      <c r="H1574" t="s">
        <v>4129</v>
      </c>
      <c r="I1574">
        <v>1</v>
      </c>
      <c r="J1574">
        <v>4</v>
      </c>
      <c r="K1574" s="33">
        <v>4</v>
      </c>
      <c r="L1574" s="8">
        <v>99</v>
      </c>
      <c r="M1574" s="8">
        <v>0</v>
      </c>
      <c r="N1574" s="8"/>
      <c r="S1574" s="89">
        <v>1</v>
      </c>
      <c r="T1574" s="8">
        <v>5</v>
      </c>
      <c r="U1574" s="89">
        <v>170</v>
      </c>
      <c r="V1574" s="87">
        <v>0</v>
      </c>
      <c r="W1574">
        <v>1</v>
      </c>
      <c r="X1574" s="8">
        <v>1</v>
      </c>
      <c r="Y1574" s="8">
        <v>0</v>
      </c>
      <c r="Z1574" s="33">
        <v>0</v>
      </c>
      <c r="AA1574">
        <v>5</v>
      </c>
      <c r="AB1574" s="34">
        <v>6460</v>
      </c>
      <c r="AC1574" s="87">
        <f t="shared" si="5"/>
        <v>321</v>
      </c>
      <c r="AD1574" s="62">
        <v>0</v>
      </c>
      <c r="AE1574" s="62">
        <v>0</v>
      </c>
      <c r="AF1574" s="62">
        <v>1</v>
      </c>
      <c r="AJ1574" s="63">
        <v>1102209</v>
      </c>
      <c r="AL1574" s="64">
        <v>1</v>
      </c>
      <c r="AN1574" s="93"/>
      <c r="AO1574" s="92"/>
      <c r="AS1574">
        <v>1</v>
      </c>
    </row>
    <row r="1575" spans="1:45">
      <c r="A1575">
        <v>1102209</v>
      </c>
      <c r="B1575" s="8">
        <v>1001</v>
      </c>
      <c r="C1575" s="8">
        <v>5</v>
      </c>
      <c r="D1575" s="8">
        <v>1003</v>
      </c>
      <c r="E1575" t="s">
        <v>4132</v>
      </c>
      <c r="F1575" s="13" t="s">
        <v>4113</v>
      </c>
      <c r="G1575" t="s">
        <v>4133</v>
      </c>
      <c r="H1575" t="s">
        <v>4129</v>
      </c>
      <c r="I1575">
        <v>1</v>
      </c>
      <c r="J1575">
        <v>5</v>
      </c>
      <c r="K1575" s="33">
        <v>4</v>
      </c>
      <c r="L1575" s="8">
        <v>99</v>
      </c>
      <c r="M1575" s="8">
        <v>0</v>
      </c>
      <c r="N1575" s="8"/>
      <c r="S1575" s="89">
        <v>1</v>
      </c>
      <c r="T1575" s="8">
        <v>5</v>
      </c>
      <c r="U1575" s="89">
        <v>200</v>
      </c>
      <c r="V1575" s="87">
        <v>0</v>
      </c>
      <c r="W1575">
        <v>1</v>
      </c>
      <c r="X1575" s="8">
        <v>1</v>
      </c>
      <c r="Y1575" s="8">
        <v>0</v>
      </c>
      <c r="Z1575" s="33">
        <v>0</v>
      </c>
      <c r="AA1575">
        <v>5</v>
      </c>
      <c r="AB1575" s="34">
        <v>7600</v>
      </c>
      <c r="AC1575" s="87">
        <f t="shared" si="5"/>
        <v>321</v>
      </c>
      <c r="AD1575" s="62">
        <v>0</v>
      </c>
      <c r="AE1575" s="62">
        <v>0</v>
      </c>
      <c r="AF1575" s="62">
        <v>1</v>
      </c>
      <c r="AJ1575" s="63">
        <v>1102210</v>
      </c>
      <c r="AL1575" s="64">
        <v>1</v>
      </c>
      <c r="AN1575" s="93"/>
      <c r="AO1575" s="92"/>
      <c r="AS1575">
        <v>1</v>
      </c>
    </row>
    <row r="1576" spans="1:45">
      <c r="A1576">
        <v>1102210</v>
      </c>
      <c r="B1576" s="8">
        <v>1001</v>
      </c>
      <c r="C1576" s="8">
        <v>5</v>
      </c>
      <c r="D1576" s="8">
        <v>1003</v>
      </c>
      <c r="E1576" t="s">
        <v>4134</v>
      </c>
      <c r="F1576" s="13" t="s">
        <v>4113</v>
      </c>
      <c r="G1576" t="s">
        <v>4135</v>
      </c>
      <c r="H1576" t="s">
        <v>4136</v>
      </c>
      <c r="I1576">
        <v>1</v>
      </c>
      <c r="J1576">
        <v>5</v>
      </c>
      <c r="K1576" s="33">
        <v>4</v>
      </c>
      <c r="L1576" s="8">
        <v>99</v>
      </c>
      <c r="M1576" s="8">
        <v>0</v>
      </c>
      <c r="N1576" s="8"/>
      <c r="S1576" s="89">
        <v>1</v>
      </c>
      <c r="T1576" s="8">
        <v>5</v>
      </c>
      <c r="U1576" s="89">
        <v>200</v>
      </c>
      <c r="V1576" s="87">
        <v>0</v>
      </c>
      <c r="W1576">
        <v>1</v>
      </c>
      <c r="X1576" s="8">
        <v>1</v>
      </c>
      <c r="Y1576" s="8">
        <v>0</v>
      </c>
      <c r="Z1576" s="33">
        <v>0</v>
      </c>
      <c r="AA1576">
        <v>5</v>
      </c>
      <c r="AB1576" s="34">
        <v>7600</v>
      </c>
      <c r="AC1576" s="87">
        <f t="shared" si="5"/>
        <v>621</v>
      </c>
      <c r="AD1576" s="62">
        <v>0</v>
      </c>
      <c r="AE1576" s="62">
        <v>0</v>
      </c>
      <c r="AF1576" s="62">
        <v>1</v>
      </c>
      <c r="AJ1576" s="63">
        <v>1102211</v>
      </c>
      <c r="AL1576" s="64">
        <v>1</v>
      </c>
      <c r="AN1576" s="93"/>
      <c r="AO1576" s="92"/>
      <c r="AS1576">
        <v>1</v>
      </c>
    </row>
    <row r="1577" spans="1:45">
      <c r="A1577">
        <v>1102211</v>
      </c>
      <c r="B1577" s="8">
        <v>1001</v>
      </c>
      <c r="C1577" s="8">
        <v>5</v>
      </c>
      <c r="D1577" s="8">
        <v>1003</v>
      </c>
      <c r="E1577" t="s">
        <v>4137</v>
      </c>
      <c r="F1577" s="13" t="s">
        <v>4113</v>
      </c>
      <c r="G1577" t="s">
        <v>4138</v>
      </c>
      <c r="H1577" t="s">
        <v>4139</v>
      </c>
      <c r="I1577">
        <v>1</v>
      </c>
      <c r="J1577">
        <v>5</v>
      </c>
      <c r="K1577" s="33">
        <v>4</v>
      </c>
      <c r="L1577" s="8">
        <v>99</v>
      </c>
      <c r="M1577" s="8">
        <v>0</v>
      </c>
      <c r="N1577" s="8"/>
      <c r="S1577" s="89">
        <v>1</v>
      </c>
      <c r="T1577" s="8">
        <v>5</v>
      </c>
      <c r="U1577" s="89">
        <v>200</v>
      </c>
      <c r="V1577" s="87">
        <v>0</v>
      </c>
      <c r="W1577">
        <v>1</v>
      </c>
      <c r="X1577" s="8">
        <v>1</v>
      </c>
      <c r="Y1577" s="8">
        <v>0</v>
      </c>
      <c r="Z1577" s="33">
        <v>0</v>
      </c>
      <c r="AA1577">
        <v>5</v>
      </c>
      <c r="AB1577" s="34">
        <v>7600</v>
      </c>
      <c r="AC1577" s="87">
        <f>AC1575</f>
        <v>321</v>
      </c>
      <c r="AD1577" s="62">
        <v>0</v>
      </c>
      <c r="AE1577" s="62">
        <v>0</v>
      </c>
      <c r="AF1577" s="62">
        <v>1</v>
      </c>
      <c r="AJ1577" s="63">
        <v>1102212</v>
      </c>
      <c r="AL1577" s="64">
        <v>1</v>
      </c>
      <c r="AN1577" s="93"/>
      <c r="AO1577" s="92"/>
      <c r="AS1577">
        <v>1</v>
      </c>
    </row>
    <row r="1578" spans="1:45">
      <c r="A1578">
        <v>1102212</v>
      </c>
      <c r="B1578" s="8">
        <v>1001</v>
      </c>
      <c r="C1578" s="8">
        <v>5</v>
      </c>
      <c r="D1578" s="8">
        <v>1003</v>
      </c>
      <c r="E1578" t="s">
        <v>4140</v>
      </c>
      <c r="F1578" s="13" t="s">
        <v>4113</v>
      </c>
      <c r="G1578" t="s">
        <v>4141</v>
      </c>
      <c r="H1578" t="s">
        <v>4139</v>
      </c>
      <c r="I1578">
        <v>1</v>
      </c>
      <c r="J1578">
        <v>5</v>
      </c>
      <c r="K1578" s="33">
        <v>1</v>
      </c>
      <c r="L1578" s="8">
        <v>99</v>
      </c>
      <c r="M1578" s="8">
        <v>0</v>
      </c>
      <c r="N1578" s="8"/>
      <c r="Q1578"/>
      <c r="S1578" s="89">
        <v>1</v>
      </c>
      <c r="T1578" s="8">
        <v>5</v>
      </c>
      <c r="U1578" s="89">
        <v>200</v>
      </c>
      <c r="V1578" s="87">
        <v>0</v>
      </c>
      <c r="W1578">
        <v>1</v>
      </c>
      <c r="X1578" s="8">
        <v>1</v>
      </c>
      <c r="Y1578" s="8">
        <v>0</v>
      </c>
      <c r="Z1578" s="33">
        <v>0</v>
      </c>
      <c r="AA1578">
        <v>5</v>
      </c>
      <c r="AB1578" s="34">
        <v>7600</v>
      </c>
      <c r="AC1578" s="87">
        <f>AC1576</f>
        <v>621</v>
      </c>
      <c r="AD1578" s="62">
        <v>0</v>
      </c>
      <c r="AE1578" s="62">
        <v>0</v>
      </c>
      <c r="AF1578" s="62">
        <v>1</v>
      </c>
      <c r="AL1578" s="64">
        <v>1</v>
      </c>
      <c r="AN1578" s="93"/>
      <c r="AO1578" s="92"/>
      <c r="AS1578">
        <v>1</v>
      </c>
    </row>
    <row r="1579" spans="1:45">
      <c r="A1579">
        <v>1102301</v>
      </c>
      <c r="B1579" s="8">
        <v>1001</v>
      </c>
      <c r="C1579" s="8">
        <v>5</v>
      </c>
      <c r="D1579" s="8">
        <v>1003</v>
      </c>
      <c r="E1579" t="s">
        <v>4142</v>
      </c>
      <c r="F1579" s="13" t="s">
        <v>4143</v>
      </c>
      <c r="G1579" t="s">
        <v>4144</v>
      </c>
      <c r="H1579" t="s">
        <v>4145</v>
      </c>
      <c r="I1579">
        <v>1</v>
      </c>
      <c r="J1579">
        <v>1</v>
      </c>
      <c r="K1579" s="33">
        <v>4</v>
      </c>
      <c r="L1579" s="8">
        <v>99</v>
      </c>
      <c r="M1579" s="8">
        <v>0</v>
      </c>
      <c r="N1579" s="8"/>
      <c r="Q1579" t="s">
        <v>260</v>
      </c>
      <c r="S1579" s="89">
        <v>1</v>
      </c>
      <c r="T1579" s="8">
        <v>5</v>
      </c>
      <c r="U1579" s="89">
        <v>80</v>
      </c>
      <c r="V1579" s="87">
        <v>0</v>
      </c>
      <c r="W1579">
        <v>1</v>
      </c>
      <c r="X1579" s="8">
        <v>1</v>
      </c>
      <c r="Y1579" s="8">
        <v>0</v>
      </c>
      <c r="Z1579" s="33">
        <v>0</v>
      </c>
      <c r="AA1579">
        <v>5</v>
      </c>
      <c r="AB1579" s="34">
        <v>3040</v>
      </c>
      <c r="AC1579" s="87">
        <f t="shared" ref="AC1579:AC1600" si="6">AC1566+10</f>
        <v>340</v>
      </c>
      <c r="AD1579" s="62">
        <v>0</v>
      </c>
      <c r="AE1579" s="62">
        <v>0</v>
      </c>
      <c r="AF1579" s="62">
        <v>1</v>
      </c>
      <c r="AJ1579" s="63">
        <v>1102302</v>
      </c>
      <c r="AL1579" s="64">
        <v>1</v>
      </c>
      <c r="AN1579" s="93"/>
      <c r="AO1579" s="92"/>
      <c r="AS1579">
        <v>1</v>
      </c>
    </row>
    <row r="1580" spans="1:45">
      <c r="A1580">
        <v>1102302</v>
      </c>
      <c r="B1580" s="8">
        <v>1001</v>
      </c>
      <c r="C1580" s="8">
        <v>5</v>
      </c>
      <c r="D1580" s="8">
        <v>1003</v>
      </c>
      <c r="E1580" t="s">
        <v>4146</v>
      </c>
      <c r="F1580" s="13" t="s">
        <v>4143</v>
      </c>
      <c r="G1580" t="s">
        <v>4147</v>
      </c>
      <c r="H1580" t="s">
        <v>4145</v>
      </c>
      <c r="I1580">
        <v>1</v>
      </c>
      <c r="J1580">
        <v>1</v>
      </c>
      <c r="K1580" s="33">
        <v>4</v>
      </c>
      <c r="L1580" s="8">
        <v>99</v>
      </c>
      <c r="M1580" s="8">
        <v>0</v>
      </c>
      <c r="N1580" s="8"/>
      <c r="Q1580" t="s">
        <v>260</v>
      </c>
      <c r="S1580" s="89">
        <v>1</v>
      </c>
      <c r="T1580" s="8">
        <v>5</v>
      </c>
      <c r="U1580" s="89">
        <v>80</v>
      </c>
      <c r="V1580" s="87">
        <v>0</v>
      </c>
      <c r="W1580">
        <v>1</v>
      </c>
      <c r="X1580" s="8">
        <v>1</v>
      </c>
      <c r="Y1580" s="8">
        <v>0</v>
      </c>
      <c r="Z1580" s="33">
        <v>0</v>
      </c>
      <c r="AA1580">
        <v>5</v>
      </c>
      <c r="AB1580" s="34">
        <v>3040</v>
      </c>
      <c r="AC1580" s="87">
        <f t="shared" si="6"/>
        <v>337</v>
      </c>
      <c r="AD1580" s="62">
        <v>0</v>
      </c>
      <c r="AE1580" s="62">
        <v>0</v>
      </c>
      <c r="AF1580" s="62">
        <v>1</v>
      </c>
      <c r="AJ1580" s="63">
        <v>1102303</v>
      </c>
      <c r="AL1580" s="64">
        <v>1</v>
      </c>
      <c r="AN1580" s="93"/>
      <c r="AO1580" s="92"/>
      <c r="AS1580">
        <v>1</v>
      </c>
    </row>
    <row r="1581" spans="1:45">
      <c r="A1581">
        <v>1102303</v>
      </c>
      <c r="B1581" s="8">
        <v>1001</v>
      </c>
      <c r="C1581" s="8">
        <v>5</v>
      </c>
      <c r="D1581" s="8">
        <v>1003</v>
      </c>
      <c r="E1581" t="s">
        <v>4148</v>
      </c>
      <c r="F1581" s="13" t="s">
        <v>4143</v>
      </c>
      <c r="G1581" t="s">
        <v>4149</v>
      </c>
      <c r="H1581" t="s">
        <v>4145</v>
      </c>
      <c r="I1581">
        <v>1</v>
      </c>
      <c r="J1581">
        <v>2</v>
      </c>
      <c r="K1581" s="33">
        <v>4</v>
      </c>
      <c r="L1581" s="8">
        <v>99</v>
      </c>
      <c r="M1581" s="8">
        <v>0</v>
      </c>
      <c r="N1581" s="8"/>
      <c r="Q1581" t="s">
        <v>260</v>
      </c>
      <c r="S1581" s="89">
        <v>1</v>
      </c>
      <c r="T1581" s="8">
        <v>5</v>
      </c>
      <c r="U1581" s="89">
        <v>110</v>
      </c>
      <c r="V1581" s="87">
        <v>0</v>
      </c>
      <c r="W1581">
        <v>1</v>
      </c>
      <c r="X1581" s="8">
        <v>1</v>
      </c>
      <c r="Y1581" s="8">
        <v>0</v>
      </c>
      <c r="Z1581" s="33">
        <v>0</v>
      </c>
      <c r="AA1581">
        <v>5</v>
      </c>
      <c r="AB1581" s="34">
        <v>4180</v>
      </c>
      <c r="AC1581" s="87">
        <f t="shared" si="6"/>
        <v>336</v>
      </c>
      <c r="AD1581" s="62">
        <v>0</v>
      </c>
      <c r="AE1581" s="62">
        <v>0</v>
      </c>
      <c r="AF1581" s="62">
        <v>1</v>
      </c>
      <c r="AJ1581" s="63">
        <v>1102304</v>
      </c>
      <c r="AL1581" s="64">
        <v>1</v>
      </c>
      <c r="AN1581" s="93"/>
      <c r="AO1581" s="92"/>
      <c r="AS1581">
        <v>1</v>
      </c>
    </row>
    <row r="1582" spans="1:45">
      <c r="A1582">
        <v>1102304</v>
      </c>
      <c r="B1582" s="8">
        <v>1001</v>
      </c>
      <c r="C1582" s="8">
        <v>5</v>
      </c>
      <c r="D1582" s="8">
        <v>1003</v>
      </c>
      <c r="E1582" t="s">
        <v>4150</v>
      </c>
      <c r="F1582" s="13" t="s">
        <v>4143</v>
      </c>
      <c r="G1582" t="s">
        <v>4151</v>
      </c>
      <c r="H1582" t="s">
        <v>4152</v>
      </c>
      <c r="I1582">
        <v>1</v>
      </c>
      <c r="J1582">
        <v>2</v>
      </c>
      <c r="K1582" s="33">
        <v>4</v>
      </c>
      <c r="L1582" s="8">
        <v>99</v>
      </c>
      <c r="M1582" s="8">
        <v>0</v>
      </c>
      <c r="N1582" s="8"/>
      <c r="Q1582" t="s">
        <v>260</v>
      </c>
      <c r="S1582" s="89">
        <v>1</v>
      </c>
      <c r="T1582" s="8">
        <v>5</v>
      </c>
      <c r="U1582" s="89">
        <v>110</v>
      </c>
      <c r="V1582" s="87">
        <v>0</v>
      </c>
      <c r="W1582">
        <v>1</v>
      </c>
      <c r="X1582" s="8">
        <v>1</v>
      </c>
      <c r="Y1582" s="8">
        <v>0</v>
      </c>
      <c r="Z1582" s="33">
        <v>0</v>
      </c>
      <c r="AA1582">
        <v>5</v>
      </c>
      <c r="AB1582" s="34">
        <v>4180</v>
      </c>
      <c r="AC1582" s="87">
        <f t="shared" si="6"/>
        <v>335</v>
      </c>
      <c r="AD1582" s="62">
        <v>0</v>
      </c>
      <c r="AE1582" s="62">
        <v>0</v>
      </c>
      <c r="AF1582" s="62">
        <v>1</v>
      </c>
      <c r="AJ1582" s="63">
        <v>1102305</v>
      </c>
      <c r="AL1582" s="64">
        <v>1</v>
      </c>
      <c r="AN1582" s="93"/>
      <c r="AO1582" s="92"/>
      <c r="AS1582">
        <v>1</v>
      </c>
    </row>
    <row r="1583" spans="1:45">
      <c r="A1583">
        <v>1102305</v>
      </c>
      <c r="B1583" s="8">
        <v>1001</v>
      </c>
      <c r="C1583" s="8">
        <v>5</v>
      </c>
      <c r="D1583" s="8">
        <v>1003</v>
      </c>
      <c r="E1583" t="s">
        <v>4153</v>
      </c>
      <c r="F1583" s="13" t="s">
        <v>4143</v>
      </c>
      <c r="G1583" t="s">
        <v>4154</v>
      </c>
      <c r="H1583" t="s">
        <v>4152</v>
      </c>
      <c r="I1583">
        <v>1</v>
      </c>
      <c r="J1583">
        <v>3</v>
      </c>
      <c r="K1583" s="33">
        <v>4</v>
      </c>
      <c r="L1583" s="8">
        <v>99</v>
      </c>
      <c r="M1583" s="8">
        <v>0</v>
      </c>
      <c r="N1583" s="8"/>
      <c r="Q1583" t="s">
        <v>260</v>
      </c>
      <c r="S1583" s="89">
        <v>1</v>
      </c>
      <c r="T1583" s="8">
        <v>5</v>
      </c>
      <c r="U1583" s="89">
        <v>140</v>
      </c>
      <c r="V1583" s="87">
        <v>0</v>
      </c>
      <c r="W1583">
        <v>1</v>
      </c>
      <c r="X1583" s="8">
        <v>1</v>
      </c>
      <c r="Y1583" s="8">
        <v>0</v>
      </c>
      <c r="Z1583" s="33">
        <v>0</v>
      </c>
      <c r="AA1583">
        <v>5</v>
      </c>
      <c r="AB1583" s="34">
        <v>5320</v>
      </c>
      <c r="AC1583" s="87">
        <f t="shared" si="6"/>
        <v>334</v>
      </c>
      <c r="AD1583" s="62">
        <v>0</v>
      </c>
      <c r="AE1583" s="62">
        <v>0</v>
      </c>
      <c r="AF1583" s="62">
        <v>1</v>
      </c>
      <c r="AJ1583" s="63">
        <v>1102306</v>
      </c>
      <c r="AL1583" s="64">
        <v>1</v>
      </c>
      <c r="AN1583" s="93"/>
      <c r="AO1583" s="92"/>
      <c r="AS1583">
        <v>1</v>
      </c>
    </row>
    <row r="1584" spans="1:45">
      <c r="A1584">
        <v>1102306</v>
      </c>
      <c r="B1584" s="8">
        <v>1001</v>
      </c>
      <c r="C1584" s="8">
        <v>5</v>
      </c>
      <c r="D1584" s="8">
        <v>1003</v>
      </c>
      <c r="E1584" t="s">
        <v>4155</v>
      </c>
      <c r="F1584" s="13" t="s">
        <v>4143</v>
      </c>
      <c r="G1584" t="s">
        <v>4156</v>
      </c>
      <c r="H1584" t="s">
        <v>4152</v>
      </c>
      <c r="I1584">
        <v>1</v>
      </c>
      <c r="J1584">
        <v>3</v>
      </c>
      <c r="K1584" s="33">
        <v>4</v>
      </c>
      <c r="L1584" s="8">
        <v>99</v>
      </c>
      <c r="M1584" s="8">
        <v>0</v>
      </c>
      <c r="N1584" s="8"/>
      <c r="Q1584" t="s">
        <v>260</v>
      </c>
      <c r="S1584" s="89">
        <v>1</v>
      </c>
      <c r="T1584" s="8">
        <v>5</v>
      </c>
      <c r="U1584" s="89">
        <v>140</v>
      </c>
      <c r="V1584" s="87">
        <v>0</v>
      </c>
      <c r="W1584">
        <v>1</v>
      </c>
      <c r="X1584" s="8">
        <v>1</v>
      </c>
      <c r="Y1584" s="8">
        <v>0</v>
      </c>
      <c r="Z1584" s="33">
        <v>0</v>
      </c>
      <c r="AA1584">
        <v>5</v>
      </c>
      <c r="AB1584" s="34">
        <v>5320</v>
      </c>
      <c r="AC1584" s="87">
        <f t="shared" si="6"/>
        <v>333</v>
      </c>
      <c r="AD1584" s="62">
        <v>0</v>
      </c>
      <c r="AE1584" s="62">
        <v>0</v>
      </c>
      <c r="AF1584" s="62">
        <v>1</v>
      </c>
      <c r="AJ1584" s="63">
        <v>1102307</v>
      </c>
      <c r="AL1584" s="64">
        <v>1</v>
      </c>
      <c r="AN1584" s="93"/>
      <c r="AO1584" s="92"/>
      <c r="AS1584">
        <v>1</v>
      </c>
    </row>
    <row r="1585" spans="1:45">
      <c r="A1585">
        <v>1102307</v>
      </c>
      <c r="B1585" s="8">
        <v>1001</v>
      </c>
      <c r="C1585" s="8">
        <v>5</v>
      </c>
      <c r="D1585" s="8">
        <v>1003</v>
      </c>
      <c r="E1585" t="s">
        <v>4157</v>
      </c>
      <c r="F1585" s="13" t="s">
        <v>4143</v>
      </c>
      <c r="G1585" t="s">
        <v>4158</v>
      </c>
      <c r="H1585" t="s">
        <v>4159</v>
      </c>
      <c r="I1585">
        <v>1</v>
      </c>
      <c r="J1585">
        <v>4</v>
      </c>
      <c r="K1585" s="33">
        <v>4</v>
      </c>
      <c r="L1585" s="8">
        <v>99</v>
      </c>
      <c r="M1585" s="8">
        <v>0</v>
      </c>
      <c r="N1585" s="8"/>
      <c r="S1585" s="89">
        <v>1</v>
      </c>
      <c r="T1585" s="8">
        <v>5</v>
      </c>
      <c r="U1585" s="89">
        <v>170</v>
      </c>
      <c r="V1585" s="87">
        <v>0</v>
      </c>
      <c r="W1585">
        <v>1</v>
      </c>
      <c r="X1585" s="8">
        <v>1</v>
      </c>
      <c r="Y1585" s="8">
        <v>0</v>
      </c>
      <c r="Z1585" s="33">
        <v>0</v>
      </c>
      <c r="AA1585">
        <v>5</v>
      </c>
      <c r="AB1585" s="34">
        <v>6460</v>
      </c>
      <c r="AC1585" s="87">
        <f t="shared" si="6"/>
        <v>332</v>
      </c>
      <c r="AD1585" s="62">
        <v>0</v>
      </c>
      <c r="AE1585" s="62">
        <v>0</v>
      </c>
      <c r="AF1585" s="62">
        <v>1</v>
      </c>
      <c r="AJ1585" s="63">
        <v>1102308</v>
      </c>
      <c r="AL1585" s="64">
        <v>1</v>
      </c>
      <c r="AN1585" s="93"/>
      <c r="AO1585" s="92"/>
      <c r="AS1585">
        <v>1</v>
      </c>
    </row>
    <row r="1586" spans="1:45">
      <c r="A1586">
        <v>1102308</v>
      </c>
      <c r="B1586" s="8">
        <v>1001</v>
      </c>
      <c r="C1586" s="8">
        <v>5</v>
      </c>
      <c r="D1586" s="8">
        <v>1003</v>
      </c>
      <c r="E1586" t="s">
        <v>4160</v>
      </c>
      <c r="F1586" s="13" t="s">
        <v>4143</v>
      </c>
      <c r="G1586" t="s">
        <v>4161</v>
      </c>
      <c r="H1586" t="s">
        <v>4159</v>
      </c>
      <c r="I1586">
        <v>1</v>
      </c>
      <c r="J1586">
        <v>4</v>
      </c>
      <c r="K1586" s="33">
        <v>4</v>
      </c>
      <c r="L1586" s="8">
        <v>99</v>
      </c>
      <c r="M1586" s="8">
        <v>0</v>
      </c>
      <c r="N1586" s="8"/>
      <c r="S1586" s="89">
        <v>1</v>
      </c>
      <c r="T1586" s="8">
        <v>5</v>
      </c>
      <c r="U1586" s="89">
        <v>170</v>
      </c>
      <c r="V1586" s="87">
        <v>0</v>
      </c>
      <c r="W1586">
        <v>1</v>
      </c>
      <c r="X1586" s="8">
        <v>1</v>
      </c>
      <c r="Y1586" s="8">
        <v>0</v>
      </c>
      <c r="Z1586" s="33">
        <v>0</v>
      </c>
      <c r="AA1586">
        <v>5</v>
      </c>
      <c r="AB1586" s="34">
        <v>6460</v>
      </c>
      <c r="AC1586" s="87">
        <f t="shared" si="6"/>
        <v>331</v>
      </c>
      <c r="AD1586" s="62">
        <v>0</v>
      </c>
      <c r="AE1586" s="62">
        <v>0</v>
      </c>
      <c r="AF1586" s="62">
        <v>1</v>
      </c>
      <c r="AJ1586" s="63">
        <v>1102309</v>
      </c>
      <c r="AL1586" s="64">
        <v>1</v>
      </c>
      <c r="AN1586" s="93"/>
      <c r="AO1586" s="92"/>
      <c r="AS1586">
        <v>1</v>
      </c>
    </row>
    <row r="1587" spans="1:45">
      <c r="A1587">
        <v>1102309</v>
      </c>
      <c r="B1587" s="8">
        <v>1001</v>
      </c>
      <c r="C1587" s="8">
        <v>5</v>
      </c>
      <c r="D1587" s="8">
        <v>1003</v>
      </c>
      <c r="E1587" t="s">
        <v>4162</v>
      </c>
      <c r="F1587" s="13" t="s">
        <v>4143</v>
      </c>
      <c r="G1587" t="s">
        <v>4163</v>
      </c>
      <c r="H1587" t="s">
        <v>4159</v>
      </c>
      <c r="I1587">
        <v>1</v>
      </c>
      <c r="J1587">
        <v>5</v>
      </c>
      <c r="K1587" s="33">
        <v>4</v>
      </c>
      <c r="L1587" s="8">
        <v>99</v>
      </c>
      <c r="M1587" s="8">
        <v>0</v>
      </c>
      <c r="N1587" s="8"/>
      <c r="S1587" s="89">
        <v>1</v>
      </c>
      <c r="T1587" s="8">
        <v>5</v>
      </c>
      <c r="U1587" s="89">
        <v>200</v>
      </c>
      <c r="V1587" s="87">
        <v>0</v>
      </c>
      <c r="W1587">
        <v>1</v>
      </c>
      <c r="X1587" s="8">
        <v>1</v>
      </c>
      <c r="Y1587" s="8">
        <v>0</v>
      </c>
      <c r="Z1587" s="33">
        <v>0</v>
      </c>
      <c r="AA1587">
        <v>5</v>
      </c>
      <c r="AB1587" s="34">
        <v>7600</v>
      </c>
      <c r="AC1587" s="87">
        <f t="shared" si="6"/>
        <v>331</v>
      </c>
      <c r="AD1587" s="62">
        <v>0</v>
      </c>
      <c r="AE1587" s="62">
        <v>0</v>
      </c>
      <c r="AF1587" s="62">
        <v>1</v>
      </c>
      <c r="AJ1587" s="63">
        <v>1102310</v>
      </c>
      <c r="AL1587" s="64">
        <v>1</v>
      </c>
      <c r="AN1587" s="93"/>
      <c r="AO1587" s="92"/>
      <c r="AS1587">
        <v>1</v>
      </c>
    </row>
    <row r="1588" spans="1:45">
      <c r="A1588">
        <v>1102310</v>
      </c>
      <c r="B1588" s="8">
        <v>1001</v>
      </c>
      <c r="C1588" s="8">
        <v>5</v>
      </c>
      <c r="D1588" s="8">
        <v>1003</v>
      </c>
      <c r="E1588" t="s">
        <v>4164</v>
      </c>
      <c r="F1588" s="13" t="s">
        <v>4143</v>
      </c>
      <c r="G1588" t="s">
        <v>4165</v>
      </c>
      <c r="H1588" t="s">
        <v>4166</v>
      </c>
      <c r="I1588">
        <v>1</v>
      </c>
      <c r="J1588">
        <v>5</v>
      </c>
      <c r="K1588" s="33">
        <v>4</v>
      </c>
      <c r="L1588" s="8">
        <v>99</v>
      </c>
      <c r="M1588" s="8">
        <v>0</v>
      </c>
      <c r="N1588" s="8"/>
      <c r="S1588" s="89">
        <v>1</v>
      </c>
      <c r="T1588" s="8">
        <v>5</v>
      </c>
      <c r="U1588" s="89">
        <v>200</v>
      </c>
      <c r="V1588" s="87">
        <v>0</v>
      </c>
      <c r="W1588">
        <v>1</v>
      </c>
      <c r="X1588" s="8">
        <v>1</v>
      </c>
      <c r="Y1588" s="8">
        <v>0</v>
      </c>
      <c r="Z1588" s="33">
        <v>0</v>
      </c>
      <c r="AA1588">
        <v>5</v>
      </c>
      <c r="AB1588" s="34">
        <v>7600</v>
      </c>
      <c r="AC1588" s="87">
        <f t="shared" si="6"/>
        <v>331</v>
      </c>
      <c r="AD1588" s="62">
        <v>0</v>
      </c>
      <c r="AE1588" s="62">
        <v>0</v>
      </c>
      <c r="AF1588" s="62">
        <v>1</v>
      </c>
      <c r="AJ1588" s="63">
        <v>1102311</v>
      </c>
      <c r="AL1588" s="64">
        <v>1</v>
      </c>
      <c r="AN1588" s="93"/>
      <c r="AO1588" s="92"/>
      <c r="AS1588">
        <v>1</v>
      </c>
    </row>
    <row r="1589" spans="1:45">
      <c r="A1589">
        <v>1102311</v>
      </c>
      <c r="B1589" s="8">
        <v>1001</v>
      </c>
      <c r="C1589" s="8">
        <v>5</v>
      </c>
      <c r="D1589" s="8">
        <v>1003</v>
      </c>
      <c r="E1589" t="s">
        <v>4167</v>
      </c>
      <c r="F1589" s="13" t="s">
        <v>4143</v>
      </c>
      <c r="G1589" t="s">
        <v>4168</v>
      </c>
      <c r="H1589" t="s">
        <v>4169</v>
      </c>
      <c r="I1589">
        <v>1</v>
      </c>
      <c r="J1589">
        <v>5</v>
      </c>
      <c r="K1589" s="33">
        <v>4</v>
      </c>
      <c r="L1589" s="8">
        <v>99</v>
      </c>
      <c r="M1589" s="8">
        <v>0</v>
      </c>
      <c r="N1589" s="8"/>
      <c r="S1589" s="89">
        <v>1</v>
      </c>
      <c r="T1589" s="8">
        <v>5</v>
      </c>
      <c r="U1589" s="89">
        <v>200</v>
      </c>
      <c r="V1589" s="87">
        <v>0</v>
      </c>
      <c r="W1589">
        <v>1</v>
      </c>
      <c r="X1589" s="8">
        <v>1</v>
      </c>
      <c r="Y1589" s="8">
        <v>0</v>
      </c>
      <c r="Z1589" s="33">
        <v>0</v>
      </c>
      <c r="AA1589">
        <v>5</v>
      </c>
      <c r="AB1589" s="34">
        <v>7600</v>
      </c>
      <c r="AC1589" s="87">
        <f t="shared" si="6"/>
        <v>631</v>
      </c>
      <c r="AD1589" s="62">
        <v>0</v>
      </c>
      <c r="AE1589" s="62">
        <v>0</v>
      </c>
      <c r="AF1589" s="62">
        <v>1</v>
      </c>
      <c r="AJ1589" s="63">
        <v>1102312</v>
      </c>
      <c r="AL1589" s="64">
        <v>1</v>
      </c>
      <c r="AN1589" s="93"/>
      <c r="AO1589" s="92"/>
      <c r="AS1589">
        <v>1</v>
      </c>
    </row>
    <row r="1590" spans="1:45">
      <c r="A1590">
        <v>1102312</v>
      </c>
      <c r="B1590" s="8">
        <v>1001</v>
      </c>
      <c r="C1590" s="8">
        <v>5</v>
      </c>
      <c r="D1590" s="8">
        <v>1003</v>
      </c>
      <c r="E1590" t="s">
        <v>4170</v>
      </c>
      <c r="F1590" s="13" t="s">
        <v>4143</v>
      </c>
      <c r="G1590" t="s">
        <v>4171</v>
      </c>
      <c r="H1590" t="s">
        <v>4169</v>
      </c>
      <c r="I1590">
        <v>1</v>
      </c>
      <c r="J1590">
        <v>5</v>
      </c>
      <c r="K1590" s="33">
        <v>1</v>
      </c>
      <c r="L1590" s="8">
        <v>99</v>
      </c>
      <c r="M1590" s="8">
        <v>0</v>
      </c>
      <c r="N1590" s="8"/>
      <c r="Q1590"/>
      <c r="S1590" s="89">
        <v>1</v>
      </c>
      <c r="T1590" s="8">
        <v>5</v>
      </c>
      <c r="U1590" s="89">
        <v>200</v>
      </c>
      <c r="V1590" s="87">
        <v>0</v>
      </c>
      <c r="W1590">
        <v>1</v>
      </c>
      <c r="X1590" s="8">
        <v>1</v>
      </c>
      <c r="Y1590" s="8">
        <v>0</v>
      </c>
      <c r="Z1590" s="33">
        <v>0</v>
      </c>
      <c r="AA1590">
        <v>5</v>
      </c>
      <c r="AB1590" s="34">
        <v>7600</v>
      </c>
      <c r="AC1590" s="87">
        <f t="shared" si="6"/>
        <v>331</v>
      </c>
      <c r="AD1590" s="62">
        <v>0</v>
      </c>
      <c r="AE1590" s="62">
        <v>0</v>
      </c>
      <c r="AF1590" s="62">
        <v>1</v>
      </c>
      <c r="AL1590" s="64">
        <v>1</v>
      </c>
      <c r="AN1590" s="93"/>
      <c r="AO1590" s="92"/>
      <c r="AS1590">
        <v>1</v>
      </c>
    </row>
    <row r="1591" spans="1:45">
      <c r="A1591">
        <v>1102401</v>
      </c>
      <c r="B1591" s="8">
        <v>1001</v>
      </c>
      <c r="C1591" s="8">
        <v>5</v>
      </c>
      <c r="D1591" s="8">
        <v>1003</v>
      </c>
      <c r="E1591" t="s">
        <v>4172</v>
      </c>
      <c r="F1591" s="13" t="s">
        <v>4173</v>
      </c>
      <c r="G1591" t="s">
        <v>4174</v>
      </c>
      <c r="H1591" t="s">
        <v>4175</v>
      </c>
      <c r="I1591">
        <v>1</v>
      </c>
      <c r="J1591">
        <v>1</v>
      </c>
      <c r="K1591" s="33">
        <v>4</v>
      </c>
      <c r="L1591" s="8">
        <v>99</v>
      </c>
      <c r="M1591" s="8">
        <v>0</v>
      </c>
      <c r="N1591" s="8"/>
      <c r="Q1591" t="s">
        <v>260</v>
      </c>
      <c r="S1591" s="89">
        <v>1</v>
      </c>
      <c r="T1591" s="8">
        <v>5</v>
      </c>
      <c r="U1591" s="89">
        <v>80</v>
      </c>
      <c r="V1591" s="87">
        <v>0</v>
      </c>
      <c r="W1591">
        <v>1</v>
      </c>
      <c r="X1591" s="8">
        <v>1</v>
      </c>
      <c r="Y1591" s="8">
        <v>0</v>
      </c>
      <c r="Z1591" s="33">
        <v>0</v>
      </c>
      <c r="AA1591">
        <v>5</v>
      </c>
      <c r="AB1591" s="34">
        <v>3040</v>
      </c>
      <c r="AC1591" s="87">
        <f t="shared" si="6"/>
        <v>631</v>
      </c>
      <c r="AD1591" s="62">
        <v>0</v>
      </c>
      <c r="AE1591" s="62">
        <v>0</v>
      </c>
      <c r="AF1591" s="62">
        <v>1</v>
      </c>
      <c r="AJ1591" s="63">
        <v>1102402</v>
      </c>
      <c r="AL1591" s="64">
        <v>1</v>
      </c>
      <c r="AN1591" s="93"/>
      <c r="AO1591" s="92"/>
      <c r="AS1591">
        <v>1</v>
      </c>
    </row>
    <row r="1592" spans="1:45">
      <c r="A1592">
        <v>1102402</v>
      </c>
      <c r="B1592" s="8">
        <v>1001</v>
      </c>
      <c r="C1592" s="8">
        <v>5</v>
      </c>
      <c r="D1592" s="8">
        <v>1003</v>
      </c>
      <c r="E1592" t="s">
        <v>4176</v>
      </c>
      <c r="F1592" s="13" t="s">
        <v>4173</v>
      </c>
      <c r="G1592" t="s">
        <v>4177</v>
      </c>
      <c r="H1592" t="s">
        <v>4175</v>
      </c>
      <c r="I1592">
        <v>1</v>
      </c>
      <c r="J1592">
        <v>1</v>
      </c>
      <c r="K1592" s="33">
        <v>4</v>
      </c>
      <c r="L1592" s="8">
        <v>99</v>
      </c>
      <c r="M1592" s="8">
        <v>0</v>
      </c>
      <c r="N1592" s="8"/>
      <c r="Q1592" t="s">
        <v>260</v>
      </c>
      <c r="S1592" s="89">
        <v>1</v>
      </c>
      <c r="T1592" s="8">
        <v>5</v>
      </c>
      <c r="U1592" s="89">
        <v>80</v>
      </c>
      <c r="V1592" s="87">
        <v>0</v>
      </c>
      <c r="W1592">
        <v>1</v>
      </c>
      <c r="X1592" s="8">
        <v>1</v>
      </c>
      <c r="Y1592" s="8">
        <v>0</v>
      </c>
      <c r="Z1592" s="33">
        <v>0</v>
      </c>
      <c r="AA1592">
        <v>5</v>
      </c>
      <c r="AB1592" s="34">
        <v>3040</v>
      </c>
      <c r="AC1592" s="87">
        <f t="shared" si="6"/>
        <v>350</v>
      </c>
      <c r="AD1592" s="62">
        <v>0</v>
      </c>
      <c r="AE1592" s="62">
        <v>0</v>
      </c>
      <c r="AF1592" s="62">
        <v>1</v>
      </c>
      <c r="AJ1592" s="63">
        <v>1102403</v>
      </c>
      <c r="AL1592" s="64">
        <v>1</v>
      </c>
      <c r="AN1592" s="93"/>
      <c r="AO1592" s="92"/>
      <c r="AS1592">
        <v>1</v>
      </c>
    </row>
    <row r="1593" spans="1:45">
      <c r="A1593">
        <v>1102403</v>
      </c>
      <c r="B1593" s="8">
        <v>1001</v>
      </c>
      <c r="C1593" s="8">
        <v>5</v>
      </c>
      <c r="D1593" s="8">
        <v>1003</v>
      </c>
      <c r="E1593" t="s">
        <v>4178</v>
      </c>
      <c r="F1593" s="13" t="s">
        <v>4173</v>
      </c>
      <c r="G1593" t="s">
        <v>4179</v>
      </c>
      <c r="H1593" t="s">
        <v>4175</v>
      </c>
      <c r="I1593">
        <v>1</v>
      </c>
      <c r="J1593">
        <v>2</v>
      </c>
      <c r="K1593" s="33">
        <v>4</v>
      </c>
      <c r="L1593" s="8">
        <v>99</v>
      </c>
      <c r="M1593" s="8">
        <v>0</v>
      </c>
      <c r="N1593" s="8"/>
      <c r="Q1593" t="s">
        <v>260</v>
      </c>
      <c r="S1593" s="89">
        <v>1</v>
      </c>
      <c r="T1593" s="8">
        <v>5</v>
      </c>
      <c r="U1593" s="89">
        <v>110</v>
      </c>
      <c r="V1593" s="87">
        <v>0</v>
      </c>
      <c r="W1593">
        <v>1</v>
      </c>
      <c r="X1593" s="8">
        <v>1</v>
      </c>
      <c r="Y1593" s="8">
        <v>0</v>
      </c>
      <c r="Z1593" s="33">
        <v>0</v>
      </c>
      <c r="AA1593">
        <v>5</v>
      </c>
      <c r="AB1593" s="34">
        <v>4180</v>
      </c>
      <c r="AC1593" s="87">
        <f t="shared" si="6"/>
        <v>347</v>
      </c>
      <c r="AD1593" s="62">
        <v>0</v>
      </c>
      <c r="AE1593" s="62">
        <v>0</v>
      </c>
      <c r="AF1593" s="62">
        <v>1</v>
      </c>
      <c r="AJ1593" s="63">
        <v>1102404</v>
      </c>
      <c r="AL1593" s="64">
        <v>1</v>
      </c>
      <c r="AN1593" s="93"/>
      <c r="AO1593" s="92"/>
      <c r="AS1593">
        <v>1</v>
      </c>
    </row>
    <row r="1594" spans="1:45">
      <c r="A1594">
        <v>1102404</v>
      </c>
      <c r="B1594" s="8">
        <v>1001</v>
      </c>
      <c r="C1594" s="8">
        <v>5</v>
      </c>
      <c r="D1594" s="8">
        <v>1003</v>
      </c>
      <c r="E1594" t="s">
        <v>4180</v>
      </c>
      <c r="F1594" s="13" t="s">
        <v>4173</v>
      </c>
      <c r="G1594" t="s">
        <v>4181</v>
      </c>
      <c r="H1594" t="s">
        <v>4182</v>
      </c>
      <c r="I1594">
        <v>1</v>
      </c>
      <c r="J1594">
        <v>2</v>
      </c>
      <c r="K1594" s="33">
        <v>4</v>
      </c>
      <c r="L1594" s="8">
        <v>99</v>
      </c>
      <c r="M1594" s="8">
        <v>0</v>
      </c>
      <c r="N1594" s="8"/>
      <c r="Q1594" t="s">
        <v>260</v>
      </c>
      <c r="S1594" s="89">
        <v>1</v>
      </c>
      <c r="T1594" s="8">
        <v>5</v>
      </c>
      <c r="U1594" s="89">
        <v>110</v>
      </c>
      <c r="V1594" s="87">
        <v>0</v>
      </c>
      <c r="W1594">
        <v>1</v>
      </c>
      <c r="X1594" s="8">
        <v>1</v>
      </c>
      <c r="Y1594" s="8">
        <v>0</v>
      </c>
      <c r="Z1594" s="33">
        <v>0</v>
      </c>
      <c r="AA1594">
        <v>5</v>
      </c>
      <c r="AB1594" s="34">
        <v>4180</v>
      </c>
      <c r="AC1594" s="87">
        <f t="shared" si="6"/>
        <v>346</v>
      </c>
      <c r="AD1594" s="62">
        <v>0</v>
      </c>
      <c r="AE1594" s="62">
        <v>0</v>
      </c>
      <c r="AF1594" s="62">
        <v>1</v>
      </c>
      <c r="AJ1594" s="63">
        <v>1102405</v>
      </c>
      <c r="AL1594" s="64">
        <v>1</v>
      </c>
      <c r="AN1594" s="93"/>
      <c r="AO1594" s="92"/>
      <c r="AS1594">
        <v>1</v>
      </c>
    </row>
    <row r="1595" spans="1:45">
      <c r="A1595">
        <v>1102405</v>
      </c>
      <c r="B1595" s="8">
        <v>1001</v>
      </c>
      <c r="C1595" s="8">
        <v>5</v>
      </c>
      <c r="D1595" s="8">
        <v>1003</v>
      </c>
      <c r="E1595" t="s">
        <v>4183</v>
      </c>
      <c r="F1595" s="13" t="s">
        <v>4173</v>
      </c>
      <c r="G1595" t="s">
        <v>4184</v>
      </c>
      <c r="H1595" t="s">
        <v>4182</v>
      </c>
      <c r="I1595">
        <v>1</v>
      </c>
      <c r="J1595">
        <v>3</v>
      </c>
      <c r="K1595" s="33">
        <v>4</v>
      </c>
      <c r="L1595" s="8">
        <v>99</v>
      </c>
      <c r="M1595" s="8">
        <v>0</v>
      </c>
      <c r="N1595" s="8"/>
      <c r="Q1595" t="s">
        <v>260</v>
      </c>
      <c r="S1595" s="89">
        <v>1</v>
      </c>
      <c r="T1595" s="8">
        <v>5</v>
      </c>
      <c r="U1595" s="89">
        <v>140</v>
      </c>
      <c r="V1595" s="87">
        <v>0</v>
      </c>
      <c r="W1595">
        <v>1</v>
      </c>
      <c r="X1595" s="8">
        <v>1</v>
      </c>
      <c r="Y1595" s="8">
        <v>0</v>
      </c>
      <c r="Z1595" s="33">
        <v>0</v>
      </c>
      <c r="AA1595">
        <v>5</v>
      </c>
      <c r="AB1595" s="34">
        <v>5320</v>
      </c>
      <c r="AC1595" s="87">
        <f t="shared" si="6"/>
        <v>345</v>
      </c>
      <c r="AD1595" s="62">
        <v>0</v>
      </c>
      <c r="AE1595" s="62">
        <v>0</v>
      </c>
      <c r="AF1595" s="62">
        <v>1</v>
      </c>
      <c r="AJ1595" s="63">
        <v>1102406</v>
      </c>
      <c r="AL1595" s="64">
        <v>1</v>
      </c>
      <c r="AN1595" s="93"/>
      <c r="AO1595" s="92"/>
      <c r="AS1595">
        <v>1</v>
      </c>
    </row>
    <row r="1596" spans="1:45">
      <c r="A1596">
        <v>1102406</v>
      </c>
      <c r="B1596" s="8">
        <v>1001</v>
      </c>
      <c r="C1596" s="8">
        <v>5</v>
      </c>
      <c r="D1596" s="8">
        <v>1003</v>
      </c>
      <c r="E1596" t="s">
        <v>4185</v>
      </c>
      <c r="F1596" s="13" t="s">
        <v>4173</v>
      </c>
      <c r="G1596" t="s">
        <v>4186</v>
      </c>
      <c r="H1596" t="s">
        <v>4182</v>
      </c>
      <c r="I1596">
        <v>1</v>
      </c>
      <c r="J1596">
        <v>3</v>
      </c>
      <c r="K1596" s="33">
        <v>4</v>
      </c>
      <c r="L1596" s="8">
        <v>99</v>
      </c>
      <c r="M1596" s="8">
        <v>0</v>
      </c>
      <c r="N1596" s="8"/>
      <c r="Q1596" t="s">
        <v>260</v>
      </c>
      <c r="S1596" s="89">
        <v>1</v>
      </c>
      <c r="T1596" s="8">
        <v>5</v>
      </c>
      <c r="U1596" s="89">
        <v>140</v>
      </c>
      <c r="V1596" s="87">
        <v>0</v>
      </c>
      <c r="W1596">
        <v>1</v>
      </c>
      <c r="X1596" s="8">
        <v>1</v>
      </c>
      <c r="Y1596" s="8">
        <v>0</v>
      </c>
      <c r="Z1596" s="33">
        <v>0</v>
      </c>
      <c r="AA1596">
        <v>5</v>
      </c>
      <c r="AB1596" s="34">
        <v>5320</v>
      </c>
      <c r="AC1596" s="87">
        <f t="shared" si="6"/>
        <v>344</v>
      </c>
      <c r="AD1596" s="62">
        <v>0</v>
      </c>
      <c r="AE1596" s="62">
        <v>0</v>
      </c>
      <c r="AF1596" s="62">
        <v>1</v>
      </c>
      <c r="AJ1596" s="63">
        <v>1102407</v>
      </c>
      <c r="AL1596" s="64">
        <v>1</v>
      </c>
      <c r="AN1596" s="93"/>
      <c r="AO1596" s="92"/>
      <c r="AS1596">
        <v>1</v>
      </c>
    </row>
    <row r="1597" spans="1:45">
      <c r="A1597">
        <v>1102407</v>
      </c>
      <c r="B1597" s="8">
        <v>1001</v>
      </c>
      <c r="C1597" s="8">
        <v>5</v>
      </c>
      <c r="D1597" s="8">
        <v>1003</v>
      </c>
      <c r="E1597" t="s">
        <v>4187</v>
      </c>
      <c r="F1597" s="13" t="s">
        <v>4173</v>
      </c>
      <c r="G1597" t="s">
        <v>4188</v>
      </c>
      <c r="H1597" t="s">
        <v>4189</v>
      </c>
      <c r="I1597">
        <v>1</v>
      </c>
      <c r="J1597">
        <v>4</v>
      </c>
      <c r="K1597" s="33">
        <v>4</v>
      </c>
      <c r="L1597" s="8">
        <v>99</v>
      </c>
      <c r="M1597" s="8">
        <v>0</v>
      </c>
      <c r="N1597" s="8"/>
      <c r="S1597" s="89">
        <v>1</v>
      </c>
      <c r="T1597" s="8">
        <v>5</v>
      </c>
      <c r="U1597" s="89">
        <v>170</v>
      </c>
      <c r="V1597" s="87">
        <v>0</v>
      </c>
      <c r="W1597">
        <v>1</v>
      </c>
      <c r="X1597" s="8">
        <v>1</v>
      </c>
      <c r="Y1597" s="8">
        <v>0</v>
      </c>
      <c r="Z1597" s="33">
        <v>0</v>
      </c>
      <c r="AA1597">
        <v>5</v>
      </c>
      <c r="AB1597" s="34">
        <v>6460</v>
      </c>
      <c r="AC1597" s="87">
        <f t="shared" si="6"/>
        <v>343</v>
      </c>
      <c r="AD1597" s="62">
        <v>0</v>
      </c>
      <c r="AE1597" s="62">
        <v>0</v>
      </c>
      <c r="AF1597" s="62">
        <v>1</v>
      </c>
      <c r="AJ1597" s="63">
        <v>1102408</v>
      </c>
      <c r="AL1597" s="64">
        <v>1</v>
      </c>
      <c r="AN1597" s="93"/>
      <c r="AO1597" s="92"/>
      <c r="AS1597">
        <v>1</v>
      </c>
    </row>
    <row r="1598" spans="1:45">
      <c r="A1598">
        <v>1102408</v>
      </c>
      <c r="B1598" s="8">
        <v>1001</v>
      </c>
      <c r="C1598" s="8">
        <v>5</v>
      </c>
      <c r="D1598" s="8">
        <v>1003</v>
      </c>
      <c r="E1598" t="s">
        <v>4190</v>
      </c>
      <c r="F1598" s="13" t="s">
        <v>4173</v>
      </c>
      <c r="G1598" t="s">
        <v>4191</v>
      </c>
      <c r="H1598" t="s">
        <v>4189</v>
      </c>
      <c r="I1598">
        <v>1</v>
      </c>
      <c r="J1598">
        <v>4</v>
      </c>
      <c r="K1598" s="33">
        <v>4</v>
      </c>
      <c r="L1598" s="8">
        <v>99</v>
      </c>
      <c r="M1598" s="8">
        <v>0</v>
      </c>
      <c r="N1598" s="8"/>
      <c r="S1598" s="89">
        <v>1</v>
      </c>
      <c r="T1598" s="8">
        <v>5</v>
      </c>
      <c r="U1598" s="89">
        <v>170</v>
      </c>
      <c r="V1598" s="87">
        <v>0</v>
      </c>
      <c r="W1598">
        <v>1</v>
      </c>
      <c r="X1598" s="8">
        <v>1</v>
      </c>
      <c r="Y1598" s="8">
        <v>0</v>
      </c>
      <c r="Z1598" s="33">
        <v>0</v>
      </c>
      <c r="AA1598">
        <v>5</v>
      </c>
      <c r="AB1598" s="34">
        <v>6460</v>
      </c>
      <c r="AC1598" s="87">
        <f t="shared" si="6"/>
        <v>342</v>
      </c>
      <c r="AD1598" s="62">
        <v>0</v>
      </c>
      <c r="AE1598" s="62">
        <v>0</v>
      </c>
      <c r="AF1598" s="62">
        <v>1</v>
      </c>
      <c r="AJ1598" s="63">
        <v>1102409</v>
      </c>
      <c r="AL1598" s="64">
        <v>1</v>
      </c>
      <c r="AN1598" s="93"/>
      <c r="AO1598" s="92"/>
      <c r="AS1598">
        <v>1</v>
      </c>
    </row>
    <row r="1599" spans="1:45">
      <c r="A1599">
        <v>1102409</v>
      </c>
      <c r="B1599" s="8">
        <v>1001</v>
      </c>
      <c r="C1599" s="8">
        <v>5</v>
      </c>
      <c r="D1599" s="8">
        <v>1003</v>
      </c>
      <c r="E1599" t="s">
        <v>4192</v>
      </c>
      <c r="F1599" s="13" t="s">
        <v>4173</v>
      </c>
      <c r="G1599" t="s">
        <v>4193</v>
      </c>
      <c r="H1599" t="s">
        <v>4189</v>
      </c>
      <c r="I1599">
        <v>1</v>
      </c>
      <c r="J1599">
        <v>5</v>
      </c>
      <c r="K1599" s="33">
        <v>4</v>
      </c>
      <c r="L1599" s="8">
        <v>99</v>
      </c>
      <c r="M1599" s="8">
        <v>0</v>
      </c>
      <c r="N1599" s="8"/>
      <c r="S1599" s="89">
        <v>1</v>
      </c>
      <c r="T1599" s="8">
        <v>5</v>
      </c>
      <c r="U1599" s="89">
        <v>200</v>
      </c>
      <c r="V1599" s="87">
        <v>0</v>
      </c>
      <c r="W1599">
        <v>1</v>
      </c>
      <c r="X1599" s="8">
        <v>1</v>
      </c>
      <c r="Y1599" s="8">
        <v>0</v>
      </c>
      <c r="Z1599" s="33">
        <v>0</v>
      </c>
      <c r="AA1599">
        <v>5</v>
      </c>
      <c r="AB1599" s="34">
        <v>7600</v>
      </c>
      <c r="AC1599" s="87">
        <f t="shared" si="6"/>
        <v>341</v>
      </c>
      <c r="AD1599" s="62">
        <v>0</v>
      </c>
      <c r="AE1599" s="62">
        <v>0</v>
      </c>
      <c r="AF1599" s="62">
        <v>1</v>
      </c>
      <c r="AJ1599" s="63">
        <v>1102410</v>
      </c>
      <c r="AL1599" s="64">
        <v>1</v>
      </c>
      <c r="AN1599" s="93"/>
      <c r="AO1599" s="92"/>
      <c r="AS1599">
        <v>1</v>
      </c>
    </row>
    <row r="1600" spans="1:45">
      <c r="A1600">
        <v>1102410</v>
      </c>
      <c r="B1600" s="8">
        <v>1001</v>
      </c>
      <c r="C1600" s="8">
        <v>5</v>
      </c>
      <c r="D1600" s="8">
        <v>1003</v>
      </c>
      <c r="E1600" t="s">
        <v>4194</v>
      </c>
      <c r="F1600" s="253" t="s">
        <v>4173</v>
      </c>
      <c r="G1600" t="s">
        <v>4195</v>
      </c>
      <c r="H1600" t="s">
        <v>4196</v>
      </c>
      <c r="I1600">
        <v>1</v>
      </c>
      <c r="J1600">
        <v>5</v>
      </c>
      <c r="K1600" s="33">
        <v>1</v>
      </c>
      <c r="L1600" s="8">
        <v>99</v>
      </c>
      <c r="M1600" s="8">
        <v>0</v>
      </c>
      <c r="N1600" s="8"/>
      <c r="S1600" s="89">
        <v>1</v>
      </c>
      <c r="T1600" s="8">
        <v>5</v>
      </c>
      <c r="U1600" s="89">
        <v>200</v>
      </c>
      <c r="V1600" s="87">
        <v>0</v>
      </c>
      <c r="W1600">
        <v>1</v>
      </c>
      <c r="X1600" s="8">
        <v>1</v>
      </c>
      <c r="Y1600" s="8">
        <v>0</v>
      </c>
      <c r="Z1600" s="33">
        <v>0</v>
      </c>
      <c r="AA1600">
        <v>5</v>
      </c>
      <c r="AB1600" s="34">
        <v>7600</v>
      </c>
      <c r="AC1600" s="87">
        <f t="shared" si="6"/>
        <v>341</v>
      </c>
      <c r="AD1600" s="62">
        <v>0</v>
      </c>
      <c r="AE1600" s="62">
        <v>0</v>
      </c>
      <c r="AF1600" s="62">
        <v>1</v>
      </c>
      <c r="AL1600" s="64">
        <v>1</v>
      </c>
      <c r="AN1600" s="93"/>
      <c r="AO1600" s="92"/>
      <c r="AS1600">
        <v>1</v>
      </c>
    </row>
    <row r="1601" spans="1:45">
      <c r="A1601">
        <v>1110101</v>
      </c>
      <c r="B1601" s="8">
        <v>1001</v>
      </c>
      <c r="C1601" s="8">
        <v>5</v>
      </c>
      <c r="D1601" s="8">
        <v>1003</v>
      </c>
      <c r="E1601" t="s">
        <v>4197</v>
      </c>
      <c r="F1601" t="s">
        <v>4197</v>
      </c>
      <c r="L1601" s="8"/>
      <c r="M1601" s="8"/>
      <c r="N1601" s="8"/>
      <c r="S1601" s="89"/>
      <c r="T1601" s="8"/>
      <c r="U1601" s="89"/>
      <c r="V1601" s="87"/>
      <c r="X1601" s="8"/>
      <c r="Y1601" s="8"/>
      <c r="AB1601" s="34"/>
      <c r="AC1601" s="87"/>
      <c r="AN1601" s="93"/>
      <c r="AO1601" s="92"/>
      <c r="AS1601">
        <v>1</v>
      </c>
    </row>
    <row r="1602" spans="1:45">
      <c r="A1602">
        <v>1110102</v>
      </c>
      <c r="B1602" s="8">
        <v>1001</v>
      </c>
      <c r="C1602" s="8">
        <v>5</v>
      </c>
      <c r="D1602" s="8">
        <v>1003</v>
      </c>
      <c r="E1602" t="s">
        <v>4197</v>
      </c>
      <c r="F1602" t="s">
        <v>4197</v>
      </c>
      <c r="L1602" s="8"/>
      <c r="M1602" s="8"/>
      <c r="N1602" s="8"/>
      <c r="S1602" s="89"/>
      <c r="T1602" s="8"/>
      <c r="U1602" s="89"/>
      <c r="V1602" s="87"/>
      <c r="X1602" s="8"/>
      <c r="Y1602" s="8"/>
      <c r="AB1602" s="34"/>
      <c r="AC1602" s="87"/>
      <c r="AN1602" s="93"/>
      <c r="AO1602" s="92"/>
      <c r="AS1602">
        <v>1</v>
      </c>
    </row>
    <row r="1603" spans="1:45">
      <c r="A1603">
        <v>1110103</v>
      </c>
      <c r="B1603" s="8">
        <v>1001</v>
      </c>
      <c r="C1603" s="8">
        <v>5</v>
      </c>
      <c r="D1603" s="8">
        <v>1003</v>
      </c>
      <c r="E1603" t="s">
        <v>4197</v>
      </c>
      <c r="F1603" t="s">
        <v>4197</v>
      </c>
      <c r="L1603" s="8"/>
      <c r="M1603" s="8"/>
      <c r="N1603" s="8"/>
      <c r="S1603" s="89"/>
      <c r="T1603" s="8"/>
      <c r="U1603" s="89"/>
      <c r="V1603" s="87"/>
      <c r="X1603" s="8"/>
      <c r="Y1603" s="8"/>
      <c r="AB1603" s="34"/>
      <c r="AC1603" s="87"/>
      <c r="AN1603" s="93"/>
      <c r="AO1603" s="92"/>
      <c r="AS1603">
        <v>1</v>
      </c>
    </row>
    <row r="1604" spans="1:45">
      <c r="A1604">
        <v>1110104</v>
      </c>
      <c r="B1604" s="8">
        <v>1001</v>
      </c>
      <c r="C1604" s="8">
        <v>5</v>
      </c>
      <c r="D1604" s="8">
        <v>1003</v>
      </c>
      <c r="E1604" t="s">
        <v>4197</v>
      </c>
      <c r="F1604" t="s">
        <v>4197</v>
      </c>
      <c r="L1604" s="8"/>
      <c r="M1604" s="8"/>
      <c r="N1604" s="8"/>
      <c r="S1604" s="89"/>
      <c r="T1604" s="8"/>
      <c r="U1604" s="89"/>
      <c r="V1604" s="87"/>
      <c r="X1604" s="8"/>
      <c r="Y1604" s="8"/>
      <c r="AB1604" s="34"/>
      <c r="AC1604" s="87"/>
      <c r="AN1604" s="93"/>
      <c r="AO1604" s="92"/>
      <c r="AS1604">
        <v>1</v>
      </c>
    </row>
    <row r="1605" spans="1:45">
      <c r="A1605">
        <v>1110105</v>
      </c>
      <c r="B1605" s="8">
        <v>1001</v>
      </c>
      <c r="C1605" s="8">
        <v>5</v>
      </c>
      <c r="D1605" s="8">
        <v>1003</v>
      </c>
      <c r="E1605" t="s">
        <v>4197</v>
      </c>
      <c r="F1605" t="s">
        <v>4197</v>
      </c>
      <c r="L1605" s="8"/>
      <c r="M1605" s="8"/>
      <c r="N1605" s="8"/>
      <c r="S1605" s="89"/>
      <c r="T1605" s="8"/>
      <c r="U1605" s="89"/>
      <c r="V1605" s="87"/>
      <c r="X1605" s="8"/>
      <c r="Y1605" s="8"/>
      <c r="AB1605" s="34"/>
      <c r="AC1605" s="87"/>
      <c r="AN1605" s="93"/>
      <c r="AO1605" s="92"/>
      <c r="AS1605">
        <v>1</v>
      </c>
    </row>
    <row r="1606" spans="1:45">
      <c r="A1606">
        <v>1110106</v>
      </c>
      <c r="B1606" s="8">
        <v>1001</v>
      </c>
      <c r="C1606" s="8">
        <v>5</v>
      </c>
      <c r="D1606" s="8">
        <v>1003</v>
      </c>
      <c r="E1606" t="s">
        <v>4197</v>
      </c>
      <c r="F1606" t="s">
        <v>4197</v>
      </c>
      <c r="L1606" s="8"/>
      <c r="M1606" s="8"/>
      <c r="N1606" s="8"/>
      <c r="S1606" s="89"/>
      <c r="T1606" s="8"/>
      <c r="U1606" s="89"/>
      <c r="V1606" s="87"/>
      <c r="X1606" s="8"/>
      <c r="Y1606" s="8"/>
      <c r="AB1606" s="34"/>
      <c r="AC1606" s="87"/>
      <c r="AN1606" s="93"/>
      <c r="AO1606" s="92"/>
      <c r="AS1606">
        <v>1</v>
      </c>
    </row>
    <row r="1607" spans="1:45">
      <c r="A1607">
        <v>1110107</v>
      </c>
      <c r="B1607" s="8">
        <v>1001</v>
      </c>
      <c r="C1607" s="8">
        <v>5</v>
      </c>
      <c r="D1607" s="8">
        <v>1003</v>
      </c>
      <c r="E1607" t="s">
        <v>4197</v>
      </c>
      <c r="F1607" t="s">
        <v>4197</v>
      </c>
      <c r="L1607" s="8"/>
      <c r="M1607" s="8"/>
      <c r="N1607" s="8"/>
      <c r="S1607" s="89"/>
      <c r="T1607" s="8"/>
      <c r="U1607" s="89"/>
      <c r="V1607" s="87"/>
      <c r="X1607" s="8"/>
      <c r="Y1607" s="8"/>
      <c r="AB1607" s="34"/>
      <c r="AC1607" s="87"/>
      <c r="AN1607" s="93"/>
      <c r="AO1607" s="92"/>
      <c r="AS1607">
        <v>1</v>
      </c>
    </row>
    <row r="1608" spans="1:45">
      <c r="A1608">
        <v>1110108</v>
      </c>
      <c r="B1608" s="8">
        <v>1001</v>
      </c>
      <c r="C1608" s="8">
        <v>5</v>
      </c>
      <c r="D1608" s="8">
        <v>1003</v>
      </c>
      <c r="E1608" t="s">
        <v>4197</v>
      </c>
      <c r="F1608" t="s">
        <v>4197</v>
      </c>
      <c r="L1608" s="8"/>
      <c r="M1608" s="8"/>
      <c r="N1608" s="8"/>
      <c r="S1608" s="89"/>
      <c r="T1608" s="8"/>
      <c r="U1608" s="89"/>
      <c r="V1608" s="87"/>
      <c r="X1608" s="8"/>
      <c r="Y1608" s="8"/>
      <c r="AB1608" s="34"/>
      <c r="AC1608" s="87"/>
      <c r="AN1608" s="93"/>
      <c r="AO1608" s="92"/>
      <c r="AS1608">
        <v>1</v>
      </c>
    </row>
    <row r="1609" spans="1:45">
      <c r="A1609">
        <v>1110109</v>
      </c>
      <c r="B1609" s="8">
        <v>1001</v>
      </c>
      <c r="C1609" s="8">
        <v>5</v>
      </c>
      <c r="D1609" s="8">
        <v>1003</v>
      </c>
      <c r="E1609" t="s">
        <v>4197</v>
      </c>
      <c r="F1609" t="s">
        <v>4197</v>
      </c>
      <c r="L1609" s="8"/>
      <c r="M1609" s="8"/>
      <c r="N1609" s="8"/>
      <c r="S1609" s="89"/>
      <c r="T1609" s="8"/>
      <c r="U1609" s="89"/>
      <c r="V1609" s="87"/>
      <c r="X1609" s="8"/>
      <c r="Y1609" s="8"/>
      <c r="AB1609" s="34"/>
      <c r="AC1609" s="87"/>
      <c r="AN1609" s="93"/>
      <c r="AO1609" s="92"/>
      <c r="AS1609">
        <v>1</v>
      </c>
    </row>
    <row r="1610" spans="1:45">
      <c r="A1610">
        <v>1110110</v>
      </c>
      <c r="B1610" s="8">
        <v>1001</v>
      </c>
      <c r="C1610" s="8">
        <v>5</v>
      </c>
      <c r="D1610" s="8">
        <v>1003</v>
      </c>
      <c r="E1610" t="s">
        <v>4197</v>
      </c>
      <c r="F1610" s="238" t="s">
        <v>4197</v>
      </c>
      <c r="L1610" s="8"/>
      <c r="M1610" s="8"/>
      <c r="N1610" s="8"/>
      <c r="S1610" s="89"/>
      <c r="T1610" s="8"/>
      <c r="U1610" s="89"/>
      <c r="V1610" s="87"/>
      <c r="X1610" s="8"/>
      <c r="Y1610" s="8"/>
      <c r="AB1610" s="34"/>
      <c r="AC1610" s="87"/>
      <c r="AN1610" s="93"/>
      <c r="AO1610" s="92"/>
      <c r="AS1610">
        <v>1</v>
      </c>
    </row>
    <row r="1611" spans="1:45">
      <c r="A1611">
        <v>1110201</v>
      </c>
      <c r="B1611" s="8">
        <v>1001</v>
      </c>
      <c r="C1611" s="8">
        <v>5</v>
      </c>
      <c r="D1611" s="8">
        <v>1003</v>
      </c>
      <c r="F1611" s="13" t="s">
        <v>3417</v>
      </c>
      <c r="L1611" s="8"/>
      <c r="M1611" s="8"/>
      <c r="N1611" s="8"/>
      <c r="S1611" s="89"/>
      <c r="T1611" s="8"/>
      <c r="U1611" s="89"/>
      <c r="V1611" s="87"/>
      <c r="X1611" s="8"/>
      <c r="Y1611" s="8"/>
      <c r="AB1611" s="34"/>
      <c r="AC1611" s="87"/>
      <c r="AN1611" s="93"/>
      <c r="AO1611" s="92"/>
      <c r="AS1611">
        <v>1</v>
      </c>
    </row>
    <row r="1612" spans="1:45">
      <c r="A1612">
        <v>1110202</v>
      </c>
      <c r="B1612" s="8">
        <v>1001</v>
      </c>
      <c r="C1612" s="8">
        <v>5</v>
      </c>
      <c r="D1612" s="8">
        <v>1003</v>
      </c>
      <c r="F1612" s="13" t="s">
        <v>3417</v>
      </c>
      <c r="L1612" s="8"/>
      <c r="M1612" s="8"/>
      <c r="N1612" s="8"/>
      <c r="S1612" s="89"/>
      <c r="T1612" s="8"/>
      <c r="U1612" s="89"/>
      <c r="V1612" s="87"/>
      <c r="X1612" s="8"/>
      <c r="Y1612" s="8"/>
      <c r="AB1612" s="34"/>
      <c r="AC1612" s="87"/>
      <c r="AN1612" s="93"/>
      <c r="AO1612" s="92"/>
      <c r="AS1612">
        <v>1</v>
      </c>
    </row>
    <row r="1613" spans="1:45">
      <c r="A1613">
        <v>1110203</v>
      </c>
      <c r="B1613" s="8">
        <v>1001</v>
      </c>
      <c r="C1613" s="8">
        <v>5</v>
      </c>
      <c r="D1613" s="8">
        <v>1003</v>
      </c>
      <c r="F1613" s="13" t="s">
        <v>3417</v>
      </c>
      <c r="L1613" s="8"/>
      <c r="M1613" s="8"/>
      <c r="N1613" s="8"/>
      <c r="S1613" s="89"/>
      <c r="T1613" s="8"/>
      <c r="U1613" s="89"/>
      <c r="V1613" s="87"/>
      <c r="X1613" s="8"/>
      <c r="Y1613" s="8"/>
      <c r="AB1613" s="34"/>
      <c r="AC1613" s="87"/>
      <c r="AN1613" s="93"/>
      <c r="AO1613" s="92"/>
      <c r="AS1613">
        <v>1</v>
      </c>
    </row>
    <row r="1614" spans="1:45">
      <c r="A1614">
        <v>1110204</v>
      </c>
      <c r="B1614" s="8">
        <v>1001</v>
      </c>
      <c r="C1614" s="8">
        <v>5</v>
      </c>
      <c r="D1614" s="8">
        <v>1003</v>
      </c>
      <c r="F1614" s="13" t="s">
        <v>3417</v>
      </c>
      <c r="L1614" s="8"/>
      <c r="M1614" s="8"/>
      <c r="N1614" s="8"/>
      <c r="S1614" s="89"/>
      <c r="T1614" s="8"/>
      <c r="U1614" s="89"/>
      <c r="V1614" s="87"/>
      <c r="X1614" s="8"/>
      <c r="Y1614" s="8"/>
      <c r="AB1614" s="34"/>
      <c r="AC1614" s="87"/>
      <c r="AN1614" s="93"/>
      <c r="AO1614" s="92"/>
      <c r="AS1614">
        <v>1</v>
      </c>
    </row>
    <row r="1615" spans="1:45">
      <c r="A1615">
        <v>1110205</v>
      </c>
      <c r="B1615" s="8">
        <v>1001</v>
      </c>
      <c r="C1615" s="8">
        <v>5</v>
      </c>
      <c r="D1615" s="8">
        <v>1003</v>
      </c>
      <c r="F1615" s="13" t="s">
        <v>3417</v>
      </c>
      <c r="L1615" s="8"/>
      <c r="M1615" s="8"/>
      <c r="N1615" s="8"/>
      <c r="S1615" s="89"/>
      <c r="T1615" s="8"/>
      <c r="U1615" s="89"/>
      <c r="V1615" s="87"/>
      <c r="X1615" s="8"/>
      <c r="Y1615" s="8"/>
      <c r="AB1615" s="34"/>
      <c r="AC1615" s="87"/>
      <c r="AN1615" s="93"/>
      <c r="AO1615" s="92"/>
      <c r="AS1615">
        <v>1</v>
      </c>
    </row>
    <row r="1616" spans="1:45">
      <c r="A1616">
        <v>1110206</v>
      </c>
      <c r="B1616" s="8">
        <v>1001</v>
      </c>
      <c r="C1616" s="8">
        <v>5</v>
      </c>
      <c r="D1616" s="8">
        <v>1003</v>
      </c>
      <c r="F1616" s="13" t="s">
        <v>3417</v>
      </c>
      <c r="L1616" s="8"/>
      <c r="M1616" s="8"/>
      <c r="N1616" s="8"/>
      <c r="S1616" s="89"/>
      <c r="T1616" s="8"/>
      <c r="U1616" s="89"/>
      <c r="V1616" s="87"/>
      <c r="X1616" s="8"/>
      <c r="Y1616" s="8"/>
      <c r="AB1616" s="34"/>
      <c r="AC1616" s="87"/>
      <c r="AN1616" s="93"/>
      <c r="AO1616" s="92"/>
      <c r="AS1616">
        <v>1</v>
      </c>
    </row>
    <row r="1617" spans="1:45">
      <c r="A1617">
        <v>1110207</v>
      </c>
      <c r="B1617" s="8">
        <v>1001</v>
      </c>
      <c r="C1617" s="8">
        <v>5</v>
      </c>
      <c r="D1617" s="8">
        <v>1003</v>
      </c>
      <c r="F1617" s="13" t="s">
        <v>3417</v>
      </c>
      <c r="L1617" s="8"/>
      <c r="M1617" s="8"/>
      <c r="N1617" s="8"/>
      <c r="S1617" s="89"/>
      <c r="T1617" s="8"/>
      <c r="U1617" s="89"/>
      <c r="V1617" s="87"/>
      <c r="X1617" s="8"/>
      <c r="Y1617" s="8"/>
      <c r="AB1617" s="34"/>
      <c r="AC1617" s="87"/>
      <c r="AN1617" s="93"/>
      <c r="AO1617" s="92"/>
      <c r="AS1617">
        <v>1</v>
      </c>
    </row>
    <row r="1618" spans="1:45">
      <c r="A1618">
        <v>1110208</v>
      </c>
      <c r="B1618" s="8">
        <v>1001</v>
      </c>
      <c r="C1618" s="8">
        <v>5</v>
      </c>
      <c r="D1618" s="8">
        <v>1003</v>
      </c>
      <c r="F1618" s="13" t="s">
        <v>3417</v>
      </c>
      <c r="L1618" s="8"/>
      <c r="M1618" s="8"/>
      <c r="N1618" s="8"/>
      <c r="S1618" s="89"/>
      <c r="T1618" s="8"/>
      <c r="U1618" s="89"/>
      <c r="V1618" s="87"/>
      <c r="X1618" s="8"/>
      <c r="Y1618" s="8"/>
      <c r="AB1618" s="34"/>
      <c r="AC1618" s="87"/>
      <c r="AN1618" s="93"/>
      <c r="AO1618" s="92"/>
      <c r="AS1618">
        <v>1</v>
      </c>
    </row>
    <row r="1619" spans="1:45">
      <c r="A1619">
        <v>1110209</v>
      </c>
      <c r="B1619" s="8">
        <v>1001</v>
      </c>
      <c r="C1619" s="8">
        <v>5</v>
      </c>
      <c r="D1619" s="8">
        <v>1003</v>
      </c>
      <c r="F1619" s="13" t="s">
        <v>3417</v>
      </c>
      <c r="L1619" s="8"/>
      <c r="M1619" s="8"/>
      <c r="N1619" s="8"/>
      <c r="S1619" s="89"/>
      <c r="T1619" s="8"/>
      <c r="U1619" s="89"/>
      <c r="V1619" s="87"/>
      <c r="X1619" s="8"/>
      <c r="Y1619" s="8"/>
      <c r="AB1619" s="34"/>
      <c r="AC1619" s="87"/>
      <c r="AN1619" s="93"/>
      <c r="AO1619" s="92"/>
      <c r="AS1619">
        <v>1</v>
      </c>
    </row>
    <row r="1620" spans="1:45">
      <c r="A1620">
        <v>1110210</v>
      </c>
      <c r="B1620" s="8">
        <v>1001</v>
      </c>
      <c r="C1620" s="8">
        <v>5</v>
      </c>
      <c r="D1620" s="8">
        <v>1003</v>
      </c>
      <c r="F1620" s="13" t="s">
        <v>3417</v>
      </c>
      <c r="L1620" s="8"/>
      <c r="M1620" s="8"/>
      <c r="N1620" s="8"/>
      <c r="S1620" s="89"/>
      <c r="T1620" s="8"/>
      <c r="U1620" s="89"/>
      <c r="V1620" s="87"/>
      <c r="X1620" s="8"/>
      <c r="Y1620" s="8"/>
      <c r="AB1620" s="34"/>
      <c r="AC1620" s="87"/>
      <c r="AN1620" s="93"/>
      <c r="AO1620" s="92"/>
      <c r="AS1620">
        <v>1</v>
      </c>
    </row>
    <row r="1621" spans="1:45">
      <c r="A1621">
        <v>1110301</v>
      </c>
      <c r="B1621" s="8">
        <v>1001</v>
      </c>
      <c r="C1621" s="8">
        <v>5</v>
      </c>
      <c r="D1621" s="8">
        <v>1003</v>
      </c>
      <c r="F1621" s="13" t="s">
        <v>3440</v>
      </c>
      <c r="L1621" s="8"/>
      <c r="M1621" s="8"/>
      <c r="N1621" s="8"/>
      <c r="S1621" s="89"/>
      <c r="T1621" s="8"/>
      <c r="U1621" s="89"/>
      <c r="V1621" s="87"/>
      <c r="X1621" s="8"/>
      <c r="Y1621" s="8"/>
      <c r="AB1621" s="34"/>
      <c r="AC1621" s="87"/>
      <c r="AN1621" s="93"/>
      <c r="AO1621" s="92"/>
      <c r="AS1621">
        <v>1</v>
      </c>
    </row>
    <row r="1622" spans="1:45">
      <c r="A1622">
        <v>1110302</v>
      </c>
      <c r="B1622" s="8">
        <v>1001</v>
      </c>
      <c r="C1622" s="8">
        <v>5</v>
      </c>
      <c r="D1622" s="8">
        <v>1003</v>
      </c>
      <c r="F1622" s="13" t="s">
        <v>3440</v>
      </c>
      <c r="L1622" s="8"/>
      <c r="M1622" s="8"/>
      <c r="N1622" s="8"/>
      <c r="S1622" s="89"/>
      <c r="T1622" s="8"/>
      <c r="U1622" s="89"/>
      <c r="V1622" s="87"/>
      <c r="X1622" s="8"/>
      <c r="Y1622" s="8"/>
      <c r="AB1622" s="34"/>
      <c r="AC1622" s="87"/>
      <c r="AN1622" s="93"/>
      <c r="AO1622" s="92"/>
      <c r="AS1622">
        <v>1</v>
      </c>
    </row>
    <row r="1623" spans="1:45">
      <c r="A1623">
        <v>1110303</v>
      </c>
      <c r="B1623" s="8">
        <v>1001</v>
      </c>
      <c r="C1623" s="8">
        <v>5</v>
      </c>
      <c r="D1623" s="8">
        <v>1003</v>
      </c>
      <c r="F1623" s="13" t="s">
        <v>3440</v>
      </c>
      <c r="L1623" s="8"/>
      <c r="M1623" s="8"/>
      <c r="N1623" s="8"/>
      <c r="S1623" s="89"/>
      <c r="T1623" s="8"/>
      <c r="U1623" s="89"/>
      <c r="V1623" s="87"/>
      <c r="X1623" s="8"/>
      <c r="Y1623" s="8"/>
      <c r="AB1623" s="34"/>
      <c r="AC1623" s="87"/>
      <c r="AN1623" s="93"/>
      <c r="AO1623" s="92"/>
      <c r="AS1623">
        <v>1</v>
      </c>
    </row>
    <row r="1624" spans="1:45">
      <c r="A1624">
        <v>1110304</v>
      </c>
      <c r="B1624" s="8">
        <v>1001</v>
      </c>
      <c r="C1624" s="8">
        <v>5</v>
      </c>
      <c r="D1624" s="8">
        <v>1003</v>
      </c>
      <c r="F1624" s="13" t="s">
        <v>3440</v>
      </c>
      <c r="L1624" s="8"/>
      <c r="M1624" s="8"/>
      <c r="N1624" s="8"/>
      <c r="S1624" s="89"/>
      <c r="T1624" s="8"/>
      <c r="U1624" s="89"/>
      <c r="V1624" s="87"/>
      <c r="X1624" s="8"/>
      <c r="Y1624" s="8"/>
      <c r="AB1624" s="34"/>
      <c r="AC1624" s="87"/>
      <c r="AN1624" s="93"/>
      <c r="AO1624" s="92"/>
      <c r="AS1624">
        <v>1</v>
      </c>
    </row>
    <row r="1625" spans="1:45">
      <c r="A1625">
        <v>1110305</v>
      </c>
      <c r="B1625" s="8">
        <v>1001</v>
      </c>
      <c r="C1625" s="8">
        <v>5</v>
      </c>
      <c r="D1625" s="8">
        <v>1003</v>
      </c>
      <c r="F1625" s="13" t="s">
        <v>3440</v>
      </c>
      <c r="L1625" s="8"/>
      <c r="M1625" s="8"/>
      <c r="N1625" s="8"/>
      <c r="S1625" s="89"/>
      <c r="T1625" s="8"/>
      <c r="U1625" s="89"/>
      <c r="V1625" s="87"/>
      <c r="X1625" s="8"/>
      <c r="Y1625" s="8"/>
      <c r="AB1625" s="34"/>
      <c r="AC1625" s="87"/>
      <c r="AN1625" s="93"/>
      <c r="AO1625" s="92"/>
      <c r="AS1625">
        <v>1</v>
      </c>
    </row>
    <row r="1626" spans="1:45">
      <c r="A1626">
        <v>1110306</v>
      </c>
      <c r="B1626" s="8">
        <v>1001</v>
      </c>
      <c r="C1626" s="8">
        <v>5</v>
      </c>
      <c r="D1626" s="8">
        <v>1003</v>
      </c>
      <c r="F1626" s="13" t="s">
        <v>3440</v>
      </c>
      <c r="L1626" s="8"/>
      <c r="M1626" s="8"/>
      <c r="N1626" s="8"/>
      <c r="S1626" s="89"/>
      <c r="T1626" s="8"/>
      <c r="U1626" s="89"/>
      <c r="V1626" s="87"/>
      <c r="X1626" s="8"/>
      <c r="Y1626" s="8"/>
      <c r="AB1626" s="34"/>
      <c r="AC1626" s="87"/>
      <c r="AN1626" s="93"/>
      <c r="AO1626" s="92"/>
      <c r="AS1626">
        <v>1</v>
      </c>
    </row>
    <row r="1627" spans="1:45">
      <c r="A1627">
        <v>1110307</v>
      </c>
      <c r="B1627" s="8">
        <v>1001</v>
      </c>
      <c r="C1627" s="8">
        <v>5</v>
      </c>
      <c r="D1627" s="8">
        <v>1003</v>
      </c>
      <c r="F1627" s="13" t="s">
        <v>3440</v>
      </c>
      <c r="L1627" s="8"/>
      <c r="M1627" s="8"/>
      <c r="N1627" s="8"/>
      <c r="S1627" s="89"/>
      <c r="T1627" s="8"/>
      <c r="U1627" s="89"/>
      <c r="V1627" s="87"/>
      <c r="X1627" s="8"/>
      <c r="Y1627" s="8"/>
      <c r="AB1627" s="34"/>
      <c r="AC1627" s="87"/>
      <c r="AN1627" s="93"/>
      <c r="AO1627" s="92"/>
      <c r="AS1627">
        <v>1</v>
      </c>
    </row>
    <row r="1628" spans="1:45">
      <c r="A1628">
        <v>1110308</v>
      </c>
      <c r="B1628" s="8">
        <v>1001</v>
      </c>
      <c r="C1628" s="8">
        <v>5</v>
      </c>
      <c r="D1628" s="8">
        <v>1003</v>
      </c>
      <c r="F1628" s="13" t="s">
        <v>3440</v>
      </c>
      <c r="L1628" s="8"/>
      <c r="M1628" s="8"/>
      <c r="N1628" s="8"/>
      <c r="S1628" s="89"/>
      <c r="T1628" s="8"/>
      <c r="U1628" s="89"/>
      <c r="V1628" s="87"/>
      <c r="X1628" s="8"/>
      <c r="Y1628" s="8"/>
      <c r="AB1628" s="34"/>
      <c r="AC1628" s="87"/>
      <c r="AN1628" s="93"/>
      <c r="AO1628" s="92"/>
      <c r="AS1628">
        <v>1</v>
      </c>
    </row>
    <row r="1629" spans="1:45">
      <c r="A1629">
        <v>1110309</v>
      </c>
      <c r="B1629" s="8">
        <v>1001</v>
      </c>
      <c r="C1629" s="8">
        <v>5</v>
      </c>
      <c r="D1629" s="8">
        <v>1003</v>
      </c>
      <c r="F1629" s="13" t="s">
        <v>3440</v>
      </c>
      <c r="L1629" s="8"/>
      <c r="M1629" s="8"/>
      <c r="N1629" s="8"/>
      <c r="S1629" s="89"/>
      <c r="T1629" s="8"/>
      <c r="U1629" s="89"/>
      <c r="V1629" s="87"/>
      <c r="X1629" s="8"/>
      <c r="Y1629" s="8"/>
      <c r="AB1629" s="34"/>
      <c r="AC1629" s="87"/>
      <c r="AN1629" s="93"/>
      <c r="AO1629" s="92"/>
      <c r="AS1629">
        <v>1</v>
      </c>
    </row>
    <row r="1630" spans="1:45">
      <c r="A1630">
        <v>1110310</v>
      </c>
      <c r="B1630" s="8">
        <v>1001</v>
      </c>
      <c r="C1630" s="8">
        <v>5</v>
      </c>
      <c r="D1630" s="8">
        <v>1003</v>
      </c>
      <c r="F1630" s="13" t="s">
        <v>3440</v>
      </c>
      <c r="L1630" s="8"/>
      <c r="M1630" s="8"/>
      <c r="N1630" s="8"/>
      <c r="S1630" s="89"/>
      <c r="T1630" s="8"/>
      <c r="U1630" s="89"/>
      <c r="V1630" s="87"/>
      <c r="X1630" s="8"/>
      <c r="Y1630" s="8"/>
      <c r="AB1630" s="34"/>
      <c r="AC1630" s="87"/>
      <c r="AN1630" s="93"/>
      <c r="AO1630" s="92"/>
      <c r="AS1630">
        <v>1</v>
      </c>
    </row>
    <row r="1631" spans="1:45">
      <c r="A1631">
        <v>1110401</v>
      </c>
      <c r="B1631" s="8">
        <v>1001</v>
      </c>
      <c r="C1631" s="8">
        <v>5</v>
      </c>
      <c r="D1631" s="8">
        <v>1003</v>
      </c>
      <c r="F1631" s="13" t="s">
        <v>3463</v>
      </c>
      <c r="L1631" s="8"/>
      <c r="M1631" s="8"/>
      <c r="N1631" s="8"/>
      <c r="S1631" s="89"/>
      <c r="T1631" s="8"/>
      <c r="U1631" s="89"/>
      <c r="V1631" s="87"/>
      <c r="X1631" s="8"/>
      <c r="Y1631" s="8"/>
      <c r="AB1631" s="34"/>
      <c r="AC1631" s="87"/>
      <c r="AN1631" s="93"/>
      <c r="AO1631" s="92"/>
      <c r="AS1631">
        <v>1</v>
      </c>
    </row>
    <row r="1632" spans="1:45">
      <c r="A1632">
        <v>1110402</v>
      </c>
      <c r="B1632" s="8">
        <v>1001</v>
      </c>
      <c r="C1632" s="8">
        <v>5</v>
      </c>
      <c r="D1632" s="8">
        <v>1003</v>
      </c>
      <c r="F1632" s="13" t="s">
        <v>3463</v>
      </c>
      <c r="L1632" s="8"/>
      <c r="M1632" s="8"/>
      <c r="N1632" s="8"/>
      <c r="S1632" s="89"/>
      <c r="T1632" s="8"/>
      <c r="U1632" s="89"/>
      <c r="V1632" s="87"/>
      <c r="X1632" s="8"/>
      <c r="Y1632" s="8"/>
      <c r="AB1632" s="34"/>
      <c r="AC1632" s="87"/>
      <c r="AN1632" s="93"/>
      <c r="AO1632" s="92"/>
      <c r="AS1632">
        <v>1</v>
      </c>
    </row>
    <row r="1633" spans="1:45">
      <c r="A1633">
        <v>1110403</v>
      </c>
      <c r="B1633" s="8">
        <v>1001</v>
      </c>
      <c r="C1633" s="8">
        <v>5</v>
      </c>
      <c r="D1633" s="8">
        <v>1003</v>
      </c>
      <c r="F1633" s="13" t="s">
        <v>3463</v>
      </c>
      <c r="L1633" s="8"/>
      <c r="M1633" s="8"/>
      <c r="N1633" s="8"/>
      <c r="S1633" s="89"/>
      <c r="T1633" s="8"/>
      <c r="U1633" s="89"/>
      <c r="V1633" s="87"/>
      <c r="X1633" s="8"/>
      <c r="Y1633" s="8"/>
      <c r="AB1633" s="34"/>
      <c r="AC1633" s="87"/>
      <c r="AN1633" s="93"/>
      <c r="AO1633" s="92"/>
      <c r="AS1633">
        <v>1</v>
      </c>
    </row>
    <row r="1634" spans="1:45">
      <c r="A1634">
        <v>1110404</v>
      </c>
      <c r="B1634" s="8">
        <v>1001</v>
      </c>
      <c r="C1634" s="8">
        <v>5</v>
      </c>
      <c r="D1634" s="8">
        <v>1003</v>
      </c>
      <c r="F1634" s="13" t="s">
        <v>3463</v>
      </c>
      <c r="L1634" s="8"/>
      <c r="M1634" s="8"/>
      <c r="N1634" s="8"/>
      <c r="S1634" s="89"/>
      <c r="T1634" s="8"/>
      <c r="U1634" s="89"/>
      <c r="V1634" s="87"/>
      <c r="X1634" s="8"/>
      <c r="Y1634" s="8"/>
      <c r="AB1634" s="34"/>
      <c r="AC1634" s="87"/>
      <c r="AN1634" s="93"/>
      <c r="AO1634" s="92"/>
      <c r="AS1634">
        <v>1</v>
      </c>
    </row>
    <row r="1635" spans="1:45">
      <c r="A1635">
        <v>1110405</v>
      </c>
      <c r="B1635" s="8">
        <v>1001</v>
      </c>
      <c r="C1635" s="8">
        <v>5</v>
      </c>
      <c r="D1635" s="8">
        <v>1003</v>
      </c>
      <c r="F1635" s="13" t="s">
        <v>3463</v>
      </c>
      <c r="L1635" s="8"/>
      <c r="M1635" s="8"/>
      <c r="N1635" s="8"/>
      <c r="S1635" s="89"/>
      <c r="T1635" s="8"/>
      <c r="U1635" s="89"/>
      <c r="V1635" s="87"/>
      <c r="X1635" s="8"/>
      <c r="Y1635" s="8"/>
      <c r="AB1635" s="34"/>
      <c r="AC1635" s="87"/>
      <c r="AN1635" s="93"/>
      <c r="AO1635" s="92"/>
      <c r="AS1635">
        <v>1</v>
      </c>
    </row>
    <row r="1636" spans="1:45">
      <c r="A1636">
        <v>1110406</v>
      </c>
      <c r="B1636" s="8">
        <v>1001</v>
      </c>
      <c r="C1636" s="8">
        <v>5</v>
      </c>
      <c r="D1636" s="8">
        <v>1003</v>
      </c>
      <c r="F1636" s="13" t="s">
        <v>3463</v>
      </c>
      <c r="L1636" s="8"/>
      <c r="M1636" s="8"/>
      <c r="N1636" s="8"/>
      <c r="S1636" s="89"/>
      <c r="T1636" s="8"/>
      <c r="U1636" s="89"/>
      <c r="V1636" s="87"/>
      <c r="X1636" s="8"/>
      <c r="Y1636" s="8"/>
      <c r="AB1636" s="34"/>
      <c r="AC1636" s="87"/>
      <c r="AN1636" s="93"/>
      <c r="AO1636" s="92"/>
      <c r="AS1636">
        <v>1</v>
      </c>
    </row>
    <row r="1637" spans="1:45">
      <c r="A1637">
        <v>1110407</v>
      </c>
      <c r="B1637" s="8">
        <v>1001</v>
      </c>
      <c r="C1637" s="8">
        <v>5</v>
      </c>
      <c r="D1637" s="8">
        <v>1003</v>
      </c>
      <c r="F1637" s="13" t="s">
        <v>3463</v>
      </c>
      <c r="L1637" s="8"/>
      <c r="M1637" s="8"/>
      <c r="N1637" s="8"/>
      <c r="S1637" s="89"/>
      <c r="T1637" s="8"/>
      <c r="U1637" s="89"/>
      <c r="V1637" s="87"/>
      <c r="X1637" s="8"/>
      <c r="Y1637" s="8"/>
      <c r="AB1637" s="34"/>
      <c r="AC1637" s="87"/>
      <c r="AN1637" s="93"/>
      <c r="AO1637" s="92"/>
      <c r="AS1637">
        <v>1</v>
      </c>
    </row>
    <row r="1638" spans="1:45">
      <c r="A1638">
        <v>1110408</v>
      </c>
      <c r="B1638" s="8">
        <v>1001</v>
      </c>
      <c r="C1638" s="8">
        <v>5</v>
      </c>
      <c r="D1638" s="8">
        <v>1003</v>
      </c>
      <c r="F1638" s="13" t="s">
        <v>3463</v>
      </c>
      <c r="L1638" s="8"/>
      <c r="M1638" s="8"/>
      <c r="N1638" s="8"/>
      <c r="S1638" s="89"/>
      <c r="T1638" s="8"/>
      <c r="U1638" s="89"/>
      <c r="V1638" s="87"/>
      <c r="X1638" s="8"/>
      <c r="Y1638" s="8"/>
      <c r="AB1638" s="34"/>
      <c r="AC1638" s="87"/>
      <c r="AN1638" s="93"/>
      <c r="AO1638" s="92"/>
      <c r="AS1638">
        <v>1</v>
      </c>
    </row>
    <row r="1639" spans="1:45">
      <c r="A1639">
        <v>1110409</v>
      </c>
      <c r="B1639" s="8">
        <v>1001</v>
      </c>
      <c r="C1639" s="8">
        <v>5</v>
      </c>
      <c r="D1639" s="8">
        <v>1003</v>
      </c>
      <c r="F1639" s="13" t="s">
        <v>3463</v>
      </c>
      <c r="L1639" s="8"/>
      <c r="M1639" s="8"/>
      <c r="N1639" s="8"/>
      <c r="S1639" s="89"/>
      <c r="T1639" s="8"/>
      <c r="U1639" s="89"/>
      <c r="V1639" s="87"/>
      <c r="X1639" s="8"/>
      <c r="Y1639" s="8"/>
      <c r="AB1639" s="34"/>
      <c r="AC1639" s="87"/>
      <c r="AN1639" s="93"/>
      <c r="AO1639" s="92"/>
      <c r="AS1639">
        <v>1</v>
      </c>
    </row>
    <row r="1640" spans="1:45">
      <c r="A1640">
        <v>1110410</v>
      </c>
      <c r="B1640" s="8">
        <v>1001</v>
      </c>
      <c r="C1640" s="8">
        <v>5</v>
      </c>
      <c r="D1640" s="8">
        <v>1003</v>
      </c>
      <c r="E1640" s="13"/>
      <c r="F1640" s="13" t="s">
        <v>3463</v>
      </c>
      <c r="G1640"/>
      <c r="H1640"/>
      <c r="I1640"/>
      <c r="J1640"/>
      <c r="L1640" s="8"/>
      <c r="M1640" s="8"/>
      <c r="N1640" s="8"/>
      <c r="S1640" s="89"/>
      <c r="T1640" s="8"/>
      <c r="U1640" s="89"/>
      <c r="V1640" s="87"/>
      <c r="W1640"/>
      <c r="X1640" s="8"/>
      <c r="Y1640" s="8"/>
      <c r="AA1640"/>
      <c r="AB1640" s="34"/>
      <c r="AC1640" s="87"/>
      <c r="AN1640" s="93"/>
      <c r="AO1640" s="92"/>
      <c r="AQ1640"/>
      <c r="AS1640">
        <v>1</v>
      </c>
    </row>
    <row r="1641" spans="1:45">
      <c r="A1641">
        <v>800002</v>
      </c>
      <c r="B1641" s="8">
        <v>1001</v>
      </c>
      <c r="C1641" s="8">
        <v>6</v>
      </c>
      <c r="D1641" s="8">
        <v>1001</v>
      </c>
      <c r="E1641" s="13" t="s">
        <v>4198</v>
      </c>
      <c r="F1641" s="13" t="s">
        <v>4198</v>
      </c>
      <c r="G1641" t="s">
        <v>4199</v>
      </c>
      <c r="H1641" t="s">
        <v>312</v>
      </c>
      <c r="I1641">
        <v>1</v>
      </c>
      <c r="J1641">
        <v>4</v>
      </c>
      <c r="K1641" s="33">
        <v>2</v>
      </c>
      <c r="L1641" s="128">
        <v>9999</v>
      </c>
      <c r="M1641" s="8">
        <v>0</v>
      </c>
      <c r="N1641" s="8">
        <v>1017</v>
      </c>
      <c r="O1641" s="2">
        <v>30037</v>
      </c>
      <c r="S1641" s="89">
        <v>1</v>
      </c>
      <c r="T1641" s="8">
        <v>5</v>
      </c>
      <c r="U1641" s="89">
        <v>170</v>
      </c>
      <c r="V1641" s="87">
        <v>1</v>
      </c>
      <c r="W1641">
        <v>1</v>
      </c>
      <c r="X1641" s="8">
        <v>1</v>
      </c>
      <c r="Y1641" s="8">
        <v>0</v>
      </c>
      <c r="Z1641" s="33">
        <v>0</v>
      </c>
      <c r="AA1641">
        <v>5</v>
      </c>
      <c r="AB1641" s="34">
        <v>6460</v>
      </c>
      <c r="AC1641" s="87">
        <v>70</v>
      </c>
      <c r="AD1641" s="62">
        <v>0</v>
      </c>
      <c r="AE1641" s="62">
        <v>4</v>
      </c>
      <c r="AF1641" s="62">
        <v>2</v>
      </c>
      <c r="AL1641" s="64">
        <v>1</v>
      </c>
      <c r="AN1641" s="93"/>
      <c r="AO1641" s="92"/>
      <c r="AQ1641" t="s">
        <v>4200</v>
      </c>
      <c r="AS1641">
        <v>1</v>
      </c>
    </row>
    <row r="1642" spans="1:45">
      <c r="A1642">
        <v>800003</v>
      </c>
      <c r="B1642" s="8">
        <v>1001</v>
      </c>
      <c r="C1642" s="8">
        <v>6</v>
      </c>
      <c r="D1642" s="8">
        <v>1001</v>
      </c>
      <c r="E1642" s="253" t="s">
        <v>4201</v>
      </c>
      <c r="F1642" s="13" t="s">
        <v>4201</v>
      </c>
      <c r="G1642" t="s">
        <v>4199</v>
      </c>
      <c r="H1642" t="s">
        <v>4202</v>
      </c>
      <c r="I1642">
        <v>1</v>
      </c>
      <c r="J1642">
        <v>4</v>
      </c>
      <c r="K1642" s="254">
        <v>2</v>
      </c>
      <c r="L1642" s="128">
        <v>9999</v>
      </c>
      <c r="M1642" s="8">
        <v>0</v>
      </c>
      <c r="N1642" s="8">
        <v>1017</v>
      </c>
      <c r="O1642" s="2">
        <v>30277</v>
      </c>
      <c r="R1642" s="8"/>
      <c r="S1642" s="89">
        <v>1</v>
      </c>
      <c r="T1642" s="8">
        <v>5</v>
      </c>
      <c r="U1642" s="89">
        <v>170</v>
      </c>
      <c r="V1642" s="87">
        <v>1</v>
      </c>
      <c r="W1642">
        <v>1</v>
      </c>
      <c r="X1642" s="8">
        <v>1</v>
      </c>
      <c r="Y1642" s="8">
        <v>0</v>
      </c>
      <c r="Z1642" s="33">
        <v>0</v>
      </c>
      <c r="AA1642">
        <v>5</v>
      </c>
      <c r="AB1642" s="34">
        <v>6460</v>
      </c>
      <c r="AC1642" s="87">
        <v>70</v>
      </c>
      <c r="AD1642" s="62">
        <v>0</v>
      </c>
      <c r="AE1642" s="62">
        <v>4</v>
      </c>
      <c r="AF1642" s="62">
        <v>2</v>
      </c>
      <c r="AL1642" s="64">
        <v>1</v>
      </c>
      <c r="AN1642" s="93"/>
      <c r="AO1642" s="92"/>
      <c r="AQ1642" t="s">
        <v>4200</v>
      </c>
      <c r="AS1642">
        <v>1</v>
      </c>
    </row>
    <row r="1643" spans="1:45">
      <c r="A1643">
        <v>800004</v>
      </c>
      <c r="B1643" s="8">
        <v>1001</v>
      </c>
      <c r="C1643" s="8">
        <v>6</v>
      </c>
      <c r="D1643" s="8">
        <v>1001</v>
      </c>
      <c r="E1643" t="s">
        <v>4203</v>
      </c>
      <c r="F1643" s="13" t="s">
        <v>4204</v>
      </c>
      <c r="G1643" t="s">
        <v>4205</v>
      </c>
      <c r="H1643" t="s">
        <v>1594</v>
      </c>
      <c r="I1643">
        <v>1</v>
      </c>
      <c r="J1643" s="69">
        <v>4</v>
      </c>
      <c r="K1643" s="87">
        <v>2</v>
      </c>
      <c r="L1643" s="128">
        <v>9999</v>
      </c>
      <c r="M1643" s="8">
        <v>0</v>
      </c>
      <c r="N1643" s="8">
        <v>1017</v>
      </c>
      <c r="O1643" s="2">
        <v>30039</v>
      </c>
      <c r="R1643" s="8"/>
      <c r="S1643" s="89">
        <v>1</v>
      </c>
      <c r="T1643" s="8">
        <v>5</v>
      </c>
      <c r="U1643" s="89">
        <v>170</v>
      </c>
      <c r="V1643" s="87">
        <v>1</v>
      </c>
      <c r="W1643">
        <v>1</v>
      </c>
      <c r="X1643" s="8">
        <v>1</v>
      </c>
      <c r="Y1643" s="8">
        <v>0</v>
      </c>
      <c r="Z1643" s="33">
        <v>0</v>
      </c>
      <c r="AA1643">
        <v>5</v>
      </c>
      <c r="AB1643" s="34">
        <v>6460</v>
      </c>
      <c r="AC1643" s="87">
        <v>70</v>
      </c>
      <c r="AD1643" s="62">
        <v>0</v>
      </c>
      <c r="AE1643" s="62">
        <v>4</v>
      </c>
      <c r="AF1643" s="62">
        <v>2</v>
      </c>
      <c r="AL1643" s="64">
        <v>1</v>
      </c>
      <c r="AN1643" s="93"/>
      <c r="AO1643" s="92"/>
      <c r="AQ1643" t="s">
        <v>4203</v>
      </c>
      <c r="AS1643">
        <v>1</v>
      </c>
    </row>
    <row r="1644" spans="1:45">
      <c r="A1644">
        <v>800005</v>
      </c>
      <c r="B1644" s="8">
        <v>1001</v>
      </c>
      <c r="C1644" s="8">
        <v>6</v>
      </c>
      <c r="D1644" s="8">
        <v>1001</v>
      </c>
      <c r="E1644" t="s">
        <v>4206</v>
      </c>
      <c r="F1644" s="13" t="s">
        <v>4207</v>
      </c>
      <c r="G1644" t="s">
        <v>4208</v>
      </c>
      <c r="H1644" t="s">
        <v>1594</v>
      </c>
      <c r="I1644">
        <v>1</v>
      </c>
      <c r="J1644" s="69">
        <v>4</v>
      </c>
      <c r="K1644" s="87">
        <v>2</v>
      </c>
      <c r="L1644" s="128">
        <v>9999</v>
      </c>
      <c r="M1644" s="8">
        <v>0</v>
      </c>
      <c r="N1644" s="8">
        <v>1017</v>
      </c>
      <c r="O1644" s="2">
        <v>30040</v>
      </c>
      <c r="R1644" s="8"/>
      <c r="S1644" s="89">
        <v>1</v>
      </c>
      <c r="T1644" s="8">
        <v>5</v>
      </c>
      <c r="U1644" s="89">
        <v>170</v>
      </c>
      <c r="V1644" s="87">
        <v>1</v>
      </c>
      <c r="W1644">
        <v>1</v>
      </c>
      <c r="X1644" s="8">
        <v>1</v>
      </c>
      <c r="Y1644" s="8">
        <v>0</v>
      </c>
      <c r="Z1644" s="33">
        <v>0</v>
      </c>
      <c r="AA1644">
        <v>5</v>
      </c>
      <c r="AB1644" s="34">
        <v>6460</v>
      </c>
      <c r="AC1644" s="87">
        <v>70</v>
      </c>
      <c r="AD1644" s="62">
        <v>0</v>
      </c>
      <c r="AE1644" s="62">
        <v>4</v>
      </c>
      <c r="AF1644" s="62">
        <v>2</v>
      </c>
      <c r="AL1644" s="64">
        <v>1</v>
      </c>
      <c r="AN1644" s="93"/>
      <c r="AO1644" s="92"/>
      <c r="AQ1644" t="s">
        <v>4206</v>
      </c>
      <c r="AS1644">
        <v>1</v>
      </c>
    </row>
    <row r="1645" spans="1:45">
      <c r="A1645">
        <v>800006</v>
      </c>
      <c r="B1645" s="8">
        <v>1001</v>
      </c>
      <c r="C1645" s="8">
        <v>6</v>
      </c>
      <c r="D1645" s="8">
        <v>1001</v>
      </c>
      <c r="E1645" t="s">
        <v>4209</v>
      </c>
      <c r="F1645" s="13" t="s">
        <v>4210</v>
      </c>
      <c r="G1645" t="s">
        <v>4211</v>
      </c>
      <c r="H1645" t="s">
        <v>1564</v>
      </c>
      <c r="I1645">
        <v>1</v>
      </c>
      <c r="J1645" s="69">
        <v>4</v>
      </c>
      <c r="K1645" s="87">
        <v>2</v>
      </c>
      <c r="L1645" s="128">
        <v>9999</v>
      </c>
      <c r="M1645" s="8">
        <v>0</v>
      </c>
      <c r="N1645" s="8">
        <v>1017</v>
      </c>
      <c r="O1645" s="249">
        <v>30041</v>
      </c>
      <c r="R1645" s="8"/>
      <c r="S1645" s="89">
        <v>1</v>
      </c>
      <c r="T1645" s="8">
        <v>5</v>
      </c>
      <c r="U1645" s="89">
        <v>170</v>
      </c>
      <c r="V1645" s="87">
        <v>1</v>
      </c>
      <c r="W1645">
        <v>1</v>
      </c>
      <c r="X1645" s="8">
        <v>1</v>
      </c>
      <c r="Y1645" s="8">
        <v>0</v>
      </c>
      <c r="Z1645" s="33">
        <v>0</v>
      </c>
      <c r="AA1645">
        <v>5</v>
      </c>
      <c r="AB1645" s="34">
        <v>6460</v>
      </c>
      <c r="AC1645" s="87">
        <v>70</v>
      </c>
      <c r="AD1645" s="62">
        <v>0</v>
      </c>
      <c r="AE1645" s="62">
        <v>4</v>
      </c>
      <c r="AF1645" s="62">
        <v>2</v>
      </c>
      <c r="AL1645" s="64">
        <v>1</v>
      </c>
      <c r="AN1645" s="93"/>
      <c r="AO1645" s="92"/>
      <c r="AQ1645" t="s">
        <v>4209</v>
      </c>
      <c r="AS1645">
        <v>1</v>
      </c>
    </row>
    <row r="1646" spans="1:45">
      <c r="A1646">
        <v>800007</v>
      </c>
      <c r="B1646" s="8">
        <v>1001</v>
      </c>
      <c r="C1646" s="8">
        <v>6</v>
      </c>
      <c r="D1646" s="8">
        <v>1001</v>
      </c>
      <c r="E1646" s="238" t="s">
        <v>4212</v>
      </c>
      <c r="F1646" s="13" t="s">
        <v>4213</v>
      </c>
      <c r="G1646" t="s">
        <v>4214</v>
      </c>
      <c r="H1646" t="s">
        <v>1564</v>
      </c>
      <c r="I1646">
        <v>1</v>
      </c>
      <c r="J1646" s="69">
        <v>4</v>
      </c>
      <c r="K1646" s="248">
        <v>2</v>
      </c>
      <c r="L1646" s="128">
        <v>9999</v>
      </c>
      <c r="M1646" s="8">
        <v>0</v>
      </c>
      <c r="N1646" s="8">
        <v>1017</v>
      </c>
      <c r="O1646" s="249">
        <v>30042</v>
      </c>
      <c r="R1646" s="236"/>
      <c r="S1646" s="89">
        <v>1</v>
      </c>
      <c r="T1646" s="8">
        <v>5</v>
      </c>
      <c r="U1646" s="89">
        <v>170</v>
      </c>
      <c r="V1646" s="87">
        <v>1</v>
      </c>
      <c r="W1646">
        <v>1</v>
      </c>
      <c r="X1646" s="8">
        <v>1</v>
      </c>
      <c r="Y1646" s="8">
        <v>0</v>
      </c>
      <c r="Z1646" s="33">
        <v>0</v>
      </c>
      <c r="AA1646">
        <v>5</v>
      </c>
      <c r="AB1646" s="34">
        <v>6460</v>
      </c>
      <c r="AC1646" s="87">
        <v>70</v>
      </c>
      <c r="AD1646" s="62">
        <v>0</v>
      </c>
      <c r="AE1646" s="62">
        <v>4</v>
      </c>
      <c r="AF1646" s="62">
        <v>2</v>
      </c>
      <c r="AL1646" s="64">
        <v>1</v>
      </c>
      <c r="AN1646" s="93"/>
      <c r="AO1646" s="92"/>
      <c r="AQ1646" t="s">
        <v>4212</v>
      </c>
      <c r="AS1646">
        <v>1</v>
      </c>
    </row>
    <row r="1647" spans="1:45">
      <c r="A1647">
        <v>800008</v>
      </c>
      <c r="B1647" s="8">
        <v>1001</v>
      </c>
      <c r="C1647" s="8">
        <v>6</v>
      </c>
      <c r="D1647" s="8">
        <v>1001</v>
      </c>
      <c r="E1647" s="13" t="s">
        <v>4201</v>
      </c>
      <c r="F1647" s="13" t="s">
        <v>4201</v>
      </c>
      <c r="G1647" t="s">
        <v>4215</v>
      </c>
      <c r="H1647" t="s">
        <v>4202</v>
      </c>
      <c r="I1647">
        <v>1</v>
      </c>
      <c r="J1647">
        <v>4</v>
      </c>
      <c r="K1647" s="33">
        <v>2</v>
      </c>
      <c r="L1647" s="128">
        <v>9999</v>
      </c>
      <c r="M1647" s="8">
        <v>0</v>
      </c>
      <c r="N1647" s="8">
        <v>1017</v>
      </c>
      <c r="O1647" s="2">
        <v>30290</v>
      </c>
      <c r="S1647" s="89">
        <v>1</v>
      </c>
      <c r="T1647" s="8">
        <v>5</v>
      </c>
      <c r="U1647" s="89">
        <v>170</v>
      </c>
      <c r="V1647" s="87">
        <v>1</v>
      </c>
      <c r="W1647">
        <v>1</v>
      </c>
      <c r="X1647" s="8">
        <v>1</v>
      </c>
      <c r="Y1647" s="8">
        <v>0</v>
      </c>
      <c r="Z1647" s="33">
        <v>0</v>
      </c>
      <c r="AA1647">
        <v>5</v>
      </c>
      <c r="AB1647" s="34">
        <v>6460</v>
      </c>
      <c r="AC1647" s="87">
        <v>70</v>
      </c>
      <c r="AD1647" s="62">
        <v>0</v>
      </c>
      <c r="AE1647" s="62">
        <v>4</v>
      </c>
      <c r="AF1647" s="62">
        <v>2</v>
      </c>
      <c r="AL1647" s="64">
        <v>1</v>
      </c>
      <c r="AN1647" s="93"/>
      <c r="AO1647" s="92"/>
      <c r="AQ1647" t="s">
        <v>4200</v>
      </c>
      <c r="AS1647">
        <v>1</v>
      </c>
    </row>
    <row r="1648" spans="1:45">
      <c r="A1648" s="238">
        <v>800009</v>
      </c>
      <c r="B1648" s="8">
        <v>1001</v>
      </c>
      <c r="C1648" s="8">
        <v>6</v>
      </c>
      <c r="D1648" s="8">
        <v>1001</v>
      </c>
      <c r="E1648" s="253" t="s">
        <v>4216</v>
      </c>
      <c r="F1648" s="13" t="s">
        <v>4216</v>
      </c>
      <c r="G1648" t="s">
        <v>4217</v>
      </c>
      <c r="H1648" t="s">
        <v>4202</v>
      </c>
      <c r="I1648">
        <v>1</v>
      </c>
      <c r="J1648">
        <v>4</v>
      </c>
      <c r="K1648" s="254">
        <v>2</v>
      </c>
      <c r="L1648" s="8">
        <v>999</v>
      </c>
      <c r="M1648" s="8">
        <v>0</v>
      </c>
      <c r="N1648" s="8">
        <v>1017</v>
      </c>
      <c r="O1648" s="2">
        <v>30298</v>
      </c>
      <c r="R1648" s="8"/>
      <c r="S1648" s="89">
        <v>1</v>
      </c>
      <c r="T1648" s="8">
        <v>5</v>
      </c>
      <c r="U1648" s="89">
        <v>170</v>
      </c>
      <c r="V1648" s="87">
        <v>1</v>
      </c>
      <c r="W1648">
        <v>1</v>
      </c>
      <c r="X1648" s="8">
        <v>1</v>
      </c>
      <c r="Y1648" s="8">
        <v>0</v>
      </c>
      <c r="Z1648" s="33">
        <v>0</v>
      </c>
      <c r="AA1648">
        <v>5</v>
      </c>
      <c r="AB1648" s="34">
        <v>6460</v>
      </c>
      <c r="AC1648" s="87">
        <v>70</v>
      </c>
      <c r="AD1648" s="62">
        <v>0</v>
      </c>
      <c r="AE1648" s="62">
        <v>4</v>
      </c>
      <c r="AF1648" s="62">
        <v>2</v>
      </c>
      <c r="AL1648" s="64">
        <v>1</v>
      </c>
      <c r="AN1648" s="93"/>
      <c r="AO1648" s="92"/>
      <c r="AP1648" s="8"/>
      <c r="AQ1648"/>
      <c r="AS1648">
        <v>1</v>
      </c>
    </row>
    <row r="1649" spans="1:45">
      <c r="A1649" s="8">
        <v>270001</v>
      </c>
      <c r="B1649" s="8">
        <v>1001</v>
      </c>
      <c r="C1649" s="8">
        <v>6</v>
      </c>
      <c r="D1649" s="8">
        <v>1001</v>
      </c>
      <c r="E1649" t="s">
        <v>4218</v>
      </c>
      <c r="F1649" s="13" t="s">
        <v>4218</v>
      </c>
      <c r="G1649" t="s">
        <v>4219</v>
      </c>
      <c r="H1649" s="117" t="s">
        <v>1311</v>
      </c>
      <c r="I1649">
        <v>1</v>
      </c>
      <c r="J1649" s="69">
        <v>3</v>
      </c>
      <c r="K1649" s="87">
        <v>2</v>
      </c>
      <c r="L1649" s="8">
        <v>999</v>
      </c>
      <c r="M1649" s="8">
        <v>0</v>
      </c>
      <c r="N1649" s="8">
        <v>1017</v>
      </c>
      <c r="O1649" s="249">
        <v>30043</v>
      </c>
      <c r="R1649" s="8"/>
      <c r="S1649" s="89">
        <v>1</v>
      </c>
      <c r="T1649" s="8">
        <v>5</v>
      </c>
      <c r="U1649" s="89">
        <v>140</v>
      </c>
      <c r="V1649" s="87">
        <v>1</v>
      </c>
      <c r="W1649">
        <v>1</v>
      </c>
      <c r="X1649" s="8">
        <v>1</v>
      </c>
      <c r="Y1649" s="8">
        <v>0</v>
      </c>
      <c r="Z1649" s="33">
        <v>0</v>
      </c>
      <c r="AA1649">
        <v>5</v>
      </c>
      <c r="AB1649" s="34">
        <v>5320</v>
      </c>
      <c r="AC1649" s="87">
        <v>70</v>
      </c>
      <c r="AD1649" s="62">
        <v>0</v>
      </c>
      <c r="AE1649" s="62">
        <v>4</v>
      </c>
      <c r="AF1649" s="62">
        <v>2</v>
      </c>
      <c r="AL1649" s="64">
        <v>1</v>
      </c>
      <c r="AN1649" s="93" t="s">
        <v>4220</v>
      </c>
      <c r="AO1649" s="92"/>
      <c r="AP1649" s="8"/>
      <c r="AQ1649" t="s">
        <v>4221</v>
      </c>
      <c r="AS1649">
        <v>1</v>
      </c>
    </row>
    <row r="1650" spans="1:45">
      <c r="A1650" s="8">
        <v>270002</v>
      </c>
      <c r="B1650" s="8">
        <v>1001</v>
      </c>
      <c r="C1650" s="8">
        <v>6</v>
      </c>
      <c r="D1650" s="8">
        <v>1001</v>
      </c>
      <c r="E1650" t="s">
        <v>4218</v>
      </c>
      <c r="F1650" s="13" t="s">
        <v>4218</v>
      </c>
      <c r="G1650" t="s">
        <v>4222</v>
      </c>
      <c r="H1650" s="117" t="s">
        <v>2567</v>
      </c>
      <c r="I1650">
        <v>1</v>
      </c>
      <c r="J1650" s="69">
        <v>4</v>
      </c>
      <c r="K1650" s="87">
        <v>2</v>
      </c>
      <c r="L1650" s="8">
        <v>999</v>
      </c>
      <c r="M1650" s="8">
        <v>0</v>
      </c>
      <c r="N1650" s="8">
        <v>1017</v>
      </c>
      <c r="O1650" s="249">
        <v>30046</v>
      </c>
      <c r="R1650" s="8"/>
      <c r="S1650" s="89">
        <v>1</v>
      </c>
      <c r="T1650" s="8">
        <v>5</v>
      </c>
      <c r="U1650" s="89">
        <v>170</v>
      </c>
      <c r="V1650" s="87">
        <v>1</v>
      </c>
      <c r="W1650">
        <v>1</v>
      </c>
      <c r="X1650" s="8">
        <v>1</v>
      </c>
      <c r="Y1650" s="8">
        <v>0</v>
      </c>
      <c r="Z1650" s="33">
        <v>0</v>
      </c>
      <c r="AA1650">
        <v>5</v>
      </c>
      <c r="AB1650" s="34">
        <v>6460</v>
      </c>
      <c r="AC1650" s="87">
        <v>70</v>
      </c>
      <c r="AD1650" s="62">
        <v>0</v>
      </c>
      <c r="AE1650" s="62">
        <v>4</v>
      </c>
      <c r="AF1650" s="62">
        <v>2</v>
      </c>
      <c r="AL1650" s="64">
        <v>1</v>
      </c>
      <c r="AN1650" s="93" t="s">
        <v>4223</v>
      </c>
      <c r="AO1650" s="92"/>
      <c r="AP1650" s="8"/>
      <c r="AQ1650" t="s">
        <v>4224</v>
      </c>
      <c r="AS1650">
        <v>1</v>
      </c>
    </row>
    <row r="1651" spans="1:45">
      <c r="A1651" s="8">
        <v>270003</v>
      </c>
      <c r="B1651" s="8">
        <v>1001</v>
      </c>
      <c r="C1651" s="8">
        <v>6</v>
      </c>
      <c r="D1651" s="8">
        <v>1001</v>
      </c>
      <c r="E1651" t="s">
        <v>4218</v>
      </c>
      <c r="F1651" s="13" t="s">
        <v>4218</v>
      </c>
      <c r="G1651" t="s">
        <v>4222</v>
      </c>
      <c r="H1651" t="s">
        <v>4225</v>
      </c>
      <c r="I1651">
        <v>1</v>
      </c>
      <c r="J1651" s="69">
        <v>5</v>
      </c>
      <c r="K1651" s="87">
        <v>2</v>
      </c>
      <c r="L1651" s="8">
        <v>999</v>
      </c>
      <c r="M1651" s="8">
        <v>0</v>
      </c>
      <c r="N1651" s="8">
        <v>1017</v>
      </c>
      <c r="O1651" s="249">
        <v>30049</v>
      </c>
      <c r="R1651" s="8"/>
      <c r="S1651" s="89">
        <v>1</v>
      </c>
      <c r="T1651" s="8">
        <v>5</v>
      </c>
      <c r="U1651" s="89">
        <v>200</v>
      </c>
      <c r="V1651" s="87">
        <v>1</v>
      </c>
      <c r="W1651">
        <v>1</v>
      </c>
      <c r="X1651" s="8">
        <v>1</v>
      </c>
      <c r="Y1651" s="8">
        <v>0</v>
      </c>
      <c r="Z1651" s="33">
        <v>0</v>
      </c>
      <c r="AA1651">
        <v>5</v>
      </c>
      <c r="AB1651" s="34">
        <v>7600</v>
      </c>
      <c r="AC1651" s="87">
        <v>70</v>
      </c>
      <c r="AD1651" s="62">
        <v>0</v>
      </c>
      <c r="AE1651" s="62">
        <v>4</v>
      </c>
      <c r="AF1651" s="62">
        <v>2</v>
      </c>
      <c r="AL1651" s="64">
        <v>1</v>
      </c>
      <c r="AN1651" s="93" t="s">
        <v>4226</v>
      </c>
      <c r="AO1651" s="92"/>
      <c r="AP1651" s="8"/>
      <c r="AQ1651" t="s">
        <v>4227</v>
      </c>
      <c r="AR1651"/>
      <c r="AS1651">
        <v>1</v>
      </c>
    </row>
    <row r="1652" spans="1:45">
      <c r="A1652" s="8">
        <v>284001</v>
      </c>
      <c r="B1652" s="8">
        <v>1001</v>
      </c>
      <c r="C1652" s="8">
        <v>1</v>
      </c>
      <c r="D1652" s="8">
        <v>1001</v>
      </c>
      <c r="E1652" t="s">
        <v>4228</v>
      </c>
      <c r="F1652" s="13" t="s">
        <v>4228</v>
      </c>
      <c r="G1652" t="s">
        <v>4229</v>
      </c>
      <c r="H1652" t="s">
        <v>4230</v>
      </c>
      <c r="I1652">
        <v>1</v>
      </c>
      <c r="J1652" s="69">
        <v>4</v>
      </c>
      <c r="K1652" s="87">
        <v>1</v>
      </c>
      <c r="L1652" s="8">
        <v>999</v>
      </c>
      <c r="M1652" s="8">
        <v>0</v>
      </c>
      <c r="N1652" s="8"/>
      <c r="O1652" s="249"/>
      <c r="R1652" s="8"/>
      <c r="S1652" s="89">
        <v>1</v>
      </c>
      <c r="T1652" s="8">
        <v>5</v>
      </c>
      <c r="U1652" s="89">
        <v>1</v>
      </c>
      <c r="V1652" s="87">
        <v>1</v>
      </c>
      <c r="W1652">
        <v>1</v>
      </c>
      <c r="X1652" s="8">
        <v>1</v>
      </c>
      <c r="Y1652" s="8">
        <v>0</v>
      </c>
      <c r="Z1652" s="33">
        <v>0</v>
      </c>
      <c r="AA1652">
        <v>5</v>
      </c>
      <c r="AB1652" s="34">
        <v>100</v>
      </c>
      <c r="AC1652" s="87">
        <v>70</v>
      </c>
      <c r="AD1652" s="62">
        <v>0</v>
      </c>
      <c r="AE1652" s="62">
        <v>4</v>
      </c>
      <c r="AF1652" s="62">
        <v>2</v>
      </c>
      <c r="AI1652" s="63" t="s">
        <v>4231</v>
      </c>
      <c r="AL1652" s="64">
        <v>1</v>
      </c>
      <c r="AN1652" s="93"/>
      <c r="AO1652" s="92"/>
      <c r="AP1652" s="8"/>
      <c r="AR1652">
        <v>1</v>
      </c>
      <c r="AS1652">
        <v>1</v>
      </c>
    </row>
    <row r="1653" spans="1:45">
      <c r="A1653" s="8">
        <v>284002</v>
      </c>
      <c r="B1653" s="8">
        <v>1001</v>
      </c>
      <c r="C1653" s="8">
        <v>1</v>
      </c>
      <c r="D1653" s="8">
        <v>1001</v>
      </c>
      <c r="E1653" t="s">
        <v>4232</v>
      </c>
      <c r="F1653" s="13" t="s">
        <v>4232</v>
      </c>
      <c r="G1653" t="s">
        <v>4233</v>
      </c>
      <c r="H1653" t="s">
        <v>4234</v>
      </c>
      <c r="I1653">
        <v>1</v>
      </c>
      <c r="J1653" s="69">
        <v>5</v>
      </c>
      <c r="K1653" s="87">
        <v>1</v>
      </c>
      <c r="L1653" s="8">
        <v>999</v>
      </c>
      <c r="M1653" s="8">
        <v>0</v>
      </c>
      <c r="N1653" s="8"/>
      <c r="O1653" s="249"/>
      <c r="R1653" s="8"/>
      <c r="S1653" s="89">
        <v>1</v>
      </c>
      <c r="T1653" s="8">
        <v>5</v>
      </c>
      <c r="U1653" s="89">
        <v>1</v>
      </c>
      <c r="V1653" s="87">
        <v>1</v>
      </c>
      <c r="W1653">
        <v>1</v>
      </c>
      <c r="X1653" s="8">
        <v>1</v>
      </c>
      <c r="Y1653" s="8">
        <v>0</v>
      </c>
      <c r="Z1653" s="33">
        <v>0</v>
      </c>
      <c r="AA1653">
        <v>5</v>
      </c>
      <c r="AB1653" s="34">
        <v>100</v>
      </c>
      <c r="AC1653" s="87">
        <v>70</v>
      </c>
      <c r="AD1653" s="62">
        <v>0</v>
      </c>
      <c r="AE1653" s="62">
        <v>4</v>
      </c>
      <c r="AF1653" s="62">
        <v>2</v>
      </c>
      <c r="AI1653" s="63" t="s">
        <v>4231</v>
      </c>
      <c r="AL1653" s="64">
        <v>1</v>
      </c>
      <c r="AN1653" s="93"/>
      <c r="AO1653" s="92"/>
      <c r="AP1653" s="8"/>
      <c r="AR1653">
        <v>1</v>
      </c>
      <c r="AS1653">
        <v>1</v>
      </c>
    </row>
    <row r="1654" spans="1:45">
      <c r="A1654" s="8">
        <v>284003</v>
      </c>
      <c r="B1654" s="8">
        <v>1001</v>
      </c>
      <c r="C1654" s="8">
        <v>1</v>
      </c>
      <c r="D1654" s="8">
        <v>1001</v>
      </c>
      <c r="E1654" t="s">
        <v>4235</v>
      </c>
      <c r="F1654" s="13" t="s">
        <v>4235</v>
      </c>
      <c r="G1654" t="s">
        <v>4236</v>
      </c>
      <c r="H1654" t="s">
        <v>4237</v>
      </c>
      <c r="I1654">
        <v>1</v>
      </c>
      <c r="J1654" s="69">
        <v>4</v>
      </c>
      <c r="K1654" s="87">
        <v>1</v>
      </c>
      <c r="L1654" s="8">
        <v>999</v>
      </c>
      <c r="M1654" s="8">
        <v>0</v>
      </c>
      <c r="N1654" s="8"/>
      <c r="O1654" s="249"/>
      <c r="R1654" s="8"/>
      <c r="S1654" s="89">
        <v>1</v>
      </c>
      <c r="T1654" s="8">
        <v>5</v>
      </c>
      <c r="U1654" s="89">
        <v>200</v>
      </c>
      <c r="V1654" s="87">
        <v>1</v>
      </c>
      <c r="W1654">
        <v>1</v>
      </c>
      <c r="X1654" s="8">
        <v>1</v>
      </c>
      <c r="Y1654" s="8">
        <v>0</v>
      </c>
      <c r="Z1654" s="33">
        <v>0</v>
      </c>
      <c r="AA1654">
        <v>5</v>
      </c>
      <c r="AB1654" s="34">
        <v>7600</v>
      </c>
      <c r="AC1654" s="87">
        <v>70</v>
      </c>
      <c r="AD1654" s="62">
        <v>0</v>
      </c>
      <c r="AE1654" s="62">
        <v>4</v>
      </c>
      <c r="AF1654" s="62">
        <v>2</v>
      </c>
      <c r="AL1654" s="64">
        <v>1</v>
      </c>
      <c r="AN1654" s="93"/>
      <c r="AO1654" s="92"/>
      <c r="AP1654" s="8"/>
      <c r="AR1654">
        <v>1</v>
      </c>
      <c r="AS1654">
        <v>1</v>
      </c>
    </row>
    <row r="1655" spans="1:45">
      <c r="A1655" s="8">
        <v>284004</v>
      </c>
      <c r="B1655" s="8">
        <v>1001</v>
      </c>
      <c r="C1655" s="8">
        <v>1</v>
      </c>
      <c r="D1655" s="8">
        <v>1001</v>
      </c>
      <c r="E1655" t="s">
        <v>4238</v>
      </c>
      <c r="F1655" s="13" t="s">
        <v>4238</v>
      </c>
      <c r="G1655" t="s">
        <v>4239</v>
      </c>
      <c r="H1655" t="s">
        <v>4240</v>
      </c>
      <c r="I1655">
        <v>1</v>
      </c>
      <c r="J1655" s="69">
        <v>4</v>
      </c>
      <c r="K1655" s="87">
        <v>1</v>
      </c>
      <c r="L1655" s="8">
        <v>999</v>
      </c>
      <c r="M1655" s="8">
        <v>0</v>
      </c>
      <c r="N1655" s="8"/>
      <c r="O1655" s="249"/>
      <c r="R1655" s="8"/>
      <c r="S1655" s="89">
        <v>1</v>
      </c>
      <c r="T1655" s="8">
        <v>5</v>
      </c>
      <c r="U1655" s="89">
        <v>200</v>
      </c>
      <c r="V1655" s="87">
        <v>1</v>
      </c>
      <c r="W1655">
        <v>1</v>
      </c>
      <c r="X1655" s="8">
        <v>1</v>
      </c>
      <c r="Y1655" s="8">
        <v>0</v>
      </c>
      <c r="Z1655" s="33">
        <v>0</v>
      </c>
      <c r="AA1655">
        <v>5</v>
      </c>
      <c r="AB1655" s="34">
        <v>7600</v>
      </c>
      <c r="AC1655" s="87">
        <v>70</v>
      </c>
      <c r="AD1655" s="62">
        <v>0</v>
      </c>
      <c r="AE1655" s="62">
        <v>4</v>
      </c>
      <c r="AF1655" s="62">
        <v>2</v>
      </c>
      <c r="AL1655" s="64">
        <v>1</v>
      </c>
      <c r="AN1655" s="93"/>
      <c r="AO1655" s="92"/>
      <c r="AP1655" s="8"/>
      <c r="AR1655">
        <v>1</v>
      </c>
      <c r="AS1655">
        <v>1</v>
      </c>
    </row>
    <row r="1656" spans="1:45">
      <c r="A1656" s="8">
        <v>284005</v>
      </c>
      <c r="B1656" s="8">
        <v>1001</v>
      </c>
      <c r="C1656" s="8">
        <v>1</v>
      </c>
      <c r="D1656" s="8">
        <v>1001</v>
      </c>
      <c r="E1656" s="238" t="s">
        <v>4241</v>
      </c>
      <c r="F1656" s="13" t="s">
        <v>4241</v>
      </c>
      <c r="G1656" t="s">
        <v>4239</v>
      </c>
      <c r="H1656" t="s">
        <v>4242</v>
      </c>
      <c r="I1656">
        <v>1</v>
      </c>
      <c r="J1656" s="69">
        <v>4</v>
      </c>
      <c r="K1656" s="87">
        <v>1</v>
      </c>
      <c r="L1656" s="8">
        <v>999</v>
      </c>
      <c r="M1656" s="8">
        <v>0</v>
      </c>
      <c r="N1656" s="8"/>
      <c r="O1656" s="249"/>
      <c r="R1656" s="8"/>
      <c r="S1656" s="89">
        <v>1</v>
      </c>
      <c r="T1656" s="8">
        <v>5</v>
      </c>
      <c r="U1656" s="89">
        <v>200</v>
      </c>
      <c r="V1656" s="87">
        <v>1</v>
      </c>
      <c r="W1656">
        <v>1</v>
      </c>
      <c r="X1656" s="8">
        <v>1</v>
      </c>
      <c r="Y1656" s="8">
        <v>0</v>
      </c>
      <c r="Z1656" s="33">
        <v>0</v>
      </c>
      <c r="AA1656">
        <v>5</v>
      </c>
      <c r="AB1656" s="34">
        <v>7600</v>
      </c>
      <c r="AC1656" s="87">
        <v>70</v>
      </c>
      <c r="AD1656" s="62">
        <v>0</v>
      </c>
      <c r="AE1656" s="62">
        <v>4</v>
      </c>
      <c r="AF1656" s="62">
        <v>2</v>
      </c>
      <c r="AL1656" s="64">
        <v>1</v>
      </c>
      <c r="AN1656" s="93"/>
      <c r="AO1656" s="92"/>
      <c r="AP1656" s="8"/>
      <c r="AQ1656" s="13"/>
      <c r="AR1656">
        <v>1</v>
      </c>
      <c r="AS1656">
        <v>1</v>
      </c>
    </row>
    <row r="1657" spans="1:45">
      <c r="A1657">
        <v>700003</v>
      </c>
      <c r="B1657" s="8">
        <v>1001</v>
      </c>
      <c r="C1657" s="8">
        <v>1</v>
      </c>
      <c r="D1657" s="8">
        <v>1001</v>
      </c>
      <c r="E1657" s="13" t="s">
        <v>4243</v>
      </c>
      <c r="F1657" s="13" t="s">
        <v>4243</v>
      </c>
      <c r="G1657" t="s">
        <v>4244</v>
      </c>
      <c r="H1657" t="s">
        <v>4245</v>
      </c>
      <c r="I1657">
        <v>1</v>
      </c>
      <c r="J1657" s="69">
        <v>2</v>
      </c>
      <c r="K1657" s="33">
        <v>1</v>
      </c>
      <c r="L1657" s="8">
        <v>999</v>
      </c>
      <c r="M1657" s="8">
        <v>0</v>
      </c>
      <c r="S1657" s="89">
        <v>1</v>
      </c>
      <c r="T1657" s="8">
        <v>5</v>
      </c>
      <c r="U1657" s="8">
        <v>600</v>
      </c>
      <c r="V1657" s="87">
        <v>1</v>
      </c>
      <c r="W1657">
        <v>1</v>
      </c>
      <c r="X1657" s="8">
        <v>1</v>
      </c>
      <c r="Y1657" s="8">
        <v>0</v>
      </c>
      <c r="Z1657" s="33">
        <v>0</v>
      </c>
      <c r="AA1657">
        <v>5</v>
      </c>
      <c r="AB1657" s="8">
        <v>6600</v>
      </c>
      <c r="AC1657" s="87">
        <v>71</v>
      </c>
      <c r="AD1657" s="62">
        <v>0</v>
      </c>
      <c r="AE1657" s="62">
        <v>1</v>
      </c>
      <c r="AF1657" s="62">
        <v>1</v>
      </c>
      <c r="AL1657" s="64">
        <v>1</v>
      </c>
      <c r="AN1657" s="93"/>
      <c r="AO1657" s="92"/>
      <c r="AQ1657" s="13" t="s">
        <v>4243</v>
      </c>
      <c r="AS1657">
        <v>1</v>
      </c>
    </row>
    <row r="1658" spans="1:45">
      <c r="A1658">
        <v>700004</v>
      </c>
      <c r="B1658" s="8">
        <v>1001</v>
      </c>
      <c r="C1658" s="8">
        <v>1</v>
      </c>
      <c r="D1658" s="8">
        <v>1001</v>
      </c>
      <c r="E1658" s="13" t="s">
        <v>4243</v>
      </c>
      <c r="F1658" s="13" t="s">
        <v>4243</v>
      </c>
      <c r="G1658" t="s">
        <v>4244</v>
      </c>
      <c r="H1658" t="s">
        <v>4246</v>
      </c>
      <c r="I1658">
        <v>1</v>
      </c>
      <c r="J1658" s="69">
        <v>3</v>
      </c>
      <c r="K1658" s="33">
        <v>1</v>
      </c>
      <c r="L1658" s="8">
        <v>999</v>
      </c>
      <c r="M1658" s="8">
        <v>0</v>
      </c>
      <c r="S1658" s="89">
        <v>1</v>
      </c>
      <c r="T1658" s="8">
        <v>5</v>
      </c>
      <c r="U1658" s="8">
        <v>3600</v>
      </c>
      <c r="V1658" s="87">
        <v>1</v>
      </c>
      <c r="W1658">
        <v>1</v>
      </c>
      <c r="X1658" s="8">
        <v>1</v>
      </c>
      <c r="Y1658" s="8">
        <v>0</v>
      </c>
      <c r="Z1658" s="33">
        <v>0</v>
      </c>
      <c r="AA1658">
        <v>5</v>
      </c>
      <c r="AB1658" s="8">
        <v>39600</v>
      </c>
      <c r="AC1658" s="87">
        <v>71</v>
      </c>
      <c r="AD1658" s="62">
        <v>0</v>
      </c>
      <c r="AE1658" s="62">
        <v>1</v>
      </c>
      <c r="AF1658" s="62">
        <v>1</v>
      </c>
      <c r="AL1658" s="64">
        <v>1</v>
      </c>
      <c r="AN1658" s="93"/>
      <c r="AO1658" s="92"/>
      <c r="AQ1658" s="13" t="s">
        <v>4243</v>
      </c>
      <c r="AS1658">
        <v>1</v>
      </c>
    </row>
    <row r="1659" spans="1:45">
      <c r="A1659">
        <v>700005</v>
      </c>
      <c r="B1659" s="8">
        <v>1001</v>
      </c>
      <c r="C1659" s="8">
        <v>1</v>
      </c>
      <c r="D1659" s="8">
        <v>1001</v>
      </c>
      <c r="E1659" s="13" t="s">
        <v>4247</v>
      </c>
      <c r="F1659" s="13" t="s">
        <v>4247</v>
      </c>
      <c r="G1659" t="s">
        <v>4244</v>
      </c>
      <c r="H1659" t="s">
        <v>4248</v>
      </c>
      <c r="I1659">
        <v>1</v>
      </c>
      <c r="J1659" s="69">
        <v>4</v>
      </c>
      <c r="K1659" s="33">
        <v>1</v>
      </c>
      <c r="L1659" s="8">
        <v>999</v>
      </c>
      <c r="M1659" s="8">
        <v>0</v>
      </c>
      <c r="S1659" s="89">
        <v>1</v>
      </c>
      <c r="T1659" s="8">
        <v>5</v>
      </c>
      <c r="U1659" s="8">
        <v>4800</v>
      </c>
      <c r="V1659" s="87">
        <v>1</v>
      </c>
      <c r="W1659">
        <v>1</v>
      </c>
      <c r="X1659" s="8">
        <v>1</v>
      </c>
      <c r="Y1659" s="8">
        <v>0</v>
      </c>
      <c r="Z1659" s="33">
        <v>0</v>
      </c>
      <c r="AA1659">
        <v>5</v>
      </c>
      <c r="AB1659" s="8">
        <v>52800</v>
      </c>
      <c r="AC1659" s="87">
        <v>71</v>
      </c>
      <c r="AD1659" s="62">
        <v>0</v>
      </c>
      <c r="AE1659" s="62">
        <v>1</v>
      </c>
      <c r="AF1659" s="62">
        <v>1</v>
      </c>
      <c r="AL1659" s="64">
        <v>1</v>
      </c>
      <c r="AN1659" s="93"/>
      <c r="AO1659" s="92"/>
      <c r="AQ1659" s="13" t="s">
        <v>4247</v>
      </c>
      <c r="AS1659">
        <v>1</v>
      </c>
    </row>
    <row r="1660" spans="1:45">
      <c r="A1660">
        <v>700006</v>
      </c>
      <c r="B1660" s="8">
        <v>1001</v>
      </c>
      <c r="C1660" s="8">
        <v>1</v>
      </c>
      <c r="D1660" s="8">
        <v>1001</v>
      </c>
      <c r="E1660" s="13" t="s">
        <v>4249</v>
      </c>
      <c r="F1660" s="13" t="s">
        <v>4249</v>
      </c>
      <c r="G1660" t="s">
        <v>4244</v>
      </c>
      <c r="H1660" t="s">
        <v>4250</v>
      </c>
      <c r="I1660">
        <v>1</v>
      </c>
      <c r="J1660" s="69">
        <v>5</v>
      </c>
      <c r="K1660" s="33">
        <v>1</v>
      </c>
      <c r="L1660" s="8">
        <v>999</v>
      </c>
      <c r="M1660" s="8">
        <v>0</v>
      </c>
      <c r="N1660"/>
      <c r="O1660" s="249"/>
      <c r="S1660" s="89">
        <v>1</v>
      </c>
      <c r="T1660" s="8">
        <v>5</v>
      </c>
      <c r="U1660" s="8">
        <v>9600</v>
      </c>
      <c r="V1660" s="87">
        <v>1</v>
      </c>
      <c r="W1660">
        <v>1</v>
      </c>
      <c r="X1660" s="8">
        <v>1</v>
      </c>
      <c r="Y1660" s="8">
        <v>0</v>
      </c>
      <c r="Z1660" s="33">
        <v>0</v>
      </c>
      <c r="AA1660">
        <v>5</v>
      </c>
      <c r="AB1660" s="236">
        <v>105600</v>
      </c>
      <c r="AC1660" s="87">
        <v>71</v>
      </c>
      <c r="AD1660" s="62">
        <v>0</v>
      </c>
      <c r="AE1660" s="62">
        <v>1</v>
      </c>
      <c r="AF1660" s="62">
        <v>1</v>
      </c>
      <c r="AL1660" s="64">
        <v>1</v>
      </c>
      <c r="AN1660" s="93"/>
      <c r="AO1660" s="92"/>
      <c r="AQ1660" s="13" t="s">
        <v>4249</v>
      </c>
      <c r="AS1660">
        <v>1</v>
      </c>
    </row>
    <row r="1661" spans="1:45">
      <c r="A1661">
        <v>700007</v>
      </c>
      <c r="B1661" s="8">
        <v>1001</v>
      </c>
      <c r="C1661" s="8">
        <v>1</v>
      </c>
      <c r="D1661" s="8">
        <v>1001</v>
      </c>
      <c r="E1661" s="13" t="s">
        <v>1432</v>
      </c>
      <c r="F1661" s="13" t="s">
        <v>1592</v>
      </c>
      <c r="G1661" t="s">
        <v>4251</v>
      </c>
      <c r="H1661" t="s">
        <v>1431</v>
      </c>
      <c r="I1661">
        <v>1</v>
      </c>
      <c r="J1661" s="69">
        <v>5</v>
      </c>
      <c r="K1661" s="33">
        <v>2</v>
      </c>
      <c r="L1661" s="8">
        <v>999</v>
      </c>
      <c r="M1661" s="8">
        <v>0</v>
      </c>
      <c r="N1661">
        <v>1017</v>
      </c>
      <c r="O1661" s="249">
        <v>30059</v>
      </c>
      <c r="S1661" s="89">
        <v>1</v>
      </c>
      <c r="T1661" s="8">
        <v>5</v>
      </c>
      <c r="U1661" s="89">
        <v>200</v>
      </c>
      <c r="V1661" s="87">
        <v>1</v>
      </c>
      <c r="W1661">
        <v>1</v>
      </c>
      <c r="X1661" s="8">
        <v>1</v>
      </c>
      <c r="Y1661" s="8">
        <v>0</v>
      </c>
      <c r="Z1661" s="33">
        <v>0</v>
      </c>
      <c r="AA1661">
        <v>5</v>
      </c>
      <c r="AB1661" s="34">
        <v>7600</v>
      </c>
      <c r="AC1661" s="87">
        <v>71</v>
      </c>
      <c r="AE1661" s="62">
        <v>4</v>
      </c>
      <c r="AF1661" s="62">
        <v>2</v>
      </c>
      <c r="AL1661" s="64">
        <v>1</v>
      </c>
      <c r="AM1661" s="64">
        <v>20</v>
      </c>
      <c r="AN1661" s="93"/>
      <c r="AO1661" s="92"/>
      <c r="AQ1661" s="13" t="s">
        <v>1432</v>
      </c>
      <c r="AS1661">
        <v>1</v>
      </c>
    </row>
    <row r="1662" spans="1:45">
      <c r="A1662">
        <v>700008</v>
      </c>
      <c r="B1662" s="8">
        <v>1001</v>
      </c>
      <c r="C1662" s="8">
        <v>1</v>
      </c>
      <c r="D1662" s="8">
        <v>1001</v>
      </c>
      <c r="E1662" s="13" t="s">
        <v>4252</v>
      </c>
      <c r="F1662" s="13" t="s">
        <v>1592</v>
      </c>
      <c r="G1662" t="s">
        <v>4253</v>
      </c>
      <c r="H1662" t="s">
        <v>1431</v>
      </c>
      <c r="I1662">
        <v>1</v>
      </c>
      <c r="J1662" s="69">
        <v>5</v>
      </c>
      <c r="K1662" s="33">
        <v>2</v>
      </c>
      <c r="L1662" s="8">
        <v>999</v>
      </c>
      <c r="M1662" s="8">
        <v>0</v>
      </c>
      <c r="N1662">
        <v>1017</v>
      </c>
      <c r="O1662" s="249">
        <v>30060</v>
      </c>
      <c r="S1662" s="89">
        <v>1</v>
      </c>
      <c r="T1662" s="8">
        <v>5</v>
      </c>
      <c r="U1662" s="89">
        <v>200</v>
      </c>
      <c r="V1662" s="87">
        <v>1</v>
      </c>
      <c r="W1662">
        <v>1</v>
      </c>
      <c r="X1662" s="8">
        <v>1</v>
      </c>
      <c r="Y1662" s="8">
        <v>0</v>
      </c>
      <c r="Z1662" s="33">
        <v>0</v>
      </c>
      <c r="AA1662">
        <v>5</v>
      </c>
      <c r="AB1662" s="34">
        <v>7600</v>
      </c>
      <c r="AC1662" s="87">
        <v>56</v>
      </c>
      <c r="AE1662" s="62">
        <v>4</v>
      </c>
      <c r="AF1662" s="62">
        <v>2</v>
      </c>
      <c r="AL1662" s="64">
        <v>1</v>
      </c>
      <c r="AM1662" s="64">
        <v>30</v>
      </c>
      <c r="AN1662" s="93"/>
      <c r="AO1662" s="92"/>
      <c r="AQ1662" s="13" t="s">
        <v>4252</v>
      </c>
      <c r="AS1662">
        <v>1</v>
      </c>
    </row>
    <row r="1663" spans="1:45">
      <c r="A1663">
        <v>700009</v>
      </c>
      <c r="B1663" s="8">
        <v>1001</v>
      </c>
      <c r="C1663" s="8">
        <v>1</v>
      </c>
      <c r="D1663" s="8">
        <v>1001</v>
      </c>
      <c r="E1663" s="13" t="s">
        <v>4254</v>
      </c>
      <c r="F1663" s="13" t="s">
        <v>4254</v>
      </c>
      <c r="G1663" t="s">
        <v>4255</v>
      </c>
      <c r="H1663" t="s">
        <v>1531</v>
      </c>
      <c r="I1663">
        <v>1</v>
      </c>
      <c r="J1663" s="69">
        <v>5</v>
      </c>
      <c r="K1663" s="33">
        <v>2</v>
      </c>
      <c r="L1663" s="8">
        <v>999</v>
      </c>
      <c r="M1663" s="8">
        <v>0</v>
      </c>
      <c r="N1663">
        <v>1</v>
      </c>
      <c r="O1663" s="249" t="s">
        <v>4256</v>
      </c>
      <c r="S1663" s="89">
        <v>1</v>
      </c>
      <c r="T1663" s="8">
        <v>5</v>
      </c>
      <c r="U1663" s="89">
        <v>200</v>
      </c>
      <c r="V1663" s="87">
        <v>1</v>
      </c>
      <c r="W1663">
        <v>1</v>
      </c>
      <c r="X1663" s="8">
        <v>1</v>
      </c>
      <c r="Y1663" s="8">
        <v>0</v>
      </c>
      <c r="Z1663" s="33">
        <v>0</v>
      </c>
      <c r="AA1663">
        <v>5</v>
      </c>
      <c r="AB1663" s="34">
        <v>7600</v>
      </c>
      <c r="AC1663" s="87">
        <v>56</v>
      </c>
      <c r="AE1663" s="62">
        <v>4</v>
      </c>
      <c r="AF1663" s="62">
        <v>2</v>
      </c>
      <c r="AL1663" s="64">
        <v>1</v>
      </c>
      <c r="AM1663" s="64">
        <v>60</v>
      </c>
      <c r="AN1663" s="93"/>
      <c r="AO1663" s="92"/>
      <c r="AQ1663" s="13" t="s">
        <v>4254</v>
      </c>
      <c r="AS1663">
        <v>1</v>
      </c>
    </row>
    <row r="1664" spans="1:45">
      <c r="A1664">
        <v>700010</v>
      </c>
      <c r="B1664" s="8">
        <v>1001</v>
      </c>
      <c r="C1664" s="8">
        <v>1</v>
      </c>
      <c r="D1664" s="8">
        <v>1001</v>
      </c>
      <c r="E1664" s="13" t="s">
        <v>4257</v>
      </c>
      <c r="F1664" s="13" t="s">
        <v>4257</v>
      </c>
      <c r="G1664" t="s">
        <v>4258</v>
      </c>
      <c r="H1664" t="s">
        <v>1531</v>
      </c>
      <c r="I1664">
        <v>1</v>
      </c>
      <c r="J1664" s="69">
        <v>5</v>
      </c>
      <c r="K1664" s="33">
        <v>2</v>
      </c>
      <c r="L1664" s="8">
        <v>999</v>
      </c>
      <c r="M1664" s="8">
        <v>0</v>
      </c>
      <c r="N1664">
        <v>1</v>
      </c>
      <c r="O1664" s="249" t="s">
        <v>4259</v>
      </c>
      <c r="S1664" s="89">
        <v>1</v>
      </c>
      <c r="T1664" s="8">
        <v>5</v>
      </c>
      <c r="U1664" s="89">
        <v>200</v>
      </c>
      <c r="V1664" s="87">
        <v>1</v>
      </c>
      <c r="W1664">
        <v>1</v>
      </c>
      <c r="X1664" s="8">
        <v>1</v>
      </c>
      <c r="Y1664" s="8">
        <v>0</v>
      </c>
      <c r="Z1664" s="33">
        <v>0</v>
      </c>
      <c r="AA1664">
        <v>5</v>
      </c>
      <c r="AB1664" s="34">
        <v>7600</v>
      </c>
      <c r="AC1664" s="87">
        <v>56</v>
      </c>
      <c r="AE1664" s="62">
        <v>4</v>
      </c>
      <c r="AF1664" s="62">
        <v>2</v>
      </c>
      <c r="AL1664" s="64">
        <v>1</v>
      </c>
      <c r="AM1664" s="64">
        <v>60</v>
      </c>
      <c r="AN1664" s="93"/>
      <c r="AO1664" s="92"/>
      <c r="AQ1664" s="13" t="s">
        <v>4257</v>
      </c>
      <c r="AS1664">
        <v>1</v>
      </c>
    </row>
    <row r="1665" spans="1:45">
      <c r="A1665">
        <v>700011</v>
      </c>
      <c r="B1665" s="8">
        <v>1001</v>
      </c>
      <c r="C1665" s="8">
        <v>1</v>
      </c>
      <c r="D1665" s="8">
        <v>1001</v>
      </c>
      <c r="E1665" s="13" t="s">
        <v>4260</v>
      </c>
      <c r="F1665" s="13" t="s">
        <v>4260</v>
      </c>
      <c r="G1665" t="s">
        <v>4261</v>
      </c>
      <c r="H1665" t="s">
        <v>1531</v>
      </c>
      <c r="I1665">
        <v>1</v>
      </c>
      <c r="J1665" s="69">
        <v>5</v>
      </c>
      <c r="K1665" s="33">
        <v>2</v>
      </c>
      <c r="L1665" s="8">
        <v>999</v>
      </c>
      <c r="M1665" s="8">
        <v>0</v>
      </c>
      <c r="N1665">
        <v>1</v>
      </c>
      <c r="O1665" s="249" t="s">
        <v>4262</v>
      </c>
      <c r="S1665" s="89">
        <v>1</v>
      </c>
      <c r="T1665" s="8">
        <v>5</v>
      </c>
      <c r="U1665" s="89">
        <v>200</v>
      </c>
      <c r="V1665" s="87">
        <v>1</v>
      </c>
      <c r="W1665">
        <v>1</v>
      </c>
      <c r="X1665" s="8">
        <v>1</v>
      </c>
      <c r="Y1665" s="8">
        <v>0</v>
      </c>
      <c r="Z1665" s="33">
        <v>0</v>
      </c>
      <c r="AA1665">
        <v>5</v>
      </c>
      <c r="AB1665" s="34">
        <v>7600</v>
      </c>
      <c r="AC1665" s="87">
        <v>56</v>
      </c>
      <c r="AE1665" s="62">
        <v>4</v>
      </c>
      <c r="AF1665" s="62">
        <v>2</v>
      </c>
      <c r="AL1665" s="64">
        <v>1</v>
      </c>
      <c r="AM1665" s="64">
        <v>60</v>
      </c>
      <c r="AN1665" s="93"/>
      <c r="AO1665" s="92"/>
      <c r="AQ1665" s="13" t="s">
        <v>4260</v>
      </c>
      <c r="AS1665">
        <v>1</v>
      </c>
    </row>
    <row r="1666" spans="1:45">
      <c r="A1666">
        <v>700012</v>
      </c>
      <c r="B1666" s="8">
        <v>1001</v>
      </c>
      <c r="C1666" s="8">
        <v>1</v>
      </c>
      <c r="D1666" s="8">
        <v>1001</v>
      </c>
      <c r="E1666" s="13" t="s">
        <v>4263</v>
      </c>
      <c r="F1666" s="13" t="s">
        <v>4263</v>
      </c>
      <c r="G1666" t="s">
        <v>4264</v>
      </c>
      <c r="H1666" t="s">
        <v>1531</v>
      </c>
      <c r="I1666">
        <v>1</v>
      </c>
      <c r="J1666" s="69">
        <v>5</v>
      </c>
      <c r="K1666" s="33">
        <v>2</v>
      </c>
      <c r="L1666" s="8">
        <v>999</v>
      </c>
      <c r="M1666" s="8">
        <v>0</v>
      </c>
      <c r="N1666">
        <v>1</v>
      </c>
      <c r="O1666" s="249" t="s">
        <v>4265</v>
      </c>
      <c r="S1666" s="89">
        <v>1</v>
      </c>
      <c r="T1666" s="8">
        <v>5</v>
      </c>
      <c r="U1666" s="89">
        <v>200</v>
      </c>
      <c r="V1666" s="87">
        <v>1</v>
      </c>
      <c r="W1666">
        <v>1</v>
      </c>
      <c r="X1666" s="8">
        <v>1</v>
      </c>
      <c r="Y1666" s="8">
        <v>0</v>
      </c>
      <c r="Z1666" s="33">
        <v>0</v>
      </c>
      <c r="AA1666">
        <v>5</v>
      </c>
      <c r="AB1666" s="34">
        <v>7600</v>
      </c>
      <c r="AC1666" s="87">
        <v>56</v>
      </c>
      <c r="AE1666" s="62">
        <v>4</v>
      </c>
      <c r="AF1666" s="62">
        <v>2</v>
      </c>
      <c r="AL1666" s="64">
        <v>1</v>
      </c>
      <c r="AM1666" s="64">
        <v>60</v>
      </c>
      <c r="AN1666" s="93"/>
      <c r="AO1666" s="92"/>
      <c r="AQ1666" s="13" t="s">
        <v>4263</v>
      </c>
      <c r="AS1666">
        <v>1</v>
      </c>
    </row>
    <row r="1667" spans="1:45">
      <c r="A1667">
        <v>712001</v>
      </c>
      <c r="B1667" s="8">
        <v>1001</v>
      </c>
      <c r="C1667" s="8">
        <v>1</v>
      </c>
      <c r="D1667" s="8">
        <v>1001</v>
      </c>
      <c r="E1667" s="13" t="s">
        <v>4266</v>
      </c>
      <c r="F1667" s="13" t="s">
        <v>4266</v>
      </c>
      <c r="G1667" t="s">
        <v>4267</v>
      </c>
      <c r="H1667" t="s">
        <v>4268</v>
      </c>
      <c r="I1667">
        <v>1</v>
      </c>
      <c r="J1667" s="69">
        <v>4</v>
      </c>
      <c r="K1667" s="33">
        <v>2</v>
      </c>
      <c r="L1667" s="8">
        <v>999</v>
      </c>
      <c r="M1667" s="8">
        <v>0</v>
      </c>
      <c r="N1667">
        <v>1021</v>
      </c>
      <c r="O1667" s="249">
        <v>1</v>
      </c>
      <c r="S1667" s="89">
        <v>1</v>
      </c>
      <c r="T1667" s="8">
        <v>5</v>
      </c>
      <c r="U1667" s="89">
        <v>170</v>
      </c>
      <c r="V1667" s="87">
        <v>1</v>
      </c>
      <c r="W1667">
        <v>1</v>
      </c>
      <c r="X1667" s="8">
        <v>1</v>
      </c>
      <c r="Y1667" s="8">
        <v>0</v>
      </c>
      <c r="Z1667" s="33">
        <v>0</v>
      </c>
      <c r="AA1667">
        <v>5</v>
      </c>
      <c r="AB1667" s="34">
        <v>6460</v>
      </c>
      <c r="AC1667" s="87">
        <v>10000</v>
      </c>
      <c r="AE1667" s="62">
        <v>4</v>
      </c>
      <c r="AF1667" s="62">
        <v>1</v>
      </c>
      <c r="AL1667" s="64">
        <v>1</v>
      </c>
      <c r="AN1667" s="93"/>
      <c r="AO1667" s="92"/>
      <c r="AQ1667" s="13" t="s">
        <v>4269</v>
      </c>
      <c r="AS1667">
        <v>1</v>
      </c>
    </row>
    <row r="1668" spans="1:45">
      <c r="A1668">
        <v>712002</v>
      </c>
      <c r="B1668" s="8">
        <v>1001</v>
      </c>
      <c r="C1668" s="8">
        <v>1</v>
      </c>
      <c r="D1668" s="8">
        <v>1001</v>
      </c>
      <c r="E1668" s="13" t="s">
        <v>4270</v>
      </c>
      <c r="F1668" s="13" t="s">
        <v>4270</v>
      </c>
      <c r="G1668" t="s">
        <v>4271</v>
      </c>
      <c r="H1668" t="s">
        <v>4272</v>
      </c>
      <c r="I1668">
        <v>1</v>
      </c>
      <c r="J1668" s="69">
        <v>4</v>
      </c>
      <c r="K1668" s="33">
        <v>2</v>
      </c>
      <c r="L1668" s="8">
        <v>999</v>
      </c>
      <c r="M1668" s="8">
        <v>0</v>
      </c>
      <c r="N1668">
        <v>1021</v>
      </c>
      <c r="O1668" s="249">
        <v>1</v>
      </c>
      <c r="S1668" s="89">
        <v>1</v>
      </c>
      <c r="T1668" s="8">
        <v>5</v>
      </c>
      <c r="U1668" s="89">
        <v>170</v>
      </c>
      <c r="V1668" s="87">
        <v>1</v>
      </c>
      <c r="W1668">
        <v>1</v>
      </c>
      <c r="X1668" s="8">
        <v>1</v>
      </c>
      <c r="Y1668" s="8">
        <v>0</v>
      </c>
      <c r="Z1668" s="33">
        <v>0</v>
      </c>
      <c r="AA1668">
        <v>5</v>
      </c>
      <c r="AB1668" s="34">
        <v>6460</v>
      </c>
      <c r="AC1668" s="87">
        <v>10000</v>
      </c>
      <c r="AE1668" s="62">
        <v>4</v>
      </c>
      <c r="AF1668" s="62">
        <v>1</v>
      </c>
      <c r="AL1668" s="64">
        <v>1</v>
      </c>
      <c r="AN1668" s="93"/>
      <c r="AO1668" s="92"/>
      <c r="AQ1668" s="13" t="s">
        <v>4270</v>
      </c>
      <c r="AS1668">
        <v>1</v>
      </c>
    </row>
    <row r="1669" spans="1:45">
      <c r="A1669">
        <v>712003</v>
      </c>
      <c r="B1669" s="8">
        <v>1001</v>
      </c>
      <c r="C1669" s="8">
        <v>1</v>
      </c>
      <c r="D1669" s="8">
        <v>1001</v>
      </c>
      <c r="E1669" s="13" t="s">
        <v>4273</v>
      </c>
      <c r="F1669" s="13" t="s">
        <v>4273</v>
      </c>
      <c r="G1669" t="s">
        <v>4274</v>
      </c>
      <c r="H1669" t="s">
        <v>4275</v>
      </c>
      <c r="I1669">
        <v>1</v>
      </c>
      <c r="J1669" s="69">
        <v>4</v>
      </c>
      <c r="K1669" s="33">
        <v>2</v>
      </c>
      <c r="L1669" s="8">
        <v>999</v>
      </c>
      <c r="M1669" s="8">
        <v>0</v>
      </c>
      <c r="N1669">
        <v>1021</v>
      </c>
      <c r="O1669" s="249">
        <v>1</v>
      </c>
      <c r="S1669" s="89">
        <v>1</v>
      </c>
      <c r="T1669" s="8">
        <v>5</v>
      </c>
      <c r="U1669" s="89">
        <v>170</v>
      </c>
      <c r="V1669" s="87">
        <v>1</v>
      </c>
      <c r="W1669">
        <v>1</v>
      </c>
      <c r="X1669" s="8">
        <v>1</v>
      </c>
      <c r="Y1669" s="8">
        <v>0</v>
      </c>
      <c r="Z1669" s="33">
        <v>0</v>
      </c>
      <c r="AA1669">
        <v>5</v>
      </c>
      <c r="AB1669" s="34">
        <v>6460</v>
      </c>
      <c r="AC1669" s="87">
        <v>10000</v>
      </c>
      <c r="AE1669" s="62">
        <v>4</v>
      </c>
      <c r="AF1669" s="62">
        <v>1</v>
      </c>
      <c r="AL1669" s="64">
        <v>1</v>
      </c>
      <c r="AN1669" s="93"/>
      <c r="AO1669" s="92"/>
      <c r="AQ1669" s="13" t="s">
        <v>4273</v>
      </c>
      <c r="AS1669">
        <v>1</v>
      </c>
    </row>
    <row r="1670" spans="1:45">
      <c r="A1670">
        <v>712004</v>
      </c>
      <c r="B1670" s="8">
        <v>1001</v>
      </c>
      <c r="C1670" s="8">
        <v>1</v>
      </c>
      <c r="D1670" s="8">
        <v>1001</v>
      </c>
      <c r="E1670" s="13" t="s">
        <v>4276</v>
      </c>
      <c r="F1670" s="13" t="s">
        <v>4276</v>
      </c>
      <c r="G1670" t="s">
        <v>4277</v>
      </c>
      <c r="H1670" t="s">
        <v>4278</v>
      </c>
      <c r="I1670">
        <v>1</v>
      </c>
      <c r="J1670" s="69">
        <v>4</v>
      </c>
      <c r="K1670" s="33">
        <v>2</v>
      </c>
      <c r="L1670" s="128">
        <v>9999</v>
      </c>
      <c r="M1670" s="8">
        <v>0</v>
      </c>
      <c r="N1670">
        <v>1</v>
      </c>
      <c r="O1670" s="249" t="s">
        <v>4279</v>
      </c>
      <c r="S1670" s="89">
        <v>1</v>
      </c>
      <c r="T1670" s="8">
        <v>5</v>
      </c>
      <c r="U1670" s="89">
        <v>170</v>
      </c>
      <c r="V1670" s="87">
        <v>1</v>
      </c>
      <c r="W1670">
        <v>1</v>
      </c>
      <c r="X1670" s="8">
        <v>1</v>
      </c>
      <c r="Y1670" s="8">
        <v>0</v>
      </c>
      <c r="Z1670" s="33">
        <v>0</v>
      </c>
      <c r="AA1670">
        <v>5</v>
      </c>
      <c r="AB1670" s="34">
        <v>6460</v>
      </c>
      <c r="AC1670" s="87">
        <v>10000</v>
      </c>
      <c r="AE1670" s="62">
        <v>4</v>
      </c>
      <c r="AF1670" s="62">
        <v>1</v>
      </c>
      <c r="AL1670" s="64">
        <v>1</v>
      </c>
      <c r="AN1670" s="93"/>
      <c r="AO1670" s="92"/>
      <c r="AQ1670" s="13" t="s">
        <v>4280</v>
      </c>
      <c r="AS1670">
        <v>1</v>
      </c>
    </row>
    <row r="1671" spans="1:45">
      <c r="A1671">
        <v>712005</v>
      </c>
      <c r="B1671" s="8">
        <v>1001</v>
      </c>
      <c r="C1671" s="8">
        <v>1</v>
      </c>
      <c r="D1671" s="8">
        <v>1001</v>
      </c>
      <c r="E1671" s="13" t="s">
        <v>4281</v>
      </c>
      <c r="F1671" s="13" t="s">
        <v>4281</v>
      </c>
      <c r="G1671" t="s">
        <v>4282</v>
      </c>
      <c r="H1671" t="s">
        <v>4283</v>
      </c>
      <c r="I1671">
        <v>1</v>
      </c>
      <c r="J1671" s="69">
        <v>4</v>
      </c>
      <c r="K1671" s="33">
        <v>2</v>
      </c>
      <c r="L1671" s="128">
        <v>9999</v>
      </c>
      <c r="M1671" s="8">
        <v>0</v>
      </c>
      <c r="N1671">
        <v>1</v>
      </c>
      <c r="O1671" s="249" t="s">
        <v>4279</v>
      </c>
      <c r="S1671" s="89">
        <v>1</v>
      </c>
      <c r="T1671" s="8">
        <v>5</v>
      </c>
      <c r="U1671" s="89">
        <v>170</v>
      </c>
      <c r="V1671" s="87">
        <v>1</v>
      </c>
      <c r="W1671">
        <v>1</v>
      </c>
      <c r="X1671" s="8">
        <v>1</v>
      </c>
      <c r="Y1671" s="8">
        <v>0</v>
      </c>
      <c r="Z1671" s="33">
        <v>0</v>
      </c>
      <c r="AA1671">
        <v>5</v>
      </c>
      <c r="AB1671" s="34">
        <v>6460</v>
      </c>
      <c r="AC1671" s="87">
        <v>10000</v>
      </c>
      <c r="AE1671" s="62">
        <v>4</v>
      </c>
      <c r="AF1671" s="62">
        <v>1</v>
      </c>
      <c r="AL1671" s="64">
        <v>1</v>
      </c>
      <c r="AN1671" s="93"/>
      <c r="AO1671" s="92"/>
      <c r="AQ1671" s="13" t="s">
        <v>4284</v>
      </c>
      <c r="AS1671">
        <v>1</v>
      </c>
    </row>
    <row r="1672" spans="1:45">
      <c r="A1672">
        <v>712017</v>
      </c>
      <c r="B1672" s="8">
        <v>1001</v>
      </c>
      <c r="C1672" s="8">
        <v>1</v>
      </c>
      <c r="D1672" s="8">
        <v>1001</v>
      </c>
      <c r="E1672" s="13" t="s">
        <v>4285</v>
      </c>
      <c r="F1672" s="13" t="s">
        <v>4286</v>
      </c>
      <c r="G1672" t="s">
        <v>4287</v>
      </c>
      <c r="H1672" t="s">
        <v>4288</v>
      </c>
      <c r="I1672">
        <v>1</v>
      </c>
      <c r="J1672" s="69">
        <v>4</v>
      </c>
      <c r="K1672" s="33">
        <v>2</v>
      </c>
      <c r="L1672" s="128">
        <v>9999</v>
      </c>
      <c r="M1672" s="8">
        <v>0</v>
      </c>
      <c r="N1672">
        <v>1021</v>
      </c>
      <c r="O1672" s="249">
        <v>1</v>
      </c>
      <c r="S1672" s="89">
        <v>1</v>
      </c>
      <c r="T1672" s="8">
        <v>5</v>
      </c>
      <c r="U1672" s="89">
        <v>170</v>
      </c>
      <c r="V1672" s="87">
        <v>1</v>
      </c>
      <c r="W1672">
        <v>1</v>
      </c>
      <c r="X1672" s="8">
        <v>1</v>
      </c>
      <c r="Y1672" s="8">
        <v>0</v>
      </c>
      <c r="Z1672" s="33">
        <v>0</v>
      </c>
      <c r="AA1672">
        <v>5</v>
      </c>
      <c r="AB1672" s="34">
        <v>6460</v>
      </c>
      <c r="AC1672" s="87">
        <v>10000</v>
      </c>
      <c r="AE1672" s="62">
        <v>4</v>
      </c>
      <c r="AF1672" s="62">
        <v>1</v>
      </c>
      <c r="AL1672" s="64">
        <v>1</v>
      </c>
      <c r="AN1672" s="93"/>
      <c r="AO1672" s="92"/>
      <c r="AQ1672" s="13" t="s">
        <v>4289</v>
      </c>
      <c r="AS1672">
        <v>1</v>
      </c>
    </row>
    <row r="1673" spans="1:45">
      <c r="A1673">
        <v>712018</v>
      </c>
      <c r="B1673" s="8">
        <v>1001</v>
      </c>
      <c r="C1673" s="8">
        <v>1</v>
      </c>
      <c r="D1673" s="8">
        <v>1001</v>
      </c>
      <c r="E1673" s="13" t="s">
        <v>4290</v>
      </c>
      <c r="F1673" s="13" t="s">
        <v>4291</v>
      </c>
      <c r="G1673" t="s">
        <v>4292</v>
      </c>
      <c r="H1673" t="s">
        <v>4293</v>
      </c>
      <c r="I1673">
        <v>1</v>
      </c>
      <c r="J1673" s="69">
        <v>4</v>
      </c>
      <c r="K1673" s="33">
        <v>2</v>
      </c>
      <c r="L1673" s="8">
        <v>999</v>
      </c>
      <c r="M1673" s="8">
        <v>0</v>
      </c>
      <c r="O1673" s="249"/>
      <c r="R1673" s="89"/>
      <c r="S1673" s="89">
        <v>1</v>
      </c>
      <c r="T1673" s="8">
        <v>5</v>
      </c>
      <c r="U1673" s="89">
        <v>170</v>
      </c>
      <c r="V1673" s="248">
        <v>1</v>
      </c>
      <c r="W1673" s="238">
        <v>1</v>
      </c>
      <c r="X1673" s="8">
        <v>1</v>
      </c>
      <c r="Y1673" s="236">
        <v>0</v>
      </c>
      <c r="Z1673" s="33">
        <v>0</v>
      </c>
      <c r="AA1673">
        <v>5</v>
      </c>
      <c r="AB1673" s="340">
        <v>6460</v>
      </c>
      <c r="AC1673" s="248">
        <v>10000</v>
      </c>
      <c r="AE1673" s="62">
        <v>4</v>
      </c>
      <c r="AF1673" s="62">
        <v>1</v>
      </c>
      <c r="AJ1673" s="64"/>
      <c r="AK1673" s="64"/>
      <c r="AL1673" s="64">
        <v>1</v>
      </c>
      <c r="AN1673" s="93"/>
      <c r="AO1673" s="92"/>
      <c r="AQ1673" s="13" t="s">
        <v>4294</v>
      </c>
      <c r="AS1673">
        <v>1</v>
      </c>
    </row>
    <row r="1674" spans="1:45">
      <c r="A1674">
        <v>712019</v>
      </c>
      <c r="B1674" s="8">
        <v>1001</v>
      </c>
      <c r="C1674" s="8">
        <v>1</v>
      </c>
      <c r="D1674" s="8">
        <v>1001</v>
      </c>
      <c r="E1674" s="13" t="s">
        <v>4295</v>
      </c>
      <c r="F1674" s="13" t="s">
        <v>4296</v>
      </c>
      <c r="G1674" t="s">
        <v>4292</v>
      </c>
      <c r="H1674" t="s">
        <v>4293</v>
      </c>
      <c r="I1674">
        <v>1</v>
      </c>
      <c r="J1674">
        <v>4</v>
      </c>
      <c r="K1674" s="33">
        <v>2</v>
      </c>
      <c r="L1674" s="8">
        <v>999</v>
      </c>
      <c r="M1674" s="8">
        <v>0</v>
      </c>
      <c r="O1674" s="249"/>
      <c r="R1674" s="336">
        <v>1</v>
      </c>
      <c r="S1674" s="8">
        <v>5</v>
      </c>
      <c r="T1674" s="89">
        <v>170</v>
      </c>
      <c r="U1674" s="87">
        <v>1</v>
      </c>
      <c r="V1674" s="254">
        <v>1</v>
      </c>
      <c r="W1674" s="236">
        <v>1</v>
      </c>
      <c r="X1674" s="8">
        <v>0</v>
      </c>
      <c r="Y1674" s="254">
        <v>0</v>
      </c>
      <c r="Z1674" s="33">
        <v>5</v>
      </c>
      <c r="AA1674" s="34">
        <v>6460</v>
      </c>
      <c r="AB1674" s="248">
        <v>10000</v>
      </c>
      <c r="AC1674" s="255"/>
      <c r="AD1674" s="62">
        <v>4</v>
      </c>
      <c r="AE1674" s="62">
        <v>1</v>
      </c>
      <c r="AF1674" s="63"/>
      <c r="AJ1674" s="64"/>
      <c r="AK1674" s="64"/>
      <c r="AL1674" s="64">
        <v>1</v>
      </c>
      <c r="AN1674" s="93"/>
      <c r="AO1674" s="92"/>
      <c r="AQ1674" s="13" t="s">
        <v>4294</v>
      </c>
      <c r="AS1674">
        <v>1</v>
      </c>
    </row>
    <row r="1675" spans="1:45">
      <c r="A1675">
        <v>713001</v>
      </c>
      <c r="B1675" s="8">
        <v>1001</v>
      </c>
      <c r="C1675" s="8">
        <v>1</v>
      </c>
      <c r="D1675" s="8">
        <v>1001</v>
      </c>
      <c r="E1675" s="13" t="s">
        <v>4297</v>
      </c>
      <c r="F1675" s="13" t="s">
        <v>4298</v>
      </c>
      <c r="G1675" t="s">
        <v>4299</v>
      </c>
      <c r="H1675" t="s">
        <v>4300</v>
      </c>
      <c r="I1675">
        <v>1</v>
      </c>
      <c r="J1675" s="69">
        <v>4</v>
      </c>
      <c r="K1675" s="33">
        <v>1</v>
      </c>
      <c r="L1675" s="8">
        <v>999</v>
      </c>
      <c r="M1675" s="8">
        <v>0</v>
      </c>
      <c r="O1675" s="249"/>
      <c r="S1675" s="89">
        <v>1</v>
      </c>
      <c r="T1675" s="8">
        <v>5</v>
      </c>
      <c r="U1675" s="89">
        <v>170</v>
      </c>
      <c r="V1675" s="87">
        <v>1</v>
      </c>
      <c r="W1675">
        <v>1</v>
      </c>
      <c r="X1675" s="8">
        <v>1</v>
      </c>
      <c r="Y1675" s="8">
        <v>0</v>
      </c>
      <c r="Z1675" s="33">
        <v>0</v>
      </c>
      <c r="AA1675">
        <v>5</v>
      </c>
      <c r="AB1675" s="34">
        <v>6460</v>
      </c>
      <c r="AC1675" s="87">
        <v>10000</v>
      </c>
      <c r="AL1675" s="64">
        <v>1</v>
      </c>
      <c r="AN1675" s="93"/>
      <c r="AO1675" s="92"/>
      <c r="AQ1675" s="13" t="s">
        <v>4297</v>
      </c>
      <c r="AS1675">
        <v>1</v>
      </c>
    </row>
    <row r="1676" spans="1:45">
      <c r="A1676">
        <v>713002</v>
      </c>
      <c r="B1676" s="8">
        <v>1001</v>
      </c>
      <c r="C1676" s="8">
        <v>1</v>
      </c>
      <c r="D1676" s="8">
        <v>1001</v>
      </c>
      <c r="E1676" s="13" t="s">
        <v>4301</v>
      </c>
      <c r="F1676" s="13" t="s">
        <v>4302</v>
      </c>
      <c r="G1676" t="s">
        <v>4303</v>
      </c>
      <c r="H1676" t="s">
        <v>4300</v>
      </c>
      <c r="I1676">
        <v>1</v>
      </c>
      <c r="J1676" s="69">
        <v>4</v>
      </c>
      <c r="K1676" s="33">
        <v>1</v>
      </c>
      <c r="L1676" s="8">
        <v>999</v>
      </c>
      <c r="M1676" s="8">
        <v>0</v>
      </c>
      <c r="O1676" s="249"/>
      <c r="S1676" s="89">
        <v>1</v>
      </c>
      <c r="T1676" s="8">
        <v>5</v>
      </c>
      <c r="U1676" s="89">
        <v>170</v>
      </c>
      <c r="V1676" s="87">
        <v>1</v>
      </c>
      <c r="W1676">
        <v>1</v>
      </c>
      <c r="X1676" s="8">
        <v>1</v>
      </c>
      <c r="Y1676" s="8">
        <v>0</v>
      </c>
      <c r="Z1676" s="33">
        <v>0</v>
      </c>
      <c r="AA1676">
        <v>5</v>
      </c>
      <c r="AB1676" s="34">
        <v>6460</v>
      </c>
      <c r="AC1676" s="87">
        <v>10000</v>
      </c>
      <c r="AL1676" s="64">
        <v>1</v>
      </c>
      <c r="AN1676" s="93"/>
      <c r="AO1676" s="92"/>
      <c r="AQ1676" s="13" t="s">
        <v>4301</v>
      </c>
      <c r="AS1676">
        <v>1</v>
      </c>
    </row>
    <row r="1677" spans="1:45">
      <c r="A1677">
        <v>713003</v>
      </c>
      <c r="B1677" s="8">
        <v>1001</v>
      </c>
      <c r="C1677" s="8">
        <v>1</v>
      </c>
      <c r="D1677" s="8">
        <v>1001</v>
      </c>
      <c r="E1677" s="13" t="s">
        <v>4304</v>
      </c>
      <c r="F1677" s="13" t="s">
        <v>4305</v>
      </c>
      <c r="G1677" t="s">
        <v>4306</v>
      </c>
      <c r="H1677" t="s">
        <v>4300</v>
      </c>
      <c r="I1677">
        <v>1</v>
      </c>
      <c r="J1677" s="69">
        <v>4</v>
      </c>
      <c r="K1677" s="33">
        <v>1</v>
      </c>
      <c r="L1677" s="8">
        <v>999</v>
      </c>
      <c r="M1677" s="8">
        <v>0</v>
      </c>
      <c r="O1677" s="249"/>
      <c r="S1677" s="89">
        <v>1</v>
      </c>
      <c r="T1677" s="8">
        <v>5</v>
      </c>
      <c r="U1677" s="89">
        <v>170</v>
      </c>
      <c r="V1677" s="87">
        <v>1</v>
      </c>
      <c r="W1677">
        <v>1</v>
      </c>
      <c r="X1677" s="8">
        <v>1</v>
      </c>
      <c r="Y1677" s="8">
        <v>0</v>
      </c>
      <c r="Z1677" s="33">
        <v>0</v>
      </c>
      <c r="AA1677">
        <v>5</v>
      </c>
      <c r="AB1677" s="34">
        <v>6460</v>
      </c>
      <c r="AC1677" s="87">
        <v>10000</v>
      </c>
      <c r="AL1677" s="64">
        <v>1</v>
      </c>
      <c r="AN1677" s="93"/>
      <c r="AO1677" s="92"/>
      <c r="AQ1677" s="13" t="s">
        <v>4304</v>
      </c>
      <c r="AS1677">
        <v>1</v>
      </c>
    </row>
    <row r="1678" spans="1:45">
      <c r="A1678">
        <v>713004</v>
      </c>
      <c r="B1678" s="8">
        <v>1001</v>
      </c>
      <c r="C1678" s="8">
        <v>1</v>
      </c>
      <c r="D1678" s="8">
        <v>1001</v>
      </c>
      <c r="E1678" s="13" t="s">
        <v>4307</v>
      </c>
      <c r="F1678" s="13" t="s">
        <v>4308</v>
      </c>
      <c r="G1678" t="s">
        <v>4309</v>
      </c>
      <c r="H1678" t="s">
        <v>4300</v>
      </c>
      <c r="I1678">
        <v>1</v>
      </c>
      <c r="J1678" s="69">
        <v>4</v>
      </c>
      <c r="K1678" s="33">
        <v>1</v>
      </c>
      <c r="L1678" s="8">
        <v>999</v>
      </c>
      <c r="M1678" s="8">
        <v>0</v>
      </c>
      <c r="O1678" s="249"/>
      <c r="S1678" s="89">
        <v>1</v>
      </c>
      <c r="T1678" s="8">
        <v>5</v>
      </c>
      <c r="U1678" s="89">
        <v>170</v>
      </c>
      <c r="V1678" s="87">
        <v>1</v>
      </c>
      <c r="W1678">
        <v>1</v>
      </c>
      <c r="X1678" s="8">
        <v>1</v>
      </c>
      <c r="Y1678" s="8">
        <v>0</v>
      </c>
      <c r="Z1678" s="33">
        <v>0</v>
      </c>
      <c r="AA1678">
        <v>5</v>
      </c>
      <c r="AB1678" s="34">
        <v>6460</v>
      </c>
      <c r="AC1678" s="87">
        <v>10000</v>
      </c>
      <c r="AL1678" s="64">
        <v>1</v>
      </c>
      <c r="AN1678" s="93"/>
      <c r="AO1678" s="92"/>
      <c r="AQ1678" s="13" t="s">
        <v>4307</v>
      </c>
      <c r="AS1678">
        <v>1</v>
      </c>
    </row>
    <row r="1679" spans="1:45">
      <c r="A1679">
        <v>713005</v>
      </c>
      <c r="B1679" s="8">
        <v>1001</v>
      </c>
      <c r="C1679" s="8">
        <v>1</v>
      </c>
      <c r="D1679" s="8">
        <v>1001</v>
      </c>
      <c r="E1679" s="13" t="s">
        <v>4310</v>
      </c>
      <c r="F1679" s="13" t="s">
        <v>4311</v>
      </c>
      <c r="G1679" t="s">
        <v>4312</v>
      </c>
      <c r="H1679" t="s">
        <v>4300</v>
      </c>
      <c r="I1679">
        <v>1</v>
      </c>
      <c r="J1679" s="69">
        <v>4</v>
      </c>
      <c r="K1679" s="33">
        <v>1</v>
      </c>
      <c r="L1679" s="8">
        <v>999</v>
      </c>
      <c r="M1679" s="8">
        <v>0</v>
      </c>
      <c r="O1679" s="249"/>
      <c r="S1679" s="89">
        <v>1</v>
      </c>
      <c r="T1679" s="8">
        <v>5</v>
      </c>
      <c r="U1679" s="89">
        <v>170</v>
      </c>
      <c r="V1679" s="87">
        <v>1</v>
      </c>
      <c r="W1679">
        <v>1</v>
      </c>
      <c r="X1679" s="8">
        <v>1</v>
      </c>
      <c r="Y1679" s="8">
        <v>0</v>
      </c>
      <c r="Z1679" s="33">
        <v>0</v>
      </c>
      <c r="AA1679">
        <v>5</v>
      </c>
      <c r="AB1679" s="34">
        <v>6460</v>
      </c>
      <c r="AC1679" s="87">
        <v>10000</v>
      </c>
      <c r="AL1679" s="64">
        <v>1</v>
      </c>
      <c r="AN1679" s="93"/>
      <c r="AO1679" s="92"/>
      <c r="AQ1679" s="13" t="s">
        <v>4310</v>
      </c>
      <c r="AS1679">
        <v>1</v>
      </c>
    </row>
    <row r="1680" spans="1:45">
      <c r="A1680">
        <v>713006</v>
      </c>
      <c r="B1680" s="8">
        <v>1001</v>
      </c>
      <c r="C1680" s="8">
        <v>1</v>
      </c>
      <c r="D1680" s="8">
        <v>1001</v>
      </c>
      <c r="E1680" s="13" t="s">
        <v>4313</v>
      </c>
      <c r="F1680" s="13" t="s">
        <v>4314</v>
      </c>
      <c r="G1680" t="s">
        <v>4315</v>
      </c>
      <c r="H1680" t="s">
        <v>4300</v>
      </c>
      <c r="I1680">
        <v>1</v>
      </c>
      <c r="J1680" s="69">
        <v>4</v>
      </c>
      <c r="K1680" s="33">
        <v>1</v>
      </c>
      <c r="L1680" s="8">
        <v>999</v>
      </c>
      <c r="M1680" s="8">
        <v>0</v>
      </c>
      <c r="O1680" s="249"/>
      <c r="S1680" s="89">
        <v>1</v>
      </c>
      <c r="T1680" s="8">
        <v>5</v>
      </c>
      <c r="U1680" s="89">
        <v>170</v>
      </c>
      <c r="V1680" s="87">
        <v>1</v>
      </c>
      <c r="W1680">
        <v>1</v>
      </c>
      <c r="X1680" s="8">
        <v>1</v>
      </c>
      <c r="Y1680" s="8">
        <v>0</v>
      </c>
      <c r="Z1680" s="33">
        <v>0</v>
      </c>
      <c r="AA1680">
        <v>5</v>
      </c>
      <c r="AB1680" s="34">
        <v>6460</v>
      </c>
      <c r="AC1680" s="87">
        <v>10000</v>
      </c>
      <c r="AL1680" s="64">
        <v>1</v>
      </c>
      <c r="AN1680" s="93"/>
      <c r="AO1680" s="92"/>
      <c r="AQ1680" s="13" t="s">
        <v>4313</v>
      </c>
      <c r="AS1680">
        <v>1</v>
      </c>
    </row>
    <row r="1681" spans="1:45">
      <c r="A1681">
        <v>713007</v>
      </c>
      <c r="B1681" s="8">
        <v>1001</v>
      </c>
      <c r="C1681" s="8">
        <v>1</v>
      </c>
      <c r="D1681" s="8">
        <v>1001</v>
      </c>
      <c r="E1681" s="13" t="s">
        <v>4316</v>
      </c>
      <c r="F1681" s="13" t="s">
        <v>4317</v>
      </c>
      <c r="G1681" t="s">
        <v>4318</v>
      </c>
      <c r="H1681" t="s">
        <v>4300</v>
      </c>
      <c r="I1681">
        <v>1</v>
      </c>
      <c r="J1681" s="69">
        <v>4</v>
      </c>
      <c r="K1681" s="33">
        <v>1</v>
      </c>
      <c r="L1681" s="8">
        <v>999</v>
      </c>
      <c r="M1681" s="8">
        <v>0</v>
      </c>
      <c r="O1681" s="249"/>
      <c r="S1681" s="89">
        <v>1</v>
      </c>
      <c r="T1681" s="8">
        <v>5</v>
      </c>
      <c r="U1681" s="89">
        <v>170</v>
      </c>
      <c r="V1681" s="87">
        <v>1</v>
      </c>
      <c r="W1681">
        <v>1</v>
      </c>
      <c r="X1681" s="8">
        <v>1</v>
      </c>
      <c r="Y1681" s="8">
        <v>0</v>
      </c>
      <c r="Z1681" s="33">
        <v>0</v>
      </c>
      <c r="AA1681">
        <v>5</v>
      </c>
      <c r="AB1681" s="34">
        <v>6460</v>
      </c>
      <c r="AC1681" s="87">
        <v>10000</v>
      </c>
      <c r="AL1681" s="64">
        <v>1</v>
      </c>
      <c r="AN1681" s="93"/>
      <c r="AO1681" s="92"/>
      <c r="AQ1681" s="13" t="s">
        <v>4316</v>
      </c>
      <c r="AS1681">
        <v>1</v>
      </c>
    </row>
    <row r="1682" spans="1:45">
      <c r="A1682">
        <v>713008</v>
      </c>
      <c r="B1682" s="8">
        <v>1001</v>
      </c>
      <c r="C1682" s="8">
        <v>1</v>
      </c>
      <c r="D1682" s="8">
        <v>1001</v>
      </c>
      <c r="E1682" s="13" t="s">
        <v>4319</v>
      </c>
      <c r="F1682" s="13" t="s">
        <v>4320</v>
      </c>
      <c r="G1682" t="s">
        <v>4321</v>
      </c>
      <c r="H1682" t="s">
        <v>4300</v>
      </c>
      <c r="I1682">
        <v>1</v>
      </c>
      <c r="J1682" s="69">
        <v>4</v>
      </c>
      <c r="K1682" s="33">
        <v>1</v>
      </c>
      <c r="L1682" s="8">
        <v>999</v>
      </c>
      <c r="M1682" s="8">
        <v>0</v>
      </c>
      <c r="O1682" s="249"/>
      <c r="S1682" s="89">
        <v>1</v>
      </c>
      <c r="T1682" s="8">
        <v>5</v>
      </c>
      <c r="U1682" s="89">
        <v>170</v>
      </c>
      <c r="V1682" s="87">
        <v>1</v>
      </c>
      <c r="W1682">
        <v>1</v>
      </c>
      <c r="X1682" s="8">
        <v>1</v>
      </c>
      <c r="Y1682" s="8">
        <v>0</v>
      </c>
      <c r="Z1682" s="33">
        <v>0</v>
      </c>
      <c r="AA1682">
        <v>5</v>
      </c>
      <c r="AB1682" s="34">
        <v>6460</v>
      </c>
      <c r="AC1682" s="87">
        <v>10000</v>
      </c>
      <c r="AL1682" s="64">
        <v>1</v>
      </c>
      <c r="AN1682" s="93"/>
      <c r="AO1682" s="92"/>
      <c r="AQ1682" s="13" t="s">
        <v>4319</v>
      </c>
      <c r="AS1682">
        <v>1</v>
      </c>
    </row>
    <row r="1683" spans="1:45">
      <c r="A1683">
        <v>713009</v>
      </c>
      <c r="B1683" s="8">
        <v>1001</v>
      </c>
      <c r="C1683" s="8">
        <v>1</v>
      </c>
      <c r="D1683" s="8">
        <v>1001</v>
      </c>
      <c r="E1683" s="13" t="s">
        <v>4322</v>
      </c>
      <c r="F1683" s="13" t="s">
        <v>4323</v>
      </c>
      <c r="G1683" t="s">
        <v>4324</v>
      </c>
      <c r="H1683" t="s">
        <v>4300</v>
      </c>
      <c r="I1683">
        <v>1</v>
      </c>
      <c r="J1683" s="69">
        <v>4</v>
      </c>
      <c r="K1683" s="33">
        <v>1</v>
      </c>
      <c r="L1683" s="8">
        <v>999</v>
      </c>
      <c r="M1683" s="8">
        <v>0</v>
      </c>
      <c r="O1683" s="249"/>
      <c r="S1683" s="89">
        <v>1</v>
      </c>
      <c r="T1683" s="8">
        <v>5</v>
      </c>
      <c r="U1683" s="89">
        <v>170</v>
      </c>
      <c r="V1683" s="87">
        <v>1</v>
      </c>
      <c r="W1683">
        <v>1</v>
      </c>
      <c r="X1683" s="8">
        <v>1</v>
      </c>
      <c r="Y1683" s="8">
        <v>0</v>
      </c>
      <c r="Z1683" s="33">
        <v>0</v>
      </c>
      <c r="AA1683">
        <v>5</v>
      </c>
      <c r="AB1683" s="34">
        <v>6460</v>
      </c>
      <c r="AC1683" s="87">
        <v>10000</v>
      </c>
      <c r="AL1683" s="64">
        <v>1</v>
      </c>
      <c r="AN1683" s="93"/>
      <c r="AO1683" s="92"/>
      <c r="AQ1683" s="13" t="s">
        <v>4322</v>
      </c>
      <c r="AS1683">
        <v>1</v>
      </c>
    </row>
    <row r="1684" spans="1:45">
      <c r="A1684">
        <v>713010</v>
      </c>
      <c r="B1684" s="8">
        <v>1001</v>
      </c>
      <c r="C1684" s="8">
        <v>1</v>
      </c>
      <c r="D1684" s="8">
        <v>1001</v>
      </c>
      <c r="E1684" s="13" t="s">
        <v>4325</v>
      </c>
      <c r="F1684" s="13" t="s">
        <v>4326</v>
      </c>
      <c r="G1684" t="s">
        <v>4327</v>
      </c>
      <c r="H1684" t="s">
        <v>4300</v>
      </c>
      <c r="I1684">
        <v>1</v>
      </c>
      <c r="J1684" s="69">
        <v>4</v>
      </c>
      <c r="K1684" s="33">
        <v>1</v>
      </c>
      <c r="L1684" s="8">
        <v>999</v>
      </c>
      <c r="M1684" s="8">
        <v>0</v>
      </c>
      <c r="O1684" s="249"/>
      <c r="S1684" s="89">
        <v>1</v>
      </c>
      <c r="T1684" s="8">
        <v>5</v>
      </c>
      <c r="U1684" s="89">
        <v>170</v>
      </c>
      <c r="V1684" s="87">
        <v>1</v>
      </c>
      <c r="W1684">
        <v>1</v>
      </c>
      <c r="X1684" s="8">
        <v>1</v>
      </c>
      <c r="Y1684" s="8">
        <v>0</v>
      </c>
      <c r="Z1684" s="33">
        <v>0</v>
      </c>
      <c r="AA1684">
        <v>5</v>
      </c>
      <c r="AB1684" s="34">
        <v>6460</v>
      </c>
      <c r="AC1684" s="87">
        <v>10000</v>
      </c>
      <c r="AL1684" s="64">
        <v>1</v>
      </c>
      <c r="AN1684" s="93"/>
      <c r="AO1684" s="92"/>
      <c r="AQ1684" s="13" t="s">
        <v>4325</v>
      </c>
      <c r="AS1684">
        <v>1</v>
      </c>
    </row>
    <row r="1685" spans="1:45">
      <c r="A1685">
        <v>713011</v>
      </c>
      <c r="B1685" s="8">
        <v>1001</v>
      </c>
      <c r="C1685" s="8">
        <v>1</v>
      </c>
      <c r="D1685" s="8">
        <v>1001</v>
      </c>
      <c r="E1685" s="13" t="s">
        <v>4328</v>
      </c>
      <c r="F1685" s="13" t="s">
        <v>4329</v>
      </c>
      <c r="G1685" t="s">
        <v>4330</v>
      </c>
      <c r="H1685" t="s">
        <v>4300</v>
      </c>
      <c r="I1685">
        <v>1</v>
      </c>
      <c r="J1685" s="69">
        <v>4</v>
      </c>
      <c r="K1685" s="33">
        <v>1</v>
      </c>
      <c r="L1685" s="8">
        <v>999</v>
      </c>
      <c r="M1685" s="8">
        <v>0</v>
      </c>
      <c r="O1685" s="249"/>
      <c r="S1685" s="89">
        <v>1</v>
      </c>
      <c r="T1685" s="8">
        <v>5</v>
      </c>
      <c r="U1685" s="89">
        <v>170</v>
      </c>
      <c r="V1685" s="87">
        <v>1</v>
      </c>
      <c r="W1685">
        <v>1</v>
      </c>
      <c r="X1685" s="8">
        <v>1</v>
      </c>
      <c r="Y1685" s="8">
        <v>0</v>
      </c>
      <c r="Z1685" s="33">
        <v>0</v>
      </c>
      <c r="AA1685">
        <v>5</v>
      </c>
      <c r="AB1685" s="34">
        <v>6460</v>
      </c>
      <c r="AC1685" s="87">
        <v>10000</v>
      </c>
      <c r="AL1685" s="64">
        <v>1</v>
      </c>
      <c r="AN1685" s="93"/>
      <c r="AO1685" s="92"/>
      <c r="AQ1685" s="13" t="s">
        <v>4328</v>
      </c>
      <c r="AS1685">
        <v>1</v>
      </c>
    </row>
    <row r="1686" spans="1:45">
      <c r="A1686">
        <v>713012</v>
      </c>
      <c r="B1686" s="8">
        <v>1001</v>
      </c>
      <c r="C1686" s="8">
        <v>1</v>
      </c>
      <c r="D1686" s="8">
        <v>1001</v>
      </c>
      <c r="E1686" s="253" t="s">
        <v>4331</v>
      </c>
      <c r="F1686" s="253" t="s">
        <v>4332</v>
      </c>
      <c r="G1686" t="s">
        <v>4333</v>
      </c>
      <c r="H1686" t="s">
        <v>4300</v>
      </c>
      <c r="I1686">
        <v>1</v>
      </c>
      <c r="J1686" s="69">
        <v>4</v>
      </c>
      <c r="K1686" s="33">
        <v>1</v>
      </c>
      <c r="L1686" s="8">
        <v>999</v>
      </c>
      <c r="M1686" s="8">
        <v>0</v>
      </c>
      <c r="O1686" s="249"/>
      <c r="S1686" s="89">
        <v>1</v>
      </c>
      <c r="T1686" s="8">
        <v>5</v>
      </c>
      <c r="U1686" s="89">
        <v>170</v>
      </c>
      <c r="V1686" s="87">
        <v>1</v>
      </c>
      <c r="W1686">
        <v>1</v>
      </c>
      <c r="X1686" s="8">
        <v>1</v>
      </c>
      <c r="Y1686" s="8">
        <v>0</v>
      </c>
      <c r="Z1686" s="33">
        <v>0</v>
      </c>
      <c r="AA1686">
        <v>5</v>
      </c>
      <c r="AB1686" s="340">
        <v>6460</v>
      </c>
      <c r="AC1686" s="87">
        <v>10000</v>
      </c>
      <c r="AL1686" s="64">
        <v>1</v>
      </c>
      <c r="AN1686" s="93"/>
      <c r="AO1686" s="92"/>
      <c r="AQ1686" s="253"/>
      <c r="AS1686">
        <v>1</v>
      </c>
    </row>
    <row r="1687" spans="1:45">
      <c r="A1687">
        <v>713013</v>
      </c>
      <c r="B1687" s="8">
        <v>1001</v>
      </c>
      <c r="C1687" s="8">
        <v>1</v>
      </c>
      <c r="D1687" s="8">
        <v>1001</v>
      </c>
      <c r="E1687" t="s">
        <v>4334</v>
      </c>
      <c r="F1687" t="s">
        <v>4335</v>
      </c>
      <c r="G1687" t="s">
        <v>4336</v>
      </c>
      <c r="H1687" t="s">
        <v>4337</v>
      </c>
      <c r="I1687">
        <v>1</v>
      </c>
      <c r="J1687" s="69">
        <v>4</v>
      </c>
      <c r="K1687" s="33">
        <v>2</v>
      </c>
      <c r="L1687" s="8">
        <v>999</v>
      </c>
      <c r="M1687" s="8">
        <v>0</v>
      </c>
      <c r="O1687" s="249"/>
      <c r="S1687" s="89">
        <v>1</v>
      </c>
      <c r="T1687" s="8">
        <v>3</v>
      </c>
      <c r="U1687" s="89">
        <v>200</v>
      </c>
      <c r="V1687" s="87">
        <v>1</v>
      </c>
      <c r="W1687">
        <v>1</v>
      </c>
      <c r="X1687" s="8">
        <v>1</v>
      </c>
      <c r="Y1687" s="8">
        <v>0</v>
      </c>
      <c r="Z1687" s="33">
        <v>0</v>
      </c>
      <c r="AA1687">
        <v>3</v>
      </c>
      <c r="AB1687" s="89">
        <v>6460</v>
      </c>
      <c r="AC1687" s="87">
        <v>10000</v>
      </c>
      <c r="AE1687" s="62">
        <v>6</v>
      </c>
      <c r="AL1687" s="64">
        <v>1</v>
      </c>
      <c r="AN1687" s="93"/>
      <c r="AO1687" s="92"/>
      <c r="AQ1687" t="s">
        <v>4338</v>
      </c>
      <c r="AS1687">
        <v>1</v>
      </c>
    </row>
    <row r="1688" spans="1:45">
      <c r="A1688">
        <v>713014</v>
      </c>
      <c r="B1688" s="8">
        <v>1001</v>
      </c>
      <c r="C1688" s="8">
        <v>1</v>
      </c>
      <c r="D1688" s="8">
        <v>1001</v>
      </c>
      <c r="E1688" t="s">
        <v>4339</v>
      </c>
      <c r="F1688" t="s">
        <v>4340</v>
      </c>
      <c r="G1688" t="s">
        <v>4341</v>
      </c>
      <c r="H1688" t="s">
        <v>4342</v>
      </c>
      <c r="I1688">
        <v>1</v>
      </c>
      <c r="J1688" s="69">
        <v>4</v>
      </c>
      <c r="K1688" s="33">
        <v>2</v>
      </c>
      <c r="L1688" s="8">
        <v>999</v>
      </c>
      <c r="M1688" s="8">
        <v>0</v>
      </c>
      <c r="O1688" s="249"/>
      <c r="S1688" s="89">
        <v>1</v>
      </c>
      <c r="T1688" s="8">
        <v>3</v>
      </c>
      <c r="U1688" s="89">
        <v>200</v>
      </c>
      <c r="V1688" s="87">
        <v>1</v>
      </c>
      <c r="W1688">
        <v>1</v>
      </c>
      <c r="X1688" s="8">
        <v>1</v>
      </c>
      <c r="Y1688" s="8">
        <v>0</v>
      </c>
      <c r="Z1688" s="33">
        <v>0</v>
      </c>
      <c r="AA1688">
        <v>3</v>
      </c>
      <c r="AB1688" s="89">
        <v>6460</v>
      </c>
      <c r="AC1688" s="87">
        <v>10000</v>
      </c>
      <c r="AE1688" s="62">
        <v>6</v>
      </c>
      <c r="AL1688" s="64">
        <v>1</v>
      </c>
      <c r="AN1688" s="93"/>
      <c r="AO1688" s="92"/>
      <c r="AQ1688" t="s">
        <v>4343</v>
      </c>
      <c r="AS1688">
        <v>1</v>
      </c>
    </row>
    <row r="1689" spans="1:45">
      <c r="A1689">
        <v>713015</v>
      </c>
      <c r="B1689" s="8">
        <v>1001</v>
      </c>
      <c r="C1689" s="8">
        <v>1</v>
      </c>
      <c r="D1689" s="8">
        <v>1001</v>
      </c>
      <c r="E1689" t="s">
        <v>4344</v>
      </c>
      <c r="F1689" t="s">
        <v>4345</v>
      </c>
      <c r="G1689" t="s">
        <v>4346</v>
      </c>
      <c r="H1689" t="s">
        <v>4347</v>
      </c>
      <c r="I1689">
        <v>1</v>
      </c>
      <c r="J1689" s="69">
        <v>4</v>
      </c>
      <c r="K1689" s="33">
        <v>2</v>
      </c>
      <c r="L1689" s="8">
        <v>999</v>
      </c>
      <c r="M1689" s="8">
        <v>0</v>
      </c>
      <c r="O1689" s="249"/>
      <c r="S1689" s="89">
        <v>1</v>
      </c>
      <c r="T1689" s="8">
        <v>3</v>
      </c>
      <c r="U1689" s="89">
        <v>150</v>
      </c>
      <c r="V1689" s="87">
        <v>1</v>
      </c>
      <c r="W1689">
        <v>1</v>
      </c>
      <c r="X1689" s="8">
        <v>1</v>
      </c>
      <c r="Y1689" s="8">
        <v>0</v>
      </c>
      <c r="Z1689" s="33">
        <v>0</v>
      </c>
      <c r="AA1689">
        <v>3</v>
      </c>
      <c r="AB1689" s="89">
        <v>6460</v>
      </c>
      <c r="AC1689" s="87">
        <v>10000</v>
      </c>
      <c r="AE1689" s="62">
        <v>6</v>
      </c>
      <c r="AL1689" s="64">
        <v>1</v>
      </c>
      <c r="AN1689" s="93"/>
      <c r="AO1689" s="92"/>
      <c r="AQ1689" t="s">
        <v>4348</v>
      </c>
      <c r="AS1689">
        <v>1</v>
      </c>
    </row>
    <row r="1690" spans="1:45">
      <c r="A1690">
        <v>713016</v>
      </c>
      <c r="B1690" s="8">
        <v>1001</v>
      </c>
      <c r="C1690" s="8">
        <v>1</v>
      </c>
      <c r="D1690" s="8">
        <v>1001</v>
      </c>
      <c r="E1690" t="s">
        <v>4349</v>
      </c>
      <c r="F1690" t="s">
        <v>4350</v>
      </c>
      <c r="G1690" t="s">
        <v>4351</v>
      </c>
      <c r="H1690" t="s">
        <v>4352</v>
      </c>
      <c r="I1690">
        <v>1</v>
      </c>
      <c r="J1690" s="69">
        <v>4</v>
      </c>
      <c r="K1690" s="33">
        <v>2</v>
      </c>
      <c r="L1690" s="8">
        <v>999</v>
      </c>
      <c r="M1690" s="8">
        <v>0</v>
      </c>
      <c r="O1690" s="249"/>
      <c r="S1690" s="89">
        <v>1</v>
      </c>
      <c r="T1690" s="8">
        <v>3</v>
      </c>
      <c r="U1690" s="89">
        <v>200</v>
      </c>
      <c r="V1690" s="87">
        <v>1</v>
      </c>
      <c r="W1690">
        <v>1</v>
      </c>
      <c r="X1690" s="8">
        <v>1</v>
      </c>
      <c r="Y1690" s="8">
        <v>0</v>
      </c>
      <c r="Z1690" s="33">
        <v>0</v>
      </c>
      <c r="AA1690">
        <v>3</v>
      </c>
      <c r="AB1690" s="89">
        <v>6460</v>
      </c>
      <c r="AC1690" s="87">
        <v>10000</v>
      </c>
      <c r="AE1690" s="62">
        <v>6</v>
      </c>
      <c r="AL1690" s="64">
        <v>1</v>
      </c>
      <c r="AN1690" s="93"/>
      <c r="AO1690" s="92"/>
      <c r="AQ1690" t="s">
        <v>4353</v>
      </c>
      <c r="AS1690">
        <v>1</v>
      </c>
    </row>
    <row r="1691" spans="1:45">
      <c r="A1691">
        <v>713017</v>
      </c>
      <c r="B1691" s="8">
        <v>1001</v>
      </c>
      <c r="C1691" s="8">
        <v>1</v>
      </c>
      <c r="D1691" s="8">
        <v>1001</v>
      </c>
      <c r="E1691" t="s">
        <v>4354</v>
      </c>
      <c r="F1691" t="s">
        <v>4355</v>
      </c>
      <c r="G1691" t="s">
        <v>4356</v>
      </c>
      <c r="H1691" t="s">
        <v>4357</v>
      </c>
      <c r="I1691">
        <v>1</v>
      </c>
      <c r="J1691" s="69">
        <v>4</v>
      </c>
      <c r="K1691" s="33">
        <v>2</v>
      </c>
      <c r="L1691" s="8">
        <v>999</v>
      </c>
      <c r="M1691" s="8">
        <v>0</v>
      </c>
      <c r="O1691" s="249"/>
      <c r="S1691" s="89">
        <v>1</v>
      </c>
      <c r="T1691" s="8">
        <v>3</v>
      </c>
      <c r="U1691" s="89">
        <v>700</v>
      </c>
      <c r="V1691" s="87">
        <v>1</v>
      </c>
      <c r="W1691">
        <v>1</v>
      </c>
      <c r="X1691" s="8">
        <v>1</v>
      </c>
      <c r="Y1691" s="8">
        <v>0</v>
      </c>
      <c r="Z1691" s="33">
        <v>0</v>
      </c>
      <c r="AA1691">
        <v>3</v>
      </c>
      <c r="AB1691" s="89">
        <v>6460</v>
      </c>
      <c r="AC1691" s="87">
        <v>10000</v>
      </c>
      <c r="AE1691" s="62">
        <v>6</v>
      </c>
      <c r="AL1691" s="64">
        <v>1</v>
      </c>
      <c r="AN1691" s="93"/>
      <c r="AO1691" s="92"/>
      <c r="AQ1691" t="s">
        <v>4358</v>
      </c>
      <c r="AS1691">
        <v>1</v>
      </c>
    </row>
    <row r="1692" spans="1:45">
      <c r="A1692">
        <v>713018</v>
      </c>
      <c r="B1692" s="8">
        <v>1001</v>
      </c>
      <c r="C1692" s="8">
        <v>1</v>
      </c>
      <c r="D1692" s="8">
        <v>1001</v>
      </c>
      <c r="E1692" t="s">
        <v>4359</v>
      </c>
      <c r="F1692" t="s">
        <v>4360</v>
      </c>
      <c r="G1692" t="s">
        <v>4361</v>
      </c>
      <c r="H1692" t="s">
        <v>4362</v>
      </c>
      <c r="I1692">
        <v>1</v>
      </c>
      <c r="J1692" s="69">
        <v>4</v>
      </c>
      <c r="K1692" s="33">
        <v>2</v>
      </c>
      <c r="L1692" s="8">
        <v>999</v>
      </c>
      <c r="M1692" s="8">
        <v>0</v>
      </c>
      <c r="O1692" s="249"/>
      <c r="S1692" s="89">
        <v>1</v>
      </c>
      <c r="T1692" s="8">
        <v>3</v>
      </c>
      <c r="U1692" s="89">
        <v>250</v>
      </c>
      <c r="V1692" s="87">
        <v>1</v>
      </c>
      <c r="W1692">
        <v>1</v>
      </c>
      <c r="X1692" s="8">
        <v>1</v>
      </c>
      <c r="Y1692" s="8">
        <v>0</v>
      </c>
      <c r="Z1692" s="33">
        <v>0</v>
      </c>
      <c r="AA1692">
        <v>3</v>
      </c>
      <c r="AB1692" s="89">
        <v>6460</v>
      </c>
      <c r="AC1692" s="87">
        <v>10000</v>
      </c>
      <c r="AE1692" s="62">
        <v>6</v>
      </c>
      <c r="AL1692" s="64">
        <v>1</v>
      </c>
      <c r="AN1692" s="93"/>
      <c r="AO1692" s="92"/>
      <c r="AQ1692" t="s">
        <v>4363</v>
      </c>
      <c r="AS1692">
        <v>1</v>
      </c>
    </row>
    <row r="1693" spans="1:45">
      <c r="A1693">
        <v>713019</v>
      </c>
      <c r="B1693" s="8">
        <v>1001</v>
      </c>
      <c r="C1693" s="8">
        <v>1</v>
      </c>
      <c r="D1693" s="8">
        <v>1001</v>
      </c>
      <c r="E1693" t="s">
        <v>4364</v>
      </c>
      <c r="F1693" t="s">
        <v>4365</v>
      </c>
      <c r="G1693" t="s">
        <v>4366</v>
      </c>
      <c r="H1693" t="s">
        <v>4367</v>
      </c>
      <c r="I1693">
        <v>1</v>
      </c>
      <c r="J1693" s="69">
        <v>4</v>
      </c>
      <c r="K1693" s="33">
        <v>2</v>
      </c>
      <c r="L1693" s="8">
        <v>999</v>
      </c>
      <c r="M1693" s="8">
        <v>0</v>
      </c>
      <c r="O1693" s="249"/>
      <c r="S1693" s="89">
        <v>1</v>
      </c>
      <c r="T1693" s="8">
        <v>3</v>
      </c>
      <c r="U1693" s="89">
        <v>200</v>
      </c>
      <c r="V1693" s="87">
        <v>1</v>
      </c>
      <c r="W1693">
        <v>1</v>
      </c>
      <c r="X1693" s="8">
        <v>1</v>
      </c>
      <c r="Y1693" s="8">
        <v>0</v>
      </c>
      <c r="Z1693" s="33">
        <v>0</v>
      </c>
      <c r="AA1693">
        <v>3</v>
      </c>
      <c r="AB1693" s="89">
        <v>6460</v>
      </c>
      <c r="AC1693" s="87">
        <v>10000</v>
      </c>
      <c r="AE1693" s="62">
        <v>6</v>
      </c>
      <c r="AL1693" s="64">
        <v>1</v>
      </c>
      <c r="AN1693" s="93"/>
      <c r="AO1693" s="92"/>
      <c r="AQ1693" t="s">
        <v>4368</v>
      </c>
      <c r="AS1693">
        <v>1</v>
      </c>
    </row>
    <row r="1694" spans="1:45">
      <c r="A1694">
        <v>713020</v>
      </c>
      <c r="B1694" s="8">
        <v>1001</v>
      </c>
      <c r="C1694" s="8">
        <v>1</v>
      </c>
      <c r="D1694" s="8">
        <v>1001</v>
      </c>
      <c r="E1694" t="s">
        <v>4369</v>
      </c>
      <c r="F1694" t="s">
        <v>4370</v>
      </c>
      <c r="G1694" t="s">
        <v>4371</v>
      </c>
      <c r="H1694" t="s">
        <v>4372</v>
      </c>
      <c r="I1694">
        <v>1</v>
      </c>
      <c r="J1694" s="69">
        <v>4</v>
      </c>
      <c r="K1694" s="33">
        <v>2</v>
      </c>
      <c r="L1694" s="8">
        <v>999</v>
      </c>
      <c r="M1694" s="8">
        <v>0</v>
      </c>
      <c r="O1694" s="249"/>
      <c r="S1694" s="89">
        <v>1</v>
      </c>
      <c r="T1694" s="8">
        <v>3</v>
      </c>
      <c r="U1694" s="89">
        <v>300</v>
      </c>
      <c r="V1694" s="87">
        <v>1</v>
      </c>
      <c r="W1694">
        <v>1</v>
      </c>
      <c r="X1694" s="8">
        <v>1</v>
      </c>
      <c r="Y1694" s="8">
        <v>0</v>
      </c>
      <c r="Z1694" s="33">
        <v>0</v>
      </c>
      <c r="AA1694">
        <v>3</v>
      </c>
      <c r="AB1694" s="89">
        <v>6460</v>
      </c>
      <c r="AC1694" s="87">
        <v>10000</v>
      </c>
      <c r="AE1694" s="62">
        <v>6</v>
      </c>
      <c r="AL1694" s="64">
        <v>1</v>
      </c>
      <c r="AN1694" s="93"/>
      <c r="AO1694" s="92"/>
      <c r="AQ1694" t="s">
        <v>4373</v>
      </c>
      <c r="AS1694">
        <v>1</v>
      </c>
    </row>
    <row r="1695" spans="1:45">
      <c r="A1695">
        <v>713021</v>
      </c>
      <c r="B1695" s="8">
        <v>1001</v>
      </c>
      <c r="C1695" s="8">
        <v>1</v>
      </c>
      <c r="D1695" s="8">
        <v>1001</v>
      </c>
      <c r="E1695" t="s">
        <v>4374</v>
      </c>
      <c r="F1695" t="s">
        <v>4375</v>
      </c>
      <c r="G1695" t="s">
        <v>4376</v>
      </c>
      <c r="H1695" t="s">
        <v>4377</v>
      </c>
      <c r="I1695">
        <v>1</v>
      </c>
      <c r="J1695" s="69">
        <v>4</v>
      </c>
      <c r="K1695" s="33">
        <v>2</v>
      </c>
      <c r="L1695" s="8">
        <v>999</v>
      </c>
      <c r="M1695" s="8">
        <v>0</v>
      </c>
      <c r="O1695" s="249"/>
      <c r="S1695" s="89">
        <v>1</v>
      </c>
      <c r="T1695" s="8">
        <v>3</v>
      </c>
      <c r="U1695" s="89">
        <v>150</v>
      </c>
      <c r="V1695" s="87">
        <v>1</v>
      </c>
      <c r="W1695">
        <v>1</v>
      </c>
      <c r="X1695" s="8">
        <v>1</v>
      </c>
      <c r="Y1695" s="8">
        <v>0</v>
      </c>
      <c r="Z1695" s="33">
        <v>0</v>
      </c>
      <c r="AA1695">
        <v>3</v>
      </c>
      <c r="AB1695" s="89">
        <v>6460</v>
      </c>
      <c r="AC1695" s="87">
        <v>10000</v>
      </c>
      <c r="AE1695" s="62">
        <v>6</v>
      </c>
      <c r="AL1695" s="64">
        <v>1</v>
      </c>
      <c r="AN1695" s="93"/>
      <c r="AO1695" s="92"/>
      <c r="AQ1695" t="s">
        <v>4378</v>
      </c>
      <c r="AS1695">
        <v>1</v>
      </c>
    </row>
    <row r="1696" spans="1:45">
      <c r="A1696">
        <v>713022</v>
      </c>
      <c r="B1696" s="8">
        <v>1001</v>
      </c>
      <c r="C1696" s="8">
        <v>1</v>
      </c>
      <c r="D1696" s="8">
        <v>1001</v>
      </c>
      <c r="E1696" t="s">
        <v>4379</v>
      </c>
      <c r="F1696" t="s">
        <v>4380</v>
      </c>
      <c r="G1696" t="s">
        <v>4381</v>
      </c>
      <c r="H1696" t="s">
        <v>4382</v>
      </c>
      <c r="I1696">
        <v>1</v>
      </c>
      <c r="J1696" s="69">
        <v>4</v>
      </c>
      <c r="K1696" s="33">
        <v>2</v>
      </c>
      <c r="L1696" s="8">
        <v>999</v>
      </c>
      <c r="M1696" s="8">
        <v>0</v>
      </c>
      <c r="O1696" s="249"/>
      <c r="S1696" s="89">
        <v>1</v>
      </c>
      <c r="T1696" s="8">
        <v>3</v>
      </c>
      <c r="U1696" s="89">
        <v>150</v>
      </c>
      <c r="V1696" s="87">
        <v>1</v>
      </c>
      <c r="W1696">
        <v>1</v>
      </c>
      <c r="X1696" s="8">
        <v>1</v>
      </c>
      <c r="Y1696" s="8">
        <v>0</v>
      </c>
      <c r="Z1696" s="33">
        <v>0</v>
      </c>
      <c r="AA1696">
        <v>3</v>
      </c>
      <c r="AB1696" s="89">
        <v>6460</v>
      </c>
      <c r="AC1696" s="87">
        <v>10000</v>
      </c>
      <c r="AE1696" s="62">
        <v>6</v>
      </c>
      <c r="AL1696" s="64">
        <v>1</v>
      </c>
      <c r="AN1696" s="93"/>
      <c r="AO1696" s="92"/>
      <c r="AQ1696" t="s">
        <v>4383</v>
      </c>
      <c r="AS1696">
        <v>1</v>
      </c>
    </row>
    <row r="1697" spans="1:45">
      <c r="A1697">
        <v>713023</v>
      </c>
      <c r="B1697" s="8">
        <v>1001</v>
      </c>
      <c r="C1697" s="8">
        <v>1</v>
      </c>
      <c r="D1697" s="8">
        <v>1001</v>
      </c>
      <c r="E1697" t="s">
        <v>4384</v>
      </c>
      <c r="F1697" t="s">
        <v>4385</v>
      </c>
      <c r="G1697" t="s">
        <v>4386</v>
      </c>
      <c r="H1697" t="s">
        <v>4387</v>
      </c>
      <c r="I1697">
        <v>1</v>
      </c>
      <c r="J1697" s="69">
        <v>4</v>
      </c>
      <c r="K1697" s="33">
        <v>2</v>
      </c>
      <c r="L1697" s="8">
        <v>999</v>
      </c>
      <c r="M1697" s="8">
        <v>0</v>
      </c>
      <c r="O1697" s="249"/>
      <c r="S1697" s="89">
        <v>1</v>
      </c>
      <c r="T1697" s="8">
        <v>3</v>
      </c>
      <c r="U1697" s="89">
        <v>150</v>
      </c>
      <c r="V1697" s="87">
        <v>1</v>
      </c>
      <c r="W1697">
        <v>1</v>
      </c>
      <c r="X1697" s="8">
        <v>1</v>
      </c>
      <c r="Y1697" s="8">
        <v>0</v>
      </c>
      <c r="Z1697" s="33">
        <v>0</v>
      </c>
      <c r="AA1697">
        <v>3</v>
      </c>
      <c r="AB1697" s="89">
        <v>6460</v>
      </c>
      <c r="AC1697" s="87">
        <v>10000</v>
      </c>
      <c r="AE1697" s="62">
        <v>6</v>
      </c>
      <c r="AL1697" s="64">
        <v>1</v>
      </c>
      <c r="AN1697" s="93"/>
      <c r="AO1697" s="92"/>
      <c r="AQ1697" t="s">
        <v>4388</v>
      </c>
      <c r="AS1697">
        <v>1</v>
      </c>
    </row>
    <row r="1698" spans="1:45">
      <c r="A1698">
        <v>713024</v>
      </c>
      <c r="B1698" s="8">
        <v>1001</v>
      </c>
      <c r="C1698" s="8">
        <v>1</v>
      </c>
      <c r="D1698" s="8">
        <v>1001</v>
      </c>
      <c r="E1698" t="s">
        <v>4389</v>
      </c>
      <c r="F1698" t="s">
        <v>4390</v>
      </c>
      <c r="G1698" t="s">
        <v>4391</v>
      </c>
      <c r="H1698" t="s">
        <v>4392</v>
      </c>
      <c r="I1698">
        <v>1</v>
      </c>
      <c r="J1698" s="69">
        <v>4</v>
      </c>
      <c r="K1698" s="33">
        <v>2</v>
      </c>
      <c r="L1698" s="8">
        <v>999</v>
      </c>
      <c r="M1698" s="8">
        <v>0</v>
      </c>
      <c r="O1698" s="249"/>
      <c r="S1698" s="89">
        <v>1</v>
      </c>
      <c r="T1698" s="8">
        <v>3</v>
      </c>
      <c r="U1698" s="89">
        <v>150</v>
      </c>
      <c r="V1698" s="87">
        <v>1</v>
      </c>
      <c r="W1698">
        <v>1</v>
      </c>
      <c r="X1698" s="8">
        <v>1</v>
      </c>
      <c r="Y1698" s="8">
        <v>0</v>
      </c>
      <c r="Z1698" s="33">
        <v>0</v>
      </c>
      <c r="AA1698">
        <v>3</v>
      </c>
      <c r="AB1698" s="89">
        <v>6460</v>
      </c>
      <c r="AC1698" s="87">
        <v>10000</v>
      </c>
      <c r="AE1698" s="62">
        <v>6</v>
      </c>
      <c r="AL1698" s="64">
        <v>1</v>
      </c>
      <c r="AN1698" s="93"/>
      <c r="AO1698" s="92"/>
      <c r="AQ1698" t="s">
        <v>4393</v>
      </c>
      <c r="AS1698">
        <v>1</v>
      </c>
    </row>
    <row r="1699" spans="1:45">
      <c r="A1699">
        <v>713025</v>
      </c>
      <c r="B1699" s="8">
        <v>1001</v>
      </c>
      <c r="C1699" s="8">
        <v>1</v>
      </c>
      <c r="D1699" s="8">
        <v>1001</v>
      </c>
      <c r="E1699" t="s">
        <v>4394</v>
      </c>
      <c r="F1699" t="s">
        <v>4395</v>
      </c>
      <c r="G1699" t="s">
        <v>4396</v>
      </c>
      <c r="H1699" t="s">
        <v>4397</v>
      </c>
      <c r="I1699">
        <v>1</v>
      </c>
      <c r="J1699" s="69">
        <v>4</v>
      </c>
      <c r="K1699" s="33">
        <v>2</v>
      </c>
      <c r="L1699" s="8">
        <v>999</v>
      </c>
      <c r="M1699" s="8">
        <v>0</v>
      </c>
      <c r="O1699" s="249"/>
      <c r="S1699" s="89">
        <v>1</v>
      </c>
      <c r="T1699" s="8">
        <v>3</v>
      </c>
      <c r="U1699" s="89">
        <v>150</v>
      </c>
      <c r="V1699" s="87">
        <v>1</v>
      </c>
      <c r="W1699">
        <v>1</v>
      </c>
      <c r="X1699" s="8">
        <v>1</v>
      </c>
      <c r="Y1699" s="8">
        <v>0</v>
      </c>
      <c r="Z1699" s="33">
        <v>0</v>
      </c>
      <c r="AA1699">
        <v>3</v>
      </c>
      <c r="AB1699" s="89">
        <v>6460</v>
      </c>
      <c r="AC1699" s="87">
        <v>10000</v>
      </c>
      <c r="AE1699" s="62">
        <v>6</v>
      </c>
      <c r="AL1699" s="64">
        <v>1</v>
      </c>
      <c r="AN1699" s="93"/>
      <c r="AO1699" s="92"/>
      <c r="AQ1699" t="s">
        <v>4398</v>
      </c>
      <c r="AS1699">
        <v>1</v>
      </c>
    </row>
    <row r="1700" spans="1:45">
      <c r="A1700">
        <v>713026</v>
      </c>
      <c r="B1700" s="8">
        <v>1001</v>
      </c>
      <c r="C1700" s="8">
        <v>1</v>
      </c>
      <c r="D1700" s="8">
        <v>1001</v>
      </c>
      <c r="E1700" t="s">
        <v>4399</v>
      </c>
      <c r="F1700" t="s">
        <v>4400</v>
      </c>
      <c r="G1700" t="s">
        <v>4401</v>
      </c>
      <c r="H1700" t="s">
        <v>4402</v>
      </c>
      <c r="I1700">
        <v>1</v>
      </c>
      <c r="J1700" s="69">
        <v>4</v>
      </c>
      <c r="K1700" s="33">
        <v>2</v>
      </c>
      <c r="L1700" s="8">
        <v>999</v>
      </c>
      <c r="M1700" s="8">
        <v>0</v>
      </c>
      <c r="O1700" s="249"/>
      <c r="S1700" s="89">
        <v>1</v>
      </c>
      <c r="T1700" s="8">
        <v>3</v>
      </c>
      <c r="U1700" s="89">
        <v>150</v>
      </c>
      <c r="V1700" s="87">
        <v>1</v>
      </c>
      <c r="W1700">
        <v>1</v>
      </c>
      <c r="X1700" s="8">
        <v>1</v>
      </c>
      <c r="Y1700" s="8">
        <v>0</v>
      </c>
      <c r="Z1700" s="33">
        <v>0</v>
      </c>
      <c r="AA1700">
        <v>3</v>
      </c>
      <c r="AB1700" s="89">
        <v>6460</v>
      </c>
      <c r="AC1700" s="87">
        <v>10000</v>
      </c>
      <c r="AE1700" s="62">
        <v>6</v>
      </c>
      <c r="AL1700" s="64">
        <v>1</v>
      </c>
      <c r="AN1700" s="93"/>
      <c r="AO1700" s="92"/>
      <c r="AQ1700" t="s">
        <v>4403</v>
      </c>
      <c r="AS1700">
        <v>1</v>
      </c>
    </row>
    <row r="1701" spans="1:45">
      <c r="A1701">
        <v>713027</v>
      </c>
      <c r="B1701" s="8">
        <v>1001</v>
      </c>
      <c r="C1701" s="8">
        <v>1</v>
      </c>
      <c r="D1701" s="8">
        <v>1001</v>
      </c>
      <c r="E1701" t="s">
        <v>4404</v>
      </c>
      <c r="F1701" t="s">
        <v>4405</v>
      </c>
      <c r="G1701" t="s">
        <v>4406</v>
      </c>
      <c r="H1701" t="s">
        <v>4407</v>
      </c>
      <c r="I1701">
        <v>1</v>
      </c>
      <c r="J1701" s="69">
        <v>4</v>
      </c>
      <c r="K1701" s="33">
        <v>2</v>
      </c>
      <c r="L1701" s="8">
        <v>999</v>
      </c>
      <c r="M1701" s="8">
        <v>0</v>
      </c>
      <c r="O1701" s="249"/>
      <c r="S1701" s="89">
        <v>1</v>
      </c>
      <c r="T1701" s="8">
        <v>3</v>
      </c>
      <c r="U1701" s="89">
        <v>150</v>
      </c>
      <c r="V1701" s="87">
        <v>1</v>
      </c>
      <c r="W1701">
        <v>1</v>
      </c>
      <c r="X1701" s="8">
        <v>1</v>
      </c>
      <c r="Y1701" s="8">
        <v>0</v>
      </c>
      <c r="Z1701" s="33">
        <v>0</v>
      </c>
      <c r="AA1701">
        <v>3</v>
      </c>
      <c r="AB1701" s="89">
        <v>6460</v>
      </c>
      <c r="AC1701" s="87">
        <v>10000</v>
      </c>
      <c r="AE1701" s="62">
        <v>6</v>
      </c>
      <c r="AL1701" s="64">
        <v>1</v>
      </c>
      <c r="AN1701" s="93"/>
      <c r="AO1701" s="92"/>
      <c r="AQ1701" t="s">
        <v>4408</v>
      </c>
      <c r="AS1701">
        <v>1</v>
      </c>
    </row>
    <row r="1702" spans="1:45">
      <c r="A1702">
        <v>713028</v>
      </c>
      <c r="B1702" s="8">
        <v>1001</v>
      </c>
      <c r="C1702" s="8">
        <v>1</v>
      </c>
      <c r="D1702" s="8">
        <v>1001</v>
      </c>
      <c r="E1702" t="s">
        <v>4409</v>
      </c>
      <c r="F1702" t="s">
        <v>4410</v>
      </c>
      <c r="G1702" t="s">
        <v>4411</v>
      </c>
      <c r="H1702" t="s">
        <v>4412</v>
      </c>
      <c r="I1702">
        <v>1</v>
      </c>
      <c r="J1702" s="69">
        <v>4</v>
      </c>
      <c r="K1702" s="33">
        <v>2</v>
      </c>
      <c r="L1702" s="8">
        <v>999</v>
      </c>
      <c r="M1702" s="8">
        <v>0</v>
      </c>
      <c r="O1702" s="249"/>
      <c r="S1702" s="89">
        <v>1</v>
      </c>
      <c r="T1702" s="8">
        <v>3</v>
      </c>
      <c r="U1702" s="89">
        <v>150</v>
      </c>
      <c r="V1702" s="87">
        <v>1</v>
      </c>
      <c r="W1702">
        <v>1</v>
      </c>
      <c r="X1702" s="8">
        <v>1</v>
      </c>
      <c r="Y1702" s="8">
        <v>0</v>
      </c>
      <c r="Z1702" s="33">
        <v>0</v>
      </c>
      <c r="AA1702">
        <v>3</v>
      </c>
      <c r="AB1702" s="89">
        <v>6460</v>
      </c>
      <c r="AC1702" s="87">
        <v>10000</v>
      </c>
      <c r="AE1702" s="62">
        <v>6</v>
      </c>
      <c r="AL1702" s="64">
        <v>1</v>
      </c>
      <c r="AN1702" s="93"/>
      <c r="AO1702" s="92"/>
      <c r="AQ1702" t="s">
        <v>4413</v>
      </c>
      <c r="AS1702">
        <v>1</v>
      </c>
    </row>
    <row r="1703" spans="1:45">
      <c r="A1703">
        <v>713029</v>
      </c>
      <c r="B1703" s="8">
        <v>1001</v>
      </c>
      <c r="C1703" s="8">
        <v>1</v>
      </c>
      <c r="D1703" s="8">
        <v>1001</v>
      </c>
      <c r="E1703" t="s">
        <v>4414</v>
      </c>
      <c r="F1703" t="s">
        <v>4415</v>
      </c>
      <c r="G1703" t="s">
        <v>4416</v>
      </c>
      <c r="H1703" t="s">
        <v>4417</v>
      </c>
      <c r="I1703">
        <v>1</v>
      </c>
      <c r="J1703" s="69">
        <v>4</v>
      </c>
      <c r="K1703" s="33">
        <v>2</v>
      </c>
      <c r="L1703" s="8">
        <v>999</v>
      </c>
      <c r="M1703" s="8">
        <v>0</v>
      </c>
      <c r="O1703" s="249"/>
      <c r="S1703" s="89">
        <v>1</v>
      </c>
      <c r="T1703" s="8">
        <v>3</v>
      </c>
      <c r="U1703" s="89">
        <v>200</v>
      </c>
      <c r="V1703" s="87">
        <v>1</v>
      </c>
      <c r="W1703">
        <v>1</v>
      </c>
      <c r="X1703" s="8">
        <v>1</v>
      </c>
      <c r="Y1703" s="8">
        <v>0</v>
      </c>
      <c r="Z1703" s="33">
        <v>0</v>
      </c>
      <c r="AA1703">
        <v>3</v>
      </c>
      <c r="AB1703" s="89">
        <v>6460</v>
      </c>
      <c r="AC1703" s="87">
        <v>10000</v>
      </c>
      <c r="AE1703" s="62">
        <v>6</v>
      </c>
      <c r="AL1703" s="64">
        <v>1</v>
      </c>
      <c r="AN1703" s="93"/>
      <c r="AO1703" s="92"/>
      <c r="AQ1703" t="s">
        <v>4418</v>
      </c>
      <c r="AS1703">
        <v>1</v>
      </c>
    </row>
    <row r="1704" spans="1:45">
      <c r="A1704">
        <v>713030</v>
      </c>
      <c r="B1704" s="8">
        <v>1001</v>
      </c>
      <c r="C1704" s="8">
        <v>1</v>
      </c>
      <c r="D1704" s="8">
        <v>1001</v>
      </c>
      <c r="E1704" t="s">
        <v>4419</v>
      </c>
      <c r="F1704" t="s">
        <v>4420</v>
      </c>
      <c r="G1704" t="s">
        <v>4421</v>
      </c>
      <c r="H1704" t="s">
        <v>4422</v>
      </c>
      <c r="I1704">
        <v>1</v>
      </c>
      <c r="J1704" s="69">
        <v>4</v>
      </c>
      <c r="K1704" s="33">
        <v>2</v>
      </c>
      <c r="L1704" s="8">
        <v>999</v>
      </c>
      <c r="M1704" s="8">
        <v>0</v>
      </c>
      <c r="O1704" s="249"/>
      <c r="S1704" s="89">
        <v>1</v>
      </c>
      <c r="T1704" s="8">
        <v>3</v>
      </c>
      <c r="U1704" s="89">
        <v>300</v>
      </c>
      <c r="V1704" s="87">
        <v>1</v>
      </c>
      <c r="W1704">
        <v>1</v>
      </c>
      <c r="X1704" s="8">
        <v>1</v>
      </c>
      <c r="Y1704" s="8">
        <v>0</v>
      </c>
      <c r="Z1704" s="33">
        <v>0</v>
      </c>
      <c r="AA1704">
        <v>3</v>
      </c>
      <c r="AB1704" s="89">
        <v>6460</v>
      </c>
      <c r="AC1704" s="87">
        <v>10000</v>
      </c>
      <c r="AE1704" s="62">
        <v>6</v>
      </c>
      <c r="AL1704" s="64">
        <v>1</v>
      </c>
      <c r="AN1704" s="93"/>
      <c r="AO1704" s="92"/>
      <c r="AQ1704" t="s">
        <v>4423</v>
      </c>
      <c r="AS1704">
        <v>1</v>
      </c>
    </row>
    <row r="1705" spans="1:45">
      <c r="A1705">
        <v>713031</v>
      </c>
      <c r="B1705" s="8">
        <v>1001</v>
      </c>
      <c r="C1705" s="8">
        <v>1</v>
      </c>
      <c r="D1705" s="8">
        <v>1001</v>
      </c>
      <c r="E1705" t="s">
        <v>4424</v>
      </c>
      <c r="F1705" t="s">
        <v>4425</v>
      </c>
      <c r="G1705" t="s">
        <v>4426</v>
      </c>
      <c r="H1705" t="s">
        <v>4427</v>
      </c>
      <c r="I1705">
        <v>1</v>
      </c>
      <c r="J1705" s="69">
        <v>4</v>
      </c>
      <c r="K1705" s="33">
        <v>2</v>
      </c>
      <c r="L1705" s="8">
        <v>999</v>
      </c>
      <c r="M1705" s="8">
        <v>0</v>
      </c>
      <c r="O1705" s="249"/>
      <c r="S1705" s="89">
        <v>1</v>
      </c>
      <c r="T1705" s="8">
        <v>3</v>
      </c>
      <c r="U1705" s="89">
        <v>300</v>
      </c>
      <c r="V1705" s="87">
        <v>1</v>
      </c>
      <c r="W1705">
        <v>1</v>
      </c>
      <c r="X1705" s="8">
        <v>1</v>
      </c>
      <c r="Y1705" s="8">
        <v>0</v>
      </c>
      <c r="Z1705" s="33">
        <v>0</v>
      </c>
      <c r="AA1705">
        <v>3</v>
      </c>
      <c r="AB1705" s="89">
        <v>6460</v>
      </c>
      <c r="AC1705" s="87">
        <v>10000</v>
      </c>
      <c r="AE1705" s="62">
        <v>6</v>
      </c>
      <c r="AL1705" s="64">
        <v>1</v>
      </c>
      <c r="AN1705" s="93"/>
      <c r="AO1705" s="92"/>
      <c r="AQ1705" t="s">
        <v>4428</v>
      </c>
      <c r="AS1705">
        <v>1</v>
      </c>
    </row>
    <row r="1706" spans="1:45">
      <c r="A1706">
        <v>713032</v>
      </c>
      <c r="B1706" s="8">
        <v>1001</v>
      </c>
      <c r="C1706" s="8">
        <v>1</v>
      </c>
      <c r="D1706" s="8">
        <v>1001</v>
      </c>
      <c r="E1706" t="s">
        <v>4429</v>
      </c>
      <c r="F1706" t="s">
        <v>4430</v>
      </c>
      <c r="G1706" t="s">
        <v>4431</v>
      </c>
      <c r="H1706" t="s">
        <v>4432</v>
      </c>
      <c r="I1706">
        <v>1</v>
      </c>
      <c r="J1706" s="69">
        <v>4</v>
      </c>
      <c r="K1706" s="33">
        <v>2</v>
      </c>
      <c r="L1706" s="8">
        <v>999</v>
      </c>
      <c r="M1706" s="8">
        <v>0</v>
      </c>
      <c r="O1706" s="249"/>
      <c r="S1706" s="89">
        <v>1</v>
      </c>
      <c r="T1706" s="8">
        <v>3</v>
      </c>
      <c r="U1706" s="89">
        <v>300</v>
      </c>
      <c r="V1706" s="87">
        <v>1</v>
      </c>
      <c r="W1706">
        <v>1</v>
      </c>
      <c r="X1706" s="8">
        <v>1</v>
      </c>
      <c r="Y1706" s="8">
        <v>0</v>
      </c>
      <c r="Z1706" s="33">
        <v>0</v>
      </c>
      <c r="AA1706">
        <v>3</v>
      </c>
      <c r="AB1706" s="89">
        <v>6460</v>
      </c>
      <c r="AC1706" s="87">
        <v>10000</v>
      </c>
      <c r="AE1706" s="62">
        <v>6</v>
      </c>
      <c r="AL1706" s="64">
        <v>1</v>
      </c>
      <c r="AN1706" s="93"/>
      <c r="AO1706" s="92"/>
      <c r="AQ1706" t="s">
        <v>4433</v>
      </c>
      <c r="AS1706">
        <v>1</v>
      </c>
    </row>
    <row r="1707" spans="1:45">
      <c r="A1707">
        <v>713033</v>
      </c>
      <c r="B1707" s="8">
        <v>1001</v>
      </c>
      <c r="C1707" s="8">
        <v>1</v>
      </c>
      <c r="D1707" s="8">
        <v>1001</v>
      </c>
      <c r="E1707" t="s">
        <v>4434</v>
      </c>
      <c r="F1707" t="s">
        <v>4435</v>
      </c>
      <c r="G1707" t="s">
        <v>4436</v>
      </c>
      <c r="H1707" t="s">
        <v>4437</v>
      </c>
      <c r="I1707">
        <v>1</v>
      </c>
      <c r="J1707" s="69">
        <v>4</v>
      </c>
      <c r="K1707" s="33">
        <v>2</v>
      </c>
      <c r="L1707" s="8">
        <v>999</v>
      </c>
      <c r="M1707" s="8">
        <v>0</v>
      </c>
      <c r="O1707" s="249"/>
      <c r="S1707" s="89">
        <v>1</v>
      </c>
      <c r="T1707" s="8">
        <v>3</v>
      </c>
      <c r="U1707" s="89">
        <v>300</v>
      </c>
      <c r="V1707" s="87">
        <v>1</v>
      </c>
      <c r="W1707">
        <v>1</v>
      </c>
      <c r="X1707" s="8">
        <v>1</v>
      </c>
      <c r="Y1707" s="8">
        <v>0</v>
      </c>
      <c r="Z1707" s="33">
        <v>0</v>
      </c>
      <c r="AA1707">
        <v>3</v>
      </c>
      <c r="AB1707" s="89">
        <v>6460</v>
      </c>
      <c r="AC1707" s="87">
        <v>10000</v>
      </c>
      <c r="AE1707" s="62">
        <v>6</v>
      </c>
      <c r="AL1707" s="64">
        <v>1</v>
      </c>
      <c r="AN1707" s="93"/>
      <c r="AO1707" s="92"/>
      <c r="AQ1707" t="s">
        <v>4438</v>
      </c>
      <c r="AS1707">
        <v>1</v>
      </c>
    </row>
    <row r="1708" spans="1:45">
      <c r="A1708">
        <v>713034</v>
      </c>
      <c r="B1708" s="8">
        <v>1001</v>
      </c>
      <c r="C1708" s="8">
        <v>1</v>
      </c>
      <c r="D1708" s="8">
        <v>1001</v>
      </c>
      <c r="E1708" t="s">
        <v>4439</v>
      </c>
      <c r="F1708" t="s">
        <v>4440</v>
      </c>
      <c r="G1708" t="s">
        <v>4441</v>
      </c>
      <c r="H1708" t="s">
        <v>4442</v>
      </c>
      <c r="I1708">
        <v>1</v>
      </c>
      <c r="J1708" s="69">
        <v>4</v>
      </c>
      <c r="K1708" s="33">
        <v>2</v>
      </c>
      <c r="L1708" s="8">
        <v>999</v>
      </c>
      <c r="M1708" s="8">
        <v>0</v>
      </c>
      <c r="O1708" s="249"/>
      <c r="S1708" s="89">
        <v>1</v>
      </c>
      <c r="T1708" s="8">
        <v>3</v>
      </c>
      <c r="U1708" s="89">
        <v>300</v>
      </c>
      <c r="V1708" s="87">
        <v>1</v>
      </c>
      <c r="W1708">
        <v>1</v>
      </c>
      <c r="X1708" s="8">
        <v>1</v>
      </c>
      <c r="Y1708" s="8">
        <v>0</v>
      </c>
      <c r="Z1708" s="33">
        <v>0</v>
      </c>
      <c r="AA1708">
        <v>3</v>
      </c>
      <c r="AB1708" s="89">
        <v>6460</v>
      </c>
      <c r="AC1708" s="87">
        <v>10000</v>
      </c>
      <c r="AE1708" s="62">
        <v>6</v>
      </c>
      <c r="AL1708" s="64">
        <v>1</v>
      </c>
      <c r="AN1708" s="93"/>
      <c r="AO1708" s="92"/>
      <c r="AQ1708" t="s">
        <v>4443</v>
      </c>
      <c r="AS1708">
        <v>1</v>
      </c>
    </row>
    <row r="1709" spans="1:45">
      <c r="A1709">
        <v>713035</v>
      </c>
      <c r="B1709" s="8">
        <v>1001</v>
      </c>
      <c r="C1709" s="8">
        <v>1</v>
      </c>
      <c r="D1709" s="8">
        <v>1001</v>
      </c>
      <c r="E1709" t="s">
        <v>4444</v>
      </c>
      <c r="F1709" t="s">
        <v>4445</v>
      </c>
      <c r="G1709" t="s">
        <v>4446</v>
      </c>
      <c r="H1709" t="s">
        <v>4447</v>
      </c>
      <c r="I1709">
        <v>1</v>
      </c>
      <c r="J1709" s="69">
        <v>4</v>
      </c>
      <c r="K1709" s="33">
        <v>2</v>
      </c>
      <c r="L1709" s="8">
        <v>999</v>
      </c>
      <c r="M1709" s="8">
        <v>0</v>
      </c>
      <c r="O1709" s="249"/>
      <c r="S1709" s="89">
        <v>1</v>
      </c>
      <c r="T1709" s="8">
        <v>3</v>
      </c>
      <c r="U1709" s="89">
        <v>300</v>
      </c>
      <c r="V1709" s="87">
        <v>1</v>
      </c>
      <c r="W1709">
        <v>1</v>
      </c>
      <c r="X1709" s="8">
        <v>1</v>
      </c>
      <c r="Y1709" s="8">
        <v>0</v>
      </c>
      <c r="Z1709" s="33">
        <v>0</v>
      </c>
      <c r="AA1709">
        <v>3</v>
      </c>
      <c r="AB1709" s="89">
        <v>6460</v>
      </c>
      <c r="AC1709" s="87">
        <v>10000</v>
      </c>
      <c r="AE1709" s="62">
        <v>6</v>
      </c>
      <c r="AL1709" s="64">
        <v>1</v>
      </c>
      <c r="AN1709" s="93"/>
      <c r="AO1709" s="92"/>
      <c r="AQ1709" t="s">
        <v>4448</v>
      </c>
      <c r="AS1709">
        <v>1</v>
      </c>
    </row>
    <row r="1710" spans="1:45">
      <c r="A1710">
        <v>713036</v>
      </c>
      <c r="B1710" s="8">
        <v>1001</v>
      </c>
      <c r="C1710" s="8">
        <v>1</v>
      </c>
      <c r="D1710" s="8">
        <v>1001</v>
      </c>
      <c r="E1710" t="s">
        <v>4449</v>
      </c>
      <c r="F1710" t="s">
        <v>4450</v>
      </c>
      <c r="G1710" t="s">
        <v>4451</v>
      </c>
      <c r="H1710" t="s">
        <v>4452</v>
      </c>
      <c r="I1710">
        <v>1</v>
      </c>
      <c r="J1710" s="69">
        <v>4</v>
      </c>
      <c r="K1710" s="33">
        <v>2</v>
      </c>
      <c r="L1710" s="8">
        <v>999</v>
      </c>
      <c r="M1710" s="8">
        <v>0</v>
      </c>
      <c r="O1710" s="249"/>
      <c r="S1710" s="89">
        <v>1</v>
      </c>
      <c r="T1710" s="8">
        <v>3</v>
      </c>
      <c r="U1710" s="89">
        <v>300</v>
      </c>
      <c r="V1710" s="87">
        <v>1</v>
      </c>
      <c r="W1710">
        <v>1</v>
      </c>
      <c r="X1710" s="8">
        <v>1</v>
      </c>
      <c r="Y1710" s="8">
        <v>0</v>
      </c>
      <c r="Z1710" s="33">
        <v>0</v>
      </c>
      <c r="AA1710">
        <v>3</v>
      </c>
      <c r="AB1710" s="89">
        <v>6460</v>
      </c>
      <c r="AC1710" s="87">
        <v>10000</v>
      </c>
      <c r="AE1710" s="62">
        <v>6</v>
      </c>
      <c r="AL1710" s="64">
        <v>1</v>
      </c>
      <c r="AN1710" s="93"/>
      <c r="AO1710" s="92"/>
      <c r="AQ1710" t="s">
        <v>4453</v>
      </c>
      <c r="AS1710">
        <v>1</v>
      </c>
    </row>
    <row r="1711" spans="1:45">
      <c r="A1711">
        <v>713037</v>
      </c>
      <c r="B1711" s="8">
        <v>1001</v>
      </c>
      <c r="C1711" s="8">
        <v>1</v>
      </c>
      <c r="D1711" s="8">
        <v>1001</v>
      </c>
      <c r="E1711" t="s">
        <v>4454</v>
      </c>
      <c r="F1711" t="s">
        <v>4455</v>
      </c>
      <c r="G1711" t="s">
        <v>4456</v>
      </c>
      <c r="H1711" t="s">
        <v>4457</v>
      </c>
      <c r="I1711">
        <v>1</v>
      </c>
      <c r="J1711" s="69">
        <v>4</v>
      </c>
      <c r="K1711" s="33">
        <v>2</v>
      </c>
      <c r="L1711" s="8">
        <v>999</v>
      </c>
      <c r="M1711" s="8">
        <v>0</v>
      </c>
      <c r="O1711" s="249"/>
      <c r="S1711" s="89">
        <v>1</v>
      </c>
      <c r="T1711" s="8">
        <v>3</v>
      </c>
      <c r="U1711" s="89">
        <v>300</v>
      </c>
      <c r="V1711" s="87">
        <v>1</v>
      </c>
      <c r="W1711">
        <v>1</v>
      </c>
      <c r="X1711" s="8">
        <v>1</v>
      </c>
      <c r="Y1711" s="8">
        <v>0</v>
      </c>
      <c r="Z1711" s="33">
        <v>0</v>
      </c>
      <c r="AA1711">
        <v>3</v>
      </c>
      <c r="AB1711" s="89">
        <v>6460</v>
      </c>
      <c r="AC1711" s="87">
        <v>10000</v>
      </c>
      <c r="AE1711" s="62">
        <v>6</v>
      </c>
      <c r="AL1711" s="64">
        <v>1</v>
      </c>
      <c r="AN1711" s="93"/>
      <c r="AO1711" s="92"/>
      <c r="AQ1711" t="s">
        <v>4458</v>
      </c>
      <c r="AS1711">
        <v>1</v>
      </c>
    </row>
    <row r="1712" spans="1:45">
      <c r="A1712">
        <v>713038</v>
      </c>
      <c r="B1712" s="8">
        <v>1001</v>
      </c>
      <c r="C1712" s="8">
        <v>1</v>
      </c>
      <c r="D1712" s="8">
        <v>1001</v>
      </c>
      <c r="E1712" t="s">
        <v>4459</v>
      </c>
      <c r="F1712" t="s">
        <v>4460</v>
      </c>
      <c r="G1712" t="s">
        <v>4461</v>
      </c>
      <c r="H1712" t="s">
        <v>4462</v>
      </c>
      <c r="I1712">
        <v>1</v>
      </c>
      <c r="J1712" s="69">
        <v>4</v>
      </c>
      <c r="K1712" s="33">
        <v>2</v>
      </c>
      <c r="L1712" s="8">
        <v>999</v>
      </c>
      <c r="M1712" s="8">
        <v>0</v>
      </c>
      <c r="O1712" s="249"/>
      <c r="S1712" s="89">
        <v>1</v>
      </c>
      <c r="T1712" s="8">
        <v>3</v>
      </c>
      <c r="U1712" s="89">
        <v>300</v>
      </c>
      <c r="V1712" s="87">
        <v>1</v>
      </c>
      <c r="W1712">
        <v>1</v>
      </c>
      <c r="X1712" s="8">
        <v>1</v>
      </c>
      <c r="Y1712" s="8">
        <v>0</v>
      </c>
      <c r="Z1712" s="33">
        <v>0</v>
      </c>
      <c r="AA1712">
        <v>3</v>
      </c>
      <c r="AB1712" s="89">
        <v>6460</v>
      </c>
      <c r="AC1712" s="87">
        <v>10000</v>
      </c>
      <c r="AE1712" s="62">
        <v>6</v>
      </c>
      <c r="AL1712" s="64">
        <v>1</v>
      </c>
      <c r="AN1712" s="93"/>
      <c r="AO1712" s="92"/>
      <c r="AQ1712" t="s">
        <v>4463</v>
      </c>
      <c r="AS1712">
        <v>1</v>
      </c>
    </row>
    <row r="1713" spans="1:45">
      <c r="A1713">
        <v>713039</v>
      </c>
      <c r="B1713" s="8">
        <v>1001</v>
      </c>
      <c r="C1713" s="8">
        <v>1</v>
      </c>
      <c r="D1713" s="8">
        <v>1001</v>
      </c>
      <c r="E1713" t="s">
        <v>4464</v>
      </c>
      <c r="F1713" t="s">
        <v>4465</v>
      </c>
      <c r="G1713" t="s">
        <v>4466</v>
      </c>
      <c r="H1713" t="s">
        <v>4467</v>
      </c>
      <c r="I1713">
        <v>1</v>
      </c>
      <c r="J1713" s="69">
        <v>4</v>
      </c>
      <c r="K1713" s="33">
        <v>2</v>
      </c>
      <c r="L1713" s="8">
        <v>999</v>
      </c>
      <c r="M1713" s="8">
        <v>0</v>
      </c>
      <c r="O1713" s="249"/>
      <c r="S1713" s="89">
        <v>1</v>
      </c>
      <c r="T1713" s="8">
        <v>3</v>
      </c>
      <c r="U1713" s="89">
        <v>300</v>
      </c>
      <c r="V1713" s="87">
        <v>1</v>
      </c>
      <c r="W1713">
        <v>1</v>
      </c>
      <c r="X1713" s="8">
        <v>1</v>
      </c>
      <c r="Y1713" s="8">
        <v>0</v>
      </c>
      <c r="Z1713" s="33">
        <v>0</v>
      </c>
      <c r="AA1713">
        <v>3</v>
      </c>
      <c r="AB1713" s="89">
        <v>6460</v>
      </c>
      <c r="AC1713" s="87">
        <v>10000</v>
      </c>
      <c r="AE1713" s="62">
        <v>6</v>
      </c>
      <c r="AL1713" s="64">
        <v>1</v>
      </c>
      <c r="AN1713" s="93"/>
      <c r="AO1713" s="92"/>
      <c r="AQ1713" t="s">
        <v>4463</v>
      </c>
      <c r="AS1713">
        <v>1</v>
      </c>
    </row>
    <row r="1714" spans="1:45">
      <c r="A1714">
        <v>713040</v>
      </c>
      <c r="B1714" s="8">
        <v>1001</v>
      </c>
      <c r="C1714" s="8">
        <v>1</v>
      </c>
      <c r="D1714" s="8">
        <v>1001</v>
      </c>
      <c r="E1714" t="s">
        <v>4468</v>
      </c>
      <c r="F1714" t="s">
        <v>4469</v>
      </c>
      <c r="G1714" t="s">
        <v>4470</v>
      </c>
      <c r="H1714" t="s">
        <v>4471</v>
      </c>
      <c r="I1714">
        <v>1</v>
      </c>
      <c r="J1714" s="69">
        <v>4</v>
      </c>
      <c r="K1714" s="33">
        <v>2</v>
      </c>
      <c r="L1714" s="8">
        <v>999</v>
      </c>
      <c r="M1714" s="8">
        <v>0</v>
      </c>
      <c r="O1714" s="249"/>
      <c r="S1714" s="89">
        <v>1</v>
      </c>
      <c r="T1714" s="8">
        <v>3</v>
      </c>
      <c r="U1714" s="89">
        <v>300</v>
      </c>
      <c r="V1714" s="87">
        <v>1</v>
      </c>
      <c r="W1714">
        <v>1</v>
      </c>
      <c r="X1714" s="8">
        <v>1</v>
      </c>
      <c r="Y1714" s="8">
        <v>0</v>
      </c>
      <c r="Z1714" s="33">
        <v>0</v>
      </c>
      <c r="AA1714">
        <v>3</v>
      </c>
      <c r="AB1714" s="89">
        <v>6460</v>
      </c>
      <c r="AC1714" s="87">
        <v>10000</v>
      </c>
      <c r="AE1714" s="62">
        <v>6</v>
      </c>
      <c r="AL1714" s="64">
        <v>1</v>
      </c>
      <c r="AN1714" s="93"/>
      <c r="AO1714" s="92"/>
      <c r="AQ1714" t="s">
        <v>4472</v>
      </c>
      <c r="AS1714">
        <v>1</v>
      </c>
    </row>
    <row r="1715" spans="1:45">
      <c r="A1715">
        <v>713041</v>
      </c>
      <c r="B1715" s="8">
        <v>1001</v>
      </c>
      <c r="C1715" s="8">
        <v>1</v>
      </c>
      <c r="D1715" s="8">
        <v>1001</v>
      </c>
      <c r="E1715" t="s">
        <v>4473</v>
      </c>
      <c r="F1715" t="s">
        <v>4474</v>
      </c>
      <c r="G1715" t="s">
        <v>4475</v>
      </c>
      <c r="H1715" t="s">
        <v>4476</v>
      </c>
      <c r="I1715">
        <v>1</v>
      </c>
      <c r="J1715" s="69">
        <v>4</v>
      </c>
      <c r="K1715" s="33">
        <v>2</v>
      </c>
      <c r="L1715" s="8">
        <v>999</v>
      </c>
      <c r="M1715" s="8">
        <v>0</v>
      </c>
      <c r="O1715" s="249"/>
      <c r="S1715" s="89">
        <v>1</v>
      </c>
      <c r="T1715" s="8">
        <v>3</v>
      </c>
      <c r="U1715" s="89">
        <v>300</v>
      </c>
      <c r="V1715" s="87">
        <v>1</v>
      </c>
      <c r="W1715">
        <v>1</v>
      </c>
      <c r="X1715" s="8">
        <v>1</v>
      </c>
      <c r="Y1715" s="8">
        <v>0</v>
      </c>
      <c r="Z1715" s="33">
        <v>0</v>
      </c>
      <c r="AA1715">
        <v>3</v>
      </c>
      <c r="AB1715" s="89">
        <v>6460</v>
      </c>
      <c r="AC1715" s="87">
        <v>10000</v>
      </c>
      <c r="AE1715" s="62">
        <v>6</v>
      </c>
      <c r="AL1715" s="64">
        <v>1</v>
      </c>
      <c r="AN1715" s="93"/>
      <c r="AO1715" s="92"/>
      <c r="AQ1715" t="s">
        <v>4477</v>
      </c>
      <c r="AS1715">
        <v>1</v>
      </c>
    </row>
    <row r="1716" spans="1:45">
      <c r="A1716">
        <v>713042</v>
      </c>
      <c r="B1716" s="8">
        <v>1001</v>
      </c>
      <c r="C1716" s="8">
        <v>1</v>
      </c>
      <c r="D1716" s="8">
        <v>1001</v>
      </c>
      <c r="E1716" t="s">
        <v>4478</v>
      </c>
      <c r="F1716" t="s">
        <v>4479</v>
      </c>
      <c r="G1716" t="s">
        <v>4480</v>
      </c>
      <c r="H1716" t="s">
        <v>4481</v>
      </c>
      <c r="I1716">
        <v>1</v>
      </c>
      <c r="J1716" s="69">
        <v>4</v>
      </c>
      <c r="K1716" s="33">
        <v>2</v>
      </c>
      <c r="L1716" s="8">
        <v>999</v>
      </c>
      <c r="M1716" s="8">
        <v>0</v>
      </c>
      <c r="O1716" s="249"/>
      <c r="S1716" s="89">
        <v>1</v>
      </c>
      <c r="T1716" s="8">
        <v>3</v>
      </c>
      <c r="U1716" s="89">
        <v>300</v>
      </c>
      <c r="V1716" s="87">
        <v>1</v>
      </c>
      <c r="W1716">
        <v>1</v>
      </c>
      <c r="X1716" s="8">
        <v>1</v>
      </c>
      <c r="Y1716" s="8">
        <v>0</v>
      </c>
      <c r="Z1716" s="33">
        <v>0</v>
      </c>
      <c r="AA1716">
        <v>3</v>
      </c>
      <c r="AB1716" s="89">
        <v>6460</v>
      </c>
      <c r="AC1716" s="87">
        <v>10000</v>
      </c>
      <c r="AE1716" s="62">
        <v>6</v>
      </c>
      <c r="AL1716" s="64">
        <v>1</v>
      </c>
      <c r="AN1716" s="93"/>
      <c r="AO1716" s="92"/>
      <c r="AQ1716" t="s">
        <v>4482</v>
      </c>
      <c r="AS1716">
        <v>1</v>
      </c>
    </row>
    <row r="1717" spans="1:45">
      <c r="A1717">
        <v>713043</v>
      </c>
      <c r="B1717" s="8">
        <v>1001</v>
      </c>
      <c r="C1717" s="8">
        <v>1</v>
      </c>
      <c r="D1717" s="8">
        <v>1001</v>
      </c>
      <c r="E1717" t="s">
        <v>4483</v>
      </c>
      <c r="F1717" t="s">
        <v>4484</v>
      </c>
      <c r="G1717" t="s">
        <v>4485</v>
      </c>
      <c r="H1717" t="s">
        <v>4486</v>
      </c>
      <c r="I1717">
        <v>1</v>
      </c>
      <c r="J1717" s="69">
        <v>4</v>
      </c>
      <c r="K1717" s="33">
        <v>2</v>
      </c>
      <c r="L1717" s="8">
        <v>999</v>
      </c>
      <c r="M1717" s="8">
        <v>0</v>
      </c>
      <c r="O1717" s="249"/>
      <c r="S1717" s="89">
        <v>1</v>
      </c>
      <c r="T1717" s="8">
        <v>3</v>
      </c>
      <c r="U1717" s="89">
        <v>300</v>
      </c>
      <c r="V1717" s="87">
        <v>1</v>
      </c>
      <c r="W1717">
        <v>1</v>
      </c>
      <c r="X1717" s="8">
        <v>1</v>
      </c>
      <c r="Y1717" s="8">
        <v>0</v>
      </c>
      <c r="Z1717" s="33">
        <v>0</v>
      </c>
      <c r="AA1717">
        <v>3</v>
      </c>
      <c r="AB1717" s="89">
        <v>6460</v>
      </c>
      <c r="AC1717" s="87">
        <v>10000</v>
      </c>
      <c r="AE1717" s="62">
        <v>6</v>
      </c>
      <c r="AL1717" s="64">
        <v>1</v>
      </c>
      <c r="AN1717" s="93"/>
      <c r="AO1717" s="92"/>
      <c r="AQ1717" t="s">
        <v>4483</v>
      </c>
      <c r="AS1717">
        <v>1</v>
      </c>
    </row>
    <row r="1718" spans="1:45">
      <c r="A1718">
        <v>713044</v>
      </c>
      <c r="B1718" s="8">
        <v>1001</v>
      </c>
      <c r="C1718" s="8">
        <v>1</v>
      </c>
      <c r="D1718" s="8">
        <v>1001</v>
      </c>
      <c r="E1718" t="s">
        <v>4487</v>
      </c>
      <c r="F1718" t="s">
        <v>4488</v>
      </c>
      <c r="G1718" t="s">
        <v>4489</v>
      </c>
      <c r="H1718" t="s">
        <v>4490</v>
      </c>
      <c r="I1718">
        <v>1</v>
      </c>
      <c r="J1718" s="69">
        <v>4</v>
      </c>
      <c r="K1718" s="33">
        <v>2</v>
      </c>
      <c r="L1718" s="8">
        <v>999</v>
      </c>
      <c r="M1718" s="8">
        <v>0</v>
      </c>
      <c r="O1718" s="249"/>
      <c r="S1718" s="89">
        <v>1</v>
      </c>
      <c r="T1718" s="8">
        <v>3</v>
      </c>
      <c r="U1718" s="89">
        <v>300</v>
      </c>
      <c r="V1718" s="87">
        <v>1</v>
      </c>
      <c r="W1718">
        <v>1</v>
      </c>
      <c r="X1718" s="8">
        <v>1</v>
      </c>
      <c r="Y1718" s="8">
        <v>0</v>
      </c>
      <c r="Z1718" s="33">
        <v>0</v>
      </c>
      <c r="AA1718">
        <v>3</v>
      </c>
      <c r="AB1718" s="89">
        <v>6460</v>
      </c>
      <c r="AC1718" s="87">
        <v>10000</v>
      </c>
      <c r="AE1718" s="62">
        <v>6</v>
      </c>
      <c r="AL1718" s="64">
        <v>1</v>
      </c>
      <c r="AN1718" s="93"/>
      <c r="AO1718" s="92"/>
      <c r="AQ1718" t="s">
        <v>4487</v>
      </c>
      <c r="AS1718">
        <v>1</v>
      </c>
    </row>
    <row r="1719" spans="1:45">
      <c r="A1719">
        <v>713045</v>
      </c>
      <c r="B1719" s="8">
        <v>1001</v>
      </c>
      <c r="C1719" s="8">
        <v>1</v>
      </c>
      <c r="D1719" s="8">
        <v>1001</v>
      </c>
      <c r="E1719" t="s">
        <v>4491</v>
      </c>
      <c r="F1719" t="s">
        <v>4492</v>
      </c>
      <c r="G1719" t="s">
        <v>4493</v>
      </c>
      <c r="H1719" t="s">
        <v>4494</v>
      </c>
      <c r="I1719">
        <v>1</v>
      </c>
      <c r="J1719" s="69">
        <v>4</v>
      </c>
      <c r="K1719" s="33">
        <v>2</v>
      </c>
      <c r="L1719" s="8">
        <v>999</v>
      </c>
      <c r="M1719" s="8">
        <v>0</v>
      </c>
      <c r="O1719" s="249"/>
      <c r="S1719" s="89">
        <v>1</v>
      </c>
      <c r="T1719" s="8">
        <v>3</v>
      </c>
      <c r="U1719" s="89">
        <v>300</v>
      </c>
      <c r="V1719" s="87">
        <v>1</v>
      </c>
      <c r="W1719">
        <v>1</v>
      </c>
      <c r="X1719" s="8">
        <v>1</v>
      </c>
      <c r="Y1719" s="8">
        <v>0</v>
      </c>
      <c r="Z1719" s="33">
        <v>0</v>
      </c>
      <c r="AA1719">
        <v>3</v>
      </c>
      <c r="AB1719" s="89">
        <v>6460</v>
      </c>
      <c r="AC1719" s="87">
        <v>10000</v>
      </c>
      <c r="AE1719" s="62">
        <v>6</v>
      </c>
      <c r="AL1719" s="64">
        <v>1</v>
      </c>
      <c r="AN1719" s="93"/>
      <c r="AO1719" s="92"/>
      <c r="AQ1719" t="s">
        <v>4495</v>
      </c>
      <c r="AS1719">
        <v>1</v>
      </c>
    </row>
    <row r="1720" spans="1:45">
      <c r="A1720">
        <v>713046</v>
      </c>
      <c r="B1720" s="8">
        <v>1001</v>
      </c>
      <c r="C1720" s="8">
        <v>1</v>
      </c>
      <c r="D1720" s="8">
        <v>1001</v>
      </c>
      <c r="E1720" t="s">
        <v>4496</v>
      </c>
      <c r="F1720" t="s">
        <v>4497</v>
      </c>
      <c r="G1720" t="s">
        <v>4498</v>
      </c>
      <c r="H1720" t="s">
        <v>4499</v>
      </c>
      <c r="I1720">
        <v>1</v>
      </c>
      <c r="J1720" s="69">
        <v>4</v>
      </c>
      <c r="K1720" s="33">
        <v>2</v>
      </c>
      <c r="L1720" s="8">
        <v>999</v>
      </c>
      <c r="M1720" s="8">
        <v>0</v>
      </c>
      <c r="O1720" s="249"/>
      <c r="S1720" s="89">
        <v>1</v>
      </c>
      <c r="T1720" s="8">
        <v>3</v>
      </c>
      <c r="U1720" s="89">
        <v>300</v>
      </c>
      <c r="V1720" s="87">
        <v>1</v>
      </c>
      <c r="W1720">
        <v>1</v>
      </c>
      <c r="X1720" s="8">
        <v>1</v>
      </c>
      <c r="Y1720" s="8">
        <v>0</v>
      </c>
      <c r="Z1720" s="33">
        <v>0</v>
      </c>
      <c r="AA1720">
        <v>3</v>
      </c>
      <c r="AB1720" s="89">
        <v>6460</v>
      </c>
      <c r="AC1720" s="87">
        <v>10000</v>
      </c>
      <c r="AE1720" s="62">
        <v>6</v>
      </c>
      <c r="AL1720" s="64">
        <v>1</v>
      </c>
      <c r="AN1720" s="93"/>
      <c r="AO1720" s="92"/>
      <c r="AQ1720" t="s">
        <v>4500</v>
      </c>
      <c r="AS1720">
        <v>1</v>
      </c>
    </row>
    <row r="1721" spans="1:45">
      <c r="A1721">
        <v>713047</v>
      </c>
      <c r="B1721" s="8">
        <v>1001</v>
      </c>
      <c r="C1721" s="8">
        <v>1</v>
      </c>
      <c r="D1721" s="8">
        <v>1001</v>
      </c>
      <c r="E1721" t="s">
        <v>4501</v>
      </c>
      <c r="F1721" t="s">
        <v>4502</v>
      </c>
      <c r="G1721" t="s">
        <v>4503</v>
      </c>
      <c r="H1721" t="s">
        <v>4504</v>
      </c>
      <c r="I1721">
        <v>1</v>
      </c>
      <c r="J1721" s="69">
        <v>4</v>
      </c>
      <c r="K1721" s="33">
        <v>2</v>
      </c>
      <c r="L1721" s="8">
        <v>999</v>
      </c>
      <c r="M1721" s="8">
        <v>0</v>
      </c>
      <c r="O1721" s="249"/>
      <c r="S1721" s="89">
        <v>1</v>
      </c>
      <c r="T1721" s="8">
        <v>3</v>
      </c>
      <c r="U1721" s="89">
        <v>300</v>
      </c>
      <c r="V1721" s="87">
        <v>1</v>
      </c>
      <c r="W1721">
        <v>1</v>
      </c>
      <c r="X1721" s="8">
        <v>1</v>
      </c>
      <c r="Y1721" s="8">
        <v>0</v>
      </c>
      <c r="Z1721" s="33">
        <v>0</v>
      </c>
      <c r="AA1721">
        <v>3</v>
      </c>
      <c r="AB1721" s="89">
        <v>6460</v>
      </c>
      <c r="AC1721" s="87">
        <v>10000</v>
      </c>
      <c r="AE1721" s="62">
        <v>6</v>
      </c>
      <c r="AL1721" s="64">
        <v>1</v>
      </c>
      <c r="AN1721" s="93"/>
      <c r="AO1721" s="92"/>
      <c r="AQ1721" t="s">
        <v>4505</v>
      </c>
      <c r="AS1721">
        <v>1</v>
      </c>
    </row>
    <row r="1722" spans="1:45">
      <c r="A1722">
        <v>713048</v>
      </c>
      <c r="B1722" s="8">
        <v>1001</v>
      </c>
      <c r="C1722" s="8">
        <v>1</v>
      </c>
      <c r="D1722" s="8">
        <v>1001</v>
      </c>
      <c r="E1722" t="s">
        <v>4506</v>
      </c>
      <c r="F1722" t="s">
        <v>4507</v>
      </c>
      <c r="G1722" t="s">
        <v>4508</v>
      </c>
      <c r="H1722" t="s">
        <v>4509</v>
      </c>
      <c r="I1722">
        <v>1</v>
      </c>
      <c r="J1722" s="69">
        <v>4</v>
      </c>
      <c r="K1722" s="33">
        <v>2</v>
      </c>
      <c r="L1722" s="8">
        <v>999</v>
      </c>
      <c r="M1722" s="8">
        <v>0</v>
      </c>
      <c r="O1722" s="249"/>
      <c r="S1722" s="89">
        <v>1</v>
      </c>
      <c r="T1722" s="8">
        <v>3</v>
      </c>
      <c r="U1722" s="89">
        <v>300</v>
      </c>
      <c r="V1722" s="87">
        <v>1</v>
      </c>
      <c r="W1722">
        <v>1</v>
      </c>
      <c r="X1722" s="8">
        <v>1</v>
      </c>
      <c r="Y1722" s="8">
        <v>0</v>
      </c>
      <c r="Z1722" s="33">
        <v>0</v>
      </c>
      <c r="AA1722">
        <v>3</v>
      </c>
      <c r="AB1722" s="89">
        <v>6460</v>
      </c>
      <c r="AC1722" s="87">
        <v>10000</v>
      </c>
      <c r="AE1722" s="62">
        <v>6</v>
      </c>
      <c r="AL1722" s="64">
        <v>1</v>
      </c>
      <c r="AN1722" s="93"/>
      <c r="AO1722" s="92"/>
      <c r="AQ1722" t="s">
        <v>4505</v>
      </c>
      <c r="AS1722">
        <v>1</v>
      </c>
    </row>
    <row r="1723" spans="1:45">
      <c r="A1723">
        <v>713049</v>
      </c>
      <c r="B1723" s="8">
        <v>1001</v>
      </c>
      <c r="C1723" s="8">
        <v>1</v>
      </c>
      <c r="D1723" s="8">
        <v>1001</v>
      </c>
      <c r="E1723" t="s">
        <v>4510</v>
      </c>
      <c r="F1723" t="s">
        <v>4511</v>
      </c>
      <c r="G1723" t="s">
        <v>4512</v>
      </c>
      <c r="H1723" t="s">
        <v>4513</v>
      </c>
      <c r="I1723">
        <v>1</v>
      </c>
      <c r="J1723" s="69">
        <v>4</v>
      </c>
      <c r="K1723" s="33">
        <v>2</v>
      </c>
      <c r="L1723" s="8">
        <v>999</v>
      </c>
      <c r="M1723" s="8">
        <v>0</v>
      </c>
      <c r="O1723" s="249"/>
      <c r="S1723" s="89">
        <v>1</v>
      </c>
      <c r="T1723" s="8">
        <v>3</v>
      </c>
      <c r="U1723" s="89">
        <v>300</v>
      </c>
      <c r="V1723" s="87">
        <v>1</v>
      </c>
      <c r="W1723">
        <v>1</v>
      </c>
      <c r="X1723" s="8">
        <v>1</v>
      </c>
      <c r="Y1723" s="8">
        <v>0</v>
      </c>
      <c r="Z1723" s="33">
        <v>0</v>
      </c>
      <c r="AA1723">
        <v>3</v>
      </c>
      <c r="AB1723" s="89">
        <v>6460</v>
      </c>
      <c r="AC1723" s="87">
        <v>10000</v>
      </c>
      <c r="AE1723" s="62">
        <v>6</v>
      </c>
      <c r="AL1723" s="64">
        <v>1</v>
      </c>
      <c r="AN1723" s="93"/>
      <c r="AO1723" s="92"/>
      <c r="AQ1723" t="s">
        <v>4514</v>
      </c>
      <c r="AS1723">
        <v>1</v>
      </c>
    </row>
    <row r="1724" spans="1:45">
      <c r="A1724">
        <v>713050</v>
      </c>
      <c r="B1724" s="8">
        <v>1001</v>
      </c>
      <c r="C1724" s="8">
        <v>1</v>
      </c>
      <c r="D1724" s="8">
        <v>1001</v>
      </c>
      <c r="E1724" t="s">
        <v>4515</v>
      </c>
      <c r="F1724" t="s">
        <v>4516</v>
      </c>
      <c r="G1724" t="s">
        <v>4517</v>
      </c>
      <c r="H1724" t="s">
        <v>4518</v>
      </c>
      <c r="I1724">
        <v>1</v>
      </c>
      <c r="J1724" s="69">
        <v>4</v>
      </c>
      <c r="K1724" s="33">
        <v>2</v>
      </c>
      <c r="L1724" s="8">
        <v>999</v>
      </c>
      <c r="M1724" s="8">
        <v>0</v>
      </c>
      <c r="O1724" s="249"/>
      <c r="S1724" s="89">
        <v>1</v>
      </c>
      <c r="T1724" s="8">
        <v>3</v>
      </c>
      <c r="U1724" s="89">
        <v>300</v>
      </c>
      <c r="V1724" s="87">
        <v>1</v>
      </c>
      <c r="W1724">
        <v>1</v>
      </c>
      <c r="X1724" s="8">
        <v>1</v>
      </c>
      <c r="Y1724" s="8">
        <v>0</v>
      </c>
      <c r="Z1724" s="33">
        <v>0</v>
      </c>
      <c r="AA1724">
        <v>3</v>
      </c>
      <c r="AB1724" s="89">
        <v>6460</v>
      </c>
      <c r="AC1724" s="87">
        <v>10000</v>
      </c>
      <c r="AE1724" s="62">
        <v>6</v>
      </c>
      <c r="AL1724" s="64">
        <v>1</v>
      </c>
      <c r="AN1724" s="93"/>
      <c r="AO1724" s="92"/>
      <c r="AQ1724" t="s">
        <v>4519</v>
      </c>
      <c r="AS1724">
        <v>1</v>
      </c>
    </row>
    <row r="1725" spans="1:45">
      <c r="A1725">
        <v>713051</v>
      </c>
      <c r="B1725" s="8">
        <v>1001</v>
      </c>
      <c r="C1725" s="8">
        <v>1</v>
      </c>
      <c r="D1725" s="8">
        <v>1001</v>
      </c>
      <c r="E1725" t="s">
        <v>4520</v>
      </c>
      <c r="F1725" t="s">
        <v>4521</v>
      </c>
      <c r="G1725" t="s">
        <v>4522</v>
      </c>
      <c r="H1725" t="s">
        <v>4523</v>
      </c>
      <c r="I1725">
        <v>1</v>
      </c>
      <c r="J1725" s="69">
        <v>4</v>
      </c>
      <c r="K1725" s="33">
        <v>2</v>
      </c>
      <c r="L1725" s="8">
        <v>999</v>
      </c>
      <c r="M1725" s="8">
        <v>0</v>
      </c>
      <c r="O1725" s="249"/>
      <c r="S1725" s="89">
        <v>1</v>
      </c>
      <c r="T1725" s="8">
        <v>3</v>
      </c>
      <c r="U1725" s="89">
        <v>300</v>
      </c>
      <c r="V1725" s="87">
        <v>1</v>
      </c>
      <c r="W1725">
        <v>1</v>
      </c>
      <c r="X1725" s="8">
        <v>1</v>
      </c>
      <c r="Y1725" s="8">
        <v>0</v>
      </c>
      <c r="Z1725" s="33">
        <v>0</v>
      </c>
      <c r="AA1725">
        <v>3</v>
      </c>
      <c r="AB1725" s="89">
        <v>6460</v>
      </c>
      <c r="AC1725" s="87">
        <v>10000</v>
      </c>
      <c r="AE1725" s="62">
        <v>6</v>
      </c>
      <c r="AL1725" s="64">
        <v>1</v>
      </c>
      <c r="AN1725" s="93"/>
      <c r="AO1725" s="92"/>
      <c r="AQ1725" t="s">
        <v>4519</v>
      </c>
      <c r="AS1725">
        <v>1</v>
      </c>
    </row>
    <row r="1726" spans="1:45">
      <c r="A1726">
        <v>713052</v>
      </c>
      <c r="B1726" s="8">
        <v>1001</v>
      </c>
      <c r="C1726" s="8">
        <v>1</v>
      </c>
      <c r="D1726" s="8">
        <v>1001</v>
      </c>
      <c r="E1726" t="s">
        <v>4524</v>
      </c>
      <c r="F1726" t="s">
        <v>4525</v>
      </c>
      <c r="G1726" t="s">
        <v>4526</v>
      </c>
      <c r="H1726" t="s">
        <v>4527</v>
      </c>
      <c r="I1726">
        <v>1</v>
      </c>
      <c r="J1726" s="69">
        <v>4</v>
      </c>
      <c r="K1726" s="33">
        <v>2</v>
      </c>
      <c r="L1726" s="8">
        <v>999</v>
      </c>
      <c r="M1726" s="8">
        <v>0</v>
      </c>
      <c r="O1726" s="249"/>
      <c r="S1726" s="89">
        <v>1</v>
      </c>
      <c r="T1726" s="8">
        <v>3</v>
      </c>
      <c r="U1726" s="89">
        <v>300</v>
      </c>
      <c r="V1726" s="87">
        <v>1</v>
      </c>
      <c r="W1726">
        <v>1</v>
      </c>
      <c r="X1726" s="8">
        <v>1</v>
      </c>
      <c r="Y1726" s="8">
        <v>0</v>
      </c>
      <c r="Z1726" s="33">
        <v>0</v>
      </c>
      <c r="AA1726">
        <v>3</v>
      </c>
      <c r="AB1726" s="89">
        <v>6460</v>
      </c>
      <c r="AC1726" s="87">
        <v>10000</v>
      </c>
      <c r="AE1726" s="62">
        <v>6</v>
      </c>
      <c r="AL1726" s="64">
        <v>1</v>
      </c>
      <c r="AN1726" s="93"/>
      <c r="AO1726" s="92"/>
      <c r="AQ1726" t="s">
        <v>4524</v>
      </c>
      <c r="AS1726">
        <v>1</v>
      </c>
    </row>
    <row r="1727" spans="1:45">
      <c r="A1727">
        <v>713053</v>
      </c>
      <c r="B1727" s="8">
        <v>1001</v>
      </c>
      <c r="C1727" s="8">
        <v>1</v>
      </c>
      <c r="D1727" s="8">
        <v>1001</v>
      </c>
      <c r="E1727" t="s">
        <v>4528</v>
      </c>
      <c r="F1727" t="s">
        <v>4529</v>
      </c>
      <c r="G1727" t="s">
        <v>4530</v>
      </c>
      <c r="H1727" t="s">
        <v>4531</v>
      </c>
      <c r="I1727">
        <v>1</v>
      </c>
      <c r="J1727" s="69">
        <v>4</v>
      </c>
      <c r="K1727" s="33">
        <v>2</v>
      </c>
      <c r="L1727" s="8">
        <v>999</v>
      </c>
      <c r="M1727" s="8">
        <v>0</v>
      </c>
      <c r="O1727" s="249"/>
      <c r="S1727" s="89">
        <v>1</v>
      </c>
      <c r="T1727" s="8">
        <v>3</v>
      </c>
      <c r="U1727" s="89">
        <v>300</v>
      </c>
      <c r="V1727" s="87">
        <v>1</v>
      </c>
      <c r="W1727">
        <v>1</v>
      </c>
      <c r="X1727" s="8">
        <v>1</v>
      </c>
      <c r="Y1727" s="8">
        <v>0</v>
      </c>
      <c r="Z1727" s="33">
        <v>0</v>
      </c>
      <c r="AA1727">
        <v>3</v>
      </c>
      <c r="AB1727" s="89">
        <v>6460</v>
      </c>
      <c r="AC1727" s="87">
        <v>10000</v>
      </c>
      <c r="AE1727" s="62">
        <v>6</v>
      </c>
      <c r="AL1727" s="64">
        <v>1</v>
      </c>
      <c r="AN1727" s="93"/>
      <c r="AO1727" s="92"/>
      <c r="AQ1727" t="s">
        <v>4532</v>
      </c>
      <c r="AS1727">
        <v>1</v>
      </c>
    </row>
    <row r="1728" spans="1:45">
      <c r="A1728">
        <v>713054</v>
      </c>
      <c r="B1728" s="8">
        <v>1001</v>
      </c>
      <c r="C1728" s="8">
        <v>1</v>
      </c>
      <c r="D1728" s="8">
        <v>1001</v>
      </c>
      <c r="E1728" t="s">
        <v>4533</v>
      </c>
      <c r="F1728" t="s">
        <v>4534</v>
      </c>
      <c r="G1728" t="s">
        <v>4535</v>
      </c>
      <c r="H1728" t="s">
        <v>4536</v>
      </c>
      <c r="I1728">
        <v>1</v>
      </c>
      <c r="J1728" s="69">
        <v>4</v>
      </c>
      <c r="K1728" s="33">
        <v>2</v>
      </c>
      <c r="L1728" s="8">
        <v>999</v>
      </c>
      <c r="M1728" s="8">
        <v>0</v>
      </c>
      <c r="O1728" s="249"/>
      <c r="S1728" s="89">
        <v>1</v>
      </c>
      <c r="T1728" s="8">
        <v>3</v>
      </c>
      <c r="U1728" s="89">
        <v>300</v>
      </c>
      <c r="V1728" s="87">
        <v>1</v>
      </c>
      <c r="W1728">
        <v>1</v>
      </c>
      <c r="X1728" s="8">
        <v>1</v>
      </c>
      <c r="Y1728" s="8">
        <v>0</v>
      </c>
      <c r="Z1728" s="33">
        <v>0</v>
      </c>
      <c r="AA1728">
        <v>3</v>
      </c>
      <c r="AB1728" s="89">
        <v>6460</v>
      </c>
      <c r="AC1728" s="87">
        <v>10000</v>
      </c>
      <c r="AE1728" s="62">
        <v>6</v>
      </c>
      <c r="AL1728" s="64">
        <v>1</v>
      </c>
      <c r="AN1728" s="93"/>
      <c r="AO1728" s="92"/>
      <c r="AQ1728" t="s">
        <v>4537</v>
      </c>
      <c r="AS1728">
        <v>1</v>
      </c>
    </row>
    <row r="1729" spans="1:45">
      <c r="A1729">
        <v>713055</v>
      </c>
      <c r="B1729" s="8">
        <v>1001</v>
      </c>
      <c r="C1729" s="8">
        <v>1</v>
      </c>
      <c r="D1729" s="8">
        <v>1001</v>
      </c>
      <c r="E1729" t="s">
        <v>4538</v>
      </c>
      <c r="F1729" t="s">
        <v>4539</v>
      </c>
      <c r="G1729" t="s">
        <v>4540</v>
      </c>
      <c r="H1729" t="s">
        <v>4541</v>
      </c>
      <c r="I1729">
        <v>1</v>
      </c>
      <c r="J1729" s="69">
        <v>4</v>
      </c>
      <c r="K1729" s="33">
        <v>2</v>
      </c>
      <c r="L1729" s="8">
        <v>999</v>
      </c>
      <c r="M1729" s="8">
        <v>0</v>
      </c>
      <c r="O1729" s="249"/>
      <c r="S1729" s="89">
        <v>1</v>
      </c>
      <c r="T1729" s="8">
        <v>3</v>
      </c>
      <c r="U1729" s="89">
        <v>300</v>
      </c>
      <c r="V1729" s="87">
        <v>1</v>
      </c>
      <c r="W1729">
        <v>1</v>
      </c>
      <c r="X1729" s="8">
        <v>1</v>
      </c>
      <c r="Y1729" s="8">
        <v>0</v>
      </c>
      <c r="Z1729" s="33">
        <v>0</v>
      </c>
      <c r="AA1729">
        <v>3</v>
      </c>
      <c r="AB1729" s="89">
        <v>6460</v>
      </c>
      <c r="AC1729" s="87">
        <v>10000</v>
      </c>
      <c r="AE1729" s="62">
        <v>6</v>
      </c>
      <c r="AL1729" s="64">
        <v>1</v>
      </c>
      <c r="AN1729" s="93"/>
      <c r="AO1729" s="92"/>
      <c r="AQ1729" t="s">
        <v>4538</v>
      </c>
      <c r="AS1729">
        <v>1</v>
      </c>
    </row>
    <row r="1730" spans="1:45">
      <c r="A1730">
        <v>713056</v>
      </c>
      <c r="B1730" s="8">
        <v>1001</v>
      </c>
      <c r="C1730" s="8">
        <v>1</v>
      </c>
      <c r="D1730" s="8">
        <v>1001</v>
      </c>
      <c r="E1730" t="s">
        <v>4542</v>
      </c>
      <c r="F1730" t="s">
        <v>4543</v>
      </c>
      <c r="G1730" t="s">
        <v>4544</v>
      </c>
      <c r="H1730" t="s">
        <v>4545</v>
      </c>
      <c r="I1730">
        <v>1</v>
      </c>
      <c r="J1730" s="69">
        <v>4</v>
      </c>
      <c r="K1730" s="33">
        <v>2</v>
      </c>
      <c r="L1730" s="8">
        <v>999</v>
      </c>
      <c r="M1730" s="8">
        <v>0</v>
      </c>
      <c r="O1730" s="249"/>
      <c r="S1730" s="89">
        <v>1</v>
      </c>
      <c r="T1730" s="8">
        <v>3</v>
      </c>
      <c r="U1730" s="89">
        <v>300</v>
      </c>
      <c r="V1730" s="87">
        <v>1</v>
      </c>
      <c r="W1730">
        <v>1</v>
      </c>
      <c r="X1730" s="8">
        <v>1</v>
      </c>
      <c r="Y1730" s="8">
        <v>0</v>
      </c>
      <c r="Z1730" s="33">
        <v>0</v>
      </c>
      <c r="AA1730">
        <v>3</v>
      </c>
      <c r="AB1730" s="89">
        <v>6460</v>
      </c>
      <c r="AC1730" s="87">
        <v>10000</v>
      </c>
      <c r="AE1730" s="62">
        <v>6</v>
      </c>
      <c r="AL1730" s="64">
        <v>1</v>
      </c>
      <c r="AN1730" s="93"/>
      <c r="AO1730" s="92"/>
      <c r="AQ1730" t="s">
        <v>4542</v>
      </c>
      <c r="AS1730">
        <v>1</v>
      </c>
    </row>
    <row r="1731" spans="1:45">
      <c r="A1731">
        <v>713057</v>
      </c>
      <c r="B1731" s="8">
        <v>1001</v>
      </c>
      <c r="C1731" s="8">
        <v>1</v>
      </c>
      <c r="D1731" s="8">
        <v>1001</v>
      </c>
      <c r="E1731" t="s">
        <v>4546</v>
      </c>
      <c r="F1731" t="s">
        <v>4547</v>
      </c>
      <c r="G1731" t="s">
        <v>4548</v>
      </c>
      <c r="H1731" t="s">
        <v>4549</v>
      </c>
      <c r="I1731">
        <v>1</v>
      </c>
      <c r="J1731" s="69">
        <v>4</v>
      </c>
      <c r="K1731" s="33">
        <v>2</v>
      </c>
      <c r="L1731" s="8">
        <v>999</v>
      </c>
      <c r="M1731" s="8">
        <v>0</v>
      </c>
      <c r="O1731" s="249"/>
      <c r="S1731" s="89">
        <v>1</v>
      </c>
      <c r="T1731" s="8">
        <v>3</v>
      </c>
      <c r="U1731" s="89">
        <v>300</v>
      </c>
      <c r="V1731" s="87">
        <v>1</v>
      </c>
      <c r="W1731">
        <v>1</v>
      </c>
      <c r="X1731" s="8">
        <v>1</v>
      </c>
      <c r="Y1731" s="8">
        <v>0</v>
      </c>
      <c r="Z1731" s="33">
        <v>0</v>
      </c>
      <c r="AA1731">
        <v>3</v>
      </c>
      <c r="AB1731" s="89">
        <v>6460</v>
      </c>
      <c r="AC1731" s="87">
        <v>10000</v>
      </c>
      <c r="AE1731" s="62">
        <v>6</v>
      </c>
      <c r="AL1731" s="64">
        <v>1</v>
      </c>
      <c r="AN1731" s="93"/>
      <c r="AO1731" s="92"/>
      <c r="AQ1731" t="s">
        <v>4550</v>
      </c>
      <c r="AS1731">
        <v>1</v>
      </c>
    </row>
    <row r="1732" spans="1:45">
      <c r="A1732">
        <v>713058</v>
      </c>
      <c r="B1732" s="8">
        <v>1001</v>
      </c>
      <c r="C1732" s="8">
        <v>1</v>
      </c>
      <c r="D1732" s="8">
        <v>1001</v>
      </c>
      <c r="E1732" t="s">
        <v>4551</v>
      </c>
      <c r="F1732" t="s">
        <v>4552</v>
      </c>
      <c r="G1732" t="s">
        <v>4553</v>
      </c>
      <c r="H1732" t="s">
        <v>4554</v>
      </c>
      <c r="I1732">
        <v>1</v>
      </c>
      <c r="J1732" s="69">
        <v>4</v>
      </c>
      <c r="K1732" s="33">
        <v>2</v>
      </c>
      <c r="L1732" s="8">
        <v>999</v>
      </c>
      <c r="M1732" s="8">
        <v>0</v>
      </c>
      <c r="O1732" s="249"/>
      <c r="S1732" s="89">
        <v>1</v>
      </c>
      <c r="T1732" s="8">
        <v>3</v>
      </c>
      <c r="U1732" s="89">
        <v>300</v>
      </c>
      <c r="V1732" s="87">
        <v>1</v>
      </c>
      <c r="W1732">
        <v>1</v>
      </c>
      <c r="X1732" s="8">
        <v>1</v>
      </c>
      <c r="Y1732" s="8">
        <v>0</v>
      </c>
      <c r="Z1732" s="33">
        <v>0</v>
      </c>
      <c r="AA1732">
        <v>3</v>
      </c>
      <c r="AB1732" s="89">
        <v>6460</v>
      </c>
      <c r="AC1732" s="87">
        <v>10000</v>
      </c>
      <c r="AE1732" s="62">
        <v>6</v>
      </c>
      <c r="AL1732" s="64">
        <v>1</v>
      </c>
      <c r="AN1732" s="93"/>
      <c r="AO1732" s="92"/>
      <c r="AQ1732" t="s">
        <v>4555</v>
      </c>
      <c r="AS1732">
        <v>1</v>
      </c>
    </row>
    <row r="1733" spans="1:45">
      <c r="A1733">
        <v>713059</v>
      </c>
      <c r="B1733" s="8">
        <v>1001</v>
      </c>
      <c r="C1733" s="8">
        <v>1</v>
      </c>
      <c r="D1733" s="8">
        <v>1001</v>
      </c>
      <c r="E1733" t="s">
        <v>4556</v>
      </c>
      <c r="F1733" t="s">
        <v>4557</v>
      </c>
      <c r="G1733" t="s">
        <v>4558</v>
      </c>
      <c r="H1733" t="s">
        <v>4559</v>
      </c>
      <c r="I1733">
        <v>1</v>
      </c>
      <c r="J1733" s="69">
        <v>4</v>
      </c>
      <c r="K1733" s="33">
        <v>2</v>
      </c>
      <c r="L1733" s="8">
        <v>999</v>
      </c>
      <c r="M1733" s="8">
        <v>0</v>
      </c>
      <c r="O1733" s="249"/>
      <c r="S1733" s="89">
        <v>1</v>
      </c>
      <c r="T1733" s="8">
        <v>3</v>
      </c>
      <c r="U1733" s="89">
        <v>300</v>
      </c>
      <c r="V1733" s="87">
        <v>1</v>
      </c>
      <c r="W1733">
        <v>1</v>
      </c>
      <c r="X1733" s="8">
        <v>1</v>
      </c>
      <c r="Y1733" s="8">
        <v>0</v>
      </c>
      <c r="Z1733" s="33">
        <v>0</v>
      </c>
      <c r="AA1733">
        <v>3</v>
      </c>
      <c r="AB1733" s="89">
        <v>6460</v>
      </c>
      <c r="AC1733" s="87">
        <v>10000</v>
      </c>
      <c r="AE1733" s="62">
        <v>6</v>
      </c>
      <c r="AL1733" s="64">
        <v>1</v>
      </c>
      <c r="AN1733" s="93"/>
      <c r="AO1733" s="92"/>
      <c r="AQ1733" t="s">
        <v>4556</v>
      </c>
      <c r="AS1733">
        <v>1</v>
      </c>
    </row>
    <row r="1734" spans="1:45">
      <c r="A1734">
        <v>713060</v>
      </c>
      <c r="B1734" s="8">
        <v>1001</v>
      </c>
      <c r="C1734" s="8">
        <v>1</v>
      </c>
      <c r="D1734" s="8">
        <v>1001</v>
      </c>
      <c r="E1734" t="s">
        <v>4560</v>
      </c>
      <c r="F1734" t="s">
        <v>4561</v>
      </c>
      <c r="G1734" t="s">
        <v>4562</v>
      </c>
      <c r="H1734" t="s">
        <v>4563</v>
      </c>
      <c r="I1734">
        <v>1</v>
      </c>
      <c r="J1734" s="69">
        <v>4</v>
      </c>
      <c r="K1734" s="33">
        <v>2</v>
      </c>
      <c r="L1734" s="8">
        <v>999</v>
      </c>
      <c r="M1734" s="8">
        <v>0</v>
      </c>
      <c r="O1734" s="249"/>
      <c r="S1734" s="89">
        <v>1</v>
      </c>
      <c r="T1734" s="8">
        <v>3</v>
      </c>
      <c r="U1734" s="89">
        <v>300</v>
      </c>
      <c r="V1734" s="87">
        <v>1</v>
      </c>
      <c r="W1734">
        <v>1</v>
      </c>
      <c r="X1734" s="8">
        <v>1</v>
      </c>
      <c r="Y1734" s="8">
        <v>0</v>
      </c>
      <c r="Z1734" s="33">
        <v>0</v>
      </c>
      <c r="AA1734">
        <v>3</v>
      </c>
      <c r="AB1734" s="89">
        <v>6460</v>
      </c>
      <c r="AC1734" s="87">
        <v>10000</v>
      </c>
      <c r="AE1734" s="62">
        <v>6</v>
      </c>
      <c r="AL1734" s="64">
        <v>1</v>
      </c>
      <c r="AN1734" s="93"/>
      <c r="AO1734" s="92"/>
      <c r="AQ1734" t="s">
        <v>4560</v>
      </c>
      <c r="AS1734">
        <v>1</v>
      </c>
    </row>
    <row r="1735" spans="1:45">
      <c r="A1735">
        <v>713061</v>
      </c>
      <c r="B1735" s="8">
        <v>1001</v>
      </c>
      <c r="C1735" s="8">
        <v>1</v>
      </c>
      <c r="D1735" s="8">
        <v>1001</v>
      </c>
      <c r="E1735" t="s">
        <v>4564</v>
      </c>
      <c r="F1735" t="s">
        <v>4565</v>
      </c>
      <c r="G1735" t="s">
        <v>4566</v>
      </c>
      <c r="H1735" t="s">
        <v>4567</v>
      </c>
      <c r="I1735">
        <v>1</v>
      </c>
      <c r="J1735" s="69">
        <v>4</v>
      </c>
      <c r="K1735" s="33">
        <v>2</v>
      </c>
      <c r="L1735" s="8">
        <v>999</v>
      </c>
      <c r="M1735" s="8">
        <v>0</v>
      </c>
      <c r="O1735" s="249"/>
      <c r="S1735" s="89">
        <v>1</v>
      </c>
      <c r="T1735" s="8">
        <v>3</v>
      </c>
      <c r="U1735" s="89">
        <v>300</v>
      </c>
      <c r="V1735" s="87">
        <v>1</v>
      </c>
      <c r="W1735">
        <v>1</v>
      </c>
      <c r="X1735" s="8">
        <v>1</v>
      </c>
      <c r="Y1735" s="8">
        <v>0</v>
      </c>
      <c r="Z1735" s="33">
        <v>0</v>
      </c>
      <c r="AA1735">
        <v>3</v>
      </c>
      <c r="AB1735" s="89">
        <v>6460</v>
      </c>
      <c r="AC1735" s="87">
        <v>10000</v>
      </c>
      <c r="AE1735" s="62">
        <v>6</v>
      </c>
      <c r="AL1735" s="64">
        <v>1</v>
      </c>
      <c r="AN1735" s="93"/>
      <c r="AO1735" s="92"/>
      <c r="AQ1735" t="s">
        <v>4564</v>
      </c>
      <c r="AS1735">
        <v>1</v>
      </c>
    </row>
    <row r="1736" spans="1:45">
      <c r="A1736">
        <v>713062</v>
      </c>
      <c r="B1736" s="8">
        <v>1001</v>
      </c>
      <c r="C1736" s="8">
        <v>1</v>
      </c>
      <c r="D1736" s="8">
        <v>1001</v>
      </c>
      <c r="E1736" t="s">
        <v>4568</v>
      </c>
      <c r="F1736" t="s">
        <v>4569</v>
      </c>
      <c r="G1736" t="s">
        <v>4570</v>
      </c>
      <c r="H1736" t="s">
        <v>4571</v>
      </c>
      <c r="I1736">
        <v>1</v>
      </c>
      <c r="J1736" s="69">
        <v>4</v>
      </c>
      <c r="K1736" s="33">
        <v>2</v>
      </c>
      <c r="L1736" s="8">
        <v>999</v>
      </c>
      <c r="M1736" s="8">
        <v>0</v>
      </c>
      <c r="O1736" s="249"/>
      <c r="S1736" s="89">
        <v>1</v>
      </c>
      <c r="T1736" s="8">
        <v>3</v>
      </c>
      <c r="U1736" s="89">
        <v>300</v>
      </c>
      <c r="V1736" s="87">
        <v>1</v>
      </c>
      <c r="W1736">
        <v>1</v>
      </c>
      <c r="X1736" s="8">
        <v>1</v>
      </c>
      <c r="Y1736" s="8">
        <v>0</v>
      </c>
      <c r="Z1736" s="33">
        <v>0</v>
      </c>
      <c r="AA1736">
        <v>3</v>
      </c>
      <c r="AB1736" s="89">
        <v>6460</v>
      </c>
      <c r="AC1736" s="87">
        <v>10000</v>
      </c>
      <c r="AE1736" s="62">
        <v>6</v>
      </c>
      <c r="AL1736" s="64">
        <v>1</v>
      </c>
      <c r="AN1736" s="93"/>
      <c r="AO1736" s="92"/>
      <c r="AQ1736" t="s">
        <v>4568</v>
      </c>
      <c r="AS1736">
        <v>1</v>
      </c>
    </row>
    <row r="1737" spans="1:45">
      <c r="A1737">
        <v>713063</v>
      </c>
      <c r="B1737" s="8">
        <v>1001</v>
      </c>
      <c r="C1737" s="8">
        <v>1</v>
      </c>
      <c r="D1737" s="8">
        <v>1001</v>
      </c>
      <c r="E1737" t="s">
        <v>4572</v>
      </c>
      <c r="F1737" t="s">
        <v>4573</v>
      </c>
      <c r="G1737" t="s">
        <v>4574</v>
      </c>
      <c r="H1737" t="s">
        <v>4575</v>
      </c>
      <c r="I1737">
        <v>1</v>
      </c>
      <c r="J1737" s="69">
        <v>4</v>
      </c>
      <c r="K1737" s="33">
        <v>2</v>
      </c>
      <c r="L1737" s="8">
        <v>999</v>
      </c>
      <c r="M1737" s="8">
        <v>0</v>
      </c>
      <c r="O1737" s="249"/>
      <c r="S1737" s="89">
        <v>1</v>
      </c>
      <c r="T1737" s="8">
        <v>3</v>
      </c>
      <c r="U1737" s="89">
        <v>300</v>
      </c>
      <c r="V1737" s="87">
        <v>1</v>
      </c>
      <c r="W1737">
        <v>1</v>
      </c>
      <c r="X1737" s="8">
        <v>1</v>
      </c>
      <c r="Y1737" s="8">
        <v>0</v>
      </c>
      <c r="Z1737" s="33">
        <v>0</v>
      </c>
      <c r="AA1737">
        <v>3</v>
      </c>
      <c r="AB1737" s="89">
        <v>6460</v>
      </c>
      <c r="AC1737" s="87">
        <v>10000</v>
      </c>
      <c r="AE1737" s="62">
        <v>6</v>
      </c>
      <c r="AL1737" s="64">
        <v>1</v>
      </c>
      <c r="AN1737" s="93"/>
      <c r="AO1737" s="92"/>
      <c r="AQ1737" t="s">
        <v>4572</v>
      </c>
      <c r="AS1737">
        <v>1</v>
      </c>
    </row>
    <row r="1738" spans="1:45">
      <c r="A1738">
        <v>713064</v>
      </c>
      <c r="B1738" s="8">
        <v>1001</v>
      </c>
      <c r="C1738" s="8">
        <v>1</v>
      </c>
      <c r="D1738" s="8">
        <v>1001</v>
      </c>
      <c r="E1738" t="s">
        <v>4576</v>
      </c>
      <c r="F1738" t="s">
        <v>4577</v>
      </c>
      <c r="G1738" t="s">
        <v>4578</v>
      </c>
      <c r="H1738" t="s">
        <v>4579</v>
      </c>
      <c r="I1738">
        <v>1</v>
      </c>
      <c r="J1738" s="69">
        <v>4</v>
      </c>
      <c r="K1738" s="33">
        <v>2</v>
      </c>
      <c r="L1738" s="8">
        <v>999</v>
      </c>
      <c r="M1738" s="8">
        <v>0</v>
      </c>
      <c r="O1738" s="249"/>
      <c r="S1738" s="89">
        <v>1</v>
      </c>
      <c r="T1738" s="8">
        <v>3</v>
      </c>
      <c r="U1738" s="89">
        <v>300</v>
      </c>
      <c r="V1738" s="87">
        <v>1</v>
      </c>
      <c r="W1738">
        <v>1</v>
      </c>
      <c r="X1738" s="8">
        <v>1</v>
      </c>
      <c r="Y1738" s="8">
        <v>0</v>
      </c>
      <c r="Z1738" s="33">
        <v>0</v>
      </c>
      <c r="AA1738">
        <v>3</v>
      </c>
      <c r="AB1738" s="89">
        <v>6460</v>
      </c>
      <c r="AC1738" s="87">
        <v>10000</v>
      </c>
      <c r="AE1738" s="62">
        <v>6</v>
      </c>
      <c r="AL1738" s="64">
        <v>1</v>
      </c>
      <c r="AN1738" s="93"/>
      <c r="AO1738" s="92"/>
      <c r="AQ1738" t="s">
        <v>4580</v>
      </c>
      <c r="AS1738">
        <v>1</v>
      </c>
    </row>
    <row r="1739" spans="1:45">
      <c r="A1739">
        <v>713065</v>
      </c>
      <c r="B1739" s="8">
        <v>1001</v>
      </c>
      <c r="C1739" s="8">
        <v>1</v>
      </c>
      <c r="D1739" s="8">
        <v>1001</v>
      </c>
      <c r="E1739" t="s">
        <v>4581</v>
      </c>
      <c r="F1739" t="s">
        <v>4582</v>
      </c>
      <c r="G1739" t="s">
        <v>4583</v>
      </c>
      <c r="H1739" t="s">
        <v>4584</v>
      </c>
      <c r="I1739">
        <v>1</v>
      </c>
      <c r="J1739" s="69">
        <v>4</v>
      </c>
      <c r="K1739" s="33">
        <v>2</v>
      </c>
      <c r="L1739" s="8">
        <v>999</v>
      </c>
      <c r="M1739" s="8">
        <v>0</v>
      </c>
      <c r="O1739" s="249"/>
      <c r="S1739" s="89">
        <v>1</v>
      </c>
      <c r="T1739" s="8">
        <v>3</v>
      </c>
      <c r="U1739" s="89">
        <v>300</v>
      </c>
      <c r="V1739" s="87">
        <v>1</v>
      </c>
      <c r="W1739">
        <v>1</v>
      </c>
      <c r="X1739" s="8">
        <v>1</v>
      </c>
      <c r="Y1739" s="8">
        <v>0</v>
      </c>
      <c r="Z1739" s="33">
        <v>0</v>
      </c>
      <c r="AA1739">
        <v>3</v>
      </c>
      <c r="AB1739" s="89">
        <v>6460</v>
      </c>
      <c r="AC1739" s="87">
        <v>10000</v>
      </c>
      <c r="AE1739" s="62">
        <v>6</v>
      </c>
      <c r="AL1739" s="64">
        <v>1</v>
      </c>
      <c r="AN1739" s="93"/>
      <c r="AO1739" s="92"/>
      <c r="AQ1739" t="s">
        <v>4581</v>
      </c>
      <c r="AS1739">
        <v>1</v>
      </c>
    </row>
    <row r="1740" spans="1:45">
      <c r="A1740">
        <v>713066</v>
      </c>
      <c r="B1740" s="8">
        <v>1001</v>
      </c>
      <c r="C1740" s="8">
        <v>1</v>
      </c>
      <c r="D1740" s="8">
        <v>1001</v>
      </c>
      <c r="E1740" t="s">
        <v>4585</v>
      </c>
      <c r="F1740" t="s">
        <v>4586</v>
      </c>
      <c r="G1740" t="s">
        <v>4587</v>
      </c>
      <c r="H1740" t="s">
        <v>4588</v>
      </c>
      <c r="I1740">
        <v>1</v>
      </c>
      <c r="J1740" s="69">
        <v>4</v>
      </c>
      <c r="K1740" s="33">
        <v>2</v>
      </c>
      <c r="L1740" s="8">
        <v>999</v>
      </c>
      <c r="M1740" s="8">
        <v>0</v>
      </c>
      <c r="O1740" s="249"/>
      <c r="S1740" s="89">
        <v>1</v>
      </c>
      <c r="T1740" s="8">
        <v>3</v>
      </c>
      <c r="U1740" s="89">
        <v>300</v>
      </c>
      <c r="V1740" s="87">
        <v>1</v>
      </c>
      <c r="W1740">
        <v>1</v>
      </c>
      <c r="X1740" s="8">
        <v>1</v>
      </c>
      <c r="Y1740" s="8">
        <v>0</v>
      </c>
      <c r="Z1740" s="33">
        <v>0</v>
      </c>
      <c r="AA1740">
        <v>3</v>
      </c>
      <c r="AB1740" s="89">
        <v>6460</v>
      </c>
      <c r="AC1740" s="87">
        <v>10000</v>
      </c>
      <c r="AE1740" s="62">
        <v>6</v>
      </c>
      <c r="AL1740" s="64">
        <v>1</v>
      </c>
      <c r="AN1740" s="93"/>
      <c r="AO1740" s="92"/>
      <c r="AQ1740" t="s">
        <v>4589</v>
      </c>
      <c r="AS1740">
        <v>1</v>
      </c>
    </row>
    <row r="1741" spans="1:45">
      <c r="A1741">
        <v>713067</v>
      </c>
      <c r="B1741" s="8">
        <v>1001</v>
      </c>
      <c r="C1741" s="8">
        <v>1</v>
      </c>
      <c r="D1741" s="8">
        <v>1001</v>
      </c>
      <c r="E1741" t="s">
        <v>4590</v>
      </c>
      <c r="F1741" t="s">
        <v>4591</v>
      </c>
      <c r="G1741" t="s">
        <v>4592</v>
      </c>
      <c r="H1741" t="s">
        <v>4593</v>
      </c>
      <c r="I1741">
        <v>1</v>
      </c>
      <c r="J1741" s="69">
        <v>4</v>
      </c>
      <c r="K1741" s="33">
        <v>2</v>
      </c>
      <c r="L1741" s="8">
        <v>999</v>
      </c>
      <c r="M1741" s="8">
        <v>0</v>
      </c>
      <c r="O1741" s="249"/>
      <c r="S1741" s="89">
        <v>1</v>
      </c>
      <c r="T1741" s="8">
        <v>3</v>
      </c>
      <c r="U1741" s="89">
        <v>300</v>
      </c>
      <c r="V1741" s="87">
        <v>1</v>
      </c>
      <c r="W1741">
        <v>1</v>
      </c>
      <c r="X1741" s="8">
        <v>1</v>
      </c>
      <c r="Y1741" s="8">
        <v>0</v>
      </c>
      <c r="Z1741" s="33">
        <v>0</v>
      </c>
      <c r="AA1741">
        <v>3</v>
      </c>
      <c r="AB1741" s="89">
        <v>6460</v>
      </c>
      <c r="AC1741" s="87">
        <v>10000</v>
      </c>
      <c r="AE1741" s="62">
        <v>6</v>
      </c>
      <c r="AL1741" s="64">
        <v>1</v>
      </c>
      <c r="AN1741" s="93"/>
      <c r="AO1741" s="92"/>
      <c r="AQ1741" t="s">
        <v>4594</v>
      </c>
      <c r="AS1741">
        <v>1</v>
      </c>
    </row>
    <row r="1742" spans="1:45">
      <c r="A1742">
        <v>713068</v>
      </c>
      <c r="B1742" s="8">
        <v>1001</v>
      </c>
      <c r="C1742" s="8">
        <v>1</v>
      </c>
      <c r="D1742" s="8">
        <v>1001</v>
      </c>
      <c r="E1742" t="s">
        <v>4595</v>
      </c>
      <c r="F1742" t="s">
        <v>4596</v>
      </c>
      <c r="G1742" t="s">
        <v>4597</v>
      </c>
      <c r="H1742" t="s">
        <v>4598</v>
      </c>
      <c r="I1742">
        <v>1</v>
      </c>
      <c r="J1742" s="69">
        <v>4</v>
      </c>
      <c r="K1742" s="33">
        <v>2</v>
      </c>
      <c r="L1742" s="8">
        <v>999</v>
      </c>
      <c r="M1742" s="8">
        <v>0</v>
      </c>
      <c r="O1742" s="249"/>
      <c r="S1742" s="89">
        <v>1</v>
      </c>
      <c r="T1742" s="8">
        <v>3</v>
      </c>
      <c r="U1742" s="89">
        <v>300</v>
      </c>
      <c r="V1742" s="87">
        <v>1</v>
      </c>
      <c r="W1742">
        <v>1</v>
      </c>
      <c r="X1742" s="8">
        <v>1</v>
      </c>
      <c r="Y1742" s="8">
        <v>0</v>
      </c>
      <c r="Z1742" s="33">
        <v>0</v>
      </c>
      <c r="AA1742">
        <v>3</v>
      </c>
      <c r="AB1742" s="89">
        <v>6460</v>
      </c>
      <c r="AC1742" s="87">
        <v>10000</v>
      </c>
      <c r="AE1742" s="62">
        <v>6</v>
      </c>
      <c r="AL1742" s="64">
        <v>1</v>
      </c>
      <c r="AN1742" s="93"/>
      <c r="AO1742" s="92"/>
      <c r="AQ1742" t="s">
        <v>4599</v>
      </c>
      <c r="AS1742">
        <v>1</v>
      </c>
    </row>
    <row r="1743" spans="1:45">
      <c r="A1743">
        <v>713069</v>
      </c>
      <c r="B1743" s="8">
        <v>1001</v>
      </c>
      <c r="C1743" s="8">
        <v>1</v>
      </c>
      <c r="D1743" s="8">
        <v>1001</v>
      </c>
      <c r="E1743" t="s">
        <v>4600</v>
      </c>
      <c r="F1743" t="s">
        <v>4601</v>
      </c>
      <c r="G1743" t="s">
        <v>4602</v>
      </c>
      <c r="H1743" t="s">
        <v>4603</v>
      </c>
      <c r="I1743">
        <v>1</v>
      </c>
      <c r="J1743" s="69">
        <v>4</v>
      </c>
      <c r="K1743" s="33">
        <v>2</v>
      </c>
      <c r="L1743" s="8">
        <v>999</v>
      </c>
      <c r="M1743" s="8">
        <v>0</v>
      </c>
      <c r="O1743" s="249"/>
      <c r="S1743" s="89">
        <v>1</v>
      </c>
      <c r="T1743" s="8">
        <v>3</v>
      </c>
      <c r="U1743" s="89">
        <v>300</v>
      </c>
      <c r="V1743" s="87">
        <v>1</v>
      </c>
      <c r="W1743">
        <v>1</v>
      </c>
      <c r="X1743" s="8">
        <v>1</v>
      </c>
      <c r="Y1743" s="8">
        <v>0</v>
      </c>
      <c r="Z1743" s="33">
        <v>0</v>
      </c>
      <c r="AA1743">
        <v>3</v>
      </c>
      <c r="AB1743" s="89">
        <v>6460</v>
      </c>
      <c r="AC1743" s="87">
        <v>10000</v>
      </c>
      <c r="AE1743" s="62">
        <v>6</v>
      </c>
      <c r="AL1743" s="64">
        <v>1</v>
      </c>
      <c r="AN1743" s="93"/>
      <c r="AO1743" s="92"/>
      <c r="AQ1743" t="s">
        <v>4600</v>
      </c>
      <c r="AS1743">
        <v>1</v>
      </c>
    </row>
    <row r="1744" spans="1:45">
      <c r="A1744">
        <v>713070</v>
      </c>
      <c r="B1744" s="8">
        <v>1001</v>
      </c>
      <c r="C1744" s="8">
        <v>1</v>
      </c>
      <c r="D1744" s="8">
        <v>1001</v>
      </c>
      <c r="E1744" t="s">
        <v>4604</v>
      </c>
      <c r="F1744" t="s">
        <v>4605</v>
      </c>
      <c r="G1744" t="s">
        <v>4606</v>
      </c>
      <c r="H1744" t="s">
        <v>4607</v>
      </c>
      <c r="I1744">
        <v>1</v>
      </c>
      <c r="J1744" s="69">
        <v>4</v>
      </c>
      <c r="K1744" s="33">
        <v>2</v>
      </c>
      <c r="L1744" s="8">
        <v>999</v>
      </c>
      <c r="M1744" s="8">
        <v>0</v>
      </c>
      <c r="O1744" s="249"/>
      <c r="S1744" s="89">
        <v>1</v>
      </c>
      <c r="T1744" s="8">
        <v>3</v>
      </c>
      <c r="U1744" s="89">
        <v>300</v>
      </c>
      <c r="V1744" s="87">
        <v>1</v>
      </c>
      <c r="W1744">
        <v>1</v>
      </c>
      <c r="X1744" s="8">
        <v>1</v>
      </c>
      <c r="Y1744" s="8">
        <v>0</v>
      </c>
      <c r="Z1744" s="33">
        <v>0</v>
      </c>
      <c r="AA1744">
        <v>3</v>
      </c>
      <c r="AB1744" s="89">
        <v>6460</v>
      </c>
      <c r="AC1744" s="87">
        <v>10000</v>
      </c>
      <c r="AE1744" s="62">
        <v>6</v>
      </c>
      <c r="AL1744" s="64">
        <v>1</v>
      </c>
      <c r="AN1744" s="93"/>
      <c r="AO1744" s="92"/>
      <c r="AQ1744" t="s">
        <v>4604</v>
      </c>
      <c r="AS1744">
        <v>1</v>
      </c>
    </row>
    <row r="1745" spans="1:45">
      <c r="A1745">
        <v>713071</v>
      </c>
      <c r="B1745" s="8">
        <v>1001</v>
      </c>
      <c r="C1745" s="8">
        <v>1</v>
      </c>
      <c r="D1745" s="8">
        <v>1001</v>
      </c>
      <c r="E1745" t="s">
        <v>4608</v>
      </c>
      <c r="F1745" t="s">
        <v>4609</v>
      </c>
      <c r="G1745" t="s">
        <v>4610</v>
      </c>
      <c r="H1745" t="s">
        <v>4611</v>
      </c>
      <c r="I1745">
        <v>1</v>
      </c>
      <c r="J1745" s="69">
        <v>4</v>
      </c>
      <c r="K1745" s="33">
        <v>2</v>
      </c>
      <c r="L1745" s="8">
        <v>999</v>
      </c>
      <c r="M1745" s="8">
        <v>0</v>
      </c>
      <c r="O1745" s="249"/>
      <c r="S1745" s="89">
        <v>1</v>
      </c>
      <c r="T1745" s="8">
        <v>3</v>
      </c>
      <c r="U1745" s="89">
        <v>300</v>
      </c>
      <c r="V1745" s="87">
        <v>1</v>
      </c>
      <c r="W1745">
        <v>1</v>
      </c>
      <c r="X1745" s="8">
        <v>1</v>
      </c>
      <c r="Y1745" s="8">
        <v>0</v>
      </c>
      <c r="Z1745" s="33">
        <v>0</v>
      </c>
      <c r="AA1745">
        <v>3</v>
      </c>
      <c r="AB1745" s="89">
        <v>6460</v>
      </c>
      <c r="AC1745" s="87">
        <v>10000</v>
      </c>
      <c r="AE1745" s="62">
        <v>6</v>
      </c>
      <c r="AL1745" s="64">
        <v>1</v>
      </c>
      <c r="AN1745" s="93"/>
      <c r="AO1745" s="92"/>
      <c r="AQ1745" t="s">
        <v>4612</v>
      </c>
      <c r="AS1745">
        <v>1</v>
      </c>
    </row>
    <row r="1746" spans="1:45">
      <c r="A1746">
        <v>713072</v>
      </c>
      <c r="B1746" s="8">
        <v>1001</v>
      </c>
      <c r="C1746" s="8">
        <v>1</v>
      </c>
      <c r="D1746" s="8">
        <v>1001</v>
      </c>
      <c r="E1746" t="s">
        <v>4613</v>
      </c>
      <c r="F1746" t="s">
        <v>4614</v>
      </c>
      <c r="G1746" t="s">
        <v>4615</v>
      </c>
      <c r="H1746" t="s">
        <v>4616</v>
      </c>
      <c r="I1746">
        <v>1</v>
      </c>
      <c r="J1746" s="69">
        <v>4</v>
      </c>
      <c r="K1746" s="33">
        <v>2</v>
      </c>
      <c r="L1746" s="8">
        <v>999</v>
      </c>
      <c r="M1746" s="8">
        <v>0</v>
      </c>
      <c r="O1746" s="249"/>
      <c r="S1746" s="89">
        <v>1</v>
      </c>
      <c r="T1746" s="8">
        <v>3</v>
      </c>
      <c r="U1746" s="89">
        <v>300</v>
      </c>
      <c r="V1746" s="87">
        <v>1</v>
      </c>
      <c r="W1746">
        <v>1</v>
      </c>
      <c r="X1746" s="8">
        <v>1</v>
      </c>
      <c r="Y1746" s="8">
        <v>0</v>
      </c>
      <c r="Z1746" s="33">
        <v>0</v>
      </c>
      <c r="AA1746">
        <v>3</v>
      </c>
      <c r="AB1746" s="89">
        <v>6460</v>
      </c>
      <c r="AC1746" s="87">
        <v>10000</v>
      </c>
      <c r="AE1746" s="62">
        <v>6</v>
      </c>
      <c r="AL1746" s="64">
        <v>1</v>
      </c>
      <c r="AN1746" s="93"/>
      <c r="AO1746" s="92"/>
      <c r="AQ1746" t="s">
        <v>773</v>
      </c>
      <c r="AS1746">
        <v>1</v>
      </c>
    </row>
    <row r="1747" spans="1:45">
      <c r="A1747">
        <v>713073</v>
      </c>
      <c r="B1747" s="8">
        <v>1001</v>
      </c>
      <c r="C1747" s="8">
        <v>1</v>
      </c>
      <c r="D1747" s="8">
        <v>1001</v>
      </c>
      <c r="E1747" t="s">
        <v>4617</v>
      </c>
      <c r="F1747" t="s">
        <v>4618</v>
      </c>
      <c r="G1747" t="s">
        <v>4619</v>
      </c>
      <c r="H1747" t="s">
        <v>4620</v>
      </c>
      <c r="I1747">
        <v>1</v>
      </c>
      <c r="J1747" s="69">
        <v>4</v>
      </c>
      <c r="K1747" s="33">
        <v>2</v>
      </c>
      <c r="L1747" s="8">
        <v>999</v>
      </c>
      <c r="M1747" s="8">
        <v>0</v>
      </c>
      <c r="O1747" s="249"/>
      <c r="S1747" s="89">
        <v>1</v>
      </c>
      <c r="T1747" s="8">
        <v>3</v>
      </c>
      <c r="U1747" s="89">
        <v>300</v>
      </c>
      <c r="V1747" s="87">
        <v>1</v>
      </c>
      <c r="W1747">
        <v>1</v>
      </c>
      <c r="X1747" s="8">
        <v>1</v>
      </c>
      <c r="Y1747" s="8">
        <v>0</v>
      </c>
      <c r="Z1747" s="33">
        <v>0</v>
      </c>
      <c r="AA1747">
        <v>3</v>
      </c>
      <c r="AB1747" s="89">
        <v>6460</v>
      </c>
      <c r="AC1747" s="87">
        <v>10000</v>
      </c>
      <c r="AE1747" s="62">
        <v>6</v>
      </c>
      <c r="AL1747" s="64">
        <v>1</v>
      </c>
      <c r="AN1747" s="93"/>
      <c r="AO1747" s="92"/>
      <c r="AQ1747" t="s">
        <v>777</v>
      </c>
      <c r="AS1747">
        <v>1</v>
      </c>
    </row>
    <row r="1748" spans="1:45">
      <c r="A1748">
        <v>713074</v>
      </c>
      <c r="B1748" s="8">
        <v>1001</v>
      </c>
      <c r="C1748" s="8">
        <v>1</v>
      </c>
      <c r="D1748" s="8">
        <v>1001</v>
      </c>
      <c r="E1748" t="s">
        <v>4621</v>
      </c>
      <c r="F1748" t="s">
        <v>4622</v>
      </c>
      <c r="G1748" t="s">
        <v>4623</v>
      </c>
      <c r="H1748" t="s">
        <v>4624</v>
      </c>
      <c r="I1748">
        <v>1</v>
      </c>
      <c r="J1748" s="69">
        <v>4</v>
      </c>
      <c r="K1748" s="33">
        <v>2</v>
      </c>
      <c r="L1748" s="8">
        <v>999</v>
      </c>
      <c r="M1748" s="8">
        <v>0</v>
      </c>
      <c r="O1748" s="249"/>
      <c r="S1748" s="89">
        <v>1</v>
      </c>
      <c r="T1748" s="8">
        <v>3</v>
      </c>
      <c r="U1748" s="89">
        <v>300</v>
      </c>
      <c r="V1748" s="87">
        <v>1</v>
      </c>
      <c r="W1748">
        <v>1</v>
      </c>
      <c r="X1748" s="8">
        <v>1</v>
      </c>
      <c r="Y1748" s="8">
        <v>0</v>
      </c>
      <c r="Z1748" s="33">
        <v>0</v>
      </c>
      <c r="AA1748">
        <v>3</v>
      </c>
      <c r="AB1748" s="89">
        <v>6460</v>
      </c>
      <c r="AC1748" s="87">
        <v>10000</v>
      </c>
      <c r="AE1748" s="62">
        <v>6</v>
      </c>
      <c r="AL1748" s="64">
        <v>1</v>
      </c>
      <c r="AN1748" s="93"/>
      <c r="AO1748" s="92"/>
      <c r="AQ1748" t="s">
        <v>4625</v>
      </c>
      <c r="AS1748">
        <v>1</v>
      </c>
    </row>
    <row r="1749" spans="1:45">
      <c r="A1749">
        <v>713075</v>
      </c>
      <c r="B1749" s="8">
        <v>1001</v>
      </c>
      <c r="C1749" s="8">
        <v>1</v>
      </c>
      <c r="D1749" s="8">
        <v>1001</v>
      </c>
      <c r="E1749" t="s">
        <v>4626</v>
      </c>
      <c r="F1749" t="s">
        <v>4627</v>
      </c>
      <c r="G1749" t="s">
        <v>4628</v>
      </c>
      <c r="H1749" t="s">
        <v>4629</v>
      </c>
      <c r="I1749">
        <v>1</v>
      </c>
      <c r="J1749" s="69">
        <v>4</v>
      </c>
      <c r="K1749" s="33">
        <v>2</v>
      </c>
      <c r="L1749" s="8">
        <v>999</v>
      </c>
      <c r="M1749" s="8">
        <v>0</v>
      </c>
      <c r="O1749" s="249"/>
      <c r="S1749" s="89">
        <v>1</v>
      </c>
      <c r="T1749" s="8">
        <v>3</v>
      </c>
      <c r="U1749" s="89">
        <v>300</v>
      </c>
      <c r="V1749" s="87">
        <v>1</v>
      </c>
      <c r="W1749">
        <v>1</v>
      </c>
      <c r="X1749" s="8">
        <v>1</v>
      </c>
      <c r="Y1749" s="8">
        <v>0</v>
      </c>
      <c r="Z1749" s="33">
        <v>0</v>
      </c>
      <c r="AA1749">
        <v>3</v>
      </c>
      <c r="AB1749" s="89">
        <v>6460</v>
      </c>
      <c r="AC1749" s="87">
        <v>10000</v>
      </c>
      <c r="AE1749" s="62">
        <v>6</v>
      </c>
      <c r="AL1749" s="64">
        <v>1</v>
      </c>
      <c r="AN1749" s="93"/>
      <c r="AO1749" s="92"/>
      <c r="AQ1749" t="s">
        <v>4630</v>
      </c>
      <c r="AS1749">
        <v>1</v>
      </c>
    </row>
    <row r="1750" spans="1:45">
      <c r="A1750">
        <v>713076</v>
      </c>
      <c r="B1750" s="8">
        <v>1001</v>
      </c>
      <c r="C1750" s="8">
        <v>1</v>
      </c>
      <c r="D1750" s="8">
        <v>1001</v>
      </c>
      <c r="E1750" t="s">
        <v>4631</v>
      </c>
      <c r="F1750" t="s">
        <v>4632</v>
      </c>
      <c r="G1750" t="s">
        <v>4633</v>
      </c>
      <c r="H1750" t="s">
        <v>4634</v>
      </c>
      <c r="I1750">
        <v>1</v>
      </c>
      <c r="J1750" s="69">
        <v>4</v>
      </c>
      <c r="K1750" s="33">
        <v>2</v>
      </c>
      <c r="L1750" s="8">
        <v>999</v>
      </c>
      <c r="M1750" s="8">
        <v>0</v>
      </c>
      <c r="O1750" s="249"/>
      <c r="S1750" s="89">
        <v>1</v>
      </c>
      <c r="T1750" s="8">
        <v>3</v>
      </c>
      <c r="U1750" s="89">
        <v>300</v>
      </c>
      <c r="V1750" s="87">
        <v>1</v>
      </c>
      <c r="W1750">
        <v>1</v>
      </c>
      <c r="X1750" s="8">
        <v>1</v>
      </c>
      <c r="Y1750" s="8">
        <v>0</v>
      </c>
      <c r="Z1750" s="33">
        <v>0</v>
      </c>
      <c r="AA1750">
        <v>3</v>
      </c>
      <c r="AB1750" s="89">
        <v>6460</v>
      </c>
      <c r="AC1750" s="87">
        <v>10000</v>
      </c>
      <c r="AE1750" s="62">
        <v>6</v>
      </c>
      <c r="AL1750" s="64">
        <v>1</v>
      </c>
      <c r="AN1750" s="93"/>
      <c r="AO1750" s="92"/>
      <c r="AQ1750" t="s">
        <v>4635</v>
      </c>
      <c r="AS1750">
        <v>1</v>
      </c>
    </row>
    <row r="1751" spans="1:45">
      <c r="A1751">
        <v>713077</v>
      </c>
      <c r="B1751" s="8">
        <v>1001</v>
      </c>
      <c r="C1751" s="8">
        <v>1</v>
      </c>
      <c r="D1751" s="8">
        <v>1001</v>
      </c>
      <c r="E1751" t="s">
        <v>4636</v>
      </c>
      <c r="F1751" t="s">
        <v>4637</v>
      </c>
      <c r="G1751" t="s">
        <v>4638</v>
      </c>
      <c r="H1751" t="s">
        <v>4639</v>
      </c>
      <c r="I1751">
        <v>1</v>
      </c>
      <c r="J1751" s="69">
        <v>4</v>
      </c>
      <c r="K1751" s="33">
        <v>2</v>
      </c>
      <c r="L1751" s="8">
        <v>999</v>
      </c>
      <c r="M1751" s="8">
        <v>0</v>
      </c>
      <c r="O1751" s="249"/>
      <c r="S1751" s="89">
        <v>1</v>
      </c>
      <c r="T1751" s="8">
        <v>3</v>
      </c>
      <c r="U1751" s="89">
        <v>300</v>
      </c>
      <c r="V1751" s="87">
        <v>1</v>
      </c>
      <c r="W1751">
        <v>1</v>
      </c>
      <c r="X1751" s="8">
        <v>1</v>
      </c>
      <c r="Y1751" s="8">
        <v>0</v>
      </c>
      <c r="Z1751" s="33">
        <v>0</v>
      </c>
      <c r="AA1751">
        <v>3</v>
      </c>
      <c r="AB1751" s="89">
        <v>6460</v>
      </c>
      <c r="AC1751" s="87">
        <v>10000</v>
      </c>
      <c r="AE1751" s="62">
        <v>6</v>
      </c>
      <c r="AL1751" s="64">
        <v>1</v>
      </c>
      <c r="AN1751" s="93"/>
      <c r="AO1751" s="92"/>
      <c r="AQ1751" t="s">
        <v>4640</v>
      </c>
      <c r="AS1751">
        <v>1</v>
      </c>
    </row>
    <row r="1752" s="3" customFormat="1" spans="1:45">
      <c r="A1752">
        <v>713078</v>
      </c>
      <c r="B1752" s="8">
        <v>1001</v>
      </c>
      <c r="C1752" s="8">
        <v>1</v>
      </c>
      <c r="D1752" s="8">
        <v>1001</v>
      </c>
      <c r="E1752" t="s">
        <v>4641</v>
      </c>
      <c r="F1752" t="s">
        <v>4641</v>
      </c>
      <c r="G1752" t="s">
        <v>4642</v>
      </c>
      <c r="H1752" t="s">
        <v>4643</v>
      </c>
      <c r="I1752">
        <v>1</v>
      </c>
      <c r="J1752" s="69">
        <v>4</v>
      </c>
      <c r="K1752" s="33">
        <v>2</v>
      </c>
      <c r="L1752" s="8">
        <v>999</v>
      </c>
      <c r="M1752" s="8">
        <v>0</v>
      </c>
      <c r="O1752" s="249"/>
      <c r="S1752" s="89">
        <v>1</v>
      </c>
      <c r="T1752" s="8">
        <v>3</v>
      </c>
      <c r="U1752" s="89">
        <v>300</v>
      </c>
      <c r="V1752" s="87">
        <v>1</v>
      </c>
      <c r="W1752">
        <v>1</v>
      </c>
      <c r="X1752" s="8">
        <v>1</v>
      </c>
      <c r="Y1752" s="8">
        <v>0</v>
      </c>
      <c r="Z1752" s="33">
        <v>0</v>
      </c>
      <c r="AA1752">
        <v>3</v>
      </c>
      <c r="AB1752" s="89">
        <v>6460</v>
      </c>
      <c r="AC1752" s="87">
        <v>10000</v>
      </c>
      <c r="AD1752" s="153"/>
      <c r="AE1752" s="62">
        <v>6</v>
      </c>
      <c r="AF1752" s="153"/>
      <c r="AG1752" s="337"/>
      <c r="AH1752" s="337"/>
      <c r="AI1752" s="337"/>
      <c r="AJ1752" s="337"/>
      <c r="AK1752" s="337"/>
      <c r="AL1752" s="64">
        <v>1</v>
      </c>
      <c r="AM1752" s="234"/>
      <c r="AN1752" s="93"/>
      <c r="AO1752" s="92"/>
      <c r="AP1752" s="234"/>
      <c r="AQ1752" t="s">
        <v>4641</v>
      </c>
      <c r="AS1752">
        <v>1</v>
      </c>
    </row>
    <row r="1753" s="33" customFormat="1" spans="1:45">
      <c r="A1753" s="3">
        <v>713079</v>
      </c>
      <c r="B1753" s="8">
        <v>1001</v>
      </c>
      <c r="C1753" s="8">
        <v>1</v>
      </c>
      <c r="D1753" s="8">
        <v>1001</v>
      </c>
      <c r="E1753" t="s">
        <v>4644</v>
      </c>
      <c r="F1753" t="s">
        <v>4645</v>
      </c>
      <c r="G1753" s="3" t="s">
        <v>4646</v>
      </c>
      <c r="H1753" s="3" t="s">
        <v>4647</v>
      </c>
      <c r="I1753" s="3">
        <v>1</v>
      </c>
      <c r="J1753" s="151">
        <v>4</v>
      </c>
      <c r="K1753" s="3">
        <v>2</v>
      </c>
      <c r="L1753" s="128">
        <v>999</v>
      </c>
      <c r="M1753" s="128">
        <v>0</v>
      </c>
      <c r="O1753" s="284"/>
      <c r="S1753" s="128">
        <v>1</v>
      </c>
      <c r="T1753" s="128">
        <v>3</v>
      </c>
      <c r="U1753" s="128">
        <v>300</v>
      </c>
      <c r="V1753" s="128">
        <v>1</v>
      </c>
      <c r="W1753" s="3">
        <v>1</v>
      </c>
      <c r="X1753" s="128">
        <v>1</v>
      </c>
      <c r="Y1753" s="128">
        <v>0</v>
      </c>
      <c r="Z1753" s="3">
        <v>0</v>
      </c>
      <c r="AA1753" s="3">
        <v>3</v>
      </c>
      <c r="AB1753" s="128">
        <v>6460</v>
      </c>
      <c r="AC1753" s="128">
        <v>10000</v>
      </c>
      <c r="AD1753" s="153"/>
      <c r="AE1753" s="153">
        <v>6</v>
      </c>
      <c r="AF1753" s="153"/>
      <c r="AG1753" s="337"/>
      <c r="AH1753" s="337"/>
      <c r="AI1753" s="337"/>
      <c r="AJ1753" s="337"/>
      <c r="AK1753" s="337"/>
      <c r="AL1753" s="234">
        <v>1</v>
      </c>
      <c r="AM1753" s="341"/>
      <c r="AN1753" s="157"/>
      <c r="AO1753" s="342"/>
      <c r="AP1753" s="234"/>
      <c r="AQ1753" s="343" t="s">
        <v>4644</v>
      </c>
      <c r="AS1753" s="3">
        <v>1</v>
      </c>
    </row>
    <row r="1754" s="33" customFormat="1" spans="1:45">
      <c r="A1754" s="33">
        <v>713080</v>
      </c>
      <c r="B1754" s="87">
        <v>1001</v>
      </c>
      <c r="C1754" s="87">
        <v>1</v>
      </c>
      <c r="D1754" s="87">
        <v>1001</v>
      </c>
      <c r="E1754" s="344" t="s">
        <v>4648</v>
      </c>
      <c r="F1754" s="344" t="s">
        <v>4648</v>
      </c>
      <c r="G1754" s="33" t="s">
        <v>4649</v>
      </c>
      <c r="H1754" s="33" t="s">
        <v>4650</v>
      </c>
      <c r="I1754" s="33">
        <v>1</v>
      </c>
      <c r="J1754" s="70">
        <v>4</v>
      </c>
      <c r="K1754" s="33">
        <v>2</v>
      </c>
      <c r="L1754" s="87">
        <v>999</v>
      </c>
      <c r="M1754" s="87">
        <v>0</v>
      </c>
      <c r="O1754" s="345"/>
      <c r="S1754" s="87">
        <v>1</v>
      </c>
      <c r="T1754" s="87">
        <v>3</v>
      </c>
      <c r="U1754" s="87">
        <v>300</v>
      </c>
      <c r="V1754" s="87">
        <v>1</v>
      </c>
      <c r="W1754" s="33">
        <v>1</v>
      </c>
      <c r="X1754" s="87">
        <v>1</v>
      </c>
      <c r="Y1754" s="87">
        <v>0</v>
      </c>
      <c r="Z1754" s="33">
        <v>0</v>
      </c>
      <c r="AA1754" s="33">
        <v>3</v>
      </c>
      <c r="AB1754" s="87">
        <v>6460</v>
      </c>
      <c r="AC1754" s="87">
        <v>10000</v>
      </c>
      <c r="AD1754" s="95"/>
      <c r="AE1754" s="95">
        <v>6</v>
      </c>
      <c r="AF1754" s="95"/>
      <c r="AG1754" s="346"/>
      <c r="AH1754" s="346"/>
      <c r="AI1754" s="346"/>
      <c r="AJ1754" s="346"/>
      <c r="AK1754" s="346"/>
      <c r="AL1754" s="347">
        <v>1</v>
      </c>
      <c r="AM1754" s="99"/>
      <c r="AN1754" s="98"/>
      <c r="AO1754" s="347"/>
      <c r="AQ1754" s="344" t="s">
        <v>4651</v>
      </c>
      <c r="AS1754" s="33">
        <v>1</v>
      </c>
    </row>
    <row r="1755" s="33" customFormat="1" spans="1:45">
      <c r="A1755" s="33">
        <v>713081</v>
      </c>
      <c r="B1755" s="87">
        <v>1001</v>
      </c>
      <c r="C1755" s="87">
        <v>1</v>
      </c>
      <c r="D1755" s="87">
        <v>1001</v>
      </c>
      <c r="E1755" s="344" t="s">
        <v>4652</v>
      </c>
      <c r="F1755" s="344" t="s">
        <v>4653</v>
      </c>
      <c r="G1755" s="33" t="s">
        <v>4654</v>
      </c>
      <c r="H1755" s="33" t="s">
        <v>4655</v>
      </c>
      <c r="I1755" s="33">
        <v>1</v>
      </c>
      <c r="J1755" s="70">
        <v>4</v>
      </c>
      <c r="K1755" s="33">
        <v>2</v>
      </c>
      <c r="L1755" s="87">
        <v>999</v>
      </c>
      <c r="M1755" s="87">
        <v>0</v>
      </c>
      <c r="O1755" s="345"/>
      <c r="S1755" s="87">
        <v>1</v>
      </c>
      <c r="T1755" s="87">
        <v>3</v>
      </c>
      <c r="U1755" s="87">
        <v>300</v>
      </c>
      <c r="V1755" s="87">
        <v>1</v>
      </c>
      <c r="W1755" s="33">
        <v>1</v>
      </c>
      <c r="X1755" s="87">
        <v>1</v>
      </c>
      <c r="Y1755" s="87">
        <v>0</v>
      </c>
      <c r="Z1755" s="33">
        <v>0</v>
      </c>
      <c r="AA1755" s="33">
        <v>3</v>
      </c>
      <c r="AB1755" s="87">
        <v>6460</v>
      </c>
      <c r="AC1755" s="87">
        <v>10000</v>
      </c>
      <c r="AD1755" s="95"/>
      <c r="AE1755" s="95">
        <v>6</v>
      </c>
      <c r="AF1755" s="95"/>
      <c r="AG1755" s="346"/>
      <c r="AH1755" s="346"/>
      <c r="AI1755" s="346"/>
      <c r="AJ1755" s="346"/>
      <c r="AK1755" s="346"/>
      <c r="AL1755" s="347">
        <v>1</v>
      </c>
      <c r="AM1755" s="99"/>
      <c r="AN1755" s="98"/>
      <c r="AO1755" s="347"/>
      <c r="AQ1755" s="344" t="s">
        <v>4656</v>
      </c>
      <c r="AS1755" s="33">
        <v>1</v>
      </c>
    </row>
    <row r="1756" s="33" customFormat="1" spans="1:45">
      <c r="A1756" s="33">
        <v>713082</v>
      </c>
      <c r="B1756" s="87">
        <v>1001</v>
      </c>
      <c r="C1756" s="87">
        <v>1</v>
      </c>
      <c r="D1756" s="87">
        <v>1001</v>
      </c>
      <c r="E1756" s="344" t="s">
        <v>4657</v>
      </c>
      <c r="F1756" s="344" t="s">
        <v>4658</v>
      </c>
      <c r="G1756" s="33" t="s">
        <v>4659</v>
      </c>
      <c r="H1756" s="33" t="s">
        <v>4660</v>
      </c>
      <c r="I1756" s="33">
        <v>1</v>
      </c>
      <c r="J1756" s="70">
        <v>4</v>
      </c>
      <c r="K1756" s="33">
        <v>2</v>
      </c>
      <c r="L1756" s="87">
        <v>999</v>
      </c>
      <c r="M1756" s="87">
        <v>0</v>
      </c>
      <c r="O1756" s="345"/>
      <c r="S1756" s="87">
        <v>1</v>
      </c>
      <c r="T1756" s="87">
        <v>3</v>
      </c>
      <c r="U1756" s="87">
        <v>300</v>
      </c>
      <c r="V1756" s="87">
        <v>1</v>
      </c>
      <c r="W1756" s="33">
        <v>1</v>
      </c>
      <c r="X1756" s="87">
        <v>1</v>
      </c>
      <c r="Y1756" s="87">
        <v>0</v>
      </c>
      <c r="Z1756" s="33">
        <v>0</v>
      </c>
      <c r="AA1756" s="33">
        <v>3</v>
      </c>
      <c r="AB1756" s="87">
        <v>6460</v>
      </c>
      <c r="AC1756" s="87">
        <v>10000</v>
      </c>
      <c r="AD1756" s="95"/>
      <c r="AE1756" s="95">
        <v>6</v>
      </c>
      <c r="AF1756" s="95"/>
      <c r="AG1756" s="346"/>
      <c r="AH1756" s="346"/>
      <c r="AI1756" s="346"/>
      <c r="AJ1756" s="346"/>
      <c r="AK1756" s="346"/>
      <c r="AL1756" s="347">
        <v>1</v>
      </c>
      <c r="AM1756" s="99"/>
      <c r="AN1756" s="98"/>
      <c r="AO1756" s="347"/>
      <c r="AQ1756" s="344" t="s">
        <v>4658</v>
      </c>
      <c r="AS1756" s="33">
        <v>1</v>
      </c>
    </row>
    <row r="1757" s="33" customFormat="1" spans="1:45">
      <c r="A1757" s="33">
        <v>713083</v>
      </c>
      <c r="B1757" s="87">
        <v>1001</v>
      </c>
      <c r="C1757" s="87">
        <v>1</v>
      </c>
      <c r="D1757" s="87">
        <v>1001</v>
      </c>
      <c r="E1757" s="344" t="s">
        <v>4661</v>
      </c>
      <c r="F1757" s="344" t="s">
        <v>4662</v>
      </c>
      <c r="G1757" s="33" t="s">
        <v>4663</v>
      </c>
      <c r="H1757" s="33" t="s">
        <v>4664</v>
      </c>
      <c r="I1757" s="33">
        <v>1</v>
      </c>
      <c r="J1757" s="70">
        <v>4</v>
      </c>
      <c r="K1757" s="33">
        <v>2</v>
      </c>
      <c r="L1757" s="87">
        <v>999</v>
      </c>
      <c r="M1757" s="87">
        <v>0</v>
      </c>
      <c r="O1757" s="345"/>
      <c r="S1757" s="87">
        <v>1</v>
      </c>
      <c r="T1757" s="87">
        <v>3</v>
      </c>
      <c r="U1757" s="87">
        <v>300</v>
      </c>
      <c r="V1757" s="87">
        <v>1</v>
      </c>
      <c r="W1757" s="33">
        <v>1</v>
      </c>
      <c r="X1757" s="87">
        <v>1</v>
      </c>
      <c r="Y1757" s="87">
        <v>0</v>
      </c>
      <c r="Z1757" s="33">
        <v>0</v>
      </c>
      <c r="AA1757" s="33">
        <v>3</v>
      </c>
      <c r="AB1757" s="87">
        <v>6460</v>
      </c>
      <c r="AC1757" s="87">
        <v>10000</v>
      </c>
      <c r="AD1757" s="95"/>
      <c r="AE1757" s="95">
        <v>6</v>
      </c>
      <c r="AF1757" s="95"/>
      <c r="AG1757" s="346"/>
      <c r="AH1757" s="346"/>
      <c r="AI1757" s="346"/>
      <c r="AJ1757" s="346"/>
      <c r="AK1757" s="346"/>
      <c r="AL1757" s="347">
        <v>1</v>
      </c>
      <c r="AM1757" s="99"/>
      <c r="AN1757" s="98"/>
      <c r="AO1757" s="347"/>
      <c r="AQ1757" s="344" t="s">
        <v>4665</v>
      </c>
      <c r="AS1757" s="33">
        <v>1</v>
      </c>
    </row>
    <row r="1758" s="33" customFormat="1" spans="1:45">
      <c r="A1758" s="33">
        <v>713084</v>
      </c>
      <c r="B1758" s="87">
        <v>1001</v>
      </c>
      <c r="C1758" s="87">
        <v>1</v>
      </c>
      <c r="D1758" s="87">
        <v>1001</v>
      </c>
      <c r="E1758" s="344" t="s">
        <v>4666</v>
      </c>
      <c r="F1758" s="344" t="s">
        <v>4667</v>
      </c>
      <c r="G1758" s="33" t="s">
        <v>4668</v>
      </c>
      <c r="H1758" s="33" t="s">
        <v>4669</v>
      </c>
      <c r="I1758" s="33">
        <v>1</v>
      </c>
      <c r="J1758" s="70">
        <v>4</v>
      </c>
      <c r="K1758" s="33">
        <v>2</v>
      </c>
      <c r="L1758" s="87">
        <v>999</v>
      </c>
      <c r="M1758" s="87">
        <v>0</v>
      </c>
      <c r="O1758" s="345"/>
      <c r="S1758" s="87">
        <v>1</v>
      </c>
      <c r="T1758" s="87">
        <v>3</v>
      </c>
      <c r="U1758" s="87">
        <v>300</v>
      </c>
      <c r="V1758" s="87">
        <v>1</v>
      </c>
      <c r="W1758" s="33">
        <v>1</v>
      </c>
      <c r="X1758" s="87">
        <v>1</v>
      </c>
      <c r="Y1758" s="87">
        <v>0</v>
      </c>
      <c r="Z1758" s="33">
        <v>0</v>
      </c>
      <c r="AA1758" s="33">
        <v>3</v>
      </c>
      <c r="AB1758" s="87">
        <v>6460</v>
      </c>
      <c r="AC1758" s="87">
        <v>10000</v>
      </c>
      <c r="AD1758" s="95"/>
      <c r="AE1758" s="95">
        <v>6</v>
      </c>
      <c r="AF1758" s="95"/>
      <c r="AG1758" s="346"/>
      <c r="AH1758" s="346"/>
      <c r="AI1758" s="346"/>
      <c r="AJ1758" s="346"/>
      <c r="AK1758" s="346"/>
      <c r="AL1758" s="347">
        <v>1</v>
      </c>
      <c r="AM1758" s="99"/>
      <c r="AN1758" s="98"/>
      <c r="AO1758" s="347"/>
      <c r="AQ1758" s="344" t="s">
        <v>4667</v>
      </c>
      <c r="AS1758" s="33">
        <v>1</v>
      </c>
    </row>
    <row r="1759" s="33" customFormat="1" spans="1:45">
      <c r="A1759" s="33">
        <v>713085</v>
      </c>
      <c r="B1759" s="87">
        <v>1001</v>
      </c>
      <c r="C1759" s="87">
        <v>1</v>
      </c>
      <c r="D1759" s="87">
        <v>1001</v>
      </c>
      <c r="E1759" s="344" t="s">
        <v>4670</v>
      </c>
      <c r="F1759" s="344" t="s">
        <v>4671</v>
      </c>
      <c r="G1759" s="33" t="s">
        <v>4672</v>
      </c>
      <c r="H1759" s="33" t="s">
        <v>4673</v>
      </c>
      <c r="I1759" s="33">
        <v>1</v>
      </c>
      <c r="J1759" s="70">
        <v>4</v>
      </c>
      <c r="K1759" s="33">
        <v>2</v>
      </c>
      <c r="L1759" s="87">
        <v>999</v>
      </c>
      <c r="M1759" s="87">
        <v>0</v>
      </c>
      <c r="O1759" s="345"/>
      <c r="S1759" s="87">
        <v>1</v>
      </c>
      <c r="T1759" s="87">
        <v>3</v>
      </c>
      <c r="U1759" s="87">
        <v>300</v>
      </c>
      <c r="V1759" s="87">
        <v>1</v>
      </c>
      <c r="W1759" s="33">
        <v>1</v>
      </c>
      <c r="X1759" s="87">
        <v>1</v>
      </c>
      <c r="Y1759" s="87">
        <v>0</v>
      </c>
      <c r="Z1759" s="33">
        <v>0</v>
      </c>
      <c r="AA1759" s="33">
        <v>3</v>
      </c>
      <c r="AB1759" s="87">
        <v>6460</v>
      </c>
      <c r="AC1759" s="87">
        <v>10000</v>
      </c>
      <c r="AD1759" s="95"/>
      <c r="AE1759" s="95">
        <v>6</v>
      </c>
      <c r="AF1759" s="95"/>
      <c r="AG1759" s="346"/>
      <c r="AH1759" s="346"/>
      <c r="AI1759" s="346"/>
      <c r="AJ1759" s="346"/>
      <c r="AK1759" s="346"/>
      <c r="AL1759" s="347">
        <v>1</v>
      </c>
      <c r="AM1759" s="99"/>
      <c r="AN1759" s="98"/>
      <c r="AO1759" s="347"/>
      <c r="AQ1759" s="344" t="s">
        <v>4671</v>
      </c>
      <c r="AS1759" s="33">
        <v>1</v>
      </c>
    </row>
    <row r="1760" s="33" customFormat="1" spans="1:45">
      <c r="A1760" s="33">
        <v>713086</v>
      </c>
      <c r="B1760" s="87">
        <v>1001</v>
      </c>
      <c r="C1760" s="87">
        <v>1</v>
      </c>
      <c r="D1760" s="87">
        <v>1001</v>
      </c>
      <c r="E1760" s="344" t="s">
        <v>4674</v>
      </c>
      <c r="F1760" s="344" t="s">
        <v>4675</v>
      </c>
      <c r="G1760" s="33" t="s">
        <v>4676</v>
      </c>
      <c r="H1760" s="33" t="s">
        <v>4677</v>
      </c>
      <c r="I1760" s="33">
        <v>1</v>
      </c>
      <c r="J1760" s="70">
        <v>4</v>
      </c>
      <c r="K1760" s="33">
        <v>2</v>
      </c>
      <c r="L1760" s="87">
        <v>999</v>
      </c>
      <c r="M1760" s="87">
        <v>0</v>
      </c>
      <c r="O1760" s="345"/>
      <c r="S1760" s="87">
        <v>1</v>
      </c>
      <c r="T1760" s="87">
        <v>3</v>
      </c>
      <c r="U1760" s="87">
        <v>300</v>
      </c>
      <c r="V1760" s="87">
        <v>1</v>
      </c>
      <c r="W1760" s="33">
        <v>1</v>
      </c>
      <c r="X1760" s="87">
        <v>1</v>
      </c>
      <c r="Y1760" s="87">
        <v>0</v>
      </c>
      <c r="Z1760" s="33">
        <v>0</v>
      </c>
      <c r="AA1760" s="33">
        <v>3</v>
      </c>
      <c r="AB1760" s="87">
        <v>6460</v>
      </c>
      <c r="AC1760" s="87">
        <v>10000</v>
      </c>
      <c r="AD1760" s="95"/>
      <c r="AE1760" s="95">
        <v>6</v>
      </c>
      <c r="AF1760" s="95"/>
      <c r="AG1760" s="346"/>
      <c r="AH1760" s="346"/>
      <c r="AI1760" s="346"/>
      <c r="AJ1760" s="346"/>
      <c r="AK1760" s="346"/>
      <c r="AL1760" s="347">
        <v>1</v>
      </c>
      <c r="AM1760" s="99"/>
      <c r="AN1760" s="98"/>
      <c r="AO1760" s="347"/>
      <c r="AQ1760" s="344" t="s">
        <v>4675</v>
      </c>
      <c r="AS1760" s="33">
        <v>1</v>
      </c>
    </row>
    <row r="1761" s="33" customFormat="1" spans="1:45">
      <c r="A1761" s="33">
        <v>713087</v>
      </c>
      <c r="B1761" s="87">
        <v>1001</v>
      </c>
      <c r="C1761" s="87">
        <v>1</v>
      </c>
      <c r="D1761" s="87">
        <v>1001</v>
      </c>
      <c r="E1761" s="344" t="s">
        <v>4678</v>
      </c>
      <c r="F1761" s="344" t="s">
        <v>4679</v>
      </c>
      <c r="G1761" s="33" t="s">
        <v>4680</v>
      </c>
      <c r="H1761" s="33" t="s">
        <v>4681</v>
      </c>
      <c r="I1761" s="33">
        <v>1</v>
      </c>
      <c r="J1761" s="70">
        <v>4</v>
      </c>
      <c r="K1761" s="33">
        <v>2</v>
      </c>
      <c r="L1761" s="87">
        <v>999</v>
      </c>
      <c r="M1761" s="87">
        <v>0</v>
      </c>
      <c r="O1761" s="345"/>
      <c r="S1761" s="87">
        <v>1</v>
      </c>
      <c r="T1761" s="87">
        <v>3</v>
      </c>
      <c r="U1761" s="87">
        <v>300</v>
      </c>
      <c r="V1761" s="87">
        <v>1</v>
      </c>
      <c r="W1761" s="33">
        <v>1</v>
      </c>
      <c r="X1761" s="87">
        <v>1</v>
      </c>
      <c r="Y1761" s="87">
        <v>0</v>
      </c>
      <c r="Z1761" s="33">
        <v>0</v>
      </c>
      <c r="AA1761" s="33">
        <v>3</v>
      </c>
      <c r="AB1761" s="87">
        <v>6460</v>
      </c>
      <c r="AC1761" s="87">
        <v>10000</v>
      </c>
      <c r="AD1761" s="95"/>
      <c r="AE1761" s="95">
        <v>6</v>
      </c>
      <c r="AF1761" s="95"/>
      <c r="AG1761" s="346"/>
      <c r="AH1761" s="346"/>
      <c r="AI1761" s="346"/>
      <c r="AJ1761" s="346"/>
      <c r="AK1761" s="346"/>
      <c r="AL1761" s="347">
        <v>1</v>
      </c>
      <c r="AM1761" s="99"/>
      <c r="AN1761" s="98"/>
      <c r="AO1761" s="347"/>
      <c r="AQ1761" s="344" t="s">
        <v>4679</v>
      </c>
      <c r="AS1761" s="33">
        <v>1</v>
      </c>
    </row>
    <row r="1762" s="33" customFormat="1" spans="1:45">
      <c r="A1762" s="33">
        <v>713088</v>
      </c>
      <c r="B1762" s="87">
        <v>1001</v>
      </c>
      <c r="C1762" s="87">
        <v>1</v>
      </c>
      <c r="D1762" s="87">
        <v>1001</v>
      </c>
      <c r="E1762" s="344" t="s">
        <v>4682</v>
      </c>
      <c r="F1762" s="344" t="s">
        <v>4682</v>
      </c>
      <c r="G1762" s="33" t="s">
        <v>4683</v>
      </c>
      <c r="H1762" s="33" t="s">
        <v>4684</v>
      </c>
      <c r="I1762" s="33">
        <v>1</v>
      </c>
      <c r="J1762" s="70">
        <v>4</v>
      </c>
      <c r="K1762" s="33">
        <v>2</v>
      </c>
      <c r="L1762" s="87">
        <v>999</v>
      </c>
      <c r="M1762" s="87">
        <v>0</v>
      </c>
      <c r="O1762" s="345"/>
      <c r="S1762" s="87">
        <v>1</v>
      </c>
      <c r="T1762" s="87">
        <v>3</v>
      </c>
      <c r="U1762" s="87">
        <v>300</v>
      </c>
      <c r="V1762" s="87">
        <v>1</v>
      </c>
      <c r="W1762" s="33">
        <v>1</v>
      </c>
      <c r="X1762" s="87">
        <v>1</v>
      </c>
      <c r="Y1762" s="87">
        <v>0</v>
      </c>
      <c r="Z1762" s="33">
        <v>0</v>
      </c>
      <c r="AA1762" s="33">
        <v>3</v>
      </c>
      <c r="AB1762" s="87">
        <v>6460</v>
      </c>
      <c r="AC1762" s="87">
        <v>10000</v>
      </c>
      <c r="AD1762" s="95"/>
      <c r="AE1762" s="95">
        <v>6</v>
      </c>
      <c r="AF1762" s="95"/>
      <c r="AG1762" s="346"/>
      <c r="AH1762" s="346"/>
      <c r="AI1762" s="346"/>
      <c r="AJ1762" s="346"/>
      <c r="AK1762" s="346"/>
      <c r="AL1762" s="347">
        <v>1</v>
      </c>
      <c r="AM1762" s="99"/>
      <c r="AN1762" s="98"/>
      <c r="AO1762" s="347"/>
      <c r="AQ1762" s="344" t="s">
        <v>4682</v>
      </c>
      <c r="AS1762" s="33">
        <v>1</v>
      </c>
    </row>
    <row r="1763" s="33" customFormat="1" spans="1:45">
      <c r="A1763" s="33">
        <v>713089</v>
      </c>
      <c r="B1763" s="87">
        <v>1001</v>
      </c>
      <c r="C1763" s="87">
        <v>1</v>
      </c>
      <c r="D1763" s="87">
        <v>1001</v>
      </c>
      <c r="E1763" s="344" t="s">
        <v>4685</v>
      </c>
      <c r="F1763" s="344" t="s">
        <v>4685</v>
      </c>
      <c r="G1763" s="33" t="s">
        <v>4686</v>
      </c>
      <c r="H1763" s="33" t="s">
        <v>4687</v>
      </c>
      <c r="I1763" s="33">
        <v>1</v>
      </c>
      <c r="J1763" s="70">
        <v>4</v>
      </c>
      <c r="K1763" s="33">
        <v>2</v>
      </c>
      <c r="L1763" s="87">
        <v>999</v>
      </c>
      <c r="M1763" s="87">
        <v>0</v>
      </c>
      <c r="O1763" s="345"/>
      <c r="S1763" s="87">
        <v>1</v>
      </c>
      <c r="T1763" s="87">
        <v>3</v>
      </c>
      <c r="U1763" s="87">
        <v>300</v>
      </c>
      <c r="V1763" s="87">
        <v>1</v>
      </c>
      <c r="W1763" s="33">
        <v>1</v>
      </c>
      <c r="X1763" s="87">
        <v>1</v>
      </c>
      <c r="Y1763" s="87">
        <v>0</v>
      </c>
      <c r="Z1763" s="33">
        <v>0</v>
      </c>
      <c r="AA1763" s="33">
        <v>3</v>
      </c>
      <c r="AB1763" s="87">
        <v>6460</v>
      </c>
      <c r="AC1763" s="87">
        <v>10000</v>
      </c>
      <c r="AD1763" s="95"/>
      <c r="AE1763" s="95">
        <v>6</v>
      </c>
      <c r="AF1763" s="95"/>
      <c r="AG1763" s="346"/>
      <c r="AH1763" s="346"/>
      <c r="AI1763" s="346"/>
      <c r="AJ1763" s="346"/>
      <c r="AK1763" s="346"/>
      <c r="AL1763" s="347">
        <v>1</v>
      </c>
      <c r="AM1763" s="99"/>
      <c r="AN1763" s="98"/>
      <c r="AO1763" s="347"/>
      <c r="AQ1763" s="344" t="s">
        <v>4685</v>
      </c>
      <c r="AS1763" s="33">
        <v>1</v>
      </c>
    </row>
    <row r="1764" s="33" customFormat="1" spans="1:45">
      <c r="A1764" s="33">
        <v>713090</v>
      </c>
      <c r="B1764" s="87">
        <v>1001</v>
      </c>
      <c r="C1764" s="87">
        <v>1</v>
      </c>
      <c r="D1764" s="87">
        <v>1001</v>
      </c>
      <c r="E1764" s="344" t="s">
        <v>4688</v>
      </c>
      <c r="F1764" s="344" t="s">
        <v>4688</v>
      </c>
      <c r="G1764" s="33" t="s">
        <v>4689</v>
      </c>
      <c r="H1764" s="33" t="s">
        <v>4690</v>
      </c>
      <c r="I1764" s="33">
        <v>1</v>
      </c>
      <c r="J1764" s="70">
        <v>4</v>
      </c>
      <c r="K1764" s="33">
        <v>2</v>
      </c>
      <c r="L1764" s="87">
        <v>999</v>
      </c>
      <c r="M1764" s="87">
        <v>0</v>
      </c>
      <c r="O1764" s="345"/>
      <c r="S1764" s="87">
        <v>1</v>
      </c>
      <c r="T1764" s="87">
        <v>3</v>
      </c>
      <c r="U1764" s="87">
        <v>300</v>
      </c>
      <c r="V1764" s="87">
        <v>1</v>
      </c>
      <c r="W1764" s="33">
        <v>1</v>
      </c>
      <c r="X1764" s="87">
        <v>1</v>
      </c>
      <c r="Y1764" s="87">
        <v>0</v>
      </c>
      <c r="Z1764" s="33">
        <v>0</v>
      </c>
      <c r="AA1764" s="33">
        <v>3</v>
      </c>
      <c r="AB1764" s="87">
        <v>6460</v>
      </c>
      <c r="AC1764" s="87">
        <v>10000</v>
      </c>
      <c r="AD1764" s="95"/>
      <c r="AE1764" s="95">
        <v>6</v>
      </c>
      <c r="AF1764" s="95"/>
      <c r="AG1764" s="346"/>
      <c r="AH1764" s="346"/>
      <c r="AI1764" s="346"/>
      <c r="AJ1764" s="346"/>
      <c r="AK1764" s="346"/>
      <c r="AL1764" s="347">
        <v>1</v>
      </c>
      <c r="AM1764" s="99"/>
      <c r="AN1764" s="98"/>
      <c r="AO1764" s="347"/>
      <c r="AQ1764" s="344" t="s">
        <v>4688</v>
      </c>
      <c r="AS1764" s="33">
        <v>1</v>
      </c>
    </row>
    <row r="1765" s="33" customFormat="1" spans="1:45">
      <c r="A1765" s="33">
        <v>713091</v>
      </c>
      <c r="B1765" s="87">
        <v>1001</v>
      </c>
      <c r="C1765" s="87">
        <v>1</v>
      </c>
      <c r="D1765" s="87">
        <v>1001</v>
      </c>
      <c r="E1765" s="344" t="s">
        <v>4691</v>
      </c>
      <c r="F1765" s="344" t="s">
        <v>4691</v>
      </c>
      <c r="G1765" s="33" t="s">
        <v>4692</v>
      </c>
      <c r="H1765" s="33" t="s">
        <v>4693</v>
      </c>
      <c r="I1765" s="33">
        <v>1</v>
      </c>
      <c r="J1765" s="70">
        <v>4</v>
      </c>
      <c r="K1765" s="33">
        <v>2</v>
      </c>
      <c r="L1765" s="87">
        <v>999</v>
      </c>
      <c r="M1765" s="87">
        <v>0</v>
      </c>
      <c r="O1765" s="345"/>
      <c r="S1765" s="87">
        <v>1</v>
      </c>
      <c r="T1765" s="87">
        <v>3</v>
      </c>
      <c r="U1765" s="87">
        <v>300</v>
      </c>
      <c r="V1765" s="87">
        <v>1</v>
      </c>
      <c r="W1765" s="33">
        <v>1</v>
      </c>
      <c r="X1765" s="87">
        <v>1</v>
      </c>
      <c r="Y1765" s="87">
        <v>0</v>
      </c>
      <c r="Z1765" s="33">
        <v>0</v>
      </c>
      <c r="AA1765" s="33">
        <v>3</v>
      </c>
      <c r="AB1765" s="87">
        <v>6460</v>
      </c>
      <c r="AC1765" s="87">
        <v>10000</v>
      </c>
      <c r="AD1765" s="95"/>
      <c r="AE1765" s="95">
        <v>6</v>
      </c>
      <c r="AF1765" s="95"/>
      <c r="AG1765" s="346"/>
      <c r="AH1765" s="346"/>
      <c r="AI1765" s="346"/>
      <c r="AJ1765" s="346"/>
      <c r="AK1765" s="346"/>
      <c r="AL1765" s="347">
        <v>1</v>
      </c>
      <c r="AM1765" s="99"/>
      <c r="AN1765" s="98"/>
      <c r="AO1765" s="347"/>
      <c r="AQ1765" s="344" t="s">
        <v>4691</v>
      </c>
      <c r="AS1765" s="33">
        <v>1</v>
      </c>
    </row>
    <row r="1766" s="33" customFormat="1" ht="15.75" customHeight="1" spans="1:45">
      <c r="A1766" s="33">
        <v>713092</v>
      </c>
      <c r="B1766" s="87">
        <v>1001</v>
      </c>
      <c r="C1766" s="87">
        <v>1</v>
      </c>
      <c r="D1766" s="87">
        <v>1001</v>
      </c>
      <c r="E1766" s="344" t="s">
        <v>4694</v>
      </c>
      <c r="F1766" s="344" t="s">
        <v>4694</v>
      </c>
      <c r="G1766" s="33" t="s">
        <v>4695</v>
      </c>
      <c r="H1766" s="33" t="s">
        <v>4696</v>
      </c>
      <c r="I1766" s="33">
        <v>1</v>
      </c>
      <c r="J1766" s="70">
        <v>4</v>
      </c>
      <c r="K1766" s="33">
        <v>2</v>
      </c>
      <c r="L1766" s="87">
        <v>999</v>
      </c>
      <c r="M1766" s="87">
        <v>0</v>
      </c>
      <c r="O1766" s="345"/>
      <c r="S1766" s="87">
        <v>1</v>
      </c>
      <c r="T1766" s="87">
        <v>3</v>
      </c>
      <c r="U1766" s="87">
        <v>300</v>
      </c>
      <c r="V1766" s="87">
        <v>1</v>
      </c>
      <c r="W1766" s="33">
        <v>1</v>
      </c>
      <c r="X1766" s="87">
        <v>1</v>
      </c>
      <c r="Y1766" s="87">
        <v>0</v>
      </c>
      <c r="Z1766" s="33">
        <v>0</v>
      </c>
      <c r="AA1766" s="33">
        <v>3</v>
      </c>
      <c r="AB1766" s="87">
        <v>6460</v>
      </c>
      <c r="AC1766" s="87">
        <v>10000</v>
      </c>
      <c r="AD1766" s="95"/>
      <c r="AE1766" s="95">
        <v>6</v>
      </c>
      <c r="AF1766" s="95"/>
      <c r="AG1766" s="346"/>
      <c r="AH1766" s="346"/>
      <c r="AI1766" s="346"/>
      <c r="AJ1766" s="346"/>
      <c r="AK1766" s="346"/>
      <c r="AL1766" s="347">
        <v>1</v>
      </c>
      <c r="AM1766" s="99"/>
      <c r="AN1766" s="98"/>
      <c r="AO1766" s="347"/>
      <c r="AQ1766" s="344" t="s">
        <v>4694</v>
      </c>
      <c r="AS1766" s="33">
        <v>1</v>
      </c>
    </row>
    <row r="1767" s="33" customFormat="1" ht="15.75" customHeight="1" spans="1:45">
      <c r="A1767" s="33">
        <v>713093</v>
      </c>
      <c r="B1767" s="87">
        <v>1001</v>
      </c>
      <c r="C1767" s="87">
        <v>1</v>
      </c>
      <c r="D1767" s="87">
        <v>1001</v>
      </c>
      <c r="E1767" s="348" t="s">
        <v>4697</v>
      </c>
      <c r="F1767" s="349" t="s">
        <v>4697</v>
      </c>
      <c r="G1767" s="33" t="s">
        <v>4698</v>
      </c>
      <c r="H1767" s="33" t="s">
        <v>4699</v>
      </c>
      <c r="I1767" s="33">
        <v>1</v>
      </c>
      <c r="J1767" s="70">
        <v>4</v>
      </c>
      <c r="K1767" s="33">
        <v>2</v>
      </c>
      <c r="L1767" s="87">
        <v>999</v>
      </c>
      <c r="M1767" s="87">
        <v>0</v>
      </c>
      <c r="O1767" s="345"/>
      <c r="S1767" s="87">
        <v>1</v>
      </c>
      <c r="T1767" s="87">
        <v>3</v>
      </c>
      <c r="U1767" s="87">
        <v>300</v>
      </c>
      <c r="V1767" s="87">
        <v>1</v>
      </c>
      <c r="W1767" s="33">
        <v>1</v>
      </c>
      <c r="X1767" s="87">
        <v>1</v>
      </c>
      <c r="Y1767" s="87">
        <v>0</v>
      </c>
      <c r="Z1767" s="33">
        <v>0</v>
      </c>
      <c r="AA1767" s="33">
        <v>3</v>
      </c>
      <c r="AB1767" s="87">
        <v>6460</v>
      </c>
      <c r="AC1767" s="87">
        <v>10000</v>
      </c>
      <c r="AD1767" s="95"/>
      <c r="AE1767" s="95">
        <v>6</v>
      </c>
      <c r="AF1767" s="95"/>
      <c r="AG1767" s="346"/>
      <c r="AH1767" s="346"/>
      <c r="AI1767" s="346"/>
      <c r="AJ1767" s="346"/>
      <c r="AK1767" s="346"/>
      <c r="AL1767" s="347">
        <v>1</v>
      </c>
      <c r="AM1767" s="99"/>
      <c r="AN1767" s="98"/>
      <c r="AO1767" s="347"/>
      <c r="AQ1767" s="348" t="s">
        <v>4697</v>
      </c>
      <c r="AS1767" s="33">
        <v>1</v>
      </c>
    </row>
    <row r="1768" s="33" customFormat="1" spans="1:45">
      <c r="A1768" s="33">
        <v>713094</v>
      </c>
      <c r="B1768" s="87">
        <v>1001</v>
      </c>
      <c r="C1768" s="87">
        <v>1</v>
      </c>
      <c r="D1768" s="87">
        <v>1001</v>
      </c>
      <c r="E1768" s="349" t="s">
        <v>4700</v>
      </c>
      <c r="F1768" s="349" t="s">
        <v>4700</v>
      </c>
      <c r="G1768" s="33" t="s">
        <v>4701</v>
      </c>
      <c r="H1768" s="33" t="s">
        <v>4702</v>
      </c>
      <c r="I1768" s="33">
        <v>1</v>
      </c>
      <c r="J1768" s="70">
        <v>4</v>
      </c>
      <c r="K1768" s="33">
        <v>2</v>
      </c>
      <c r="L1768" s="87">
        <v>999</v>
      </c>
      <c r="M1768" s="87">
        <v>0</v>
      </c>
      <c r="O1768" s="345"/>
      <c r="S1768" s="87">
        <v>1</v>
      </c>
      <c r="T1768" s="87">
        <v>3</v>
      </c>
      <c r="U1768" s="87">
        <v>300</v>
      </c>
      <c r="V1768" s="87">
        <v>1</v>
      </c>
      <c r="W1768" s="33">
        <v>1</v>
      </c>
      <c r="X1768" s="87">
        <v>1</v>
      </c>
      <c r="Y1768" s="87">
        <v>0</v>
      </c>
      <c r="Z1768" s="33">
        <v>0</v>
      </c>
      <c r="AA1768" s="33">
        <v>3</v>
      </c>
      <c r="AB1768" s="87">
        <v>6460</v>
      </c>
      <c r="AC1768" s="87">
        <v>10000</v>
      </c>
      <c r="AD1768" s="95"/>
      <c r="AE1768" s="95">
        <v>6</v>
      </c>
      <c r="AF1768" s="95"/>
      <c r="AG1768" s="346"/>
      <c r="AH1768" s="346"/>
      <c r="AI1768" s="346"/>
      <c r="AJ1768" s="346"/>
      <c r="AK1768" s="346"/>
      <c r="AL1768" s="347">
        <v>1</v>
      </c>
      <c r="AM1768" s="99"/>
      <c r="AN1768" s="98"/>
      <c r="AO1768" s="347"/>
      <c r="AQ1768" s="349" t="s">
        <v>4700</v>
      </c>
      <c r="AS1768" s="33">
        <v>1</v>
      </c>
    </row>
    <row r="1769" s="33" customFormat="1" spans="1:45">
      <c r="A1769" s="33">
        <v>713095</v>
      </c>
      <c r="B1769" s="87">
        <v>1001</v>
      </c>
      <c r="C1769" s="87">
        <v>1</v>
      </c>
      <c r="D1769" s="87">
        <v>1001</v>
      </c>
      <c r="E1769" s="349" t="s">
        <v>4703</v>
      </c>
      <c r="F1769" s="349" t="s">
        <v>4703</v>
      </c>
      <c r="G1769" s="33" t="s">
        <v>4704</v>
      </c>
      <c r="H1769" s="33" t="s">
        <v>4705</v>
      </c>
      <c r="I1769" s="33">
        <v>1</v>
      </c>
      <c r="J1769" s="70">
        <v>4</v>
      </c>
      <c r="K1769" s="33">
        <v>2</v>
      </c>
      <c r="L1769" s="87">
        <v>999</v>
      </c>
      <c r="M1769" s="87">
        <v>0</v>
      </c>
      <c r="O1769" s="345"/>
      <c r="S1769" s="87">
        <v>1</v>
      </c>
      <c r="T1769" s="87">
        <v>3</v>
      </c>
      <c r="U1769" s="87">
        <v>300</v>
      </c>
      <c r="V1769" s="87">
        <v>1</v>
      </c>
      <c r="W1769" s="33">
        <v>1</v>
      </c>
      <c r="X1769" s="87">
        <v>1</v>
      </c>
      <c r="Y1769" s="87">
        <v>0</v>
      </c>
      <c r="Z1769" s="33">
        <v>0</v>
      </c>
      <c r="AA1769" s="33">
        <v>3</v>
      </c>
      <c r="AB1769" s="87">
        <v>6460</v>
      </c>
      <c r="AC1769" s="87">
        <v>10000</v>
      </c>
      <c r="AD1769" s="95"/>
      <c r="AE1769" s="95">
        <v>6</v>
      </c>
      <c r="AF1769" s="95"/>
      <c r="AG1769" s="346"/>
      <c r="AH1769" s="346"/>
      <c r="AI1769" s="346"/>
      <c r="AJ1769" s="346"/>
      <c r="AK1769" s="346"/>
      <c r="AL1769" s="347">
        <v>1</v>
      </c>
      <c r="AM1769" s="99"/>
      <c r="AN1769" s="98"/>
      <c r="AO1769" s="347"/>
      <c r="AQ1769" s="349" t="s">
        <v>4703</v>
      </c>
      <c r="AS1769" s="33">
        <v>1</v>
      </c>
    </row>
    <row r="1770" s="33" customFormat="1" spans="1:45">
      <c r="A1770" s="33">
        <v>713096</v>
      </c>
      <c r="B1770" s="87">
        <v>1001</v>
      </c>
      <c r="C1770" s="87">
        <v>1</v>
      </c>
      <c r="D1770" s="87">
        <v>1001</v>
      </c>
      <c r="E1770" s="349" t="s">
        <v>4706</v>
      </c>
      <c r="F1770" s="349" t="s">
        <v>4706</v>
      </c>
      <c r="G1770" s="33" t="s">
        <v>4707</v>
      </c>
      <c r="H1770" s="33" t="s">
        <v>4708</v>
      </c>
      <c r="I1770" s="33">
        <v>1</v>
      </c>
      <c r="J1770" s="70">
        <v>4</v>
      </c>
      <c r="K1770" s="33">
        <v>2</v>
      </c>
      <c r="L1770" s="87">
        <v>999</v>
      </c>
      <c r="M1770" s="87">
        <v>0</v>
      </c>
      <c r="O1770" s="345"/>
      <c r="S1770" s="87">
        <v>1</v>
      </c>
      <c r="T1770" s="87">
        <v>3</v>
      </c>
      <c r="U1770" s="87">
        <v>300</v>
      </c>
      <c r="V1770" s="87">
        <v>1</v>
      </c>
      <c r="W1770" s="33">
        <v>1</v>
      </c>
      <c r="X1770" s="87">
        <v>1</v>
      </c>
      <c r="Y1770" s="87">
        <v>0</v>
      </c>
      <c r="Z1770" s="33">
        <v>0</v>
      </c>
      <c r="AA1770" s="33">
        <v>3</v>
      </c>
      <c r="AB1770" s="87">
        <v>6460</v>
      </c>
      <c r="AC1770" s="87">
        <v>10000</v>
      </c>
      <c r="AD1770" s="95"/>
      <c r="AE1770" s="95">
        <v>6</v>
      </c>
      <c r="AF1770" s="95"/>
      <c r="AG1770" s="346"/>
      <c r="AH1770" s="346"/>
      <c r="AI1770" s="346"/>
      <c r="AJ1770" s="346"/>
      <c r="AK1770" s="346"/>
      <c r="AL1770" s="347">
        <v>1</v>
      </c>
      <c r="AM1770" s="99"/>
      <c r="AN1770" s="98"/>
      <c r="AO1770" s="347"/>
      <c r="AQ1770" s="349" t="s">
        <v>4706</v>
      </c>
      <c r="AS1770" s="33">
        <v>1</v>
      </c>
    </row>
    <row r="1771" s="33" customFormat="1" spans="1:45">
      <c r="A1771" s="33">
        <v>713097</v>
      </c>
      <c r="B1771" s="87">
        <v>1001</v>
      </c>
      <c r="C1771" s="87">
        <v>1</v>
      </c>
      <c r="D1771" s="87">
        <v>1001</v>
      </c>
      <c r="E1771" s="349" t="s">
        <v>4709</v>
      </c>
      <c r="F1771" s="349" t="s">
        <v>4710</v>
      </c>
      <c r="G1771" s="33" t="s">
        <v>4711</v>
      </c>
      <c r="H1771" s="33" t="s">
        <v>4712</v>
      </c>
      <c r="I1771" s="33">
        <v>1</v>
      </c>
      <c r="J1771" s="70">
        <v>4</v>
      </c>
      <c r="K1771" s="33">
        <v>2</v>
      </c>
      <c r="L1771" s="87">
        <v>999</v>
      </c>
      <c r="M1771" s="87">
        <v>0</v>
      </c>
      <c r="O1771" s="345"/>
      <c r="S1771" s="87">
        <v>1</v>
      </c>
      <c r="T1771" s="87">
        <v>3</v>
      </c>
      <c r="U1771" s="87">
        <v>300</v>
      </c>
      <c r="V1771" s="87">
        <v>1</v>
      </c>
      <c r="W1771" s="33">
        <v>1</v>
      </c>
      <c r="X1771" s="87">
        <v>1</v>
      </c>
      <c r="Y1771" s="87">
        <v>0</v>
      </c>
      <c r="Z1771" s="33">
        <v>0</v>
      </c>
      <c r="AA1771" s="33">
        <v>3</v>
      </c>
      <c r="AB1771" s="87">
        <v>6460</v>
      </c>
      <c r="AC1771" s="87">
        <v>10000</v>
      </c>
      <c r="AD1771" s="95"/>
      <c r="AE1771" s="95">
        <v>6</v>
      </c>
      <c r="AF1771" s="95"/>
      <c r="AG1771" s="346"/>
      <c r="AH1771" s="346"/>
      <c r="AI1771" s="346"/>
      <c r="AJ1771" s="346"/>
      <c r="AK1771" s="346"/>
      <c r="AL1771" s="347">
        <v>1</v>
      </c>
      <c r="AM1771" s="99"/>
      <c r="AN1771" s="98"/>
      <c r="AO1771" s="347"/>
      <c r="AQ1771" s="349" t="s">
        <v>4709</v>
      </c>
      <c r="AS1771" s="33">
        <v>1</v>
      </c>
    </row>
    <row r="1772" s="33" customFormat="1" spans="1:45">
      <c r="A1772" s="33">
        <v>713098</v>
      </c>
      <c r="B1772" s="87">
        <v>1001</v>
      </c>
      <c r="C1772" s="87">
        <v>1</v>
      </c>
      <c r="D1772" s="87">
        <v>1001</v>
      </c>
      <c r="E1772" s="349" t="s">
        <v>4713</v>
      </c>
      <c r="F1772" s="349" t="s">
        <v>4714</v>
      </c>
      <c r="G1772" s="33" t="s">
        <v>4715</v>
      </c>
      <c r="H1772" s="33" t="s">
        <v>4716</v>
      </c>
      <c r="I1772" s="33">
        <v>1</v>
      </c>
      <c r="J1772" s="70">
        <v>4</v>
      </c>
      <c r="K1772" s="33">
        <v>2</v>
      </c>
      <c r="L1772" s="87">
        <v>999</v>
      </c>
      <c r="M1772" s="87">
        <v>0</v>
      </c>
      <c r="O1772" s="345"/>
      <c r="S1772" s="87">
        <v>1</v>
      </c>
      <c r="T1772" s="87">
        <v>3</v>
      </c>
      <c r="U1772" s="87">
        <v>300</v>
      </c>
      <c r="V1772" s="87">
        <v>1</v>
      </c>
      <c r="W1772" s="33">
        <v>1</v>
      </c>
      <c r="X1772" s="87">
        <v>1</v>
      </c>
      <c r="Y1772" s="87">
        <v>0</v>
      </c>
      <c r="Z1772" s="33">
        <v>0</v>
      </c>
      <c r="AA1772" s="33">
        <v>3</v>
      </c>
      <c r="AB1772" s="87">
        <v>6460</v>
      </c>
      <c r="AC1772" s="87">
        <v>10000</v>
      </c>
      <c r="AD1772" s="95"/>
      <c r="AE1772" s="95">
        <v>6</v>
      </c>
      <c r="AF1772" s="95"/>
      <c r="AG1772" s="346"/>
      <c r="AH1772" s="346"/>
      <c r="AI1772" s="346"/>
      <c r="AJ1772" s="346"/>
      <c r="AK1772" s="346"/>
      <c r="AL1772" s="347">
        <v>1</v>
      </c>
      <c r="AM1772" s="99"/>
      <c r="AN1772" s="98"/>
      <c r="AO1772" s="347"/>
      <c r="AQ1772" s="349" t="s">
        <v>4713</v>
      </c>
      <c r="AS1772" s="33">
        <v>1</v>
      </c>
    </row>
    <row r="1773" s="33" customFormat="1" spans="1:45">
      <c r="A1773" s="33">
        <v>713101</v>
      </c>
      <c r="B1773" s="87">
        <v>1001</v>
      </c>
      <c r="C1773" s="87">
        <v>1</v>
      </c>
      <c r="D1773" s="87">
        <v>1001</v>
      </c>
      <c r="E1773" s="349" t="s">
        <v>4717</v>
      </c>
      <c r="F1773" s="349" t="s">
        <v>4718</v>
      </c>
      <c r="G1773" s="33" t="s">
        <v>4719</v>
      </c>
      <c r="H1773" s="33" t="s">
        <v>4720</v>
      </c>
      <c r="I1773" s="33">
        <v>1</v>
      </c>
      <c r="J1773" s="70">
        <v>4</v>
      </c>
      <c r="K1773" s="33">
        <v>2</v>
      </c>
      <c r="L1773" s="87">
        <v>999</v>
      </c>
      <c r="M1773" s="87">
        <v>0</v>
      </c>
      <c r="O1773" s="345"/>
      <c r="S1773" s="87">
        <v>1</v>
      </c>
      <c r="T1773" s="87">
        <v>3</v>
      </c>
      <c r="U1773" s="87">
        <v>300</v>
      </c>
      <c r="V1773" s="87">
        <v>1</v>
      </c>
      <c r="W1773" s="33">
        <v>1</v>
      </c>
      <c r="X1773" s="87">
        <v>1</v>
      </c>
      <c r="Y1773" s="87">
        <v>0</v>
      </c>
      <c r="Z1773" s="33">
        <v>0</v>
      </c>
      <c r="AA1773" s="33">
        <v>3</v>
      </c>
      <c r="AB1773" s="87">
        <v>6460</v>
      </c>
      <c r="AC1773" s="87">
        <v>10000</v>
      </c>
      <c r="AD1773" s="95"/>
      <c r="AE1773" s="95">
        <v>6</v>
      </c>
      <c r="AF1773" s="95"/>
      <c r="AG1773" s="346"/>
      <c r="AH1773" s="346"/>
      <c r="AI1773" s="346"/>
      <c r="AJ1773" s="346"/>
      <c r="AK1773" s="346"/>
      <c r="AL1773" s="347">
        <v>1</v>
      </c>
      <c r="AM1773" s="99"/>
      <c r="AN1773" s="98"/>
      <c r="AO1773" s="347"/>
      <c r="AQ1773" s="349" t="s">
        <v>4717</v>
      </c>
      <c r="AS1773" s="33">
        <v>1</v>
      </c>
    </row>
    <row r="1774" s="33" customFormat="1" spans="1:45">
      <c r="A1774" s="33">
        <v>713102</v>
      </c>
      <c r="B1774" s="87">
        <v>1001</v>
      </c>
      <c r="C1774" s="87">
        <v>1</v>
      </c>
      <c r="D1774" s="87">
        <v>1001</v>
      </c>
      <c r="E1774" s="349" t="s">
        <v>4721</v>
      </c>
      <c r="F1774" s="349" t="s">
        <v>4722</v>
      </c>
      <c r="G1774" s="33" t="s">
        <v>4723</v>
      </c>
      <c r="H1774" s="33" t="s">
        <v>4724</v>
      </c>
      <c r="I1774" s="33">
        <v>1</v>
      </c>
      <c r="J1774" s="70">
        <v>4</v>
      </c>
      <c r="K1774" s="33">
        <v>2</v>
      </c>
      <c r="L1774" s="87">
        <v>999</v>
      </c>
      <c r="M1774" s="87">
        <v>0</v>
      </c>
      <c r="O1774" s="345"/>
      <c r="S1774" s="87">
        <v>1</v>
      </c>
      <c r="T1774" s="87">
        <v>3</v>
      </c>
      <c r="U1774" s="87">
        <v>300</v>
      </c>
      <c r="V1774" s="87">
        <v>1</v>
      </c>
      <c r="W1774" s="33">
        <v>1</v>
      </c>
      <c r="X1774" s="87">
        <v>1</v>
      </c>
      <c r="Y1774" s="87">
        <v>0</v>
      </c>
      <c r="Z1774" s="33">
        <v>0</v>
      </c>
      <c r="AA1774" s="33">
        <v>3</v>
      </c>
      <c r="AB1774" s="87">
        <v>6460</v>
      </c>
      <c r="AC1774" s="87">
        <v>10000</v>
      </c>
      <c r="AD1774" s="95"/>
      <c r="AE1774" s="95">
        <v>6</v>
      </c>
      <c r="AF1774" s="95"/>
      <c r="AG1774" s="346"/>
      <c r="AH1774" s="346"/>
      <c r="AI1774" s="346"/>
      <c r="AJ1774" s="346"/>
      <c r="AK1774" s="346"/>
      <c r="AL1774" s="347">
        <v>1</v>
      </c>
      <c r="AM1774" s="99"/>
      <c r="AN1774" s="98"/>
      <c r="AO1774" s="347"/>
      <c r="AQ1774" s="349" t="s">
        <v>4721</v>
      </c>
      <c r="AS1774" s="33">
        <v>1</v>
      </c>
    </row>
    <row r="1775" s="33" customFormat="1" spans="1:45">
      <c r="A1775" s="33">
        <v>713103</v>
      </c>
      <c r="B1775" s="87">
        <v>1001</v>
      </c>
      <c r="C1775" s="87">
        <v>1</v>
      </c>
      <c r="D1775" s="87">
        <v>1001</v>
      </c>
      <c r="E1775" s="349" t="s">
        <v>4725</v>
      </c>
      <c r="F1775" s="349" t="s">
        <v>4725</v>
      </c>
      <c r="G1775" s="33" t="s">
        <v>4726</v>
      </c>
      <c r="H1775" s="33" t="s">
        <v>4727</v>
      </c>
      <c r="I1775" s="33">
        <v>1</v>
      </c>
      <c r="J1775" s="70">
        <v>4</v>
      </c>
      <c r="K1775" s="33">
        <v>2</v>
      </c>
      <c r="L1775" s="87">
        <v>999</v>
      </c>
      <c r="M1775" s="87">
        <v>0</v>
      </c>
      <c r="O1775" s="345"/>
      <c r="S1775" s="87">
        <v>1</v>
      </c>
      <c r="T1775" s="87">
        <v>3</v>
      </c>
      <c r="U1775" s="87">
        <v>300</v>
      </c>
      <c r="V1775" s="87">
        <v>1</v>
      </c>
      <c r="W1775" s="33">
        <v>1</v>
      </c>
      <c r="X1775" s="87">
        <v>1</v>
      </c>
      <c r="Y1775" s="87">
        <v>0</v>
      </c>
      <c r="Z1775" s="33">
        <v>0</v>
      </c>
      <c r="AA1775" s="33">
        <v>3</v>
      </c>
      <c r="AB1775" s="87">
        <v>6460</v>
      </c>
      <c r="AC1775" s="87">
        <v>10000</v>
      </c>
      <c r="AD1775" s="95"/>
      <c r="AE1775" s="95">
        <v>6</v>
      </c>
      <c r="AF1775" s="95"/>
      <c r="AG1775" s="346"/>
      <c r="AH1775" s="346"/>
      <c r="AI1775" s="346"/>
      <c r="AJ1775" s="346"/>
      <c r="AK1775" s="346"/>
      <c r="AL1775" s="347">
        <v>1</v>
      </c>
      <c r="AM1775" s="99"/>
      <c r="AN1775" s="98"/>
      <c r="AO1775" s="347"/>
      <c r="AQ1775" s="349" t="s">
        <v>4728</v>
      </c>
      <c r="AS1775" s="33">
        <v>1</v>
      </c>
    </row>
    <row r="1776" s="33" customFormat="1" spans="1:45">
      <c r="A1776" s="33">
        <v>713104</v>
      </c>
      <c r="B1776" s="87">
        <v>1001</v>
      </c>
      <c r="C1776" s="87">
        <v>1</v>
      </c>
      <c r="D1776" s="87">
        <v>1001</v>
      </c>
      <c r="E1776" s="349" t="s">
        <v>4729</v>
      </c>
      <c r="F1776" s="349" t="s">
        <v>4729</v>
      </c>
      <c r="G1776" s="33" t="s">
        <v>4730</v>
      </c>
      <c r="H1776" s="33" t="s">
        <v>4731</v>
      </c>
      <c r="I1776" s="33">
        <v>1</v>
      </c>
      <c r="J1776" s="70">
        <v>4</v>
      </c>
      <c r="K1776" s="33">
        <v>2</v>
      </c>
      <c r="L1776" s="87">
        <v>999</v>
      </c>
      <c r="M1776" s="87">
        <v>0</v>
      </c>
      <c r="O1776" s="345"/>
      <c r="S1776" s="87">
        <v>1</v>
      </c>
      <c r="T1776" s="87">
        <v>3</v>
      </c>
      <c r="U1776" s="87">
        <v>300</v>
      </c>
      <c r="V1776" s="87">
        <v>1</v>
      </c>
      <c r="W1776" s="33">
        <v>1</v>
      </c>
      <c r="X1776" s="87">
        <v>1</v>
      </c>
      <c r="Y1776" s="87">
        <v>0</v>
      </c>
      <c r="Z1776" s="33">
        <v>0</v>
      </c>
      <c r="AA1776" s="33">
        <v>3</v>
      </c>
      <c r="AB1776" s="87">
        <v>6460</v>
      </c>
      <c r="AC1776" s="87">
        <v>10000</v>
      </c>
      <c r="AD1776" s="95"/>
      <c r="AE1776" s="95">
        <v>6</v>
      </c>
      <c r="AF1776" s="95"/>
      <c r="AG1776" s="346"/>
      <c r="AH1776" s="346"/>
      <c r="AI1776" s="346"/>
      <c r="AJ1776" s="346"/>
      <c r="AK1776" s="346"/>
      <c r="AL1776" s="347">
        <v>1</v>
      </c>
      <c r="AM1776" s="99"/>
      <c r="AN1776" s="98"/>
      <c r="AO1776" s="347"/>
      <c r="AQ1776" s="349" t="s">
        <v>4732</v>
      </c>
      <c r="AS1776" s="33">
        <v>1</v>
      </c>
    </row>
    <row r="1777" s="33" customFormat="1" spans="1:45">
      <c r="A1777" s="33">
        <v>713105</v>
      </c>
      <c r="B1777" s="87">
        <v>1001</v>
      </c>
      <c r="C1777" s="87">
        <v>1</v>
      </c>
      <c r="D1777" s="87">
        <v>1001</v>
      </c>
      <c r="E1777" s="349" t="s">
        <v>4733</v>
      </c>
      <c r="F1777" s="349" t="s">
        <v>4733</v>
      </c>
      <c r="G1777" s="33" t="s">
        <v>4734</v>
      </c>
      <c r="H1777" s="33" t="s">
        <v>4735</v>
      </c>
      <c r="I1777" s="33">
        <v>1</v>
      </c>
      <c r="J1777" s="70">
        <v>4</v>
      </c>
      <c r="K1777" s="33">
        <v>2</v>
      </c>
      <c r="L1777" s="87">
        <v>999</v>
      </c>
      <c r="M1777" s="87">
        <v>0</v>
      </c>
      <c r="O1777" s="345"/>
      <c r="S1777" s="87">
        <v>1</v>
      </c>
      <c r="T1777" s="87">
        <v>3</v>
      </c>
      <c r="U1777" s="87">
        <v>300</v>
      </c>
      <c r="V1777" s="87">
        <v>1</v>
      </c>
      <c r="W1777" s="33">
        <v>1</v>
      </c>
      <c r="X1777" s="87">
        <v>1</v>
      </c>
      <c r="Y1777" s="87">
        <v>0</v>
      </c>
      <c r="Z1777" s="33">
        <v>0</v>
      </c>
      <c r="AA1777" s="33">
        <v>3</v>
      </c>
      <c r="AB1777" s="87">
        <v>6460</v>
      </c>
      <c r="AC1777" s="87">
        <v>10000</v>
      </c>
      <c r="AD1777" s="95"/>
      <c r="AE1777" s="95">
        <v>6</v>
      </c>
      <c r="AF1777" s="95"/>
      <c r="AG1777" s="346"/>
      <c r="AH1777" s="346"/>
      <c r="AI1777" s="346"/>
      <c r="AJ1777" s="346"/>
      <c r="AK1777" s="346"/>
      <c r="AL1777" s="347">
        <v>1</v>
      </c>
      <c r="AM1777" s="99"/>
      <c r="AN1777" s="98"/>
      <c r="AO1777" s="347"/>
      <c r="AQ1777" s="349" t="s">
        <v>4733</v>
      </c>
      <c r="AS1777" s="33">
        <v>1</v>
      </c>
    </row>
    <row r="1778" s="33" customFormat="1" spans="1:45">
      <c r="A1778" s="33">
        <v>713106</v>
      </c>
      <c r="B1778" s="87">
        <v>1001</v>
      </c>
      <c r="C1778" s="87">
        <v>1</v>
      </c>
      <c r="D1778" s="87">
        <v>1001</v>
      </c>
      <c r="E1778" s="349" t="s">
        <v>4736</v>
      </c>
      <c r="F1778" s="349" t="s">
        <v>4736</v>
      </c>
      <c r="G1778" s="33" t="s">
        <v>4737</v>
      </c>
      <c r="H1778" s="33" t="s">
        <v>4738</v>
      </c>
      <c r="I1778" s="33">
        <v>1</v>
      </c>
      <c r="J1778" s="70">
        <v>4</v>
      </c>
      <c r="K1778" s="33">
        <v>2</v>
      </c>
      <c r="L1778" s="87">
        <v>999</v>
      </c>
      <c r="M1778" s="87">
        <v>0</v>
      </c>
      <c r="O1778" s="345"/>
      <c r="S1778" s="87">
        <v>1</v>
      </c>
      <c r="T1778" s="87">
        <v>3</v>
      </c>
      <c r="U1778" s="87">
        <v>300</v>
      </c>
      <c r="V1778" s="87">
        <v>1</v>
      </c>
      <c r="W1778" s="33">
        <v>1</v>
      </c>
      <c r="X1778" s="87">
        <v>1</v>
      </c>
      <c r="Y1778" s="87">
        <v>0</v>
      </c>
      <c r="Z1778" s="33">
        <v>0</v>
      </c>
      <c r="AA1778" s="33">
        <v>3</v>
      </c>
      <c r="AB1778" s="87">
        <v>6460</v>
      </c>
      <c r="AC1778" s="87">
        <v>10000</v>
      </c>
      <c r="AD1778" s="95"/>
      <c r="AE1778" s="95">
        <v>6</v>
      </c>
      <c r="AF1778" s="95"/>
      <c r="AG1778" s="346"/>
      <c r="AH1778" s="346"/>
      <c r="AI1778" s="346"/>
      <c r="AJ1778" s="346"/>
      <c r="AK1778" s="346"/>
      <c r="AL1778" s="347">
        <v>1</v>
      </c>
      <c r="AM1778" s="99"/>
      <c r="AN1778" s="98"/>
      <c r="AO1778" s="347"/>
      <c r="AQ1778" s="349" t="s">
        <v>4733</v>
      </c>
      <c r="AS1778" s="33">
        <v>1</v>
      </c>
    </row>
    <row r="1779" spans="1:45">
      <c r="A1779" s="33">
        <v>713107</v>
      </c>
      <c r="B1779" s="87">
        <v>1001</v>
      </c>
      <c r="C1779" s="87">
        <v>1</v>
      </c>
      <c r="D1779" s="87">
        <v>1001</v>
      </c>
      <c r="E1779" s="349" t="s">
        <v>4739</v>
      </c>
      <c r="F1779" s="349" t="s">
        <v>4739</v>
      </c>
      <c r="G1779" s="33" t="s">
        <v>4740</v>
      </c>
      <c r="H1779" s="33" t="s">
        <v>4741</v>
      </c>
      <c r="I1779" s="33">
        <v>1</v>
      </c>
      <c r="J1779" s="70">
        <v>4</v>
      </c>
      <c r="K1779" s="33">
        <v>2</v>
      </c>
      <c r="L1779" s="87">
        <v>999</v>
      </c>
      <c r="M1779" s="87">
        <v>0</v>
      </c>
      <c r="O1779" s="345"/>
      <c r="S1779" s="87">
        <v>1</v>
      </c>
      <c r="T1779" s="87">
        <v>3</v>
      </c>
      <c r="U1779" s="87">
        <v>300</v>
      </c>
      <c r="V1779" s="87">
        <v>1</v>
      </c>
      <c r="W1779" s="33">
        <v>1</v>
      </c>
      <c r="X1779" s="87">
        <v>1</v>
      </c>
      <c r="Y1779" s="87">
        <v>0</v>
      </c>
      <c r="Z1779" s="33">
        <v>0</v>
      </c>
      <c r="AA1779" s="33">
        <v>3</v>
      </c>
      <c r="AB1779" s="87">
        <v>6460</v>
      </c>
      <c r="AC1779" s="87">
        <v>10000</v>
      </c>
      <c r="AD1779" s="95"/>
      <c r="AE1779" s="95">
        <v>6</v>
      </c>
      <c r="AF1779" s="95"/>
      <c r="AG1779" s="346"/>
      <c r="AH1779" s="346"/>
      <c r="AI1779" s="346"/>
      <c r="AJ1779" s="346"/>
      <c r="AK1779" s="346"/>
      <c r="AL1779" s="347">
        <v>1</v>
      </c>
      <c r="AM1779" s="99"/>
      <c r="AN1779" s="98"/>
      <c r="AO1779" s="347"/>
      <c r="AQ1779" s="349" t="s">
        <v>4739</v>
      </c>
      <c r="AS1779" s="33">
        <v>1</v>
      </c>
    </row>
    <row r="1780" spans="1:45">
      <c r="A1780" s="33">
        <v>713108</v>
      </c>
      <c r="B1780" s="87">
        <v>1001</v>
      </c>
      <c r="C1780" s="87">
        <v>1</v>
      </c>
      <c r="D1780" s="87">
        <v>1001</v>
      </c>
      <c r="E1780" s="349" t="s">
        <v>4742</v>
      </c>
      <c r="F1780" s="349" t="s">
        <v>4742</v>
      </c>
      <c r="G1780" s="33" t="s">
        <v>4743</v>
      </c>
      <c r="H1780" s="33" t="s">
        <v>4744</v>
      </c>
      <c r="I1780" s="33">
        <v>1</v>
      </c>
      <c r="J1780" s="70">
        <v>4</v>
      </c>
      <c r="K1780" s="33">
        <v>2</v>
      </c>
      <c r="L1780" s="87">
        <v>999</v>
      </c>
      <c r="M1780" s="87">
        <v>0</v>
      </c>
      <c r="O1780" s="345"/>
      <c r="S1780" s="87">
        <v>1</v>
      </c>
      <c r="T1780" s="87">
        <v>3</v>
      </c>
      <c r="U1780" s="87">
        <v>300</v>
      </c>
      <c r="V1780" s="87">
        <v>1</v>
      </c>
      <c r="W1780" s="33">
        <v>1</v>
      </c>
      <c r="X1780" s="87">
        <v>1</v>
      </c>
      <c r="Y1780" s="87">
        <v>0</v>
      </c>
      <c r="Z1780" s="33">
        <v>0</v>
      </c>
      <c r="AA1780" s="33">
        <v>3</v>
      </c>
      <c r="AB1780" s="87">
        <v>6460</v>
      </c>
      <c r="AC1780" s="87">
        <v>10000</v>
      </c>
      <c r="AD1780" s="95"/>
      <c r="AE1780" s="95">
        <v>6</v>
      </c>
      <c r="AF1780" s="95"/>
      <c r="AG1780" s="346"/>
      <c r="AH1780" s="346"/>
      <c r="AI1780" s="346"/>
      <c r="AJ1780" s="346"/>
      <c r="AK1780" s="346"/>
      <c r="AL1780" s="347">
        <v>1</v>
      </c>
      <c r="AM1780" s="99"/>
      <c r="AN1780" s="98"/>
      <c r="AO1780" s="347"/>
      <c r="AQ1780" s="349" t="s">
        <v>4742</v>
      </c>
      <c r="AS1780">
        <v>1</v>
      </c>
    </row>
    <row r="1781" spans="1:45">
      <c r="A1781" s="33">
        <v>713109</v>
      </c>
      <c r="B1781" s="87">
        <v>1001</v>
      </c>
      <c r="C1781" s="87">
        <v>1</v>
      </c>
      <c r="D1781" s="87">
        <v>1001</v>
      </c>
      <c r="E1781" s="349" t="s">
        <v>4745</v>
      </c>
      <c r="F1781" s="349" t="s">
        <v>4745</v>
      </c>
      <c r="G1781" s="33" t="s">
        <v>4746</v>
      </c>
      <c r="H1781" s="33" t="s">
        <v>4747</v>
      </c>
      <c r="I1781" s="33">
        <v>1</v>
      </c>
      <c r="J1781" s="70">
        <v>4</v>
      </c>
      <c r="K1781" s="33">
        <v>2</v>
      </c>
      <c r="L1781" s="87">
        <v>999</v>
      </c>
      <c r="M1781" s="87">
        <v>0</v>
      </c>
      <c r="O1781" s="345"/>
      <c r="S1781" s="87">
        <v>1</v>
      </c>
      <c r="T1781" s="87">
        <v>3</v>
      </c>
      <c r="U1781" s="87">
        <v>300</v>
      </c>
      <c r="V1781" s="87">
        <v>1</v>
      </c>
      <c r="W1781" s="33">
        <v>1</v>
      </c>
      <c r="X1781" s="87">
        <v>1</v>
      </c>
      <c r="Y1781" s="87">
        <v>0</v>
      </c>
      <c r="Z1781" s="33">
        <v>0</v>
      </c>
      <c r="AA1781" s="33">
        <v>3</v>
      </c>
      <c r="AB1781" s="87">
        <v>6460</v>
      </c>
      <c r="AC1781" s="87">
        <v>10000</v>
      </c>
      <c r="AD1781" s="95"/>
      <c r="AE1781" s="95">
        <v>6</v>
      </c>
      <c r="AF1781" s="95"/>
      <c r="AG1781" s="346"/>
      <c r="AH1781" s="346"/>
      <c r="AI1781" s="346"/>
      <c r="AJ1781" s="346"/>
      <c r="AK1781" s="346"/>
      <c r="AL1781" s="347">
        <v>1</v>
      </c>
      <c r="AM1781" s="99"/>
      <c r="AN1781" s="98"/>
      <c r="AO1781" s="347"/>
      <c r="AQ1781" s="349" t="s">
        <v>4745</v>
      </c>
      <c r="AS1781">
        <v>1</v>
      </c>
    </row>
    <row r="1782" spans="1:45">
      <c r="A1782" s="33">
        <v>713110</v>
      </c>
      <c r="B1782" s="87">
        <v>1001</v>
      </c>
      <c r="C1782" s="87">
        <v>1</v>
      </c>
      <c r="D1782" s="87">
        <v>1001</v>
      </c>
      <c r="E1782" s="349" t="s">
        <v>4748</v>
      </c>
      <c r="F1782" s="349" t="s">
        <v>4748</v>
      </c>
      <c r="G1782" s="33" t="s">
        <v>4749</v>
      </c>
      <c r="H1782" s="33" t="s">
        <v>4750</v>
      </c>
      <c r="I1782" s="33">
        <v>1</v>
      </c>
      <c r="J1782" s="70">
        <v>4</v>
      </c>
      <c r="K1782" s="33">
        <v>2</v>
      </c>
      <c r="L1782" s="87">
        <v>999</v>
      </c>
      <c r="M1782" s="87">
        <v>0</v>
      </c>
      <c r="O1782" s="345"/>
      <c r="S1782" s="87">
        <v>1</v>
      </c>
      <c r="T1782" s="87">
        <v>3</v>
      </c>
      <c r="U1782" s="87">
        <v>300</v>
      </c>
      <c r="V1782" s="87">
        <v>1</v>
      </c>
      <c r="W1782" s="33">
        <v>1</v>
      </c>
      <c r="X1782" s="87">
        <v>1</v>
      </c>
      <c r="Y1782" s="87">
        <v>0</v>
      </c>
      <c r="Z1782" s="33">
        <v>0</v>
      </c>
      <c r="AA1782" s="33">
        <v>3</v>
      </c>
      <c r="AB1782" s="87">
        <v>6460</v>
      </c>
      <c r="AC1782" s="87">
        <v>10000</v>
      </c>
      <c r="AD1782" s="95"/>
      <c r="AE1782" s="95">
        <v>6</v>
      </c>
      <c r="AF1782" s="95"/>
      <c r="AG1782" s="346"/>
      <c r="AH1782" s="346"/>
      <c r="AI1782" s="346"/>
      <c r="AJ1782" s="346"/>
      <c r="AK1782" s="346"/>
      <c r="AL1782" s="347">
        <v>1</v>
      </c>
      <c r="AM1782" s="99"/>
      <c r="AN1782" s="98"/>
      <c r="AO1782" s="347"/>
      <c r="AQ1782" s="349" t="s">
        <v>4748</v>
      </c>
      <c r="AS1782">
        <v>1</v>
      </c>
    </row>
    <row r="1783" spans="1:45">
      <c r="A1783" s="33">
        <v>713111</v>
      </c>
      <c r="B1783" s="87">
        <v>1001</v>
      </c>
      <c r="C1783" s="87">
        <v>1</v>
      </c>
      <c r="D1783" s="87">
        <v>1001</v>
      </c>
      <c r="E1783" s="349" t="s">
        <v>4751</v>
      </c>
      <c r="F1783" s="349" t="s">
        <v>4751</v>
      </c>
      <c r="G1783" s="33" t="s">
        <v>4752</v>
      </c>
      <c r="H1783" s="33" t="s">
        <v>4753</v>
      </c>
      <c r="I1783" s="33">
        <v>1</v>
      </c>
      <c r="J1783" s="70">
        <v>4</v>
      </c>
      <c r="K1783" s="33">
        <v>2</v>
      </c>
      <c r="L1783" s="87">
        <v>999</v>
      </c>
      <c r="M1783" s="87">
        <v>0</v>
      </c>
      <c r="O1783" s="345"/>
      <c r="S1783" s="87">
        <v>1</v>
      </c>
      <c r="T1783" s="87">
        <v>3</v>
      </c>
      <c r="U1783" s="87">
        <v>300</v>
      </c>
      <c r="V1783" s="87">
        <v>1</v>
      </c>
      <c r="W1783" s="33">
        <v>1</v>
      </c>
      <c r="X1783" s="87">
        <v>1</v>
      </c>
      <c r="Y1783" s="87">
        <v>0</v>
      </c>
      <c r="Z1783" s="33">
        <v>0</v>
      </c>
      <c r="AA1783" s="33">
        <v>3</v>
      </c>
      <c r="AB1783" s="87">
        <v>6460</v>
      </c>
      <c r="AC1783" s="87">
        <v>10000</v>
      </c>
      <c r="AD1783" s="95"/>
      <c r="AE1783" s="95">
        <v>6</v>
      </c>
      <c r="AF1783" s="95"/>
      <c r="AG1783" s="346"/>
      <c r="AH1783" s="346"/>
      <c r="AI1783" s="346"/>
      <c r="AJ1783" s="346"/>
      <c r="AK1783" s="346"/>
      <c r="AL1783" s="347">
        <v>1</v>
      </c>
      <c r="AM1783" s="99"/>
      <c r="AN1783" s="98"/>
      <c r="AO1783" s="347"/>
      <c r="AQ1783" s="349" t="s">
        <v>4751</v>
      </c>
      <c r="AS1783">
        <v>1</v>
      </c>
    </row>
    <row r="1784" spans="1:45">
      <c r="A1784" s="33">
        <v>713112</v>
      </c>
      <c r="B1784" s="87">
        <v>1001</v>
      </c>
      <c r="C1784" s="87">
        <v>1</v>
      </c>
      <c r="D1784" s="87">
        <v>1001</v>
      </c>
      <c r="E1784" s="349" t="s">
        <v>4754</v>
      </c>
      <c r="F1784" s="349" t="s">
        <v>4754</v>
      </c>
      <c r="G1784" s="33" t="s">
        <v>4755</v>
      </c>
      <c r="H1784" s="33" t="s">
        <v>4756</v>
      </c>
      <c r="I1784" s="33">
        <v>1</v>
      </c>
      <c r="J1784" s="70">
        <v>4</v>
      </c>
      <c r="K1784" s="33">
        <v>2</v>
      </c>
      <c r="L1784" s="87">
        <v>999</v>
      </c>
      <c r="M1784" s="87">
        <v>0</v>
      </c>
      <c r="O1784" s="345"/>
      <c r="S1784" s="87">
        <v>1</v>
      </c>
      <c r="T1784" s="87">
        <v>3</v>
      </c>
      <c r="U1784" s="87">
        <v>300</v>
      </c>
      <c r="V1784" s="87">
        <v>1</v>
      </c>
      <c r="W1784" s="33">
        <v>1</v>
      </c>
      <c r="X1784" s="87">
        <v>1</v>
      </c>
      <c r="Y1784" s="87">
        <v>0</v>
      </c>
      <c r="Z1784" s="33">
        <v>0</v>
      </c>
      <c r="AA1784" s="33">
        <v>3</v>
      </c>
      <c r="AB1784" s="87">
        <v>6460</v>
      </c>
      <c r="AC1784" s="87">
        <v>10000</v>
      </c>
      <c r="AD1784" s="95"/>
      <c r="AE1784" s="95">
        <v>6</v>
      </c>
      <c r="AF1784" s="95"/>
      <c r="AG1784" s="346"/>
      <c r="AH1784" s="346"/>
      <c r="AI1784" s="346"/>
      <c r="AJ1784" s="346"/>
      <c r="AK1784" s="346"/>
      <c r="AL1784" s="347">
        <v>1</v>
      </c>
      <c r="AM1784" s="99"/>
      <c r="AN1784" s="98"/>
      <c r="AO1784" s="347"/>
      <c r="AQ1784" s="349" t="s">
        <v>4754</v>
      </c>
      <c r="AS1784">
        <v>1</v>
      </c>
    </row>
    <row r="1785" spans="1:45">
      <c r="A1785" s="33">
        <v>713113</v>
      </c>
      <c r="B1785" s="87">
        <v>1001</v>
      </c>
      <c r="C1785" s="87">
        <v>1</v>
      </c>
      <c r="D1785" s="87">
        <v>1001</v>
      </c>
      <c r="E1785" s="349" t="s">
        <v>4757</v>
      </c>
      <c r="F1785" s="349" t="s">
        <v>4757</v>
      </c>
      <c r="G1785" s="33" t="s">
        <v>4758</v>
      </c>
      <c r="H1785" s="33" t="s">
        <v>4759</v>
      </c>
      <c r="I1785" s="33">
        <v>1</v>
      </c>
      <c r="J1785" s="70">
        <v>4</v>
      </c>
      <c r="K1785" s="33">
        <v>2</v>
      </c>
      <c r="L1785" s="87">
        <v>999</v>
      </c>
      <c r="M1785" s="87">
        <v>0</v>
      </c>
      <c r="O1785" s="345"/>
      <c r="S1785" s="87">
        <v>1</v>
      </c>
      <c r="T1785" s="87">
        <v>3</v>
      </c>
      <c r="U1785" s="87">
        <v>300</v>
      </c>
      <c r="V1785" s="87">
        <v>1</v>
      </c>
      <c r="W1785" s="33">
        <v>1</v>
      </c>
      <c r="X1785" s="87">
        <v>1</v>
      </c>
      <c r="Y1785" s="87">
        <v>0</v>
      </c>
      <c r="Z1785" s="33">
        <v>0</v>
      </c>
      <c r="AA1785" s="33">
        <v>3</v>
      </c>
      <c r="AB1785" s="87">
        <v>6460</v>
      </c>
      <c r="AC1785" s="87">
        <v>10000</v>
      </c>
      <c r="AD1785" s="95"/>
      <c r="AE1785" s="95">
        <v>6</v>
      </c>
      <c r="AF1785" s="95"/>
      <c r="AG1785" s="346"/>
      <c r="AH1785" s="346"/>
      <c r="AI1785" s="346"/>
      <c r="AJ1785" s="346"/>
      <c r="AK1785" s="346"/>
      <c r="AL1785" s="347">
        <v>1</v>
      </c>
      <c r="AM1785" s="99"/>
      <c r="AN1785" s="98"/>
      <c r="AO1785" s="347"/>
      <c r="AQ1785" s="349" t="s">
        <v>4757</v>
      </c>
      <c r="AS1785">
        <v>1</v>
      </c>
    </row>
    <row r="1786" spans="1:45">
      <c r="A1786" s="33">
        <v>713114</v>
      </c>
      <c r="B1786" s="87">
        <v>1001</v>
      </c>
      <c r="C1786" s="87">
        <v>1</v>
      </c>
      <c r="D1786" s="87">
        <v>1001</v>
      </c>
      <c r="E1786" s="349" t="s">
        <v>4760</v>
      </c>
      <c r="F1786" s="349" t="s">
        <v>4760</v>
      </c>
      <c r="G1786" s="33" t="s">
        <v>4761</v>
      </c>
      <c r="H1786" s="33" t="s">
        <v>4762</v>
      </c>
      <c r="I1786" s="33">
        <v>1</v>
      </c>
      <c r="J1786" s="70">
        <v>4</v>
      </c>
      <c r="K1786" s="33">
        <v>2</v>
      </c>
      <c r="L1786" s="87">
        <v>999</v>
      </c>
      <c r="M1786" s="87">
        <v>0</v>
      </c>
      <c r="O1786" s="345"/>
      <c r="S1786" s="87">
        <v>1</v>
      </c>
      <c r="T1786" s="87">
        <v>3</v>
      </c>
      <c r="U1786" s="87">
        <v>300</v>
      </c>
      <c r="V1786" s="87">
        <v>1</v>
      </c>
      <c r="W1786" s="33">
        <v>1</v>
      </c>
      <c r="X1786" s="87">
        <v>1</v>
      </c>
      <c r="Y1786" s="87">
        <v>0</v>
      </c>
      <c r="Z1786" s="33">
        <v>0</v>
      </c>
      <c r="AA1786" s="33">
        <v>3</v>
      </c>
      <c r="AB1786" s="87">
        <v>6460</v>
      </c>
      <c r="AC1786" s="87">
        <v>10000</v>
      </c>
      <c r="AD1786" s="95"/>
      <c r="AE1786" s="95">
        <v>6</v>
      </c>
      <c r="AF1786" s="95"/>
      <c r="AG1786" s="346"/>
      <c r="AH1786" s="346"/>
      <c r="AI1786" s="346"/>
      <c r="AJ1786" s="346"/>
      <c r="AK1786" s="346"/>
      <c r="AL1786" s="347">
        <v>1</v>
      </c>
      <c r="AM1786" s="99"/>
      <c r="AN1786" s="98"/>
      <c r="AO1786" s="347"/>
      <c r="AQ1786" s="349" t="s">
        <v>4760</v>
      </c>
      <c r="AS1786">
        <v>1</v>
      </c>
    </row>
    <row r="1787" spans="1:45">
      <c r="A1787" s="33">
        <v>713115</v>
      </c>
      <c r="B1787" s="87">
        <v>1001</v>
      </c>
      <c r="C1787" s="87">
        <v>1</v>
      </c>
      <c r="D1787" s="87">
        <v>1001</v>
      </c>
      <c r="E1787" s="349" t="s">
        <v>4763</v>
      </c>
      <c r="F1787" s="349" t="s">
        <v>4763</v>
      </c>
      <c r="G1787" s="33" t="s">
        <v>4764</v>
      </c>
      <c r="H1787" s="33" t="s">
        <v>4765</v>
      </c>
      <c r="I1787" s="33">
        <v>1</v>
      </c>
      <c r="J1787" s="70">
        <v>4</v>
      </c>
      <c r="K1787" s="33">
        <v>2</v>
      </c>
      <c r="L1787" s="87">
        <v>999</v>
      </c>
      <c r="M1787" s="87">
        <v>0</v>
      </c>
      <c r="O1787" s="345"/>
      <c r="S1787" s="87">
        <v>1</v>
      </c>
      <c r="T1787" s="87">
        <v>3</v>
      </c>
      <c r="U1787" s="87">
        <v>300</v>
      </c>
      <c r="V1787" s="87">
        <v>1</v>
      </c>
      <c r="W1787" s="33">
        <v>1</v>
      </c>
      <c r="X1787" s="87">
        <v>1</v>
      </c>
      <c r="Y1787" s="87">
        <v>0</v>
      </c>
      <c r="Z1787" s="33">
        <v>0</v>
      </c>
      <c r="AA1787" s="33">
        <v>3</v>
      </c>
      <c r="AB1787" s="87">
        <v>6460</v>
      </c>
      <c r="AC1787" s="87">
        <v>10000</v>
      </c>
      <c r="AD1787" s="95"/>
      <c r="AE1787" s="95">
        <v>6</v>
      </c>
      <c r="AF1787" s="95"/>
      <c r="AG1787" s="346"/>
      <c r="AH1787" s="346"/>
      <c r="AI1787" s="346"/>
      <c r="AJ1787" s="346"/>
      <c r="AK1787" s="346"/>
      <c r="AL1787" s="347">
        <v>1</v>
      </c>
      <c r="AM1787" s="99"/>
      <c r="AN1787" s="98"/>
      <c r="AO1787" s="347"/>
      <c r="AQ1787" s="349" t="s">
        <v>4760</v>
      </c>
      <c r="AS1787">
        <v>1</v>
      </c>
    </row>
    <row r="1788" spans="1:45">
      <c r="A1788" s="33">
        <v>713116</v>
      </c>
      <c r="B1788" s="87">
        <v>1001</v>
      </c>
      <c r="C1788" s="87">
        <v>1</v>
      </c>
      <c r="D1788" s="87">
        <v>1001</v>
      </c>
      <c r="E1788" s="349" t="s">
        <v>4766</v>
      </c>
      <c r="F1788" s="349" t="s">
        <v>4766</v>
      </c>
      <c r="G1788" s="33" t="s">
        <v>4767</v>
      </c>
      <c r="H1788" s="33" t="s">
        <v>4768</v>
      </c>
      <c r="I1788" s="33">
        <v>1</v>
      </c>
      <c r="J1788" s="70">
        <v>4</v>
      </c>
      <c r="K1788" s="33">
        <v>2</v>
      </c>
      <c r="L1788" s="87">
        <v>999</v>
      </c>
      <c r="M1788" s="87">
        <v>0</v>
      </c>
      <c r="O1788" s="345"/>
      <c r="S1788" s="87">
        <v>1</v>
      </c>
      <c r="T1788" s="87">
        <v>3</v>
      </c>
      <c r="U1788" s="87">
        <v>300</v>
      </c>
      <c r="V1788" s="87">
        <v>1</v>
      </c>
      <c r="W1788" s="33">
        <v>1</v>
      </c>
      <c r="X1788" s="87">
        <v>1</v>
      </c>
      <c r="Y1788" s="87">
        <v>0</v>
      </c>
      <c r="Z1788" s="33">
        <v>0</v>
      </c>
      <c r="AA1788" s="33">
        <v>3</v>
      </c>
      <c r="AB1788" s="87">
        <v>6460</v>
      </c>
      <c r="AC1788" s="87">
        <v>10000</v>
      </c>
      <c r="AD1788" s="95"/>
      <c r="AE1788" s="95">
        <v>6</v>
      </c>
      <c r="AF1788" s="95"/>
      <c r="AG1788" s="346"/>
      <c r="AH1788" s="346"/>
      <c r="AI1788" s="346"/>
      <c r="AJ1788" s="346"/>
      <c r="AK1788" s="346"/>
      <c r="AL1788" s="347">
        <v>1</v>
      </c>
      <c r="AM1788" s="99"/>
      <c r="AN1788" s="98"/>
      <c r="AO1788" s="347"/>
      <c r="AQ1788" s="349" t="s">
        <v>4766</v>
      </c>
      <c r="AS1788">
        <v>1</v>
      </c>
    </row>
    <row r="1789" spans="1:45">
      <c r="A1789" s="33">
        <v>713117</v>
      </c>
      <c r="B1789" s="87">
        <v>1001</v>
      </c>
      <c r="C1789" s="87">
        <v>1</v>
      </c>
      <c r="D1789" s="87">
        <v>1001</v>
      </c>
      <c r="E1789" s="349" t="s">
        <v>4769</v>
      </c>
      <c r="F1789" s="349" t="s">
        <v>4769</v>
      </c>
      <c r="G1789" s="33" t="s">
        <v>4770</v>
      </c>
      <c r="H1789" s="33" t="s">
        <v>4771</v>
      </c>
      <c r="I1789" s="33">
        <v>1</v>
      </c>
      <c r="J1789" s="70">
        <v>4</v>
      </c>
      <c r="K1789" s="33">
        <v>2</v>
      </c>
      <c r="L1789" s="87">
        <v>999</v>
      </c>
      <c r="M1789" s="87">
        <v>0</v>
      </c>
      <c r="O1789" s="345"/>
      <c r="S1789" s="87">
        <v>1</v>
      </c>
      <c r="T1789" s="87">
        <v>3</v>
      </c>
      <c r="U1789" s="87">
        <v>300</v>
      </c>
      <c r="V1789" s="87">
        <v>1</v>
      </c>
      <c r="W1789" s="33">
        <v>1</v>
      </c>
      <c r="X1789" s="87">
        <v>1</v>
      </c>
      <c r="Y1789" s="87">
        <v>0</v>
      </c>
      <c r="Z1789" s="33">
        <v>0</v>
      </c>
      <c r="AA1789" s="33">
        <v>3</v>
      </c>
      <c r="AB1789" s="87">
        <v>6460</v>
      </c>
      <c r="AC1789" s="87">
        <v>10000</v>
      </c>
      <c r="AD1789" s="95"/>
      <c r="AE1789" s="95">
        <v>6</v>
      </c>
      <c r="AF1789" s="95"/>
      <c r="AG1789" s="346"/>
      <c r="AH1789" s="346"/>
      <c r="AI1789" s="346"/>
      <c r="AJ1789" s="346"/>
      <c r="AK1789" s="346"/>
      <c r="AL1789" s="347">
        <v>1</v>
      </c>
      <c r="AM1789" s="99"/>
      <c r="AN1789" s="98"/>
      <c r="AO1789" s="347"/>
      <c r="AQ1789" s="349" t="s">
        <v>4769</v>
      </c>
      <c r="AS1789">
        <v>1</v>
      </c>
    </row>
    <row r="1790" spans="1:45">
      <c r="A1790" s="33">
        <v>713118</v>
      </c>
      <c r="B1790" s="87">
        <v>1001</v>
      </c>
      <c r="C1790" s="87">
        <v>1</v>
      </c>
      <c r="D1790" s="87">
        <v>1001</v>
      </c>
      <c r="E1790" s="190" t="s">
        <v>4772</v>
      </c>
      <c r="F1790" s="84" t="s">
        <v>4772</v>
      </c>
      <c r="G1790" s="33" t="s">
        <v>4773</v>
      </c>
      <c r="H1790" s="33" t="s">
        <v>4774</v>
      </c>
      <c r="I1790" s="33">
        <v>1</v>
      </c>
      <c r="J1790" s="70">
        <v>4</v>
      </c>
      <c r="K1790" s="33">
        <v>2</v>
      </c>
      <c r="L1790" s="87">
        <v>999</v>
      </c>
      <c r="M1790" s="87">
        <v>0</v>
      </c>
      <c r="O1790" s="345"/>
      <c r="S1790" s="87">
        <v>1</v>
      </c>
      <c r="T1790" s="87">
        <v>3</v>
      </c>
      <c r="U1790" s="87">
        <v>300</v>
      </c>
      <c r="V1790" s="87">
        <v>1</v>
      </c>
      <c r="W1790" s="33">
        <v>1</v>
      </c>
      <c r="X1790" s="87">
        <v>1</v>
      </c>
      <c r="Y1790" s="87">
        <v>0</v>
      </c>
      <c r="Z1790" s="33">
        <v>0</v>
      </c>
      <c r="AA1790" s="33">
        <v>3</v>
      </c>
      <c r="AB1790" s="87">
        <v>6460</v>
      </c>
      <c r="AC1790" s="87">
        <v>10000</v>
      </c>
      <c r="AD1790" s="95"/>
      <c r="AE1790" s="95">
        <v>6</v>
      </c>
      <c r="AF1790" s="95"/>
      <c r="AG1790" s="346"/>
      <c r="AH1790" s="346"/>
      <c r="AI1790" s="346"/>
      <c r="AJ1790" s="346"/>
      <c r="AK1790" s="346"/>
      <c r="AL1790" s="347">
        <v>1</v>
      </c>
      <c r="AM1790" s="99"/>
      <c r="AN1790" s="98"/>
      <c r="AO1790" s="347"/>
      <c r="AQ1790" s="84" t="s">
        <v>4772</v>
      </c>
      <c r="AS1790">
        <v>1</v>
      </c>
    </row>
    <row r="1791" spans="1:45">
      <c r="A1791" s="33">
        <v>713119</v>
      </c>
      <c r="B1791" s="87">
        <v>1001</v>
      </c>
      <c r="C1791" s="87">
        <v>1</v>
      </c>
      <c r="D1791" s="87">
        <v>1001</v>
      </c>
      <c r="E1791" s="190" t="s">
        <v>4775</v>
      </c>
      <c r="F1791" s="190" t="s">
        <v>4775</v>
      </c>
      <c r="G1791" s="33" t="s">
        <v>4776</v>
      </c>
      <c r="H1791" s="33" t="s">
        <v>4777</v>
      </c>
      <c r="I1791" s="33">
        <v>1</v>
      </c>
      <c r="J1791" s="70">
        <v>4</v>
      </c>
      <c r="K1791" s="33">
        <v>2</v>
      </c>
      <c r="L1791" s="87">
        <v>999</v>
      </c>
      <c r="M1791" s="87">
        <v>0</v>
      </c>
      <c r="O1791" s="345"/>
      <c r="S1791" s="87">
        <v>1</v>
      </c>
      <c r="T1791" s="87">
        <v>3</v>
      </c>
      <c r="U1791" s="87">
        <v>300</v>
      </c>
      <c r="V1791" s="87">
        <v>1</v>
      </c>
      <c r="W1791" s="33">
        <v>1</v>
      </c>
      <c r="X1791" s="87">
        <v>1</v>
      </c>
      <c r="Y1791" s="87">
        <v>0</v>
      </c>
      <c r="Z1791" s="33">
        <v>0</v>
      </c>
      <c r="AA1791" s="33">
        <v>3</v>
      </c>
      <c r="AB1791" s="87">
        <v>6460</v>
      </c>
      <c r="AC1791" s="87">
        <v>10000</v>
      </c>
      <c r="AD1791" s="95"/>
      <c r="AE1791" s="95">
        <v>6</v>
      </c>
      <c r="AF1791" s="95"/>
      <c r="AG1791" s="346"/>
      <c r="AH1791" s="346"/>
      <c r="AI1791" s="346"/>
      <c r="AJ1791" s="346"/>
      <c r="AK1791" s="346"/>
      <c r="AL1791" s="347">
        <v>1</v>
      </c>
      <c r="AM1791" s="99"/>
      <c r="AN1791" s="98"/>
      <c r="AO1791" s="347"/>
      <c r="AQ1791" s="190" t="s">
        <v>4775</v>
      </c>
      <c r="AS1791">
        <v>1</v>
      </c>
    </row>
    <row r="1792" spans="1:45">
      <c r="A1792" s="33">
        <v>713120</v>
      </c>
      <c r="B1792" s="87">
        <v>1001</v>
      </c>
      <c r="C1792" s="87">
        <v>1</v>
      </c>
      <c r="D1792" s="87">
        <v>1001</v>
      </c>
      <c r="E1792" s="190" t="s">
        <v>4778</v>
      </c>
      <c r="F1792" s="190" t="s">
        <v>4778</v>
      </c>
      <c r="G1792" s="33" t="s">
        <v>4779</v>
      </c>
      <c r="H1792" s="33" t="s">
        <v>4780</v>
      </c>
      <c r="I1792" s="33">
        <v>1</v>
      </c>
      <c r="J1792" s="70">
        <v>4</v>
      </c>
      <c r="K1792" s="33">
        <v>2</v>
      </c>
      <c r="L1792" s="87">
        <v>999</v>
      </c>
      <c r="M1792" s="87">
        <v>0</v>
      </c>
      <c r="O1792" s="345"/>
      <c r="S1792" s="87">
        <v>1</v>
      </c>
      <c r="T1792" s="87">
        <v>3</v>
      </c>
      <c r="U1792" s="87">
        <v>300</v>
      </c>
      <c r="V1792" s="87">
        <v>1</v>
      </c>
      <c r="W1792" s="33">
        <v>1</v>
      </c>
      <c r="X1792" s="87">
        <v>1</v>
      </c>
      <c r="Y1792" s="87">
        <v>0</v>
      </c>
      <c r="Z1792" s="33">
        <v>0</v>
      </c>
      <c r="AA1792" s="33">
        <v>3</v>
      </c>
      <c r="AB1792" s="87">
        <v>6460</v>
      </c>
      <c r="AC1792" s="87">
        <v>10000</v>
      </c>
      <c r="AD1792" s="95"/>
      <c r="AE1792" s="95">
        <v>6</v>
      </c>
      <c r="AF1792" s="95"/>
      <c r="AG1792" s="346"/>
      <c r="AH1792" s="346"/>
      <c r="AI1792" s="346"/>
      <c r="AJ1792" s="346"/>
      <c r="AK1792" s="346"/>
      <c r="AL1792" s="347">
        <v>1</v>
      </c>
      <c r="AM1792" s="99"/>
      <c r="AN1792" s="98"/>
      <c r="AO1792" s="347"/>
      <c r="AQ1792" s="190" t="s">
        <v>4778</v>
      </c>
      <c r="AS1792">
        <v>1</v>
      </c>
    </row>
    <row r="1793" spans="1:45">
      <c r="A1793" s="33">
        <v>713121</v>
      </c>
      <c r="B1793" s="87">
        <v>1001</v>
      </c>
      <c r="C1793" s="87">
        <v>1</v>
      </c>
      <c r="D1793" s="87">
        <v>1001</v>
      </c>
      <c r="E1793" s="3" t="s">
        <v>4781</v>
      </c>
      <c r="F1793" s="3" t="s">
        <v>4781</v>
      </c>
      <c r="G1793" s="33" t="s">
        <v>4782</v>
      </c>
      <c r="H1793" s="33" t="s">
        <v>4783</v>
      </c>
      <c r="I1793" s="33">
        <v>1</v>
      </c>
      <c r="J1793" s="70">
        <v>4</v>
      </c>
      <c r="K1793" s="33">
        <v>2</v>
      </c>
      <c r="L1793" s="87">
        <v>999</v>
      </c>
      <c r="M1793" s="87">
        <v>0</v>
      </c>
      <c r="O1793" s="345"/>
      <c r="S1793" s="87">
        <v>1</v>
      </c>
      <c r="T1793" s="87">
        <v>3</v>
      </c>
      <c r="U1793" s="87">
        <v>300</v>
      </c>
      <c r="V1793" s="87">
        <v>1</v>
      </c>
      <c r="W1793" s="33">
        <v>1</v>
      </c>
      <c r="X1793" s="87">
        <v>1</v>
      </c>
      <c r="Y1793" s="87">
        <v>0</v>
      </c>
      <c r="Z1793" s="33">
        <v>0</v>
      </c>
      <c r="AA1793" s="33">
        <v>3</v>
      </c>
      <c r="AB1793" s="87">
        <v>6460</v>
      </c>
      <c r="AC1793" s="87">
        <v>10000</v>
      </c>
      <c r="AD1793" s="95"/>
      <c r="AE1793" s="95">
        <v>6</v>
      </c>
      <c r="AF1793" s="95"/>
      <c r="AG1793" s="346"/>
      <c r="AH1793" s="346"/>
      <c r="AI1793" s="346"/>
      <c r="AJ1793" s="346"/>
      <c r="AK1793" s="346"/>
      <c r="AL1793" s="347">
        <v>1</v>
      </c>
      <c r="AM1793" s="99"/>
      <c r="AN1793" s="98"/>
      <c r="AO1793" s="347"/>
      <c r="AQ1793" s="3" t="s">
        <v>4781</v>
      </c>
      <c r="AS1793">
        <v>1</v>
      </c>
    </row>
    <row r="1794" spans="1:45">
      <c r="A1794" s="33">
        <v>713122</v>
      </c>
      <c r="B1794" s="87">
        <v>1001</v>
      </c>
      <c r="C1794" s="87">
        <v>1</v>
      </c>
      <c r="D1794" s="87">
        <v>1001</v>
      </c>
      <c r="E1794" s="3" t="s">
        <v>4784</v>
      </c>
      <c r="F1794" s="3" t="s">
        <v>4784</v>
      </c>
      <c r="G1794" s="33" t="s">
        <v>4785</v>
      </c>
      <c r="H1794" s="33" t="s">
        <v>4786</v>
      </c>
      <c r="I1794" s="33">
        <v>1</v>
      </c>
      <c r="J1794" s="70">
        <v>4</v>
      </c>
      <c r="K1794" s="33">
        <v>2</v>
      </c>
      <c r="L1794" s="87">
        <v>999</v>
      </c>
      <c r="M1794" s="87">
        <v>0</v>
      </c>
      <c r="O1794" s="345"/>
      <c r="S1794" s="87">
        <v>1</v>
      </c>
      <c r="T1794" s="87">
        <v>3</v>
      </c>
      <c r="U1794" s="87">
        <v>300</v>
      </c>
      <c r="V1794" s="87">
        <v>1</v>
      </c>
      <c r="W1794" s="33">
        <v>1</v>
      </c>
      <c r="X1794" s="87">
        <v>1</v>
      </c>
      <c r="Y1794" s="87">
        <v>0</v>
      </c>
      <c r="Z1794" s="33">
        <v>0</v>
      </c>
      <c r="AA1794" s="33">
        <v>3</v>
      </c>
      <c r="AB1794" s="87">
        <v>6460</v>
      </c>
      <c r="AC1794" s="87">
        <v>10000</v>
      </c>
      <c r="AD1794" s="95"/>
      <c r="AE1794" s="95">
        <v>6</v>
      </c>
      <c r="AF1794" s="95"/>
      <c r="AG1794" s="346"/>
      <c r="AH1794" s="346"/>
      <c r="AI1794" s="346"/>
      <c r="AJ1794" s="346"/>
      <c r="AK1794" s="346"/>
      <c r="AL1794" s="347">
        <v>1</v>
      </c>
      <c r="AM1794" s="350"/>
      <c r="AN1794" s="98"/>
      <c r="AO1794" s="351"/>
      <c r="AQ1794" s="3" t="s">
        <v>4784</v>
      </c>
      <c r="AS1794">
        <v>1</v>
      </c>
    </row>
    <row r="1795" s="39" customFormat="1" spans="1:45">
      <c r="A1795" s="33">
        <v>713123</v>
      </c>
      <c r="B1795" s="8">
        <v>1001</v>
      </c>
      <c r="C1795" s="8">
        <v>1</v>
      </c>
      <c r="D1795" s="8">
        <v>1001</v>
      </c>
      <c r="E1795" t="s">
        <v>4631</v>
      </c>
      <c r="F1795" t="s">
        <v>4787</v>
      </c>
      <c r="G1795" t="s">
        <v>4788</v>
      </c>
      <c r="H1795" t="s">
        <v>4789</v>
      </c>
      <c r="I1795">
        <v>1</v>
      </c>
      <c r="J1795" s="69">
        <v>4</v>
      </c>
      <c r="K1795" s="33">
        <v>2</v>
      </c>
      <c r="L1795" s="8">
        <v>999</v>
      </c>
      <c r="M1795" s="8">
        <v>0</v>
      </c>
      <c r="O1795" s="249"/>
      <c r="S1795" s="89">
        <v>1</v>
      </c>
      <c r="T1795" s="8">
        <v>3</v>
      </c>
      <c r="U1795" s="89">
        <v>300</v>
      </c>
      <c r="V1795" s="87">
        <v>1</v>
      </c>
      <c r="W1795">
        <v>1</v>
      </c>
      <c r="X1795" s="8">
        <v>1</v>
      </c>
      <c r="Y1795" s="8">
        <v>0</v>
      </c>
      <c r="Z1795" s="33">
        <v>0</v>
      </c>
      <c r="AA1795">
        <v>3</v>
      </c>
      <c r="AB1795" s="89">
        <v>6460</v>
      </c>
      <c r="AC1795" s="87">
        <v>10000</v>
      </c>
      <c r="AD1795" s="167"/>
      <c r="AE1795" s="62">
        <v>6</v>
      </c>
      <c r="AF1795" s="167"/>
      <c r="AG1795" s="352"/>
      <c r="AH1795" s="352"/>
      <c r="AI1795" s="352"/>
      <c r="AJ1795" s="352"/>
      <c r="AK1795" s="352"/>
      <c r="AL1795" s="64">
        <v>1</v>
      </c>
      <c r="AM1795" s="171"/>
      <c r="AN1795" s="93"/>
      <c r="AO1795" s="252"/>
      <c r="AP1795" s="353"/>
      <c r="AQ1795" t="s">
        <v>4787</v>
      </c>
      <c r="AS1795">
        <v>1</v>
      </c>
    </row>
    <row r="1796" spans="1:45">
      <c r="A1796" s="39">
        <v>713124</v>
      </c>
      <c r="B1796" s="163">
        <v>1001</v>
      </c>
      <c r="C1796" s="163">
        <v>1</v>
      </c>
      <c r="D1796" s="163">
        <v>1001</v>
      </c>
      <c r="E1796" s="39" t="s">
        <v>4790</v>
      </c>
      <c r="F1796" s="39" t="s">
        <v>4790</v>
      </c>
      <c r="G1796" s="39" t="s">
        <v>4791</v>
      </c>
      <c r="H1796" s="39" t="s">
        <v>4792</v>
      </c>
      <c r="I1796" s="39">
        <v>1</v>
      </c>
      <c r="J1796" s="165">
        <v>4</v>
      </c>
      <c r="K1796" s="39">
        <v>2</v>
      </c>
      <c r="L1796" s="163">
        <v>999</v>
      </c>
      <c r="M1796" s="163">
        <v>0</v>
      </c>
      <c r="O1796" s="354"/>
      <c r="S1796" s="163">
        <v>1</v>
      </c>
      <c r="T1796" s="163">
        <v>3</v>
      </c>
      <c r="U1796" s="163">
        <v>300</v>
      </c>
      <c r="V1796" s="163">
        <v>1</v>
      </c>
      <c r="W1796" s="39">
        <v>1</v>
      </c>
      <c r="X1796" s="163">
        <v>1</v>
      </c>
      <c r="Y1796" s="163">
        <v>0</v>
      </c>
      <c r="Z1796" s="39">
        <v>0</v>
      </c>
      <c r="AA1796" s="39">
        <v>3</v>
      </c>
      <c r="AB1796" s="163">
        <v>6460</v>
      </c>
      <c r="AC1796" s="163">
        <v>10000</v>
      </c>
      <c r="AD1796" s="167"/>
      <c r="AE1796" s="167">
        <v>6</v>
      </c>
      <c r="AF1796" s="167"/>
      <c r="AG1796" s="352"/>
      <c r="AH1796" s="352"/>
      <c r="AI1796" s="352"/>
      <c r="AJ1796" s="352"/>
      <c r="AK1796" s="352"/>
      <c r="AL1796" s="353">
        <v>1</v>
      </c>
      <c r="AM1796" s="171"/>
      <c r="AN1796" s="170"/>
      <c r="AO1796" s="353"/>
      <c r="AP1796" s="353"/>
      <c r="AQ1796" s="39" t="s">
        <v>4790</v>
      </c>
      <c r="AS1796" s="39">
        <v>1</v>
      </c>
    </row>
    <row r="1797" spans="1:45">
      <c r="A1797" s="3">
        <v>713125</v>
      </c>
      <c r="B1797" s="128">
        <v>1001</v>
      </c>
      <c r="C1797" s="355">
        <v>1</v>
      </c>
      <c r="D1797" s="355">
        <v>1001</v>
      </c>
      <c r="E1797" s="60" t="s">
        <v>4793</v>
      </c>
      <c r="F1797" s="60" t="s">
        <v>4793</v>
      </c>
      <c r="G1797" s="60" t="s">
        <v>4794</v>
      </c>
      <c r="H1797" s="60" t="s">
        <v>4795</v>
      </c>
      <c r="I1797" s="60">
        <v>1</v>
      </c>
      <c r="J1797" s="356">
        <v>4</v>
      </c>
      <c r="K1797" s="3">
        <v>2</v>
      </c>
      <c r="L1797" s="355">
        <v>999</v>
      </c>
      <c r="M1797" s="355">
        <v>0</v>
      </c>
      <c r="O1797" s="357"/>
      <c r="S1797" s="128">
        <v>1</v>
      </c>
      <c r="T1797" s="128">
        <v>3</v>
      </c>
      <c r="U1797" s="128">
        <v>300</v>
      </c>
      <c r="V1797" s="128">
        <v>1</v>
      </c>
      <c r="W1797" s="3">
        <v>1</v>
      </c>
      <c r="X1797" s="128">
        <v>1</v>
      </c>
      <c r="Y1797" s="128">
        <v>0</v>
      </c>
      <c r="Z1797" s="3">
        <v>0</v>
      </c>
      <c r="AA1797" s="3">
        <v>3</v>
      </c>
      <c r="AB1797" s="128">
        <v>6460</v>
      </c>
      <c r="AC1797" s="128">
        <v>10000</v>
      </c>
      <c r="AD1797" s="153"/>
      <c r="AE1797" s="153">
        <v>6</v>
      </c>
      <c r="AF1797" s="358"/>
      <c r="AG1797" s="337"/>
      <c r="AH1797" s="337"/>
      <c r="AI1797" s="337"/>
      <c r="AJ1797" s="337"/>
      <c r="AK1797" s="337"/>
      <c r="AL1797" s="234">
        <v>1</v>
      </c>
      <c r="AM1797" s="157"/>
      <c r="AN1797" s="156"/>
      <c r="AO1797" s="234"/>
      <c r="AP1797" s="234"/>
      <c r="AQ1797" s="60" t="s">
        <v>4793</v>
      </c>
      <c r="AS1797">
        <v>1</v>
      </c>
    </row>
    <row r="1798" s="48" customFormat="1" spans="1:45">
      <c r="A1798" s="3">
        <v>713126</v>
      </c>
      <c r="B1798" s="128">
        <v>1001</v>
      </c>
      <c r="C1798" s="355">
        <v>1</v>
      </c>
      <c r="D1798" s="355">
        <v>1001</v>
      </c>
      <c r="E1798" s="60" t="s">
        <v>4796</v>
      </c>
      <c r="F1798" s="60" t="s">
        <v>4796</v>
      </c>
      <c r="G1798" s="60" t="s">
        <v>4797</v>
      </c>
      <c r="H1798" s="60" t="s">
        <v>4798</v>
      </c>
      <c r="I1798" s="60">
        <v>1</v>
      </c>
      <c r="J1798" s="356">
        <v>4</v>
      </c>
      <c r="K1798" s="3">
        <v>2</v>
      </c>
      <c r="L1798" s="355">
        <v>999</v>
      </c>
      <c r="M1798" s="355">
        <v>0</v>
      </c>
      <c r="O1798" s="357"/>
      <c r="S1798" s="128">
        <v>1</v>
      </c>
      <c r="T1798" s="128">
        <v>3</v>
      </c>
      <c r="U1798" s="128">
        <v>300</v>
      </c>
      <c r="V1798" s="128">
        <v>1</v>
      </c>
      <c r="W1798" s="3">
        <v>1</v>
      </c>
      <c r="X1798" s="128">
        <v>1</v>
      </c>
      <c r="Y1798" s="128">
        <v>0</v>
      </c>
      <c r="Z1798" s="3">
        <v>0</v>
      </c>
      <c r="AA1798" s="3">
        <v>3</v>
      </c>
      <c r="AB1798" s="128">
        <v>6460</v>
      </c>
      <c r="AC1798" s="128">
        <v>10000</v>
      </c>
      <c r="AD1798" s="153"/>
      <c r="AE1798" s="153">
        <v>6</v>
      </c>
      <c r="AF1798" s="358"/>
      <c r="AG1798" s="337"/>
      <c r="AH1798" s="337"/>
      <c r="AI1798" s="337"/>
      <c r="AJ1798" s="337"/>
      <c r="AK1798" s="337"/>
      <c r="AL1798" s="234">
        <v>1</v>
      </c>
      <c r="AM1798" s="157"/>
      <c r="AN1798" s="156"/>
      <c r="AO1798" s="234"/>
      <c r="AP1798" s="234"/>
      <c r="AQ1798" s="60" t="s">
        <v>4796</v>
      </c>
      <c r="AS1798">
        <v>1</v>
      </c>
    </row>
    <row r="1799" s="48" customFormat="1" spans="1:45">
      <c r="A1799" s="48">
        <v>713127</v>
      </c>
      <c r="B1799" s="359">
        <v>1001</v>
      </c>
      <c r="C1799" s="360">
        <v>1</v>
      </c>
      <c r="D1799" s="360">
        <v>1001</v>
      </c>
      <c r="E1799" s="361" t="s">
        <v>4799</v>
      </c>
      <c r="F1799" s="361" t="s">
        <v>4799</v>
      </c>
      <c r="G1799" s="361" t="s">
        <v>4800</v>
      </c>
      <c r="H1799" s="361" t="s">
        <v>4801</v>
      </c>
      <c r="I1799" s="361">
        <v>1</v>
      </c>
      <c r="J1799" s="362">
        <v>4</v>
      </c>
      <c r="K1799" s="48">
        <v>2</v>
      </c>
      <c r="L1799" s="360">
        <v>999</v>
      </c>
      <c r="M1799" s="360">
        <v>0</v>
      </c>
      <c r="O1799" s="363"/>
      <c r="S1799" s="359">
        <v>1</v>
      </c>
      <c r="T1799" s="359">
        <v>3</v>
      </c>
      <c r="U1799" s="359">
        <v>300</v>
      </c>
      <c r="V1799" s="359">
        <v>1</v>
      </c>
      <c r="W1799" s="48">
        <v>1</v>
      </c>
      <c r="X1799" s="359">
        <v>1</v>
      </c>
      <c r="Y1799" s="359">
        <v>0</v>
      </c>
      <c r="Z1799" s="48">
        <v>0</v>
      </c>
      <c r="AA1799" s="48">
        <v>3</v>
      </c>
      <c r="AB1799" s="359">
        <v>6460</v>
      </c>
      <c r="AC1799" s="359">
        <v>10000</v>
      </c>
      <c r="AD1799" s="364"/>
      <c r="AE1799" s="364">
        <v>6</v>
      </c>
      <c r="AF1799" s="365"/>
      <c r="AG1799" s="366"/>
      <c r="AH1799" s="366"/>
      <c r="AI1799" s="366"/>
      <c r="AJ1799" s="366"/>
      <c r="AK1799" s="366"/>
      <c r="AL1799" s="367">
        <v>1</v>
      </c>
      <c r="AM1799" s="368"/>
      <c r="AN1799" s="369"/>
      <c r="AO1799" s="367"/>
      <c r="AP1799" s="367"/>
      <c r="AQ1799" s="361" t="s">
        <v>4799</v>
      </c>
      <c r="AS1799" s="48">
        <v>1</v>
      </c>
    </row>
    <row r="1800" s="48" customFormat="1" spans="1:45">
      <c r="A1800" s="48">
        <v>713128</v>
      </c>
      <c r="B1800" s="359">
        <v>1001</v>
      </c>
      <c r="C1800" s="360">
        <v>1</v>
      </c>
      <c r="D1800" s="360">
        <v>1001</v>
      </c>
      <c r="E1800" s="361" t="s">
        <v>4802</v>
      </c>
      <c r="F1800" s="361" t="s">
        <v>4802</v>
      </c>
      <c r="G1800" s="361" t="s">
        <v>4803</v>
      </c>
      <c r="H1800" s="361" t="s">
        <v>4804</v>
      </c>
      <c r="I1800" s="361">
        <v>1</v>
      </c>
      <c r="J1800" s="362">
        <v>4</v>
      </c>
      <c r="K1800" s="48">
        <v>2</v>
      </c>
      <c r="L1800" s="360">
        <v>999</v>
      </c>
      <c r="M1800" s="360">
        <v>0</v>
      </c>
      <c r="O1800" s="363"/>
      <c r="S1800" s="359">
        <v>1</v>
      </c>
      <c r="T1800" s="359">
        <v>3</v>
      </c>
      <c r="U1800" s="359">
        <v>300</v>
      </c>
      <c r="V1800" s="359">
        <v>1</v>
      </c>
      <c r="W1800" s="48">
        <v>1</v>
      </c>
      <c r="X1800" s="359">
        <v>1</v>
      </c>
      <c r="Y1800" s="359">
        <v>0</v>
      </c>
      <c r="Z1800" s="48">
        <v>0</v>
      </c>
      <c r="AA1800" s="48">
        <v>3</v>
      </c>
      <c r="AB1800" s="359">
        <v>6460</v>
      </c>
      <c r="AC1800" s="359">
        <v>10000</v>
      </c>
      <c r="AD1800" s="364"/>
      <c r="AE1800" s="364">
        <v>6</v>
      </c>
      <c r="AF1800" s="365"/>
      <c r="AG1800" s="366"/>
      <c r="AH1800" s="366"/>
      <c r="AI1800" s="366"/>
      <c r="AJ1800" s="366"/>
      <c r="AK1800" s="366"/>
      <c r="AL1800" s="367">
        <v>1</v>
      </c>
      <c r="AM1800" s="368"/>
      <c r="AN1800" s="369"/>
      <c r="AO1800" s="367"/>
      <c r="AP1800" s="367"/>
      <c r="AQ1800" s="361" t="s">
        <v>4802</v>
      </c>
      <c r="AS1800" s="48">
        <v>1</v>
      </c>
    </row>
    <row r="1801" s="48" customFormat="1" spans="1:45">
      <c r="A1801" s="48">
        <v>713129</v>
      </c>
      <c r="B1801" s="359">
        <v>1001</v>
      </c>
      <c r="C1801" s="360">
        <v>1</v>
      </c>
      <c r="D1801" s="360">
        <v>1001</v>
      </c>
      <c r="E1801" s="361" t="s">
        <v>4805</v>
      </c>
      <c r="F1801" s="361" t="s">
        <v>4805</v>
      </c>
      <c r="G1801" s="361" t="s">
        <v>4806</v>
      </c>
      <c r="H1801" s="361" t="s">
        <v>4807</v>
      </c>
      <c r="I1801" s="361">
        <v>1</v>
      </c>
      <c r="J1801" s="362">
        <v>4</v>
      </c>
      <c r="K1801" s="48">
        <v>2</v>
      </c>
      <c r="L1801" s="360">
        <v>999</v>
      </c>
      <c r="M1801" s="360">
        <v>0</v>
      </c>
      <c r="O1801" s="363"/>
      <c r="S1801" s="359">
        <v>1</v>
      </c>
      <c r="T1801" s="359">
        <v>3</v>
      </c>
      <c r="U1801" s="359">
        <v>300</v>
      </c>
      <c r="V1801" s="359">
        <v>1</v>
      </c>
      <c r="W1801" s="48">
        <v>1</v>
      </c>
      <c r="X1801" s="359">
        <v>1</v>
      </c>
      <c r="Y1801" s="359">
        <v>0</v>
      </c>
      <c r="Z1801" s="48">
        <v>0</v>
      </c>
      <c r="AA1801" s="48">
        <v>3</v>
      </c>
      <c r="AB1801" s="359">
        <v>6460</v>
      </c>
      <c r="AC1801" s="359">
        <v>10000</v>
      </c>
      <c r="AD1801" s="364"/>
      <c r="AE1801" s="364">
        <v>6</v>
      </c>
      <c r="AF1801" s="365"/>
      <c r="AG1801" s="366"/>
      <c r="AH1801" s="366"/>
      <c r="AI1801" s="366"/>
      <c r="AJ1801" s="366"/>
      <c r="AK1801" s="366"/>
      <c r="AL1801" s="367">
        <v>1</v>
      </c>
      <c r="AM1801" s="368"/>
      <c r="AN1801" s="369"/>
      <c r="AO1801" s="367"/>
      <c r="AP1801" s="367"/>
      <c r="AQ1801" s="361" t="s">
        <v>4805</v>
      </c>
      <c r="AS1801" s="48">
        <v>1</v>
      </c>
    </row>
    <row r="1802" s="48" customFormat="1" spans="1:45">
      <c r="A1802" s="48">
        <v>713130</v>
      </c>
      <c r="B1802" s="359">
        <v>1001</v>
      </c>
      <c r="C1802" s="360">
        <v>1</v>
      </c>
      <c r="D1802" s="360">
        <v>1001</v>
      </c>
      <c r="E1802" s="361" t="s">
        <v>4808</v>
      </c>
      <c r="F1802" s="361" t="s">
        <v>4808</v>
      </c>
      <c r="G1802" s="361" t="s">
        <v>4809</v>
      </c>
      <c r="H1802" s="361" t="s">
        <v>4810</v>
      </c>
      <c r="I1802" s="361">
        <v>1</v>
      </c>
      <c r="J1802" s="362">
        <v>4</v>
      </c>
      <c r="K1802" s="48">
        <v>2</v>
      </c>
      <c r="L1802" s="360">
        <v>999</v>
      </c>
      <c r="M1802" s="360">
        <v>0</v>
      </c>
      <c r="O1802" s="363"/>
      <c r="S1802" s="359">
        <v>1</v>
      </c>
      <c r="T1802" s="359">
        <v>3</v>
      </c>
      <c r="U1802" s="359">
        <v>300</v>
      </c>
      <c r="V1802" s="359">
        <v>1</v>
      </c>
      <c r="W1802" s="48">
        <v>1</v>
      </c>
      <c r="X1802" s="359">
        <v>1</v>
      </c>
      <c r="Y1802" s="359">
        <v>0</v>
      </c>
      <c r="Z1802" s="48">
        <v>0</v>
      </c>
      <c r="AA1802" s="48">
        <v>3</v>
      </c>
      <c r="AB1802" s="359">
        <v>6460</v>
      </c>
      <c r="AC1802" s="359">
        <v>10000</v>
      </c>
      <c r="AD1802" s="364"/>
      <c r="AE1802" s="364">
        <v>6</v>
      </c>
      <c r="AF1802" s="365"/>
      <c r="AG1802" s="366"/>
      <c r="AH1802" s="366"/>
      <c r="AI1802" s="366"/>
      <c r="AJ1802" s="366"/>
      <c r="AK1802" s="366"/>
      <c r="AL1802" s="367">
        <v>1</v>
      </c>
      <c r="AM1802" s="368"/>
      <c r="AN1802" s="369"/>
      <c r="AO1802" s="367"/>
      <c r="AP1802" s="367"/>
      <c r="AQ1802" s="361" t="s">
        <v>4808</v>
      </c>
      <c r="AS1802" s="48">
        <v>1</v>
      </c>
    </row>
    <row r="1803" s="49" customFormat="1" spans="1:45">
      <c r="A1803" s="48">
        <v>713131</v>
      </c>
      <c r="B1803" s="359">
        <v>1001</v>
      </c>
      <c r="C1803" s="360">
        <v>1</v>
      </c>
      <c r="D1803" s="360">
        <v>1001</v>
      </c>
      <c r="E1803" s="361" t="s">
        <v>4811</v>
      </c>
      <c r="F1803" s="361" t="s">
        <v>4811</v>
      </c>
      <c r="G1803" s="361" t="s">
        <v>4812</v>
      </c>
      <c r="H1803" s="361" t="s">
        <v>4813</v>
      </c>
      <c r="I1803" s="361">
        <v>1</v>
      </c>
      <c r="J1803" s="362">
        <v>4</v>
      </c>
      <c r="K1803" s="48">
        <v>2</v>
      </c>
      <c r="L1803" s="360">
        <v>999</v>
      </c>
      <c r="M1803" s="360">
        <v>0</v>
      </c>
      <c r="O1803" s="363"/>
      <c r="S1803" s="359">
        <v>1</v>
      </c>
      <c r="T1803" s="359">
        <v>3</v>
      </c>
      <c r="U1803" s="359">
        <v>300</v>
      </c>
      <c r="V1803" s="359">
        <v>1</v>
      </c>
      <c r="W1803" s="48">
        <v>1</v>
      </c>
      <c r="X1803" s="359">
        <v>1</v>
      </c>
      <c r="Y1803" s="359">
        <v>0</v>
      </c>
      <c r="Z1803" s="48">
        <v>0</v>
      </c>
      <c r="AA1803" s="48">
        <v>3</v>
      </c>
      <c r="AB1803" s="359">
        <v>6460</v>
      </c>
      <c r="AC1803" s="359">
        <v>10000</v>
      </c>
      <c r="AD1803" s="364"/>
      <c r="AE1803" s="364">
        <v>6</v>
      </c>
      <c r="AF1803" s="365"/>
      <c r="AG1803" s="366"/>
      <c r="AH1803" s="366"/>
      <c r="AI1803" s="366"/>
      <c r="AJ1803" s="366"/>
      <c r="AK1803" s="366"/>
      <c r="AL1803" s="367">
        <v>1</v>
      </c>
      <c r="AM1803" s="368"/>
      <c r="AN1803" s="369"/>
      <c r="AO1803" s="367"/>
      <c r="AP1803" s="367"/>
      <c r="AQ1803" s="361" t="s">
        <v>4811</v>
      </c>
      <c r="AS1803" s="48">
        <v>1</v>
      </c>
    </row>
    <row r="1804" s="49" customFormat="1" spans="1:45">
      <c r="A1804" s="48">
        <v>713132</v>
      </c>
      <c r="B1804" s="370">
        <v>1001</v>
      </c>
      <c r="C1804" s="371">
        <v>1</v>
      </c>
      <c r="D1804" s="371">
        <v>1001</v>
      </c>
      <c r="E1804" s="372" t="s">
        <v>4814</v>
      </c>
      <c r="F1804" s="372" t="s">
        <v>4814</v>
      </c>
      <c r="G1804" s="372" t="s">
        <v>4815</v>
      </c>
      <c r="H1804" s="361" t="s">
        <v>4816</v>
      </c>
      <c r="I1804" s="372">
        <v>1</v>
      </c>
      <c r="J1804" s="373">
        <v>4</v>
      </c>
      <c r="K1804" s="49">
        <v>2</v>
      </c>
      <c r="L1804" s="371">
        <v>999</v>
      </c>
      <c r="M1804" s="371">
        <v>0</v>
      </c>
      <c r="O1804" s="374"/>
      <c r="S1804" s="370">
        <v>1</v>
      </c>
      <c r="T1804" s="370">
        <v>3</v>
      </c>
      <c r="U1804" s="370">
        <v>300</v>
      </c>
      <c r="V1804" s="370">
        <v>1</v>
      </c>
      <c r="W1804" s="49">
        <v>1</v>
      </c>
      <c r="X1804" s="370">
        <v>1</v>
      </c>
      <c r="Y1804" s="370">
        <v>0</v>
      </c>
      <c r="Z1804" s="49">
        <v>0</v>
      </c>
      <c r="AA1804" s="49">
        <v>3</v>
      </c>
      <c r="AB1804" s="370">
        <v>6460</v>
      </c>
      <c r="AC1804" s="370">
        <v>10000</v>
      </c>
      <c r="AD1804" s="375"/>
      <c r="AE1804" s="375">
        <v>6</v>
      </c>
      <c r="AF1804" s="376"/>
      <c r="AG1804" s="377"/>
      <c r="AH1804" s="377"/>
      <c r="AI1804" s="377"/>
      <c r="AJ1804" s="377"/>
      <c r="AK1804" s="377"/>
      <c r="AL1804" s="378">
        <v>1</v>
      </c>
      <c r="AM1804" s="379"/>
      <c r="AN1804" s="380"/>
      <c r="AO1804" s="378"/>
      <c r="AP1804" s="378"/>
      <c r="AQ1804" s="372"/>
      <c r="AS1804" s="49">
        <v>1</v>
      </c>
    </row>
    <row r="1805" s="49" customFormat="1" spans="1:45">
      <c r="A1805" s="48">
        <v>713133</v>
      </c>
      <c r="B1805" s="370">
        <v>1001</v>
      </c>
      <c r="C1805" s="371">
        <v>1</v>
      </c>
      <c r="D1805" s="371">
        <v>1001</v>
      </c>
      <c r="E1805" s="372" t="s">
        <v>4817</v>
      </c>
      <c r="F1805" s="372" t="s">
        <v>4817</v>
      </c>
      <c r="G1805" s="372" t="s">
        <v>4818</v>
      </c>
      <c r="H1805" s="361" t="s">
        <v>4819</v>
      </c>
      <c r="I1805" s="372">
        <v>1</v>
      </c>
      <c r="J1805" s="373">
        <v>4</v>
      </c>
      <c r="K1805" s="49">
        <v>2</v>
      </c>
      <c r="L1805" s="371">
        <v>999</v>
      </c>
      <c r="M1805" s="371">
        <v>0</v>
      </c>
      <c r="O1805" s="374"/>
      <c r="S1805" s="370">
        <v>1</v>
      </c>
      <c r="T1805" s="370">
        <v>3</v>
      </c>
      <c r="U1805" s="370">
        <v>300</v>
      </c>
      <c r="V1805" s="370">
        <v>1</v>
      </c>
      <c r="W1805" s="49">
        <v>1</v>
      </c>
      <c r="X1805" s="370">
        <v>1</v>
      </c>
      <c r="Y1805" s="370">
        <v>0</v>
      </c>
      <c r="Z1805" s="49">
        <v>0</v>
      </c>
      <c r="AA1805" s="49">
        <v>3</v>
      </c>
      <c r="AB1805" s="370">
        <v>6460</v>
      </c>
      <c r="AC1805" s="370">
        <v>10000</v>
      </c>
      <c r="AD1805" s="375"/>
      <c r="AE1805" s="375">
        <v>6</v>
      </c>
      <c r="AF1805" s="376"/>
      <c r="AG1805" s="377"/>
      <c r="AH1805" s="377"/>
      <c r="AI1805" s="377"/>
      <c r="AJ1805" s="377"/>
      <c r="AK1805" s="377"/>
      <c r="AL1805" s="378">
        <v>1</v>
      </c>
      <c r="AM1805" s="379"/>
      <c r="AN1805" s="380"/>
      <c r="AO1805" s="378"/>
      <c r="AP1805" s="378"/>
      <c r="AQ1805" s="372"/>
      <c r="AS1805" s="49">
        <v>1</v>
      </c>
    </row>
    <row r="1806" spans="1:45">
      <c r="A1806" s="48">
        <v>713134</v>
      </c>
      <c r="B1806" s="370">
        <v>1001</v>
      </c>
      <c r="C1806" s="371">
        <v>1</v>
      </c>
      <c r="D1806" s="371">
        <v>1001</v>
      </c>
      <c r="E1806" s="372" t="s">
        <v>4820</v>
      </c>
      <c r="F1806" s="372" t="s">
        <v>4820</v>
      </c>
      <c r="G1806" s="372" t="s">
        <v>4821</v>
      </c>
      <c r="H1806" s="361" t="s">
        <v>4822</v>
      </c>
      <c r="I1806" s="372">
        <v>1</v>
      </c>
      <c r="J1806" s="373">
        <v>4</v>
      </c>
      <c r="K1806" s="49">
        <v>2</v>
      </c>
      <c r="L1806" s="371">
        <v>999</v>
      </c>
      <c r="M1806" s="371">
        <v>0</v>
      </c>
      <c r="O1806" s="374"/>
      <c r="S1806" s="370">
        <v>1</v>
      </c>
      <c r="T1806" s="370">
        <v>3</v>
      </c>
      <c r="U1806" s="370">
        <v>300</v>
      </c>
      <c r="V1806" s="370">
        <v>1</v>
      </c>
      <c r="W1806" s="49">
        <v>1</v>
      </c>
      <c r="X1806" s="370">
        <v>1</v>
      </c>
      <c r="Y1806" s="370">
        <v>0</v>
      </c>
      <c r="Z1806" s="49">
        <v>0</v>
      </c>
      <c r="AA1806" s="49">
        <v>3</v>
      </c>
      <c r="AB1806" s="370">
        <v>6460</v>
      </c>
      <c r="AC1806" s="370">
        <v>10000</v>
      </c>
      <c r="AD1806" s="375"/>
      <c r="AE1806" s="375">
        <v>6</v>
      </c>
      <c r="AF1806" s="376"/>
      <c r="AG1806" s="377"/>
      <c r="AH1806" s="377"/>
      <c r="AI1806" s="377"/>
      <c r="AJ1806" s="377"/>
      <c r="AK1806" s="377"/>
      <c r="AL1806" s="378">
        <v>1</v>
      </c>
      <c r="AM1806" s="379"/>
      <c r="AN1806" s="380"/>
      <c r="AO1806" s="378"/>
      <c r="AP1806" s="378"/>
      <c r="AQ1806" s="372"/>
      <c r="AS1806" s="49">
        <v>1</v>
      </c>
    </row>
    <row r="1807" s="49" customFormat="1" spans="1:45">
      <c r="A1807" s="3">
        <v>713135</v>
      </c>
      <c r="B1807" s="128">
        <v>1001</v>
      </c>
      <c r="C1807" s="355">
        <v>1</v>
      </c>
      <c r="D1807" s="355">
        <v>1001</v>
      </c>
      <c r="E1807" s="60" t="s">
        <v>4823</v>
      </c>
      <c r="F1807" s="60" t="s">
        <v>4823</v>
      </c>
      <c r="G1807" s="60" t="s">
        <v>4824</v>
      </c>
      <c r="H1807" s="60" t="s">
        <v>4825</v>
      </c>
      <c r="I1807" s="60">
        <v>1</v>
      </c>
      <c r="J1807" s="356">
        <v>4</v>
      </c>
      <c r="K1807" s="3">
        <v>2</v>
      </c>
      <c r="L1807" s="355">
        <v>999</v>
      </c>
      <c r="M1807" s="355">
        <v>0</v>
      </c>
      <c r="O1807" s="357"/>
      <c r="S1807" s="128">
        <v>1</v>
      </c>
      <c r="T1807" s="128">
        <v>3</v>
      </c>
      <c r="U1807" s="128">
        <v>300</v>
      </c>
      <c r="V1807" s="128">
        <v>1</v>
      </c>
      <c r="W1807" s="3">
        <v>1</v>
      </c>
      <c r="X1807" s="128">
        <v>1</v>
      </c>
      <c r="Y1807" s="128">
        <v>0</v>
      </c>
      <c r="Z1807" s="3">
        <v>0</v>
      </c>
      <c r="AA1807" s="3">
        <v>3</v>
      </c>
      <c r="AB1807" s="128">
        <v>6460</v>
      </c>
      <c r="AC1807" s="128">
        <v>10000</v>
      </c>
      <c r="AD1807" s="153"/>
      <c r="AE1807" s="153">
        <v>6</v>
      </c>
      <c r="AF1807" s="358"/>
      <c r="AG1807" s="337"/>
      <c r="AH1807" s="337"/>
      <c r="AI1807" s="337"/>
      <c r="AJ1807" s="337"/>
      <c r="AK1807" s="337"/>
      <c r="AL1807" s="234">
        <v>1</v>
      </c>
      <c r="AM1807" s="157"/>
      <c r="AN1807" s="156"/>
      <c r="AO1807" s="234"/>
      <c r="AP1807" s="234"/>
      <c r="AQ1807" s="60" t="s">
        <v>4823</v>
      </c>
      <c r="AS1807">
        <v>1</v>
      </c>
    </row>
    <row r="1808" s="49" customFormat="1" spans="1:45">
      <c r="A1808" s="48">
        <v>713136</v>
      </c>
      <c r="B1808" s="370">
        <v>1001</v>
      </c>
      <c r="C1808" s="371">
        <v>1</v>
      </c>
      <c r="D1808" s="371">
        <v>1001</v>
      </c>
      <c r="E1808" s="381" t="s">
        <v>4826</v>
      </c>
      <c r="F1808" s="381" t="s">
        <v>4826</v>
      </c>
      <c r="G1808" s="372" t="s">
        <v>4827</v>
      </c>
      <c r="H1808" s="361" t="s">
        <v>4828</v>
      </c>
      <c r="I1808" s="372">
        <v>1</v>
      </c>
      <c r="J1808" s="373">
        <v>4</v>
      </c>
      <c r="K1808" s="49">
        <v>2</v>
      </c>
      <c r="L1808" s="371">
        <v>999</v>
      </c>
      <c r="M1808" s="371">
        <v>0</v>
      </c>
      <c r="O1808" s="374"/>
      <c r="S1808" s="370">
        <v>1</v>
      </c>
      <c r="T1808" s="370">
        <v>3</v>
      </c>
      <c r="U1808" s="370">
        <v>300</v>
      </c>
      <c r="V1808" s="370">
        <v>1</v>
      </c>
      <c r="W1808" s="49">
        <v>1</v>
      </c>
      <c r="X1808" s="370">
        <v>1</v>
      </c>
      <c r="Y1808" s="370">
        <v>0</v>
      </c>
      <c r="Z1808" s="49">
        <v>0</v>
      </c>
      <c r="AA1808" s="49">
        <v>3</v>
      </c>
      <c r="AB1808" s="370">
        <v>6460</v>
      </c>
      <c r="AC1808" s="370">
        <v>10000</v>
      </c>
      <c r="AD1808" s="375"/>
      <c r="AE1808" s="375">
        <v>6</v>
      </c>
      <c r="AF1808" s="376"/>
      <c r="AG1808" s="377"/>
      <c r="AH1808" s="377"/>
      <c r="AI1808" s="377"/>
      <c r="AJ1808" s="377"/>
      <c r="AK1808" s="377"/>
      <c r="AL1808" s="378">
        <v>1</v>
      </c>
      <c r="AM1808" s="379"/>
      <c r="AN1808" s="380"/>
      <c r="AO1808" s="378"/>
      <c r="AP1808" s="378"/>
      <c r="AQ1808" s="381" t="s">
        <v>4826</v>
      </c>
      <c r="AS1808" s="49">
        <v>1</v>
      </c>
    </row>
    <row r="1809" s="49" customFormat="1" spans="1:45">
      <c r="A1809" s="48">
        <v>713137</v>
      </c>
      <c r="B1809" s="370">
        <v>1001</v>
      </c>
      <c r="C1809" s="371">
        <v>1</v>
      </c>
      <c r="D1809" s="371">
        <v>1001</v>
      </c>
      <c r="E1809" s="381" t="s">
        <v>4829</v>
      </c>
      <c r="F1809" s="381" t="s">
        <v>4829</v>
      </c>
      <c r="G1809" s="372" t="s">
        <v>4830</v>
      </c>
      <c r="H1809" s="361" t="s">
        <v>4831</v>
      </c>
      <c r="I1809" s="372">
        <v>1</v>
      </c>
      <c r="J1809" s="373">
        <v>4</v>
      </c>
      <c r="K1809" s="49">
        <v>2</v>
      </c>
      <c r="L1809" s="371">
        <v>999</v>
      </c>
      <c r="M1809" s="371">
        <v>0</v>
      </c>
      <c r="O1809" s="374"/>
      <c r="S1809" s="370">
        <v>1</v>
      </c>
      <c r="T1809" s="370">
        <v>3</v>
      </c>
      <c r="U1809" s="370">
        <v>300</v>
      </c>
      <c r="V1809" s="370">
        <v>1</v>
      </c>
      <c r="W1809" s="49">
        <v>1</v>
      </c>
      <c r="X1809" s="370">
        <v>1</v>
      </c>
      <c r="Y1809" s="370">
        <v>0</v>
      </c>
      <c r="Z1809" s="49">
        <v>0</v>
      </c>
      <c r="AA1809" s="49">
        <v>3</v>
      </c>
      <c r="AB1809" s="370">
        <v>6460</v>
      </c>
      <c r="AC1809" s="370">
        <v>10000</v>
      </c>
      <c r="AD1809" s="375"/>
      <c r="AE1809" s="375">
        <v>6</v>
      </c>
      <c r="AF1809" s="376"/>
      <c r="AG1809" s="377"/>
      <c r="AH1809" s="377"/>
      <c r="AI1809" s="377"/>
      <c r="AJ1809" s="377"/>
      <c r="AK1809" s="377"/>
      <c r="AL1809" s="378">
        <v>1</v>
      </c>
      <c r="AM1809" s="379"/>
      <c r="AN1809" s="380"/>
      <c r="AO1809" s="378"/>
      <c r="AP1809" s="378"/>
      <c r="AQ1809" s="381" t="s">
        <v>4829</v>
      </c>
      <c r="AS1809" s="49">
        <v>1</v>
      </c>
    </row>
    <row r="1810" s="49" customFormat="1" spans="1:45">
      <c r="A1810" s="48">
        <v>713138</v>
      </c>
      <c r="B1810" s="370">
        <v>1001</v>
      </c>
      <c r="C1810" s="371">
        <v>1</v>
      </c>
      <c r="D1810" s="371">
        <v>1001</v>
      </c>
      <c r="E1810" s="381" t="s">
        <v>4832</v>
      </c>
      <c r="F1810" s="381" t="s">
        <v>4832</v>
      </c>
      <c r="G1810" s="372" t="s">
        <v>4833</v>
      </c>
      <c r="H1810" s="361" t="s">
        <v>4834</v>
      </c>
      <c r="I1810" s="372">
        <v>1</v>
      </c>
      <c r="J1810" s="373">
        <v>4</v>
      </c>
      <c r="K1810" s="49">
        <v>2</v>
      </c>
      <c r="L1810" s="371">
        <v>999</v>
      </c>
      <c r="M1810" s="371">
        <v>0</v>
      </c>
      <c r="O1810" s="374"/>
      <c r="S1810" s="370">
        <v>1</v>
      </c>
      <c r="T1810" s="370">
        <v>3</v>
      </c>
      <c r="U1810" s="370">
        <v>300</v>
      </c>
      <c r="V1810" s="370">
        <v>1</v>
      </c>
      <c r="W1810" s="49">
        <v>1</v>
      </c>
      <c r="X1810" s="370">
        <v>1</v>
      </c>
      <c r="Y1810" s="370">
        <v>0</v>
      </c>
      <c r="Z1810" s="49">
        <v>0</v>
      </c>
      <c r="AA1810" s="49">
        <v>3</v>
      </c>
      <c r="AB1810" s="370">
        <v>6460</v>
      </c>
      <c r="AC1810" s="370">
        <v>10000</v>
      </c>
      <c r="AD1810" s="375"/>
      <c r="AE1810" s="375">
        <v>6</v>
      </c>
      <c r="AF1810" s="376"/>
      <c r="AG1810" s="377"/>
      <c r="AH1810" s="377"/>
      <c r="AI1810" s="377"/>
      <c r="AJ1810" s="377"/>
      <c r="AK1810" s="377"/>
      <c r="AL1810" s="378">
        <v>1</v>
      </c>
      <c r="AM1810" s="379"/>
      <c r="AN1810" s="380"/>
      <c r="AO1810" s="378"/>
      <c r="AP1810" s="378"/>
      <c r="AQ1810" s="381" t="s">
        <v>4832</v>
      </c>
      <c r="AS1810" s="49">
        <v>1</v>
      </c>
    </row>
    <row r="1811" spans="1:45">
      <c r="A1811" s="48">
        <v>713139</v>
      </c>
      <c r="B1811" s="370">
        <v>1001</v>
      </c>
      <c r="C1811" s="371">
        <v>1</v>
      </c>
      <c r="D1811" s="371">
        <v>1001</v>
      </c>
      <c r="E1811" s="381" t="s">
        <v>4835</v>
      </c>
      <c r="F1811" s="381" t="s">
        <v>4835</v>
      </c>
      <c r="G1811" s="372" t="s">
        <v>4836</v>
      </c>
      <c r="H1811" s="361" t="s">
        <v>4837</v>
      </c>
      <c r="I1811" s="372">
        <v>1</v>
      </c>
      <c r="J1811" s="373">
        <v>4</v>
      </c>
      <c r="K1811" s="49">
        <v>2</v>
      </c>
      <c r="L1811" s="371">
        <v>999</v>
      </c>
      <c r="M1811" s="371">
        <v>0</v>
      </c>
      <c r="O1811" s="374"/>
      <c r="S1811" s="370">
        <v>1</v>
      </c>
      <c r="T1811" s="370">
        <v>3</v>
      </c>
      <c r="U1811" s="370">
        <v>300</v>
      </c>
      <c r="V1811" s="370">
        <v>1</v>
      </c>
      <c r="W1811" s="49">
        <v>1</v>
      </c>
      <c r="X1811" s="370">
        <v>1</v>
      </c>
      <c r="Y1811" s="370">
        <v>0</v>
      </c>
      <c r="Z1811" s="49">
        <v>0</v>
      </c>
      <c r="AA1811" s="49">
        <v>3</v>
      </c>
      <c r="AB1811" s="370">
        <v>6460</v>
      </c>
      <c r="AC1811" s="370">
        <v>10000</v>
      </c>
      <c r="AD1811" s="375"/>
      <c r="AE1811" s="375">
        <v>6</v>
      </c>
      <c r="AF1811" s="376"/>
      <c r="AG1811" s="377"/>
      <c r="AH1811" s="377"/>
      <c r="AI1811" s="377"/>
      <c r="AJ1811" s="377"/>
      <c r="AK1811" s="377"/>
      <c r="AL1811" s="378">
        <v>1</v>
      </c>
      <c r="AM1811" s="379"/>
      <c r="AN1811" s="380"/>
      <c r="AO1811" s="378"/>
      <c r="AP1811" s="378"/>
      <c r="AQ1811" s="381" t="s">
        <v>4835</v>
      </c>
      <c r="AS1811" s="49">
        <v>1</v>
      </c>
    </row>
    <row r="1812" spans="1:45">
      <c r="A1812" s="48">
        <v>713140</v>
      </c>
      <c r="B1812" s="370">
        <v>1001</v>
      </c>
      <c r="C1812" s="371">
        <v>1</v>
      </c>
      <c r="D1812" s="371">
        <v>1001</v>
      </c>
      <c r="E1812" s="381" t="s">
        <v>4838</v>
      </c>
      <c r="F1812" s="381" t="s">
        <v>4838</v>
      </c>
      <c r="G1812" s="372" t="s">
        <v>4839</v>
      </c>
      <c r="H1812" s="361" t="s">
        <v>4840</v>
      </c>
      <c r="I1812" s="372">
        <v>1</v>
      </c>
      <c r="J1812" s="373">
        <v>4</v>
      </c>
      <c r="K1812" s="49">
        <v>2</v>
      </c>
      <c r="L1812" s="371">
        <v>999</v>
      </c>
      <c r="M1812" s="371">
        <v>0</v>
      </c>
      <c r="O1812" s="374"/>
      <c r="S1812" s="370">
        <v>1</v>
      </c>
      <c r="T1812" s="370">
        <v>3</v>
      </c>
      <c r="U1812" s="370">
        <v>300</v>
      </c>
      <c r="V1812" s="370">
        <v>1</v>
      </c>
      <c r="W1812" s="49">
        <v>1</v>
      </c>
      <c r="X1812" s="370">
        <v>1</v>
      </c>
      <c r="Y1812" s="370">
        <v>0</v>
      </c>
      <c r="Z1812" s="49">
        <v>0</v>
      </c>
      <c r="AA1812" s="49">
        <v>3</v>
      </c>
      <c r="AB1812" s="370">
        <v>6460</v>
      </c>
      <c r="AC1812" s="370">
        <v>10000</v>
      </c>
      <c r="AD1812" s="375"/>
      <c r="AE1812" s="375">
        <v>6</v>
      </c>
      <c r="AF1812" s="376"/>
      <c r="AG1812" s="377"/>
      <c r="AH1812" s="377"/>
      <c r="AI1812" s="377"/>
      <c r="AJ1812" s="377"/>
      <c r="AK1812" s="377"/>
      <c r="AL1812" s="378">
        <v>1</v>
      </c>
      <c r="AM1812" s="379"/>
      <c r="AN1812" s="380"/>
      <c r="AO1812" s="378"/>
      <c r="AP1812" s="378"/>
      <c r="AQ1812" s="381" t="s">
        <v>4838</v>
      </c>
      <c r="AS1812" s="49">
        <v>1</v>
      </c>
    </row>
    <row r="1813" s="3" customFormat="1" spans="1:45">
      <c r="A1813" s="48">
        <v>713141</v>
      </c>
      <c r="B1813" s="370">
        <v>1001</v>
      </c>
      <c r="C1813" s="371">
        <v>1</v>
      </c>
      <c r="D1813" s="371">
        <v>1001</v>
      </c>
      <c r="E1813" s="381" t="s">
        <v>4841</v>
      </c>
      <c r="F1813" s="381" t="s">
        <v>4841</v>
      </c>
      <c r="G1813" s="372" t="s">
        <v>4842</v>
      </c>
      <c r="H1813" s="361" t="s">
        <v>4843</v>
      </c>
      <c r="I1813" s="372">
        <v>1</v>
      </c>
      <c r="J1813" s="373">
        <v>4</v>
      </c>
      <c r="K1813" s="49">
        <v>2</v>
      </c>
      <c r="L1813" s="371">
        <v>999</v>
      </c>
      <c r="M1813" s="371">
        <v>0</v>
      </c>
      <c r="O1813" s="374"/>
      <c r="S1813" s="370">
        <v>1</v>
      </c>
      <c r="T1813" s="370">
        <v>3</v>
      </c>
      <c r="U1813" s="370">
        <v>300</v>
      </c>
      <c r="V1813" s="370">
        <v>1</v>
      </c>
      <c r="W1813" s="49">
        <v>1</v>
      </c>
      <c r="X1813" s="370">
        <v>1</v>
      </c>
      <c r="Y1813" s="370">
        <v>0</v>
      </c>
      <c r="Z1813" s="49">
        <v>0</v>
      </c>
      <c r="AA1813" s="49">
        <v>3</v>
      </c>
      <c r="AB1813" s="370">
        <v>6460</v>
      </c>
      <c r="AC1813" s="370">
        <v>10000</v>
      </c>
      <c r="AD1813" s="375"/>
      <c r="AE1813" s="375">
        <v>6</v>
      </c>
      <c r="AF1813" s="376"/>
      <c r="AG1813" s="377"/>
      <c r="AH1813" s="377"/>
      <c r="AI1813" s="377"/>
      <c r="AJ1813" s="377"/>
      <c r="AK1813" s="377"/>
      <c r="AL1813" s="378">
        <v>1</v>
      </c>
      <c r="AM1813" s="379"/>
      <c r="AN1813" s="380"/>
      <c r="AO1813" s="378"/>
      <c r="AP1813" s="378"/>
      <c r="AQ1813" s="381" t="s">
        <v>4841</v>
      </c>
      <c r="AS1813" s="49">
        <v>1</v>
      </c>
    </row>
    <row r="1814" s="3" customFormat="1" spans="1:45">
      <c r="A1814" s="3">
        <v>713142</v>
      </c>
      <c r="B1814" s="128">
        <v>1001</v>
      </c>
      <c r="C1814" s="355">
        <v>1</v>
      </c>
      <c r="D1814" s="355">
        <v>1001</v>
      </c>
      <c r="E1814" s="343" t="s">
        <v>4844</v>
      </c>
      <c r="F1814" s="343" t="s">
        <v>4844</v>
      </c>
      <c r="G1814" s="60" t="s">
        <v>4845</v>
      </c>
      <c r="H1814" s="60" t="s">
        <v>4846</v>
      </c>
      <c r="I1814" s="60">
        <v>1</v>
      </c>
      <c r="J1814" s="356">
        <v>4</v>
      </c>
      <c r="K1814" s="3">
        <v>2</v>
      </c>
      <c r="L1814" s="355">
        <v>999</v>
      </c>
      <c r="M1814" s="355">
        <v>0</v>
      </c>
      <c r="O1814" s="357"/>
      <c r="S1814" s="128">
        <v>1</v>
      </c>
      <c r="T1814" s="128">
        <v>3</v>
      </c>
      <c r="U1814" s="128">
        <v>300</v>
      </c>
      <c r="V1814" s="128">
        <v>1</v>
      </c>
      <c r="W1814" s="3">
        <v>1</v>
      </c>
      <c r="X1814" s="128">
        <v>1</v>
      </c>
      <c r="Y1814" s="128">
        <v>0</v>
      </c>
      <c r="Z1814" s="3">
        <v>0</v>
      </c>
      <c r="AA1814" s="3">
        <v>3</v>
      </c>
      <c r="AB1814" s="128">
        <v>6460</v>
      </c>
      <c r="AC1814" s="128">
        <v>10000</v>
      </c>
      <c r="AD1814" s="153"/>
      <c r="AE1814" s="153">
        <v>6</v>
      </c>
      <c r="AF1814" s="358"/>
      <c r="AG1814" s="337"/>
      <c r="AH1814" s="337"/>
      <c r="AI1814" s="337"/>
      <c r="AJ1814" s="337"/>
      <c r="AK1814" s="337"/>
      <c r="AL1814" s="234">
        <v>1</v>
      </c>
      <c r="AM1814" s="157"/>
      <c r="AN1814" s="156"/>
      <c r="AO1814" s="234"/>
      <c r="AP1814" s="234"/>
      <c r="AQ1814" s="343" t="s">
        <v>4844</v>
      </c>
      <c r="AS1814" s="3">
        <v>1</v>
      </c>
    </row>
    <row r="1815" s="50" customFormat="1" spans="1:45">
      <c r="A1815" s="3">
        <v>713143</v>
      </c>
      <c r="B1815" s="128">
        <v>1001</v>
      </c>
      <c r="C1815" s="355">
        <v>1</v>
      </c>
      <c r="D1815" s="355">
        <v>1001</v>
      </c>
      <c r="E1815" s="343" t="s">
        <v>4847</v>
      </c>
      <c r="F1815" s="343" t="s">
        <v>4847</v>
      </c>
      <c r="G1815" s="60" t="s">
        <v>4848</v>
      </c>
      <c r="H1815" s="60" t="s">
        <v>4849</v>
      </c>
      <c r="I1815" s="60">
        <v>1</v>
      </c>
      <c r="J1815" s="356">
        <v>4</v>
      </c>
      <c r="K1815" s="3">
        <v>2</v>
      </c>
      <c r="L1815" s="355">
        <v>999</v>
      </c>
      <c r="M1815" s="355">
        <v>0</v>
      </c>
      <c r="O1815" s="357"/>
      <c r="S1815" s="128">
        <v>1</v>
      </c>
      <c r="T1815" s="128">
        <v>3</v>
      </c>
      <c r="U1815" s="128">
        <v>300</v>
      </c>
      <c r="V1815" s="128">
        <v>1</v>
      </c>
      <c r="W1815" s="3">
        <v>1</v>
      </c>
      <c r="X1815" s="128">
        <v>1</v>
      </c>
      <c r="Y1815" s="128">
        <v>0</v>
      </c>
      <c r="Z1815" s="3">
        <v>0</v>
      </c>
      <c r="AA1815" s="3">
        <v>3</v>
      </c>
      <c r="AB1815" s="128">
        <v>6460</v>
      </c>
      <c r="AC1815" s="128">
        <v>10000</v>
      </c>
      <c r="AD1815" s="153"/>
      <c r="AE1815" s="153">
        <v>6</v>
      </c>
      <c r="AF1815" s="358"/>
      <c r="AG1815" s="337"/>
      <c r="AH1815" s="337"/>
      <c r="AI1815" s="337"/>
      <c r="AJ1815" s="337"/>
      <c r="AK1815" s="337"/>
      <c r="AL1815" s="234">
        <v>1</v>
      </c>
      <c r="AM1815" s="157"/>
      <c r="AN1815" s="156"/>
      <c r="AO1815" s="234"/>
      <c r="AP1815" s="234"/>
      <c r="AQ1815" s="343" t="s">
        <v>4847</v>
      </c>
      <c r="AS1815" s="3">
        <v>1</v>
      </c>
    </row>
    <row r="1816" spans="1:45">
      <c r="A1816" s="50">
        <v>713144</v>
      </c>
      <c r="B1816" s="382">
        <v>1001</v>
      </c>
      <c r="C1816" s="383">
        <v>1</v>
      </c>
      <c r="D1816" s="383">
        <v>1001</v>
      </c>
      <c r="E1816" s="384" t="s">
        <v>4850</v>
      </c>
      <c r="F1816" s="384" t="s">
        <v>4850</v>
      </c>
      <c r="G1816" s="385" t="s">
        <v>4851</v>
      </c>
      <c r="H1816" s="385" t="s">
        <v>4852</v>
      </c>
      <c r="I1816" s="385">
        <v>1</v>
      </c>
      <c r="J1816" s="386">
        <v>4</v>
      </c>
      <c r="K1816" s="50">
        <v>2</v>
      </c>
      <c r="L1816" s="383">
        <v>999</v>
      </c>
      <c r="M1816" s="383">
        <v>0</v>
      </c>
      <c r="O1816" s="387"/>
      <c r="S1816" s="382">
        <v>1</v>
      </c>
      <c r="T1816" s="382">
        <v>3</v>
      </c>
      <c r="U1816" s="382">
        <v>300</v>
      </c>
      <c r="V1816" s="382">
        <v>1</v>
      </c>
      <c r="W1816" s="50">
        <v>1</v>
      </c>
      <c r="X1816" s="382">
        <v>1</v>
      </c>
      <c r="Y1816" s="382">
        <v>0</v>
      </c>
      <c r="Z1816" s="50">
        <v>0</v>
      </c>
      <c r="AA1816" s="50">
        <v>3</v>
      </c>
      <c r="AB1816" s="382">
        <v>6460</v>
      </c>
      <c r="AC1816" s="382">
        <v>10000</v>
      </c>
      <c r="AD1816" s="388"/>
      <c r="AE1816" s="388">
        <v>6</v>
      </c>
      <c r="AF1816" s="389"/>
      <c r="AG1816" s="390"/>
      <c r="AH1816" s="390"/>
      <c r="AI1816" s="390"/>
      <c r="AJ1816" s="390"/>
      <c r="AK1816" s="390"/>
      <c r="AL1816" s="391">
        <v>1</v>
      </c>
      <c r="AM1816" s="392"/>
      <c r="AN1816" s="393"/>
      <c r="AO1816" s="391"/>
      <c r="AP1816" s="391"/>
      <c r="AQ1816" s="384" t="s">
        <v>4850</v>
      </c>
      <c r="AS1816" s="50">
        <v>1</v>
      </c>
    </row>
    <row r="1817" spans="1:45">
      <c r="A1817" s="48">
        <v>713145</v>
      </c>
      <c r="B1817" s="370">
        <v>1001</v>
      </c>
      <c r="C1817" s="371">
        <v>1</v>
      </c>
      <c r="D1817" s="371">
        <v>1001</v>
      </c>
      <c r="E1817" s="381" t="s">
        <v>4853</v>
      </c>
      <c r="F1817" s="381" t="s">
        <v>4853</v>
      </c>
      <c r="G1817" s="372" t="s">
        <v>4854</v>
      </c>
      <c r="H1817" s="361" t="s">
        <v>4855</v>
      </c>
      <c r="I1817" s="372">
        <v>1</v>
      </c>
      <c r="J1817" s="373">
        <v>4</v>
      </c>
      <c r="K1817" s="49">
        <v>2</v>
      </c>
      <c r="L1817" s="371">
        <v>999</v>
      </c>
      <c r="M1817" s="371">
        <v>0</v>
      </c>
      <c r="O1817" s="374"/>
      <c r="S1817" s="370">
        <v>1</v>
      </c>
      <c r="T1817" s="370">
        <v>3</v>
      </c>
      <c r="U1817" s="370">
        <v>300</v>
      </c>
      <c r="V1817" s="370">
        <v>1</v>
      </c>
      <c r="W1817" s="49">
        <v>1</v>
      </c>
      <c r="X1817" s="370">
        <v>1</v>
      </c>
      <c r="Y1817" s="370">
        <v>0</v>
      </c>
      <c r="Z1817" s="49">
        <v>0</v>
      </c>
      <c r="AA1817" s="49">
        <v>3</v>
      </c>
      <c r="AB1817" s="370">
        <v>6460</v>
      </c>
      <c r="AC1817" s="370">
        <v>10000</v>
      </c>
      <c r="AD1817" s="375"/>
      <c r="AE1817" s="375">
        <v>6</v>
      </c>
      <c r="AF1817" s="376"/>
      <c r="AG1817" s="377"/>
      <c r="AH1817" s="377"/>
      <c r="AI1817" s="377"/>
      <c r="AJ1817" s="377"/>
      <c r="AK1817" s="377"/>
      <c r="AL1817" s="378">
        <v>1</v>
      </c>
      <c r="AM1817" s="379"/>
      <c r="AN1817" s="380"/>
      <c r="AO1817" s="378"/>
      <c r="AP1817" s="378"/>
      <c r="AQ1817" s="381" t="s">
        <v>4853</v>
      </c>
      <c r="AS1817" s="49">
        <v>1</v>
      </c>
    </row>
    <row r="1818" s="3" customFormat="1" spans="1:45">
      <c r="A1818" s="48">
        <v>713146</v>
      </c>
      <c r="B1818" s="370">
        <v>1001</v>
      </c>
      <c r="C1818" s="371">
        <v>1</v>
      </c>
      <c r="D1818" s="371">
        <v>1001</v>
      </c>
      <c r="E1818" s="381" t="s">
        <v>4856</v>
      </c>
      <c r="F1818" s="381" t="s">
        <v>4856</v>
      </c>
      <c r="G1818" s="372" t="s">
        <v>4857</v>
      </c>
      <c r="H1818" s="361" t="s">
        <v>4858</v>
      </c>
      <c r="I1818" s="372">
        <v>1</v>
      </c>
      <c r="J1818" s="373">
        <v>4</v>
      </c>
      <c r="K1818" s="49">
        <v>2</v>
      </c>
      <c r="L1818" s="371">
        <v>999</v>
      </c>
      <c r="M1818" s="371">
        <v>0</v>
      </c>
      <c r="O1818" s="374"/>
      <c r="S1818" s="370">
        <v>1</v>
      </c>
      <c r="T1818" s="370">
        <v>3</v>
      </c>
      <c r="U1818" s="370">
        <v>300</v>
      </c>
      <c r="V1818" s="370">
        <v>1</v>
      </c>
      <c r="W1818" s="49">
        <v>1</v>
      </c>
      <c r="X1818" s="370">
        <v>1</v>
      </c>
      <c r="Y1818" s="370">
        <v>0</v>
      </c>
      <c r="Z1818" s="49">
        <v>0</v>
      </c>
      <c r="AA1818" s="49">
        <v>3</v>
      </c>
      <c r="AB1818" s="370">
        <v>6460</v>
      </c>
      <c r="AC1818" s="370">
        <v>10000</v>
      </c>
      <c r="AD1818" s="375"/>
      <c r="AE1818" s="375">
        <v>6</v>
      </c>
      <c r="AF1818" s="376"/>
      <c r="AG1818" s="377"/>
      <c r="AH1818" s="377"/>
      <c r="AI1818" s="377"/>
      <c r="AJ1818" s="377"/>
      <c r="AK1818" s="377"/>
      <c r="AL1818" s="378">
        <v>1</v>
      </c>
      <c r="AM1818" s="379"/>
      <c r="AN1818" s="380"/>
      <c r="AO1818" s="378"/>
      <c r="AP1818" s="378"/>
      <c r="AQ1818" s="381" t="s">
        <v>4856</v>
      </c>
      <c r="AS1818" s="49">
        <v>1</v>
      </c>
    </row>
    <row r="1819" spans="1:45">
      <c r="A1819" s="3">
        <v>713147</v>
      </c>
      <c r="B1819" s="128">
        <v>1001</v>
      </c>
      <c r="C1819" s="355">
        <v>1</v>
      </c>
      <c r="D1819" s="355">
        <v>1001</v>
      </c>
      <c r="E1819" s="394" t="s">
        <v>4859</v>
      </c>
      <c r="F1819" s="394" t="s">
        <v>4859</v>
      </c>
      <c r="G1819" s="60" t="s">
        <v>4860</v>
      </c>
      <c r="H1819" s="60" t="s">
        <v>4861</v>
      </c>
      <c r="I1819" s="60">
        <v>1</v>
      </c>
      <c r="J1819" s="356">
        <v>4</v>
      </c>
      <c r="K1819" s="3">
        <v>2</v>
      </c>
      <c r="L1819" s="355">
        <v>999</v>
      </c>
      <c r="M1819" s="355">
        <v>0</v>
      </c>
      <c r="O1819" s="357"/>
      <c r="S1819" s="128">
        <v>1</v>
      </c>
      <c r="T1819" s="128">
        <v>3</v>
      </c>
      <c r="U1819" s="128">
        <v>300</v>
      </c>
      <c r="V1819" s="128">
        <v>1</v>
      </c>
      <c r="W1819" s="3">
        <v>1</v>
      </c>
      <c r="X1819" s="128">
        <v>1</v>
      </c>
      <c r="Y1819" s="128">
        <v>0</v>
      </c>
      <c r="Z1819" s="3">
        <v>0</v>
      </c>
      <c r="AA1819" s="3">
        <v>3</v>
      </c>
      <c r="AB1819" s="395">
        <v>6460</v>
      </c>
      <c r="AC1819" s="128">
        <v>10000</v>
      </c>
      <c r="AD1819" s="153"/>
      <c r="AE1819" s="153">
        <v>6</v>
      </c>
      <c r="AF1819" s="358"/>
      <c r="AG1819" s="337"/>
      <c r="AH1819" s="337"/>
      <c r="AI1819" s="337"/>
      <c r="AJ1819" s="337"/>
      <c r="AK1819" s="337"/>
      <c r="AL1819" s="234">
        <v>1</v>
      </c>
      <c r="AM1819" s="396"/>
      <c r="AN1819" s="156"/>
      <c r="AO1819" s="341"/>
      <c r="AP1819" s="234"/>
      <c r="AQ1819" s="394" t="s">
        <v>4859</v>
      </c>
      <c r="AS1819" s="3">
        <v>1</v>
      </c>
    </row>
    <row r="1820" spans="1:45">
      <c r="A1820">
        <v>720001</v>
      </c>
      <c r="B1820" s="8">
        <v>1001</v>
      </c>
      <c r="C1820" s="8">
        <v>1</v>
      </c>
      <c r="D1820" s="8">
        <v>1001</v>
      </c>
      <c r="E1820" s="253" t="s">
        <v>4862</v>
      </c>
      <c r="F1820" s="13" t="s">
        <v>4863</v>
      </c>
      <c r="G1820" t="s">
        <v>4864</v>
      </c>
      <c r="H1820" t="s">
        <v>4865</v>
      </c>
      <c r="I1820">
        <v>1</v>
      </c>
      <c r="J1820" s="69">
        <v>4</v>
      </c>
      <c r="K1820" s="33">
        <v>1</v>
      </c>
      <c r="L1820" s="236">
        <v>999</v>
      </c>
      <c r="M1820" s="236">
        <v>0</v>
      </c>
      <c r="O1820" s="249"/>
      <c r="S1820" s="336">
        <v>1</v>
      </c>
      <c r="T1820" s="8">
        <v>5</v>
      </c>
      <c r="U1820" s="336">
        <v>170</v>
      </c>
      <c r="V1820" s="87">
        <v>1</v>
      </c>
      <c r="W1820">
        <v>1</v>
      </c>
      <c r="X1820" s="8">
        <v>1</v>
      </c>
      <c r="Y1820" s="8">
        <v>0</v>
      </c>
      <c r="Z1820" s="33">
        <v>0</v>
      </c>
      <c r="AA1820">
        <v>5</v>
      </c>
      <c r="AB1820" s="34">
        <v>6460</v>
      </c>
      <c r="AC1820" s="248">
        <v>10000</v>
      </c>
      <c r="AL1820" s="64">
        <v>1</v>
      </c>
      <c r="AN1820" s="93"/>
      <c r="AO1820" s="92"/>
      <c r="AQ1820" s="253" t="s">
        <v>4862</v>
      </c>
      <c r="AS1820">
        <v>1</v>
      </c>
    </row>
    <row r="1821" spans="1:45">
      <c r="A1821">
        <v>451201</v>
      </c>
      <c r="B1821" s="8">
        <v>1001</v>
      </c>
      <c r="C1821" s="8">
        <v>1</v>
      </c>
      <c r="D1821" s="8">
        <v>1004</v>
      </c>
      <c r="E1821" t="s">
        <v>4866</v>
      </c>
      <c r="F1821" s="13" t="s">
        <v>4867</v>
      </c>
      <c r="G1821">
        <v>0</v>
      </c>
      <c r="H1821" t="s">
        <v>4868</v>
      </c>
      <c r="I1821">
        <v>10</v>
      </c>
      <c r="J1821">
        <v>1</v>
      </c>
      <c r="K1821" s="33">
        <v>1</v>
      </c>
      <c r="L1821">
        <v>999</v>
      </c>
      <c r="M1821">
        <v>0</v>
      </c>
      <c r="S1821" s="33">
        <v>1</v>
      </c>
      <c r="T1821" s="8">
        <v>5</v>
      </c>
      <c r="U1821">
        <v>150</v>
      </c>
      <c r="V1821" s="87">
        <v>1</v>
      </c>
      <c r="W1821">
        <v>1</v>
      </c>
      <c r="X1821" s="8">
        <v>1</v>
      </c>
      <c r="Y1821" s="8">
        <v>0</v>
      </c>
      <c r="Z1821" s="33">
        <v>0</v>
      </c>
      <c r="AA1821">
        <v>5</v>
      </c>
      <c r="AB1821">
        <v>500</v>
      </c>
      <c r="AC1821">
        <v>501</v>
      </c>
      <c r="AD1821" s="62">
        <v>0</v>
      </c>
      <c r="AE1821" s="62">
        <v>1</v>
      </c>
      <c r="AF1821" s="62">
        <v>0</v>
      </c>
      <c r="AL1821" s="64">
        <v>1</v>
      </c>
      <c r="AN1821" s="93"/>
      <c r="AO1821" s="92"/>
      <c r="AS1821">
        <v>1</v>
      </c>
    </row>
    <row r="1822" spans="1:45">
      <c r="A1822">
        <v>451202</v>
      </c>
      <c r="B1822" s="8">
        <v>1001</v>
      </c>
      <c r="C1822" s="8">
        <v>1</v>
      </c>
      <c r="D1822" s="8">
        <v>1004</v>
      </c>
      <c r="E1822" t="s">
        <v>4869</v>
      </c>
      <c r="F1822" s="13" t="s">
        <v>4870</v>
      </c>
      <c r="G1822" t="s">
        <v>4871</v>
      </c>
      <c r="H1822" t="s">
        <v>4872</v>
      </c>
      <c r="I1822">
        <v>10</v>
      </c>
      <c r="J1822">
        <v>1</v>
      </c>
      <c r="K1822" s="33">
        <v>1</v>
      </c>
      <c r="L1822">
        <v>999</v>
      </c>
      <c r="M1822">
        <v>0</v>
      </c>
      <c r="S1822" s="33">
        <v>1</v>
      </c>
      <c r="T1822" s="8">
        <v>5</v>
      </c>
      <c r="U1822">
        <v>150</v>
      </c>
      <c r="V1822" s="87">
        <v>1</v>
      </c>
      <c r="W1822">
        <v>1</v>
      </c>
      <c r="X1822" s="8">
        <v>1</v>
      </c>
      <c r="Y1822" s="8">
        <v>0</v>
      </c>
      <c r="Z1822" s="33">
        <v>0</v>
      </c>
      <c r="AA1822">
        <v>5</v>
      </c>
      <c r="AB1822">
        <v>500</v>
      </c>
      <c r="AC1822">
        <v>501</v>
      </c>
      <c r="AD1822" s="62">
        <v>0</v>
      </c>
      <c r="AE1822" s="62">
        <v>1</v>
      </c>
      <c r="AF1822" s="62">
        <v>0</v>
      </c>
      <c r="AL1822" s="64">
        <v>1</v>
      </c>
      <c r="AN1822" s="93"/>
      <c r="AO1822" s="92"/>
      <c r="AS1822">
        <v>1</v>
      </c>
    </row>
    <row r="1823" spans="1:45">
      <c r="A1823">
        <v>451203</v>
      </c>
      <c r="B1823" s="8">
        <v>1001</v>
      </c>
      <c r="C1823" s="8">
        <v>1</v>
      </c>
      <c r="D1823" s="8">
        <v>1004</v>
      </c>
      <c r="E1823" t="s">
        <v>4873</v>
      </c>
      <c r="F1823" s="13" t="s">
        <v>4874</v>
      </c>
      <c r="G1823">
        <v>0</v>
      </c>
      <c r="H1823" t="s">
        <v>4875</v>
      </c>
      <c r="I1823">
        <v>10</v>
      </c>
      <c r="J1823">
        <v>1</v>
      </c>
      <c r="K1823" s="33">
        <v>1</v>
      </c>
      <c r="L1823">
        <v>999</v>
      </c>
      <c r="M1823">
        <v>0</v>
      </c>
      <c r="S1823" s="33">
        <v>1</v>
      </c>
      <c r="T1823" s="8">
        <v>5</v>
      </c>
      <c r="U1823">
        <v>150</v>
      </c>
      <c r="V1823" s="87">
        <v>1</v>
      </c>
      <c r="W1823">
        <v>1</v>
      </c>
      <c r="X1823" s="8">
        <v>1</v>
      </c>
      <c r="Y1823" s="8">
        <v>0</v>
      </c>
      <c r="Z1823" s="33">
        <v>0</v>
      </c>
      <c r="AA1823">
        <v>5</v>
      </c>
      <c r="AB1823">
        <v>500</v>
      </c>
      <c r="AC1823">
        <v>501</v>
      </c>
      <c r="AD1823" s="62">
        <v>0</v>
      </c>
      <c r="AE1823" s="62">
        <v>1</v>
      </c>
      <c r="AF1823" s="62">
        <v>0</v>
      </c>
      <c r="AL1823" s="64">
        <v>1</v>
      </c>
      <c r="AN1823" s="93"/>
      <c r="AO1823" s="92"/>
      <c r="AS1823">
        <v>1</v>
      </c>
    </row>
    <row r="1824" spans="1:45">
      <c r="A1824">
        <v>451204</v>
      </c>
      <c r="B1824" s="8">
        <v>1001</v>
      </c>
      <c r="C1824" s="8">
        <v>1</v>
      </c>
      <c r="D1824" s="8">
        <v>1004</v>
      </c>
      <c r="E1824" t="s">
        <v>4876</v>
      </c>
      <c r="F1824" s="13" t="s">
        <v>4877</v>
      </c>
      <c r="G1824" t="s">
        <v>4878</v>
      </c>
      <c r="H1824" t="s">
        <v>4879</v>
      </c>
      <c r="I1824">
        <v>10</v>
      </c>
      <c r="J1824">
        <v>1</v>
      </c>
      <c r="K1824" s="33">
        <v>1</v>
      </c>
      <c r="L1824">
        <v>999</v>
      </c>
      <c r="M1824">
        <v>0</v>
      </c>
      <c r="S1824" s="33">
        <v>1</v>
      </c>
      <c r="T1824" s="8">
        <v>5</v>
      </c>
      <c r="U1824">
        <v>150</v>
      </c>
      <c r="V1824" s="87">
        <v>1</v>
      </c>
      <c r="W1824">
        <v>1</v>
      </c>
      <c r="X1824" s="8">
        <v>1</v>
      </c>
      <c r="Y1824" s="8">
        <v>0</v>
      </c>
      <c r="Z1824" s="33">
        <v>0</v>
      </c>
      <c r="AA1824">
        <v>5</v>
      </c>
      <c r="AB1824">
        <v>500</v>
      </c>
      <c r="AC1824">
        <v>501</v>
      </c>
      <c r="AD1824" s="62">
        <v>0</v>
      </c>
      <c r="AE1824" s="62">
        <v>1</v>
      </c>
      <c r="AF1824" s="62">
        <v>0</v>
      </c>
      <c r="AL1824" s="64">
        <v>1</v>
      </c>
      <c r="AN1824" s="93"/>
      <c r="AO1824" s="92"/>
      <c r="AS1824">
        <v>1</v>
      </c>
    </row>
    <row r="1825" spans="1:45">
      <c r="A1825">
        <v>451205</v>
      </c>
      <c r="B1825" s="8">
        <v>1001</v>
      </c>
      <c r="C1825" s="8">
        <v>1</v>
      </c>
      <c r="D1825" s="8">
        <v>1004</v>
      </c>
      <c r="E1825" t="s">
        <v>4880</v>
      </c>
      <c r="F1825" s="13" t="s">
        <v>4881</v>
      </c>
      <c r="G1825" t="s">
        <v>4882</v>
      </c>
      <c r="H1825" t="s">
        <v>4883</v>
      </c>
      <c r="I1825">
        <v>10</v>
      </c>
      <c r="J1825">
        <v>1</v>
      </c>
      <c r="K1825" s="33">
        <v>1</v>
      </c>
      <c r="L1825">
        <v>999</v>
      </c>
      <c r="M1825">
        <v>0</v>
      </c>
      <c r="S1825" s="33">
        <v>1</v>
      </c>
      <c r="T1825" s="8">
        <v>5</v>
      </c>
      <c r="U1825">
        <v>150</v>
      </c>
      <c r="V1825" s="87">
        <v>1</v>
      </c>
      <c r="W1825">
        <v>1</v>
      </c>
      <c r="X1825" s="8">
        <v>1</v>
      </c>
      <c r="Y1825" s="8">
        <v>0</v>
      </c>
      <c r="Z1825" s="33">
        <v>0</v>
      </c>
      <c r="AA1825">
        <v>5</v>
      </c>
      <c r="AB1825">
        <v>500</v>
      </c>
      <c r="AC1825">
        <v>501</v>
      </c>
      <c r="AD1825" s="62">
        <v>0</v>
      </c>
      <c r="AE1825" s="62">
        <v>1</v>
      </c>
      <c r="AF1825" s="62">
        <v>0</v>
      </c>
      <c r="AL1825" s="64">
        <v>1</v>
      </c>
      <c r="AN1825" s="93"/>
      <c r="AO1825" s="92"/>
      <c r="AS1825">
        <v>1</v>
      </c>
    </row>
    <row r="1826" spans="1:45">
      <c r="A1826">
        <v>451206</v>
      </c>
      <c r="B1826" s="236">
        <v>1001</v>
      </c>
      <c r="C1826" s="236">
        <v>1</v>
      </c>
      <c r="D1826" s="8">
        <v>1004</v>
      </c>
      <c r="E1826" t="s">
        <v>4884</v>
      </c>
      <c r="F1826" s="13" t="s">
        <v>4885</v>
      </c>
      <c r="G1826" t="s">
        <v>4886</v>
      </c>
      <c r="H1826" t="s">
        <v>4887</v>
      </c>
      <c r="I1826">
        <v>10</v>
      </c>
      <c r="J1826">
        <v>1</v>
      </c>
      <c r="K1826" s="33">
        <v>1</v>
      </c>
      <c r="L1826">
        <v>999</v>
      </c>
      <c r="M1826">
        <v>0</v>
      </c>
      <c r="S1826" s="33">
        <v>1</v>
      </c>
      <c r="T1826" s="236">
        <v>5</v>
      </c>
      <c r="U1826">
        <v>150</v>
      </c>
      <c r="V1826" s="87">
        <v>1</v>
      </c>
      <c r="W1826">
        <v>1</v>
      </c>
      <c r="X1826" s="236">
        <v>1</v>
      </c>
      <c r="Y1826" s="236">
        <v>0</v>
      </c>
      <c r="Z1826" s="33">
        <v>0</v>
      </c>
      <c r="AA1826">
        <v>5</v>
      </c>
      <c r="AB1826">
        <v>500</v>
      </c>
      <c r="AC1826">
        <v>501</v>
      </c>
      <c r="AD1826" s="62">
        <v>0</v>
      </c>
      <c r="AE1826" s="62">
        <v>1</v>
      </c>
      <c r="AF1826" s="62">
        <v>0</v>
      </c>
      <c r="AL1826" s="64">
        <v>1</v>
      </c>
      <c r="AN1826" s="93"/>
      <c r="AO1826" s="92"/>
      <c r="AQ1826"/>
      <c r="AS1826">
        <v>1</v>
      </c>
    </row>
    <row r="1827" spans="1:45">
      <c r="A1827">
        <v>452201</v>
      </c>
      <c r="B1827">
        <v>1001</v>
      </c>
      <c r="C1827">
        <v>1</v>
      </c>
      <c r="D1827" s="8">
        <v>1001</v>
      </c>
      <c r="E1827" t="s">
        <v>4888</v>
      </c>
      <c r="F1827" s="13" t="s">
        <v>4888</v>
      </c>
      <c r="G1827" t="s">
        <v>4889</v>
      </c>
      <c r="H1827" t="s">
        <v>4890</v>
      </c>
      <c r="I1827">
        <v>1</v>
      </c>
      <c r="J1827">
        <v>4</v>
      </c>
      <c r="K1827" s="33">
        <v>1</v>
      </c>
      <c r="L1827">
        <v>999</v>
      </c>
      <c r="M1827">
        <v>0</v>
      </c>
      <c r="S1827" s="33">
        <v>1</v>
      </c>
      <c r="T1827">
        <v>5</v>
      </c>
      <c r="U1827">
        <v>200</v>
      </c>
      <c r="V1827" s="87">
        <v>1</v>
      </c>
      <c r="W1827">
        <v>1</v>
      </c>
      <c r="X1827">
        <v>1</v>
      </c>
      <c r="Y1827">
        <v>0</v>
      </c>
      <c r="Z1827" s="33">
        <v>0</v>
      </c>
      <c r="AA1827">
        <v>5</v>
      </c>
      <c r="AB1827">
        <v>450</v>
      </c>
      <c r="AC1827">
        <v>511</v>
      </c>
      <c r="AL1827" s="64">
        <v>1</v>
      </c>
      <c r="AN1827" s="93"/>
      <c r="AO1827" s="92"/>
      <c r="AQ1827" t="s">
        <v>4888</v>
      </c>
      <c r="AS1827">
        <v>1</v>
      </c>
    </row>
    <row r="1828" spans="1:45">
      <c r="A1828">
        <v>452203</v>
      </c>
      <c r="B1828">
        <v>1001</v>
      </c>
      <c r="C1828">
        <v>1</v>
      </c>
      <c r="D1828" s="8">
        <v>1001</v>
      </c>
      <c r="E1828" t="s">
        <v>4891</v>
      </c>
      <c r="F1828" s="13" t="s">
        <v>4892</v>
      </c>
      <c r="G1828" t="s">
        <v>4893</v>
      </c>
      <c r="H1828" t="s">
        <v>4894</v>
      </c>
      <c r="I1828">
        <v>1</v>
      </c>
      <c r="J1828">
        <v>4</v>
      </c>
      <c r="K1828" s="33">
        <v>1</v>
      </c>
      <c r="L1828">
        <v>999</v>
      </c>
      <c r="M1828">
        <v>0</v>
      </c>
      <c r="S1828" s="33">
        <v>1</v>
      </c>
      <c r="T1828">
        <v>5</v>
      </c>
      <c r="U1828">
        <v>200</v>
      </c>
      <c r="V1828" s="87">
        <v>1</v>
      </c>
      <c r="W1828">
        <v>1</v>
      </c>
      <c r="X1828">
        <v>1</v>
      </c>
      <c r="Y1828">
        <v>0</v>
      </c>
      <c r="Z1828" s="33">
        <v>0</v>
      </c>
      <c r="AA1828">
        <v>5</v>
      </c>
      <c r="AB1828">
        <v>450</v>
      </c>
      <c r="AC1828">
        <v>511</v>
      </c>
      <c r="AL1828" s="64">
        <v>1</v>
      </c>
      <c r="AN1828" s="93"/>
      <c r="AO1828" s="92"/>
      <c r="AQ1828" t="s">
        <v>4888</v>
      </c>
      <c r="AS1828">
        <v>1</v>
      </c>
    </row>
    <row r="1829" spans="1:45">
      <c r="A1829">
        <v>465110</v>
      </c>
      <c r="B1829">
        <v>1001</v>
      </c>
      <c r="C1829">
        <v>1</v>
      </c>
      <c r="D1829" s="8">
        <v>1001</v>
      </c>
      <c r="E1829" t="s">
        <v>4895</v>
      </c>
      <c r="F1829" s="13" t="s">
        <v>4895</v>
      </c>
      <c r="G1829" t="s">
        <v>4896</v>
      </c>
      <c r="H1829" t="s">
        <v>4897</v>
      </c>
      <c r="I1829">
        <v>1</v>
      </c>
      <c r="J1829">
        <v>1</v>
      </c>
      <c r="K1829" s="33">
        <v>1</v>
      </c>
      <c r="L1829">
        <v>999</v>
      </c>
      <c r="M1829">
        <v>0</v>
      </c>
      <c r="S1829" s="33">
        <v>1</v>
      </c>
      <c r="T1829">
        <v>5</v>
      </c>
      <c r="U1829">
        <v>100</v>
      </c>
      <c r="V1829" s="87">
        <v>1</v>
      </c>
      <c r="W1829">
        <v>1</v>
      </c>
      <c r="X1829">
        <v>1</v>
      </c>
      <c r="Y1829">
        <v>0</v>
      </c>
      <c r="Z1829" s="33">
        <v>0</v>
      </c>
      <c r="AA1829">
        <v>5</v>
      </c>
      <c r="AB1829">
        <v>200</v>
      </c>
      <c r="AC1829">
        <v>600</v>
      </c>
      <c r="AF1829" s="62">
        <v>1</v>
      </c>
      <c r="AI1829" s="63" t="s">
        <v>4898</v>
      </c>
      <c r="AL1829" s="64">
        <v>1</v>
      </c>
      <c r="AN1829" s="93"/>
      <c r="AO1829" s="92"/>
      <c r="AQ1829" t="s">
        <v>4899</v>
      </c>
      <c r="AS1829">
        <v>1</v>
      </c>
    </row>
    <row r="1830" spans="1:45">
      <c r="A1830">
        <v>465111</v>
      </c>
      <c r="B1830">
        <v>1001</v>
      </c>
      <c r="C1830">
        <v>1</v>
      </c>
      <c r="D1830" s="8">
        <v>1001</v>
      </c>
      <c r="E1830" t="s">
        <v>4900</v>
      </c>
      <c r="F1830" s="13" t="s">
        <v>4901</v>
      </c>
      <c r="G1830" t="s">
        <v>4902</v>
      </c>
      <c r="H1830" t="s">
        <v>4903</v>
      </c>
      <c r="I1830">
        <v>1</v>
      </c>
      <c r="J1830">
        <v>2</v>
      </c>
      <c r="K1830" s="33">
        <v>1</v>
      </c>
      <c r="L1830">
        <v>999</v>
      </c>
      <c r="M1830">
        <v>0</v>
      </c>
      <c r="S1830" s="33">
        <v>1</v>
      </c>
      <c r="T1830">
        <v>5</v>
      </c>
      <c r="U1830">
        <v>150</v>
      </c>
      <c r="V1830" s="87">
        <v>1</v>
      </c>
      <c r="W1830">
        <v>1</v>
      </c>
      <c r="X1830">
        <v>1</v>
      </c>
      <c r="Y1830">
        <v>0</v>
      </c>
      <c r="Z1830" s="33">
        <v>0</v>
      </c>
      <c r="AA1830">
        <v>5</v>
      </c>
      <c r="AB1830">
        <v>300</v>
      </c>
      <c r="AC1830">
        <v>600</v>
      </c>
      <c r="AF1830" s="62">
        <v>1</v>
      </c>
      <c r="AI1830" s="63" t="s">
        <v>4904</v>
      </c>
      <c r="AL1830" s="64">
        <v>1</v>
      </c>
      <c r="AN1830" s="93"/>
      <c r="AO1830" s="92"/>
      <c r="AQ1830" t="s">
        <v>4905</v>
      </c>
      <c r="AS1830">
        <v>1</v>
      </c>
    </row>
    <row r="1831" spans="1:45">
      <c r="A1831">
        <v>465121</v>
      </c>
      <c r="B1831">
        <v>1001</v>
      </c>
      <c r="C1831">
        <v>1</v>
      </c>
      <c r="D1831" s="8">
        <v>1001</v>
      </c>
      <c r="E1831" t="s">
        <v>4906</v>
      </c>
      <c r="F1831" s="13" t="s">
        <v>4901</v>
      </c>
      <c r="G1831" t="s">
        <v>4902</v>
      </c>
      <c r="H1831" t="s">
        <v>4903</v>
      </c>
      <c r="I1831">
        <v>1</v>
      </c>
      <c r="J1831">
        <v>2</v>
      </c>
      <c r="K1831" s="33">
        <v>1</v>
      </c>
      <c r="L1831">
        <v>999</v>
      </c>
      <c r="M1831">
        <v>0</v>
      </c>
      <c r="S1831" s="33">
        <v>1</v>
      </c>
      <c r="T1831">
        <v>5</v>
      </c>
      <c r="U1831">
        <v>150</v>
      </c>
      <c r="V1831" s="87">
        <v>1</v>
      </c>
      <c r="W1831">
        <v>1</v>
      </c>
      <c r="X1831">
        <v>1</v>
      </c>
      <c r="Y1831">
        <v>0</v>
      </c>
      <c r="Z1831" s="33">
        <v>0</v>
      </c>
      <c r="AA1831">
        <v>5</v>
      </c>
      <c r="AB1831">
        <v>300</v>
      </c>
      <c r="AC1831">
        <v>600</v>
      </c>
      <c r="AF1831" s="62">
        <v>1</v>
      </c>
      <c r="AI1831" s="63" t="s">
        <v>4904</v>
      </c>
      <c r="AL1831" s="64">
        <v>1</v>
      </c>
      <c r="AN1831" s="93"/>
      <c r="AO1831" s="92"/>
      <c r="AQ1831" t="s">
        <v>4905</v>
      </c>
      <c r="AS1831">
        <v>1</v>
      </c>
    </row>
    <row r="1832" spans="1:45">
      <c r="A1832">
        <v>465112</v>
      </c>
      <c r="B1832">
        <v>1001</v>
      </c>
      <c r="C1832">
        <v>1</v>
      </c>
      <c r="D1832" s="8">
        <v>1001</v>
      </c>
      <c r="E1832" t="s">
        <v>4907</v>
      </c>
      <c r="F1832" s="13" t="s">
        <v>4908</v>
      </c>
      <c r="G1832" t="s">
        <v>4902</v>
      </c>
      <c r="H1832" t="s">
        <v>4909</v>
      </c>
      <c r="I1832">
        <v>1</v>
      </c>
      <c r="J1832">
        <v>3</v>
      </c>
      <c r="K1832" s="33">
        <v>1</v>
      </c>
      <c r="L1832">
        <v>999</v>
      </c>
      <c r="M1832">
        <v>0</v>
      </c>
      <c r="S1832" s="33">
        <v>1</v>
      </c>
      <c r="T1832">
        <v>5</v>
      </c>
      <c r="U1832">
        <v>200</v>
      </c>
      <c r="V1832" s="87">
        <v>1</v>
      </c>
      <c r="W1832">
        <v>1</v>
      </c>
      <c r="X1832">
        <v>1</v>
      </c>
      <c r="Y1832">
        <v>0</v>
      </c>
      <c r="Z1832" s="33">
        <v>0</v>
      </c>
      <c r="AA1832">
        <v>5</v>
      </c>
      <c r="AB1832">
        <v>400</v>
      </c>
      <c r="AC1832">
        <v>600</v>
      </c>
      <c r="AF1832" s="62">
        <v>1</v>
      </c>
      <c r="AI1832" s="63" t="s">
        <v>4904</v>
      </c>
      <c r="AL1832" s="64">
        <v>1</v>
      </c>
      <c r="AN1832" s="93"/>
      <c r="AO1832" s="92"/>
      <c r="AQ1832" t="s">
        <v>4910</v>
      </c>
      <c r="AS1832">
        <v>1</v>
      </c>
    </row>
    <row r="1833" spans="1:45">
      <c r="A1833">
        <v>466001</v>
      </c>
      <c r="B1833">
        <v>1001</v>
      </c>
      <c r="C1833">
        <v>4</v>
      </c>
      <c r="D1833" s="8">
        <v>1001</v>
      </c>
      <c r="E1833" t="s">
        <v>4911</v>
      </c>
      <c r="F1833" s="13" t="s">
        <v>4911</v>
      </c>
      <c r="G1833" t="s">
        <v>4912</v>
      </c>
      <c r="H1833" t="s">
        <v>4913</v>
      </c>
      <c r="I1833">
        <v>1</v>
      </c>
      <c r="J1833">
        <v>1</v>
      </c>
      <c r="K1833" s="33">
        <v>2</v>
      </c>
      <c r="L1833">
        <v>999</v>
      </c>
      <c r="M1833">
        <v>0</v>
      </c>
      <c r="S1833" s="33">
        <v>1</v>
      </c>
      <c r="T1833">
        <v>5</v>
      </c>
      <c r="U1833">
        <v>200</v>
      </c>
      <c r="V1833" s="87">
        <v>1</v>
      </c>
      <c r="W1833">
        <v>1</v>
      </c>
      <c r="X1833">
        <v>1</v>
      </c>
      <c r="Y1833">
        <v>0</v>
      </c>
      <c r="Z1833" s="33">
        <v>0</v>
      </c>
      <c r="AA1833">
        <v>5</v>
      </c>
      <c r="AB1833">
        <v>500</v>
      </c>
      <c r="AC1833">
        <v>700</v>
      </c>
      <c r="AL1833" s="64">
        <v>1</v>
      </c>
      <c r="AN1833" s="93"/>
      <c r="AO1833" s="92"/>
      <c r="AQ1833" t="s">
        <v>4911</v>
      </c>
      <c r="AS1833">
        <v>1</v>
      </c>
    </row>
    <row r="1834" spans="1:45">
      <c r="A1834">
        <v>466002</v>
      </c>
      <c r="B1834">
        <v>1001</v>
      </c>
      <c r="C1834">
        <v>4</v>
      </c>
      <c r="D1834" s="8">
        <v>1001</v>
      </c>
      <c r="E1834" t="s">
        <v>4914</v>
      </c>
      <c r="F1834" s="13" t="s">
        <v>4914</v>
      </c>
      <c r="G1834" t="s">
        <v>4915</v>
      </c>
      <c r="H1834" t="s">
        <v>4916</v>
      </c>
      <c r="I1834">
        <v>1</v>
      </c>
      <c r="J1834">
        <v>1</v>
      </c>
      <c r="K1834" s="33">
        <v>2</v>
      </c>
      <c r="L1834">
        <v>999</v>
      </c>
      <c r="M1834">
        <v>0</v>
      </c>
      <c r="S1834" s="33">
        <v>1</v>
      </c>
      <c r="T1834">
        <v>5</v>
      </c>
      <c r="U1834">
        <v>200</v>
      </c>
      <c r="V1834" s="87">
        <v>1</v>
      </c>
      <c r="W1834">
        <v>1</v>
      </c>
      <c r="X1834">
        <v>1</v>
      </c>
      <c r="Y1834">
        <v>0</v>
      </c>
      <c r="Z1834" s="33">
        <v>0</v>
      </c>
      <c r="AA1834">
        <v>5</v>
      </c>
      <c r="AB1834">
        <v>500</v>
      </c>
      <c r="AC1834">
        <v>700</v>
      </c>
      <c r="AL1834" s="64">
        <v>1</v>
      </c>
      <c r="AN1834" s="93"/>
      <c r="AO1834" s="92"/>
      <c r="AQ1834" t="s">
        <v>4914</v>
      </c>
      <c r="AS1834">
        <v>1</v>
      </c>
    </row>
    <row r="1835" spans="1:45">
      <c r="A1835">
        <v>466003</v>
      </c>
      <c r="B1835">
        <v>1001</v>
      </c>
      <c r="C1835">
        <v>4</v>
      </c>
      <c r="D1835" s="8">
        <v>1001</v>
      </c>
      <c r="E1835" t="s">
        <v>4917</v>
      </c>
      <c r="F1835" s="13" t="s">
        <v>4917</v>
      </c>
      <c r="G1835" t="s">
        <v>4918</v>
      </c>
      <c r="H1835" t="s">
        <v>4919</v>
      </c>
      <c r="I1835">
        <v>1</v>
      </c>
      <c r="J1835">
        <v>1</v>
      </c>
      <c r="K1835" s="33">
        <v>2</v>
      </c>
      <c r="L1835">
        <v>999</v>
      </c>
      <c r="M1835">
        <v>0</v>
      </c>
      <c r="S1835" s="33">
        <v>1</v>
      </c>
      <c r="T1835">
        <v>5</v>
      </c>
      <c r="U1835">
        <v>200</v>
      </c>
      <c r="V1835" s="87">
        <v>1</v>
      </c>
      <c r="W1835">
        <v>1</v>
      </c>
      <c r="X1835">
        <v>1</v>
      </c>
      <c r="Y1835">
        <v>0</v>
      </c>
      <c r="Z1835" s="33">
        <v>0</v>
      </c>
      <c r="AA1835">
        <v>5</v>
      </c>
      <c r="AB1835">
        <v>500</v>
      </c>
      <c r="AC1835">
        <v>700</v>
      </c>
      <c r="AL1835" s="64">
        <v>1</v>
      </c>
      <c r="AN1835" s="93"/>
      <c r="AO1835" s="92"/>
      <c r="AQ1835" t="s">
        <v>4917</v>
      </c>
      <c r="AS1835">
        <v>1</v>
      </c>
    </row>
    <row r="1836" spans="1:45">
      <c r="A1836">
        <v>466004</v>
      </c>
      <c r="B1836">
        <v>1001</v>
      </c>
      <c r="C1836">
        <v>4</v>
      </c>
      <c r="D1836" s="8">
        <v>1001</v>
      </c>
      <c r="E1836" t="s">
        <v>4920</v>
      </c>
      <c r="F1836" s="13" t="s">
        <v>4920</v>
      </c>
      <c r="G1836" t="s">
        <v>4921</v>
      </c>
      <c r="H1836" t="s">
        <v>4922</v>
      </c>
      <c r="I1836">
        <v>1</v>
      </c>
      <c r="J1836">
        <v>1</v>
      </c>
      <c r="K1836" s="33">
        <v>2</v>
      </c>
      <c r="L1836">
        <v>999</v>
      </c>
      <c r="M1836">
        <v>0</v>
      </c>
      <c r="S1836" s="33">
        <v>1</v>
      </c>
      <c r="T1836">
        <v>5</v>
      </c>
      <c r="U1836">
        <v>200</v>
      </c>
      <c r="V1836" s="87">
        <v>1</v>
      </c>
      <c r="W1836">
        <v>1</v>
      </c>
      <c r="X1836">
        <v>1</v>
      </c>
      <c r="Y1836">
        <v>0</v>
      </c>
      <c r="Z1836" s="33">
        <v>0</v>
      </c>
      <c r="AA1836">
        <v>5</v>
      </c>
      <c r="AB1836">
        <v>500</v>
      </c>
      <c r="AC1836">
        <v>700</v>
      </c>
      <c r="AL1836" s="64">
        <v>1</v>
      </c>
      <c r="AN1836" s="93"/>
      <c r="AO1836" s="92"/>
      <c r="AQ1836" t="s">
        <v>4920</v>
      </c>
      <c r="AS1836">
        <v>1</v>
      </c>
    </row>
    <row r="1837" spans="1:45">
      <c r="A1837">
        <v>466005</v>
      </c>
      <c r="B1837">
        <v>1001</v>
      </c>
      <c r="C1837">
        <v>4</v>
      </c>
      <c r="D1837" s="8">
        <v>1001</v>
      </c>
      <c r="E1837" t="s">
        <v>4923</v>
      </c>
      <c r="F1837" s="13" t="s">
        <v>4923</v>
      </c>
      <c r="G1837" t="s">
        <v>4924</v>
      </c>
      <c r="H1837" t="s">
        <v>4925</v>
      </c>
      <c r="I1837">
        <v>1</v>
      </c>
      <c r="J1837">
        <v>1</v>
      </c>
      <c r="K1837" s="33">
        <v>2</v>
      </c>
      <c r="L1837">
        <v>999</v>
      </c>
      <c r="M1837">
        <v>0</v>
      </c>
      <c r="S1837" s="33">
        <v>1</v>
      </c>
      <c r="T1837">
        <v>5</v>
      </c>
      <c r="U1837">
        <v>200</v>
      </c>
      <c r="V1837" s="87">
        <v>1</v>
      </c>
      <c r="W1837">
        <v>1</v>
      </c>
      <c r="X1837">
        <v>1</v>
      </c>
      <c r="Y1837">
        <v>0</v>
      </c>
      <c r="Z1837" s="33">
        <v>0</v>
      </c>
      <c r="AA1837">
        <v>5</v>
      </c>
      <c r="AB1837">
        <v>500</v>
      </c>
      <c r="AC1837">
        <v>700</v>
      </c>
      <c r="AL1837" s="64">
        <v>1</v>
      </c>
      <c r="AN1837" s="93"/>
      <c r="AO1837" s="92"/>
      <c r="AQ1837" t="s">
        <v>4923</v>
      </c>
      <c r="AS1837">
        <v>1</v>
      </c>
    </row>
    <row r="1838" spans="1:45">
      <c r="A1838">
        <v>466006</v>
      </c>
      <c r="B1838">
        <v>1001</v>
      </c>
      <c r="C1838">
        <v>4</v>
      </c>
      <c r="D1838" s="8">
        <v>1001</v>
      </c>
      <c r="E1838" t="s">
        <v>4926</v>
      </c>
      <c r="F1838" s="13" t="s">
        <v>4926</v>
      </c>
      <c r="G1838" t="s">
        <v>4927</v>
      </c>
      <c r="H1838" t="s">
        <v>4928</v>
      </c>
      <c r="I1838">
        <v>1</v>
      </c>
      <c r="J1838">
        <v>1</v>
      </c>
      <c r="K1838" s="33">
        <v>2</v>
      </c>
      <c r="L1838">
        <v>999</v>
      </c>
      <c r="M1838">
        <v>0</v>
      </c>
      <c r="S1838" s="33">
        <v>1</v>
      </c>
      <c r="T1838">
        <v>5</v>
      </c>
      <c r="U1838">
        <v>200</v>
      </c>
      <c r="V1838" s="87">
        <v>1</v>
      </c>
      <c r="W1838">
        <v>1</v>
      </c>
      <c r="X1838">
        <v>1</v>
      </c>
      <c r="Y1838">
        <v>0</v>
      </c>
      <c r="Z1838" s="33">
        <v>0</v>
      </c>
      <c r="AA1838">
        <v>5</v>
      </c>
      <c r="AB1838">
        <v>500</v>
      </c>
      <c r="AC1838">
        <v>700</v>
      </c>
      <c r="AL1838" s="64">
        <v>1</v>
      </c>
      <c r="AN1838" s="93"/>
      <c r="AO1838" s="92"/>
      <c r="AQ1838" t="s">
        <v>4926</v>
      </c>
      <c r="AS1838">
        <v>1</v>
      </c>
    </row>
    <row r="1839" spans="1:45">
      <c r="A1839">
        <v>466007</v>
      </c>
      <c r="B1839">
        <v>1001</v>
      </c>
      <c r="C1839">
        <v>4</v>
      </c>
      <c r="D1839" s="8">
        <v>1001</v>
      </c>
      <c r="E1839" t="s">
        <v>4929</v>
      </c>
      <c r="F1839" s="13" t="s">
        <v>4929</v>
      </c>
      <c r="G1839" t="s">
        <v>4930</v>
      </c>
      <c r="H1839" t="s">
        <v>4931</v>
      </c>
      <c r="I1839">
        <v>1</v>
      </c>
      <c r="J1839">
        <v>1</v>
      </c>
      <c r="K1839" s="33">
        <v>2</v>
      </c>
      <c r="L1839">
        <v>999</v>
      </c>
      <c r="M1839">
        <v>0</v>
      </c>
      <c r="S1839" s="33">
        <v>1</v>
      </c>
      <c r="T1839">
        <v>5</v>
      </c>
      <c r="U1839">
        <v>200</v>
      </c>
      <c r="V1839" s="87">
        <v>1</v>
      </c>
      <c r="W1839">
        <v>1</v>
      </c>
      <c r="X1839">
        <v>1</v>
      </c>
      <c r="Y1839">
        <v>0</v>
      </c>
      <c r="Z1839" s="33">
        <v>0</v>
      </c>
      <c r="AA1839">
        <v>5</v>
      </c>
      <c r="AB1839">
        <v>500</v>
      </c>
      <c r="AC1839">
        <v>700</v>
      </c>
      <c r="AL1839" s="64">
        <v>1</v>
      </c>
      <c r="AN1839" s="93"/>
      <c r="AO1839" s="92"/>
      <c r="AQ1839" t="s">
        <v>4929</v>
      </c>
      <c r="AS1839">
        <v>1</v>
      </c>
    </row>
    <row r="1840" spans="1:45">
      <c r="A1840">
        <v>466008</v>
      </c>
      <c r="B1840">
        <v>1001</v>
      </c>
      <c r="C1840">
        <v>4</v>
      </c>
      <c r="D1840" s="8">
        <v>1001</v>
      </c>
      <c r="E1840" t="s">
        <v>4932</v>
      </c>
      <c r="F1840" s="13" t="s">
        <v>4932</v>
      </c>
      <c r="G1840" t="s">
        <v>4933</v>
      </c>
      <c r="H1840" t="s">
        <v>4934</v>
      </c>
      <c r="I1840">
        <v>1</v>
      </c>
      <c r="J1840">
        <v>1</v>
      </c>
      <c r="K1840" s="33">
        <v>2</v>
      </c>
      <c r="L1840">
        <v>999</v>
      </c>
      <c r="M1840">
        <v>0</v>
      </c>
      <c r="S1840" s="33">
        <v>1</v>
      </c>
      <c r="T1840">
        <v>5</v>
      </c>
      <c r="U1840">
        <v>200</v>
      </c>
      <c r="V1840" s="87">
        <v>1</v>
      </c>
      <c r="W1840">
        <v>1</v>
      </c>
      <c r="X1840">
        <v>1</v>
      </c>
      <c r="Y1840">
        <v>0</v>
      </c>
      <c r="Z1840" s="33">
        <v>0</v>
      </c>
      <c r="AA1840">
        <v>5</v>
      </c>
      <c r="AB1840">
        <v>500</v>
      </c>
      <c r="AC1840">
        <v>700</v>
      </c>
      <c r="AL1840" s="64">
        <v>1</v>
      </c>
      <c r="AN1840" s="93"/>
      <c r="AO1840" s="92"/>
      <c r="AQ1840" t="s">
        <v>4932</v>
      </c>
      <c r="AS1840">
        <v>1</v>
      </c>
    </row>
    <row r="1841" spans="1:45">
      <c r="A1841">
        <v>466009</v>
      </c>
      <c r="B1841">
        <v>1001</v>
      </c>
      <c r="C1841">
        <v>4</v>
      </c>
      <c r="D1841" s="8">
        <v>1001</v>
      </c>
      <c r="E1841" t="s">
        <v>4935</v>
      </c>
      <c r="F1841" s="13" t="s">
        <v>4935</v>
      </c>
      <c r="G1841" t="s">
        <v>4936</v>
      </c>
      <c r="H1841" t="s">
        <v>4937</v>
      </c>
      <c r="I1841">
        <v>1</v>
      </c>
      <c r="J1841">
        <v>1</v>
      </c>
      <c r="K1841" s="33">
        <v>2</v>
      </c>
      <c r="L1841">
        <v>999</v>
      </c>
      <c r="M1841">
        <v>0</v>
      </c>
      <c r="S1841" s="33">
        <v>1</v>
      </c>
      <c r="T1841">
        <v>5</v>
      </c>
      <c r="U1841">
        <v>200</v>
      </c>
      <c r="V1841" s="87">
        <v>1</v>
      </c>
      <c r="W1841">
        <v>1</v>
      </c>
      <c r="X1841">
        <v>1</v>
      </c>
      <c r="Y1841">
        <v>0</v>
      </c>
      <c r="Z1841" s="33">
        <v>0</v>
      </c>
      <c r="AA1841">
        <v>5</v>
      </c>
      <c r="AB1841">
        <v>500</v>
      </c>
      <c r="AC1841">
        <v>700</v>
      </c>
      <c r="AL1841" s="64">
        <v>1</v>
      </c>
      <c r="AN1841" s="93"/>
      <c r="AO1841" s="92"/>
      <c r="AQ1841" t="s">
        <v>4935</v>
      </c>
      <c r="AS1841">
        <v>1</v>
      </c>
    </row>
    <row r="1842" spans="1:45">
      <c r="A1842">
        <v>466010</v>
      </c>
      <c r="B1842">
        <v>1001</v>
      </c>
      <c r="C1842">
        <v>4</v>
      </c>
      <c r="D1842" s="8">
        <v>1001</v>
      </c>
      <c r="E1842" t="s">
        <v>4938</v>
      </c>
      <c r="F1842" s="13" t="s">
        <v>4938</v>
      </c>
      <c r="G1842" t="s">
        <v>4939</v>
      </c>
      <c r="H1842" t="s">
        <v>4940</v>
      </c>
      <c r="I1842">
        <v>1</v>
      </c>
      <c r="J1842">
        <v>1</v>
      </c>
      <c r="K1842" s="33">
        <v>2</v>
      </c>
      <c r="L1842">
        <v>999</v>
      </c>
      <c r="M1842">
        <v>0</v>
      </c>
      <c r="S1842" s="33">
        <v>1</v>
      </c>
      <c r="T1842">
        <v>5</v>
      </c>
      <c r="U1842">
        <v>200</v>
      </c>
      <c r="V1842" s="87">
        <v>1</v>
      </c>
      <c r="W1842">
        <v>1</v>
      </c>
      <c r="X1842">
        <v>1</v>
      </c>
      <c r="Y1842">
        <v>0</v>
      </c>
      <c r="Z1842" s="33">
        <v>0</v>
      </c>
      <c r="AA1842">
        <v>5</v>
      </c>
      <c r="AB1842">
        <v>500</v>
      </c>
      <c r="AC1842">
        <v>700</v>
      </c>
      <c r="AL1842" s="64">
        <v>1</v>
      </c>
      <c r="AN1842" s="93"/>
      <c r="AO1842" s="92"/>
      <c r="AQ1842" t="s">
        <v>4938</v>
      </c>
      <c r="AS1842">
        <v>1</v>
      </c>
    </row>
    <row r="1843" spans="1:45">
      <c r="A1843">
        <v>466011</v>
      </c>
      <c r="B1843">
        <v>1001</v>
      </c>
      <c r="C1843">
        <v>4</v>
      </c>
      <c r="D1843" s="8">
        <v>1001</v>
      </c>
      <c r="E1843" t="s">
        <v>4941</v>
      </c>
      <c r="F1843" s="13" t="s">
        <v>4941</v>
      </c>
      <c r="G1843" t="s">
        <v>4942</v>
      </c>
      <c r="H1843" t="s">
        <v>4943</v>
      </c>
      <c r="I1843">
        <v>1</v>
      </c>
      <c r="J1843">
        <v>1</v>
      </c>
      <c r="K1843" s="33">
        <v>2</v>
      </c>
      <c r="L1843">
        <v>999</v>
      </c>
      <c r="M1843">
        <v>0</v>
      </c>
      <c r="S1843" s="33">
        <v>1</v>
      </c>
      <c r="T1843">
        <v>5</v>
      </c>
      <c r="U1843">
        <v>200</v>
      </c>
      <c r="V1843" s="87">
        <v>1</v>
      </c>
      <c r="W1843">
        <v>1</v>
      </c>
      <c r="X1843">
        <v>1</v>
      </c>
      <c r="Y1843">
        <v>0</v>
      </c>
      <c r="Z1843" s="33">
        <v>0</v>
      </c>
      <c r="AA1843">
        <v>5</v>
      </c>
      <c r="AB1843">
        <v>500</v>
      </c>
      <c r="AC1843">
        <v>700</v>
      </c>
      <c r="AL1843" s="64">
        <v>1</v>
      </c>
      <c r="AN1843" s="93"/>
      <c r="AO1843" s="92"/>
      <c r="AQ1843" t="s">
        <v>4941</v>
      </c>
      <c r="AS1843">
        <v>1</v>
      </c>
    </row>
    <row r="1844" spans="1:45">
      <c r="A1844">
        <v>466012</v>
      </c>
      <c r="B1844">
        <v>1001</v>
      </c>
      <c r="C1844">
        <v>4</v>
      </c>
      <c r="D1844" s="8">
        <v>1001</v>
      </c>
      <c r="E1844" t="s">
        <v>4944</v>
      </c>
      <c r="F1844" s="13" t="s">
        <v>4944</v>
      </c>
      <c r="G1844" t="s">
        <v>4945</v>
      </c>
      <c r="H1844" t="s">
        <v>4946</v>
      </c>
      <c r="I1844">
        <v>1</v>
      </c>
      <c r="J1844">
        <v>1</v>
      </c>
      <c r="K1844" s="33">
        <v>2</v>
      </c>
      <c r="L1844">
        <v>999</v>
      </c>
      <c r="M1844">
        <v>0</v>
      </c>
      <c r="S1844" s="33">
        <v>1</v>
      </c>
      <c r="T1844">
        <v>5</v>
      </c>
      <c r="U1844">
        <v>200</v>
      </c>
      <c r="V1844" s="87">
        <v>1</v>
      </c>
      <c r="W1844">
        <v>1</v>
      </c>
      <c r="X1844">
        <v>1</v>
      </c>
      <c r="Y1844">
        <v>0</v>
      </c>
      <c r="Z1844" s="33">
        <v>0</v>
      </c>
      <c r="AA1844">
        <v>5</v>
      </c>
      <c r="AB1844">
        <v>500</v>
      </c>
      <c r="AC1844">
        <v>700</v>
      </c>
      <c r="AL1844" s="64">
        <v>1</v>
      </c>
      <c r="AN1844" s="93"/>
      <c r="AO1844" s="92"/>
      <c r="AQ1844" t="s">
        <v>4944</v>
      </c>
      <c r="AS1844">
        <v>1</v>
      </c>
    </row>
    <row r="1845" spans="1:45">
      <c r="A1845">
        <v>466013</v>
      </c>
      <c r="B1845">
        <v>1001</v>
      </c>
      <c r="C1845">
        <v>4</v>
      </c>
      <c r="D1845" s="8">
        <v>1001</v>
      </c>
      <c r="E1845" t="s">
        <v>4947</v>
      </c>
      <c r="F1845" s="13" t="s">
        <v>4947</v>
      </c>
      <c r="G1845" t="s">
        <v>4948</v>
      </c>
      <c r="H1845" t="s">
        <v>4949</v>
      </c>
      <c r="I1845">
        <v>1</v>
      </c>
      <c r="J1845">
        <v>1</v>
      </c>
      <c r="K1845" s="33">
        <v>2</v>
      </c>
      <c r="L1845">
        <v>999</v>
      </c>
      <c r="M1845">
        <v>0</v>
      </c>
      <c r="S1845" s="33">
        <v>1</v>
      </c>
      <c r="T1845">
        <v>5</v>
      </c>
      <c r="U1845">
        <v>200</v>
      </c>
      <c r="V1845" s="87">
        <v>1</v>
      </c>
      <c r="W1845">
        <v>1</v>
      </c>
      <c r="X1845">
        <v>1</v>
      </c>
      <c r="Y1845">
        <v>0</v>
      </c>
      <c r="Z1845" s="33">
        <v>0</v>
      </c>
      <c r="AA1845">
        <v>5</v>
      </c>
      <c r="AB1845">
        <v>500</v>
      </c>
      <c r="AC1845">
        <v>700</v>
      </c>
      <c r="AL1845" s="64">
        <v>1</v>
      </c>
      <c r="AN1845" s="93"/>
      <c r="AO1845" s="92"/>
      <c r="AQ1845" t="s">
        <v>4947</v>
      </c>
      <c r="AS1845">
        <v>1</v>
      </c>
    </row>
    <row r="1846" spans="1:45">
      <c r="A1846">
        <v>466014</v>
      </c>
      <c r="B1846">
        <v>1001</v>
      </c>
      <c r="C1846">
        <v>4</v>
      </c>
      <c r="D1846" s="8">
        <v>1001</v>
      </c>
      <c r="E1846" t="s">
        <v>4950</v>
      </c>
      <c r="F1846" s="13" t="s">
        <v>4950</v>
      </c>
      <c r="G1846" t="s">
        <v>4951</v>
      </c>
      <c r="H1846" t="s">
        <v>4952</v>
      </c>
      <c r="I1846">
        <v>1</v>
      </c>
      <c r="J1846">
        <v>1</v>
      </c>
      <c r="K1846" s="33">
        <v>2</v>
      </c>
      <c r="L1846">
        <v>999</v>
      </c>
      <c r="M1846">
        <v>0</v>
      </c>
      <c r="S1846" s="33">
        <v>1</v>
      </c>
      <c r="T1846">
        <v>5</v>
      </c>
      <c r="U1846">
        <v>200</v>
      </c>
      <c r="V1846" s="87">
        <v>1</v>
      </c>
      <c r="W1846">
        <v>1</v>
      </c>
      <c r="X1846">
        <v>1</v>
      </c>
      <c r="Y1846">
        <v>0</v>
      </c>
      <c r="Z1846" s="33">
        <v>0</v>
      </c>
      <c r="AA1846">
        <v>5</v>
      </c>
      <c r="AB1846">
        <v>500</v>
      </c>
      <c r="AC1846">
        <v>700</v>
      </c>
      <c r="AL1846" s="64">
        <v>1</v>
      </c>
      <c r="AN1846" s="93"/>
      <c r="AO1846" s="92"/>
      <c r="AQ1846" t="s">
        <v>4950</v>
      </c>
      <c r="AS1846">
        <v>1</v>
      </c>
    </row>
    <row r="1847" spans="1:45">
      <c r="A1847">
        <v>467001</v>
      </c>
      <c r="B1847">
        <v>1001</v>
      </c>
      <c r="C1847">
        <v>4</v>
      </c>
      <c r="D1847" s="8">
        <v>1001</v>
      </c>
      <c r="E1847" s="397" t="s">
        <v>4953</v>
      </c>
      <c r="F1847" s="13" t="s">
        <v>4953</v>
      </c>
      <c r="G1847" t="s">
        <v>4954</v>
      </c>
      <c r="H1847" t="s">
        <v>4913</v>
      </c>
      <c r="I1847">
        <v>1</v>
      </c>
      <c r="J1847">
        <v>1</v>
      </c>
      <c r="K1847" s="33">
        <v>2</v>
      </c>
      <c r="L1847">
        <v>999</v>
      </c>
      <c r="M1847">
        <v>0</v>
      </c>
      <c r="S1847" s="33">
        <v>1</v>
      </c>
      <c r="T1847">
        <v>5</v>
      </c>
      <c r="U1847">
        <v>300</v>
      </c>
      <c r="V1847" s="87">
        <v>1</v>
      </c>
      <c r="W1847">
        <v>1</v>
      </c>
      <c r="X1847">
        <v>1</v>
      </c>
      <c r="Y1847">
        <v>0</v>
      </c>
      <c r="Z1847" s="33">
        <v>0</v>
      </c>
      <c r="AA1847">
        <v>5</v>
      </c>
      <c r="AB1847">
        <v>700</v>
      </c>
      <c r="AC1847">
        <v>701</v>
      </c>
      <c r="AL1847" s="64">
        <v>1</v>
      </c>
      <c r="AN1847" s="93"/>
      <c r="AO1847" s="92"/>
      <c r="AQ1847" s="397" t="s">
        <v>4953</v>
      </c>
      <c r="AS1847">
        <v>1</v>
      </c>
    </row>
    <row r="1848" spans="1:45">
      <c r="A1848">
        <v>467002</v>
      </c>
      <c r="B1848">
        <v>1001</v>
      </c>
      <c r="C1848">
        <v>4</v>
      </c>
      <c r="D1848" s="8">
        <v>1001</v>
      </c>
      <c r="E1848" s="397" t="s">
        <v>4955</v>
      </c>
      <c r="F1848" s="13" t="s">
        <v>4955</v>
      </c>
      <c r="G1848" t="s">
        <v>4956</v>
      </c>
      <c r="H1848" t="s">
        <v>4916</v>
      </c>
      <c r="I1848">
        <v>1</v>
      </c>
      <c r="J1848">
        <v>1</v>
      </c>
      <c r="K1848" s="33">
        <v>2</v>
      </c>
      <c r="L1848">
        <v>999</v>
      </c>
      <c r="M1848">
        <v>0</v>
      </c>
      <c r="S1848" s="33">
        <v>1</v>
      </c>
      <c r="T1848">
        <v>5</v>
      </c>
      <c r="U1848">
        <v>300</v>
      </c>
      <c r="V1848" s="87">
        <v>1</v>
      </c>
      <c r="W1848">
        <v>1</v>
      </c>
      <c r="X1848">
        <v>1</v>
      </c>
      <c r="Y1848">
        <v>0</v>
      </c>
      <c r="Z1848" s="33">
        <v>0</v>
      </c>
      <c r="AA1848">
        <v>5</v>
      </c>
      <c r="AB1848">
        <v>700</v>
      </c>
      <c r="AC1848">
        <v>701</v>
      </c>
      <c r="AL1848" s="64">
        <v>1</v>
      </c>
      <c r="AN1848" s="93"/>
      <c r="AO1848" s="92"/>
      <c r="AQ1848" s="397" t="s">
        <v>4955</v>
      </c>
      <c r="AS1848">
        <v>1</v>
      </c>
    </row>
    <row r="1849" spans="1:45">
      <c r="A1849">
        <v>467003</v>
      </c>
      <c r="B1849">
        <v>1001</v>
      </c>
      <c r="C1849">
        <v>4</v>
      </c>
      <c r="D1849" s="8">
        <v>1001</v>
      </c>
      <c r="E1849" s="397" t="s">
        <v>4957</v>
      </c>
      <c r="F1849" s="13" t="s">
        <v>4957</v>
      </c>
      <c r="G1849" t="s">
        <v>4958</v>
      </c>
      <c r="H1849" t="s">
        <v>4919</v>
      </c>
      <c r="I1849">
        <v>1</v>
      </c>
      <c r="J1849">
        <v>1</v>
      </c>
      <c r="K1849" s="33">
        <v>2</v>
      </c>
      <c r="L1849">
        <v>999</v>
      </c>
      <c r="M1849">
        <v>0</v>
      </c>
      <c r="S1849" s="33">
        <v>1</v>
      </c>
      <c r="T1849">
        <v>5</v>
      </c>
      <c r="U1849">
        <v>300</v>
      </c>
      <c r="V1849" s="87">
        <v>1</v>
      </c>
      <c r="W1849">
        <v>1</v>
      </c>
      <c r="X1849">
        <v>1</v>
      </c>
      <c r="Y1849">
        <v>0</v>
      </c>
      <c r="Z1849" s="33">
        <v>0</v>
      </c>
      <c r="AA1849">
        <v>5</v>
      </c>
      <c r="AB1849">
        <v>700</v>
      </c>
      <c r="AC1849">
        <v>701</v>
      </c>
      <c r="AL1849" s="64">
        <v>1</v>
      </c>
      <c r="AN1849" s="93"/>
      <c r="AO1849" s="92"/>
      <c r="AQ1849" s="397" t="s">
        <v>4957</v>
      </c>
      <c r="AS1849">
        <v>1</v>
      </c>
    </row>
    <row r="1850" spans="1:45">
      <c r="A1850">
        <v>467004</v>
      </c>
      <c r="B1850">
        <v>1001</v>
      </c>
      <c r="C1850">
        <v>4</v>
      </c>
      <c r="D1850" s="8">
        <v>1001</v>
      </c>
      <c r="E1850" s="397" t="s">
        <v>4959</v>
      </c>
      <c r="F1850" s="13" t="s">
        <v>4959</v>
      </c>
      <c r="G1850" t="s">
        <v>4960</v>
      </c>
      <c r="H1850" t="s">
        <v>4922</v>
      </c>
      <c r="I1850">
        <v>1</v>
      </c>
      <c r="J1850">
        <v>1</v>
      </c>
      <c r="K1850" s="33">
        <v>2</v>
      </c>
      <c r="L1850">
        <v>999</v>
      </c>
      <c r="M1850">
        <v>0</v>
      </c>
      <c r="S1850" s="33">
        <v>1</v>
      </c>
      <c r="T1850">
        <v>5</v>
      </c>
      <c r="U1850">
        <v>300</v>
      </c>
      <c r="V1850" s="87">
        <v>1</v>
      </c>
      <c r="W1850">
        <v>1</v>
      </c>
      <c r="X1850">
        <v>1</v>
      </c>
      <c r="Y1850">
        <v>0</v>
      </c>
      <c r="Z1850" s="33">
        <v>0</v>
      </c>
      <c r="AA1850">
        <v>5</v>
      </c>
      <c r="AB1850">
        <v>700</v>
      </c>
      <c r="AC1850">
        <v>701</v>
      </c>
      <c r="AL1850" s="64">
        <v>1</v>
      </c>
      <c r="AN1850" s="93"/>
      <c r="AO1850" s="92"/>
      <c r="AQ1850" s="397" t="s">
        <v>4959</v>
      </c>
      <c r="AS1850">
        <v>1</v>
      </c>
    </row>
    <row r="1851" spans="1:45">
      <c r="A1851">
        <v>467005</v>
      </c>
      <c r="B1851">
        <v>1001</v>
      </c>
      <c r="C1851">
        <v>4</v>
      </c>
      <c r="D1851" s="8">
        <v>1001</v>
      </c>
      <c r="E1851" s="397" t="s">
        <v>4961</v>
      </c>
      <c r="F1851" s="13" t="s">
        <v>4961</v>
      </c>
      <c r="G1851" t="s">
        <v>4962</v>
      </c>
      <c r="H1851" t="s">
        <v>4925</v>
      </c>
      <c r="I1851">
        <v>1</v>
      </c>
      <c r="J1851">
        <v>1</v>
      </c>
      <c r="K1851" s="33">
        <v>2</v>
      </c>
      <c r="L1851">
        <v>999</v>
      </c>
      <c r="M1851">
        <v>0</v>
      </c>
      <c r="S1851" s="33">
        <v>1</v>
      </c>
      <c r="T1851">
        <v>5</v>
      </c>
      <c r="U1851">
        <v>300</v>
      </c>
      <c r="V1851" s="87">
        <v>1</v>
      </c>
      <c r="W1851">
        <v>1</v>
      </c>
      <c r="X1851">
        <v>1</v>
      </c>
      <c r="Y1851">
        <v>0</v>
      </c>
      <c r="Z1851" s="33">
        <v>0</v>
      </c>
      <c r="AA1851">
        <v>5</v>
      </c>
      <c r="AB1851">
        <v>700</v>
      </c>
      <c r="AC1851">
        <v>701</v>
      </c>
      <c r="AL1851" s="64">
        <v>1</v>
      </c>
      <c r="AN1851" s="93"/>
      <c r="AO1851" s="92"/>
      <c r="AQ1851" s="397" t="s">
        <v>4961</v>
      </c>
      <c r="AS1851">
        <v>1</v>
      </c>
    </row>
    <row r="1852" spans="1:45">
      <c r="A1852">
        <v>467006</v>
      </c>
      <c r="B1852">
        <v>1001</v>
      </c>
      <c r="C1852">
        <v>4</v>
      </c>
      <c r="D1852" s="8">
        <v>1001</v>
      </c>
      <c r="E1852" s="397" t="s">
        <v>4963</v>
      </c>
      <c r="F1852" s="13" t="s">
        <v>4963</v>
      </c>
      <c r="G1852" t="s">
        <v>4964</v>
      </c>
      <c r="H1852" t="s">
        <v>4928</v>
      </c>
      <c r="I1852">
        <v>1</v>
      </c>
      <c r="J1852">
        <v>1</v>
      </c>
      <c r="K1852" s="33">
        <v>2</v>
      </c>
      <c r="L1852">
        <v>999</v>
      </c>
      <c r="M1852">
        <v>0</v>
      </c>
      <c r="S1852" s="33">
        <v>1</v>
      </c>
      <c r="T1852">
        <v>5</v>
      </c>
      <c r="U1852">
        <v>300</v>
      </c>
      <c r="V1852" s="87">
        <v>1</v>
      </c>
      <c r="W1852">
        <v>1</v>
      </c>
      <c r="X1852">
        <v>1</v>
      </c>
      <c r="Y1852">
        <v>0</v>
      </c>
      <c r="Z1852" s="33">
        <v>0</v>
      </c>
      <c r="AA1852">
        <v>5</v>
      </c>
      <c r="AB1852">
        <v>700</v>
      </c>
      <c r="AC1852">
        <v>701</v>
      </c>
      <c r="AL1852" s="64">
        <v>1</v>
      </c>
      <c r="AN1852" s="93"/>
      <c r="AO1852" s="92"/>
      <c r="AQ1852" s="397" t="s">
        <v>4963</v>
      </c>
      <c r="AS1852">
        <v>1</v>
      </c>
    </row>
    <row r="1853" spans="1:45">
      <c r="A1853">
        <v>467007</v>
      </c>
      <c r="B1853">
        <v>1001</v>
      </c>
      <c r="C1853">
        <v>4</v>
      </c>
      <c r="D1853" s="8">
        <v>1001</v>
      </c>
      <c r="E1853" s="397" t="s">
        <v>4965</v>
      </c>
      <c r="F1853" s="13" t="s">
        <v>4965</v>
      </c>
      <c r="G1853" t="s">
        <v>4966</v>
      </c>
      <c r="H1853" t="s">
        <v>4931</v>
      </c>
      <c r="I1853">
        <v>1</v>
      </c>
      <c r="J1853">
        <v>1</v>
      </c>
      <c r="K1853" s="33">
        <v>2</v>
      </c>
      <c r="L1853">
        <v>999</v>
      </c>
      <c r="M1853">
        <v>0</v>
      </c>
      <c r="S1853" s="33">
        <v>1</v>
      </c>
      <c r="T1853">
        <v>5</v>
      </c>
      <c r="U1853">
        <v>300</v>
      </c>
      <c r="V1853" s="87">
        <v>1</v>
      </c>
      <c r="W1853">
        <v>1</v>
      </c>
      <c r="X1853">
        <v>1</v>
      </c>
      <c r="Y1853">
        <v>0</v>
      </c>
      <c r="Z1853" s="33">
        <v>0</v>
      </c>
      <c r="AA1853">
        <v>5</v>
      </c>
      <c r="AB1853">
        <v>700</v>
      </c>
      <c r="AC1853">
        <v>701</v>
      </c>
      <c r="AL1853" s="64">
        <v>1</v>
      </c>
      <c r="AN1853" s="93"/>
      <c r="AO1853" s="92"/>
      <c r="AQ1853" s="397" t="s">
        <v>4965</v>
      </c>
      <c r="AS1853">
        <v>1</v>
      </c>
    </row>
    <row r="1854" spans="1:45">
      <c r="A1854">
        <v>467008</v>
      </c>
      <c r="B1854">
        <v>1001</v>
      </c>
      <c r="C1854">
        <v>4</v>
      </c>
      <c r="D1854" s="8">
        <v>1001</v>
      </c>
      <c r="E1854" s="397" t="s">
        <v>4967</v>
      </c>
      <c r="F1854" s="13" t="s">
        <v>4967</v>
      </c>
      <c r="G1854" t="s">
        <v>4968</v>
      </c>
      <c r="H1854" t="s">
        <v>4934</v>
      </c>
      <c r="I1854">
        <v>1</v>
      </c>
      <c r="J1854">
        <v>1</v>
      </c>
      <c r="K1854" s="33">
        <v>2</v>
      </c>
      <c r="L1854">
        <v>999</v>
      </c>
      <c r="M1854">
        <v>0</v>
      </c>
      <c r="S1854" s="33">
        <v>1</v>
      </c>
      <c r="T1854">
        <v>5</v>
      </c>
      <c r="U1854">
        <v>300</v>
      </c>
      <c r="V1854" s="87">
        <v>1</v>
      </c>
      <c r="W1854">
        <v>1</v>
      </c>
      <c r="X1854">
        <v>1</v>
      </c>
      <c r="Y1854">
        <v>0</v>
      </c>
      <c r="Z1854" s="33">
        <v>0</v>
      </c>
      <c r="AA1854">
        <v>5</v>
      </c>
      <c r="AB1854">
        <v>700</v>
      </c>
      <c r="AC1854">
        <v>701</v>
      </c>
      <c r="AL1854" s="64">
        <v>1</v>
      </c>
      <c r="AN1854" s="93"/>
      <c r="AO1854" s="92"/>
      <c r="AQ1854" s="397" t="s">
        <v>4967</v>
      </c>
      <c r="AS1854">
        <v>1</v>
      </c>
    </row>
    <row r="1855" spans="1:45">
      <c r="A1855">
        <v>467009</v>
      </c>
      <c r="B1855">
        <v>1001</v>
      </c>
      <c r="C1855">
        <v>4</v>
      </c>
      <c r="D1855" s="8">
        <v>1001</v>
      </c>
      <c r="E1855" s="397" t="s">
        <v>4969</v>
      </c>
      <c r="F1855" s="13" t="s">
        <v>4969</v>
      </c>
      <c r="G1855" t="s">
        <v>4970</v>
      </c>
      <c r="H1855" t="s">
        <v>4937</v>
      </c>
      <c r="I1855">
        <v>1</v>
      </c>
      <c r="J1855">
        <v>1</v>
      </c>
      <c r="K1855" s="33">
        <v>2</v>
      </c>
      <c r="L1855">
        <v>999</v>
      </c>
      <c r="M1855">
        <v>0</v>
      </c>
      <c r="S1855" s="33">
        <v>1</v>
      </c>
      <c r="T1855">
        <v>5</v>
      </c>
      <c r="U1855">
        <v>300</v>
      </c>
      <c r="V1855" s="87">
        <v>1</v>
      </c>
      <c r="W1855">
        <v>1</v>
      </c>
      <c r="X1855">
        <v>1</v>
      </c>
      <c r="Y1855">
        <v>0</v>
      </c>
      <c r="Z1855" s="33">
        <v>0</v>
      </c>
      <c r="AA1855">
        <v>5</v>
      </c>
      <c r="AB1855">
        <v>700</v>
      </c>
      <c r="AC1855">
        <v>701</v>
      </c>
      <c r="AL1855" s="64">
        <v>1</v>
      </c>
      <c r="AN1855" s="93"/>
      <c r="AO1855" s="92"/>
      <c r="AQ1855" s="397" t="s">
        <v>4969</v>
      </c>
      <c r="AS1855">
        <v>1</v>
      </c>
    </row>
    <row r="1856" spans="1:45">
      <c r="A1856">
        <v>467010</v>
      </c>
      <c r="B1856">
        <v>1001</v>
      </c>
      <c r="C1856">
        <v>4</v>
      </c>
      <c r="D1856" s="8">
        <v>1001</v>
      </c>
      <c r="E1856" s="397" t="s">
        <v>4971</v>
      </c>
      <c r="F1856" s="13" t="s">
        <v>4971</v>
      </c>
      <c r="G1856" t="s">
        <v>4972</v>
      </c>
      <c r="H1856" t="s">
        <v>4940</v>
      </c>
      <c r="I1856">
        <v>1</v>
      </c>
      <c r="J1856">
        <v>1</v>
      </c>
      <c r="K1856" s="33">
        <v>2</v>
      </c>
      <c r="L1856">
        <v>999</v>
      </c>
      <c r="M1856">
        <v>0</v>
      </c>
      <c r="S1856" s="33">
        <v>1</v>
      </c>
      <c r="T1856">
        <v>5</v>
      </c>
      <c r="U1856">
        <v>300</v>
      </c>
      <c r="V1856" s="87">
        <v>1</v>
      </c>
      <c r="W1856">
        <v>1</v>
      </c>
      <c r="X1856">
        <v>1</v>
      </c>
      <c r="Y1856">
        <v>0</v>
      </c>
      <c r="Z1856" s="33">
        <v>0</v>
      </c>
      <c r="AA1856">
        <v>5</v>
      </c>
      <c r="AB1856">
        <v>700</v>
      </c>
      <c r="AC1856">
        <v>701</v>
      </c>
      <c r="AL1856" s="64">
        <v>1</v>
      </c>
      <c r="AN1856" s="93"/>
      <c r="AO1856" s="92"/>
      <c r="AQ1856" s="397" t="s">
        <v>4971</v>
      </c>
      <c r="AS1856">
        <v>1</v>
      </c>
    </row>
    <row r="1857" spans="1:45">
      <c r="A1857">
        <v>467011</v>
      </c>
      <c r="B1857">
        <v>1001</v>
      </c>
      <c r="C1857">
        <v>4</v>
      </c>
      <c r="D1857" s="8">
        <v>1001</v>
      </c>
      <c r="E1857" s="397" t="s">
        <v>4973</v>
      </c>
      <c r="F1857" s="13" t="s">
        <v>4973</v>
      </c>
      <c r="G1857" t="s">
        <v>4974</v>
      </c>
      <c r="H1857" t="s">
        <v>4943</v>
      </c>
      <c r="I1857">
        <v>1</v>
      </c>
      <c r="J1857">
        <v>1</v>
      </c>
      <c r="K1857" s="33">
        <v>2</v>
      </c>
      <c r="L1857">
        <v>999</v>
      </c>
      <c r="M1857">
        <v>0</v>
      </c>
      <c r="S1857" s="33">
        <v>1</v>
      </c>
      <c r="T1857">
        <v>5</v>
      </c>
      <c r="U1857">
        <v>300</v>
      </c>
      <c r="V1857" s="87">
        <v>1</v>
      </c>
      <c r="W1857">
        <v>1</v>
      </c>
      <c r="X1857">
        <v>1</v>
      </c>
      <c r="Y1857">
        <v>0</v>
      </c>
      <c r="Z1857" s="33">
        <v>0</v>
      </c>
      <c r="AA1857">
        <v>5</v>
      </c>
      <c r="AB1857">
        <v>700</v>
      </c>
      <c r="AC1857">
        <v>701</v>
      </c>
      <c r="AL1857" s="64">
        <v>1</v>
      </c>
      <c r="AN1857" s="93"/>
      <c r="AO1857" s="92"/>
      <c r="AQ1857" s="397" t="s">
        <v>4973</v>
      </c>
      <c r="AS1857">
        <v>1</v>
      </c>
    </row>
    <row r="1858" spans="1:45">
      <c r="A1858">
        <v>467012</v>
      </c>
      <c r="B1858">
        <v>1001</v>
      </c>
      <c r="C1858">
        <v>4</v>
      </c>
      <c r="D1858" s="8">
        <v>1001</v>
      </c>
      <c r="E1858" s="397" t="s">
        <v>4975</v>
      </c>
      <c r="F1858" s="13" t="s">
        <v>4975</v>
      </c>
      <c r="G1858" t="s">
        <v>4976</v>
      </c>
      <c r="H1858" t="s">
        <v>4946</v>
      </c>
      <c r="I1858">
        <v>1</v>
      </c>
      <c r="J1858">
        <v>1</v>
      </c>
      <c r="K1858" s="33">
        <v>2</v>
      </c>
      <c r="L1858">
        <v>999</v>
      </c>
      <c r="M1858">
        <v>0</v>
      </c>
      <c r="S1858" s="33">
        <v>1</v>
      </c>
      <c r="T1858">
        <v>5</v>
      </c>
      <c r="U1858">
        <v>300</v>
      </c>
      <c r="V1858" s="87">
        <v>1</v>
      </c>
      <c r="W1858">
        <v>1</v>
      </c>
      <c r="X1858">
        <v>1</v>
      </c>
      <c r="Y1858">
        <v>0</v>
      </c>
      <c r="Z1858" s="33">
        <v>0</v>
      </c>
      <c r="AA1858">
        <v>5</v>
      </c>
      <c r="AB1858">
        <v>700</v>
      </c>
      <c r="AC1858">
        <v>701</v>
      </c>
      <c r="AL1858" s="64">
        <v>1</v>
      </c>
      <c r="AN1858" s="93"/>
      <c r="AO1858" s="92"/>
      <c r="AQ1858" s="397" t="s">
        <v>4975</v>
      </c>
      <c r="AS1858">
        <v>1</v>
      </c>
    </row>
    <row r="1859" spans="1:45">
      <c r="A1859">
        <v>467013</v>
      </c>
      <c r="B1859">
        <v>1001</v>
      </c>
      <c r="C1859">
        <v>4</v>
      </c>
      <c r="D1859" s="8">
        <v>1001</v>
      </c>
      <c r="E1859" s="397" t="s">
        <v>4977</v>
      </c>
      <c r="F1859" s="13" t="s">
        <v>4977</v>
      </c>
      <c r="G1859" t="s">
        <v>4978</v>
      </c>
      <c r="H1859" t="s">
        <v>4949</v>
      </c>
      <c r="I1859">
        <v>1</v>
      </c>
      <c r="J1859">
        <v>1</v>
      </c>
      <c r="K1859" s="33">
        <v>2</v>
      </c>
      <c r="L1859">
        <v>999</v>
      </c>
      <c r="M1859">
        <v>0</v>
      </c>
      <c r="S1859" s="33">
        <v>1</v>
      </c>
      <c r="T1859">
        <v>5</v>
      </c>
      <c r="U1859">
        <v>300</v>
      </c>
      <c r="V1859" s="87">
        <v>1</v>
      </c>
      <c r="W1859">
        <v>1</v>
      </c>
      <c r="X1859">
        <v>1</v>
      </c>
      <c r="Y1859">
        <v>0</v>
      </c>
      <c r="Z1859" s="33">
        <v>0</v>
      </c>
      <c r="AA1859">
        <v>5</v>
      </c>
      <c r="AB1859">
        <v>700</v>
      </c>
      <c r="AC1859">
        <v>701</v>
      </c>
      <c r="AL1859" s="64">
        <v>1</v>
      </c>
      <c r="AN1859" s="93"/>
      <c r="AO1859" s="92"/>
      <c r="AQ1859" s="397" t="s">
        <v>4977</v>
      </c>
      <c r="AS1859">
        <v>1</v>
      </c>
    </row>
    <row r="1860" spans="1:45">
      <c r="A1860">
        <v>467014</v>
      </c>
      <c r="B1860">
        <v>1001</v>
      </c>
      <c r="C1860">
        <v>4</v>
      </c>
      <c r="D1860" s="8">
        <v>1001</v>
      </c>
      <c r="E1860" s="397" t="s">
        <v>4979</v>
      </c>
      <c r="F1860" s="13" t="s">
        <v>4979</v>
      </c>
      <c r="G1860" t="s">
        <v>4980</v>
      </c>
      <c r="H1860" t="s">
        <v>4952</v>
      </c>
      <c r="I1860">
        <v>1</v>
      </c>
      <c r="J1860">
        <v>1</v>
      </c>
      <c r="K1860" s="33">
        <v>2</v>
      </c>
      <c r="L1860">
        <v>999</v>
      </c>
      <c r="M1860">
        <v>0</v>
      </c>
      <c r="S1860" s="33">
        <v>1</v>
      </c>
      <c r="T1860">
        <v>5</v>
      </c>
      <c r="U1860">
        <v>300</v>
      </c>
      <c r="V1860" s="87">
        <v>1</v>
      </c>
      <c r="W1860">
        <v>1</v>
      </c>
      <c r="X1860">
        <v>1</v>
      </c>
      <c r="Y1860">
        <v>0</v>
      </c>
      <c r="Z1860" s="33">
        <v>0</v>
      </c>
      <c r="AA1860">
        <v>5</v>
      </c>
      <c r="AB1860">
        <v>700</v>
      </c>
      <c r="AC1860">
        <v>701</v>
      </c>
      <c r="AL1860" s="64">
        <v>1</v>
      </c>
      <c r="AN1860" s="93"/>
      <c r="AO1860" s="92"/>
      <c r="AQ1860" s="397" t="s">
        <v>4979</v>
      </c>
      <c r="AS1860">
        <v>1</v>
      </c>
    </row>
    <row r="1861" spans="1:45">
      <c r="A1861">
        <v>468001</v>
      </c>
      <c r="B1861">
        <v>1001</v>
      </c>
      <c r="C1861">
        <v>4</v>
      </c>
      <c r="D1861" s="8">
        <v>1001</v>
      </c>
      <c r="E1861" s="33" t="s">
        <v>4981</v>
      </c>
      <c r="F1861" s="13" t="s">
        <v>4981</v>
      </c>
      <c r="G1861" t="s">
        <v>4982</v>
      </c>
      <c r="H1861" t="s">
        <v>4913</v>
      </c>
      <c r="I1861">
        <v>1</v>
      </c>
      <c r="J1861">
        <v>2</v>
      </c>
      <c r="K1861" s="33">
        <v>2</v>
      </c>
      <c r="L1861">
        <v>999</v>
      </c>
      <c r="M1861">
        <v>0</v>
      </c>
      <c r="S1861" s="33">
        <v>1</v>
      </c>
      <c r="T1861">
        <v>5</v>
      </c>
      <c r="U1861">
        <v>400</v>
      </c>
      <c r="V1861" s="87">
        <v>1</v>
      </c>
      <c r="W1861">
        <v>1</v>
      </c>
      <c r="X1861">
        <v>1</v>
      </c>
      <c r="Y1861">
        <v>0</v>
      </c>
      <c r="Z1861" s="33">
        <v>0</v>
      </c>
      <c r="AA1861">
        <v>5</v>
      </c>
      <c r="AB1861">
        <v>900</v>
      </c>
      <c r="AC1861">
        <v>702</v>
      </c>
      <c r="AL1861" s="64">
        <v>1</v>
      </c>
      <c r="AN1861" s="93"/>
      <c r="AO1861" s="92"/>
      <c r="AQ1861" s="33" t="s">
        <v>4981</v>
      </c>
      <c r="AS1861">
        <v>1</v>
      </c>
    </row>
    <row r="1862" spans="1:45">
      <c r="A1862">
        <v>468002</v>
      </c>
      <c r="B1862">
        <v>1001</v>
      </c>
      <c r="C1862">
        <v>4</v>
      </c>
      <c r="D1862" s="8">
        <v>1001</v>
      </c>
      <c r="E1862" s="33" t="s">
        <v>4983</v>
      </c>
      <c r="F1862" s="13" t="s">
        <v>4983</v>
      </c>
      <c r="G1862" t="s">
        <v>4984</v>
      </c>
      <c r="H1862" t="s">
        <v>4916</v>
      </c>
      <c r="I1862">
        <v>1</v>
      </c>
      <c r="J1862">
        <v>2</v>
      </c>
      <c r="K1862" s="33">
        <v>2</v>
      </c>
      <c r="L1862">
        <v>999</v>
      </c>
      <c r="M1862">
        <v>0</v>
      </c>
      <c r="S1862" s="33">
        <v>1</v>
      </c>
      <c r="T1862">
        <v>5</v>
      </c>
      <c r="U1862">
        <v>400</v>
      </c>
      <c r="V1862" s="87">
        <v>1</v>
      </c>
      <c r="W1862">
        <v>1</v>
      </c>
      <c r="X1862">
        <v>1</v>
      </c>
      <c r="Y1862">
        <v>0</v>
      </c>
      <c r="Z1862" s="33">
        <v>0</v>
      </c>
      <c r="AA1862">
        <v>5</v>
      </c>
      <c r="AB1862">
        <v>900</v>
      </c>
      <c r="AC1862">
        <v>702</v>
      </c>
      <c r="AL1862" s="64">
        <v>1</v>
      </c>
      <c r="AN1862" s="93"/>
      <c r="AO1862" s="92"/>
      <c r="AQ1862" s="33" t="s">
        <v>4983</v>
      </c>
      <c r="AS1862">
        <v>1</v>
      </c>
    </row>
    <row r="1863" spans="1:45">
      <c r="A1863">
        <v>468003</v>
      </c>
      <c r="B1863">
        <v>1001</v>
      </c>
      <c r="C1863">
        <v>4</v>
      </c>
      <c r="D1863" s="8">
        <v>1001</v>
      </c>
      <c r="E1863" s="33" t="s">
        <v>4985</v>
      </c>
      <c r="F1863" s="13" t="s">
        <v>4985</v>
      </c>
      <c r="G1863" t="s">
        <v>4986</v>
      </c>
      <c r="H1863" t="s">
        <v>4919</v>
      </c>
      <c r="I1863">
        <v>1</v>
      </c>
      <c r="J1863">
        <v>2</v>
      </c>
      <c r="K1863" s="33">
        <v>2</v>
      </c>
      <c r="L1863">
        <v>999</v>
      </c>
      <c r="M1863">
        <v>0</v>
      </c>
      <c r="S1863" s="33">
        <v>1</v>
      </c>
      <c r="T1863">
        <v>5</v>
      </c>
      <c r="U1863">
        <v>400</v>
      </c>
      <c r="V1863" s="87">
        <v>1</v>
      </c>
      <c r="W1863">
        <v>1</v>
      </c>
      <c r="X1863">
        <v>1</v>
      </c>
      <c r="Y1863">
        <v>0</v>
      </c>
      <c r="Z1863" s="33">
        <v>0</v>
      </c>
      <c r="AA1863">
        <v>5</v>
      </c>
      <c r="AB1863">
        <v>900</v>
      </c>
      <c r="AC1863">
        <v>702</v>
      </c>
      <c r="AL1863" s="64">
        <v>1</v>
      </c>
      <c r="AN1863" s="93"/>
      <c r="AO1863" s="92"/>
      <c r="AQ1863" s="33" t="s">
        <v>4985</v>
      </c>
      <c r="AS1863">
        <v>1</v>
      </c>
    </row>
    <row r="1864" spans="1:45">
      <c r="A1864">
        <v>468004</v>
      </c>
      <c r="B1864">
        <v>1001</v>
      </c>
      <c r="C1864">
        <v>4</v>
      </c>
      <c r="D1864" s="8">
        <v>1001</v>
      </c>
      <c r="E1864" s="33" t="s">
        <v>4987</v>
      </c>
      <c r="F1864" s="13" t="s">
        <v>4987</v>
      </c>
      <c r="G1864" t="s">
        <v>4988</v>
      </c>
      <c r="H1864" t="s">
        <v>4922</v>
      </c>
      <c r="I1864">
        <v>1</v>
      </c>
      <c r="J1864">
        <v>2</v>
      </c>
      <c r="K1864" s="33">
        <v>2</v>
      </c>
      <c r="L1864">
        <v>999</v>
      </c>
      <c r="M1864">
        <v>0</v>
      </c>
      <c r="S1864" s="33">
        <v>1</v>
      </c>
      <c r="T1864">
        <v>5</v>
      </c>
      <c r="U1864">
        <v>400</v>
      </c>
      <c r="V1864" s="87">
        <v>1</v>
      </c>
      <c r="W1864">
        <v>1</v>
      </c>
      <c r="X1864">
        <v>1</v>
      </c>
      <c r="Y1864">
        <v>0</v>
      </c>
      <c r="Z1864" s="33">
        <v>0</v>
      </c>
      <c r="AA1864">
        <v>5</v>
      </c>
      <c r="AB1864">
        <v>900</v>
      </c>
      <c r="AC1864">
        <v>702</v>
      </c>
      <c r="AL1864" s="64">
        <v>1</v>
      </c>
      <c r="AN1864" s="93"/>
      <c r="AO1864" s="92"/>
      <c r="AQ1864" s="33" t="s">
        <v>4987</v>
      </c>
      <c r="AS1864">
        <v>1</v>
      </c>
    </row>
    <row r="1865" spans="1:45">
      <c r="A1865">
        <v>468005</v>
      </c>
      <c r="B1865">
        <v>1001</v>
      </c>
      <c r="C1865">
        <v>4</v>
      </c>
      <c r="D1865" s="8">
        <v>1001</v>
      </c>
      <c r="E1865" s="33" t="s">
        <v>4989</v>
      </c>
      <c r="F1865" s="13" t="s">
        <v>4989</v>
      </c>
      <c r="G1865" t="s">
        <v>4990</v>
      </c>
      <c r="H1865" t="s">
        <v>4925</v>
      </c>
      <c r="I1865">
        <v>1</v>
      </c>
      <c r="J1865">
        <v>2</v>
      </c>
      <c r="K1865" s="33">
        <v>2</v>
      </c>
      <c r="L1865">
        <v>999</v>
      </c>
      <c r="M1865">
        <v>0</v>
      </c>
      <c r="S1865" s="33">
        <v>1</v>
      </c>
      <c r="T1865">
        <v>5</v>
      </c>
      <c r="U1865">
        <v>400</v>
      </c>
      <c r="V1865" s="87">
        <v>1</v>
      </c>
      <c r="W1865">
        <v>1</v>
      </c>
      <c r="X1865">
        <v>1</v>
      </c>
      <c r="Y1865">
        <v>0</v>
      </c>
      <c r="Z1865" s="33">
        <v>0</v>
      </c>
      <c r="AA1865">
        <v>5</v>
      </c>
      <c r="AB1865">
        <v>900</v>
      </c>
      <c r="AC1865">
        <v>702</v>
      </c>
      <c r="AL1865" s="64">
        <v>1</v>
      </c>
      <c r="AN1865" s="93"/>
      <c r="AO1865" s="92"/>
      <c r="AQ1865" s="33" t="s">
        <v>4989</v>
      </c>
      <c r="AS1865">
        <v>1</v>
      </c>
    </row>
    <row r="1866" spans="1:45">
      <c r="A1866">
        <v>468006</v>
      </c>
      <c r="B1866">
        <v>1001</v>
      </c>
      <c r="C1866">
        <v>4</v>
      </c>
      <c r="D1866" s="8">
        <v>1001</v>
      </c>
      <c r="E1866" s="33" t="s">
        <v>4991</v>
      </c>
      <c r="F1866" s="13" t="s">
        <v>4991</v>
      </c>
      <c r="G1866" t="s">
        <v>4964</v>
      </c>
      <c r="H1866" t="s">
        <v>4928</v>
      </c>
      <c r="I1866">
        <v>1</v>
      </c>
      <c r="J1866">
        <v>2</v>
      </c>
      <c r="K1866" s="33">
        <v>2</v>
      </c>
      <c r="L1866">
        <v>999</v>
      </c>
      <c r="M1866">
        <v>0</v>
      </c>
      <c r="S1866" s="33">
        <v>1</v>
      </c>
      <c r="T1866">
        <v>5</v>
      </c>
      <c r="U1866">
        <v>400</v>
      </c>
      <c r="V1866" s="87">
        <v>1</v>
      </c>
      <c r="W1866">
        <v>1</v>
      </c>
      <c r="X1866">
        <v>1</v>
      </c>
      <c r="Y1866">
        <v>0</v>
      </c>
      <c r="Z1866" s="33">
        <v>0</v>
      </c>
      <c r="AA1866">
        <v>5</v>
      </c>
      <c r="AB1866">
        <v>900</v>
      </c>
      <c r="AC1866">
        <v>702</v>
      </c>
      <c r="AL1866" s="64">
        <v>1</v>
      </c>
      <c r="AN1866" s="93"/>
      <c r="AO1866" s="92"/>
      <c r="AQ1866" s="33" t="s">
        <v>4991</v>
      </c>
      <c r="AS1866">
        <v>1</v>
      </c>
    </row>
    <row r="1867" spans="1:45">
      <c r="A1867">
        <v>468007</v>
      </c>
      <c r="B1867">
        <v>1001</v>
      </c>
      <c r="C1867">
        <v>4</v>
      </c>
      <c r="D1867" s="8">
        <v>1001</v>
      </c>
      <c r="E1867" s="33" t="s">
        <v>4992</v>
      </c>
      <c r="F1867" s="13" t="s">
        <v>4992</v>
      </c>
      <c r="G1867" t="s">
        <v>4966</v>
      </c>
      <c r="H1867" t="s">
        <v>4931</v>
      </c>
      <c r="I1867">
        <v>1</v>
      </c>
      <c r="J1867">
        <v>2</v>
      </c>
      <c r="K1867" s="33">
        <v>2</v>
      </c>
      <c r="L1867">
        <v>999</v>
      </c>
      <c r="M1867">
        <v>0</v>
      </c>
      <c r="S1867" s="33">
        <v>1</v>
      </c>
      <c r="T1867">
        <v>5</v>
      </c>
      <c r="U1867">
        <v>400</v>
      </c>
      <c r="V1867" s="87">
        <v>1</v>
      </c>
      <c r="W1867">
        <v>1</v>
      </c>
      <c r="X1867">
        <v>1</v>
      </c>
      <c r="Y1867">
        <v>0</v>
      </c>
      <c r="Z1867" s="33">
        <v>0</v>
      </c>
      <c r="AA1867">
        <v>5</v>
      </c>
      <c r="AB1867">
        <v>900</v>
      </c>
      <c r="AC1867">
        <v>702</v>
      </c>
      <c r="AL1867" s="64">
        <v>1</v>
      </c>
      <c r="AN1867" s="93"/>
      <c r="AO1867" s="92"/>
      <c r="AQ1867" s="33" t="s">
        <v>4992</v>
      </c>
      <c r="AS1867">
        <v>1</v>
      </c>
    </row>
    <row r="1868" spans="1:45">
      <c r="A1868">
        <v>468008</v>
      </c>
      <c r="B1868">
        <v>1001</v>
      </c>
      <c r="C1868">
        <v>4</v>
      </c>
      <c r="D1868" s="8">
        <v>1001</v>
      </c>
      <c r="E1868" s="33" t="s">
        <v>4993</v>
      </c>
      <c r="F1868" s="13" t="s">
        <v>4993</v>
      </c>
      <c r="G1868" t="s">
        <v>4968</v>
      </c>
      <c r="H1868" t="s">
        <v>4934</v>
      </c>
      <c r="I1868">
        <v>1</v>
      </c>
      <c r="J1868">
        <v>2</v>
      </c>
      <c r="K1868" s="33">
        <v>2</v>
      </c>
      <c r="L1868">
        <v>999</v>
      </c>
      <c r="M1868">
        <v>0</v>
      </c>
      <c r="S1868" s="33">
        <v>1</v>
      </c>
      <c r="T1868">
        <v>5</v>
      </c>
      <c r="U1868">
        <v>400</v>
      </c>
      <c r="V1868" s="87">
        <v>1</v>
      </c>
      <c r="W1868">
        <v>1</v>
      </c>
      <c r="X1868">
        <v>1</v>
      </c>
      <c r="Y1868">
        <v>0</v>
      </c>
      <c r="Z1868" s="33">
        <v>0</v>
      </c>
      <c r="AA1868">
        <v>5</v>
      </c>
      <c r="AB1868">
        <v>900</v>
      </c>
      <c r="AC1868">
        <v>702</v>
      </c>
      <c r="AL1868" s="64">
        <v>1</v>
      </c>
      <c r="AN1868" s="93"/>
      <c r="AO1868" s="92"/>
      <c r="AQ1868" s="33" t="s">
        <v>4993</v>
      </c>
      <c r="AS1868">
        <v>1</v>
      </c>
    </row>
    <row r="1869" spans="1:45">
      <c r="A1869">
        <v>468009</v>
      </c>
      <c r="B1869">
        <v>1001</v>
      </c>
      <c r="C1869">
        <v>4</v>
      </c>
      <c r="D1869" s="8">
        <v>1001</v>
      </c>
      <c r="E1869" s="33" t="s">
        <v>4994</v>
      </c>
      <c r="F1869" s="13" t="s">
        <v>4994</v>
      </c>
      <c r="G1869" t="s">
        <v>4970</v>
      </c>
      <c r="H1869" t="s">
        <v>4937</v>
      </c>
      <c r="I1869">
        <v>1</v>
      </c>
      <c r="J1869">
        <v>2</v>
      </c>
      <c r="K1869" s="33">
        <v>2</v>
      </c>
      <c r="L1869">
        <v>999</v>
      </c>
      <c r="M1869">
        <v>0</v>
      </c>
      <c r="S1869" s="33">
        <v>1</v>
      </c>
      <c r="T1869">
        <v>5</v>
      </c>
      <c r="U1869">
        <v>400</v>
      </c>
      <c r="V1869" s="87">
        <v>1</v>
      </c>
      <c r="W1869">
        <v>1</v>
      </c>
      <c r="X1869">
        <v>1</v>
      </c>
      <c r="Y1869">
        <v>0</v>
      </c>
      <c r="Z1869" s="33">
        <v>0</v>
      </c>
      <c r="AA1869">
        <v>5</v>
      </c>
      <c r="AB1869">
        <v>900</v>
      </c>
      <c r="AC1869">
        <v>702</v>
      </c>
      <c r="AL1869" s="64">
        <v>1</v>
      </c>
      <c r="AN1869" s="93"/>
      <c r="AO1869" s="92"/>
      <c r="AQ1869" s="33" t="s">
        <v>4994</v>
      </c>
      <c r="AS1869">
        <v>1</v>
      </c>
    </row>
    <row r="1870" spans="1:45">
      <c r="A1870">
        <v>468010</v>
      </c>
      <c r="B1870">
        <v>1001</v>
      </c>
      <c r="C1870">
        <v>4</v>
      </c>
      <c r="D1870" s="8">
        <v>1001</v>
      </c>
      <c r="E1870" s="33" t="s">
        <v>4995</v>
      </c>
      <c r="F1870" s="13" t="s">
        <v>4995</v>
      </c>
      <c r="G1870" t="s">
        <v>4972</v>
      </c>
      <c r="H1870" t="s">
        <v>4940</v>
      </c>
      <c r="I1870">
        <v>1</v>
      </c>
      <c r="J1870">
        <v>2</v>
      </c>
      <c r="K1870" s="33">
        <v>2</v>
      </c>
      <c r="L1870">
        <v>999</v>
      </c>
      <c r="M1870">
        <v>0</v>
      </c>
      <c r="S1870" s="33">
        <v>1</v>
      </c>
      <c r="T1870">
        <v>5</v>
      </c>
      <c r="U1870">
        <v>400</v>
      </c>
      <c r="V1870" s="87">
        <v>1</v>
      </c>
      <c r="W1870">
        <v>1</v>
      </c>
      <c r="X1870">
        <v>1</v>
      </c>
      <c r="Y1870">
        <v>0</v>
      </c>
      <c r="Z1870" s="33">
        <v>0</v>
      </c>
      <c r="AA1870">
        <v>5</v>
      </c>
      <c r="AB1870">
        <v>900</v>
      </c>
      <c r="AC1870">
        <v>702</v>
      </c>
      <c r="AL1870" s="64">
        <v>1</v>
      </c>
      <c r="AN1870" s="93"/>
      <c r="AO1870" s="92"/>
      <c r="AQ1870" s="33" t="s">
        <v>4995</v>
      </c>
      <c r="AS1870">
        <v>1</v>
      </c>
    </row>
    <row r="1871" spans="1:45">
      <c r="A1871">
        <v>468011</v>
      </c>
      <c r="B1871">
        <v>1001</v>
      </c>
      <c r="C1871">
        <v>4</v>
      </c>
      <c r="D1871" s="8">
        <v>1001</v>
      </c>
      <c r="E1871" s="33" t="s">
        <v>4996</v>
      </c>
      <c r="F1871" s="13" t="s">
        <v>4996</v>
      </c>
      <c r="G1871" t="s">
        <v>4974</v>
      </c>
      <c r="H1871" t="s">
        <v>4943</v>
      </c>
      <c r="I1871">
        <v>1</v>
      </c>
      <c r="J1871">
        <v>2</v>
      </c>
      <c r="K1871" s="33">
        <v>2</v>
      </c>
      <c r="L1871">
        <v>999</v>
      </c>
      <c r="M1871">
        <v>0</v>
      </c>
      <c r="S1871" s="33">
        <v>1</v>
      </c>
      <c r="T1871">
        <v>5</v>
      </c>
      <c r="U1871">
        <v>400</v>
      </c>
      <c r="V1871" s="87">
        <v>1</v>
      </c>
      <c r="W1871">
        <v>1</v>
      </c>
      <c r="X1871">
        <v>1</v>
      </c>
      <c r="Y1871">
        <v>0</v>
      </c>
      <c r="Z1871" s="33">
        <v>0</v>
      </c>
      <c r="AA1871">
        <v>5</v>
      </c>
      <c r="AB1871">
        <v>900</v>
      </c>
      <c r="AC1871">
        <v>702</v>
      </c>
      <c r="AL1871" s="64">
        <v>1</v>
      </c>
      <c r="AN1871" s="93"/>
      <c r="AO1871" s="92"/>
      <c r="AQ1871" s="33" t="s">
        <v>4996</v>
      </c>
      <c r="AS1871">
        <v>1</v>
      </c>
    </row>
    <row r="1872" spans="1:45">
      <c r="A1872">
        <v>468012</v>
      </c>
      <c r="B1872">
        <v>1001</v>
      </c>
      <c r="C1872">
        <v>4</v>
      </c>
      <c r="D1872" s="8">
        <v>1001</v>
      </c>
      <c r="E1872" s="33" t="s">
        <v>4997</v>
      </c>
      <c r="F1872" s="13" t="s">
        <v>4997</v>
      </c>
      <c r="G1872" t="s">
        <v>4976</v>
      </c>
      <c r="H1872" t="s">
        <v>4946</v>
      </c>
      <c r="I1872">
        <v>1</v>
      </c>
      <c r="J1872">
        <v>2</v>
      </c>
      <c r="K1872" s="33">
        <v>2</v>
      </c>
      <c r="L1872">
        <v>999</v>
      </c>
      <c r="M1872">
        <v>0</v>
      </c>
      <c r="S1872" s="33">
        <v>1</v>
      </c>
      <c r="T1872">
        <v>5</v>
      </c>
      <c r="U1872">
        <v>400</v>
      </c>
      <c r="V1872" s="87">
        <v>1</v>
      </c>
      <c r="W1872">
        <v>1</v>
      </c>
      <c r="X1872">
        <v>1</v>
      </c>
      <c r="Y1872">
        <v>0</v>
      </c>
      <c r="Z1872" s="33">
        <v>0</v>
      </c>
      <c r="AA1872">
        <v>5</v>
      </c>
      <c r="AB1872">
        <v>900</v>
      </c>
      <c r="AC1872">
        <v>702</v>
      </c>
      <c r="AL1872" s="64">
        <v>1</v>
      </c>
      <c r="AN1872" s="93"/>
      <c r="AO1872" s="92"/>
      <c r="AQ1872" s="33" t="s">
        <v>4997</v>
      </c>
      <c r="AS1872">
        <v>1</v>
      </c>
    </row>
    <row r="1873" spans="1:45">
      <c r="A1873">
        <v>468013</v>
      </c>
      <c r="B1873">
        <v>1001</v>
      </c>
      <c r="C1873">
        <v>4</v>
      </c>
      <c r="D1873" s="8">
        <v>1001</v>
      </c>
      <c r="E1873" s="33" t="s">
        <v>4998</v>
      </c>
      <c r="F1873" s="13" t="s">
        <v>4998</v>
      </c>
      <c r="G1873" t="s">
        <v>4978</v>
      </c>
      <c r="H1873" t="s">
        <v>4949</v>
      </c>
      <c r="I1873">
        <v>1</v>
      </c>
      <c r="J1873">
        <v>2</v>
      </c>
      <c r="K1873" s="33">
        <v>2</v>
      </c>
      <c r="L1873">
        <v>999</v>
      </c>
      <c r="M1873">
        <v>0</v>
      </c>
      <c r="S1873" s="33">
        <v>1</v>
      </c>
      <c r="T1873">
        <v>5</v>
      </c>
      <c r="U1873">
        <v>400</v>
      </c>
      <c r="V1873" s="87">
        <v>1</v>
      </c>
      <c r="W1873">
        <v>1</v>
      </c>
      <c r="X1873">
        <v>1</v>
      </c>
      <c r="Y1873">
        <v>0</v>
      </c>
      <c r="Z1873" s="33">
        <v>0</v>
      </c>
      <c r="AA1873">
        <v>5</v>
      </c>
      <c r="AB1873">
        <v>900</v>
      </c>
      <c r="AC1873">
        <v>702</v>
      </c>
      <c r="AL1873" s="64">
        <v>1</v>
      </c>
      <c r="AN1873" s="93"/>
      <c r="AO1873" s="92"/>
      <c r="AQ1873" s="33" t="s">
        <v>4998</v>
      </c>
      <c r="AS1873">
        <v>1</v>
      </c>
    </row>
    <row r="1874" spans="1:45">
      <c r="A1874">
        <v>468014</v>
      </c>
      <c r="B1874">
        <v>1001</v>
      </c>
      <c r="C1874">
        <v>4</v>
      </c>
      <c r="D1874" s="8">
        <v>1001</v>
      </c>
      <c r="E1874" s="33" t="s">
        <v>4999</v>
      </c>
      <c r="F1874" s="13" t="s">
        <v>4999</v>
      </c>
      <c r="G1874" t="s">
        <v>4980</v>
      </c>
      <c r="H1874" t="s">
        <v>4952</v>
      </c>
      <c r="I1874">
        <v>1</v>
      </c>
      <c r="J1874">
        <v>2</v>
      </c>
      <c r="K1874" s="33">
        <v>2</v>
      </c>
      <c r="L1874">
        <v>999</v>
      </c>
      <c r="M1874">
        <v>0</v>
      </c>
      <c r="S1874" s="33">
        <v>1</v>
      </c>
      <c r="T1874">
        <v>5</v>
      </c>
      <c r="U1874">
        <v>400</v>
      </c>
      <c r="V1874" s="87">
        <v>1</v>
      </c>
      <c r="W1874">
        <v>1</v>
      </c>
      <c r="X1874">
        <v>1</v>
      </c>
      <c r="Y1874">
        <v>0</v>
      </c>
      <c r="Z1874" s="33">
        <v>0</v>
      </c>
      <c r="AA1874">
        <v>5</v>
      </c>
      <c r="AB1874">
        <v>900</v>
      </c>
      <c r="AC1874">
        <v>702</v>
      </c>
      <c r="AL1874" s="64">
        <v>1</v>
      </c>
      <c r="AN1874" s="93"/>
      <c r="AO1874" s="92"/>
      <c r="AQ1874" s="33" t="s">
        <v>4999</v>
      </c>
      <c r="AS1874">
        <v>1</v>
      </c>
    </row>
    <row r="1875" spans="1:45">
      <c r="A1875">
        <v>469001</v>
      </c>
      <c r="B1875">
        <v>1001</v>
      </c>
      <c r="C1875">
        <v>4</v>
      </c>
      <c r="D1875" s="8">
        <v>1001</v>
      </c>
      <c r="E1875" s="323" t="s">
        <v>5000</v>
      </c>
      <c r="F1875" s="13" t="s">
        <v>5000</v>
      </c>
      <c r="G1875" t="s">
        <v>5001</v>
      </c>
      <c r="H1875" t="s">
        <v>4913</v>
      </c>
      <c r="I1875">
        <v>1</v>
      </c>
      <c r="J1875">
        <v>3</v>
      </c>
      <c r="K1875" s="33">
        <v>2</v>
      </c>
      <c r="L1875">
        <v>999</v>
      </c>
      <c r="M1875">
        <v>0</v>
      </c>
      <c r="S1875" s="33">
        <v>1</v>
      </c>
      <c r="T1875">
        <v>5</v>
      </c>
      <c r="U1875">
        <v>500</v>
      </c>
      <c r="V1875" s="87">
        <v>1</v>
      </c>
      <c r="W1875">
        <v>1</v>
      </c>
      <c r="X1875">
        <v>1</v>
      </c>
      <c r="Y1875">
        <v>0</v>
      </c>
      <c r="Z1875" s="33">
        <v>0</v>
      </c>
      <c r="AA1875">
        <v>5</v>
      </c>
      <c r="AB1875">
        <v>1200</v>
      </c>
      <c r="AC1875">
        <v>703</v>
      </c>
      <c r="AL1875" s="64">
        <v>1</v>
      </c>
      <c r="AN1875" s="93"/>
      <c r="AO1875" s="92"/>
      <c r="AQ1875" s="323" t="s">
        <v>5000</v>
      </c>
      <c r="AS1875">
        <v>1</v>
      </c>
    </row>
    <row r="1876" spans="1:45">
      <c r="A1876">
        <v>469002</v>
      </c>
      <c r="B1876">
        <v>1001</v>
      </c>
      <c r="C1876">
        <v>4</v>
      </c>
      <c r="D1876" s="8">
        <v>1001</v>
      </c>
      <c r="E1876" s="323" t="s">
        <v>5002</v>
      </c>
      <c r="F1876" s="13" t="s">
        <v>5002</v>
      </c>
      <c r="G1876" t="s">
        <v>5003</v>
      </c>
      <c r="H1876" t="s">
        <v>4916</v>
      </c>
      <c r="I1876">
        <v>1</v>
      </c>
      <c r="J1876">
        <v>3</v>
      </c>
      <c r="K1876" s="33">
        <v>2</v>
      </c>
      <c r="L1876">
        <v>999</v>
      </c>
      <c r="M1876">
        <v>0</v>
      </c>
      <c r="S1876" s="33">
        <v>1</v>
      </c>
      <c r="T1876">
        <v>5</v>
      </c>
      <c r="U1876">
        <v>500</v>
      </c>
      <c r="V1876" s="87">
        <v>1</v>
      </c>
      <c r="W1876">
        <v>1</v>
      </c>
      <c r="X1876">
        <v>1</v>
      </c>
      <c r="Y1876">
        <v>0</v>
      </c>
      <c r="Z1876" s="33">
        <v>0</v>
      </c>
      <c r="AA1876">
        <v>5</v>
      </c>
      <c r="AB1876">
        <v>1200</v>
      </c>
      <c r="AC1876">
        <v>704</v>
      </c>
      <c r="AL1876" s="64">
        <v>1</v>
      </c>
      <c r="AN1876" s="93"/>
      <c r="AO1876" s="92"/>
      <c r="AQ1876" s="323" t="s">
        <v>5002</v>
      </c>
      <c r="AS1876">
        <v>1</v>
      </c>
    </row>
    <row r="1877" spans="1:45">
      <c r="A1877">
        <v>469003</v>
      </c>
      <c r="B1877">
        <v>1001</v>
      </c>
      <c r="C1877">
        <v>4</v>
      </c>
      <c r="D1877" s="8">
        <v>1001</v>
      </c>
      <c r="E1877" s="323" t="s">
        <v>5004</v>
      </c>
      <c r="F1877" s="13" t="s">
        <v>5004</v>
      </c>
      <c r="G1877" t="s">
        <v>5005</v>
      </c>
      <c r="H1877" t="s">
        <v>4919</v>
      </c>
      <c r="I1877">
        <v>1</v>
      </c>
      <c r="J1877">
        <v>3</v>
      </c>
      <c r="K1877" s="33">
        <v>2</v>
      </c>
      <c r="L1877">
        <v>999</v>
      </c>
      <c r="M1877">
        <v>0</v>
      </c>
      <c r="S1877" s="33">
        <v>1</v>
      </c>
      <c r="T1877">
        <v>5</v>
      </c>
      <c r="U1877">
        <v>500</v>
      </c>
      <c r="V1877" s="87">
        <v>1</v>
      </c>
      <c r="W1877">
        <v>1</v>
      </c>
      <c r="X1877">
        <v>1</v>
      </c>
      <c r="Y1877">
        <v>0</v>
      </c>
      <c r="Z1877" s="33">
        <v>0</v>
      </c>
      <c r="AA1877">
        <v>5</v>
      </c>
      <c r="AB1877">
        <v>1200</v>
      </c>
      <c r="AC1877">
        <v>704</v>
      </c>
      <c r="AL1877" s="64">
        <v>1</v>
      </c>
      <c r="AN1877" s="93"/>
      <c r="AO1877" s="92"/>
      <c r="AQ1877" s="323" t="s">
        <v>5004</v>
      </c>
      <c r="AS1877">
        <v>1</v>
      </c>
    </row>
    <row r="1878" spans="1:45">
      <c r="A1878">
        <v>469004</v>
      </c>
      <c r="B1878">
        <v>1001</v>
      </c>
      <c r="C1878">
        <v>4</v>
      </c>
      <c r="D1878" s="8">
        <v>1001</v>
      </c>
      <c r="E1878" s="323" t="s">
        <v>5006</v>
      </c>
      <c r="F1878" s="13" t="s">
        <v>5006</v>
      </c>
      <c r="G1878" t="s">
        <v>5007</v>
      </c>
      <c r="H1878" t="s">
        <v>4922</v>
      </c>
      <c r="I1878">
        <v>1</v>
      </c>
      <c r="J1878">
        <v>3</v>
      </c>
      <c r="K1878" s="33">
        <v>2</v>
      </c>
      <c r="L1878">
        <v>999</v>
      </c>
      <c r="M1878">
        <v>0</v>
      </c>
      <c r="S1878" s="33">
        <v>1</v>
      </c>
      <c r="T1878">
        <v>5</v>
      </c>
      <c r="U1878">
        <v>500</v>
      </c>
      <c r="V1878" s="87">
        <v>1</v>
      </c>
      <c r="W1878">
        <v>1</v>
      </c>
      <c r="X1878">
        <v>1</v>
      </c>
      <c r="Y1878">
        <v>0</v>
      </c>
      <c r="Z1878" s="33">
        <v>0</v>
      </c>
      <c r="AA1878">
        <v>5</v>
      </c>
      <c r="AB1878">
        <v>1200</v>
      </c>
      <c r="AC1878">
        <v>704</v>
      </c>
      <c r="AL1878" s="64">
        <v>1</v>
      </c>
      <c r="AN1878" s="93"/>
      <c r="AO1878" s="92"/>
      <c r="AQ1878" s="323" t="s">
        <v>5006</v>
      </c>
      <c r="AS1878">
        <v>1</v>
      </c>
    </row>
    <row r="1879" spans="1:45">
      <c r="A1879">
        <v>469005</v>
      </c>
      <c r="B1879">
        <v>1001</v>
      </c>
      <c r="C1879">
        <v>4</v>
      </c>
      <c r="D1879" s="8">
        <v>1001</v>
      </c>
      <c r="E1879" s="323" t="s">
        <v>5008</v>
      </c>
      <c r="F1879" s="13" t="s">
        <v>5008</v>
      </c>
      <c r="G1879" t="s">
        <v>5009</v>
      </c>
      <c r="H1879" t="s">
        <v>4925</v>
      </c>
      <c r="I1879">
        <v>1</v>
      </c>
      <c r="J1879">
        <v>3</v>
      </c>
      <c r="K1879" s="33">
        <v>2</v>
      </c>
      <c r="L1879">
        <v>999</v>
      </c>
      <c r="M1879">
        <v>0</v>
      </c>
      <c r="S1879" s="33">
        <v>1</v>
      </c>
      <c r="T1879">
        <v>5</v>
      </c>
      <c r="U1879">
        <v>500</v>
      </c>
      <c r="V1879" s="87">
        <v>1</v>
      </c>
      <c r="W1879">
        <v>1</v>
      </c>
      <c r="X1879">
        <v>1</v>
      </c>
      <c r="Y1879">
        <v>0</v>
      </c>
      <c r="Z1879" s="33">
        <v>0</v>
      </c>
      <c r="AA1879">
        <v>5</v>
      </c>
      <c r="AB1879">
        <v>1200</v>
      </c>
      <c r="AC1879">
        <v>704</v>
      </c>
      <c r="AL1879" s="64">
        <v>1</v>
      </c>
      <c r="AN1879" s="93"/>
      <c r="AO1879" s="92"/>
      <c r="AQ1879" s="323" t="s">
        <v>5008</v>
      </c>
      <c r="AS1879">
        <v>1</v>
      </c>
    </row>
    <row r="1880" spans="1:45">
      <c r="A1880">
        <v>469006</v>
      </c>
      <c r="B1880">
        <v>1001</v>
      </c>
      <c r="C1880">
        <v>4</v>
      </c>
      <c r="D1880" s="8">
        <v>1001</v>
      </c>
      <c r="E1880" s="323" t="s">
        <v>5010</v>
      </c>
      <c r="F1880" s="13" t="s">
        <v>5010</v>
      </c>
      <c r="G1880" t="s">
        <v>4964</v>
      </c>
      <c r="H1880" t="s">
        <v>4928</v>
      </c>
      <c r="I1880">
        <v>1</v>
      </c>
      <c r="J1880">
        <v>3</v>
      </c>
      <c r="K1880" s="33">
        <v>2</v>
      </c>
      <c r="L1880">
        <v>999</v>
      </c>
      <c r="M1880">
        <v>0</v>
      </c>
      <c r="S1880" s="33">
        <v>1</v>
      </c>
      <c r="T1880">
        <v>5</v>
      </c>
      <c r="U1880">
        <v>500</v>
      </c>
      <c r="V1880" s="87">
        <v>1</v>
      </c>
      <c r="W1880">
        <v>1</v>
      </c>
      <c r="X1880">
        <v>1</v>
      </c>
      <c r="Y1880">
        <v>0</v>
      </c>
      <c r="Z1880" s="33">
        <v>0</v>
      </c>
      <c r="AA1880">
        <v>5</v>
      </c>
      <c r="AB1880">
        <v>1200</v>
      </c>
      <c r="AC1880">
        <v>704</v>
      </c>
      <c r="AL1880" s="64">
        <v>1</v>
      </c>
      <c r="AN1880" s="93"/>
      <c r="AO1880" s="92"/>
      <c r="AQ1880" s="323" t="s">
        <v>5010</v>
      </c>
      <c r="AS1880">
        <v>1</v>
      </c>
    </row>
    <row r="1881" spans="1:45">
      <c r="A1881">
        <v>469007</v>
      </c>
      <c r="B1881">
        <v>1001</v>
      </c>
      <c r="C1881">
        <v>4</v>
      </c>
      <c r="D1881" s="8">
        <v>1001</v>
      </c>
      <c r="E1881" s="323" t="s">
        <v>5011</v>
      </c>
      <c r="F1881" s="13" t="s">
        <v>5011</v>
      </c>
      <c r="G1881" t="s">
        <v>4966</v>
      </c>
      <c r="H1881" t="s">
        <v>4931</v>
      </c>
      <c r="I1881">
        <v>1</v>
      </c>
      <c r="J1881">
        <v>3</v>
      </c>
      <c r="K1881" s="33">
        <v>2</v>
      </c>
      <c r="L1881">
        <v>999</v>
      </c>
      <c r="M1881">
        <v>0</v>
      </c>
      <c r="S1881" s="33">
        <v>1</v>
      </c>
      <c r="T1881">
        <v>5</v>
      </c>
      <c r="U1881">
        <v>500</v>
      </c>
      <c r="V1881" s="87">
        <v>1</v>
      </c>
      <c r="W1881">
        <v>1</v>
      </c>
      <c r="X1881">
        <v>1</v>
      </c>
      <c r="Y1881">
        <v>0</v>
      </c>
      <c r="Z1881" s="33">
        <v>0</v>
      </c>
      <c r="AA1881">
        <v>5</v>
      </c>
      <c r="AB1881">
        <v>1200</v>
      </c>
      <c r="AC1881">
        <v>704</v>
      </c>
      <c r="AL1881" s="64">
        <v>1</v>
      </c>
      <c r="AN1881" s="93"/>
      <c r="AO1881" s="92"/>
      <c r="AQ1881" s="323" t="s">
        <v>5011</v>
      </c>
      <c r="AS1881">
        <v>1</v>
      </c>
    </row>
    <row r="1882" spans="1:45">
      <c r="A1882">
        <v>469008</v>
      </c>
      <c r="B1882">
        <v>1001</v>
      </c>
      <c r="C1882">
        <v>4</v>
      </c>
      <c r="D1882" s="8">
        <v>1001</v>
      </c>
      <c r="E1882" s="323" t="s">
        <v>5012</v>
      </c>
      <c r="F1882" s="13" t="s">
        <v>5012</v>
      </c>
      <c r="G1882" t="s">
        <v>4968</v>
      </c>
      <c r="H1882" t="s">
        <v>4934</v>
      </c>
      <c r="I1882">
        <v>1</v>
      </c>
      <c r="J1882">
        <v>3</v>
      </c>
      <c r="K1882" s="33">
        <v>2</v>
      </c>
      <c r="L1882">
        <v>999</v>
      </c>
      <c r="M1882">
        <v>0</v>
      </c>
      <c r="S1882" s="33">
        <v>1</v>
      </c>
      <c r="T1882">
        <v>5</v>
      </c>
      <c r="U1882">
        <v>500</v>
      </c>
      <c r="V1882" s="87">
        <v>1</v>
      </c>
      <c r="W1882">
        <v>1</v>
      </c>
      <c r="X1882">
        <v>1</v>
      </c>
      <c r="Y1882">
        <v>0</v>
      </c>
      <c r="Z1882" s="33">
        <v>0</v>
      </c>
      <c r="AA1882">
        <v>5</v>
      </c>
      <c r="AB1882">
        <v>1200</v>
      </c>
      <c r="AC1882">
        <v>704</v>
      </c>
      <c r="AL1882" s="64">
        <v>1</v>
      </c>
      <c r="AN1882" s="93"/>
      <c r="AO1882" s="92"/>
      <c r="AQ1882" s="323" t="s">
        <v>5012</v>
      </c>
      <c r="AS1882">
        <v>1</v>
      </c>
    </row>
    <row r="1883" spans="1:45">
      <c r="A1883">
        <v>469009</v>
      </c>
      <c r="B1883">
        <v>1001</v>
      </c>
      <c r="C1883">
        <v>4</v>
      </c>
      <c r="D1883" s="8">
        <v>1001</v>
      </c>
      <c r="E1883" s="323" t="s">
        <v>5013</v>
      </c>
      <c r="F1883" s="13" t="s">
        <v>5013</v>
      </c>
      <c r="G1883" t="s">
        <v>4970</v>
      </c>
      <c r="H1883" t="s">
        <v>4937</v>
      </c>
      <c r="I1883">
        <v>1</v>
      </c>
      <c r="J1883">
        <v>3</v>
      </c>
      <c r="K1883" s="33">
        <v>2</v>
      </c>
      <c r="L1883">
        <v>999</v>
      </c>
      <c r="M1883">
        <v>0</v>
      </c>
      <c r="S1883" s="33">
        <v>1</v>
      </c>
      <c r="T1883">
        <v>5</v>
      </c>
      <c r="U1883">
        <v>500</v>
      </c>
      <c r="V1883" s="87">
        <v>1</v>
      </c>
      <c r="W1883">
        <v>1</v>
      </c>
      <c r="X1883">
        <v>1</v>
      </c>
      <c r="Y1883">
        <v>0</v>
      </c>
      <c r="Z1883" s="33">
        <v>0</v>
      </c>
      <c r="AA1883">
        <v>5</v>
      </c>
      <c r="AB1883">
        <v>1200</v>
      </c>
      <c r="AC1883">
        <v>704</v>
      </c>
      <c r="AL1883" s="64">
        <v>1</v>
      </c>
      <c r="AN1883" s="93"/>
      <c r="AO1883" s="92"/>
      <c r="AQ1883" s="323" t="s">
        <v>5013</v>
      </c>
      <c r="AS1883">
        <v>1</v>
      </c>
    </row>
    <row r="1884" spans="1:45">
      <c r="A1884">
        <v>469010</v>
      </c>
      <c r="B1884">
        <v>1001</v>
      </c>
      <c r="C1884">
        <v>4</v>
      </c>
      <c r="D1884" s="8">
        <v>1001</v>
      </c>
      <c r="E1884" s="323" t="s">
        <v>5014</v>
      </c>
      <c r="F1884" s="13" t="s">
        <v>5014</v>
      </c>
      <c r="G1884" t="s">
        <v>4972</v>
      </c>
      <c r="H1884" t="s">
        <v>4940</v>
      </c>
      <c r="I1884">
        <v>1</v>
      </c>
      <c r="J1884">
        <v>3</v>
      </c>
      <c r="K1884" s="33">
        <v>2</v>
      </c>
      <c r="L1884">
        <v>999</v>
      </c>
      <c r="M1884">
        <v>0</v>
      </c>
      <c r="S1884" s="33">
        <v>1</v>
      </c>
      <c r="T1884">
        <v>5</v>
      </c>
      <c r="U1884">
        <v>500</v>
      </c>
      <c r="V1884" s="87">
        <v>1</v>
      </c>
      <c r="W1884">
        <v>1</v>
      </c>
      <c r="X1884">
        <v>1</v>
      </c>
      <c r="Y1884">
        <v>0</v>
      </c>
      <c r="Z1884" s="33">
        <v>0</v>
      </c>
      <c r="AA1884">
        <v>5</v>
      </c>
      <c r="AB1884">
        <v>1200</v>
      </c>
      <c r="AC1884">
        <v>704</v>
      </c>
      <c r="AL1884" s="64">
        <v>1</v>
      </c>
      <c r="AN1884" s="93"/>
      <c r="AO1884" s="92"/>
      <c r="AQ1884" s="323" t="s">
        <v>5014</v>
      </c>
      <c r="AS1884">
        <v>1</v>
      </c>
    </row>
    <row r="1885" spans="1:45">
      <c r="A1885">
        <v>469011</v>
      </c>
      <c r="B1885">
        <v>1001</v>
      </c>
      <c r="C1885">
        <v>4</v>
      </c>
      <c r="D1885" s="8">
        <v>1001</v>
      </c>
      <c r="E1885" s="323" t="s">
        <v>5015</v>
      </c>
      <c r="F1885" s="13" t="s">
        <v>5015</v>
      </c>
      <c r="G1885" t="s">
        <v>4974</v>
      </c>
      <c r="H1885" t="s">
        <v>4943</v>
      </c>
      <c r="I1885">
        <v>1</v>
      </c>
      <c r="J1885">
        <v>3</v>
      </c>
      <c r="K1885" s="33">
        <v>2</v>
      </c>
      <c r="L1885">
        <v>999</v>
      </c>
      <c r="M1885">
        <v>0</v>
      </c>
      <c r="S1885" s="33">
        <v>1</v>
      </c>
      <c r="T1885">
        <v>5</v>
      </c>
      <c r="U1885">
        <v>500</v>
      </c>
      <c r="V1885" s="87">
        <v>1</v>
      </c>
      <c r="W1885">
        <v>1</v>
      </c>
      <c r="X1885">
        <v>1</v>
      </c>
      <c r="Y1885">
        <v>0</v>
      </c>
      <c r="Z1885" s="33">
        <v>0</v>
      </c>
      <c r="AA1885">
        <v>5</v>
      </c>
      <c r="AB1885">
        <v>1200</v>
      </c>
      <c r="AC1885">
        <v>704</v>
      </c>
      <c r="AL1885" s="64">
        <v>1</v>
      </c>
      <c r="AN1885" s="93"/>
      <c r="AO1885" s="92"/>
      <c r="AQ1885" s="323" t="s">
        <v>5015</v>
      </c>
      <c r="AS1885">
        <v>1</v>
      </c>
    </row>
    <row r="1886" spans="1:45">
      <c r="A1886">
        <v>469012</v>
      </c>
      <c r="B1886">
        <v>1001</v>
      </c>
      <c r="C1886">
        <v>4</v>
      </c>
      <c r="D1886" s="8">
        <v>1001</v>
      </c>
      <c r="E1886" s="323" t="s">
        <v>5016</v>
      </c>
      <c r="F1886" s="13" t="s">
        <v>5016</v>
      </c>
      <c r="G1886" t="s">
        <v>4976</v>
      </c>
      <c r="H1886" t="s">
        <v>4946</v>
      </c>
      <c r="I1886">
        <v>1</v>
      </c>
      <c r="J1886">
        <v>3</v>
      </c>
      <c r="K1886" s="33">
        <v>2</v>
      </c>
      <c r="L1886">
        <v>999</v>
      </c>
      <c r="M1886">
        <v>0</v>
      </c>
      <c r="S1886" s="33">
        <v>1</v>
      </c>
      <c r="T1886">
        <v>5</v>
      </c>
      <c r="U1886">
        <v>500</v>
      </c>
      <c r="V1886" s="87">
        <v>1</v>
      </c>
      <c r="W1886">
        <v>1</v>
      </c>
      <c r="X1886">
        <v>1</v>
      </c>
      <c r="Y1886">
        <v>0</v>
      </c>
      <c r="Z1886" s="33">
        <v>0</v>
      </c>
      <c r="AA1886">
        <v>5</v>
      </c>
      <c r="AB1886">
        <v>1200</v>
      </c>
      <c r="AC1886">
        <v>704</v>
      </c>
      <c r="AL1886" s="64">
        <v>1</v>
      </c>
      <c r="AN1886" s="93"/>
      <c r="AO1886" s="92"/>
      <c r="AQ1886" s="323" t="s">
        <v>5016</v>
      </c>
      <c r="AS1886">
        <v>1</v>
      </c>
    </row>
    <row r="1887" spans="1:45">
      <c r="A1887">
        <v>469013</v>
      </c>
      <c r="B1887">
        <v>1001</v>
      </c>
      <c r="C1887">
        <v>4</v>
      </c>
      <c r="D1887" s="8">
        <v>1001</v>
      </c>
      <c r="E1887" s="323" t="s">
        <v>5017</v>
      </c>
      <c r="F1887" s="13" t="s">
        <v>5017</v>
      </c>
      <c r="G1887" t="s">
        <v>4978</v>
      </c>
      <c r="H1887" t="s">
        <v>4949</v>
      </c>
      <c r="I1887">
        <v>1</v>
      </c>
      <c r="J1887">
        <v>3</v>
      </c>
      <c r="K1887" s="33">
        <v>2</v>
      </c>
      <c r="L1887">
        <v>999</v>
      </c>
      <c r="M1887">
        <v>0</v>
      </c>
      <c r="S1887" s="33">
        <v>1</v>
      </c>
      <c r="T1887">
        <v>5</v>
      </c>
      <c r="U1887">
        <v>500</v>
      </c>
      <c r="V1887" s="87">
        <v>1</v>
      </c>
      <c r="W1887">
        <v>1</v>
      </c>
      <c r="X1887">
        <v>1</v>
      </c>
      <c r="Y1887">
        <v>0</v>
      </c>
      <c r="Z1887" s="33">
        <v>0</v>
      </c>
      <c r="AA1887">
        <v>5</v>
      </c>
      <c r="AB1887">
        <v>1200</v>
      </c>
      <c r="AC1887">
        <v>704</v>
      </c>
      <c r="AL1887" s="64">
        <v>1</v>
      </c>
      <c r="AN1887" s="93"/>
      <c r="AO1887" s="92"/>
      <c r="AQ1887" s="323" t="s">
        <v>5017</v>
      </c>
      <c r="AS1887">
        <v>1</v>
      </c>
    </row>
    <row r="1888" spans="1:45">
      <c r="A1888">
        <v>469014</v>
      </c>
      <c r="B1888">
        <v>1001</v>
      </c>
      <c r="C1888">
        <v>4</v>
      </c>
      <c r="D1888" s="8">
        <v>1001</v>
      </c>
      <c r="E1888" s="323" t="s">
        <v>5018</v>
      </c>
      <c r="F1888" s="13" t="s">
        <v>5018</v>
      </c>
      <c r="G1888" t="s">
        <v>4980</v>
      </c>
      <c r="H1888" t="s">
        <v>4952</v>
      </c>
      <c r="I1888">
        <v>1</v>
      </c>
      <c r="J1888">
        <v>3</v>
      </c>
      <c r="K1888" s="33">
        <v>2</v>
      </c>
      <c r="L1888">
        <v>999</v>
      </c>
      <c r="M1888">
        <v>0</v>
      </c>
      <c r="S1888" s="33">
        <v>1</v>
      </c>
      <c r="T1888">
        <v>5</v>
      </c>
      <c r="U1888">
        <v>500</v>
      </c>
      <c r="V1888" s="87">
        <v>1</v>
      </c>
      <c r="W1888">
        <v>1</v>
      </c>
      <c r="X1888">
        <v>1</v>
      </c>
      <c r="Y1888">
        <v>0</v>
      </c>
      <c r="Z1888" s="33">
        <v>0</v>
      </c>
      <c r="AA1888">
        <v>5</v>
      </c>
      <c r="AB1888">
        <v>1200</v>
      </c>
      <c r="AC1888">
        <v>704</v>
      </c>
      <c r="AL1888" s="64">
        <v>1</v>
      </c>
      <c r="AN1888" s="93"/>
      <c r="AO1888" s="92"/>
      <c r="AQ1888" s="323" t="s">
        <v>5018</v>
      </c>
      <c r="AS1888">
        <v>1</v>
      </c>
    </row>
    <row r="1889" spans="1:45">
      <c r="A1889">
        <v>470001</v>
      </c>
      <c r="B1889">
        <v>1001</v>
      </c>
      <c r="C1889">
        <v>4</v>
      </c>
      <c r="D1889" s="8">
        <v>1001</v>
      </c>
      <c r="E1889" s="3" t="s">
        <v>5019</v>
      </c>
      <c r="F1889" s="13" t="s">
        <v>5019</v>
      </c>
      <c r="G1889" t="s">
        <v>5020</v>
      </c>
      <c r="H1889" t="s">
        <v>4913</v>
      </c>
      <c r="I1889">
        <v>1</v>
      </c>
      <c r="J1889">
        <v>3</v>
      </c>
      <c r="K1889" s="33">
        <v>2</v>
      </c>
      <c r="L1889">
        <v>999</v>
      </c>
      <c r="M1889">
        <v>0</v>
      </c>
      <c r="S1889" s="33">
        <v>1</v>
      </c>
      <c r="T1889">
        <v>5</v>
      </c>
      <c r="U1889">
        <v>600</v>
      </c>
      <c r="V1889" s="87">
        <v>1</v>
      </c>
      <c r="W1889">
        <v>1</v>
      </c>
      <c r="X1889">
        <v>1</v>
      </c>
      <c r="Y1889">
        <v>0</v>
      </c>
      <c r="Z1889" s="33">
        <v>0</v>
      </c>
      <c r="AA1889">
        <v>5</v>
      </c>
      <c r="AB1889">
        <v>1500</v>
      </c>
      <c r="AC1889">
        <v>705</v>
      </c>
      <c r="AL1889" s="64">
        <v>1</v>
      </c>
      <c r="AN1889" s="93"/>
      <c r="AO1889" s="92"/>
      <c r="AQ1889" s="3" t="s">
        <v>5019</v>
      </c>
      <c r="AS1889">
        <v>1</v>
      </c>
    </row>
    <row r="1890" spans="1:45">
      <c r="A1890">
        <v>470002</v>
      </c>
      <c r="B1890">
        <v>1001</v>
      </c>
      <c r="C1890">
        <v>4</v>
      </c>
      <c r="D1890" s="8">
        <v>1001</v>
      </c>
      <c r="E1890" s="3" t="s">
        <v>5021</v>
      </c>
      <c r="F1890" s="13" t="s">
        <v>5021</v>
      </c>
      <c r="G1890" t="s">
        <v>5022</v>
      </c>
      <c r="H1890" t="s">
        <v>4916</v>
      </c>
      <c r="I1890">
        <v>1</v>
      </c>
      <c r="J1890">
        <v>3</v>
      </c>
      <c r="K1890" s="33">
        <v>2</v>
      </c>
      <c r="L1890">
        <v>999</v>
      </c>
      <c r="M1890">
        <v>0</v>
      </c>
      <c r="S1890" s="33">
        <v>1</v>
      </c>
      <c r="T1890">
        <v>5</v>
      </c>
      <c r="U1890">
        <v>600</v>
      </c>
      <c r="V1890" s="87">
        <v>1</v>
      </c>
      <c r="W1890">
        <v>1</v>
      </c>
      <c r="X1890">
        <v>1</v>
      </c>
      <c r="Y1890">
        <v>0</v>
      </c>
      <c r="Z1890" s="33">
        <v>0</v>
      </c>
      <c r="AA1890">
        <v>5</v>
      </c>
      <c r="AB1890">
        <v>1500</v>
      </c>
      <c r="AC1890">
        <v>705</v>
      </c>
      <c r="AL1890" s="64">
        <v>1</v>
      </c>
      <c r="AN1890" s="93"/>
      <c r="AO1890" s="92"/>
      <c r="AQ1890" s="3" t="s">
        <v>5021</v>
      </c>
      <c r="AS1890">
        <v>1</v>
      </c>
    </row>
    <row r="1891" spans="1:45">
      <c r="A1891">
        <v>470003</v>
      </c>
      <c r="B1891">
        <v>1001</v>
      </c>
      <c r="C1891">
        <v>4</v>
      </c>
      <c r="D1891" s="8">
        <v>1001</v>
      </c>
      <c r="E1891" s="3" t="s">
        <v>5023</v>
      </c>
      <c r="F1891" s="13" t="s">
        <v>5023</v>
      </c>
      <c r="G1891" t="s">
        <v>5024</v>
      </c>
      <c r="H1891" t="s">
        <v>4919</v>
      </c>
      <c r="I1891">
        <v>1</v>
      </c>
      <c r="J1891">
        <v>3</v>
      </c>
      <c r="K1891" s="33">
        <v>2</v>
      </c>
      <c r="L1891">
        <v>999</v>
      </c>
      <c r="M1891">
        <v>0</v>
      </c>
      <c r="S1891" s="33">
        <v>1</v>
      </c>
      <c r="T1891">
        <v>5</v>
      </c>
      <c r="U1891">
        <v>600</v>
      </c>
      <c r="V1891" s="87">
        <v>1</v>
      </c>
      <c r="W1891">
        <v>1</v>
      </c>
      <c r="X1891">
        <v>1</v>
      </c>
      <c r="Y1891">
        <v>0</v>
      </c>
      <c r="Z1891" s="33">
        <v>0</v>
      </c>
      <c r="AA1891">
        <v>5</v>
      </c>
      <c r="AB1891">
        <v>1500</v>
      </c>
      <c r="AC1891">
        <v>705</v>
      </c>
      <c r="AL1891" s="64">
        <v>1</v>
      </c>
      <c r="AN1891" s="93"/>
      <c r="AO1891" s="92"/>
      <c r="AQ1891" s="3" t="s">
        <v>5023</v>
      </c>
      <c r="AS1891">
        <v>1</v>
      </c>
    </row>
    <row r="1892" spans="1:45">
      <c r="A1892">
        <v>470004</v>
      </c>
      <c r="B1892">
        <v>1001</v>
      </c>
      <c r="C1892">
        <v>4</v>
      </c>
      <c r="D1892" s="8">
        <v>1001</v>
      </c>
      <c r="E1892" s="3" t="s">
        <v>5025</v>
      </c>
      <c r="F1892" s="13" t="s">
        <v>5025</v>
      </c>
      <c r="G1892" t="s">
        <v>5026</v>
      </c>
      <c r="H1892" t="s">
        <v>4922</v>
      </c>
      <c r="I1892">
        <v>1</v>
      </c>
      <c r="J1892">
        <v>3</v>
      </c>
      <c r="K1892" s="33">
        <v>2</v>
      </c>
      <c r="L1892">
        <v>999</v>
      </c>
      <c r="M1892">
        <v>0</v>
      </c>
      <c r="S1892" s="33">
        <v>1</v>
      </c>
      <c r="T1892">
        <v>5</v>
      </c>
      <c r="U1892">
        <v>600</v>
      </c>
      <c r="V1892" s="87">
        <v>1</v>
      </c>
      <c r="W1892">
        <v>1</v>
      </c>
      <c r="X1892">
        <v>1</v>
      </c>
      <c r="Y1892">
        <v>0</v>
      </c>
      <c r="Z1892" s="33">
        <v>0</v>
      </c>
      <c r="AA1892">
        <v>5</v>
      </c>
      <c r="AB1892">
        <v>1500</v>
      </c>
      <c r="AC1892">
        <v>705</v>
      </c>
      <c r="AL1892" s="64">
        <v>1</v>
      </c>
      <c r="AN1892" s="93"/>
      <c r="AO1892" s="92"/>
      <c r="AQ1892" s="3" t="s">
        <v>5025</v>
      </c>
      <c r="AS1892">
        <v>1</v>
      </c>
    </row>
    <row r="1893" spans="1:45">
      <c r="A1893">
        <v>470005</v>
      </c>
      <c r="B1893">
        <v>1001</v>
      </c>
      <c r="C1893">
        <v>4</v>
      </c>
      <c r="D1893" s="8">
        <v>1001</v>
      </c>
      <c r="E1893" s="3" t="s">
        <v>5027</v>
      </c>
      <c r="F1893" s="13" t="s">
        <v>5027</v>
      </c>
      <c r="G1893" t="s">
        <v>5028</v>
      </c>
      <c r="H1893" t="s">
        <v>4925</v>
      </c>
      <c r="I1893">
        <v>1</v>
      </c>
      <c r="J1893">
        <v>3</v>
      </c>
      <c r="K1893" s="33">
        <v>2</v>
      </c>
      <c r="L1893">
        <v>999</v>
      </c>
      <c r="M1893">
        <v>0</v>
      </c>
      <c r="S1893" s="33">
        <v>1</v>
      </c>
      <c r="T1893">
        <v>5</v>
      </c>
      <c r="U1893">
        <v>600</v>
      </c>
      <c r="V1893" s="87">
        <v>1</v>
      </c>
      <c r="W1893">
        <v>1</v>
      </c>
      <c r="X1893">
        <v>1</v>
      </c>
      <c r="Y1893">
        <v>0</v>
      </c>
      <c r="Z1893" s="33">
        <v>0</v>
      </c>
      <c r="AA1893">
        <v>5</v>
      </c>
      <c r="AB1893">
        <v>1500</v>
      </c>
      <c r="AC1893">
        <v>705</v>
      </c>
      <c r="AL1893" s="64">
        <v>1</v>
      </c>
      <c r="AN1893" s="93"/>
      <c r="AO1893" s="92"/>
      <c r="AQ1893" s="3" t="s">
        <v>5027</v>
      </c>
      <c r="AS1893">
        <v>1</v>
      </c>
    </row>
    <row r="1894" spans="1:45">
      <c r="A1894">
        <v>470006</v>
      </c>
      <c r="B1894">
        <v>1001</v>
      </c>
      <c r="C1894">
        <v>4</v>
      </c>
      <c r="D1894" s="8">
        <v>1001</v>
      </c>
      <c r="E1894" s="3" t="s">
        <v>5029</v>
      </c>
      <c r="F1894" s="13" t="s">
        <v>5029</v>
      </c>
      <c r="G1894" t="s">
        <v>4964</v>
      </c>
      <c r="H1894" t="s">
        <v>4928</v>
      </c>
      <c r="I1894">
        <v>1</v>
      </c>
      <c r="J1894">
        <v>3</v>
      </c>
      <c r="K1894" s="33">
        <v>2</v>
      </c>
      <c r="L1894">
        <v>999</v>
      </c>
      <c r="M1894">
        <v>0</v>
      </c>
      <c r="S1894" s="33">
        <v>1</v>
      </c>
      <c r="T1894">
        <v>5</v>
      </c>
      <c r="U1894">
        <v>600</v>
      </c>
      <c r="V1894" s="87">
        <v>1</v>
      </c>
      <c r="W1894">
        <v>1</v>
      </c>
      <c r="X1894">
        <v>1</v>
      </c>
      <c r="Y1894">
        <v>0</v>
      </c>
      <c r="Z1894" s="33">
        <v>0</v>
      </c>
      <c r="AA1894">
        <v>5</v>
      </c>
      <c r="AB1894">
        <v>1500</v>
      </c>
      <c r="AC1894">
        <v>705</v>
      </c>
      <c r="AL1894" s="64">
        <v>1</v>
      </c>
      <c r="AN1894" s="93"/>
      <c r="AO1894" s="92"/>
      <c r="AQ1894" s="3" t="s">
        <v>5029</v>
      </c>
      <c r="AS1894">
        <v>1</v>
      </c>
    </row>
    <row r="1895" spans="1:45">
      <c r="A1895">
        <v>470007</v>
      </c>
      <c r="B1895">
        <v>1001</v>
      </c>
      <c r="C1895">
        <v>4</v>
      </c>
      <c r="D1895" s="8">
        <v>1001</v>
      </c>
      <c r="E1895" s="3" t="s">
        <v>5030</v>
      </c>
      <c r="F1895" s="13" t="s">
        <v>5030</v>
      </c>
      <c r="G1895" t="s">
        <v>4966</v>
      </c>
      <c r="H1895" t="s">
        <v>4931</v>
      </c>
      <c r="I1895">
        <v>1</v>
      </c>
      <c r="J1895">
        <v>3</v>
      </c>
      <c r="K1895" s="33">
        <v>2</v>
      </c>
      <c r="L1895">
        <v>999</v>
      </c>
      <c r="M1895">
        <v>0</v>
      </c>
      <c r="S1895" s="33">
        <v>1</v>
      </c>
      <c r="T1895">
        <v>5</v>
      </c>
      <c r="U1895">
        <v>600</v>
      </c>
      <c r="V1895" s="87">
        <v>1</v>
      </c>
      <c r="W1895">
        <v>1</v>
      </c>
      <c r="X1895">
        <v>1</v>
      </c>
      <c r="Y1895">
        <v>0</v>
      </c>
      <c r="Z1895" s="33">
        <v>0</v>
      </c>
      <c r="AA1895">
        <v>5</v>
      </c>
      <c r="AB1895">
        <v>1500</v>
      </c>
      <c r="AC1895">
        <v>705</v>
      </c>
      <c r="AL1895" s="64">
        <v>1</v>
      </c>
      <c r="AN1895" s="93"/>
      <c r="AO1895" s="92"/>
      <c r="AQ1895" s="3" t="s">
        <v>5030</v>
      </c>
      <c r="AS1895">
        <v>1</v>
      </c>
    </row>
    <row r="1896" spans="1:45">
      <c r="A1896">
        <v>470008</v>
      </c>
      <c r="B1896">
        <v>1001</v>
      </c>
      <c r="C1896">
        <v>4</v>
      </c>
      <c r="D1896" s="8">
        <v>1001</v>
      </c>
      <c r="E1896" s="3" t="s">
        <v>5031</v>
      </c>
      <c r="F1896" s="13" t="s">
        <v>5031</v>
      </c>
      <c r="G1896" t="s">
        <v>4968</v>
      </c>
      <c r="H1896" t="s">
        <v>4934</v>
      </c>
      <c r="I1896">
        <v>1</v>
      </c>
      <c r="J1896">
        <v>3</v>
      </c>
      <c r="K1896" s="33">
        <v>2</v>
      </c>
      <c r="L1896">
        <v>999</v>
      </c>
      <c r="M1896">
        <v>0</v>
      </c>
      <c r="S1896" s="33">
        <v>1</v>
      </c>
      <c r="T1896">
        <v>5</v>
      </c>
      <c r="U1896">
        <v>600</v>
      </c>
      <c r="V1896" s="87">
        <v>1</v>
      </c>
      <c r="W1896">
        <v>1</v>
      </c>
      <c r="X1896">
        <v>1</v>
      </c>
      <c r="Y1896">
        <v>0</v>
      </c>
      <c r="Z1896" s="33">
        <v>0</v>
      </c>
      <c r="AA1896">
        <v>5</v>
      </c>
      <c r="AB1896">
        <v>1500</v>
      </c>
      <c r="AC1896">
        <v>705</v>
      </c>
      <c r="AL1896" s="64">
        <v>1</v>
      </c>
      <c r="AN1896" s="93"/>
      <c r="AO1896" s="92"/>
      <c r="AQ1896" s="3" t="s">
        <v>5031</v>
      </c>
      <c r="AS1896">
        <v>1</v>
      </c>
    </row>
    <row r="1897" spans="1:45">
      <c r="A1897">
        <v>470009</v>
      </c>
      <c r="B1897">
        <v>1001</v>
      </c>
      <c r="C1897">
        <v>4</v>
      </c>
      <c r="D1897" s="8">
        <v>1001</v>
      </c>
      <c r="E1897" s="3" t="s">
        <v>5032</v>
      </c>
      <c r="F1897" s="13" t="s">
        <v>5032</v>
      </c>
      <c r="G1897" t="s">
        <v>4970</v>
      </c>
      <c r="H1897" t="s">
        <v>4937</v>
      </c>
      <c r="I1897">
        <v>1</v>
      </c>
      <c r="J1897">
        <v>3</v>
      </c>
      <c r="K1897" s="33">
        <v>2</v>
      </c>
      <c r="L1897">
        <v>999</v>
      </c>
      <c r="M1897">
        <v>0</v>
      </c>
      <c r="S1897" s="33">
        <v>1</v>
      </c>
      <c r="T1897">
        <v>5</v>
      </c>
      <c r="U1897">
        <v>600</v>
      </c>
      <c r="V1897" s="87">
        <v>1</v>
      </c>
      <c r="W1897">
        <v>1</v>
      </c>
      <c r="X1897">
        <v>1</v>
      </c>
      <c r="Y1897">
        <v>0</v>
      </c>
      <c r="Z1897" s="33">
        <v>0</v>
      </c>
      <c r="AA1897">
        <v>5</v>
      </c>
      <c r="AB1897">
        <v>1500</v>
      </c>
      <c r="AC1897">
        <v>705</v>
      </c>
      <c r="AL1897" s="64">
        <v>1</v>
      </c>
      <c r="AN1897" s="93"/>
      <c r="AO1897" s="92"/>
      <c r="AQ1897" s="3" t="s">
        <v>5032</v>
      </c>
      <c r="AS1897">
        <v>1</v>
      </c>
    </row>
    <row r="1898" spans="1:45">
      <c r="A1898">
        <v>470010</v>
      </c>
      <c r="B1898">
        <v>1001</v>
      </c>
      <c r="C1898">
        <v>4</v>
      </c>
      <c r="D1898" s="8">
        <v>1001</v>
      </c>
      <c r="E1898" s="3" t="s">
        <v>5033</v>
      </c>
      <c r="F1898" s="13" t="s">
        <v>5033</v>
      </c>
      <c r="G1898" t="s">
        <v>4972</v>
      </c>
      <c r="H1898" t="s">
        <v>4940</v>
      </c>
      <c r="I1898">
        <v>1</v>
      </c>
      <c r="J1898">
        <v>3</v>
      </c>
      <c r="K1898" s="33">
        <v>2</v>
      </c>
      <c r="L1898">
        <v>999</v>
      </c>
      <c r="M1898">
        <v>0</v>
      </c>
      <c r="S1898" s="33">
        <v>1</v>
      </c>
      <c r="T1898">
        <v>5</v>
      </c>
      <c r="U1898">
        <v>600</v>
      </c>
      <c r="V1898" s="87">
        <v>1</v>
      </c>
      <c r="W1898">
        <v>1</v>
      </c>
      <c r="X1898">
        <v>1</v>
      </c>
      <c r="Y1898">
        <v>0</v>
      </c>
      <c r="Z1898" s="33">
        <v>0</v>
      </c>
      <c r="AA1898">
        <v>5</v>
      </c>
      <c r="AB1898">
        <v>1500</v>
      </c>
      <c r="AC1898">
        <v>705</v>
      </c>
      <c r="AL1898" s="64">
        <v>1</v>
      </c>
      <c r="AN1898" s="93"/>
      <c r="AO1898" s="92"/>
      <c r="AQ1898" s="3" t="s">
        <v>5033</v>
      </c>
      <c r="AS1898">
        <v>1</v>
      </c>
    </row>
    <row r="1899" spans="1:45">
      <c r="A1899">
        <v>470011</v>
      </c>
      <c r="B1899">
        <v>1001</v>
      </c>
      <c r="C1899">
        <v>4</v>
      </c>
      <c r="D1899" s="8">
        <v>1001</v>
      </c>
      <c r="E1899" s="3" t="s">
        <v>5034</v>
      </c>
      <c r="F1899" s="13" t="s">
        <v>5034</v>
      </c>
      <c r="G1899" t="s">
        <v>4974</v>
      </c>
      <c r="H1899" t="s">
        <v>4943</v>
      </c>
      <c r="I1899">
        <v>1</v>
      </c>
      <c r="J1899">
        <v>3</v>
      </c>
      <c r="K1899" s="33">
        <v>2</v>
      </c>
      <c r="L1899">
        <v>999</v>
      </c>
      <c r="M1899">
        <v>0</v>
      </c>
      <c r="S1899" s="33">
        <v>1</v>
      </c>
      <c r="T1899">
        <v>5</v>
      </c>
      <c r="U1899">
        <v>600</v>
      </c>
      <c r="V1899" s="87">
        <v>1</v>
      </c>
      <c r="W1899">
        <v>1</v>
      </c>
      <c r="X1899">
        <v>1</v>
      </c>
      <c r="Y1899">
        <v>0</v>
      </c>
      <c r="Z1899" s="33">
        <v>0</v>
      </c>
      <c r="AA1899">
        <v>5</v>
      </c>
      <c r="AB1899">
        <v>1500</v>
      </c>
      <c r="AC1899">
        <v>705</v>
      </c>
      <c r="AL1899" s="64">
        <v>1</v>
      </c>
      <c r="AN1899" s="93"/>
      <c r="AO1899" s="92"/>
      <c r="AQ1899" s="3" t="s">
        <v>5034</v>
      </c>
      <c r="AS1899">
        <v>1</v>
      </c>
    </row>
    <row r="1900" spans="1:45">
      <c r="A1900">
        <v>470012</v>
      </c>
      <c r="B1900">
        <v>1001</v>
      </c>
      <c r="C1900">
        <v>4</v>
      </c>
      <c r="D1900" s="8">
        <v>1001</v>
      </c>
      <c r="E1900" s="3" t="s">
        <v>5035</v>
      </c>
      <c r="F1900" s="13" t="s">
        <v>5035</v>
      </c>
      <c r="G1900" t="s">
        <v>4976</v>
      </c>
      <c r="H1900" t="s">
        <v>4946</v>
      </c>
      <c r="I1900">
        <v>1</v>
      </c>
      <c r="J1900">
        <v>3</v>
      </c>
      <c r="K1900" s="33">
        <v>2</v>
      </c>
      <c r="L1900">
        <v>999</v>
      </c>
      <c r="M1900">
        <v>0</v>
      </c>
      <c r="S1900" s="33">
        <v>1</v>
      </c>
      <c r="T1900">
        <v>5</v>
      </c>
      <c r="U1900">
        <v>600</v>
      </c>
      <c r="V1900" s="87">
        <v>1</v>
      </c>
      <c r="W1900">
        <v>1</v>
      </c>
      <c r="X1900">
        <v>1</v>
      </c>
      <c r="Y1900">
        <v>0</v>
      </c>
      <c r="Z1900" s="33">
        <v>0</v>
      </c>
      <c r="AA1900">
        <v>5</v>
      </c>
      <c r="AB1900">
        <v>1500</v>
      </c>
      <c r="AC1900">
        <v>705</v>
      </c>
      <c r="AL1900" s="64">
        <v>1</v>
      </c>
      <c r="AN1900" s="93"/>
      <c r="AO1900" s="92"/>
      <c r="AQ1900" s="3" t="s">
        <v>5035</v>
      </c>
      <c r="AS1900">
        <v>1</v>
      </c>
    </row>
    <row r="1901" spans="1:45">
      <c r="A1901">
        <v>470013</v>
      </c>
      <c r="B1901">
        <v>1001</v>
      </c>
      <c r="C1901">
        <v>4</v>
      </c>
      <c r="D1901" s="8">
        <v>1001</v>
      </c>
      <c r="E1901" s="3" t="s">
        <v>5036</v>
      </c>
      <c r="F1901" s="13" t="s">
        <v>5036</v>
      </c>
      <c r="G1901" t="s">
        <v>4978</v>
      </c>
      <c r="H1901" t="s">
        <v>4949</v>
      </c>
      <c r="I1901">
        <v>1</v>
      </c>
      <c r="J1901">
        <v>3</v>
      </c>
      <c r="K1901" s="33">
        <v>2</v>
      </c>
      <c r="L1901">
        <v>999</v>
      </c>
      <c r="M1901">
        <v>0</v>
      </c>
      <c r="S1901" s="33">
        <v>1</v>
      </c>
      <c r="T1901">
        <v>5</v>
      </c>
      <c r="U1901">
        <v>600</v>
      </c>
      <c r="V1901" s="87">
        <v>1</v>
      </c>
      <c r="W1901">
        <v>1</v>
      </c>
      <c r="X1901">
        <v>1</v>
      </c>
      <c r="Y1901">
        <v>0</v>
      </c>
      <c r="Z1901" s="33">
        <v>0</v>
      </c>
      <c r="AA1901">
        <v>5</v>
      </c>
      <c r="AB1901">
        <v>1500</v>
      </c>
      <c r="AC1901">
        <v>705</v>
      </c>
      <c r="AL1901" s="64">
        <v>1</v>
      </c>
      <c r="AN1901" s="93"/>
      <c r="AO1901" s="92"/>
      <c r="AQ1901" s="3" t="s">
        <v>5036</v>
      </c>
      <c r="AS1901">
        <v>1</v>
      </c>
    </row>
    <row r="1902" spans="1:45">
      <c r="A1902">
        <v>470014</v>
      </c>
      <c r="B1902">
        <v>1001</v>
      </c>
      <c r="C1902">
        <v>4</v>
      </c>
      <c r="D1902" s="8">
        <v>1001</v>
      </c>
      <c r="E1902" s="3" t="s">
        <v>5037</v>
      </c>
      <c r="F1902" s="13" t="s">
        <v>5037</v>
      </c>
      <c r="G1902" t="s">
        <v>4980</v>
      </c>
      <c r="H1902" t="s">
        <v>4952</v>
      </c>
      <c r="I1902">
        <v>1</v>
      </c>
      <c r="J1902">
        <v>3</v>
      </c>
      <c r="K1902" s="33">
        <v>2</v>
      </c>
      <c r="L1902">
        <v>999</v>
      </c>
      <c r="M1902">
        <v>0</v>
      </c>
      <c r="S1902" s="33">
        <v>1</v>
      </c>
      <c r="T1902">
        <v>5</v>
      </c>
      <c r="U1902">
        <v>600</v>
      </c>
      <c r="V1902" s="87">
        <v>1</v>
      </c>
      <c r="W1902">
        <v>1</v>
      </c>
      <c r="X1902">
        <v>1</v>
      </c>
      <c r="Y1902">
        <v>0</v>
      </c>
      <c r="Z1902" s="33">
        <v>0</v>
      </c>
      <c r="AA1902">
        <v>5</v>
      </c>
      <c r="AB1902">
        <v>1500</v>
      </c>
      <c r="AC1902">
        <v>705</v>
      </c>
      <c r="AL1902" s="64">
        <v>1</v>
      </c>
      <c r="AN1902" s="93"/>
      <c r="AO1902" s="92"/>
      <c r="AQ1902" s="3" t="s">
        <v>5037</v>
      </c>
      <c r="AS1902">
        <v>1</v>
      </c>
    </row>
    <row r="1903" spans="1:45">
      <c r="A1903">
        <v>470015</v>
      </c>
      <c r="B1903">
        <v>1001</v>
      </c>
      <c r="C1903">
        <v>2</v>
      </c>
      <c r="D1903" s="8">
        <v>1001</v>
      </c>
      <c r="E1903" s="3" t="s">
        <v>5038</v>
      </c>
      <c r="F1903" s="13" t="s">
        <v>5038</v>
      </c>
      <c r="G1903" t="s">
        <v>5039</v>
      </c>
      <c r="H1903" t="s">
        <v>5040</v>
      </c>
      <c r="I1903">
        <v>1</v>
      </c>
      <c r="J1903">
        <v>1</v>
      </c>
      <c r="K1903" s="33">
        <v>1</v>
      </c>
      <c r="L1903">
        <v>999</v>
      </c>
      <c r="M1903">
        <v>0</v>
      </c>
      <c r="S1903" s="33">
        <v>1</v>
      </c>
      <c r="T1903">
        <v>5</v>
      </c>
      <c r="U1903">
        <v>600</v>
      </c>
      <c r="V1903" s="87">
        <v>1</v>
      </c>
      <c r="W1903">
        <v>1</v>
      </c>
      <c r="X1903">
        <v>1</v>
      </c>
      <c r="Y1903">
        <v>0</v>
      </c>
      <c r="Z1903" s="33">
        <v>0</v>
      </c>
      <c r="AA1903">
        <v>5</v>
      </c>
      <c r="AB1903">
        <v>1500</v>
      </c>
      <c r="AC1903">
        <v>705</v>
      </c>
      <c r="AL1903" s="64">
        <v>1</v>
      </c>
      <c r="AN1903" s="93"/>
      <c r="AO1903" s="92"/>
      <c r="AQ1903" s="3" t="s">
        <v>5038</v>
      </c>
      <c r="AS1903">
        <v>1</v>
      </c>
    </row>
    <row r="1904" spans="1:45">
      <c r="A1904">
        <v>470016</v>
      </c>
      <c r="B1904">
        <v>1001</v>
      </c>
      <c r="C1904">
        <v>2</v>
      </c>
      <c r="D1904" s="8">
        <v>1001</v>
      </c>
      <c r="E1904" s="3" t="s">
        <v>5041</v>
      </c>
      <c r="F1904" s="13" t="s">
        <v>5041</v>
      </c>
      <c r="G1904" t="s">
        <v>5042</v>
      </c>
      <c r="H1904" t="s">
        <v>5043</v>
      </c>
      <c r="I1904">
        <v>1</v>
      </c>
      <c r="J1904">
        <v>2</v>
      </c>
      <c r="K1904" s="33">
        <v>1</v>
      </c>
      <c r="L1904">
        <v>999</v>
      </c>
      <c r="M1904">
        <v>0</v>
      </c>
      <c r="S1904" s="33">
        <v>1</v>
      </c>
      <c r="T1904">
        <v>5</v>
      </c>
      <c r="U1904">
        <v>600</v>
      </c>
      <c r="V1904" s="87">
        <v>1</v>
      </c>
      <c r="W1904">
        <v>1</v>
      </c>
      <c r="X1904">
        <v>1</v>
      </c>
      <c r="Y1904">
        <v>0</v>
      </c>
      <c r="Z1904" s="33">
        <v>0</v>
      </c>
      <c r="AA1904">
        <v>5</v>
      </c>
      <c r="AB1904">
        <v>1500</v>
      </c>
      <c r="AC1904">
        <v>705</v>
      </c>
      <c r="AL1904" s="64">
        <v>1</v>
      </c>
      <c r="AN1904" s="93"/>
      <c r="AO1904" s="92"/>
      <c r="AQ1904" s="3" t="s">
        <v>5041</v>
      </c>
      <c r="AS1904">
        <v>1</v>
      </c>
    </row>
    <row r="1905" spans="1:45">
      <c r="A1905">
        <v>470017</v>
      </c>
      <c r="B1905">
        <v>1001</v>
      </c>
      <c r="C1905">
        <v>2</v>
      </c>
      <c r="D1905" s="8">
        <v>1001</v>
      </c>
      <c r="E1905" s="3" t="s">
        <v>5044</v>
      </c>
      <c r="F1905" s="13" t="s">
        <v>5044</v>
      </c>
      <c r="G1905" t="s">
        <v>5045</v>
      </c>
      <c r="H1905" t="s">
        <v>1301</v>
      </c>
      <c r="I1905">
        <v>1</v>
      </c>
      <c r="J1905">
        <v>3</v>
      </c>
      <c r="K1905" s="33">
        <v>1</v>
      </c>
      <c r="L1905">
        <v>999</v>
      </c>
      <c r="M1905">
        <v>0</v>
      </c>
      <c r="N1905"/>
      <c r="S1905" s="33">
        <v>1</v>
      </c>
      <c r="T1905">
        <v>5</v>
      </c>
      <c r="U1905">
        <v>600</v>
      </c>
      <c r="V1905" s="87">
        <v>1</v>
      </c>
      <c r="W1905">
        <v>1</v>
      </c>
      <c r="X1905">
        <v>1</v>
      </c>
      <c r="Y1905">
        <v>0</v>
      </c>
      <c r="Z1905" s="33">
        <v>0</v>
      </c>
      <c r="AA1905">
        <v>5</v>
      </c>
      <c r="AB1905">
        <v>1500</v>
      </c>
      <c r="AC1905">
        <v>705</v>
      </c>
      <c r="AL1905" s="64">
        <v>1</v>
      </c>
      <c r="AN1905" s="93"/>
      <c r="AO1905" s="92"/>
      <c r="AQ1905" s="3" t="s">
        <v>5044</v>
      </c>
      <c r="AS1905">
        <v>1</v>
      </c>
    </row>
    <row r="1906" spans="1:45">
      <c r="A1906">
        <v>452202</v>
      </c>
      <c r="B1906">
        <v>1001</v>
      </c>
      <c r="C1906">
        <v>6</v>
      </c>
      <c r="D1906" s="236">
        <v>1001</v>
      </c>
      <c r="E1906" t="s">
        <v>5046</v>
      </c>
      <c r="F1906" s="13" t="s">
        <v>5046</v>
      </c>
      <c r="G1906" t="s">
        <v>5047</v>
      </c>
      <c r="H1906" t="s">
        <v>5048</v>
      </c>
      <c r="I1906">
        <v>1</v>
      </c>
      <c r="J1906">
        <v>1</v>
      </c>
      <c r="K1906" s="33">
        <v>2</v>
      </c>
      <c r="L1906" s="238">
        <v>999</v>
      </c>
      <c r="M1906">
        <v>0</v>
      </c>
      <c r="N1906">
        <v>1017</v>
      </c>
      <c r="O1906" s="2">
        <v>51001</v>
      </c>
      <c r="S1906" s="33">
        <v>1</v>
      </c>
      <c r="T1906">
        <v>5</v>
      </c>
      <c r="U1906">
        <v>1200</v>
      </c>
      <c r="V1906" s="87">
        <v>1</v>
      </c>
      <c r="W1906">
        <v>1</v>
      </c>
      <c r="X1906">
        <v>1</v>
      </c>
      <c r="Y1906">
        <v>0</v>
      </c>
      <c r="Z1906" s="33">
        <v>0</v>
      </c>
      <c r="AA1906">
        <v>5</v>
      </c>
      <c r="AB1906">
        <v>3000</v>
      </c>
      <c r="AC1906">
        <v>750</v>
      </c>
      <c r="AE1906" s="62">
        <v>4</v>
      </c>
      <c r="AF1906" s="62">
        <v>2</v>
      </c>
      <c r="AL1906" s="64">
        <v>1</v>
      </c>
      <c r="AN1906" s="93"/>
      <c r="AO1906" s="92"/>
      <c r="AQ1906" t="s">
        <v>5046</v>
      </c>
      <c r="AS1906">
        <v>1</v>
      </c>
    </row>
    <row r="1907" spans="1:45">
      <c r="A1907">
        <v>400001</v>
      </c>
      <c r="B1907">
        <v>1001</v>
      </c>
      <c r="C1907">
        <v>2</v>
      </c>
      <c r="D1907">
        <v>1004</v>
      </c>
      <c r="E1907" t="s">
        <v>1941</v>
      </c>
      <c r="F1907" s="13" t="s">
        <v>1941</v>
      </c>
      <c r="G1907" t="s">
        <v>5049</v>
      </c>
      <c r="H1907" t="s">
        <v>5050</v>
      </c>
      <c r="I1907">
        <v>1</v>
      </c>
      <c r="J1907">
        <v>1</v>
      </c>
      <c r="K1907" s="33">
        <v>1</v>
      </c>
      <c r="L1907" s="8">
        <v>9999</v>
      </c>
      <c r="M1907">
        <v>0</v>
      </c>
      <c r="S1907" s="33">
        <v>1</v>
      </c>
      <c r="T1907">
        <v>5</v>
      </c>
      <c r="U1907">
        <v>1000</v>
      </c>
      <c r="V1907" s="87">
        <v>0</v>
      </c>
      <c r="W1907">
        <v>1</v>
      </c>
      <c r="X1907">
        <v>1</v>
      </c>
      <c r="Y1907">
        <v>0</v>
      </c>
      <c r="Z1907" s="33">
        <v>0</v>
      </c>
      <c r="AA1907">
        <v>5</v>
      </c>
      <c r="AB1907">
        <v>3000</v>
      </c>
      <c r="AC1907">
        <v>770</v>
      </c>
      <c r="AF1907" s="63"/>
      <c r="AJ1907" s="64"/>
      <c r="AK1907" s="64"/>
      <c r="AL1907" s="64">
        <v>1</v>
      </c>
      <c r="AM1907" s="4"/>
      <c r="AN1907" s="93"/>
      <c r="AO1907" s="92" t="s">
        <v>5051</v>
      </c>
      <c r="AQ1907" t="s">
        <v>1941</v>
      </c>
      <c r="AS1907">
        <v>1</v>
      </c>
    </row>
    <row r="1908" spans="1:45">
      <c r="A1908">
        <v>400002</v>
      </c>
      <c r="B1908">
        <v>1001</v>
      </c>
      <c r="C1908">
        <v>2</v>
      </c>
      <c r="D1908">
        <v>1004</v>
      </c>
      <c r="E1908" t="s">
        <v>1968</v>
      </c>
      <c r="F1908" s="13" t="s">
        <v>1968</v>
      </c>
      <c r="G1908" t="s">
        <v>5049</v>
      </c>
      <c r="H1908" t="s">
        <v>5052</v>
      </c>
      <c r="I1908">
        <v>1</v>
      </c>
      <c r="J1908">
        <v>2</v>
      </c>
      <c r="K1908" s="33">
        <v>1</v>
      </c>
      <c r="L1908" s="8">
        <v>9999</v>
      </c>
      <c r="M1908">
        <v>0</v>
      </c>
      <c r="S1908" s="33">
        <v>1</v>
      </c>
      <c r="T1908">
        <v>5</v>
      </c>
      <c r="U1908">
        <v>1000</v>
      </c>
      <c r="V1908" s="87">
        <v>0</v>
      </c>
      <c r="W1908">
        <v>1</v>
      </c>
      <c r="X1908">
        <v>1</v>
      </c>
      <c r="Y1908">
        <v>0</v>
      </c>
      <c r="Z1908" s="33">
        <v>0</v>
      </c>
      <c r="AA1908">
        <v>5</v>
      </c>
      <c r="AB1908">
        <v>3000</v>
      </c>
      <c r="AC1908">
        <v>770</v>
      </c>
      <c r="AF1908" s="63"/>
      <c r="AJ1908" s="64"/>
      <c r="AK1908" s="64"/>
      <c r="AL1908" s="64">
        <v>1</v>
      </c>
      <c r="AM1908" s="4"/>
      <c r="AN1908" s="93"/>
      <c r="AO1908" s="92" t="s">
        <v>5051</v>
      </c>
      <c r="AQ1908" t="s">
        <v>1968</v>
      </c>
      <c r="AS1908">
        <v>1</v>
      </c>
    </row>
    <row r="1909" spans="1:45">
      <c r="A1909">
        <v>400003</v>
      </c>
      <c r="B1909">
        <v>1001</v>
      </c>
      <c r="C1909">
        <v>2</v>
      </c>
      <c r="D1909">
        <v>1004</v>
      </c>
      <c r="E1909" t="s">
        <v>1982</v>
      </c>
      <c r="F1909" s="13" t="s">
        <v>1982</v>
      </c>
      <c r="G1909" t="s">
        <v>5049</v>
      </c>
      <c r="H1909" t="s">
        <v>5053</v>
      </c>
      <c r="I1909">
        <v>1</v>
      </c>
      <c r="J1909">
        <v>3</v>
      </c>
      <c r="K1909" s="33">
        <v>1</v>
      </c>
      <c r="L1909" s="8">
        <v>9999</v>
      </c>
      <c r="M1909">
        <v>0</v>
      </c>
      <c r="S1909" s="33">
        <v>1</v>
      </c>
      <c r="T1909">
        <v>5</v>
      </c>
      <c r="U1909">
        <v>1000</v>
      </c>
      <c r="V1909" s="87">
        <v>0</v>
      </c>
      <c r="W1909">
        <v>1</v>
      </c>
      <c r="X1909">
        <v>1</v>
      </c>
      <c r="Y1909">
        <v>0</v>
      </c>
      <c r="Z1909" s="33">
        <v>0</v>
      </c>
      <c r="AA1909">
        <v>5</v>
      </c>
      <c r="AB1909">
        <v>3000</v>
      </c>
      <c r="AC1909">
        <v>770</v>
      </c>
      <c r="AF1909" s="63"/>
      <c r="AJ1909" s="64"/>
      <c r="AK1909" s="64"/>
      <c r="AL1909" s="64">
        <v>1</v>
      </c>
      <c r="AM1909" s="4"/>
      <c r="AN1909" s="93"/>
      <c r="AO1909" s="92" t="s">
        <v>5051</v>
      </c>
      <c r="AQ1909" t="s">
        <v>1982</v>
      </c>
      <c r="AS1909">
        <v>1</v>
      </c>
    </row>
    <row r="1910" spans="1:45">
      <c r="A1910">
        <v>400004</v>
      </c>
      <c r="B1910">
        <v>1001</v>
      </c>
      <c r="C1910">
        <v>2</v>
      </c>
      <c r="D1910">
        <v>1004</v>
      </c>
      <c r="E1910" t="s">
        <v>1995</v>
      </c>
      <c r="F1910" s="13" t="s">
        <v>1995</v>
      </c>
      <c r="G1910" t="s">
        <v>5049</v>
      </c>
      <c r="H1910" t="s">
        <v>5054</v>
      </c>
      <c r="I1910">
        <v>1</v>
      </c>
      <c r="J1910">
        <v>4</v>
      </c>
      <c r="K1910" s="33">
        <v>1</v>
      </c>
      <c r="L1910" s="8">
        <v>9999</v>
      </c>
      <c r="M1910">
        <v>0</v>
      </c>
      <c r="S1910" s="33">
        <v>1</v>
      </c>
      <c r="T1910">
        <v>5</v>
      </c>
      <c r="U1910">
        <v>1000</v>
      </c>
      <c r="V1910" s="87">
        <v>0</v>
      </c>
      <c r="W1910">
        <v>1</v>
      </c>
      <c r="X1910">
        <v>1</v>
      </c>
      <c r="Y1910">
        <v>0</v>
      </c>
      <c r="Z1910" s="33">
        <v>0</v>
      </c>
      <c r="AA1910">
        <v>5</v>
      </c>
      <c r="AB1910">
        <v>3000</v>
      </c>
      <c r="AC1910">
        <v>770</v>
      </c>
      <c r="AF1910" s="63"/>
      <c r="AJ1910" s="64"/>
      <c r="AK1910" s="64"/>
      <c r="AL1910" s="64">
        <v>1</v>
      </c>
      <c r="AM1910" s="4"/>
      <c r="AN1910" s="93"/>
      <c r="AO1910" s="92" t="s">
        <v>5051</v>
      </c>
      <c r="AQ1910" t="s">
        <v>1995</v>
      </c>
      <c r="AS1910">
        <v>1</v>
      </c>
    </row>
    <row r="1911" spans="1:45">
      <c r="A1911">
        <v>400005</v>
      </c>
      <c r="B1911">
        <v>1001</v>
      </c>
      <c r="C1911">
        <v>2</v>
      </c>
      <c r="D1911">
        <v>1004</v>
      </c>
      <c r="E1911" t="s">
        <v>2014</v>
      </c>
      <c r="F1911" s="13" t="s">
        <v>2014</v>
      </c>
      <c r="G1911" t="s">
        <v>5049</v>
      </c>
      <c r="H1911" t="s">
        <v>5055</v>
      </c>
      <c r="I1911">
        <v>1</v>
      </c>
      <c r="J1911">
        <v>5</v>
      </c>
      <c r="K1911" s="33">
        <v>1</v>
      </c>
      <c r="L1911" s="8">
        <v>9999</v>
      </c>
      <c r="M1911">
        <v>0</v>
      </c>
      <c r="S1911" s="33">
        <v>1</v>
      </c>
      <c r="T1911">
        <v>5</v>
      </c>
      <c r="U1911">
        <v>1000</v>
      </c>
      <c r="V1911" s="87">
        <v>0</v>
      </c>
      <c r="W1911">
        <v>1</v>
      </c>
      <c r="X1911">
        <v>1</v>
      </c>
      <c r="Y1911">
        <v>0</v>
      </c>
      <c r="Z1911" s="33">
        <v>0</v>
      </c>
      <c r="AA1911">
        <v>5</v>
      </c>
      <c r="AB1911">
        <v>3000</v>
      </c>
      <c r="AC1911">
        <v>770</v>
      </c>
      <c r="AF1911" s="63"/>
      <c r="AJ1911" s="64"/>
      <c r="AK1911" s="64"/>
      <c r="AL1911" s="64">
        <v>1</v>
      </c>
      <c r="AM1911" s="4"/>
      <c r="AN1911" s="93"/>
      <c r="AO1911" s="92" t="s">
        <v>5051</v>
      </c>
      <c r="AQ1911" t="s">
        <v>2014</v>
      </c>
      <c r="AS1911">
        <v>1</v>
      </c>
    </row>
    <row r="1912" spans="1:45">
      <c r="A1912">
        <v>400006</v>
      </c>
      <c r="B1912">
        <v>1001</v>
      </c>
      <c r="C1912">
        <v>2</v>
      </c>
      <c r="D1912">
        <v>1004</v>
      </c>
      <c r="E1912" t="s">
        <v>5056</v>
      </c>
      <c r="F1912" s="13" t="s">
        <v>5056</v>
      </c>
      <c r="G1912" t="s">
        <v>5049</v>
      </c>
      <c r="H1912" t="s">
        <v>5057</v>
      </c>
      <c r="I1912">
        <v>1</v>
      </c>
      <c r="J1912">
        <v>5</v>
      </c>
      <c r="K1912" s="33">
        <v>1</v>
      </c>
      <c r="L1912" s="236">
        <v>9999</v>
      </c>
      <c r="M1912">
        <v>0</v>
      </c>
      <c r="P1912"/>
      <c r="R1912" s="8"/>
      <c r="S1912" s="33">
        <v>1</v>
      </c>
      <c r="T1912">
        <v>5</v>
      </c>
      <c r="U1912">
        <v>1000</v>
      </c>
      <c r="V1912" s="87">
        <v>0</v>
      </c>
      <c r="W1912">
        <v>1</v>
      </c>
      <c r="X1912">
        <v>1</v>
      </c>
      <c r="Y1912">
        <v>0</v>
      </c>
      <c r="Z1912" s="33">
        <v>0</v>
      </c>
      <c r="AA1912">
        <v>5</v>
      </c>
      <c r="AB1912">
        <v>3000</v>
      </c>
      <c r="AC1912">
        <v>770</v>
      </c>
      <c r="AF1912" s="63"/>
      <c r="AJ1912" s="64"/>
      <c r="AK1912" s="64"/>
      <c r="AL1912" s="64">
        <v>1</v>
      </c>
      <c r="AM1912" s="4"/>
      <c r="AN1912" s="93"/>
      <c r="AO1912" s="92" t="s">
        <v>5051</v>
      </c>
      <c r="AQ1912" t="s">
        <v>5056</v>
      </c>
      <c r="AS1912">
        <v>1</v>
      </c>
    </row>
    <row r="1913" spans="1:45">
      <c r="A1913">
        <v>491111</v>
      </c>
      <c r="B1913">
        <v>1001</v>
      </c>
      <c r="C1913">
        <v>1</v>
      </c>
      <c r="D1913">
        <v>1001</v>
      </c>
      <c r="E1913" t="s">
        <v>5058</v>
      </c>
      <c r="F1913" s="13" t="s">
        <v>5058</v>
      </c>
      <c r="G1913" t="s">
        <v>5059</v>
      </c>
      <c r="H1913" t="s">
        <v>5060</v>
      </c>
      <c r="I1913">
        <v>1</v>
      </c>
      <c r="J1913">
        <v>1</v>
      </c>
      <c r="K1913" s="33">
        <v>1</v>
      </c>
      <c r="L1913">
        <v>999</v>
      </c>
      <c r="M1913">
        <v>0</v>
      </c>
      <c r="O1913" s="2">
        <v>600000</v>
      </c>
      <c r="P1913" t="s">
        <v>5061</v>
      </c>
      <c r="R1913" s="8" t="s">
        <v>5062</v>
      </c>
      <c r="S1913" s="33">
        <v>1</v>
      </c>
      <c r="T1913">
        <v>5</v>
      </c>
      <c r="U1913">
        <v>2000</v>
      </c>
      <c r="V1913" s="87">
        <v>1</v>
      </c>
      <c r="W1913">
        <v>1</v>
      </c>
      <c r="X1913">
        <v>1</v>
      </c>
      <c r="Y1913">
        <v>0</v>
      </c>
      <c r="Z1913" s="33">
        <v>0</v>
      </c>
      <c r="AA1913">
        <v>5</v>
      </c>
      <c r="AB1913">
        <v>4000</v>
      </c>
      <c r="AC1913">
        <v>888</v>
      </c>
      <c r="AL1913" s="64">
        <v>1</v>
      </c>
      <c r="AN1913" s="93"/>
      <c r="AO1913" s="92"/>
      <c r="AQ1913" t="s">
        <v>5058</v>
      </c>
      <c r="AS1913">
        <v>1</v>
      </c>
    </row>
    <row r="1914" spans="1:45">
      <c r="A1914" s="34">
        <v>511000</v>
      </c>
      <c r="B1914">
        <v>1001</v>
      </c>
      <c r="C1914">
        <v>2</v>
      </c>
      <c r="D1914">
        <v>1004</v>
      </c>
      <c r="E1914" t="s">
        <v>5063</v>
      </c>
      <c r="F1914" s="13" t="s">
        <v>5064</v>
      </c>
      <c r="G1914" t="s">
        <v>5065</v>
      </c>
      <c r="H1914" t="s">
        <v>5066</v>
      </c>
      <c r="I1914">
        <v>1</v>
      </c>
      <c r="J1914">
        <v>1</v>
      </c>
      <c r="K1914" s="33">
        <v>1</v>
      </c>
      <c r="L1914">
        <v>9999</v>
      </c>
      <c r="M1914">
        <v>0</v>
      </c>
      <c r="R1914" s="236"/>
      <c r="S1914" s="33">
        <v>1</v>
      </c>
      <c r="T1914">
        <v>5</v>
      </c>
      <c r="U1914">
        <v>1</v>
      </c>
      <c r="V1914" s="87">
        <v>1</v>
      </c>
      <c r="W1914">
        <v>1</v>
      </c>
      <c r="X1914">
        <v>1</v>
      </c>
      <c r="Y1914">
        <v>0</v>
      </c>
      <c r="Z1914" s="33">
        <v>0</v>
      </c>
      <c r="AA1914">
        <v>5</v>
      </c>
      <c r="AB1914">
        <v>100</v>
      </c>
      <c r="AC1914">
        <v>888</v>
      </c>
      <c r="AL1914" s="64">
        <v>1</v>
      </c>
      <c r="AN1914" s="93"/>
      <c r="AO1914" s="92" t="s">
        <v>5067</v>
      </c>
      <c r="AQ1914" t="s">
        <v>5063</v>
      </c>
      <c r="AS1914">
        <v>1</v>
      </c>
    </row>
    <row r="1915" spans="1:45">
      <c r="A1915" s="34">
        <v>511001</v>
      </c>
      <c r="B1915">
        <v>1001</v>
      </c>
      <c r="C1915">
        <v>2</v>
      </c>
      <c r="D1915">
        <v>1004</v>
      </c>
      <c r="E1915" t="s">
        <v>5068</v>
      </c>
      <c r="F1915" s="13" t="s">
        <v>5068</v>
      </c>
      <c r="G1915" t="s">
        <v>5069</v>
      </c>
      <c r="H1915" t="s">
        <v>5070</v>
      </c>
      <c r="I1915">
        <v>1</v>
      </c>
      <c r="J1915">
        <v>1</v>
      </c>
      <c r="K1915" s="33">
        <v>1</v>
      </c>
      <c r="L1915">
        <v>9999</v>
      </c>
      <c r="M1915">
        <v>0</v>
      </c>
      <c r="S1915" s="33">
        <v>1</v>
      </c>
      <c r="T1915">
        <v>5</v>
      </c>
      <c r="U1915">
        <v>1</v>
      </c>
      <c r="V1915" s="87">
        <v>1</v>
      </c>
      <c r="W1915">
        <v>1</v>
      </c>
      <c r="X1915">
        <v>1</v>
      </c>
      <c r="Y1915">
        <v>0</v>
      </c>
      <c r="Z1915" s="33">
        <v>0</v>
      </c>
      <c r="AA1915">
        <v>5</v>
      </c>
      <c r="AB1915">
        <v>100</v>
      </c>
      <c r="AC1915">
        <v>888</v>
      </c>
      <c r="AL1915" s="64">
        <v>1</v>
      </c>
      <c r="AN1915" s="93"/>
      <c r="AO1915" s="92"/>
      <c r="AQ1915" t="s">
        <v>5068</v>
      </c>
      <c r="AS1915">
        <v>1</v>
      </c>
    </row>
    <row r="1916" spans="1:45">
      <c r="A1916">
        <v>511002</v>
      </c>
      <c r="B1916">
        <v>1001</v>
      </c>
      <c r="C1916">
        <v>2</v>
      </c>
      <c r="D1916">
        <v>1004</v>
      </c>
      <c r="E1916" t="s">
        <v>5071</v>
      </c>
      <c r="F1916" s="13" t="s">
        <v>5071</v>
      </c>
      <c r="G1916" t="s">
        <v>5069</v>
      </c>
      <c r="H1916" t="s">
        <v>5072</v>
      </c>
      <c r="I1916">
        <v>1</v>
      </c>
      <c r="J1916">
        <v>1</v>
      </c>
      <c r="K1916" s="33">
        <v>1</v>
      </c>
      <c r="L1916">
        <v>9999</v>
      </c>
      <c r="M1916">
        <v>0</v>
      </c>
      <c r="S1916" s="33">
        <v>1</v>
      </c>
      <c r="T1916">
        <v>5</v>
      </c>
      <c r="U1916">
        <v>1</v>
      </c>
      <c r="V1916" s="87">
        <v>1</v>
      </c>
      <c r="W1916">
        <v>1</v>
      </c>
      <c r="X1916">
        <v>1</v>
      </c>
      <c r="Y1916">
        <v>0</v>
      </c>
      <c r="Z1916" s="33">
        <v>0</v>
      </c>
      <c r="AA1916">
        <v>5</v>
      </c>
      <c r="AB1916">
        <v>100</v>
      </c>
      <c r="AC1916">
        <v>888</v>
      </c>
      <c r="AL1916" s="64">
        <v>1</v>
      </c>
      <c r="AN1916" s="93"/>
      <c r="AO1916" s="92"/>
      <c r="AQ1916" t="s">
        <v>5071</v>
      </c>
      <c r="AS1916">
        <v>1</v>
      </c>
    </row>
    <row r="1917" spans="1:45">
      <c r="A1917" s="34">
        <v>511003</v>
      </c>
      <c r="B1917">
        <v>1001</v>
      </c>
      <c r="C1917">
        <v>2</v>
      </c>
      <c r="D1917">
        <v>1004</v>
      </c>
      <c r="E1917" t="s">
        <v>5073</v>
      </c>
      <c r="F1917" s="13" t="s">
        <v>5073</v>
      </c>
      <c r="G1917" t="s">
        <v>5069</v>
      </c>
      <c r="H1917" t="s">
        <v>5074</v>
      </c>
      <c r="I1917">
        <v>1</v>
      </c>
      <c r="J1917">
        <v>1</v>
      </c>
      <c r="K1917" s="33">
        <v>1</v>
      </c>
      <c r="L1917">
        <v>9999</v>
      </c>
      <c r="M1917">
        <v>0</v>
      </c>
      <c r="S1917" s="33">
        <v>1</v>
      </c>
      <c r="T1917">
        <v>5</v>
      </c>
      <c r="U1917">
        <v>1</v>
      </c>
      <c r="V1917" s="87">
        <v>1</v>
      </c>
      <c r="W1917">
        <v>1</v>
      </c>
      <c r="X1917">
        <v>1</v>
      </c>
      <c r="Y1917">
        <v>0</v>
      </c>
      <c r="Z1917" s="33">
        <v>0</v>
      </c>
      <c r="AA1917">
        <v>5</v>
      </c>
      <c r="AB1917">
        <v>100</v>
      </c>
      <c r="AC1917">
        <v>888</v>
      </c>
      <c r="AL1917" s="64">
        <v>1</v>
      </c>
      <c r="AN1917" s="93"/>
      <c r="AO1917" s="92"/>
      <c r="AQ1917" t="s">
        <v>5073</v>
      </c>
      <c r="AS1917">
        <v>1</v>
      </c>
    </row>
    <row r="1918" spans="1:45">
      <c r="A1918" s="37">
        <v>511004</v>
      </c>
      <c r="B1918">
        <v>1001</v>
      </c>
      <c r="C1918">
        <v>2</v>
      </c>
      <c r="D1918">
        <v>1004</v>
      </c>
      <c r="E1918" t="s">
        <v>5075</v>
      </c>
      <c r="F1918" s="13" t="s">
        <v>5075</v>
      </c>
      <c r="G1918" t="s">
        <v>5069</v>
      </c>
      <c r="H1918" t="s">
        <v>5076</v>
      </c>
      <c r="I1918">
        <v>1</v>
      </c>
      <c r="J1918">
        <v>1</v>
      </c>
      <c r="K1918" s="33">
        <v>1</v>
      </c>
      <c r="L1918">
        <v>9999</v>
      </c>
      <c r="M1918">
        <v>0</v>
      </c>
      <c r="S1918" s="33">
        <v>1</v>
      </c>
      <c r="T1918">
        <v>5</v>
      </c>
      <c r="U1918">
        <v>1</v>
      </c>
      <c r="V1918" s="87">
        <v>1</v>
      </c>
      <c r="W1918">
        <v>1</v>
      </c>
      <c r="X1918">
        <v>1</v>
      </c>
      <c r="Y1918">
        <v>0</v>
      </c>
      <c r="Z1918" s="33">
        <v>0</v>
      </c>
      <c r="AA1918">
        <v>5</v>
      </c>
      <c r="AB1918">
        <v>100</v>
      </c>
      <c r="AC1918">
        <v>888</v>
      </c>
      <c r="AL1918" s="64">
        <v>1</v>
      </c>
      <c r="AN1918" s="93"/>
      <c r="AO1918" s="92"/>
      <c r="AQ1918" t="s">
        <v>5075</v>
      </c>
      <c r="AS1918">
        <v>1</v>
      </c>
    </row>
    <row r="1919" spans="1:45">
      <c r="A1919" s="34">
        <v>511005</v>
      </c>
      <c r="B1919">
        <v>1001</v>
      </c>
      <c r="C1919">
        <v>2</v>
      </c>
      <c r="D1919">
        <v>1004</v>
      </c>
      <c r="E1919" t="s">
        <v>5077</v>
      </c>
      <c r="F1919" s="13" t="s">
        <v>5077</v>
      </c>
      <c r="G1919" t="s">
        <v>5069</v>
      </c>
      <c r="H1919" t="s">
        <v>5078</v>
      </c>
      <c r="I1919">
        <v>1</v>
      </c>
      <c r="J1919">
        <v>1</v>
      </c>
      <c r="K1919" s="33">
        <v>1</v>
      </c>
      <c r="L1919">
        <v>9999</v>
      </c>
      <c r="M1919">
        <v>0</v>
      </c>
      <c r="S1919" s="33">
        <v>1</v>
      </c>
      <c r="T1919">
        <v>5</v>
      </c>
      <c r="U1919">
        <v>1</v>
      </c>
      <c r="V1919" s="87">
        <v>1</v>
      </c>
      <c r="W1919">
        <v>1</v>
      </c>
      <c r="X1919">
        <v>1</v>
      </c>
      <c r="Y1919">
        <v>0</v>
      </c>
      <c r="Z1919" s="33">
        <v>0</v>
      </c>
      <c r="AA1919">
        <v>5</v>
      </c>
      <c r="AB1919">
        <v>100</v>
      </c>
      <c r="AC1919">
        <v>888</v>
      </c>
      <c r="AL1919" s="64">
        <v>1</v>
      </c>
      <c r="AN1919" s="93"/>
      <c r="AO1919" s="92"/>
      <c r="AQ1919" t="s">
        <v>5077</v>
      </c>
      <c r="AS1919">
        <v>1</v>
      </c>
    </row>
    <row r="1920" spans="1:45">
      <c r="A1920" s="34">
        <v>511006</v>
      </c>
      <c r="B1920">
        <v>1001</v>
      </c>
      <c r="C1920">
        <v>2</v>
      </c>
      <c r="D1920">
        <v>1004</v>
      </c>
      <c r="E1920" t="s">
        <v>5079</v>
      </c>
      <c r="F1920" s="13" t="s">
        <v>5079</v>
      </c>
      <c r="G1920" t="s">
        <v>5069</v>
      </c>
      <c r="H1920" t="s">
        <v>5080</v>
      </c>
      <c r="I1920">
        <v>1</v>
      </c>
      <c r="J1920">
        <v>1</v>
      </c>
      <c r="K1920" s="33">
        <v>1</v>
      </c>
      <c r="L1920">
        <v>9999</v>
      </c>
      <c r="M1920">
        <v>0</v>
      </c>
      <c r="S1920" s="33">
        <v>1</v>
      </c>
      <c r="T1920">
        <v>5</v>
      </c>
      <c r="U1920">
        <v>1</v>
      </c>
      <c r="V1920" s="87">
        <v>0</v>
      </c>
      <c r="W1920">
        <v>1</v>
      </c>
      <c r="X1920">
        <v>1</v>
      </c>
      <c r="Y1920">
        <v>0</v>
      </c>
      <c r="Z1920" s="33">
        <v>0</v>
      </c>
      <c r="AA1920">
        <v>5</v>
      </c>
      <c r="AB1920">
        <v>100</v>
      </c>
      <c r="AC1920">
        <v>888</v>
      </c>
      <c r="AL1920" s="64">
        <v>1</v>
      </c>
      <c r="AN1920" s="93"/>
      <c r="AO1920" s="92"/>
      <c r="AQ1920" t="s">
        <v>5079</v>
      </c>
      <c r="AS1920">
        <v>1</v>
      </c>
    </row>
    <row r="1921" spans="1:45">
      <c r="A1921" s="323">
        <v>511007</v>
      </c>
      <c r="B1921">
        <v>1001</v>
      </c>
      <c r="C1921">
        <v>2</v>
      </c>
      <c r="D1921">
        <v>1004</v>
      </c>
      <c r="E1921" t="s">
        <v>5081</v>
      </c>
      <c r="F1921" s="13" t="s">
        <v>5081</v>
      </c>
      <c r="G1921" t="s">
        <v>5069</v>
      </c>
      <c r="H1921" t="s">
        <v>5082</v>
      </c>
      <c r="I1921">
        <v>1</v>
      </c>
      <c r="J1921">
        <v>1</v>
      </c>
      <c r="K1921" s="33">
        <v>1</v>
      </c>
      <c r="L1921">
        <v>9999</v>
      </c>
      <c r="M1921">
        <v>0</v>
      </c>
      <c r="S1921" s="33">
        <v>1</v>
      </c>
      <c r="T1921">
        <v>5</v>
      </c>
      <c r="U1921">
        <v>2</v>
      </c>
      <c r="V1921" s="87">
        <v>0</v>
      </c>
      <c r="W1921">
        <v>1</v>
      </c>
      <c r="X1921">
        <v>1</v>
      </c>
      <c r="Y1921">
        <v>0</v>
      </c>
      <c r="Z1921" s="33">
        <v>0</v>
      </c>
      <c r="AA1921">
        <v>5</v>
      </c>
      <c r="AB1921">
        <v>200</v>
      </c>
      <c r="AC1921">
        <v>888</v>
      </c>
      <c r="AL1921" s="64">
        <v>1</v>
      </c>
      <c r="AN1921" s="93"/>
      <c r="AO1921" s="92"/>
      <c r="AQ1921" t="s">
        <v>5081</v>
      </c>
      <c r="AS1921">
        <v>1</v>
      </c>
    </row>
    <row r="1922" spans="1:45">
      <c r="A1922" s="323">
        <v>511008</v>
      </c>
      <c r="B1922">
        <v>1001</v>
      </c>
      <c r="C1922">
        <v>2</v>
      </c>
      <c r="D1922">
        <v>1004</v>
      </c>
      <c r="E1922" t="s">
        <v>5083</v>
      </c>
      <c r="F1922" s="13" t="s">
        <v>5083</v>
      </c>
      <c r="G1922" t="s">
        <v>5069</v>
      </c>
      <c r="H1922" t="s">
        <v>5084</v>
      </c>
      <c r="I1922">
        <v>1</v>
      </c>
      <c r="J1922">
        <v>1</v>
      </c>
      <c r="K1922" s="33">
        <v>1</v>
      </c>
      <c r="L1922">
        <v>9999</v>
      </c>
      <c r="M1922">
        <v>0</v>
      </c>
      <c r="S1922" s="33">
        <v>1</v>
      </c>
      <c r="T1922">
        <v>5</v>
      </c>
      <c r="U1922">
        <v>3</v>
      </c>
      <c r="V1922" s="87">
        <v>1</v>
      </c>
      <c r="W1922">
        <v>1</v>
      </c>
      <c r="X1922">
        <v>1</v>
      </c>
      <c r="Y1922">
        <v>0</v>
      </c>
      <c r="Z1922" s="33">
        <v>0</v>
      </c>
      <c r="AA1922">
        <v>5</v>
      </c>
      <c r="AB1922">
        <v>300</v>
      </c>
      <c r="AC1922">
        <v>888</v>
      </c>
      <c r="AL1922" s="64">
        <v>1</v>
      </c>
      <c r="AN1922" s="93"/>
      <c r="AO1922" s="92"/>
      <c r="AQ1922" t="s">
        <v>5083</v>
      </c>
      <c r="AS1922">
        <v>1</v>
      </c>
    </row>
    <row r="1923" spans="1:45">
      <c r="A1923" s="34">
        <v>511009</v>
      </c>
      <c r="B1923">
        <v>1001</v>
      </c>
      <c r="C1923">
        <v>2</v>
      </c>
      <c r="D1923">
        <v>1004</v>
      </c>
      <c r="E1923" t="s">
        <v>5085</v>
      </c>
      <c r="F1923" s="13" t="s">
        <v>5085</v>
      </c>
      <c r="G1923" t="s">
        <v>5069</v>
      </c>
      <c r="H1923" t="s">
        <v>5086</v>
      </c>
      <c r="I1923">
        <v>1</v>
      </c>
      <c r="J1923">
        <v>1</v>
      </c>
      <c r="K1923" s="33">
        <v>1</v>
      </c>
      <c r="L1923">
        <v>9999</v>
      </c>
      <c r="M1923">
        <v>0</v>
      </c>
      <c r="S1923" s="33">
        <v>1</v>
      </c>
      <c r="T1923">
        <v>5</v>
      </c>
      <c r="U1923">
        <v>2</v>
      </c>
      <c r="V1923" s="87">
        <v>0</v>
      </c>
      <c r="W1923">
        <v>1</v>
      </c>
      <c r="X1923">
        <v>1</v>
      </c>
      <c r="Y1923">
        <v>0</v>
      </c>
      <c r="Z1923" s="33">
        <v>0</v>
      </c>
      <c r="AA1923">
        <v>5</v>
      </c>
      <c r="AB1923">
        <v>200</v>
      </c>
      <c r="AC1923">
        <v>888</v>
      </c>
      <c r="AL1923" s="64">
        <v>1</v>
      </c>
      <c r="AN1923" s="93"/>
      <c r="AO1923" s="92"/>
      <c r="AQ1923" t="s">
        <v>5085</v>
      </c>
      <c r="AS1923">
        <v>1</v>
      </c>
    </row>
    <row r="1924" spans="1:45">
      <c r="A1924" s="323">
        <v>511010</v>
      </c>
      <c r="B1924">
        <v>1001</v>
      </c>
      <c r="C1924">
        <v>2</v>
      </c>
      <c r="D1924">
        <v>1004</v>
      </c>
      <c r="E1924" t="s">
        <v>5087</v>
      </c>
      <c r="F1924" s="13" t="s">
        <v>5087</v>
      </c>
      <c r="G1924" t="s">
        <v>5069</v>
      </c>
      <c r="H1924" t="s">
        <v>5088</v>
      </c>
      <c r="I1924">
        <v>1</v>
      </c>
      <c r="J1924">
        <v>1</v>
      </c>
      <c r="K1924" s="33">
        <v>1</v>
      </c>
      <c r="L1924">
        <v>9999</v>
      </c>
      <c r="M1924">
        <v>0</v>
      </c>
      <c r="S1924" s="33">
        <v>1</v>
      </c>
      <c r="T1924">
        <v>5</v>
      </c>
      <c r="U1924">
        <v>2</v>
      </c>
      <c r="V1924" s="87">
        <v>0</v>
      </c>
      <c r="W1924">
        <v>1</v>
      </c>
      <c r="X1924">
        <v>1</v>
      </c>
      <c r="Y1924">
        <v>0</v>
      </c>
      <c r="Z1924" s="33">
        <v>0</v>
      </c>
      <c r="AA1924">
        <v>5</v>
      </c>
      <c r="AB1924">
        <v>200</v>
      </c>
      <c r="AC1924">
        <v>888</v>
      </c>
      <c r="AL1924" s="64">
        <v>1</v>
      </c>
      <c r="AN1924" s="93"/>
      <c r="AO1924" s="92"/>
      <c r="AQ1924" t="s">
        <v>5087</v>
      </c>
      <c r="AS1924">
        <v>1</v>
      </c>
    </row>
    <row r="1925" spans="1:45">
      <c r="A1925" s="37">
        <v>511011</v>
      </c>
      <c r="B1925">
        <v>1001</v>
      </c>
      <c r="C1925">
        <v>2</v>
      </c>
      <c r="D1925">
        <v>1004</v>
      </c>
      <c r="E1925" t="s">
        <v>5089</v>
      </c>
      <c r="F1925" s="13" t="s">
        <v>5089</v>
      </c>
      <c r="G1925" t="s">
        <v>5090</v>
      </c>
      <c r="H1925" t="s">
        <v>5091</v>
      </c>
      <c r="I1925">
        <v>1</v>
      </c>
      <c r="J1925">
        <v>1</v>
      </c>
      <c r="K1925" s="33">
        <v>1</v>
      </c>
      <c r="L1925">
        <v>9999</v>
      </c>
      <c r="M1925">
        <v>0</v>
      </c>
      <c r="S1925" s="33">
        <v>1</v>
      </c>
      <c r="T1925">
        <v>5</v>
      </c>
      <c r="U1925">
        <v>3</v>
      </c>
      <c r="V1925" s="87">
        <v>1</v>
      </c>
      <c r="W1925">
        <v>1</v>
      </c>
      <c r="X1925">
        <v>1</v>
      </c>
      <c r="Y1925">
        <v>0</v>
      </c>
      <c r="Z1925" s="33">
        <v>0</v>
      </c>
      <c r="AA1925">
        <v>5</v>
      </c>
      <c r="AB1925">
        <v>300</v>
      </c>
      <c r="AC1925">
        <v>888</v>
      </c>
      <c r="AL1925" s="64">
        <v>1</v>
      </c>
      <c r="AN1925" s="93"/>
      <c r="AO1925" s="92"/>
      <c r="AQ1925" t="s">
        <v>5089</v>
      </c>
      <c r="AS1925">
        <v>1</v>
      </c>
    </row>
    <row r="1926" spans="1:45">
      <c r="A1926" s="34">
        <v>511012</v>
      </c>
      <c r="B1926">
        <v>1001</v>
      </c>
      <c r="C1926">
        <v>2</v>
      </c>
      <c r="D1926">
        <v>1004</v>
      </c>
      <c r="E1926" t="s">
        <v>5092</v>
      </c>
      <c r="F1926" s="13" t="s">
        <v>5092</v>
      </c>
      <c r="G1926" t="s">
        <v>5069</v>
      </c>
      <c r="H1926" t="s">
        <v>5093</v>
      </c>
      <c r="I1926">
        <v>1</v>
      </c>
      <c r="J1926">
        <v>1</v>
      </c>
      <c r="K1926" s="33">
        <v>1</v>
      </c>
      <c r="L1926">
        <v>9999</v>
      </c>
      <c r="M1926">
        <v>0</v>
      </c>
      <c r="S1926" s="33">
        <v>1</v>
      </c>
      <c r="T1926">
        <v>5</v>
      </c>
      <c r="U1926">
        <v>1</v>
      </c>
      <c r="V1926" s="87">
        <v>1</v>
      </c>
      <c r="W1926">
        <v>1</v>
      </c>
      <c r="X1926">
        <v>1</v>
      </c>
      <c r="Y1926">
        <v>0</v>
      </c>
      <c r="Z1926" s="33">
        <v>0</v>
      </c>
      <c r="AA1926">
        <v>5</v>
      </c>
      <c r="AB1926">
        <v>100</v>
      </c>
      <c r="AC1926">
        <v>888</v>
      </c>
      <c r="AL1926" s="64">
        <v>1</v>
      </c>
      <c r="AN1926" s="93"/>
      <c r="AO1926" s="92"/>
      <c r="AQ1926" t="s">
        <v>5094</v>
      </c>
      <c r="AS1926">
        <v>1</v>
      </c>
    </row>
    <row r="1927" spans="1:45">
      <c r="A1927" s="323">
        <v>511013</v>
      </c>
      <c r="B1927">
        <v>1001</v>
      </c>
      <c r="C1927">
        <v>2</v>
      </c>
      <c r="D1927">
        <v>1004</v>
      </c>
      <c r="E1927" t="s">
        <v>5095</v>
      </c>
      <c r="F1927" s="13" t="s">
        <v>5095</v>
      </c>
      <c r="G1927" t="s">
        <v>5069</v>
      </c>
      <c r="H1927" t="s">
        <v>5096</v>
      </c>
      <c r="I1927">
        <v>1</v>
      </c>
      <c r="J1927">
        <v>1</v>
      </c>
      <c r="K1927" s="33">
        <v>1</v>
      </c>
      <c r="L1927">
        <v>9999</v>
      </c>
      <c r="M1927">
        <v>0</v>
      </c>
      <c r="S1927" s="33">
        <v>1</v>
      </c>
      <c r="T1927">
        <v>5</v>
      </c>
      <c r="U1927">
        <v>1</v>
      </c>
      <c r="V1927" s="87">
        <v>1</v>
      </c>
      <c r="W1927">
        <v>1</v>
      </c>
      <c r="X1927">
        <v>1</v>
      </c>
      <c r="Y1927">
        <v>0</v>
      </c>
      <c r="Z1927" s="33">
        <v>0</v>
      </c>
      <c r="AA1927">
        <v>5</v>
      </c>
      <c r="AB1927">
        <v>100</v>
      </c>
      <c r="AC1927">
        <v>888</v>
      </c>
      <c r="AL1927" s="64">
        <v>1</v>
      </c>
      <c r="AN1927" s="93"/>
      <c r="AO1927" s="92"/>
      <c r="AQ1927" t="s">
        <v>5095</v>
      </c>
      <c r="AS1927">
        <v>1</v>
      </c>
    </row>
    <row r="1928" spans="1:45">
      <c r="A1928" s="323">
        <v>511014</v>
      </c>
      <c r="B1928">
        <v>1001</v>
      </c>
      <c r="C1928">
        <v>2</v>
      </c>
      <c r="D1928">
        <v>1004</v>
      </c>
      <c r="E1928" t="s">
        <v>5097</v>
      </c>
      <c r="F1928" s="13" t="s">
        <v>5097</v>
      </c>
      <c r="G1928" t="s">
        <v>5090</v>
      </c>
      <c r="H1928" t="s">
        <v>5098</v>
      </c>
      <c r="I1928">
        <v>1</v>
      </c>
      <c r="J1928">
        <v>1</v>
      </c>
      <c r="K1928" s="33">
        <v>1</v>
      </c>
      <c r="L1928">
        <v>9999</v>
      </c>
      <c r="M1928">
        <v>0</v>
      </c>
      <c r="S1928" s="33">
        <v>1</v>
      </c>
      <c r="T1928">
        <v>5</v>
      </c>
      <c r="U1928">
        <v>5</v>
      </c>
      <c r="V1928" s="87">
        <v>1</v>
      </c>
      <c r="W1928">
        <v>1</v>
      </c>
      <c r="X1928">
        <v>1</v>
      </c>
      <c r="Y1928">
        <v>0</v>
      </c>
      <c r="Z1928" s="33">
        <v>0</v>
      </c>
      <c r="AA1928">
        <v>5</v>
      </c>
      <c r="AB1928">
        <v>500</v>
      </c>
      <c r="AC1928">
        <v>888</v>
      </c>
      <c r="AL1928" s="64">
        <v>1</v>
      </c>
      <c r="AN1928" s="93"/>
      <c r="AO1928" s="92"/>
      <c r="AQ1928" t="s">
        <v>5097</v>
      </c>
      <c r="AS1928">
        <v>1</v>
      </c>
    </row>
    <row r="1929" spans="1:45">
      <c r="A1929" s="34">
        <v>511015</v>
      </c>
      <c r="B1929">
        <v>1001</v>
      </c>
      <c r="C1929">
        <v>2</v>
      </c>
      <c r="D1929">
        <v>1004</v>
      </c>
      <c r="E1929" t="s">
        <v>5099</v>
      </c>
      <c r="F1929" s="13" t="s">
        <v>5099</v>
      </c>
      <c r="G1929" t="s">
        <v>5069</v>
      </c>
      <c r="H1929" t="s">
        <v>5100</v>
      </c>
      <c r="I1929">
        <v>1</v>
      </c>
      <c r="J1929">
        <v>1</v>
      </c>
      <c r="K1929" s="33">
        <v>1</v>
      </c>
      <c r="L1929">
        <v>9999</v>
      </c>
      <c r="M1929">
        <v>0</v>
      </c>
      <c r="S1929" s="33">
        <v>1</v>
      </c>
      <c r="T1929">
        <v>5</v>
      </c>
      <c r="U1929">
        <v>1</v>
      </c>
      <c r="V1929" s="87">
        <v>1</v>
      </c>
      <c r="W1929">
        <v>1</v>
      </c>
      <c r="X1929">
        <v>1</v>
      </c>
      <c r="Y1929">
        <v>0</v>
      </c>
      <c r="Z1929" s="33">
        <v>0</v>
      </c>
      <c r="AA1929">
        <v>5</v>
      </c>
      <c r="AB1929">
        <v>100</v>
      </c>
      <c r="AC1929">
        <v>888</v>
      </c>
      <c r="AL1929" s="64">
        <v>1</v>
      </c>
      <c r="AN1929" s="93"/>
      <c r="AO1929" s="92"/>
      <c r="AQ1929" t="s">
        <v>5101</v>
      </c>
      <c r="AS1929">
        <v>1</v>
      </c>
    </row>
    <row r="1930" spans="1:45">
      <c r="A1930" s="37">
        <v>511016</v>
      </c>
      <c r="B1930">
        <v>1001</v>
      </c>
      <c r="C1930">
        <v>2</v>
      </c>
      <c r="D1930">
        <v>1004</v>
      </c>
      <c r="E1930" t="s">
        <v>5102</v>
      </c>
      <c r="F1930" s="13" t="s">
        <v>5102</v>
      </c>
      <c r="G1930" t="s">
        <v>5069</v>
      </c>
      <c r="H1930" t="s">
        <v>5103</v>
      </c>
      <c r="I1930">
        <v>1</v>
      </c>
      <c r="J1930">
        <v>1</v>
      </c>
      <c r="K1930" s="33">
        <v>1</v>
      </c>
      <c r="L1930">
        <v>9999</v>
      </c>
      <c r="M1930">
        <v>0</v>
      </c>
      <c r="S1930" s="33">
        <v>1</v>
      </c>
      <c r="T1930">
        <v>5</v>
      </c>
      <c r="U1930">
        <v>1</v>
      </c>
      <c r="V1930" s="87">
        <v>1</v>
      </c>
      <c r="W1930">
        <v>1</v>
      </c>
      <c r="X1930">
        <v>1</v>
      </c>
      <c r="Y1930">
        <v>0</v>
      </c>
      <c r="Z1930" s="33">
        <v>0</v>
      </c>
      <c r="AA1930">
        <v>5</v>
      </c>
      <c r="AB1930">
        <v>100</v>
      </c>
      <c r="AC1930">
        <v>888</v>
      </c>
      <c r="AL1930" s="64">
        <v>1</v>
      </c>
      <c r="AN1930" s="93"/>
      <c r="AO1930" s="92"/>
      <c r="AQ1930" t="s">
        <v>5102</v>
      </c>
      <c r="AS1930">
        <v>1</v>
      </c>
    </row>
    <row r="1931" spans="1:45">
      <c r="A1931" s="323">
        <v>511017</v>
      </c>
      <c r="B1931">
        <v>1001</v>
      </c>
      <c r="C1931">
        <v>2</v>
      </c>
      <c r="D1931">
        <v>1004</v>
      </c>
      <c r="E1931" t="s">
        <v>5104</v>
      </c>
      <c r="F1931" s="13" t="s">
        <v>5104</v>
      </c>
      <c r="G1931" t="s">
        <v>5090</v>
      </c>
      <c r="H1931" t="s">
        <v>5105</v>
      </c>
      <c r="I1931">
        <v>1</v>
      </c>
      <c r="J1931">
        <v>1</v>
      </c>
      <c r="K1931" s="33">
        <v>1</v>
      </c>
      <c r="L1931">
        <v>9999</v>
      </c>
      <c r="M1931">
        <v>0</v>
      </c>
      <c r="S1931" s="33">
        <v>1</v>
      </c>
      <c r="T1931">
        <v>5</v>
      </c>
      <c r="U1931">
        <v>3</v>
      </c>
      <c r="V1931" s="87">
        <v>1</v>
      </c>
      <c r="W1931">
        <v>1</v>
      </c>
      <c r="X1931">
        <v>1</v>
      </c>
      <c r="Y1931">
        <v>0</v>
      </c>
      <c r="Z1931" s="33">
        <v>0</v>
      </c>
      <c r="AA1931">
        <v>5</v>
      </c>
      <c r="AB1931">
        <v>300</v>
      </c>
      <c r="AC1931">
        <v>888</v>
      </c>
      <c r="AL1931" s="64">
        <v>1</v>
      </c>
      <c r="AN1931" s="93"/>
      <c r="AO1931" s="92"/>
      <c r="AQ1931" t="s">
        <v>5104</v>
      </c>
      <c r="AS1931">
        <v>1</v>
      </c>
    </row>
    <row r="1932" spans="1:45">
      <c r="A1932" s="34">
        <v>511018</v>
      </c>
      <c r="B1932">
        <v>1001</v>
      </c>
      <c r="C1932">
        <v>2</v>
      </c>
      <c r="D1932">
        <v>1004</v>
      </c>
      <c r="E1932" t="s">
        <v>5106</v>
      </c>
      <c r="F1932" s="13" t="s">
        <v>5106</v>
      </c>
      <c r="G1932" t="s">
        <v>5069</v>
      </c>
      <c r="H1932" t="s">
        <v>5107</v>
      </c>
      <c r="I1932">
        <v>1</v>
      </c>
      <c r="J1932">
        <v>1</v>
      </c>
      <c r="K1932" s="33">
        <v>1</v>
      </c>
      <c r="L1932">
        <v>9999</v>
      </c>
      <c r="M1932">
        <v>0</v>
      </c>
      <c r="S1932" s="33">
        <v>1</v>
      </c>
      <c r="T1932">
        <v>5</v>
      </c>
      <c r="U1932">
        <v>1</v>
      </c>
      <c r="V1932" s="87">
        <v>0</v>
      </c>
      <c r="W1932">
        <v>1</v>
      </c>
      <c r="X1932">
        <v>1</v>
      </c>
      <c r="Y1932">
        <v>0</v>
      </c>
      <c r="Z1932" s="33">
        <v>0</v>
      </c>
      <c r="AA1932">
        <v>5</v>
      </c>
      <c r="AB1932">
        <v>100</v>
      </c>
      <c r="AC1932">
        <v>888</v>
      </c>
      <c r="AL1932" s="64">
        <v>1</v>
      </c>
      <c r="AN1932" s="93"/>
      <c r="AO1932" s="92"/>
      <c r="AQ1932" t="s">
        <v>5108</v>
      </c>
      <c r="AS1932">
        <v>1</v>
      </c>
    </row>
    <row r="1933" spans="1:45">
      <c r="A1933" s="34">
        <v>511019</v>
      </c>
      <c r="B1933">
        <v>1001</v>
      </c>
      <c r="C1933">
        <v>2</v>
      </c>
      <c r="D1933">
        <v>1004</v>
      </c>
      <c r="E1933" t="s">
        <v>5109</v>
      </c>
      <c r="F1933" s="13" t="s">
        <v>5109</v>
      </c>
      <c r="G1933" t="s">
        <v>5069</v>
      </c>
      <c r="H1933" t="s">
        <v>5110</v>
      </c>
      <c r="I1933">
        <v>1</v>
      </c>
      <c r="J1933">
        <v>1</v>
      </c>
      <c r="K1933" s="33">
        <v>1</v>
      </c>
      <c r="L1933">
        <v>9999</v>
      </c>
      <c r="M1933">
        <v>0</v>
      </c>
      <c r="S1933" s="33">
        <v>1</v>
      </c>
      <c r="T1933">
        <v>5</v>
      </c>
      <c r="U1933">
        <v>2</v>
      </c>
      <c r="V1933" s="87">
        <v>1</v>
      </c>
      <c r="W1933">
        <v>1</v>
      </c>
      <c r="X1933">
        <v>1</v>
      </c>
      <c r="Y1933">
        <v>0</v>
      </c>
      <c r="Z1933" s="33">
        <v>0</v>
      </c>
      <c r="AA1933">
        <v>5</v>
      </c>
      <c r="AB1933">
        <v>200</v>
      </c>
      <c r="AC1933">
        <v>888</v>
      </c>
      <c r="AL1933" s="64">
        <v>1</v>
      </c>
      <c r="AN1933" s="93"/>
      <c r="AO1933" s="92"/>
      <c r="AQ1933" t="s">
        <v>5111</v>
      </c>
      <c r="AS1933">
        <v>1</v>
      </c>
    </row>
    <row r="1934" spans="1:45">
      <c r="A1934" s="34">
        <v>511020</v>
      </c>
      <c r="B1934">
        <v>1001</v>
      </c>
      <c r="C1934">
        <v>2</v>
      </c>
      <c r="D1934">
        <v>1004</v>
      </c>
      <c r="E1934" t="s">
        <v>5112</v>
      </c>
      <c r="F1934" s="13" t="s">
        <v>5112</v>
      </c>
      <c r="G1934" t="s">
        <v>5069</v>
      </c>
      <c r="H1934" t="s">
        <v>5113</v>
      </c>
      <c r="I1934">
        <v>1</v>
      </c>
      <c r="J1934">
        <v>1</v>
      </c>
      <c r="K1934" s="33">
        <v>1</v>
      </c>
      <c r="L1934">
        <v>9999</v>
      </c>
      <c r="M1934">
        <v>0</v>
      </c>
      <c r="S1934" s="33">
        <v>1</v>
      </c>
      <c r="T1934">
        <v>5</v>
      </c>
      <c r="U1934">
        <v>1</v>
      </c>
      <c r="V1934" s="87">
        <v>1</v>
      </c>
      <c r="W1934">
        <v>1</v>
      </c>
      <c r="X1934">
        <v>1</v>
      </c>
      <c r="Y1934">
        <v>0</v>
      </c>
      <c r="Z1934" s="33">
        <v>0</v>
      </c>
      <c r="AA1934">
        <v>5</v>
      </c>
      <c r="AB1934">
        <v>100</v>
      </c>
      <c r="AC1934">
        <v>888</v>
      </c>
      <c r="AL1934" s="64">
        <v>1</v>
      </c>
      <c r="AN1934" s="93"/>
      <c r="AO1934" s="92"/>
      <c r="AQ1934" t="s">
        <v>5112</v>
      </c>
      <c r="AS1934">
        <v>1</v>
      </c>
    </row>
    <row r="1935" spans="1:45">
      <c r="A1935" s="34">
        <v>511021</v>
      </c>
      <c r="B1935">
        <v>1001</v>
      </c>
      <c r="C1935">
        <v>2</v>
      </c>
      <c r="D1935">
        <v>1004</v>
      </c>
      <c r="E1935" t="s">
        <v>5114</v>
      </c>
      <c r="F1935" s="13" t="s">
        <v>5114</v>
      </c>
      <c r="G1935" t="s">
        <v>5069</v>
      </c>
      <c r="H1935" t="s">
        <v>5115</v>
      </c>
      <c r="I1935">
        <v>1</v>
      </c>
      <c r="J1935">
        <v>1</v>
      </c>
      <c r="K1935" s="33">
        <v>1</v>
      </c>
      <c r="L1935">
        <v>9999</v>
      </c>
      <c r="M1935">
        <v>0</v>
      </c>
      <c r="S1935" s="33">
        <v>1</v>
      </c>
      <c r="T1935">
        <v>5</v>
      </c>
      <c r="U1935">
        <v>2</v>
      </c>
      <c r="V1935" s="87">
        <v>1</v>
      </c>
      <c r="W1935">
        <v>1</v>
      </c>
      <c r="X1935">
        <v>1</v>
      </c>
      <c r="Y1935">
        <v>0</v>
      </c>
      <c r="Z1935" s="33">
        <v>0</v>
      </c>
      <c r="AA1935">
        <v>5</v>
      </c>
      <c r="AB1935">
        <v>200</v>
      </c>
      <c r="AC1935">
        <v>888</v>
      </c>
      <c r="AL1935" s="64">
        <v>1</v>
      </c>
      <c r="AN1935" s="93"/>
      <c r="AO1935" s="92"/>
      <c r="AQ1935" t="s">
        <v>5114</v>
      </c>
      <c r="AS1935">
        <v>1</v>
      </c>
    </row>
    <row r="1936" spans="1:45">
      <c r="A1936" s="323">
        <v>511022</v>
      </c>
      <c r="B1936">
        <v>1001</v>
      </c>
      <c r="C1936">
        <v>2</v>
      </c>
      <c r="D1936">
        <v>1004</v>
      </c>
      <c r="E1936" t="s">
        <v>5116</v>
      </c>
      <c r="F1936" s="13" t="s">
        <v>5116</v>
      </c>
      <c r="G1936" t="s">
        <v>5069</v>
      </c>
      <c r="H1936" t="s">
        <v>5117</v>
      </c>
      <c r="I1936">
        <v>1</v>
      </c>
      <c r="J1936">
        <v>1</v>
      </c>
      <c r="K1936" s="33">
        <v>1</v>
      </c>
      <c r="L1936">
        <v>9999</v>
      </c>
      <c r="M1936">
        <v>0</v>
      </c>
      <c r="S1936" s="33">
        <v>1</v>
      </c>
      <c r="T1936">
        <v>5</v>
      </c>
      <c r="U1936">
        <v>2</v>
      </c>
      <c r="V1936" s="87">
        <v>1</v>
      </c>
      <c r="W1936">
        <v>1</v>
      </c>
      <c r="X1936">
        <v>1</v>
      </c>
      <c r="Y1936">
        <v>0</v>
      </c>
      <c r="Z1936" s="33">
        <v>0</v>
      </c>
      <c r="AA1936">
        <v>5</v>
      </c>
      <c r="AB1936">
        <v>200</v>
      </c>
      <c r="AC1936">
        <v>888</v>
      </c>
      <c r="AL1936" s="64">
        <v>1</v>
      </c>
      <c r="AN1936" s="93"/>
      <c r="AO1936" s="92"/>
      <c r="AQ1936" t="s">
        <v>5116</v>
      </c>
      <c r="AS1936">
        <v>1</v>
      </c>
    </row>
    <row r="1937" spans="1:45">
      <c r="A1937" s="323">
        <v>511023</v>
      </c>
      <c r="B1937">
        <v>1001</v>
      </c>
      <c r="C1937">
        <v>2</v>
      </c>
      <c r="D1937">
        <v>1004</v>
      </c>
      <c r="E1937" t="s">
        <v>5118</v>
      </c>
      <c r="F1937" s="13" t="s">
        <v>5118</v>
      </c>
      <c r="G1937" t="s">
        <v>5090</v>
      </c>
      <c r="H1937" t="s">
        <v>5119</v>
      </c>
      <c r="I1937">
        <v>1</v>
      </c>
      <c r="J1937">
        <v>1</v>
      </c>
      <c r="K1937" s="33">
        <v>1</v>
      </c>
      <c r="L1937">
        <v>9999</v>
      </c>
      <c r="M1937">
        <v>0</v>
      </c>
      <c r="S1937" s="33">
        <v>1</v>
      </c>
      <c r="T1937">
        <v>5</v>
      </c>
      <c r="U1937">
        <v>3</v>
      </c>
      <c r="V1937" s="87">
        <v>1</v>
      </c>
      <c r="W1937">
        <v>1</v>
      </c>
      <c r="X1937">
        <v>1</v>
      </c>
      <c r="Y1937">
        <v>0</v>
      </c>
      <c r="Z1937" s="33">
        <v>0</v>
      </c>
      <c r="AA1937">
        <v>5</v>
      </c>
      <c r="AB1937">
        <v>300</v>
      </c>
      <c r="AC1937">
        <v>888</v>
      </c>
      <c r="AL1937" s="64">
        <v>1</v>
      </c>
      <c r="AN1937" s="93"/>
      <c r="AO1937" s="92"/>
      <c r="AQ1937" t="s">
        <v>5118</v>
      </c>
      <c r="AS1937">
        <v>1</v>
      </c>
    </row>
    <row r="1938" spans="1:45">
      <c r="A1938" s="323">
        <v>511024</v>
      </c>
      <c r="B1938">
        <v>1001</v>
      </c>
      <c r="C1938">
        <v>2</v>
      </c>
      <c r="D1938">
        <v>1004</v>
      </c>
      <c r="E1938" t="s">
        <v>5120</v>
      </c>
      <c r="F1938" s="13" t="s">
        <v>5120</v>
      </c>
      <c r="G1938" t="s">
        <v>5090</v>
      </c>
      <c r="H1938" t="s">
        <v>5121</v>
      </c>
      <c r="I1938">
        <v>1</v>
      </c>
      <c r="J1938">
        <v>1</v>
      </c>
      <c r="K1938" s="33">
        <v>1</v>
      </c>
      <c r="L1938">
        <v>9999</v>
      </c>
      <c r="M1938">
        <v>0</v>
      </c>
      <c r="S1938" s="33">
        <v>1</v>
      </c>
      <c r="T1938">
        <v>5</v>
      </c>
      <c r="U1938">
        <v>3</v>
      </c>
      <c r="V1938" s="87">
        <v>1</v>
      </c>
      <c r="W1938">
        <v>1</v>
      </c>
      <c r="X1938">
        <v>1</v>
      </c>
      <c r="Y1938">
        <v>0</v>
      </c>
      <c r="Z1938" s="33">
        <v>0</v>
      </c>
      <c r="AA1938">
        <v>5</v>
      </c>
      <c r="AB1938">
        <v>300</v>
      </c>
      <c r="AC1938">
        <v>888</v>
      </c>
      <c r="AL1938" s="64">
        <v>1</v>
      </c>
      <c r="AN1938" s="93"/>
      <c r="AO1938" s="92"/>
      <c r="AQ1938" t="s">
        <v>5120</v>
      </c>
      <c r="AS1938">
        <v>1</v>
      </c>
    </row>
    <row r="1939" spans="1:45">
      <c r="A1939">
        <v>511025</v>
      </c>
      <c r="B1939">
        <v>1001</v>
      </c>
      <c r="C1939">
        <v>2</v>
      </c>
      <c r="D1939">
        <v>1004</v>
      </c>
      <c r="E1939" t="s">
        <v>5122</v>
      </c>
      <c r="F1939" s="13" t="s">
        <v>5122</v>
      </c>
      <c r="G1939" t="s">
        <v>5090</v>
      </c>
      <c r="H1939" t="s">
        <v>5123</v>
      </c>
      <c r="I1939">
        <v>1</v>
      </c>
      <c r="J1939">
        <v>1</v>
      </c>
      <c r="K1939" s="33">
        <v>1</v>
      </c>
      <c r="L1939">
        <v>9999</v>
      </c>
      <c r="M1939">
        <v>0</v>
      </c>
      <c r="R1939" s="8"/>
      <c r="S1939" s="33">
        <v>1</v>
      </c>
      <c r="T1939">
        <v>5</v>
      </c>
      <c r="U1939">
        <v>5</v>
      </c>
      <c r="V1939" s="87">
        <v>1</v>
      </c>
      <c r="W1939">
        <v>1</v>
      </c>
      <c r="X1939">
        <v>1</v>
      </c>
      <c r="Y1939">
        <v>0</v>
      </c>
      <c r="Z1939" s="33">
        <v>0</v>
      </c>
      <c r="AA1939">
        <v>5</v>
      </c>
      <c r="AB1939">
        <v>500</v>
      </c>
      <c r="AC1939">
        <v>888</v>
      </c>
      <c r="AL1939" s="64">
        <v>1</v>
      </c>
      <c r="AN1939" s="93"/>
      <c r="AO1939" s="92"/>
      <c r="AQ1939" t="s">
        <v>5122</v>
      </c>
      <c r="AS1939">
        <v>1</v>
      </c>
    </row>
    <row r="1940" spans="1:45">
      <c r="A1940">
        <v>512000</v>
      </c>
      <c r="B1940">
        <v>1001</v>
      </c>
      <c r="C1940">
        <v>2</v>
      </c>
      <c r="D1940">
        <v>1004</v>
      </c>
      <c r="E1940" t="s">
        <v>5124</v>
      </c>
      <c r="F1940" s="13" t="s">
        <v>5125</v>
      </c>
      <c r="G1940" t="s">
        <v>5065</v>
      </c>
      <c r="H1940" t="s">
        <v>5126</v>
      </c>
      <c r="I1940">
        <v>1</v>
      </c>
      <c r="J1940">
        <v>2</v>
      </c>
      <c r="K1940" s="33">
        <v>1</v>
      </c>
      <c r="L1940">
        <v>9999</v>
      </c>
      <c r="M1940">
        <v>0</v>
      </c>
      <c r="R1940" s="236"/>
      <c r="S1940" s="33">
        <v>1</v>
      </c>
      <c r="T1940">
        <v>5</v>
      </c>
      <c r="U1940">
        <v>1</v>
      </c>
      <c r="V1940" s="87">
        <v>1</v>
      </c>
      <c r="W1940">
        <v>1</v>
      </c>
      <c r="X1940">
        <v>1</v>
      </c>
      <c r="Y1940">
        <v>0</v>
      </c>
      <c r="Z1940" s="33">
        <v>0</v>
      </c>
      <c r="AA1940">
        <v>5</v>
      </c>
      <c r="AB1940">
        <v>100</v>
      </c>
      <c r="AC1940">
        <v>888</v>
      </c>
      <c r="AL1940" s="64">
        <v>1</v>
      </c>
      <c r="AN1940" s="93"/>
      <c r="AO1940" s="92" t="s">
        <v>5067</v>
      </c>
      <c r="AQ1940" t="s">
        <v>5124</v>
      </c>
      <c r="AS1940">
        <v>1</v>
      </c>
    </row>
    <row r="1941" spans="1:45">
      <c r="A1941">
        <v>512001</v>
      </c>
      <c r="B1941">
        <v>1001</v>
      </c>
      <c r="C1941">
        <v>2</v>
      </c>
      <c r="D1941">
        <v>1004</v>
      </c>
      <c r="E1941" t="s">
        <v>5127</v>
      </c>
      <c r="F1941" s="13" t="s">
        <v>5127</v>
      </c>
      <c r="G1941" t="s">
        <v>5128</v>
      </c>
      <c r="H1941" t="s">
        <v>5129</v>
      </c>
      <c r="I1941">
        <v>1</v>
      </c>
      <c r="J1941">
        <f t="shared" ref="J1941:J1965" si="7">J1914+1</f>
        <v>2</v>
      </c>
      <c r="K1941" s="33">
        <v>1</v>
      </c>
      <c r="L1941">
        <v>9999</v>
      </c>
      <c r="M1941">
        <v>0</v>
      </c>
      <c r="S1941" s="33">
        <v>1</v>
      </c>
      <c r="T1941">
        <v>5</v>
      </c>
      <c r="U1941">
        <v>1</v>
      </c>
      <c r="V1941" s="87">
        <v>1</v>
      </c>
      <c r="W1941">
        <v>1</v>
      </c>
      <c r="X1941">
        <v>1</v>
      </c>
      <c r="Y1941">
        <v>0</v>
      </c>
      <c r="Z1941" s="33">
        <v>0</v>
      </c>
      <c r="AA1941">
        <v>5</v>
      </c>
      <c r="AB1941">
        <v>100</v>
      </c>
      <c r="AC1941">
        <v>888</v>
      </c>
      <c r="AL1941" s="64">
        <v>1</v>
      </c>
      <c r="AN1941" s="93"/>
      <c r="AO1941" s="92"/>
      <c r="AQ1941" t="s">
        <v>5127</v>
      </c>
      <c r="AS1941">
        <v>1</v>
      </c>
    </row>
    <row r="1942" spans="1:45">
      <c r="A1942">
        <v>512002</v>
      </c>
      <c r="B1942">
        <v>1001</v>
      </c>
      <c r="C1942">
        <v>2</v>
      </c>
      <c r="D1942">
        <v>1004</v>
      </c>
      <c r="E1942" t="s">
        <v>5130</v>
      </c>
      <c r="F1942" s="13" t="s">
        <v>5130</v>
      </c>
      <c r="G1942" t="s">
        <v>5128</v>
      </c>
      <c r="H1942" t="s">
        <v>5131</v>
      </c>
      <c r="I1942">
        <v>1</v>
      </c>
      <c r="J1942">
        <f t="shared" si="7"/>
        <v>2</v>
      </c>
      <c r="K1942" s="33">
        <v>1</v>
      </c>
      <c r="L1942">
        <v>9999</v>
      </c>
      <c r="M1942">
        <v>0</v>
      </c>
      <c r="S1942" s="33">
        <v>1</v>
      </c>
      <c r="T1942">
        <v>5</v>
      </c>
      <c r="U1942">
        <v>1</v>
      </c>
      <c r="V1942" s="87">
        <v>1</v>
      </c>
      <c r="W1942">
        <v>1</v>
      </c>
      <c r="X1942">
        <v>1</v>
      </c>
      <c r="Y1942">
        <v>0</v>
      </c>
      <c r="Z1942" s="33">
        <v>0</v>
      </c>
      <c r="AA1942">
        <v>5</v>
      </c>
      <c r="AB1942">
        <v>100</v>
      </c>
      <c r="AC1942">
        <v>888</v>
      </c>
      <c r="AL1942" s="64">
        <v>1</v>
      </c>
      <c r="AN1942" s="93"/>
      <c r="AO1942" s="92"/>
      <c r="AQ1942" t="s">
        <v>5130</v>
      </c>
      <c r="AS1942">
        <v>1</v>
      </c>
    </row>
    <row r="1943" spans="1:45">
      <c r="A1943">
        <v>512003</v>
      </c>
      <c r="B1943">
        <v>1001</v>
      </c>
      <c r="C1943">
        <v>2</v>
      </c>
      <c r="D1943">
        <v>1004</v>
      </c>
      <c r="E1943" t="s">
        <v>5132</v>
      </c>
      <c r="F1943" s="13" t="s">
        <v>5132</v>
      </c>
      <c r="G1943" t="s">
        <v>5128</v>
      </c>
      <c r="H1943" t="s">
        <v>5133</v>
      </c>
      <c r="I1943">
        <v>1</v>
      </c>
      <c r="J1943">
        <f t="shared" si="7"/>
        <v>2</v>
      </c>
      <c r="K1943" s="33">
        <v>1</v>
      </c>
      <c r="L1943">
        <v>9999</v>
      </c>
      <c r="M1943">
        <v>0</v>
      </c>
      <c r="S1943" s="33">
        <v>1</v>
      </c>
      <c r="T1943">
        <v>5</v>
      </c>
      <c r="U1943">
        <v>1</v>
      </c>
      <c r="V1943" s="87">
        <v>1</v>
      </c>
      <c r="W1943">
        <v>1</v>
      </c>
      <c r="X1943">
        <v>1</v>
      </c>
      <c r="Y1943">
        <v>0</v>
      </c>
      <c r="Z1943" s="33">
        <v>0</v>
      </c>
      <c r="AA1943">
        <v>5</v>
      </c>
      <c r="AB1943">
        <v>100</v>
      </c>
      <c r="AC1943">
        <v>888</v>
      </c>
      <c r="AL1943" s="64">
        <v>1</v>
      </c>
      <c r="AN1943" s="93"/>
      <c r="AO1943" s="92"/>
      <c r="AQ1943" t="s">
        <v>5132</v>
      </c>
      <c r="AS1943">
        <v>1</v>
      </c>
    </row>
    <row r="1944" spans="1:45">
      <c r="A1944">
        <v>512004</v>
      </c>
      <c r="B1944">
        <v>1001</v>
      </c>
      <c r="C1944">
        <v>2</v>
      </c>
      <c r="D1944">
        <v>1004</v>
      </c>
      <c r="E1944" t="s">
        <v>5134</v>
      </c>
      <c r="F1944" s="13" t="s">
        <v>5135</v>
      </c>
      <c r="G1944" t="s">
        <v>5128</v>
      </c>
      <c r="H1944" t="s">
        <v>5136</v>
      </c>
      <c r="I1944">
        <v>1</v>
      </c>
      <c r="J1944">
        <f t="shared" si="7"/>
        <v>2</v>
      </c>
      <c r="K1944" s="33">
        <v>1</v>
      </c>
      <c r="L1944">
        <v>9999</v>
      </c>
      <c r="M1944">
        <v>0</v>
      </c>
      <c r="S1944" s="33">
        <v>1</v>
      </c>
      <c r="T1944">
        <v>5</v>
      </c>
      <c r="U1944">
        <v>1</v>
      </c>
      <c r="V1944" s="87">
        <v>1</v>
      </c>
      <c r="W1944">
        <v>1</v>
      </c>
      <c r="X1944">
        <v>1</v>
      </c>
      <c r="Y1944">
        <v>0</v>
      </c>
      <c r="Z1944" s="33">
        <v>0</v>
      </c>
      <c r="AA1944">
        <v>5</v>
      </c>
      <c r="AB1944">
        <v>100</v>
      </c>
      <c r="AC1944">
        <v>888</v>
      </c>
      <c r="AL1944" s="64">
        <v>1</v>
      </c>
      <c r="AN1944" s="93"/>
      <c r="AO1944" s="92"/>
      <c r="AQ1944" t="s">
        <v>5134</v>
      </c>
      <c r="AS1944">
        <v>1</v>
      </c>
    </row>
    <row r="1945" spans="1:45">
      <c r="A1945">
        <v>512005</v>
      </c>
      <c r="B1945">
        <v>1001</v>
      </c>
      <c r="C1945">
        <v>2</v>
      </c>
      <c r="D1945">
        <v>1004</v>
      </c>
      <c r="E1945" t="s">
        <v>5137</v>
      </c>
      <c r="F1945" s="13" t="s">
        <v>5137</v>
      </c>
      <c r="G1945" t="s">
        <v>5128</v>
      </c>
      <c r="H1945" t="s">
        <v>5138</v>
      </c>
      <c r="I1945">
        <v>1</v>
      </c>
      <c r="J1945">
        <f t="shared" si="7"/>
        <v>2</v>
      </c>
      <c r="K1945" s="33">
        <v>1</v>
      </c>
      <c r="L1945">
        <v>9999</v>
      </c>
      <c r="M1945">
        <v>0</v>
      </c>
      <c r="S1945" s="33">
        <v>1</v>
      </c>
      <c r="T1945">
        <v>5</v>
      </c>
      <c r="U1945">
        <v>1</v>
      </c>
      <c r="V1945" s="87">
        <v>1</v>
      </c>
      <c r="W1945">
        <v>1</v>
      </c>
      <c r="X1945">
        <v>1</v>
      </c>
      <c r="Y1945">
        <v>0</v>
      </c>
      <c r="Z1945" s="33">
        <v>0</v>
      </c>
      <c r="AA1945">
        <v>5</v>
      </c>
      <c r="AB1945">
        <v>100</v>
      </c>
      <c r="AC1945">
        <v>888</v>
      </c>
      <c r="AL1945" s="64">
        <v>1</v>
      </c>
      <c r="AN1945" s="93"/>
      <c r="AO1945" s="92"/>
      <c r="AQ1945" t="s">
        <v>5137</v>
      </c>
      <c r="AS1945">
        <v>1</v>
      </c>
    </row>
    <row r="1946" spans="1:45">
      <c r="A1946">
        <v>512006</v>
      </c>
      <c r="B1946">
        <v>1001</v>
      </c>
      <c r="C1946">
        <v>2</v>
      </c>
      <c r="D1946">
        <v>1004</v>
      </c>
      <c r="E1946" t="s">
        <v>5139</v>
      </c>
      <c r="F1946" s="13" t="s">
        <v>5139</v>
      </c>
      <c r="G1946" t="s">
        <v>5128</v>
      </c>
      <c r="H1946" t="s">
        <v>5140</v>
      </c>
      <c r="I1946">
        <v>1</v>
      </c>
      <c r="J1946">
        <f t="shared" si="7"/>
        <v>2</v>
      </c>
      <c r="K1946" s="33">
        <v>1</v>
      </c>
      <c r="L1946">
        <v>9999</v>
      </c>
      <c r="M1946">
        <v>0</v>
      </c>
      <c r="S1946" s="33">
        <v>1</v>
      </c>
      <c r="T1946">
        <v>5</v>
      </c>
      <c r="U1946">
        <v>1</v>
      </c>
      <c r="V1946" s="87">
        <v>1</v>
      </c>
      <c r="W1946">
        <v>1</v>
      </c>
      <c r="X1946">
        <v>1</v>
      </c>
      <c r="Y1946">
        <v>0</v>
      </c>
      <c r="Z1946" s="33">
        <v>0</v>
      </c>
      <c r="AA1946">
        <v>5</v>
      </c>
      <c r="AB1946">
        <v>100</v>
      </c>
      <c r="AC1946">
        <v>888</v>
      </c>
      <c r="AL1946" s="64">
        <v>1</v>
      </c>
      <c r="AN1946" s="93"/>
      <c r="AO1946" s="92"/>
      <c r="AQ1946" t="s">
        <v>5139</v>
      </c>
      <c r="AS1946">
        <v>1</v>
      </c>
    </row>
    <row r="1947" spans="1:45">
      <c r="A1947">
        <v>512007</v>
      </c>
      <c r="B1947">
        <v>1001</v>
      </c>
      <c r="C1947">
        <v>2</v>
      </c>
      <c r="D1947">
        <v>1004</v>
      </c>
      <c r="E1947" t="s">
        <v>5141</v>
      </c>
      <c r="F1947" s="13" t="s">
        <v>5141</v>
      </c>
      <c r="G1947" t="s">
        <v>5128</v>
      </c>
      <c r="H1947" t="s">
        <v>5142</v>
      </c>
      <c r="I1947">
        <v>1</v>
      </c>
      <c r="J1947">
        <f t="shared" si="7"/>
        <v>2</v>
      </c>
      <c r="K1947" s="33">
        <v>1</v>
      </c>
      <c r="L1947">
        <v>9999</v>
      </c>
      <c r="M1947">
        <v>0</v>
      </c>
      <c r="S1947" s="33">
        <v>1</v>
      </c>
      <c r="T1947">
        <v>5</v>
      </c>
      <c r="U1947">
        <v>2</v>
      </c>
      <c r="V1947" s="87">
        <v>1</v>
      </c>
      <c r="W1947">
        <v>1</v>
      </c>
      <c r="X1947">
        <v>1</v>
      </c>
      <c r="Y1947">
        <v>0</v>
      </c>
      <c r="Z1947" s="33">
        <v>0</v>
      </c>
      <c r="AA1947">
        <v>5</v>
      </c>
      <c r="AB1947">
        <v>200</v>
      </c>
      <c r="AC1947">
        <v>888</v>
      </c>
      <c r="AL1947" s="64">
        <v>1</v>
      </c>
      <c r="AN1947" s="93"/>
      <c r="AO1947" s="92"/>
      <c r="AQ1947" t="s">
        <v>5141</v>
      </c>
      <c r="AS1947">
        <v>1</v>
      </c>
    </row>
    <row r="1948" spans="1:45">
      <c r="A1948">
        <v>512008</v>
      </c>
      <c r="B1948">
        <v>1001</v>
      </c>
      <c r="C1948">
        <v>2</v>
      </c>
      <c r="D1948">
        <v>1004</v>
      </c>
      <c r="E1948" t="s">
        <v>5143</v>
      </c>
      <c r="F1948" s="13" t="s">
        <v>5143</v>
      </c>
      <c r="G1948" t="s">
        <v>5128</v>
      </c>
      <c r="H1948" t="s">
        <v>5144</v>
      </c>
      <c r="I1948">
        <v>1</v>
      </c>
      <c r="J1948">
        <f t="shared" si="7"/>
        <v>2</v>
      </c>
      <c r="K1948" s="33">
        <v>1</v>
      </c>
      <c r="L1948">
        <v>9999</v>
      </c>
      <c r="M1948">
        <v>0</v>
      </c>
      <c r="S1948" s="33">
        <v>1</v>
      </c>
      <c r="T1948">
        <v>5</v>
      </c>
      <c r="U1948">
        <v>3</v>
      </c>
      <c r="V1948" s="87">
        <v>1</v>
      </c>
      <c r="W1948">
        <v>1</v>
      </c>
      <c r="X1948">
        <v>1</v>
      </c>
      <c r="Y1948">
        <v>0</v>
      </c>
      <c r="Z1948" s="33">
        <v>0</v>
      </c>
      <c r="AA1948">
        <v>5</v>
      </c>
      <c r="AB1948">
        <v>300</v>
      </c>
      <c r="AC1948">
        <v>888</v>
      </c>
      <c r="AL1948" s="64">
        <v>1</v>
      </c>
      <c r="AN1948" s="93"/>
      <c r="AO1948" s="92"/>
      <c r="AQ1948" t="s">
        <v>5143</v>
      </c>
      <c r="AS1948">
        <v>1</v>
      </c>
    </row>
    <row r="1949" spans="1:45">
      <c r="A1949">
        <v>512009</v>
      </c>
      <c r="B1949">
        <v>1001</v>
      </c>
      <c r="C1949">
        <v>2</v>
      </c>
      <c r="D1949">
        <v>1004</v>
      </c>
      <c r="E1949" t="s">
        <v>5145</v>
      </c>
      <c r="F1949" s="13" t="s">
        <v>5145</v>
      </c>
      <c r="G1949" t="s">
        <v>5128</v>
      </c>
      <c r="H1949" t="s">
        <v>5146</v>
      </c>
      <c r="I1949">
        <v>1</v>
      </c>
      <c r="J1949">
        <f t="shared" si="7"/>
        <v>2</v>
      </c>
      <c r="K1949" s="33">
        <v>1</v>
      </c>
      <c r="L1949">
        <v>9999</v>
      </c>
      <c r="M1949">
        <v>0</v>
      </c>
      <c r="S1949" s="33">
        <v>1</v>
      </c>
      <c r="T1949">
        <v>5</v>
      </c>
      <c r="U1949">
        <v>2</v>
      </c>
      <c r="V1949" s="87">
        <v>1</v>
      </c>
      <c r="W1949">
        <v>1</v>
      </c>
      <c r="X1949">
        <v>1</v>
      </c>
      <c r="Y1949">
        <v>0</v>
      </c>
      <c r="Z1949" s="33">
        <v>0</v>
      </c>
      <c r="AA1949">
        <v>5</v>
      </c>
      <c r="AB1949">
        <v>200</v>
      </c>
      <c r="AC1949">
        <v>888</v>
      </c>
      <c r="AL1949" s="64">
        <v>1</v>
      </c>
      <c r="AN1949" s="93"/>
      <c r="AO1949" s="92"/>
      <c r="AQ1949" t="s">
        <v>5145</v>
      </c>
      <c r="AS1949">
        <v>1</v>
      </c>
    </row>
    <row r="1950" spans="1:45">
      <c r="A1950">
        <v>512010</v>
      </c>
      <c r="B1950">
        <v>1001</v>
      </c>
      <c r="C1950">
        <v>2</v>
      </c>
      <c r="D1950">
        <v>1004</v>
      </c>
      <c r="E1950" t="s">
        <v>5147</v>
      </c>
      <c r="F1950" s="13" t="s">
        <v>5147</v>
      </c>
      <c r="G1950" t="s">
        <v>5128</v>
      </c>
      <c r="H1950" t="s">
        <v>5148</v>
      </c>
      <c r="I1950">
        <v>1</v>
      </c>
      <c r="J1950">
        <f t="shared" si="7"/>
        <v>2</v>
      </c>
      <c r="K1950" s="33">
        <v>1</v>
      </c>
      <c r="L1950">
        <v>9999</v>
      </c>
      <c r="M1950">
        <v>0</v>
      </c>
      <c r="S1950" s="33">
        <v>1</v>
      </c>
      <c r="T1950">
        <v>5</v>
      </c>
      <c r="U1950">
        <v>2</v>
      </c>
      <c r="V1950" s="87">
        <v>1</v>
      </c>
      <c r="W1950">
        <v>1</v>
      </c>
      <c r="X1950">
        <v>1</v>
      </c>
      <c r="Y1950">
        <v>0</v>
      </c>
      <c r="Z1950" s="33">
        <v>0</v>
      </c>
      <c r="AA1950">
        <v>5</v>
      </c>
      <c r="AB1950">
        <v>200</v>
      </c>
      <c r="AC1950">
        <v>888</v>
      </c>
      <c r="AL1950" s="64">
        <v>1</v>
      </c>
      <c r="AN1950" s="93"/>
      <c r="AO1950" s="92"/>
      <c r="AQ1950" t="s">
        <v>5147</v>
      </c>
      <c r="AS1950">
        <v>1</v>
      </c>
    </row>
    <row r="1951" spans="1:45">
      <c r="A1951">
        <v>512011</v>
      </c>
      <c r="B1951">
        <v>1001</v>
      </c>
      <c r="C1951">
        <v>2</v>
      </c>
      <c r="D1951">
        <v>1004</v>
      </c>
      <c r="E1951" t="s">
        <v>5149</v>
      </c>
      <c r="F1951" s="13" t="s">
        <v>5149</v>
      </c>
      <c r="G1951" t="s">
        <v>5150</v>
      </c>
      <c r="H1951" t="s">
        <v>5151</v>
      </c>
      <c r="I1951">
        <v>1</v>
      </c>
      <c r="J1951">
        <f t="shared" si="7"/>
        <v>2</v>
      </c>
      <c r="K1951" s="33">
        <v>1</v>
      </c>
      <c r="L1951">
        <v>9999</v>
      </c>
      <c r="M1951">
        <v>0</v>
      </c>
      <c r="S1951" s="33">
        <v>1</v>
      </c>
      <c r="T1951">
        <v>5</v>
      </c>
      <c r="U1951">
        <v>3</v>
      </c>
      <c r="V1951" s="87">
        <v>1</v>
      </c>
      <c r="W1951">
        <v>1</v>
      </c>
      <c r="X1951">
        <v>1</v>
      </c>
      <c r="Y1951">
        <v>0</v>
      </c>
      <c r="Z1951" s="33">
        <v>0</v>
      </c>
      <c r="AA1951">
        <v>5</v>
      </c>
      <c r="AB1951">
        <v>300</v>
      </c>
      <c r="AC1951">
        <v>888</v>
      </c>
      <c r="AL1951" s="64">
        <v>1</v>
      </c>
      <c r="AN1951" s="93"/>
      <c r="AO1951" s="92"/>
      <c r="AQ1951" t="s">
        <v>5149</v>
      </c>
      <c r="AS1951">
        <v>1</v>
      </c>
    </row>
    <row r="1952" spans="1:45">
      <c r="A1952">
        <v>512012</v>
      </c>
      <c r="B1952">
        <v>1001</v>
      </c>
      <c r="C1952">
        <v>2</v>
      </c>
      <c r="D1952">
        <v>1004</v>
      </c>
      <c r="E1952" t="s">
        <v>5152</v>
      </c>
      <c r="F1952" s="13" t="s">
        <v>5152</v>
      </c>
      <c r="G1952" t="s">
        <v>5128</v>
      </c>
      <c r="H1952" t="s">
        <v>5153</v>
      </c>
      <c r="I1952">
        <v>1</v>
      </c>
      <c r="J1952">
        <f t="shared" si="7"/>
        <v>2</v>
      </c>
      <c r="K1952" s="33">
        <v>1</v>
      </c>
      <c r="L1952">
        <v>9999</v>
      </c>
      <c r="M1952">
        <v>0</v>
      </c>
      <c r="S1952" s="33">
        <v>1</v>
      </c>
      <c r="T1952">
        <v>5</v>
      </c>
      <c r="U1952">
        <v>1</v>
      </c>
      <c r="V1952" s="87">
        <v>1</v>
      </c>
      <c r="W1952">
        <v>1</v>
      </c>
      <c r="X1952">
        <v>1</v>
      </c>
      <c r="Y1952">
        <v>0</v>
      </c>
      <c r="Z1952" s="33">
        <v>0</v>
      </c>
      <c r="AA1952">
        <v>5</v>
      </c>
      <c r="AB1952">
        <v>100</v>
      </c>
      <c r="AC1952">
        <v>888</v>
      </c>
      <c r="AL1952" s="64">
        <v>1</v>
      </c>
      <c r="AN1952" s="93"/>
      <c r="AO1952" s="92"/>
      <c r="AQ1952" t="s">
        <v>5154</v>
      </c>
      <c r="AS1952">
        <v>1</v>
      </c>
    </row>
    <row r="1953" spans="1:45">
      <c r="A1953">
        <v>512013</v>
      </c>
      <c r="B1953">
        <v>1001</v>
      </c>
      <c r="C1953">
        <v>2</v>
      </c>
      <c r="D1953">
        <v>1004</v>
      </c>
      <c r="E1953" t="s">
        <v>5155</v>
      </c>
      <c r="F1953" s="13" t="s">
        <v>5155</v>
      </c>
      <c r="G1953" t="s">
        <v>5128</v>
      </c>
      <c r="H1953" t="s">
        <v>5156</v>
      </c>
      <c r="I1953">
        <v>1</v>
      </c>
      <c r="J1953">
        <f t="shared" si="7"/>
        <v>2</v>
      </c>
      <c r="K1953" s="33">
        <v>1</v>
      </c>
      <c r="L1953">
        <v>9999</v>
      </c>
      <c r="M1953">
        <v>0</v>
      </c>
      <c r="S1953" s="33">
        <v>1</v>
      </c>
      <c r="T1953">
        <v>5</v>
      </c>
      <c r="U1953">
        <v>1</v>
      </c>
      <c r="V1953" s="87">
        <v>1</v>
      </c>
      <c r="W1953">
        <v>1</v>
      </c>
      <c r="X1953">
        <v>1</v>
      </c>
      <c r="Y1953">
        <v>0</v>
      </c>
      <c r="Z1953" s="33">
        <v>0</v>
      </c>
      <c r="AA1953">
        <v>5</v>
      </c>
      <c r="AB1953">
        <v>100</v>
      </c>
      <c r="AC1953">
        <v>888</v>
      </c>
      <c r="AL1953" s="64">
        <v>1</v>
      </c>
      <c r="AN1953" s="93"/>
      <c r="AO1953" s="92"/>
      <c r="AQ1953" t="s">
        <v>5155</v>
      </c>
      <c r="AS1953">
        <v>1</v>
      </c>
    </row>
    <row r="1954" spans="1:45">
      <c r="A1954">
        <v>512014</v>
      </c>
      <c r="B1954">
        <v>1001</v>
      </c>
      <c r="C1954">
        <v>2</v>
      </c>
      <c r="D1954">
        <v>1004</v>
      </c>
      <c r="E1954" t="s">
        <v>5157</v>
      </c>
      <c r="F1954" s="13" t="s">
        <v>5157</v>
      </c>
      <c r="G1954" t="s">
        <v>5150</v>
      </c>
      <c r="H1954" t="s">
        <v>5158</v>
      </c>
      <c r="I1954">
        <v>1</v>
      </c>
      <c r="J1954">
        <f t="shared" si="7"/>
        <v>2</v>
      </c>
      <c r="K1954" s="33">
        <v>1</v>
      </c>
      <c r="L1954">
        <v>9999</v>
      </c>
      <c r="M1954">
        <v>0</v>
      </c>
      <c r="S1954" s="33">
        <v>1</v>
      </c>
      <c r="T1954">
        <v>5</v>
      </c>
      <c r="U1954">
        <v>5</v>
      </c>
      <c r="V1954" s="87">
        <v>1</v>
      </c>
      <c r="W1954">
        <v>1</v>
      </c>
      <c r="X1954">
        <v>1</v>
      </c>
      <c r="Y1954">
        <v>0</v>
      </c>
      <c r="Z1954" s="33">
        <v>0</v>
      </c>
      <c r="AA1954">
        <v>5</v>
      </c>
      <c r="AB1954">
        <v>500</v>
      </c>
      <c r="AC1954">
        <v>888</v>
      </c>
      <c r="AL1954" s="64">
        <v>1</v>
      </c>
      <c r="AN1954" s="93"/>
      <c r="AO1954" s="92"/>
      <c r="AQ1954" t="s">
        <v>5157</v>
      </c>
      <c r="AS1954">
        <v>1</v>
      </c>
    </row>
    <row r="1955" spans="1:45">
      <c r="A1955">
        <v>512015</v>
      </c>
      <c r="B1955">
        <v>1001</v>
      </c>
      <c r="C1955">
        <v>2</v>
      </c>
      <c r="D1955">
        <v>1004</v>
      </c>
      <c r="E1955" t="s">
        <v>5159</v>
      </c>
      <c r="F1955" s="13" t="s">
        <v>5159</v>
      </c>
      <c r="G1955" t="s">
        <v>5128</v>
      </c>
      <c r="H1955" t="s">
        <v>5160</v>
      </c>
      <c r="I1955">
        <v>1</v>
      </c>
      <c r="J1955">
        <f t="shared" si="7"/>
        <v>2</v>
      </c>
      <c r="K1955" s="33">
        <v>1</v>
      </c>
      <c r="L1955">
        <v>9999</v>
      </c>
      <c r="M1955">
        <v>0</v>
      </c>
      <c r="S1955" s="33">
        <v>1</v>
      </c>
      <c r="T1955">
        <v>5</v>
      </c>
      <c r="U1955">
        <v>1</v>
      </c>
      <c r="V1955" s="87">
        <v>1</v>
      </c>
      <c r="W1955">
        <v>1</v>
      </c>
      <c r="X1955">
        <v>1</v>
      </c>
      <c r="Y1955">
        <v>0</v>
      </c>
      <c r="Z1955" s="33">
        <v>0</v>
      </c>
      <c r="AA1955">
        <v>5</v>
      </c>
      <c r="AB1955">
        <v>100</v>
      </c>
      <c r="AC1955">
        <v>888</v>
      </c>
      <c r="AL1955" s="64">
        <v>1</v>
      </c>
      <c r="AN1955" s="93"/>
      <c r="AO1955" s="92"/>
      <c r="AQ1955" t="s">
        <v>5161</v>
      </c>
      <c r="AS1955">
        <v>1</v>
      </c>
    </row>
    <row r="1956" spans="1:45">
      <c r="A1956">
        <v>512016</v>
      </c>
      <c r="B1956">
        <v>1001</v>
      </c>
      <c r="C1956">
        <v>2</v>
      </c>
      <c r="D1956">
        <v>1004</v>
      </c>
      <c r="E1956" t="s">
        <v>5162</v>
      </c>
      <c r="F1956" s="13" t="s">
        <v>5162</v>
      </c>
      <c r="G1956" t="s">
        <v>5128</v>
      </c>
      <c r="H1956" t="s">
        <v>5163</v>
      </c>
      <c r="I1956">
        <v>1</v>
      </c>
      <c r="J1956">
        <f t="shared" si="7"/>
        <v>2</v>
      </c>
      <c r="K1956" s="33">
        <v>1</v>
      </c>
      <c r="L1956">
        <v>9999</v>
      </c>
      <c r="M1956">
        <v>0</v>
      </c>
      <c r="S1956" s="33">
        <v>1</v>
      </c>
      <c r="T1956">
        <v>5</v>
      </c>
      <c r="U1956">
        <v>1</v>
      </c>
      <c r="V1956" s="87">
        <v>1</v>
      </c>
      <c r="W1956">
        <v>1</v>
      </c>
      <c r="X1956">
        <v>1</v>
      </c>
      <c r="Y1956">
        <v>0</v>
      </c>
      <c r="Z1956" s="33">
        <v>0</v>
      </c>
      <c r="AA1956">
        <v>5</v>
      </c>
      <c r="AB1956">
        <v>100</v>
      </c>
      <c r="AC1956">
        <v>888</v>
      </c>
      <c r="AL1956" s="64">
        <v>1</v>
      </c>
      <c r="AN1956" s="93"/>
      <c r="AO1956" s="92"/>
      <c r="AQ1956" t="s">
        <v>5162</v>
      </c>
      <c r="AS1956">
        <v>1</v>
      </c>
    </row>
    <row r="1957" spans="1:45">
      <c r="A1957">
        <v>512017</v>
      </c>
      <c r="B1957">
        <v>1001</v>
      </c>
      <c r="C1957">
        <v>2</v>
      </c>
      <c r="D1957">
        <v>1004</v>
      </c>
      <c r="E1957" t="s">
        <v>5164</v>
      </c>
      <c r="F1957" s="13" t="s">
        <v>5164</v>
      </c>
      <c r="G1957" t="s">
        <v>5150</v>
      </c>
      <c r="H1957" t="s">
        <v>5165</v>
      </c>
      <c r="I1957">
        <v>1</v>
      </c>
      <c r="J1957">
        <f t="shared" si="7"/>
        <v>2</v>
      </c>
      <c r="K1957" s="33">
        <v>1</v>
      </c>
      <c r="L1957">
        <v>9999</v>
      </c>
      <c r="M1957">
        <v>0</v>
      </c>
      <c r="S1957" s="33">
        <v>1</v>
      </c>
      <c r="T1957">
        <v>5</v>
      </c>
      <c r="U1957">
        <v>3</v>
      </c>
      <c r="V1957" s="87">
        <v>1</v>
      </c>
      <c r="W1957">
        <v>1</v>
      </c>
      <c r="X1957">
        <v>1</v>
      </c>
      <c r="Y1957">
        <v>0</v>
      </c>
      <c r="Z1957" s="33">
        <v>0</v>
      </c>
      <c r="AA1957">
        <v>5</v>
      </c>
      <c r="AB1957">
        <v>300</v>
      </c>
      <c r="AC1957">
        <v>888</v>
      </c>
      <c r="AL1957" s="64">
        <v>1</v>
      </c>
      <c r="AN1957" s="93"/>
      <c r="AO1957" s="92"/>
      <c r="AQ1957" t="s">
        <v>5164</v>
      </c>
      <c r="AS1957">
        <v>1</v>
      </c>
    </row>
    <row r="1958" spans="1:45">
      <c r="A1958">
        <v>512018</v>
      </c>
      <c r="B1958">
        <v>1001</v>
      </c>
      <c r="C1958">
        <v>2</v>
      </c>
      <c r="D1958">
        <v>1004</v>
      </c>
      <c r="E1958" t="s">
        <v>5166</v>
      </c>
      <c r="F1958" s="13" t="s">
        <v>5166</v>
      </c>
      <c r="G1958" t="s">
        <v>5128</v>
      </c>
      <c r="H1958" t="s">
        <v>5167</v>
      </c>
      <c r="I1958">
        <v>1</v>
      </c>
      <c r="J1958">
        <f t="shared" si="7"/>
        <v>2</v>
      </c>
      <c r="K1958" s="33">
        <v>1</v>
      </c>
      <c r="L1958">
        <v>9999</v>
      </c>
      <c r="M1958">
        <v>0</v>
      </c>
      <c r="S1958" s="33">
        <v>1</v>
      </c>
      <c r="T1958">
        <v>5</v>
      </c>
      <c r="U1958">
        <v>1</v>
      </c>
      <c r="V1958" s="87">
        <v>1</v>
      </c>
      <c r="W1958">
        <v>1</v>
      </c>
      <c r="X1958">
        <v>1</v>
      </c>
      <c r="Y1958">
        <v>0</v>
      </c>
      <c r="Z1958" s="33">
        <v>0</v>
      </c>
      <c r="AA1958">
        <v>5</v>
      </c>
      <c r="AB1958">
        <v>100</v>
      </c>
      <c r="AC1958">
        <v>888</v>
      </c>
      <c r="AL1958" s="64">
        <v>1</v>
      </c>
      <c r="AN1958" s="93"/>
      <c r="AO1958" s="92"/>
      <c r="AQ1958" t="s">
        <v>5168</v>
      </c>
      <c r="AS1958">
        <v>1</v>
      </c>
    </row>
    <row r="1959" spans="1:45">
      <c r="A1959">
        <v>512019</v>
      </c>
      <c r="B1959">
        <v>1001</v>
      </c>
      <c r="C1959">
        <v>2</v>
      </c>
      <c r="D1959">
        <v>1004</v>
      </c>
      <c r="E1959" t="s">
        <v>5169</v>
      </c>
      <c r="F1959" s="13" t="s">
        <v>5169</v>
      </c>
      <c r="G1959" t="s">
        <v>5128</v>
      </c>
      <c r="H1959" t="s">
        <v>5170</v>
      </c>
      <c r="I1959">
        <v>1</v>
      </c>
      <c r="J1959">
        <f t="shared" si="7"/>
        <v>2</v>
      </c>
      <c r="K1959" s="33">
        <v>1</v>
      </c>
      <c r="L1959">
        <v>9999</v>
      </c>
      <c r="M1959">
        <v>0</v>
      </c>
      <c r="S1959" s="33">
        <v>1</v>
      </c>
      <c r="T1959">
        <v>5</v>
      </c>
      <c r="U1959">
        <v>2</v>
      </c>
      <c r="V1959" s="87">
        <v>1</v>
      </c>
      <c r="W1959">
        <v>1</v>
      </c>
      <c r="X1959">
        <v>1</v>
      </c>
      <c r="Y1959">
        <v>0</v>
      </c>
      <c r="Z1959" s="33">
        <v>0</v>
      </c>
      <c r="AA1959">
        <v>5</v>
      </c>
      <c r="AB1959">
        <v>200</v>
      </c>
      <c r="AC1959">
        <v>888</v>
      </c>
      <c r="AL1959" s="64">
        <v>1</v>
      </c>
      <c r="AN1959" s="93"/>
      <c r="AO1959" s="92"/>
      <c r="AQ1959" t="s">
        <v>5171</v>
      </c>
      <c r="AS1959">
        <v>1</v>
      </c>
    </row>
    <row r="1960" spans="1:45">
      <c r="A1960" s="37">
        <v>512020</v>
      </c>
      <c r="B1960">
        <v>1001</v>
      </c>
      <c r="C1960">
        <v>2</v>
      </c>
      <c r="D1960">
        <v>1004</v>
      </c>
      <c r="E1960" t="s">
        <v>5134</v>
      </c>
      <c r="F1960" s="13" t="s">
        <v>5134</v>
      </c>
      <c r="G1960" t="s">
        <v>5128</v>
      </c>
      <c r="H1960" t="s">
        <v>5172</v>
      </c>
      <c r="I1960">
        <v>1</v>
      </c>
      <c r="J1960">
        <f t="shared" si="7"/>
        <v>2</v>
      </c>
      <c r="K1960" s="33">
        <v>1</v>
      </c>
      <c r="L1960">
        <v>9999</v>
      </c>
      <c r="M1960">
        <v>0</v>
      </c>
      <c r="S1960" s="33">
        <v>1</v>
      </c>
      <c r="T1960">
        <v>5</v>
      </c>
      <c r="U1960">
        <v>1</v>
      </c>
      <c r="V1960" s="87">
        <v>1</v>
      </c>
      <c r="W1960">
        <v>1</v>
      </c>
      <c r="X1960">
        <v>1</v>
      </c>
      <c r="Y1960">
        <v>0</v>
      </c>
      <c r="Z1960" s="33">
        <v>0</v>
      </c>
      <c r="AA1960">
        <v>5</v>
      </c>
      <c r="AB1960">
        <v>100</v>
      </c>
      <c r="AC1960">
        <v>888</v>
      </c>
      <c r="AL1960" s="64">
        <v>1</v>
      </c>
      <c r="AN1960" s="93"/>
      <c r="AO1960" s="92"/>
      <c r="AQ1960" t="s">
        <v>5134</v>
      </c>
      <c r="AS1960">
        <v>1</v>
      </c>
    </row>
    <row r="1961" spans="1:45">
      <c r="A1961">
        <v>512021</v>
      </c>
      <c r="B1961">
        <v>1001</v>
      </c>
      <c r="C1961">
        <v>2</v>
      </c>
      <c r="D1961">
        <v>1004</v>
      </c>
      <c r="E1961" t="s">
        <v>5173</v>
      </c>
      <c r="F1961" s="13" t="s">
        <v>5173</v>
      </c>
      <c r="G1961" t="s">
        <v>5128</v>
      </c>
      <c r="H1961" t="s">
        <v>5174</v>
      </c>
      <c r="I1961">
        <v>1</v>
      </c>
      <c r="J1961">
        <f t="shared" si="7"/>
        <v>2</v>
      </c>
      <c r="K1961" s="33">
        <v>1</v>
      </c>
      <c r="L1961">
        <v>9999</v>
      </c>
      <c r="M1961">
        <v>0</v>
      </c>
      <c r="S1961" s="33">
        <v>1</v>
      </c>
      <c r="T1961">
        <v>5</v>
      </c>
      <c r="U1961">
        <v>2</v>
      </c>
      <c r="V1961" s="87">
        <v>1</v>
      </c>
      <c r="W1961">
        <v>1</v>
      </c>
      <c r="X1961">
        <v>1</v>
      </c>
      <c r="Y1961">
        <v>0</v>
      </c>
      <c r="Z1961" s="33">
        <v>0</v>
      </c>
      <c r="AA1961">
        <v>5</v>
      </c>
      <c r="AB1961">
        <v>200</v>
      </c>
      <c r="AC1961">
        <v>888</v>
      </c>
      <c r="AL1961" s="64">
        <v>1</v>
      </c>
      <c r="AN1961" s="93"/>
      <c r="AO1961" s="92"/>
      <c r="AQ1961" t="s">
        <v>5173</v>
      </c>
      <c r="AS1961">
        <v>1</v>
      </c>
    </row>
    <row r="1962" spans="1:45">
      <c r="A1962">
        <v>512022</v>
      </c>
      <c r="B1962">
        <v>1001</v>
      </c>
      <c r="C1962">
        <v>2</v>
      </c>
      <c r="D1962">
        <v>1004</v>
      </c>
      <c r="E1962" t="s">
        <v>5175</v>
      </c>
      <c r="F1962" s="13" t="s">
        <v>5175</v>
      </c>
      <c r="G1962" t="s">
        <v>5128</v>
      </c>
      <c r="H1962" t="s">
        <v>5176</v>
      </c>
      <c r="I1962">
        <v>1</v>
      </c>
      <c r="J1962">
        <f t="shared" si="7"/>
        <v>2</v>
      </c>
      <c r="K1962" s="33">
        <v>1</v>
      </c>
      <c r="L1962">
        <v>9999</v>
      </c>
      <c r="M1962">
        <v>0</v>
      </c>
      <c r="S1962" s="33">
        <v>1</v>
      </c>
      <c r="T1962">
        <v>5</v>
      </c>
      <c r="U1962">
        <v>2</v>
      </c>
      <c r="V1962" s="87">
        <v>1</v>
      </c>
      <c r="W1962">
        <v>1</v>
      </c>
      <c r="X1962">
        <v>1</v>
      </c>
      <c r="Y1962">
        <v>0</v>
      </c>
      <c r="Z1962" s="33">
        <v>0</v>
      </c>
      <c r="AA1962">
        <v>5</v>
      </c>
      <c r="AB1962">
        <v>200</v>
      </c>
      <c r="AC1962">
        <v>888</v>
      </c>
      <c r="AL1962" s="64">
        <v>1</v>
      </c>
      <c r="AN1962" s="93"/>
      <c r="AO1962" s="92"/>
      <c r="AQ1962" t="s">
        <v>5175</v>
      </c>
      <c r="AS1962">
        <v>1</v>
      </c>
    </row>
    <row r="1963" spans="1:45">
      <c r="A1963">
        <v>512023</v>
      </c>
      <c r="B1963">
        <v>1001</v>
      </c>
      <c r="C1963">
        <v>2</v>
      </c>
      <c r="D1963">
        <v>1004</v>
      </c>
      <c r="E1963" t="s">
        <v>5177</v>
      </c>
      <c r="F1963" s="13" t="s">
        <v>5177</v>
      </c>
      <c r="G1963" t="s">
        <v>5150</v>
      </c>
      <c r="H1963" t="s">
        <v>5178</v>
      </c>
      <c r="I1963">
        <v>1</v>
      </c>
      <c r="J1963">
        <f t="shared" si="7"/>
        <v>2</v>
      </c>
      <c r="K1963" s="33">
        <v>1</v>
      </c>
      <c r="L1963">
        <v>9999</v>
      </c>
      <c r="M1963">
        <v>0</v>
      </c>
      <c r="S1963" s="33">
        <v>1</v>
      </c>
      <c r="T1963">
        <v>5</v>
      </c>
      <c r="U1963">
        <v>3</v>
      </c>
      <c r="V1963" s="87">
        <v>1</v>
      </c>
      <c r="W1963">
        <v>1</v>
      </c>
      <c r="X1963">
        <v>1</v>
      </c>
      <c r="Y1963">
        <v>0</v>
      </c>
      <c r="Z1963" s="33">
        <v>0</v>
      </c>
      <c r="AA1963">
        <v>5</v>
      </c>
      <c r="AB1963">
        <v>300</v>
      </c>
      <c r="AC1963">
        <v>888</v>
      </c>
      <c r="AL1963" s="64">
        <v>1</v>
      </c>
      <c r="AN1963" s="93"/>
      <c r="AO1963" s="92"/>
      <c r="AQ1963" t="s">
        <v>5177</v>
      </c>
      <c r="AS1963">
        <v>1</v>
      </c>
    </row>
    <row r="1964" spans="1:45">
      <c r="A1964">
        <v>512024</v>
      </c>
      <c r="B1964">
        <v>1001</v>
      </c>
      <c r="C1964">
        <v>2</v>
      </c>
      <c r="D1964">
        <v>1004</v>
      </c>
      <c r="E1964" t="s">
        <v>5179</v>
      </c>
      <c r="F1964" s="13" t="s">
        <v>5179</v>
      </c>
      <c r="G1964" t="s">
        <v>5150</v>
      </c>
      <c r="H1964" t="s">
        <v>5180</v>
      </c>
      <c r="I1964">
        <v>1</v>
      </c>
      <c r="J1964">
        <f t="shared" si="7"/>
        <v>2</v>
      </c>
      <c r="K1964" s="33">
        <v>1</v>
      </c>
      <c r="L1964">
        <v>9999</v>
      </c>
      <c r="M1964">
        <v>0</v>
      </c>
      <c r="S1964" s="33">
        <v>1</v>
      </c>
      <c r="T1964">
        <v>5</v>
      </c>
      <c r="U1964">
        <v>3</v>
      </c>
      <c r="V1964" s="87">
        <v>1</v>
      </c>
      <c r="W1964">
        <v>1</v>
      </c>
      <c r="X1964">
        <v>1</v>
      </c>
      <c r="Y1964">
        <v>0</v>
      </c>
      <c r="Z1964" s="33">
        <v>0</v>
      </c>
      <c r="AA1964">
        <v>5</v>
      </c>
      <c r="AB1964">
        <v>300</v>
      </c>
      <c r="AC1964">
        <v>888</v>
      </c>
      <c r="AL1964" s="64">
        <v>1</v>
      </c>
      <c r="AN1964" s="93"/>
      <c r="AO1964" s="92"/>
      <c r="AQ1964" t="s">
        <v>5179</v>
      </c>
      <c r="AS1964">
        <v>1</v>
      </c>
    </row>
    <row r="1965" spans="1:45">
      <c r="A1965">
        <v>512025</v>
      </c>
      <c r="B1965">
        <v>1001</v>
      </c>
      <c r="C1965">
        <v>2</v>
      </c>
      <c r="D1965">
        <v>1004</v>
      </c>
      <c r="E1965" t="s">
        <v>5181</v>
      </c>
      <c r="F1965" s="13" t="s">
        <v>5181</v>
      </c>
      <c r="G1965" t="s">
        <v>5150</v>
      </c>
      <c r="H1965" t="s">
        <v>5182</v>
      </c>
      <c r="I1965">
        <v>1</v>
      </c>
      <c r="J1965">
        <f t="shared" si="7"/>
        <v>2</v>
      </c>
      <c r="K1965" s="33">
        <v>1</v>
      </c>
      <c r="L1965">
        <v>9999</v>
      </c>
      <c r="M1965">
        <v>0</v>
      </c>
      <c r="R1965" s="8"/>
      <c r="S1965" s="33">
        <v>1</v>
      </c>
      <c r="T1965">
        <v>5</v>
      </c>
      <c r="U1965">
        <v>5</v>
      </c>
      <c r="V1965" s="87">
        <v>1</v>
      </c>
      <c r="W1965">
        <v>1</v>
      </c>
      <c r="X1965">
        <v>1</v>
      </c>
      <c r="Y1965">
        <v>0</v>
      </c>
      <c r="Z1965" s="33">
        <v>0</v>
      </c>
      <c r="AA1965">
        <v>5</v>
      </c>
      <c r="AB1965">
        <v>500</v>
      </c>
      <c r="AC1965">
        <v>888</v>
      </c>
      <c r="AL1965" s="64">
        <v>1</v>
      </c>
      <c r="AN1965" s="93"/>
      <c r="AO1965" s="92"/>
      <c r="AQ1965" t="s">
        <v>5181</v>
      </c>
      <c r="AS1965">
        <v>1</v>
      </c>
    </row>
    <row r="1966" spans="1:45">
      <c r="A1966">
        <v>513000</v>
      </c>
      <c r="B1966">
        <v>1001</v>
      </c>
      <c r="C1966">
        <v>2</v>
      </c>
      <c r="D1966">
        <v>1004</v>
      </c>
      <c r="E1966" t="s">
        <v>5183</v>
      </c>
      <c r="F1966" s="13" t="s">
        <v>5184</v>
      </c>
      <c r="G1966" t="s">
        <v>5065</v>
      </c>
      <c r="H1966" t="s">
        <v>5185</v>
      </c>
      <c r="I1966">
        <v>1</v>
      </c>
      <c r="J1966">
        <v>3</v>
      </c>
      <c r="K1966" s="33">
        <v>1</v>
      </c>
      <c r="L1966">
        <v>9999</v>
      </c>
      <c r="M1966">
        <v>0</v>
      </c>
      <c r="R1966" s="236"/>
      <c r="S1966" s="33">
        <v>1</v>
      </c>
      <c r="T1966">
        <v>5</v>
      </c>
      <c r="U1966">
        <v>1</v>
      </c>
      <c r="V1966" s="87">
        <v>1</v>
      </c>
      <c r="W1966">
        <v>1</v>
      </c>
      <c r="X1966">
        <v>1</v>
      </c>
      <c r="Y1966">
        <v>0</v>
      </c>
      <c r="Z1966" s="33">
        <v>0</v>
      </c>
      <c r="AA1966">
        <v>5</v>
      </c>
      <c r="AB1966">
        <v>100</v>
      </c>
      <c r="AC1966">
        <v>888</v>
      </c>
      <c r="AL1966" s="64">
        <v>1</v>
      </c>
      <c r="AN1966" s="93"/>
      <c r="AO1966" s="92" t="s">
        <v>5067</v>
      </c>
      <c r="AQ1966" t="s">
        <v>5183</v>
      </c>
      <c r="AS1966">
        <v>1</v>
      </c>
    </row>
    <row r="1967" spans="1:45">
      <c r="A1967">
        <v>513001</v>
      </c>
      <c r="B1967">
        <v>1001</v>
      </c>
      <c r="C1967">
        <v>2</v>
      </c>
      <c r="D1967">
        <v>1004</v>
      </c>
      <c r="E1967" t="s">
        <v>5186</v>
      </c>
      <c r="F1967" s="13" t="s">
        <v>5186</v>
      </c>
      <c r="G1967" t="s">
        <v>5187</v>
      </c>
      <c r="H1967" t="s">
        <v>5188</v>
      </c>
      <c r="I1967">
        <v>1</v>
      </c>
      <c r="J1967">
        <f t="shared" ref="J1967:J1991" si="8">J1940+1</f>
        <v>3</v>
      </c>
      <c r="K1967" s="33">
        <v>1</v>
      </c>
      <c r="L1967">
        <v>9999</v>
      </c>
      <c r="M1967">
        <v>0</v>
      </c>
      <c r="S1967" s="33">
        <v>1</v>
      </c>
      <c r="T1967">
        <v>5</v>
      </c>
      <c r="U1967">
        <v>1</v>
      </c>
      <c r="V1967" s="87">
        <v>1</v>
      </c>
      <c r="W1967">
        <v>1</v>
      </c>
      <c r="X1967">
        <v>1</v>
      </c>
      <c r="Y1967">
        <v>0</v>
      </c>
      <c r="Z1967" s="33">
        <v>0</v>
      </c>
      <c r="AA1967">
        <v>5</v>
      </c>
      <c r="AB1967">
        <v>100</v>
      </c>
      <c r="AC1967">
        <v>888</v>
      </c>
      <c r="AL1967" s="64">
        <v>1</v>
      </c>
      <c r="AN1967" s="93"/>
      <c r="AO1967" s="92"/>
      <c r="AQ1967" t="s">
        <v>5186</v>
      </c>
      <c r="AS1967">
        <v>1</v>
      </c>
    </row>
    <row r="1968" spans="1:45">
      <c r="A1968">
        <v>513002</v>
      </c>
      <c r="B1968">
        <v>1001</v>
      </c>
      <c r="C1968">
        <v>2</v>
      </c>
      <c r="D1968">
        <v>1004</v>
      </c>
      <c r="E1968" t="s">
        <v>5189</v>
      </c>
      <c r="F1968" s="13" t="s">
        <v>5189</v>
      </c>
      <c r="G1968" t="s">
        <v>5187</v>
      </c>
      <c r="H1968" t="s">
        <v>5190</v>
      </c>
      <c r="I1968">
        <v>1</v>
      </c>
      <c r="J1968">
        <f t="shared" si="8"/>
        <v>3</v>
      </c>
      <c r="K1968" s="33">
        <v>1</v>
      </c>
      <c r="L1968">
        <v>9999</v>
      </c>
      <c r="M1968">
        <v>0</v>
      </c>
      <c r="S1968" s="33">
        <v>1</v>
      </c>
      <c r="T1968">
        <v>5</v>
      </c>
      <c r="U1968">
        <v>1</v>
      </c>
      <c r="V1968" s="87">
        <v>1</v>
      </c>
      <c r="W1968">
        <v>1</v>
      </c>
      <c r="X1968">
        <v>1</v>
      </c>
      <c r="Y1968">
        <v>0</v>
      </c>
      <c r="Z1968" s="33">
        <v>0</v>
      </c>
      <c r="AA1968">
        <v>5</v>
      </c>
      <c r="AB1968">
        <v>100</v>
      </c>
      <c r="AC1968">
        <v>888</v>
      </c>
      <c r="AL1968" s="64">
        <v>1</v>
      </c>
      <c r="AN1968" s="93"/>
      <c r="AO1968" s="92"/>
      <c r="AQ1968" t="s">
        <v>5189</v>
      </c>
      <c r="AS1968">
        <v>1</v>
      </c>
    </row>
    <row r="1969" spans="1:45">
      <c r="A1969">
        <v>513003</v>
      </c>
      <c r="B1969">
        <v>1001</v>
      </c>
      <c r="C1969">
        <v>2</v>
      </c>
      <c r="D1969">
        <v>1004</v>
      </c>
      <c r="E1969" t="s">
        <v>5191</v>
      </c>
      <c r="F1969" s="13" t="s">
        <v>5191</v>
      </c>
      <c r="G1969" t="s">
        <v>5187</v>
      </c>
      <c r="H1969" t="s">
        <v>5192</v>
      </c>
      <c r="I1969">
        <v>1</v>
      </c>
      <c r="J1969">
        <f t="shared" si="8"/>
        <v>3</v>
      </c>
      <c r="K1969" s="33">
        <v>1</v>
      </c>
      <c r="L1969">
        <v>9999</v>
      </c>
      <c r="M1969">
        <v>0</v>
      </c>
      <c r="S1969" s="33">
        <v>1</v>
      </c>
      <c r="T1969">
        <v>5</v>
      </c>
      <c r="U1969">
        <v>1</v>
      </c>
      <c r="V1969" s="87">
        <v>1</v>
      </c>
      <c r="W1969">
        <v>1</v>
      </c>
      <c r="X1969">
        <v>1</v>
      </c>
      <c r="Y1969">
        <v>0</v>
      </c>
      <c r="Z1969" s="33">
        <v>0</v>
      </c>
      <c r="AA1969">
        <v>5</v>
      </c>
      <c r="AB1969">
        <v>100</v>
      </c>
      <c r="AC1969">
        <v>888</v>
      </c>
      <c r="AL1969" s="64">
        <v>1</v>
      </c>
      <c r="AN1969" s="93"/>
      <c r="AO1969" s="92"/>
      <c r="AQ1969" t="s">
        <v>5191</v>
      </c>
      <c r="AS1969">
        <v>1</v>
      </c>
    </row>
    <row r="1970" spans="1:45">
      <c r="A1970">
        <v>513004</v>
      </c>
      <c r="B1970">
        <v>1001</v>
      </c>
      <c r="C1970">
        <v>2</v>
      </c>
      <c r="D1970">
        <v>1004</v>
      </c>
      <c r="E1970" t="s">
        <v>5193</v>
      </c>
      <c r="F1970" s="13" t="s">
        <v>5194</v>
      </c>
      <c r="G1970" t="s">
        <v>5187</v>
      </c>
      <c r="H1970" t="s">
        <v>5195</v>
      </c>
      <c r="I1970">
        <v>1</v>
      </c>
      <c r="J1970">
        <f t="shared" si="8"/>
        <v>3</v>
      </c>
      <c r="K1970" s="33">
        <v>1</v>
      </c>
      <c r="L1970">
        <v>9999</v>
      </c>
      <c r="M1970">
        <v>0</v>
      </c>
      <c r="S1970" s="33">
        <v>1</v>
      </c>
      <c r="T1970">
        <v>5</v>
      </c>
      <c r="U1970">
        <v>1</v>
      </c>
      <c r="V1970" s="87">
        <v>1</v>
      </c>
      <c r="W1970">
        <v>1</v>
      </c>
      <c r="X1970">
        <v>1</v>
      </c>
      <c r="Y1970">
        <v>0</v>
      </c>
      <c r="Z1970" s="33">
        <v>0</v>
      </c>
      <c r="AA1970">
        <v>5</v>
      </c>
      <c r="AB1970">
        <v>100</v>
      </c>
      <c r="AC1970">
        <v>888</v>
      </c>
      <c r="AL1970" s="64">
        <v>1</v>
      </c>
      <c r="AN1970" s="93"/>
      <c r="AO1970" s="92"/>
      <c r="AQ1970" t="s">
        <v>5193</v>
      </c>
      <c r="AS1970">
        <v>1</v>
      </c>
    </row>
    <row r="1971" spans="1:45">
      <c r="A1971">
        <v>513005</v>
      </c>
      <c r="B1971">
        <v>1001</v>
      </c>
      <c r="C1971">
        <v>2</v>
      </c>
      <c r="D1971">
        <v>1004</v>
      </c>
      <c r="E1971" t="s">
        <v>5196</v>
      </c>
      <c r="F1971" s="13" t="s">
        <v>5196</v>
      </c>
      <c r="G1971" t="s">
        <v>5187</v>
      </c>
      <c r="H1971" t="s">
        <v>5197</v>
      </c>
      <c r="I1971">
        <v>1</v>
      </c>
      <c r="J1971">
        <f t="shared" si="8"/>
        <v>3</v>
      </c>
      <c r="K1971" s="33">
        <v>1</v>
      </c>
      <c r="L1971">
        <v>9999</v>
      </c>
      <c r="M1971">
        <v>0</v>
      </c>
      <c r="S1971" s="33">
        <v>1</v>
      </c>
      <c r="T1971">
        <v>5</v>
      </c>
      <c r="U1971">
        <v>1</v>
      </c>
      <c r="V1971" s="87">
        <v>1</v>
      </c>
      <c r="W1971">
        <v>1</v>
      </c>
      <c r="X1971">
        <v>1</v>
      </c>
      <c r="Y1971">
        <v>0</v>
      </c>
      <c r="Z1971" s="33">
        <v>0</v>
      </c>
      <c r="AA1971">
        <v>5</v>
      </c>
      <c r="AB1971">
        <v>100</v>
      </c>
      <c r="AC1971">
        <v>888</v>
      </c>
      <c r="AL1971" s="64">
        <v>1</v>
      </c>
      <c r="AN1971" s="93"/>
      <c r="AO1971" s="92"/>
      <c r="AQ1971" t="s">
        <v>5196</v>
      </c>
      <c r="AS1971">
        <v>1</v>
      </c>
    </row>
    <row r="1972" spans="1:45">
      <c r="A1972">
        <v>513006</v>
      </c>
      <c r="B1972">
        <v>1001</v>
      </c>
      <c r="C1972">
        <v>2</v>
      </c>
      <c r="D1972">
        <v>1004</v>
      </c>
      <c r="E1972" t="s">
        <v>5198</v>
      </c>
      <c r="F1972" s="13" t="s">
        <v>5198</v>
      </c>
      <c r="G1972" t="s">
        <v>5187</v>
      </c>
      <c r="H1972" t="s">
        <v>5199</v>
      </c>
      <c r="I1972">
        <v>1</v>
      </c>
      <c r="J1972">
        <f t="shared" si="8"/>
        <v>3</v>
      </c>
      <c r="K1972" s="33">
        <v>1</v>
      </c>
      <c r="L1972">
        <v>9999</v>
      </c>
      <c r="M1972">
        <v>0</v>
      </c>
      <c r="S1972" s="33">
        <v>1</v>
      </c>
      <c r="T1972">
        <v>5</v>
      </c>
      <c r="U1972">
        <v>1</v>
      </c>
      <c r="V1972" s="87">
        <v>1</v>
      </c>
      <c r="W1972">
        <v>1</v>
      </c>
      <c r="X1972">
        <v>1</v>
      </c>
      <c r="Y1972">
        <v>0</v>
      </c>
      <c r="Z1972" s="33">
        <v>0</v>
      </c>
      <c r="AA1972">
        <v>5</v>
      </c>
      <c r="AB1972">
        <v>100</v>
      </c>
      <c r="AC1972">
        <v>888</v>
      </c>
      <c r="AL1972" s="64">
        <v>1</v>
      </c>
      <c r="AN1972" s="93"/>
      <c r="AO1972" s="92"/>
      <c r="AQ1972" t="s">
        <v>5198</v>
      </c>
      <c r="AS1972">
        <v>1</v>
      </c>
    </row>
    <row r="1973" spans="1:45">
      <c r="A1973">
        <v>513007</v>
      </c>
      <c r="B1973">
        <v>1001</v>
      </c>
      <c r="C1973">
        <v>2</v>
      </c>
      <c r="D1973">
        <v>1004</v>
      </c>
      <c r="E1973" t="s">
        <v>5200</v>
      </c>
      <c r="F1973" s="13" t="s">
        <v>5200</v>
      </c>
      <c r="G1973" t="s">
        <v>5187</v>
      </c>
      <c r="H1973" t="s">
        <v>5201</v>
      </c>
      <c r="I1973">
        <v>1</v>
      </c>
      <c r="J1973">
        <f t="shared" si="8"/>
        <v>3</v>
      </c>
      <c r="K1973" s="33">
        <v>1</v>
      </c>
      <c r="L1973">
        <v>9999</v>
      </c>
      <c r="M1973">
        <v>0</v>
      </c>
      <c r="S1973" s="33">
        <v>1</v>
      </c>
      <c r="T1973">
        <v>5</v>
      </c>
      <c r="U1973">
        <v>2</v>
      </c>
      <c r="V1973" s="87">
        <v>1</v>
      </c>
      <c r="W1973">
        <v>1</v>
      </c>
      <c r="X1973">
        <v>1</v>
      </c>
      <c r="Y1973">
        <v>0</v>
      </c>
      <c r="Z1973" s="33">
        <v>0</v>
      </c>
      <c r="AA1973">
        <v>5</v>
      </c>
      <c r="AB1973">
        <v>200</v>
      </c>
      <c r="AC1973">
        <v>888</v>
      </c>
      <c r="AL1973" s="64">
        <v>1</v>
      </c>
      <c r="AN1973" s="93"/>
      <c r="AO1973" s="92"/>
      <c r="AQ1973" t="s">
        <v>5200</v>
      </c>
      <c r="AS1973">
        <v>1</v>
      </c>
    </row>
    <row r="1974" spans="1:45">
      <c r="A1974">
        <v>513008</v>
      </c>
      <c r="B1974">
        <v>1001</v>
      </c>
      <c r="C1974">
        <v>2</v>
      </c>
      <c r="D1974">
        <v>1004</v>
      </c>
      <c r="E1974" t="s">
        <v>5202</v>
      </c>
      <c r="F1974" s="13" t="s">
        <v>5202</v>
      </c>
      <c r="G1974" t="s">
        <v>5187</v>
      </c>
      <c r="H1974" t="s">
        <v>5203</v>
      </c>
      <c r="I1974">
        <v>1</v>
      </c>
      <c r="J1974">
        <f t="shared" si="8"/>
        <v>3</v>
      </c>
      <c r="K1974" s="33">
        <v>1</v>
      </c>
      <c r="L1974">
        <v>9999</v>
      </c>
      <c r="M1974">
        <v>0</v>
      </c>
      <c r="S1974" s="33">
        <v>1</v>
      </c>
      <c r="T1974">
        <v>5</v>
      </c>
      <c r="U1974">
        <v>3</v>
      </c>
      <c r="V1974" s="87">
        <v>1</v>
      </c>
      <c r="W1974">
        <v>1</v>
      </c>
      <c r="X1974">
        <v>1</v>
      </c>
      <c r="Y1974">
        <v>0</v>
      </c>
      <c r="Z1974" s="33">
        <v>0</v>
      </c>
      <c r="AA1974">
        <v>5</v>
      </c>
      <c r="AB1974">
        <v>300</v>
      </c>
      <c r="AC1974">
        <v>888</v>
      </c>
      <c r="AL1974" s="64">
        <v>1</v>
      </c>
      <c r="AN1974" s="93"/>
      <c r="AO1974" s="92"/>
      <c r="AQ1974" t="s">
        <v>5202</v>
      </c>
      <c r="AS1974">
        <v>1</v>
      </c>
    </row>
    <row r="1975" spans="1:45">
      <c r="A1975">
        <v>513009</v>
      </c>
      <c r="B1975">
        <v>1001</v>
      </c>
      <c r="C1975">
        <v>2</v>
      </c>
      <c r="D1975">
        <v>1004</v>
      </c>
      <c r="E1975" t="s">
        <v>5204</v>
      </c>
      <c r="F1975" s="13" t="s">
        <v>5204</v>
      </c>
      <c r="G1975" t="s">
        <v>5187</v>
      </c>
      <c r="H1975" t="s">
        <v>5205</v>
      </c>
      <c r="I1975">
        <v>1</v>
      </c>
      <c r="J1975">
        <f t="shared" si="8"/>
        <v>3</v>
      </c>
      <c r="K1975" s="33">
        <v>1</v>
      </c>
      <c r="L1975">
        <v>9999</v>
      </c>
      <c r="M1975">
        <v>0</v>
      </c>
      <c r="S1975" s="33">
        <v>1</v>
      </c>
      <c r="T1975">
        <v>5</v>
      </c>
      <c r="U1975">
        <v>2</v>
      </c>
      <c r="V1975" s="87">
        <v>1</v>
      </c>
      <c r="W1975">
        <v>1</v>
      </c>
      <c r="X1975">
        <v>1</v>
      </c>
      <c r="Y1975">
        <v>0</v>
      </c>
      <c r="Z1975" s="33">
        <v>0</v>
      </c>
      <c r="AA1975">
        <v>5</v>
      </c>
      <c r="AB1975">
        <v>200</v>
      </c>
      <c r="AC1975">
        <v>888</v>
      </c>
      <c r="AL1975" s="64">
        <v>1</v>
      </c>
      <c r="AN1975" s="93"/>
      <c r="AO1975" s="92"/>
      <c r="AQ1975" t="s">
        <v>5204</v>
      </c>
      <c r="AS1975">
        <v>1</v>
      </c>
    </row>
    <row r="1976" spans="1:45">
      <c r="A1976">
        <v>513010</v>
      </c>
      <c r="B1976">
        <v>1001</v>
      </c>
      <c r="C1976">
        <v>2</v>
      </c>
      <c r="D1976">
        <v>1004</v>
      </c>
      <c r="E1976" t="s">
        <v>5206</v>
      </c>
      <c r="F1976" s="13" t="s">
        <v>5206</v>
      </c>
      <c r="G1976" t="s">
        <v>5187</v>
      </c>
      <c r="H1976" t="s">
        <v>5207</v>
      </c>
      <c r="I1976">
        <v>1</v>
      </c>
      <c r="J1976">
        <f t="shared" si="8"/>
        <v>3</v>
      </c>
      <c r="K1976" s="33">
        <v>1</v>
      </c>
      <c r="L1976">
        <v>9999</v>
      </c>
      <c r="M1976">
        <v>0</v>
      </c>
      <c r="S1976" s="33">
        <v>1</v>
      </c>
      <c r="T1976">
        <v>5</v>
      </c>
      <c r="U1976">
        <v>2</v>
      </c>
      <c r="V1976" s="87">
        <v>1</v>
      </c>
      <c r="W1976">
        <v>1</v>
      </c>
      <c r="X1976">
        <v>1</v>
      </c>
      <c r="Y1976">
        <v>0</v>
      </c>
      <c r="Z1976" s="33">
        <v>0</v>
      </c>
      <c r="AA1976">
        <v>5</v>
      </c>
      <c r="AB1976">
        <v>200</v>
      </c>
      <c r="AC1976">
        <v>888</v>
      </c>
      <c r="AL1976" s="64">
        <v>1</v>
      </c>
      <c r="AN1976" s="93"/>
      <c r="AO1976" s="92"/>
      <c r="AQ1976" t="s">
        <v>5206</v>
      </c>
      <c r="AS1976">
        <v>1</v>
      </c>
    </row>
    <row r="1977" spans="1:45">
      <c r="A1977">
        <v>513011</v>
      </c>
      <c r="B1977">
        <v>1001</v>
      </c>
      <c r="C1977">
        <v>2</v>
      </c>
      <c r="D1977">
        <v>1004</v>
      </c>
      <c r="E1977" t="s">
        <v>5208</v>
      </c>
      <c r="F1977" s="13" t="s">
        <v>5208</v>
      </c>
      <c r="G1977" t="s">
        <v>5209</v>
      </c>
      <c r="H1977" t="s">
        <v>5210</v>
      </c>
      <c r="I1977">
        <v>1</v>
      </c>
      <c r="J1977">
        <f t="shared" si="8"/>
        <v>3</v>
      </c>
      <c r="K1977" s="33">
        <v>1</v>
      </c>
      <c r="L1977">
        <v>9999</v>
      </c>
      <c r="M1977">
        <v>0</v>
      </c>
      <c r="S1977" s="33">
        <v>1</v>
      </c>
      <c r="T1977">
        <v>5</v>
      </c>
      <c r="U1977">
        <v>3</v>
      </c>
      <c r="V1977" s="87">
        <v>1</v>
      </c>
      <c r="W1977">
        <v>1</v>
      </c>
      <c r="X1977">
        <v>1</v>
      </c>
      <c r="Y1977">
        <v>0</v>
      </c>
      <c r="Z1977" s="33">
        <v>0</v>
      </c>
      <c r="AA1977">
        <v>5</v>
      </c>
      <c r="AB1977">
        <v>300</v>
      </c>
      <c r="AC1977">
        <v>888</v>
      </c>
      <c r="AL1977" s="64">
        <v>1</v>
      </c>
      <c r="AN1977" s="93"/>
      <c r="AO1977" s="92"/>
      <c r="AQ1977" t="s">
        <v>5208</v>
      </c>
      <c r="AS1977">
        <v>1</v>
      </c>
    </row>
    <row r="1978" spans="1:45">
      <c r="A1978">
        <v>513012</v>
      </c>
      <c r="B1978">
        <v>1001</v>
      </c>
      <c r="C1978">
        <v>2</v>
      </c>
      <c r="D1978">
        <v>1004</v>
      </c>
      <c r="E1978" t="s">
        <v>5211</v>
      </c>
      <c r="F1978" s="13" t="s">
        <v>5211</v>
      </c>
      <c r="G1978" t="s">
        <v>5187</v>
      </c>
      <c r="H1978" t="s">
        <v>5212</v>
      </c>
      <c r="I1978">
        <v>1</v>
      </c>
      <c r="J1978">
        <f t="shared" si="8"/>
        <v>3</v>
      </c>
      <c r="K1978" s="33">
        <v>1</v>
      </c>
      <c r="L1978">
        <v>9999</v>
      </c>
      <c r="M1978">
        <v>0</v>
      </c>
      <c r="S1978" s="33">
        <v>1</v>
      </c>
      <c r="T1978">
        <v>5</v>
      </c>
      <c r="U1978">
        <v>1</v>
      </c>
      <c r="V1978" s="87">
        <v>1</v>
      </c>
      <c r="W1978">
        <v>1</v>
      </c>
      <c r="X1978">
        <v>1</v>
      </c>
      <c r="Y1978">
        <v>0</v>
      </c>
      <c r="Z1978" s="33">
        <v>0</v>
      </c>
      <c r="AA1978">
        <v>5</v>
      </c>
      <c r="AB1978">
        <v>100</v>
      </c>
      <c r="AC1978">
        <v>888</v>
      </c>
      <c r="AL1978" s="64">
        <v>1</v>
      </c>
      <c r="AN1978" s="93"/>
      <c r="AO1978" s="92"/>
      <c r="AQ1978" t="s">
        <v>5213</v>
      </c>
      <c r="AS1978">
        <v>1</v>
      </c>
    </row>
    <row r="1979" spans="1:45">
      <c r="A1979">
        <v>513013</v>
      </c>
      <c r="B1979">
        <v>1001</v>
      </c>
      <c r="C1979">
        <v>2</v>
      </c>
      <c r="D1979">
        <v>1004</v>
      </c>
      <c r="E1979" t="s">
        <v>5214</v>
      </c>
      <c r="F1979" s="13" t="s">
        <v>5214</v>
      </c>
      <c r="G1979" t="s">
        <v>5187</v>
      </c>
      <c r="H1979" t="s">
        <v>5215</v>
      </c>
      <c r="I1979">
        <v>1</v>
      </c>
      <c r="J1979">
        <f t="shared" si="8"/>
        <v>3</v>
      </c>
      <c r="K1979" s="33">
        <v>1</v>
      </c>
      <c r="L1979">
        <v>9999</v>
      </c>
      <c r="M1979">
        <v>0</v>
      </c>
      <c r="S1979" s="33">
        <v>1</v>
      </c>
      <c r="T1979">
        <v>5</v>
      </c>
      <c r="U1979">
        <v>1</v>
      </c>
      <c r="V1979" s="87">
        <v>1</v>
      </c>
      <c r="W1979">
        <v>1</v>
      </c>
      <c r="X1979">
        <v>1</v>
      </c>
      <c r="Y1979">
        <v>0</v>
      </c>
      <c r="Z1979" s="33">
        <v>0</v>
      </c>
      <c r="AA1979">
        <v>5</v>
      </c>
      <c r="AB1979">
        <v>100</v>
      </c>
      <c r="AC1979">
        <v>888</v>
      </c>
      <c r="AL1979" s="64">
        <v>1</v>
      </c>
      <c r="AN1979" s="93"/>
      <c r="AO1979" s="92"/>
      <c r="AQ1979" t="s">
        <v>5214</v>
      </c>
      <c r="AS1979">
        <v>1</v>
      </c>
    </row>
    <row r="1980" spans="1:45">
      <c r="A1980">
        <v>513014</v>
      </c>
      <c r="B1980">
        <v>1001</v>
      </c>
      <c r="C1980">
        <v>2</v>
      </c>
      <c r="D1980">
        <v>1004</v>
      </c>
      <c r="E1980" t="s">
        <v>5216</v>
      </c>
      <c r="F1980" s="13" t="s">
        <v>5216</v>
      </c>
      <c r="G1980" t="s">
        <v>5209</v>
      </c>
      <c r="H1980" t="s">
        <v>5217</v>
      </c>
      <c r="I1980">
        <v>1</v>
      </c>
      <c r="J1980">
        <f t="shared" si="8"/>
        <v>3</v>
      </c>
      <c r="K1980" s="33">
        <v>1</v>
      </c>
      <c r="L1980">
        <v>9999</v>
      </c>
      <c r="M1980">
        <v>0</v>
      </c>
      <c r="S1980" s="33">
        <v>1</v>
      </c>
      <c r="T1980">
        <v>5</v>
      </c>
      <c r="U1980">
        <v>5</v>
      </c>
      <c r="V1980" s="87">
        <v>1</v>
      </c>
      <c r="W1980">
        <v>1</v>
      </c>
      <c r="X1980">
        <v>1</v>
      </c>
      <c r="Y1980">
        <v>0</v>
      </c>
      <c r="Z1980" s="33">
        <v>0</v>
      </c>
      <c r="AA1980">
        <v>5</v>
      </c>
      <c r="AB1980">
        <v>500</v>
      </c>
      <c r="AC1980">
        <v>888</v>
      </c>
      <c r="AL1980" s="64">
        <v>1</v>
      </c>
      <c r="AN1980" s="93"/>
      <c r="AO1980" s="92"/>
      <c r="AQ1980" t="s">
        <v>5216</v>
      </c>
      <c r="AS1980">
        <v>1</v>
      </c>
    </row>
    <row r="1981" spans="1:45">
      <c r="A1981">
        <v>513015</v>
      </c>
      <c r="B1981">
        <v>1001</v>
      </c>
      <c r="C1981">
        <v>2</v>
      </c>
      <c r="D1981">
        <v>1004</v>
      </c>
      <c r="E1981" t="s">
        <v>5218</v>
      </c>
      <c r="F1981" s="13" t="s">
        <v>5218</v>
      </c>
      <c r="G1981" t="s">
        <v>5187</v>
      </c>
      <c r="H1981" t="s">
        <v>5219</v>
      </c>
      <c r="I1981">
        <v>1</v>
      </c>
      <c r="J1981">
        <f t="shared" si="8"/>
        <v>3</v>
      </c>
      <c r="K1981" s="33">
        <v>1</v>
      </c>
      <c r="L1981">
        <v>9999</v>
      </c>
      <c r="M1981">
        <v>0</v>
      </c>
      <c r="S1981" s="33">
        <v>1</v>
      </c>
      <c r="T1981">
        <v>5</v>
      </c>
      <c r="U1981">
        <v>1</v>
      </c>
      <c r="V1981" s="87">
        <v>1</v>
      </c>
      <c r="W1981">
        <v>1</v>
      </c>
      <c r="X1981">
        <v>1</v>
      </c>
      <c r="Y1981">
        <v>0</v>
      </c>
      <c r="Z1981" s="33">
        <v>0</v>
      </c>
      <c r="AA1981">
        <v>5</v>
      </c>
      <c r="AB1981">
        <v>100</v>
      </c>
      <c r="AC1981">
        <v>888</v>
      </c>
      <c r="AL1981" s="64">
        <v>1</v>
      </c>
      <c r="AN1981" s="93"/>
      <c r="AO1981" s="92"/>
      <c r="AQ1981" t="s">
        <v>5220</v>
      </c>
      <c r="AS1981">
        <v>1</v>
      </c>
    </row>
    <row r="1982" spans="1:45">
      <c r="A1982">
        <v>513016</v>
      </c>
      <c r="B1982">
        <v>1001</v>
      </c>
      <c r="C1982">
        <v>2</v>
      </c>
      <c r="D1982">
        <v>1004</v>
      </c>
      <c r="E1982" t="s">
        <v>5221</v>
      </c>
      <c r="F1982" s="13" t="s">
        <v>5221</v>
      </c>
      <c r="G1982" t="s">
        <v>5187</v>
      </c>
      <c r="H1982" t="s">
        <v>5222</v>
      </c>
      <c r="I1982">
        <v>1</v>
      </c>
      <c r="J1982">
        <f t="shared" si="8"/>
        <v>3</v>
      </c>
      <c r="K1982" s="33">
        <v>1</v>
      </c>
      <c r="L1982">
        <v>9999</v>
      </c>
      <c r="M1982">
        <v>0</v>
      </c>
      <c r="S1982" s="33">
        <v>1</v>
      </c>
      <c r="T1982">
        <v>5</v>
      </c>
      <c r="U1982">
        <v>1</v>
      </c>
      <c r="V1982" s="87">
        <v>1</v>
      </c>
      <c r="W1982">
        <v>1</v>
      </c>
      <c r="X1982">
        <v>1</v>
      </c>
      <c r="Y1982">
        <v>0</v>
      </c>
      <c r="Z1982" s="33">
        <v>0</v>
      </c>
      <c r="AA1982">
        <v>5</v>
      </c>
      <c r="AB1982">
        <v>100</v>
      </c>
      <c r="AC1982">
        <v>888</v>
      </c>
      <c r="AL1982" s="64">
        <v>1</v>
      </c>
      <c r="AN1982" s="93"/>
      <c r="AO1982" s="92"/>
      <c r="AQ1982" t="s">
        <v>5221</v>
      </c>
      <c r="AS1982">
        <v>1</v>
      </c>
    </row>
    <row r="1983" spans="1:45">
      <c r="A1983">
        <v>513017</v>
      </c>
      <c r="B1983">
        <v>1001</v>
      </c>
      <c r="C1983">
        <v>2</v>
      </c>
      <c r="D1983">
        <v>1004</v>
      </c>
      <c r="E1983" t="s">
        <v>5223</v>
      </c>
      <c r="F1983" s="13" t="s">
        <v>5223</v>
      </c>
      <c r="G1983" t="s">
        <v>5209</v>
      </c>
      <c r="H1983" t="s">
        <v>5224</v>
      </c>
      <c r="I1983">
        <v>1</v>
      </c>
      <c r="J1983">
        <f t="shared" si="8"/>
        <v>3</v>
      </c>
      <c r="K1983" s="33">
        <v>1</v>
      </c>
      <c r="L1983">
        <v>9999</v>
      </c>
      <c r="M1983">
        <v>0</v>
      </c>
      <c r="S1983" s="33">
        <v>1</v>
      </c>
      <c r="T1983">
        <v>5</v>
      </c>
      <c r="U1983">
        <v>3</v>
      </c>
      <c r="V1983" s="87">
        <v>1</v>
      </c>
      <c r="W1983">
        <v>1</v>
      </c>
      <c r="X1983">
        <v>1</v>
      </c>
      <c r="Y1983">
        <v>0</v>
      </c>
      <c r="Z1983" s="33">
        <v>0</v>
      </c>
      <c r="AA1983">
        <v>5</v>
      </c>
      <c r="AB1983">
        <v>300</v>
      </c>
      <c r="AC1983">
        <v>888</v>
      </c>
      <c r="AL1983" s="64">
        <v>1</v>
      </c>
      <c r="AN1983" s="93"/>
      <c r="AO1983" s="92"/>
      <c r="AQ1983" t="s">
        <v>5223</v>
      </c>
      <c r="AS1983">
        <v>1</v>
      </c>
    </row>
    <row r="1984" spans="1:45">
      <c r="A1984">
        <v>513018</v>
      </c>
      <c r="B1984">
        <v>1001</v>
      </c>
      <c r="C1984">
        <v>2</v>
      </c>
      <c r="D1984">
        <v>1004</v>
      </c>
      <c r="E1984" t="s">
        <v>5225</v>
      </c>
      <c r="F1984" s="13" t="s">
        <v>5225</v>
      </c>
      <c r="G1984" t="s">
        <v>5187</v>
      </c>
      <c r="H1984" t="s">
        <v>5226</v>
      </c>
      <c r="I1984">
        <v>1</v>
      </c>
      <c r="J1984">
        <f t="shared" si="8"/>
        <v>3</v>
      </c>
      <c r="K1984" s="33">
        <v>1</v>
      </c>
      <c r="L1984">
        <v>9999</v>
      </c>
      <c r="M1984">
        <v>0</v>
      </c>
      <c r="S1984" s="33">
        <v>1</v>
      </c>
      <c r="T1984">
        <v>5</v>
      </c>
      <c r="U1984">
        <v>1</v>
      </c>
      <c r="V1984" s="87">
        <v>1</v>
      </c>
      <c r="W1984">
        <v>1</v>
      </c>
      <c r="X1984">
        <v>1</v>
      </c>
      <c r="Y1984">
        <v>0</v>
      </c>
      <c r="Z1984" s="33">
        <v>0</v>
      </c>
      <c r="AA1984">
        <v>5</v>
      </c>
      <c r="AB1984">
        <v>100</v>
      </c>
      <c r="AC1984">
        <v>888</v>
      </c>
      <c r="AL1984" s="64">
        <v>1</v>
      </c>
      <c r="AN1984" s="93"/>
      <c r="AO1984" s="92"/>
      <c r="AQ1984" t="s">
        <v>5227</v>
      </c>
      <c r="AS1984">
        <v>1</v>
      </c>
    </row>
    <row r="1985" spans="1:45">
      <c r="A1985">
        <v>513019</v>
      </c>
      <c r="B1985">
        <v>1001</v>
      </c>
      <c r="C1985">
        <v>2</v>
      </c>
      <c r="D1985">
        <v>1004</v>
      </c>
      <c r="E1985" t="s">
        <v>5228</v>
      </c>
      <c r="F1985" s="13" t="s">
        <v>5228</v>
      </c>
      <c r="G1985" t="s">
        <v>5187</v>
      </c>
      <c r="H1985" t="s">
        <v>5229</v>
      </c>
      <c r="I1985">
        <v>1</v>
      </c>
      <c r="J1985">
        <f t="shared" si="8"/>
        <v>3</v>
      </c>
      <c r="K1985" s="33">
        <v>1</v>
      </c>
      <c r="L1985">
        <v>9999</v>
      </c>
      <c r="M1985">
        <v>0</v>
      </c>
      <c r="S1985" s="33">
        <v>1</v>
      </c>
      <c r="T1985">
        <v>5</v>
      </c>
      <c r="U1985">
        <v>2</v>
      </c>
      <c r="V1985" s="87">
        <v>1</v>
      </c>
      <c r="W1985">
        <v>1</v>
      </c>
      <c r="X1985">
        <v>1</v>
      </c>
      <c r="Y1985">
        <v>0</v>
      </c>
      <c r="Z1985" s="33">
        <v>0</v>
      </c>
      <c r="AA1985">
        <v>5</v>
      </c>
      <c r="AB1985">
        <v>200</v>
      </c>
      <c r="AC1985">
        <v>888</v>
      </c>
      <c r="AL1985" s="64">
        <v>1</v>
      </c>
      <c r="AN1985" s="93"/>
      <c r="AO1985" s="92"/>
      <c r="AQ1985" t="s">
        <v>5230</v>
      </c>
      <c r="AS1985">
        <v>1</v>
      </c>
    </row>
    <row r="1986" spans="1:45">
      <c r="A1986" s="37">
        <v>513020</v>
      </c>
      <c r="B1986">
        <v>1001</v>
      </c>
      <c r="C1986">
        <v>2</v>
      </c>
      <c r="D1986">
        <v>1004</v>
      </c>
      <c r="E1986" t="s">
        <v>5193</v>
      </c>
      <c r="F1986" s="13" t="s">
        <v>5193</v>
      </c>
      <c r="G1986" t="s">
        <v>5187</v>
      </c>
      <c r="H1986" t="s">
        <v>5231</v>
      </c>
      <c r="I1986">
        <v>1</v>
      </c>
      <c r="J1986">
        <f t="shared" si="8"/>
        <v>3</v>
      </c>
      <c r="K1986" s="33">
        <v>1</v>
      </c>
      <c r="L1986">
        <v>9999</v>
      </c>
      <c r="M1986">
        <v>0</v>
      </c>
      <c r="S1986" s="33">
        <v>1</v>
      </c>
      <c r="T1986">
        <v>5</v>
      </c>
      <c r="U1986">
        <v>1</v>
      </c>
      <c r="V1986" s="87">
        <v>1</v>
      </c>
      <c r="W1986">
        <v>1</v>
      </c>
      <c r="X1986">
        <v>1</v>
      </c>
      <c r="Y1986">
        <v>0</v>
      </c>
      <c r="Z1986" s="33">
        <v>0</v>
      </c>
      <c r="AA1986">
        <v>5</v>
      </c>
      <c r="AB1986">
        <v>100</v>
      </c>
      <c r="AC1986">
        <v>888</v>
      </c>
      <c r="AL1986" s="64">
        <v>1</v>
      </c>
      <c r="AN1986" s="93"/>
      <c r="AO1986" s="92"/>
      <c r="AQ1986" t="s">
        <v>5193</v>
      </c>
      <c r="AS1986">
        <v>1</v>
      </c>
    </row>
    <row r="1987" spans="1:45">
      <c r="A1987">
        <v>513021</v>
      </c>
      <c r="B1987">
        <v>1001</v>
      </c>
      <c r="C1987">
        <v>2</v>
      </c>
      <c r="D1987">
        <v>1004</v>
      </c>
      <c r="E1987" t="s">
        <v>5232</v>
      </c>
      <c r="F1987" s="13" t="s">
        <v>5232</v>
      </c>
      <c r="G1987" t="s">
        <v>5187</v>
      </c>
      <c r="H1987" t="s">
        <v>5233</v>
      </c>
      <c r="I1987">
        <v>1</v>
      </c>
      <c r="J1987">
        <f t="shared" si="8"/>
        <v>3</v>
      </c>
      <c r="K1987" s="33">
        <v>1</v>
      </c>
      <c r="L1987">
        <v>9999</v>
      </c>
      <c r="M1987">
        <v>0</v>
      </c>
      <c r="S1987" s="33">
        <v>1</v>
      </c>
      <c r="T1987">
        <v>5</v>
      </c>
      <c r="U1987">
        <v>2</v>
      </c>
      <c r="V1987" s="87">
        <v>1</v>
      </c>
      <c r="W1987">
        <v>1</v>
      </c>
      <c r="X1987">
        <v>1</v>
      </c>
      <c r="Y1987">
        <v>0</v>
      </c>
      <c r="Z1987" s="33">
        <v>0</v>
      </c>
      <c r="AA1987">
        <v>5</v>
      </c>
      <c r="AB1987">
        <v>200</v>
      </c>
      <c r="AC1987">
        <v>888</v>
      </c>
      <c r="AL1987" s="64">
        <v>1</v>
      </c>
      <c r="AN1987" s="93"/>
      <c r="AO1987" s="92"/>
      <c r="AQ1987" t="s">
        <v>5232</v>
      </c>
      <c r="AS1987">
        <v>1</v>
      </c>
    </row>
    <row r="1988" spans="1:45">
      <c r="A1988">
        <v>513022</v>
      </c>
      <c r="B1988">
        <v>1001</v>
      </c>
      <c r="C1988">
        <v>2</v>
      </c>
      <c r="D1988">
        <v>1004</v>
      </c>
      <c r="E1988" t="s">
        <v>5234</v>
      </c>
      <c r="F1988" s="13" t="s">
        <v>5234</v>
      </c>
      <c r="G1988" t="s">
        <v>5187</v>
      </c>
      <c r="H1988" t="s">
        <v>5235</v>
      </c>
      <c r="I1988">
        <v>1</v>
      </c>
      <c r="J1988">
        <f t="shared" si="8"/>
        <v>3</v>
      </c>
      <c r="K1988" s="33">
        <v>1</v>
      </c>
      <c r="L1988">
        <v>9999</v>
      </c>
      <c r="M1988">
        <v>0</v>
      </c>
      <c r="S1988" s="33">
        <v>1</v>
      </c>
      <c r="T1988">
        <v>5</v>
      </c>
      <c r="U1988">
        <v>2</v>
      </c>
      <c r="V1988" s="87">
        <v>1</v>
      </c>
      <c r="W1988">
        <v>1</v>
      </c>
      <c r="X1988">
        <v>1</v>
      </c>
      <c r="Y1988">
        <v>0</v>
      </c>
      <c r="Z1988" s="33">
        <v>0</v>
      </c>
      <c r="AA1988">
        <v>5</v>
      </c>
      <c r="AB1988">
        <v>200</v>
      </c>
      <c r="AC1988">
        <v>888</v>
      </c>
      <c r="AL1988" s="64">
        <v>1</v>
      </c>
      <c r="AN1988" s="93"/>
      <c r="AO1988" s="92"/>
      <c r="AQ1988" t="s">
        <v>5234</v>
      </c>
      <c r="AS1988">
        <v>1</v>
      </c>
    </row>
    <row r="1989" spans="1:45">
      <c r="A1989">
        <v>513023</v>
      </c>
      <c r="B1989">
        <v>1001</v>
      </c>
      <c r="C1989">
        <v>2</v>
      </c>
      <c r="D1989">
        <v>1004</v>
      </c>
      <c r="E1989" t="s">
        <v>5236</v>
      </c>
      <c r="F1989" s="13" t="s">
        <v>5236</v>
      </c>
      <c r="G1989" t="s">
        <v>5209</v>
      </c>
      <c r="H1989" t="s">
        <v>5237</v>
      </c>
      <c r="I1989">
        <v>1</v>
      </c>
      <c r="J1989">
        <f t="shared" si="8"/>
        <v>3</v>
      </c>
      <c r="K1989" s="33">
        <v>1</v>
      </c>
      <c r="L1989">
        <v>9999</v>
      </c>
      <c r="M1989">
        <v>0</v>
      </c>
      <c r="S1989" s="33">
        <v>1</v>
      </c>
      <c r="T1989">
        <v>5</v>
      </c>
      <c r="U1989">
        <v>3</v>
      </c>
      <c r="V1989" s="87">
        <v>1</v>
      </c>
      <c r="W1989">
        <v>1</v>
      </c>
      <c r="X1989">
        <v>1</v>
      </c>
      <c r="Y1989">
        <v>0</v>
      </c>
      <c r="Z1989" s="33">
        <v>0</v>
      </c>
      <c r="AA1989">
        <v>5</v>
      </c>
      <c r="AB1989">
        <v>300</v>
      </c>
      <c r="AC1989">
        <v>888</v>
      </c>
      <c r="AL1989" s="64">
        <v>1</v>
      </c>
      <c r="AN1989" s="93"/>
      <c r="AO1989" s="92"/>
      <c r="AQ1989" t="s">
        <v>5236</v>
      </c>
      <c r="AS1989">
        <v>1</v>
      </c>
    </row>
    <row r="1990" spans="1:45">
      <c r="A1990">
        <v>513024</v>
      </c>
      <c r="B1990">
        <v>1001</v>
      </c>
      <c r="C1990">
        <v>2</v>
      </c>
      <c r="D1990">
        <v>1004</v>
      </c>
      <c r="E1990" t="s">
        <v>5238</v>
      </c>
      <c r="F1990" s="13" t="s">
        <v>5238</v>
      </c>
      <c r="G1990" t="s">
        <v>5209</v>
      </c>
      <c r="H1990" t="s">
        <v>5239</v>
      </c>
      <c r="I1990">
        <v>1</v>
      </c>
      <c r="J1990">
        <f t="shared" si="8"/>
        <v>3</v>
      </c>
      <c r="K1990" s="33">
        <v>1</v>
      </c>
      <c r="L1990">
        <v>9999</v>
      </c>
      <c r="M1990">
        <v>0</v>
      </c>
      <c r="S1990" s="33">
        <v>1</v>
      </c>
      <c r="T1990">
        <v>5</v>
      </c>
      <c r="U1990">
        <v>3</v>
      </c>
      <c r="V1990" s="87">
        <v>1</v>
      </c>
      <c r="W1990">
        <v>1</v>
      </c>
      <c r="X1990">
        <v>1</v>
      </c>
      <c r="Y1990">
        <v>0</v>
      </c>
      <c r="Z1990" s="33">
        <v>0</v>
      </c>
      <c r="AA1990">
        <v>5</v>
      </c>
      <c r="AB1990">
        <v>300</v>
      </c>
      <c r="AC1990">
        <v>888</v>
      </c>
      <c r="AL1990" s="64">
        <v>1</v>
      </c>
      <c r="AN1990" s="93"/>
      <c r="AO1990" s="92"/>
      <c r="AQ1990" t="s">
        <v>5238</v>
      </c>
      <c r="AS1990">
        <v>1</v>
      </c>
    </row>
    <row r="1991" spans="1:45">
      <c r="A1991">
        <v>513025</v>
      </c>
      <c r="B1991">
        <v>1001</v>
      </c>
      <c r="C1991">
        <v>2</v>
      </c>
      <c r="D1991">
        <v>1004</v>
      </c>
      <c r="E1991" t="s">
        <v>5240</v>
      </c>
      <c r="F1991" s="13" t="s">
        <v>5240</v>
      </c>
      <c r="G1991" t="s">
        <v>5209</v>
      </c>
      <c r="H1991" t="s">
        <v>5241</v>
      </c>
      <c r="I1991">
        <v>1</v>
      </c>
      <c r="J1991">
        <f t="shared" si="8"/>
        <v>3</v>
      </c>
      <c r="K1991" s="33">
        <v>1</v>
      </c>
      <c r="L1991">
        <v>9999</v>
      </c>
      <c r="M1991">
        <v>0</v>
      </c>
      <c r="R1991" s="8"/>
      <c r="S1991" s="33">
        <v>1</v>
      </c>
      <c r="T1991">
        <v>5</v>
      </c>
      <c r="U1991">
        <v>5</v>
      </c>
      <c r="V1991" s="87">
        <v>1</v>
      </c>
      <c r="W1991">
        <v>1</v>
      </c>
      <c r="X1991">
        <v>1</v>
      </c>
      <c r="Y1991">
        <v>0</v>
      </c>
      <c r="Z1991" s="33">
        <v>0</v>
      </c>
      <c r="AA1991">
        <v>5</v>
      </c>
      <c r="AB1991">
        <v>500</v>
      </c>
      <c r="AC1991">
        <v>888</v>
      </c>
      <c r="AL1991" s="64">
        <v>1</v>
      </c>
      <c r="AN1991" s="93"/>
      <c r="AO1991" s="92"/>
      <c r="AQ1991" t="s">
        <v>5240</v>
      </c>
      <c r="AS1991">
        <v>1</v>
      </c>
    </row>
    <row r="1992" spans="1:45">
      <c r="A1992">
        <v>514000</v>
      </c>
      <c r="B1992">
        <v>1001</v>
      </c>
      <c r="C1992">
        <v>2</v>
      </c>
      <c r="D1992">
        <v>1004</v>
      </c>
      <c r="E1992" t="s">
        <v>5242</v>
      </c>
      <c r="F1992" s="13" t="s">
        <v>5243</v>
      </c>
      <c r="G1992" t="s">
        <v>5065</v>
      </c>
      <c r="H1992" t="s">
        <v>5244</v>
      </c>
      <c r="I1992">
        <v>1</v>
      </c>
      <c r="J1992">
        <v>4</v>
      </c>
      <c r="K1992" s="33">
        <v>1</v>
      </c>
      <c r="L1992">
        <v>9999</v>
      </c>
      <c r="M1992">
        <v>0</v>
      </c>
      <c r="R1992" s="236"/>
      <c r="S1992" s="33">
        <v>1</v>
      </c>
      <c r="T1992">
        <v>5</v>
      </c>
      <c r="U1992">
        <v>1</v>
      </c>
      <c r="V1992" s="87">
        <v>1</v>
      </c>
      <c r="W1992">
        <v>1</v>
      </c>
      <c r="X1992">
        <v>1</v>
      </c>
      <c r="Y1992">
        <v>0</v>
      </c>
      <c r="Z1992" s="33">
        <v>0</v>
      </c>
      <c r="AA1992">
        <v>5</v>
      </c>
      <c r="AB1992">
        <v>100</v>
      </c>
      <c r="AC1992">
        <v>888</v>
      </c>
      <c r="AL1992" s="64">
        <v>1</v>
      </c>
      <c r="AN1992" s="93"/>
      <c r="AO1992" s="92" t="s">
        <v>5067</v>
      </c>
      <c r="AQ1992" t="s">
        <v>5242</v>
      </c>
      <c r="AS1992">
        <v>1</v>
      </c>
    </row>
    <row r="1993" spans="1:45">
      <c r="A1993">
        <v>514001</v>
      </c>
      <c r="B1993">
        <v>1001</v>
      </c>
      <c r="C1993">
        <v>2</v>
      </c>
      <c r="D1993">
        <v>1004</v>
      </c>
      <c r="E1993" t="s">
        <v>5245</v>
      </c>
      <c r="F1993" s="13" t="s">
        <v>5245</v>
      </c>
      <c r="G1993" t="s">
        <v>5246</v>
      </c>
      <c r="H1993" t="s">
        <v>5247</v>
      </c>
      <c r="I1993">
        <v>1</v>
      </c>
      <c r="J1993">
        <f t="shared" ref="J1993:J2017" si="9">J1966+1</f>
        <v>4</v>
      </c>
      <c r="K1993" s="33">
        <v>1</v>
      </c>
      <c r="L1993">
        <v>9999</v>
      </c>
      <c r="M1993">
        <v>0</v>
      </c>
      <c r="S1993" s="33">
        <v>1</v>
      </c>
      <c r="T1993">
        <v>5</v>
      </c>
      <c r="U1993">
        <v>1</v>
      </c>
      <c r="V1993" s="87">
        <v>1</v>
      </c>
      <c r="W1993">
        <v>1</v>
      </c>
      <c r="X1993">
        <v>1</v>
      </c>
      <c r="Y1993">
        <v>0</v>
      </c>
      <c r="Z1993" s="33">
        <v>0</v>
      </c>
      <c r="AA1993">
        <v>5</v>
      </c>
      <c r="AB1993">
        <v>100</v>
      </c>
      <c r="AC1993">
        <v>888</v>
      </c>
      <c r="AL1993" s="64">
        <v>1</v>
      </c>
      <c r="AN1993" s="93"/>
      <c r="AO1993" s="92"/>
      <c r="AQ1993" t="s">
        <v>5245</v>
      </c>
      <c r="AS1993">
        <v>1</v>
      </c>
    </row>
    <row r="1994" spans="1:45">
      <c r="A1994">
        <v>514002</v>
      </c>
      <c r="B1994">
        <v>1001</v>
      </c>
      <c r="C1994">
        <v>2</v>
      </c>
      <c r="D1994">
        <v>1004</v>
      </c>
      <c r="E1994" t="s">
        <v>5248</v>
      </c>
      <c r="F1994" s="13" t="s">
        <v>5248</v>
      </c>
      <c r="G1994" t="s">
        <v>5246</v>
      </c>
      <c r="H1994" t="s">
        <v>5249</v>
      </c>
      <c r="I1994">
        <v>1</v>
      </c>
      <c r="J1994">
        <f t="shared" si="9"/>
        <v>4</v>
      </c>
      <c r="K1994" s="33">
        <v>1</v>
      </c>
      <c r="L1994">
        <v>9999</v>
      </c>
      <c r="M1994">
        <v>0</v>
      </c>
      <c r="S1994" s="33">
        <v>1</v>
      </c>
      <c r="T1994">
        <v>5</v>
      </c>
      <c r="U1994">
        <v>1</v>
      </c>
      <c r="V1994" s="87">
        <v>1</v>
      </c>
      <c r="W1994">
        <v>1</v>
      </c>
      <c r="X1994">
        <v>1</v>
      </c>
      <c r="Y1994">
        <v>0</v>
      </c>
      <c r="Z1994" s="33">
        <v>0</v>
      </c>
      <c r="AA1994">
        <v>5</v>
      </c>
      <c r="AB1994">
        <v>100</v>
      </c>
      <c r="AC1994">
        <v>888</v>
      </c>
      <c r="AL1994" s="64">
        <v>1</v>
      </c>
      <c r="AN1994" s="93"/>
      <c r="AO1994" s="92"/>
      <c r="AQ1994" t="s">
        <v>5248</v>
      </c>
      <c r="AS1994">
        <v>1</v>
      </c>
    </row>
    <row r="1995" spans="1:45">
      <c r="A1995">
        <v>514003</v>
      </c>
      <c r="B1995">
        <v>1001</v>
      </c>
      <c r="C1995">
        <v>2</v>
      </c>
      <c r="D1995">
        <v>1004</v>
      </c>
      <c r="E1995" t="s">
        <v>5250</v>
      </c>
      <c r="F1995" s="13" t="s">
        <v>5250</v>
      </c>
      <c r="G1995" t="s">
        <v>5246</v>
      </c>
      <c r="H1995" t="s">
        <v>5251</v>
      </c>
      <c r="I1995">
        <v>1</v>
      </c>
      <c r="J1995">
        <f t="shared" si="9"/>
        <v>4</v>
      </c>
      <c r="K1995" s="33">
        <v>1</v>
      </c>
      <c r="L1995">
        <v>9999</v>
      </c>
      <c r="M1995">
        <v>0</v>
      </c>
      <c r="S1995" s="33">
        <v>1</v>
      </c>
      <c r="T1995">
        <v>5</v>
      </c>
      <c r="U1995">
        <v>1</v>
      </c>
      <c r="V1995" s="87">
        <v>1</v>
      </c>
      <c r="W1995">
        <v>1</v>
      </c>
      <c r="X1995">
        <v>1</v>
      </c>
      <c r="Y1995">
        <v>0</v>
      </c>
      <c r="Z1995" s="33">
        <v>0</v>
      </c>
      <c r="AA1995">
        <v>5</v>
      </c>
      <c r="AB1995">
        <v>100</v>
      </c>
      <c r="AC1995">
        <v>888</v>
      </c>
      <c r="AL1995" s="64">
        <v>1</v>
      </c>
      <c r="AN1995" s="93"/>
      <c r="AO1995" s="92"/>
      <c r="AQ1995" t="s">
        <v>5250</v>
      </c>
      <c r="AS1995">
        <v>1</v>
      </c>
    </row>
    <row r="1996" spans="1:45">
      <c r="A1996">
        <v>514004</v>
      </c>
      <c r="B1996">
        <v>1001</v>
      </c>
      <c r="C1996">
        <v>2</v>
      </c>
      <c r="D1996">
        <v>1004</v>
      </c>
      <c r="E1996" t="s">
        <v>5252</v>
      </c>
      <c r="F1996" s="13" t="s">
        <v>5253</v>
      </c>
      <c r="G1996" t="s">
        <v>5246</v>
      </c>
      <c r="H1996" t="s">
        <v>5254</v>
      </c>
      <c r="I1996">
        <v>1</v>
      </c>
      <c r="J1996">
        <f t="shared" si="9"/>
        <v>4</v>
      </c>
      <c r="K1996" s="33">
        <v>1</v>
      </c>
      <c r="L1996">
        <v>9999</v>
      </c>
      <c r="M1996">
        <v>0</v>
      </c>
      <c r="S1996" s="33">
        <v>1</v>
      </c>
      <c r="T1996">
        <v>5</v>
      </c>
      <c r="U1996">
        <v>1</v>
      </c>
      <c r="V1996" s="87">
        <v>1</v>
      </c>
      <c r="W1996">
        <v>1</v>
      </c>
      <c r="X1996">
        <v>1</v>
      </c>
      <c r="Y1996">
        <v>0</v>
      </c>
      <c r="Z1996" s="33">
        <v>0</v>
      </c>
      <c r="AA1996">
        <v>5</v>
      </c>
      <c r="AB1996">
        <v>100</v>
      </c>
      <c r="AC1996">
        <v>888</v>
      </c>
      <c r="AL1996" s="64">
        <v>1</v>
      </c>
      <c r="AN1996" s="93"/>
      <c r="AO1996" s="92"/>
      <c r="AQ1996" t="s">
        <v>5252</v>
      </c>
      <c r="AS1996">
        <v>1</v>
      </c>
    </row>
    <row r="1997" spans="1:45">
      <c r="A1997">
        <v>514005</v>
      </c>
      <c r="B1997">
        <v>1001</v>
      </c>
      <c r="C1997">
        <v>2</v>
      </c>
      <c r="D1997">
        <v>1004</v>
      </c>
      <c r="E1997" t="s">
        <v>5255</v>
      </c>
      <c r="F1997" s="13" t="s">
        <v>5255</v>
      </c>
      <c r="G1997" t="s">
        <v>5246</v>
      </c>
      <c r="H1997" t="s">
        <v>5256</v>
      </c>
      <c r="I1997">
        <v>1</v>
      </c>
      <c r="J1997">
        <f t="shared" si="9"/>
        <v>4</v>
      </c>
      <c r="K1997" s="33">
        <v>1</v>
      </c>
      <c r="L1997">
        <v>9999</v>
      </c>
      <c r="M1997">
        <v>0</v>
      </c>
      <c r="S1997" s="33">
        <v>1</v>
      </c>
      <c r="T1997">
        <v>5</v>
      </c>
      <c r="U1997">
        <v>1</v>
      </c>
      <c r="V1997" s="87">
        <v>1</v>
      </c>
      <c r="W1997">
        <v>1</v>
      </c>
      <c r="X1997">
        <v>1</v>
      </c>
      <c r="Y1997">
        <v>0</v>
      </c>
      <c r="Z1997" s="33">
        <v>0</v>
      </c>
      <c r="AA1997">
        <v>5</v>
      </c>
      <c r="AB1997">
        <v>100</v>
      </c>
      <c r="AC1997">
        <v>888</v>
      </c>
      <c r="AL1997" s="64">
        <v>1</v>
      </c>
      <c r="AN1997" s="93"/>
      <c r="AO1997" s="92"/>
      <c r="AQ1997" t="s">
        <v>5255</v>
      </c>
      <c r="AS1997">
        <v>1</v>
      </c>
    </row>
    <row r="1998" spans="1:45">
      <c r="A1998">
        <v>514006</v>
      </c>
      <c r="B1998">
        <v>1001</v>
      </c>
      <c r="C1998">
        <v>2</v>
      </c>
      <c r="D1998">
        <v>1004</v>
      </c>
      <c r="E1998" t="s">
        <v>5257</v>
      </c>
      <c r="F1998" s="13" t="s">
        <v>5257</v>
      </c>
      <c r="G1998" t="s">
        <v>5246</v>
      </c>
      <c r="H1998" t="s">
        <v>5258</v>
      </c>
      <c r="I1998">
        <v>1</v>
      </c>
      <c r="J1998">
        <f t="shared" si="9"/>
        <v>4</v>
      </c>
      <c r="K1998" s="33">
        <v>1</v>
      </c>
      <c r="L1998">
        <v>9999</v>
      </c>
      <c r="M1998">
        <v>0</v>
      </c>
      <c r="S1998" s="33">
        <v>1</v>
      </c>
      <c r="T1998">
        <v>5</v>
      </c>
      <c r="U1998">
        <v>1</v>
      </c>
      <c r="V1998" s="87">
        <v>1</v>
      </c>
      <c r="W1998">
        <v>1</v>
      </c>
      <c r="X1998">
        <v>1</v>
      </c>
      <c r="Y1998">
        <v>0</v>
      </c>
      <c r="Z1998" s="33">
        <v>0</v>
      </c>
      <c r="AA1998">
        <v>5</v>
      </c>
      <c r="AB1998">
        <v>100</v>
      </c>
      <c r="AC1998">
        <v>888</v>
      </c>
      <c r="AL1998" s="64">
        <v>1</v>
      </c>
      <c r="AN1998" s="93"/>
      <c r="AO1998" s="92"/>
      <c r="AQ1998" t="s">
        <v>5257</v>
      </c>
      <c r="AS1998">
        <v>1</v>
      </c>
    </row>
    <row r="1999" spans="1:45">
      <c r="A1999">
        <v>514007</v>
      </c>
      <c r="B1999">
        <v>1001</v>
      </c>
      <c r="C1999">
        <v>2</v>
      </c>
      <c r="D1999">
        <v>1004</v>
      </c>
      <c r="E1999" t="s">
        <v>5259</v>
      </c>
      <c r="F1999" s="13" t="s">
        <v>5259</v>
      </c>
      <c r="G1999" t="s">
        <v>5246</v>
      </c>
      <c r="H1999" t="s">
        <v>5260</v>
      </c>
      <c r="I1999">
        <v>1</v>
      </c>
      <c r="J1999">
        <f t="shared" si="9"/>
        <v>4</v>
      </c>
      <c r="K1999" s="33">
        <v>1</v>
      </c>
      <c r="L1999">
        <v>9999</v>
      </c>
      <c r="M1999">
        <v>0</v>
      </c>
      <c r="S1999" s="33">
        <v>1</v>
      </c>
      <c r="T1999">
        <v>5</v>
      </c>
      <c r="U1999">
        <v>2</v>
      </c>
      <c r="V1999" s="87">
        <v>1</v>
      </c>
      <c r="W1999">
        <v>1</v>
      </c>
      <c r="X1999">
        <v>1</v>
      </c>
      <c r="Y1999">
        <v>0</v>
      </c>
      <c r="Z1999" s="33">
        <v>0</v>
      </c>
      <c r="AA1999">
        <v>5</v>
      </c>
      <c r="AB1999">
        <v>200</v>
      </c>
      <c r="AC1999">
        <v>888</v>
      </c>
      <c r="AL1999" s="64">
        <v>1</v>
      </c>
      <c r="AN1999" s="93"/>
      <c r="AO1999" s="92"/>
      <c r="AQ1999" t="s">
        <v>5259</v>
      </c>
      <c r="AS1999">
        <v>1</v>
      </c>
    </row>
    <row r="2000" spans="1:45">
      <c r="A2000">
        <v>514008</v>
      </c>
      <c r="B2000">
        <v>1001</v>
      </c>
      <c r="C2000">
        <v>2</v>
      </c>
      <c r="D2000">
        <v>1004</v>
      </c>
      <c r="E2000" t="s">
        <v>5261</v>
      </c>
      <c r="F2000" s="13" t="s">
        <v>5261</v>
      </c>
      <c r="G2000" t="s">
        <v>5246</v>
      </c>
      <c r="H2000" t="s">
        <v>5262</v>
      </c>
      <c r="I2000">
        <v>1</v>
      </c>
      <c r="J2000">
        <f t="shared" si="9"/>
        <v>4</v>
      </c>
      <c r="K2000" s="33">
        <v>1</v>
      </c>
      <c r="L2000">
        <v>9999</v>
      </c>
      <c r="M2000">
        <v>0</v>
      </c>
      <c r="S2000" s="33">
        <v>1</v>
      </c>
      <c r="T2000">
        <v>5</v>
      </c>
      <c r="U2000">
        <v>3</v>
      </c>
      <c r="V2000" s="87">
        <v>1</v>
      </c>
      <c r="W2000">
        <v>1</v>
      </c>
      <c r="X2000">
        <v>1</v>
      </c>
      <c r="Y2000">
        <v>0</v>
      </c>
      <c r="Z2000" s="33">
        <v>0</v>
      </c>
      <c r="AA2000">
        <v>5</v>
      </c>
      <c r="AB2000">
        <v>300</v>
      </c>
      <c r="AC2000">
        <v>888</v>
      </c>
      <c r="AL2000" s="64">
        <v>1</v>
      </c>
      <c r="AN2000" s="93"/>
      <c r="AO2000" s="92"/>
      <c r="AQ2000" t="s">
        <v>5261</v>
      </c>
      <c r="AS2000">
        <v>1</v>
      </c>
    </row>
    <row r="2001" spans="1:45">
      <c r="A2001">
        <v>514009</v>
      </c>
      <c r="B2001">
        <v>1001</v>
      </c>
      <c r="C2001">
        <v>2</v>
      </c>
      <c r="D2001">
        <v>1004</v>
      </c>
      <c r="E2001" t="s">
        <v>5263</v>
      </c>
      <c r="F2001" s="13" t="s">
        <v>5263</v>
      </c>
      <c r="G2001" t="s">
        <v>5246</v>
      </c>
      <c r="H2001" t="s">
        <v>5264</v>
      </c>
      <c r="I2001">
        <v>1</v>
      </c>
      <c r="J2001">
        <f t="shared" si="9"/>
        <v>4</v>
      </c>
      <c r="K2001" s="33">
        <v>1</v>
      </c>
      <c r="L2001">
        <v>9999</v>
      </c>
      <c r="M2001">
        <v>0</v>
      </c>
      <c r="S2001" s="33">
        <v>1</v>
      </c>
      <c r="T2001">
        <v>5</v>
      </c>
      <c r="U2001">
        <v>2</v>
      </c>
      <c r="V2001" s="87">
        <v>1</v>
      </c>
      <c r="W2001">
        <v>1</v>
      </c>
      <c r="X2001">
        <v>1</v>
      </c>
      <c r="Y2001">
        <v>0</v>
      </c>
      <c r="Z2001" s="33">
        <v>0</v>
      </c>
      <c r="AA2001">
        <v>5</v>
      </c>
      <c r="AB2001">
        <v>200</v>
      </c>
      <c r="AC2001">
        <v>888</v>
      </c>
      <c r="AL2001" s="64">
        <v>1</v>
      </c>
      <c r="AN2001" s="93"/>
      <c r="AO2001" s="92"/>
      <c r="AQ2001" t="s">
        <v>5263</v>
      </c>
      <c r="AS2001">
        <v>1</v>
      </c>
    </row>
    <row r="2002" spans="1:45">
      <c r="A2002">
        <v>514010</v>
      </c>
      <c r="B2002">
        <v>1001</v>
      </c>
      <c r="C2002">
        <v>2</v>
      </c>
      <c r="D2002">
        <v>1004</v>
      </c>
      <c r="E2002" t="s">
        <v>5265</v>
      </c>
      <c r="F2002" s="13" t="s">
        <v>5265</v>
      </c>
      <c r="G2002" t="s">
        <v>5246</v>
      </c>
      <c r="H2002" t="s">
        <v>5266</v>
      </c>
      <c r="I2002">
        <v>1</v>
      </c>
      <c r="J2002">
        <f t="shared" si="9"/>
        <v>4</v>
      </c>
      <c r="K2002" s="33">
        <v>1</v>
      </c>
      <c r="L2002">
        <v>9999</v>
      </c>
      <c r="M2002">
        <v>0</v>
      </c>
      <c r="S2002" s="33">
        <v>1</v>
      </c>
      <c r="T2002">
        <v>5</v>
      </c>
      <c r="U2002">
        <v>2</v>
      </c>
      <c r="V2002" s="87">
        <v>1</v>
      </c>
      <c r="W2002">
        <v>1</v>
      </c>
      <c r="X2002">
        <v>1</v>
      </c>
      <c r="Y2002">
        <v>0</v>
      </c>
      <c r="Z2002" s="33">
        <v>0</v>
      </c>
      <c r="AA2002">
        <v>5</v>
      </c>
      <c r="AB2002">
        <v>200</v>
      </c>
      <c r="AC2002">
        <v>888</v>
      </c>
      <c r="AL2002" s="64">
        <v>1</v>
      </c>
      <c r="AN2002" s="93"/>
      <c r="AO2002" s="92"/>
      <c r="AQ2002" t="s">
        <v>5265</v>
      </c>
      <c r="AS2002">
        <v>1</v>
      </c>
    </row>
    <row r="2003" spans="1:45">
      <c r="A2003">
        <v>514011</v>
      </c>
      <c r="B2003">
        <v>1001</v>
      </c>
      <c r="C2003">
        <v>2</v>
      </c>
      <c r="D2003">
        <v>1004</v>
      </c>
      <c r="E2003" t="s">
        <v>5267</v>
      </c>
      <c r="F2003" s="13" t="s">
        <v>5267</v>
      </c>
      <c r="G2003" t="s">
        <v>5268</v>
      </c>
      <c r="H2003" t="s">
        <v>5269</v>
      </c>
      <c r="I2003">
        <v>1</v>
      </c>
      <c r="J2003">
        <f t="shared" si="9"/>
        <v>4</v>
      </c>
      <c r="K2003" s="33">
        <v>1</v>
      </c>
      <c r="L2003">
        <v>9999</v>
      </c>
      <c r="M2003">
        <v>0</v>
      </c>
      <c r="S2003" s="33">
        <v>1</v>
      </c>
      <c r="T2003">
        <v>5</v>
      </c>
      <c r="U2003">
        <v>3</v>
      </c>
      <c r="V2003" s="87">
        <v>1</v>
      </c>
      <c r="W2003">
        <v>1</v>
      </c>
      <c r="X2003">
        <v>1</v>
      </c>
      <c r="Y2003">
        <v>0</v>
      </c>
      <c r="Z2003" s="33">
        <v>0</v>
      </c>
      <c r="AA2003">
        <v>5</v>
      </c>
      <c r="AB2003">
        <v>300</v>
      </c>
      <c r="AC2003">
        <v>888</v>
      </c>
      <c r="AL2003" s="64">
        <v>1</v>
      </c>
      <c r="AN2003" s="93"/>
      <c r="AO2003" s="92"/>
      <c r="AQ2003" t="s">
        <v>5267</v>
      </c>
      <c r="AS2003">
        <v>1</v>
      </c>
    </row>
    <row r="2004" spans="1:45">
      <c r="A2004">
        <v>514012</v>
      </c>
      <c r="B2004">
        <v>1001</v>
      </c>
      <c r="C2004">
        <v>2</v>
      </c>
      <c r="D2004">
        <v>1004</v>
      </c>
      <c r="E2004" t="s">
        <v>5270</v>
      </c>
      <c r="F2004" s="13" t="s">
        <v>5270</v>
      </c>
      <c r="G2004" t="s">
        <v>5246</v>
      </c>
      <c r="H2004" t="s">
        <v>5271</v>
      </c>
      <c r="I2004">
        <v>1</v>
      </c>
      <c r="J2004">
        <f t="shared" si="9"/>
        <v>4</v>
      </c>
      <c r="K2004" s="33">
        <v>1</v>
      </c>
      <c r="L2004">
        <v>9999</v>
      </c>
      <c r="M2004">
        <v>0</v>
      </c>
      <c r="S2004" s="33">
        <v>1</v>
      </c>
      <c r="T2004">
        <v>5</v>
      </c>
      <c r="U2004">
        <v>1</v>
      </c>
      <c r="V2004" s="87">
        <v>1</v>
      </c>
      <c r="W2004">
        <v>1</v>
      </c>
      <c r="X2004">
        <v>1</v>
      </c>
      <c r="Y2004">
        <v>0</v>
      </c>
      <c r="Z2004" s="33">
        <v>0</v>
      </c>
      <c r="AA2004">
        <v>5</v>
      </c>
      <c r="AB2004">
        <v>100</v>
      </c>
      <c r="AC2004">
        <v>888</v>
      </c>
      <c r="AL2004" s="64">
        <v>1</v>
      </c>
      <c r="AN2004" s="93"/>
      <c r="AO2004" s="92"/>
      <c r="AQ2004" t="s">
        <v>5272</v>
      </c>
      <c r="AS2004">
        <v>1</v>
      </c>
    </row>
    <row r="2005" spans="1:45">
      <c r="A2005">
        <v>514013</v>
      </c>
      <c r="B2005">
        <v>1001</v>
      </c>
      <c r="C2005">
        <v>2</v>
      </c>
      <c r="D2005">
        <v>1004</v>
      </c>
      <c r="E2005" t="s">
        <v>5273</v>
      </c>
      <c r="F2005" s="13" t="s">
        <v>5273</v>
      </c>
      <c r="G2005" t="s">
        <v>5246</v>
      </c>
      <c r="H2005" t="s">
        <v>5274</v>
      </c>
      <c r="I2005">
        <v>1</v>
      </c>
      <c r="J2005">
        <f t="shared" si="9"/>
        <v>4</v>
      </c>
      <c r="K2005" s="33">
        <v>1</v>
      </c>
      <c r="L2005">
        <v>9999</v>
      </c>
      <c r="M2005">
        <v>0</v>
      </c>
      <c r="S2005" s="33">
        <v>1</v>
      </c>
      <c r="T2005">
        <v>5</v>
      </c>
      <c r="U2005">
        <v>1</v>
      </c>
      <c r="V2005" s="87">
        <v>1</v>
      </c>
      <c r="W2005">
        <v>1</v>
      </c>
      <c r="X2005">
        <v>1</v>
      </c>
      <c r="Y2005">
        <v>0</v>
      </c>
      <c r="Z2005" s="33">
        <v>0</v>
      </c>
      <c r="AA2005">
        <v>5</v>
      </c>
      <c r="AB2005">
        <v>100</v>
      </c>
      <c r="AC2005">
        <v>888</v>
      </c>
      <c r="AL2005" s="64">
        <v>1</v>
      </c>
      <c r="AN2005" s="93"/>
      <c r="AO2005" s="92"/>
      <c r="AQ2005" t="s">
        <v>5273</v>
      </c>
      <c r="AS2005">
        <v>1</v>
      </c>
    </row>
    <row r="2006" spans="1:45">
      <c r="A2006">
        <v>514014</v>
      </c>
      <c r="B2006">
        <v>1001</v>
      </c>
      <c r="C2006">
        <v>2</v>
      </c>
      <c r="D2006">
        <v>1004</v>
      </c>
      <c r="E2006" t="s">
        <v>5275</v>
      </c>
      <c r="F2006" s="13" t="s">
        <v>5275</v>
      </c>
      <c r="G2006" t="s">
        <v>5268</v>
      </c>
      <c r="H2006" t="s">
        <v>5276</v>
      </c>
      <c r="I2006">
        <v>1</v>
      </c>
      <c r="J2006">
        <f t="shared" si="9"/>
        <v>4</v>
      </c>
      <c r="K2006" s="33">
        <v>1</v>
      </c>
      <c r="L2006">
        <v>9999</v>
      </c>
      <c r="M2006">
        <v>0</v>
      </c>
      <c r="S2006" s="33">
        <v>1</v>
      </c>
      <c r="T2006">
        <v>5</v>
      </c>
      <c r="U2006">
        <v>5</v>
      </c>
      <c r="V2006" s="87">
        <v>1</v>
      </c>
      <c r="W2006">
        <v>1</v>
      </c>
      <c r="X2006">
        <v>1</v>
      </c>
      <c r="Y2006">
        <v>0</v>
      </c>
      <c r="Z2006" s="33">
        <v>0</v>
      </c>
      <c r="AA2006">
        <v>5</v>
      </c>
      <c r="AB2006">
        <v>500</v>
      </c>
      <c r="AC2006">
        <v>888</v>
      </c>
      <c r="AL2006" s="64">
        <v>1</v>
      </c>
      <c r="AN2006" s="93"/>
      <c r="AO2006" s="92"/>
      <c r="AQ2006" t="s">
        <v>5275</v>
      </c>
      <c r="AS2006">
        <v>1</v>
      </c>
    </row>
    <row r="2007" spans="1:45">
      <c r="A2007">
        <v>514015</v>
      </c>
      <c r="B2007">
        <v>1001</v>
      </c>
      <c r="C2007">
        <v>2</v>
      </c>
      <c r="D2007">
        <v>1004</v>
      </c>
      <c r="E2007" t="s">
        <v>5277</v>
      </c>
      <c r="F2007" s="13" t="s">
        <v>5277</v>
      </c>
      <c r="G2007" t="s">
        <v>5246</v>
      </c>
      <c r="H2007" t="s">
        <v>5278</v>
      </c>
      <c r="I2007">
        <v>1</v>
      </c>
      <c r="J2007">
        <f t="shared" si="9"/>
        <v>4</v>
      </c>
      <c r="K2007" s="33">
        <v>1</v>
      </c>
      <c r="L2007">
        <v>9999</v>
      </c>
      <c r="M2007">
        <v>0</v>
      </c>
      <c r="S2007" s="33">
        <v>1</v>
      </c>
      <c r="T2007">
        <v>5</v>
      </c>
      <c r="U2007">
        <v>1</v>
      </c>
      <c r="V2007" s="87">
        <v>1</v>
      </c>
      <c r="W2007">
        <v>1</v>
      </c>
      <c r="X2007">
        <v>1</v>
      </c>
      <c r="Y2007">
        <v>0</v>
      </c>
      <c r="Z2007" s="33">
        <v>0</v>
      </c>
      <c r="AA2007">
        <v>5</v>
      </c>
      <c r="AB2007">
        <v>100</v>
      </c>
      <c r="AC2007">
        <v>888</v>
      </c>
      <c r="AL2007" s="64">
        <v>1</v>
      </c>
      <c r="AN2007" s="93"/>
      <c r="AO2007" s="92"/>
      <c r="AQ2007" t="s">
        <v>5279</v>
      </c>
      <c r="AS2007">
        <v>1</v>
      </c>
    </row>
    <row r="2008" spans="1:45">
      <c r="A2008">
        <v>514016</v>
      </c>
      <c r="B2008">
        <v>1001</v>
      </c>
      <c r="C2008">
        <v>2</v>
      </c>
      <c r="D2008">
        <v>1004</v>
      </c>
      <c r="E2008" t="s">
        <v>5280</v>
      </c>
      <c r="F2008" s="13" t="s">
        <v>5280</v>
      </c>
      <c r="G2008" t="s">
        <v>5246</v>
      </c>
      <c r="H2008" t="s">
        <v>5281</v>
      </c>
      <c r="I2008">
        <v>1</v>
      </c>
      <c r="J2008">
        <f t="shared" si="9"/>
        <v>4</v>
      </c>
      <c r="K2008" s="33">
        <v>1</v>
      </c>
      <c r="L2008">
        <v>9999</v>
      </c>
      <c r="M2008">
        <v>0</v>
      </c>
      <c r="S2008" s="33">
        <v>1</v>
      </c>
      <c r="T2008">
        <v>5</v>
      </c>
      <c r="U2008">
        <v>1</v>
      </c>
      <c r="V2008" s="87">
        <v>1</v>
      </c>
      <c r="W2008">
        <v>1</v>
      </c>
      <c r="X2008">
        <v>1</v>
      </c>
      <c r="Y2008">
        <v>0</v>
      </c>
      <c r="Z2008" s="33">
        <v>0</v>
      </c>
      <c r="AA2008">
        <v>5</v>
      </c>
      <c r="AB2008">
        <v>100</v>
      </c>
      <c r="AC2008">
        <v>888</v>
      </c>
      <c r="AL2008" s="64">
        <v>1</v>
      </c>
      <c r="AN2008" s="93"/>
      <c r="AO2008" s="92"/>
      <c r="AQ2008" t="s">
        <v>5280</v>
      </c>
      <c r="AS2008">
        <v>1</v>
      </c>
    </row>
    <row r="2009" spans="1:45">
      <c r="A2009">
        <v>514017</v>
      </c>
      <c r="B2009">
        <v>1001</v>
      </c>
      <c r="C2009">
        <v>2</v>
      </c>
      <c r="D2009">
        <v>1004</v>
      </c>
      <c r="E2009" t="s">
        <v>5282</v>
      </c>
      <c r="F2009" s="13" t="s">
        <v>5282</v>
      </c>
      <c r="G2009" t="s">
        <v>5268</v>
      </c>
      <c r="H2009" t="s">
        <v>5283</v>
      </c>
      <c r="I2009">
        <v>1</v>
      </c>
      <c r="J2009">
        <f t="shared" si="9"/>
        <v>4</v>
      </c>
      <c r="K2009" s="33">
        <v>1</v>
      </c>
      <c r="L2009">
        <v>9999</v>
      </c>
      <c r="M2009">
        <v>0</v>
      </c>
      <c r="S2009" s="33">
        <v>1</v>
      </c>
      <c r="T2009">
        <v>5</v>
      </c>
      <c r="U2009">
        <v>3</v>
      </c>
      <c r="V2009" s="87">
        <v>1</v>
      </c>
      <c r="W2009">
        <v>1</v>
      </c>
      <c r="X2009">
        <v>1</v>
      </c>
      <c r="Y2009">
        <v>0</v>
      </c>
      <c r="Z2009" s="33">
        <v>0</v>
      </c>
      <c r="AA2009">
        <v>5</v>
      </c>
      <c r="AB2009">
        <v>300</v>
      </c>
      <c r="AC2009">
        <v>888</v>
      </c>
      <c r="AL2009" s="64">
        <v>1</v>
      </c>
      <c r="AN2009" s="93"/>
      <c r="AO2009" s="92"/>
      <c r="AQ2009" t="s">
        <v>5282</v>
      </c>
      <c r="AS2009">
        <v>1</v>
      </c>
    </row>
    <row r="2010" spans="1:45">
      <c r="A2010">
        <v>514018</v>
      </c>
      <c r="B2010">
        <v>1001</v>
      </c>
      <c r="C2010">
        <v>2</v>
      </c>
      <c r="D2010">
        <v>1004</v>
      </c>
      <c r="E2010" t="s">
        <v>5284</v>
      </c>
      <c r="F2010" s="13" t="s">
        <v>5284</v>
      </c>
      <c r="G2010" t="s">
        <v>5246</v>
      </c>
      <c r="H2010" t="s">
        <v>5285</v>
      </c>
      <c r="I2010">
        <v>1</v>
      </c>
      <c r="J2010">
        <f t="shared" si="9"/>
        <v>4</v>
      </c>
      <c r="K2010" s="33">
        <v>1</v>
      </c>
      <c r="L2010">
        <v>9999</v>
      </c>
      <c r="M2010">
        <v>0</v>
      </c>
      <c r="S2010" s="33">
        <v>1</v>
      </c>
      <c r="T2010">
        <v>5</v>
      </c>
      <c r="U2010">
        <v>1</v>
      </c>
      <c r="V2010" s="87">
        <v>1</v>
      </c>
      <c r="W2010">
        <v>1</v>
      </c>
      <c r="X2010">
        <v>1</v>
      </c>
      <c r="Y2010">
        <v>0</v>
      </c>
      <c r="Z2010" s="33">
        <v>0</v>
      </c>
      <c r="AA2010">
        <v>5</v>
      </c>
      <c r="AB2010">
        <v>100</v>
      </c>
      <c r="AC2010">
        <v>888</v>
      </c>
      <c r="AL2010" s="64">
        <v>1</v>
      </c>
      <c r="AN2010" s="93"/>
      <c r="AO2010" s="92"/>
      <c r="AQ2010" t="s">
        <v>5286</v>
      </c>
      <c r="AS2010">
        <v>1</v>
      </c>
    </row>
    <row r="2011" spans="1:45">
      <c r="A2011">
        <v>514019</v>
      </c>
      <c r="B2011">
        <v>1001</v>
      </c>
      <c r="C2011">
        <v>2</v>
      </c>
      <c r="D2011">
        <v>1004</v>
      </c>
      <c r="E2011" t="s">
        <v>5287</v>
      </c>
      <c r="F2011" s="13" t="s">
        <v>5287</v>
      </c>
      <c r="G2011" t="s">
        <v>5246</v>
      </c>
      <c r="H2011" t="s">
        <v>5288</v>
      </c>
      <c r="I2011">
        <v>1</v>
      </c>
      <c r="J2011">
        <f t="shared" si="9"/>
        <v>4</v>
      </c>
      <c r="K2011" s="33">
        <v>1</v>
      </c>
      <c r="L2011">
        <v>9999</v>
      </c>
      <c r="M2011">
        <v>0</v>
      </c>
      <c r="S2011" s="33">
        <v>1</v>
      </c>
      <c r="T2011">
        <v>5</v>
      </c>
      <c r="U2011">
        <v>2</v>
      </c>
      <c r="V2011" s="87">
        <v>1</v>
      </c>
      <c r="W2011">
        <v>1</v>
      </c>
      <c r="X2011">
        <v>1</v>
      </c>
      <c r="Y2011">
        <v>0</v>
      </c>
      <c r="Z2011" s="33">
        <v>0</v>
      </c>
      <c r="AA2011">
        <v>5</v>
      </c>
      <c r="AB2011">
        <v>200</v>
      </c>
      <c r="AC2011">
        <v>888</v>
      </c>
      <c r="AL2011" s="64">
        <v>1</v>
      </c>
      <c r="AN2011" s="93"/>
      <c r="AO2011" s="92"/>
      <c r="AQ2011" t="s">
        <v>5289</v>
      </c>
      <c r="AS2011">
        <v>1</v>
      </c>
    </row>
    <row r="2012" spans="1:45">
      <c r="A2012" s="37">
        <v>514020</v>
      </c>
      <c r="B2012">
        <v>1001</v>
      </c>
      <c r="C2012">
        <v>2</v>
      </c>
      <c r="D2012">
        <v>1004</v>
      </c>
      <c r="E2012" t="s">
        <v>5252</v>
      </c>
      <c r="F2012" s="13" t="s">
        <v>5252</v>
      </c>
      <c r="G2012" t="s">
        <v>5246</v>
      </c>
      <c r="H2012" t="s">
        <v>5290</v>
      </c>
      <c r="I2012">
        <v>1</v>
      </c>
      <c r="J2012">
        <f t="shared" si="9"/>
        <v>4</v>
      </c>
      <c r="K2012" s="33">
        <v>1</v>
      </c>
      <c r="L2012">
        <v>9999</v>
      </c>
      <c r="M2012">
        <v>0</v>
      </c>
      <c r="S2012" s="33">
        <v>1</v>
      </c>
      <c r="T2012">
        <v>5</v>
      </c>
      <c r="U2012">
        <v>1</v>
      </c>
      <c r="V2012" s="87">
        <v>1</v>
      </c>
      <c r="W2012">
        <v>1</v>
      </c>
      <c r="X2012">
        <v>1</v>
      </c>
      <c r="Y2012">
        <v>0</v>
      </c>
      <c r="Z2012" s="33">
        <v>0</v>
      </c>
      <c r="AA2012">
        <v>5</v>
      </c>
      <c r="AB2012">
        <v>100</v>
      </c>
      <c r="AC2012">
        <v>888</v>
      </c>
      <c r="AL2012" s="64">
        <v>1</v>
      </c>
      <c r="AN2012" s="93"/>
      <c r="AO2012" s="92"/>
      <c r="AQ2012" t="s">
        <v>5252</v>
      </c>
      <c r="AS2012">
        <v>1</v>
      </c>
    </row>
    <row r="2013" spans="1:45">
      <c r="A2013">
        <v>514021</v>
      </c>
      <c r="B2013">
        <v>1001</v>
      </c>
      <c r="C2013">
        <v>2</v>
      </c>
      <c r="D2013">
        <v>1004</v>
      </c>
      <c r="E2013" t="s">
        <v>5291</v>
      </c>
      <c r="F2013" s="13" t="s">
        <v>5291</v>
      </c>
      <c r="G2013" t="s">
        <v>5246</v>
      </c>
      <c r="H2013" t="s">
        <v>5292</v>
      </c>
      <c r="I2013">
        <v>1</v>
      </c>
      <c r="J2013">
        <f t="shared" si="9"/>
        <v>4</v>
      </c>
      <c r="K2013" s="33">
        <v>1</v>
      </c>
      <c r="L2013">
        <v>9999</v>
      </c>
      <c r="M2013">
        <v>0</v>
      </c>
      <c r="S2013" s="33">
        <v>1</v>
      </c>
      <c r="T2013">
        <v>5</v>
      </c>
      <c r="U2013">
        <v>2</v>
      </c>
      <c r="V2013" s="87">
        <v>1</v>
      </c>
      <c r="W2013">
        <v>1</v>
      </c>
      <c r="X2013">
        <v>1</v>
      </c>
      <c r="Y2013">
        <v>0</v>
      </c>
      <c r="Z2013" s="33">
        <v>0</v>
      </c>
      <c r="AA2013">
        <v>5</v>
      </c>
      <c r="AB2013">
        <v>200</v>
      </c>
      <c r="AC2013">
        <v>888</v>
      </c>
      <c r="AL2013" s="64">
        <v>1</v>
      </c>
      <c r="AN2013" s="93"/>
      <c r="AO2013" s="92"/>
      <c r="AQ2013" t="s">
        <v>5291</v>
      </c>
      <c r="AS2013">
        <v>1</v>
      </c>
    </row>
    <row r="2014" spans="1:45">
      <c r="A2014">
        <v>514022</v>
      </c>
      <c r="B2014">
        <v>1001</v>
      </c>
      <c r="C2014">
        <v>2</v>
      </c>
      <c r="D2014">
        <v>1004</v>
      </c>
      <c r="E2014" t="s">
        <v>5293</v>
      </c>
      <c r="F2014" s="13" t="s">
        <v>5293</v>
      </c>
      <c r="G2014" t="s">
        <v>5246</v>
      </c>
      <c r="H2014" t="s">
        <v>5294</v>
      </c>
      <c r="I2014">
        <v>1</v>
      </c>
      <c r="J2014">
        <f t="shared" si="9"/>
        <v>4</v>
      </c>
      <c r="K2014" s="33">
        <v>1</v>
      </c>
      <c r="L2014">
        <v>9999</v>
      </c>
      <c r="M2014">
        <v>0</v>
      </c>
      <c r="S2014" s="33">
        <v>1</v>
      </c>
      <c r="T2014">
        <v>5</v>
      </c>
      <c r="U2014">
        <v>2</v>
      </c>
      <c r="V2014" s="87">
        <v>1</v>
      </c>
      <c r="W2014">
        <v>1</v>
      </c>
      <c r="X2014">
        <v>1</v>
      </c>
      <c r="Y2014">
        <v>0</v>
      </c>
      <c r="Z2014" s="33">
        <v>0</v>
      </c>
      <c r="AA2014">
        <v>5</v>
      </c>
      <c r="AB2014">
        <v>200</v>
      </c>
      <c r="AC2014">
        <v>888</v>
      </c>
      <c r="AL2014" s="64">
        <v>1</v>
      </c>
      <c r="AN2014" s="93"/>
      <c r="AO2014" s="92"/>
      <c r="AQ2014" t="s">
        <v>5293</v>
      </c>
      <c r="AS2014">
        <v>1</v>
      </c>
    </row>
    <row r="2015" spans="1:45">
      <c r="A2015">
        <v>514023</v>
      </c>
      <c r="B2015">
        <v>1001</v>
      </c>
      <c r="C2015">
        <v>2</v>
      </c>
      <c r="D2015">
        <v>1004</v>
      </c>
      <c r="E2015" t="s">
        <v>5295</v>
      </c>
      <c r="F2015" s="13" t="s">
        <v>5295</v>
      </c>
      <c r="G2015" t="s">
        <v>5268</v>
      </c>
      <c r="H2015" t="s">
        <v>5296</v>
      </c>
      <c r="I2015">
        <v>1</v>
      </c>
      <c r="J2015">
        <f t="shared" si="9"/>
        <v>4</v>
      </c>
      <c r="K2015" s="33">
        <v>1</v>
      </c>
      <c r="L2015">
        <v>9999</v>
      </c>
      <c r="M2015">
        <v>0</v>
      </c>
      <c r="S2015" s="33">
        <v>1</v>
      </c>
      <c r="T2015">
        <v>5</v>
      </c>
      <c r="U2015">
        <v>3</v>
      </c>
      <c r="V2015" s="87">
        <v>1</v>
      </c>
      <c r="W2015">
        <v>1</v>
      </c>
      <c r="X2015">
        <v>1</v>
      </c>
      <c r="Y2015">
        <v>0</v>
      </c>
      <c r="Z2015" s="33">
        <v>0</v>
      </c>
      <c r="AA2015">
        <v>5</v>
      </c>
      <c r="AB2015">
        <v>300</v>
      </c>
      <c r="AC2015">
        <v>888</v>
      </c>
      <c r="AL2015" s="64">
        <v>1</v>
      </c>
      <c r="AN2015" s="93"/>
      <c r="AO2015" s="92"/>
      <c r="AQ2015" t="s">
        <v>5295</v>
      </c>
      <c r="AS2015">
        <v>1</v>
      </c>
    </row>
    <row r="2016" spans="1:45">
      <c r="A2016">
        <v>514024</v>
      </c>
      <c r="B2016">
        <v>1001</v>
      </c>
      <c r="C2016">
        <v>2</v>
      </c>
      <c r="D2016">
        <v>1004</v>
      </c>
      <c r="E2016" t="s">
        <v>5297</v>
      </c>
      <c r="F2016" s="13" t="s">
        <v>5297</v>
      </c>
      <c r="G2016" t="s">
        <v>5268</v>
      </c>
      <c r="H2016" t="s">
        <v>5298</v>
      </c>
      <c r="I2016">
        <v>1</v>
      </c>
      <c r="J2016">
        <f t="shared" si="9"/>
        <v>4</v>
      </c>
      <c r="K2016" s="33">
        <v>1</v>
      </c>
      <c r="L2016">
        <v>9999</v>
      </c>
      <c r="M2016">
        <v>0</v>
      </c>
      <c r="S2016" s="33">
        <v>1</v>
      </c>
      <c r="T2016">
        <v>5</v>
      </c>
      <c r="U2016">
        <v>3</v>
      </c>
      <c r="V2016" s="87">
        <v>1</v>
      </c>
      <c r="W2016">
        <v>1</v>
      </c>
      <c r="X2016">
        <v>1</v>
      </c>
      <c r="Y2016">
        <v>0</v>
      </c>
      <c r="Z2016" s="33">
        <v>0</v>
      </c>
      <c r="AA2016">
        <v>5</v>
      </c>
      <c r="AB2016">
        <v>300</v>
      </c>
      <c r="AC2016">
        <v>888</v>
      </c>
      <c r="AL2016" s="64">
        <v>1</v>
      </c>
      <c r="AN2016" s="93"/>
      <c r="AO2016" s="92"/>
      <c r="AQ2016" t="s">
        <v>5297</v>
      </c>
      <c r="AS2016">
        <v>1</v>
      </c>
    </row>
    <row r="2017" spans="1:45">
      <c r="A2017">
        <v>514025</v>
      </c>
      <c r="B2017">
        <v>1001</v>
      </c>
      <c r="C2017">
        <v>2</v>
      </c>
      <c r="D2017">
        <v>1004</v>
      </c>
      <c r="E2017" t="s">
        <v>5299</v>
      </c>
      <c r="F2017" s="13" t="s">
        <v>5299</v>
      </c>
      <c r="G2017" t="s">
        <v>5268</v>
      </c>
      <c r="H2017" t="s">
        <v>5300</v>
      </c>
      <c r="I2017">
        <v>1</v>
      </c>
      <c r="J2017">
        <f t="shared" si="9"/>
        <v>4</v>
      </c>
      <c r="K2017" s="33">
        <v>1</v>
      </c>
      <c r="L2017">
        <v>9999</v>
      </c>
      <c r="M2017">
        <v>0</v>
      </c>
      <c r="R2017" s="8"/>
      <c r="S2017" s="33">
        <v>1</v>
      </c>
      <c r="T2017">
        <v>5</v>
      </c>
      <c r="U2017">
        <v>5</v>
      </c>
      <c r="V2017" s="87">
        <v>1</v>
      </c>
      <c r="W2017">
        <v>1</v>
      </c>
      <c r="X2017">
        <v>1</v>
      </c>
      <c r="Y2017">
        <v>0</v>
      </c>
      <c r="Z2017" s="33">
        <v>0</v>
      </c>
      <c r="AA2017">
        <v>5</v>
      </c>
      <c r="AB2017">
        <v>500</v>
      </c>
      <c r="AC2017">
        <v>888</v>
      </c>
      <c r="AL2017" s="64">
        <v>1</v>
      </c>
      <c r="AN2017" s="93"/>
      <c r="AO2017" s="92"/>
      <c r="AQ2017" t="s">
        <v>5299</v>
      </c>
      <c r="AS2017">
        <v>1</v>
      </c>
    </row>
    <row r="2018" spans="1:45">
      <c r="A2018">
        <v>515000</v>
      </c>
      <c r="B2018">
        <v>1001</v>
      </c>
      <c r="C2018">
        <v>2</v>
      </c>
      <c r="D2018">
        <v>1004</v>
      </c>
      <c r="E2018" t="s">
        <v>5301</v>
      </c>
      <c r="F2018" s="13" t="s">
        <v>5302</v>
      </c>
      <c r="G2018" t="s">
        <v>5065</v>
      </c>
      <c r="H2018" t="s">
        <v>5303</v>
      </c>
      <c r="I2018">
        <v>1</v>
      </c>
      <c r="J2018">
        <v>5</v>
      </c>
      <c r="K2018" s="33">
        <v>1</v>
      </c>
      <c r="L2018">
        <v>9999</v>
      </c>
      <c r="M2018">
        <v>0</v>
      </c>
      <c r="R2018" s="236"/>
      <c r="S2018" s="33">
        <v>1</v>
      </c>
      <c r="T2018">
        <v>5</v>
      </c>
      <c r="U2018">
        <v>1</v>
      </c>
      <c r="V2018" s="87">
        <v>1</v>
      </c>
      <c r="W2018">
        <v>1</v>
      </c>
      <c r="X2018">
        <v>1</v>
      </c>
      <c r="Y2018">
        <v>0</v>
      </c>
      <c r="Z2018" s="33">
        <v>0</v>
      </c>
      <c r="AA2018">
        <v>5</v>
      </c>
      <c r="AB2018">
        <v>100</v>
      </c>
      <c r="AC2018">
        <v>888</v>
      </c>
      <c r="AL2018" s="64">
        <v>1</v>
      </c>
      <c r="AN2018" s="93"/>
      <c r="AO2018" s="92" t="s">
        <v>5067</v>
      </c>
      <c r="AQ2018" t="s">
        <v>5301</v>
      </c>
      <c r="AS2018">
        <v>1</v>
      </c>
    </row>
    <row r="2019" spans="1:45">
      <c r="A2019">
        <v>515001</v>
      </c>
      <c r="B2019">
        <v>1001</v>
      </c>
      <c r="C2019">
        <v>2</v>
      </c>
      <c r="D2019">
        <v>1004</v>
      </c>
      <c r="E2019" t="s">
        <v>5304</v>
      </c>
      <c r="F2019" s="13" t="s">
        <v>5304</v>
      </c>
      <c r="G2019" t="s">
        <v>5305</v>
      </c>
      <c r="H2019" t="s">
        <v>5306</v>
      </c>
      <c r="I2019">
        <v>1</v>
      </c>
      <c r="J2019">
        <f t="shared" ref="J2019:J2043" si="10">J1992+1</f>
        <v>5</v>
      </c>
      <c r="K2019" s="33">
        <v>1</v>
      </c>
      <c r="L2019">
        <v>9999</v>
      </c>
      <c r="M2019">
        <v>0</v>
      </c>
      <c r="S2019" s="33">
        <v>1</v>
      </c>
      <c r="T2019">
        <v>5</v>
      </c>
      <c r="U2019">
        <v>1</v>
      </c>
      <c r="V2019" s="87">
        <v>1</v>
      </c>
      <c r="W2019">
        <v>1</v>
      </c>
      <c r="X2019">
        <v>1</v>
      </c>
      <c r="Y2019">
        <v>0</v>
      </c>
      <c r="Z2019" s="33">
        <v>0</v>
      </c>
      <c r="AA2019">
        <v>5</v>
      </c>
      <c r="AB2019">
        <v>100</v>
      </c>
      <c r="AC2019">
        <v>888</v>
      </c>
      <c r="AL2019" s="64">
        <v>1</v>
      </c>
      <c r="AN2019" s="93"/>
      <c r="AO2019" s="92"/>
      <c r="AQ2019" t="s">
        <v>5304</v>
      </c>
      <c r="AS2019">
        <v>1</v>
      </c>
    </row>
    <row r="2020" spans="1:45">
      <c r="A2020">
        <v>515002</v>
      </c>
      <c r="B2020">
        <v>1001</v>
      </c>
      <c r="C2020">
        <v>2</v>
      </c>
      <c r="D2020">
        <v>1004</v>
      </c>
      <c r="E2020" t="s">
        <v>5307</v>
      </c>
      <c r="F2020" s="13" t="s">
        <v>5307</v>
      </c>
      <c r="G2020" t="s">
        <v>5305</v>
      </c>
      <c r="H2020" t="s">
        <v>5308</v>
      </c>
      <c r="I2020">
        <v>1</v>
      </c>
      <c r="J2020">
        <f t="shared" si="10"/>
        <v>5</v>
      </c>
      <c r="K2020" s="33">
        <v>1</v>
      </c>
      <c r="L2020">
        <v>9999</v>
      </c>
      <c r="M2020">
        <v>0</v>
      </c>
      <c r="S2020" s="33">
        <v>1</v>
      </c>
      <c r="T2020">
        <v>5</v>
      </c>
      <c r="U2020">
        <v>1</v>
      </c>
      <c r="V2020" s="87">
        <v>1</v>
      </c>
      <c r="W2020">
        <v>1</v>
      </c>
      <c r="X2020">
        <v>1</v>
      </c>
      <c r="Y2020">
        <v>0</v>
      </c>
      <c r="Z2020" s="33">
        <v>0</v>
      </c>
      <c r="AA2020">
        <v>5</v>
      </c>
      <c r="AB2020">
        <v>100</v>
      </c>
      <c r="AC2020">
        <v>888</v>
      </c>
      <c r="AL2020" s="64">
        <v>1</v>
      </c>
      <c r="AN2020" s="93"/>
      <c r="AO2020" s="92"/>
      <c r="AQ2020" t="s">
        <v>5307</v>
      </c>
      <c r="AS2020">
        <v>1</v>
      </c>
    </row>
    <row r="2021" spans="1:45">
      <c r="A2021">
        <v>515003</v>
      </c>
      <c r="B2021">
        <v>1001</v>
      </c>
      <c r="C2021">
        <v>2</v>
      </c>
      <c r="D2021">
        <v>1004</v>
      </c>
      <c r="E2021" t="s">
        <v>5309</v>
      </c>
      <c r="F2021" s="13" t="s">
        <v>5309</v>
      </c>
      <c r="G2021" t="s">
        <v>5305</v>
      </c>
      <c r="H2021" t="s">
        <v>5310</v>
      </c>
      <c r="I2021">
        <v>1</v>
      </c>
      <c r="J2021">
        <f t="shared" si="10"/>
        <v>5</v>
      </c>
      <c r="K2021" s="33">
        <v>1</v>
      </c>
      <c r="L2021">
        <v>9999</v>
      </c>
      <c r="M2021">
        <v>0</v>
      </c>
      <c r="S2021" s="33">
        <v>1</v>
      </c>
      <c r="T2021">
        <v>5</v>
      </c>
      <c r="U2021">
        <v>1</v>
      </c>
      <c r="V2021" s="87">
        <v>1</v>
      </c>
      <c r="W2021">
        <v>1</v>
      </c>
      <c r="X2021">
        <v>1</v>
      </c>
      <c r="Y2021">
        <v>0</v>
      </c>
      <c r="Z2021" s="33">
        <v>0</v>
      </c>
      <c r="AA2021">
        <v>5</v>
      </c>
      <c r="AB2021">
        <v>100</v>
      </c>
      <c r="AC2021">
        <v>888</v>
      </c>
      <c r="AL2021" s="64">
        <v>1</v>
      </c>
      <c r="AN2021" s="93"/>
      <c r="AO2021" s="92"/>
      <c r="AQ2021" t="s">
        <v>5309</v>
      </c>
      <c r="AS2021">
        <v>1</v>
      </c>
    </row>
    <row r="2022" spans="1:45">
      <c r="A2022">
        <v>515004</v>
      </c>
      <c r="B2022">
        <v>1001</v>
      </c>
      <c r="C2022">
        <v>2</v>
      </c>
      <c r="D2022">
        <v>1004</v>
      </c>
      <c r="E2022" t="s">
        <v>5311</v>
      </c>
      <c r="F2022" s="13" t="s">
        <v>5312</v>
      </c>
      <c r="G2022" t="s">
        <v>5305</v>
      </c>
      <c r="H2022" t="s">
        <v>5313</v>
      </c>
      <c r="I2022">
        <v>1</v>
      </c>
      <c r="J2022">
        <f t="shared" si="10"/>
        <v>5</v>
      </c>
      <c r="K2022" s="33">
        <v>1</v>
      </c>
      <c r="L2022">
        <v>9999</v>
      </c>
      <c r="M2022">
        <v>0</v>
      </c>
      <c r="S2022" s="33">
        <v>1</v>
      </c>
      <c r="T2022">
        <v>5</v>
      </c>
      <c r="U2022">
        <v>1</v>
      </c>
      <c r="V2022" s="87">
        <v>1</v>
      </c>
      <c r="W2022">
        <v>1</v>
      </c>
      <c r="X2022">
        <v>1</v>
      </c>
      <c r="Y2022">
        <v>0</v>
      </c>
      <c r="Z2022" s="33">
        <v>0</v>
      </c>
      <c r="AA2022">
        <v>5</v>
      </c>
      <c r="AB2022">
        <v>100</v>
      </c>
      <c r="AC2022">
        <v>888</v>
      </c>
      <c r="AL2022" s="64">
        <v>1</v>
      </c>
      <c r="AN2022" s="93"/>
      <c r="AO2022" s="92"/>
      <c r="AQ2022" t="s">
        <v>5311</v>
      </c>
      <c r="AS2022">
        <v>1</v>
      </c>
    </row>
    <row r="2023" spans="1:45">
      <c r="A2023">
        <v>515005</v>
      </c>
      <c r="B2023">
        <v>1001</v>
      </c>
      <c r="C2023">
        <v>2</v>
      </c>
      <c r="D2023">
        <v>1004</v>
      </c>
      <c r="E2023" t="s">
        <v>5314</v>
      </c>
      <c r="F2023" s="13" t="s">
        <v>5314</v>
      </c>
      <c r="G2023" t="s">
        <v>5305</v>
      </c>
      <c r="H2023" t="s">
        <v>5315</v>
      </c>
      <c r="I2023">
        <v>1</v>
      </c>
      <c r="J2023">
        <f t="shared" si="10"/>
        <v>5</v>
      </c>
      <c r="K2023" s="33">
        <v>1</v>
      </c>
      <c r="L2023">
        <v>9999</v>
      </c>
      <c r="M2023">
        <v>0</v>
      </c>
      <c r="S2023" s="33">
        <v>1</v>
      </c>
      <c r="T2023">
        <v>5</v>
      </c>
      <c r="U2023">
        <v>1</v>
      </c>
      <c r="V2023" s="87">
        <v>1</v>
      </c>
      <c r="W2023">
        <v>1</v>
      </c>
      <c r="X2023">
        <v>1</v>
      </c>
      <c r="Y2023">
        <v>0</v>
      </c>
      <c r="Z2023" s="33">
        <v>0</v>
      </c>
      <c r="AA2023">
        <v>5</v>
      </c>
      <c r="AB2023">
        <v>100</v>
      </c>
      <c r="AC2023">
        <v>888</v>
      </c>
      <c r="AL2023" s="64">
        <v>1</v>
      </c>
      <c r="AN2023" s="93"/>
      <c r="AO2023" s="92"/>
      <c r="AQ2023" t="s">
        <v>5314</v>
      </c>
      <c r="AS2023">
        <v>1</v>
      </c>
    </row>
    <row r="2024" spans="1:45">
      <c r="A2024">
        <v>515006</v>
      </c>
      <c r="B2024">
        <v>1001</v>
      </c>
      <c r="C2024">
        <v>2</v>
      </c>
      <c r="D2024">
        <v>1004</v>
      </c>
      <c r="E2024" t="s">
        <v>5316</v>
      </c>
      <c r="F2024" s="13" t="s">
        <v>5316</v>
      </c>
      <c r="G2024" t="s">
        <v>5305</v>
      </c>
      <c r="H2024" t="s">
        <v>5317</v>
      </c>
      <c r="I2024">
        <v>1</v>
      </c>
      <c r="J2024">
        <f t="shared" si="10"/>
        <v>5</v>
      </c>
      <c r="K2024" s="33">
        <v>1</v>
      </c>
      <c r="L2024">
        <v>9999</v>
      </c>
      <c r="M2024">
        <v>0</v>
      </c>
      <c r="S2024" s="33">
        <v>1</v>
      </c>
      <c r="T2024">
        <v>5</v>
      </c>
      <c r="U2024">
        <v>1</v>
      </c>
      <c r="V2024" s="87">
        <v>1</v>
      </c>
      <c r="W2024">
        <v>1</v>
      </c>
      <c r="X2024">
        <v>1</v>
      </c>
      <c r="Y2024">
        <v>0</v>
      </c>
      <c r="Z2024" s="33">
        <v>0</v>
      </c>
      <c r="AA2024">
        <v>5</v>
      </c>
      <c r="AB2024">
        <v>100</v>
      </c>
      <c r="AC2024">
        <v>888</v>
      </c>
      <c r="AL2024" s="64">
        <v>1</v>
      </c>
      <c r="AN2024" s="93"/>
      <c r="AO2024" s="92"/>
      <c r="AQ2024" t="s">
        <v>5316</v>
      </c>
      <c r="AS2024">
        <v>1</v>
      </c>
    </row>
    <row r="2025" spans="1:45">
      <c r="A2025">
        <v>515007</v>
      </c>
      <c r="B2025">
        <v>1001</v>
      </c>
      <c r="C2025">
        <v>2</v>
      </c>
      <c r="D2025">
        <v>1004</v>
      </c>
      <c r="E2025" t="s">
        <v>5318</v>
      </c>
      <c r="F2025" s="13" t="s">
        <v>5318</v>
      </c>
      <c r="G2025" t="s">
        <v>5305</v>
      </c>
      <c r="H2025" t="s">
        <v>5319</v>
      </c>
      <c r="I2025">
        <v>1</v>
      </c>
      <c r="J2025">
        <f t="shared" si="10"/>
        <v>5</v>
      </c>
      <c r="K2025" s="33">
        <v>1</v>
      </c>
      <c r="L2025">
        <v>9999</v>
      </c>
      <c r="M2025">
        <v>0</v>
      </c>
      <c r="S2025" s="33">
        <v>1</v>
      </c>
      <c r="T2025">
        <v>5</v>
      </c>
      <c r="U2025">
        <v>2</v>
      </c>
      <c r="V2025" s="87">
        <v>1</v>
      </c>
      <c r="W2025">
        <v>1</v>
      </c>
      <c r="X2025">
        <v>1</v>
      </c>
      <c r="Y2025">
        <v>0</v>
      </c>
      <c r="Z2025" s="33">
        <v>0</v>
      </c>
      <c r="AA2025">
        <v>5</v>
      </c>
      <c r="AB2025">
        <v>200</v>
      </c>
      <c r="AC2025">
        <v>888</v>
      </c>
      <c r="AL2025" s="64">
        <v>1</v>
      </c>
      <c r="AN2025" s="93"/>
      <c r="AO2025" s="92"/>
      <c r="AQ2025" t="s">
        <v>5318</v>
      </c>
      <c r="AS2025">
        <v>1</v>
      </c>
    </row>
    <row r="2026" spans="1:45">
      <c r="A2026">
        <v>515008</v>
      </c>
      <c r="B2026">
        <v>1001</v>
      </c>
      <c r="C2026">
        <v>2</v>
      </c>
      <c r="D2026">
        <v>1004</v>
      </c>
      <c r="E2026" t="s">
        <v>5320</v>
      </c>
      <c r="F2026" s="13" t="s">
        <v>5320</v>
      </c>
      <c r="G2026" t="s">
        <v>5305</v>
      </c>
      <c r="H2026" t="s">
        <v>5321</v>
      </c>
      <c r="I2026">
        <v>1</v>
      </c>
      <c r="J2026">
        <f t="shared" si="10"/>
        <v>5</v>
      </c>
      <c r="K2026" s="33">
        <v>1</v>
      </c>
      <c r="L2026">
        <v>9999</v>
      </c>
      <c r="M2026">
        <v>0</v>
      </c>
      <c r="S2026" s="33">
        <v>1</v>
      </c>
      <c r="T2026">
        <v>5</v>
      </c>
      <c r="U2026">
        <v>3</v>
      </c>
      <c r="V2026" s="87">
        <v>1</v>
      </c>
      <c r="W2026">
        <v>1</v>
      </c>
      <c r="X2026">
        <v>1</v>
      </c>
      <c r="Y2026">
        <v>0</v>
      </c>
      <c r="Z2026" s="33">
        <v>0</v>
      </c>
      <c r="AA2026">
        <v>5</v>
      </c>
      <c r="AB2026">
        <v>300</v>
      </c>
      <c r="AC2026">
        <v>888</v>
      </c>
      <c r="AL2026" s="64">
        <v>1</v>
      </c>
      <c r="AN2026" s="93"/>
      <c r="AO2026" s="92"/>
      <c r="AQ2026" t="s">
        <v>5320</v>
      </c>
      <c r="AS2026">
        <v>1</v>
      </c>
    </row>
    <row r="2027" spans="1:45">
      <c r="A2027">
        <v>515009</v>
      </c>
      <c r="B2027">
        <v>1001</v>
      </c>
      <c r="C2027">
        <v>2</v>
      </c>
      <c r="D2027">
        <v>1004</v>
      </c>
      <c r="E2027" t="s">
        <v>5322</v>
      </c>
      <c r="F2027" s="13" t="s">
        <v>5322</v>
      </c>
      <c r="G2027" t="s">
        <v>5305</v>
      </c>
      <c r="H2027" t="s">
        <v>5323</v>
      </c>
      <c r="I2027">
        <v>1</v>
      </c>
      <c r="J2027">
        <f t="shared" si="10"/>
        <v>5</v>
      </c>
      <c r="K2027" s="33">
        <v>1</v>
      </c>
      <c r="L2027">
        <v>9999</v>
      </c>
      <c r="M2027">
        <v>0</v>
      </c>
      <c r="S2027" s="33">
        <v>1</v>
      </c>
      <c r="T2027">
        <v>5</v>
      </c>
      <c r="U2027">
        <v>2</v>
      </c>
      <c r="V2027" s="87">
        <v>1</v>
      </c>
      <c r="W2027">
        <v>1</v>
      </c>
      <c r="X2027">
        <v>1</v>
      </c>
      <c r="Y2027">
        <v>0</v>
      </c>
      <c r="Z2027" s="33">
        <v>0</v>
      </c>
      <c r="AA2027">
        <v>5</v>
      </c>
      <c r="AB2027">
        <v>200</v>
      </c>
      <c r="AC2027">
        <v>888</v>
      </c>
      <c r="AL2027" s="64">
        <v>1</v>
      </c>
      <c r="AN2027" s="93"/>
      <c r="AO2027" s="92"/>
      <c r="AQ2027" t="s">
        <v>5322</v>
      </c>
      <c r="AS2027">
        <v>1</v>
      </c>
    </row>
    <row r="2028" spans="1:45">
      <c r="A2028">
        <v>515010</v>
      </c>
      <c r="B2028">
        <v>1001</v>
      </c>
      <c r="C2028">
        <v>2</v>
      </c>
      <c r="D2028">
        <v>1004</v>
      </c>
      <c r="E2028" t="s">
        <v>5324</v>
      </c>
      <c r="F2028" s="13" t="s">
        <v>5324</v>
      </c>
      <c r="G2028" t="s">
        <v>5305</v>
      </c>
      <c r="H2028" t="s">
        <v>5325</v>
      </c>
      <c r="I2028">
        <v>1</v>
      </c>
      <c r="J2028">
        <f t="shared" si="10"/>
        <v>5</v>
      </c>
      <c r="K2028" s="33">
        <v>1</v>
      </c>
      <c r="L2028">
        <v>9999</v>
      </c>
      <c r="M2028">
        <v>0</v>
      </c>
      <c r="S2028" s="33">
        <v>1</v>
      </c>
      <c r="T2028">
        <v>5</v>
      </c>
      <c r="U2028">
        <v>2</v>
      </c>
      <c r="V2028" s="87">
        <v>1</v>
      </c>
      <c r="W2028">
        <v>1</v>
      </c>
      <c r="X2028">
        <v>1</v>
      </c>
      <c r="Y2028">
        <v>0</v>
      </c>
      <c r="Z2028" s="33">
        <v>0</v>
      </c>
      <c r="AA2028">
        <v>5</v>
      </c>
      <c r="AB2028">
        <v>200</v>
      </c>
      <c r="AC2028">
        <v>888</v>
      </c>
      <c r="AL2028" s="64">
        <v>1</v>
      </c>
      <c r="AN2028" s="93"/>
      <c r="AO2028" s="92"/>
      <c r="AQ2028" t="s">
        <v>5324</v>
      </c>
      <c r="AS2028">
        <v>1</v>
      </c>
    </row>
    <row r="2029" spans="1:45">
      <c r="A2029">
        <v>515011</v>
      </c>
      <c r="B2029">
        <v>1001</v>
      </c>
      <c r="C2029">
        <v>2</v>
      </c>
      <c r="D2029">
        <v>1004</v>
      </c>
      <c r="E2029" t="s">
        <v>5326</v>
      </c>
      <c r="F2029" s="13" t="s">
        <v>5326</v>
      </c>
      <c r="G2029" t="s">
        <v>5327</v>
      </c>
      <c r="H2029" t="s">
        <v>5328</v>
      </c>
      <c r="I2029">
        <v>1</v>
      </c>
      <c r="J2029">
        <f t="shared" si="10"/>
        <v>5</v>
      </c>
      <c r="K2029" s="33">
        <v>1</v>
      </c>
      <c r="L2029">
        <v>9999</v>
      </c>
      <c r="M2029">
        <v>0</v>
      </c>
      <c r="S2029" s="33">
        <v>1</v>
      </c>
      <c r="T2029">
        <v>5</v>
      </c>
      <c r="U2029">
        <v>3</v>
      </c>
      <c r="V2029" s="87">
        <v>1</v>
      </c>
      <c r="W2029">
        <v>1</v>
      </c>
      <c r="X2029">
        <v>1</v>
      </c>
      <c r="Y2029">
        <v>0</v>
      </c>
      <c r="Z2029" s="33">
        <v>0</v>
      </c>
      <c r="AA2029">
        <v>5</v>
      </c>
      <c r="AB2029">
        <v>300</v>
      </c>
      <c r="AC2029">
        <v>888</v>
      </c>
      <c r="AL2029" s="64">
        <v>1</v>
      </c>
      <c r="AN2029" s="93"/>
      <c r="AO2029" s="92"/>
      <c r="AQ2029" t="s">
        <v>5326</v>
      </c>
      <c r="AS2029">
        <v>1</v>
      </c>
    </row>
    <row r="2030" spans="1:45">
      <c r="A2030">
        <v>515012</v>
      </c>
      <c r="B2030">
        <v>1001</v>
      </c>
      <c r="C2030">
        <v>2</v>
      </c>
      <c r="D2030">
        <v>1004</v>
      </c>
      <c r="E2030" t="s">
        <v>5329</v>
      </c>
      <c r="F2030" s="13" t="s">
        <v>5329</v>
      </c>
      <c r="G2030" t="s">
        <v>5305</v>
      </c>
      <c r="H2030" t="s">
        <v>5330</v>
      </c>
      <c r="I2030">
        <v>1</v>
      </c>
      <c r="J2030">
        <f t="shared" si="10"/>
        <v>5</v>
      </c>
      <c r="K2030" s="33">
        <v>1</v>
      </c>
      <c r="L2030">
        <v>9999</v>
      </c>
      <c r="M2030">
        <v>0</v>
      </c>
      <c r="S2030" s="33">
        <v>1</v>
      </c>
      <c r="T2030">
        <v>5</v>
      </c>
      <c r="U2030">
        <v>1</v>
      </c>
      <c r="V2030" s="87">
        <v>1</v>
      </c>
      <c r="W2030">
        <v>1</v>
      </c>
      <c r="X2030">
        <v>1</v>
      </c>
      <c r="Y2030">
        <v>0</v>
      </c>
      <c r="Z2030" s="33">
        <v>0</v>
      </c>
      <c r="AA2030">
        <v>5</v>
      </c>
      <c r="AB2030">
        <v>100</v>
      </c>
      <c r="AC2030">
        <v>888</v>
      </c>
      <c r="AL2030" s="64">
        <v>1</v>
      </c>
      <c r="AN2030" s="93"/>
      <c r="AO2030" s="92"/>
      <c r="AQ2030" t="s">
        <v>5331</v>
      </c>
      <c r="AS2030">
        <v>1</v>
      </c>
    </row>
    <row r="2031" spans="1:45">
      <c r="A2031">
        <v>515013</v>
      </c>
      <c r="B2031">
        <v>1001</v>
      </c>
      <c r="C2031">
        <v>2</v>
      </c>
      <c r="D2031">
        <v>1004</v>
      </c>
      <c r="E2031" t="s">
        <v>5332</v>
      </c>
      <c r="F2031" s="13" t="s">
        <v>5332</v>
      </c>
      <c r="G2031" t="s">
        <v>5305</v>
      </c>
      <c r="H2031" t="s">
        <v>5333</v>
      </c>
      <c r="I2031">
        <v>1</v>
      </c>
      <c r="J2031">
        <f t="shared" si="10"/>
        <v>5</v>
      </c>
      <c r="K2031" s="33">
        <v>1</v>
      </c>
      <c r="L2031">
        <v>9999</v>
      </c>
      <c r="M2031">
        <v>0</v>
      </c>
      <c r="S2031" s="33">
        <v>1</v>
      </c>
      <c r="T2031">
        <v>5</v>
      </c>
      <c r="U2031">
        <v>1</v>
      </c>
      <c r="V2031" s="87">
        <v>1</v>
      </c>
      <c r="W2031">
        <v>1</v>
      </c>
      <c r="X2031">
        <v>1</v>
      </c>
      <c r="Y2031">
        <v>0</v>
      </c>
      <c r="Z2031" s="33">
        <v>0</v>
      </c>
      <c r="AA2031">
        <v>5</v>
      </c>
      <c r="AB2031">
        <v>100</v>
      </c>
      <c r="AC2031">
        <v>888</v>
      </c>
      <c r="AL2031" s="64">
        <v>1</v>
      </c>
      <c r="AN2031" s="93"/>
      <c r="AO2031" s="92"/>
      <c r="AQ2031" t="s">
        <v>5332</v>
      </c>
      <c r="AS2031">
        <v>1</v>
      </c>
    </row>
    <row r="2032" spans="1:45">
      <c r="A2032">
        <v>515014</v>
      </c>
      <c r="B2032">
        <v>1001</v>
      </c>
      <c r="C2032">
        <v>2</v>
      </c>
      <c r="D2032">
        <v>1004</v>
      </c>
      <c r="E2032" t="s">
        <v>5334</v>
      </c>
      <c r="F2032" s="13" t="s">
        <v>5334</v>
      </c>
      <c r="G2032" t="s">
        <v>5327</v>
      </c>
      <c r="H2032" t="s">
        <v>5335</v>
      </c>
      <c r="I2032">
        <v>1</v>
      </c>
      <c r="J2032">
        <f t="shared" si="10"/>
        <v>5</v>
      </c>
      <c r="K2032" s="33">
        <v>1</v>
      </c>
      <c r="L2032">
        <v>9999</v>
      </c>
      <c r="M2032">
        <v>0</v>
      </c>
      <c r="S2032" s="33">
        <v>1</v>
      </c>
      <c r="T2032">
        <v>5</v>
      </c>
      <c r="U2032">
        <v>5</v>
      </c>
      <c r="V2032" s="87">
        <v>1</v>
      </c>
      <c r="W2032">
        <v>1</v>
      </c>
      <c r="X2032">
        <v>1</v>
      </c>
      <c r="Y2032">
        <v>0</v>
      </c>
      <c r="Z2032" s="33">
        <v>0</v>
      </c>
      <c r="AA2032">
        <v>5</v>
      </c>
      <c r="AB2032">
        <v>500</v>
      </c>
      <c r="AC2032">
        <v>888</v>
      </c>
      <c r="AL2032" s="64">
        <v>1</v>
      </c>
      <c r="AN2032" s="93"/>
      <c r="AO2032" s="92"/>
      <c r="AQ2032" t="s">
        <v>5334</v>
      </c>
      <c r="AS2032">
        <v>1</v>
      </c>
    </row>
    <row r="2033" spans="1:45">
      <c r="A2033">
        <v>515015</v>
      </c>
      <c r="B2033">
        <v>1001</v>
      </c>
      <c r="C2033">
        <v>2</v>
      </c>
      <c r="D2033">
        <v>1004</v>
      </c>
      <c r="E2033" t="s">
        <v>5336</v>
      </c>
      <c r="F2033" s="13" t="s">
        <v>5336</v>
      </c>
      <c r="G2033" t="s">
        <v>5305</v>
      </c>
      <c r="H2033" t="s">
        <v>5337</v>
      </c>
      <c r="I2033">
        <v>1</v>
      </c>
      <c r="J2033">
        <f t="shared" si="10"/>
        <v>5</v>
      </c>
      <c r="K2033" s="33">
        <v>1</v>
      </c>
      <c r="L2033">
        <v>9999</v>
      </c>
      <c r="M2033">
        <v>0</v>
      </c>
      <c r="S2033" s="33">
        <v>1</v>
      </c>
      <c r="T2033">
        <v>5</v>
      </c>
      <c r="U2033">
        <v>1</v>
      </c>
      <c r="V2033" s="87">
        <v>1</v>
      </c>
      <c r="W2033">
        <v>1</v>
      </c>
      <c r="X2033">
        <v>1</v>
      </c>
      <c r="Y2033">
        <v>0</v>
      </c>
      <c r="Z2033" s="33">
        <v>0</v>
      </c>
      <c r="AA2033">
        <v>5</v>
      </c>
      <c r="AB2033">
        <v>100</v>
      </c>
      <c r="AC2033">
        <v>888</v>
      </c>
      <c r="AL2033" s="64">
        <v>1</v>
      </c>
      <c r="AN2033" s="93"/>
      <c r="AO2033" s="92"/>
      <c r="AQ2033" t="s">
        <v>5338</v>
      </c>
      <c r="AS2033">
        <v>1</v>
      </c>
    </row>
    <row r="2034" spans="1:45">
      <c r="A2034">
        <v>515016</v>
      </c>
      <c r="B2034">
        <v>1001</v>
      </c>
      <c r="C2034">
        <v>2</v>
      </c>
      <c r="D2034">
        <v>1004</v>
      </c>
      <c r="E2034" t="s">
        <v>5339</v>
      </c>
      <c r="F2034" s="13" t="s">
        <v>5339</v>
      </c>
      <c r="G2034" t="s">
        <v>5305</v>
      </c>
      <c r="H2034" t="s">
        <v>5340</v>
      </c>
      <c r="I2034">
        <v>1</v>
      </c>
      <c r="J2034">
        <f t="shared" si="10"/>
        <v>5</v>
      </c>
      <c r="K2034" s="33">
        <v>1</v>
      </c>
      <c r="L2034">
        <v>9999</v>
      </c>
      <c r="M2034">
        <v>0</v>
      </c>
      <c r="S2034" s="33">
        <v>1</v>
      </c>
      <c r="T2034">
        <v>5</v>
      </c>
      <c r="U2034">
        <v>1</v>
      </c>
      <c r="V2034" s="87">
        <v>1</v>
      </c>
      <c r="W2034">
        <v>1</v>
      </c>
      <c r="X2034">
        <v>1</v>
      </c>
      <c r="Y2034">
        <v>0</v>
      </c>
      <c r="Z2034" s="33">
        <v>0</v>
      </c>
      <c r="AA2034">
        <v>5</v>
      </c>
      <c r="AB2034">
        <v>100</v>
      </c>
      <c r="AC2034">
        <v>888</v>
      </c>
      <c r="AL2034" s="64">
        <v>1</v>
      </c>
      <c r="AN2034" s="93"/>
      <c r="AO2034" s="92"/>
      <c r="AQ2034" t="s">
        <v>5339</v>
      </c>
      <c r="AS2034">
        <v>1</v>
      </c>
    </row>
    <row r="2035" spans="1:45">
      <c r="A2035">
        <v>515017</v>
      </c>
      <c r="B2035">
        <v>1001</v>
      </c>
      <c r="C2035">
        <v>2</v>
      </c>
      <c r="D2035">
        <v>1004</v>
      </c>
      <c r="E2035" t="s">
        <v>5341</v>
      </c>
      <c r="F2035" s="13" t="s">
        <v>5341</v>
      </c>
      <c r="G2035" t="s">
        <v>5327</v>
      </c>
      <c r="H2035" t="s">
        <v>5342</v>
      </c>
      <c r="I2035">
        <v>1</v>
      </c>
      <c r="J2035">
        <f t="shared" si="10"/>
        <v>5</v>
      </c>
      <c r="K2035" s="33">
        <v>1</v>
      </c>
      <c r="L2035">
        <v>9999</v>
      </c>
      <c r="M2035">
        <v>0</v>
      </c>
      <c r="S2035" s="33">
        <v>1</v>
      </c>
      <c r="T2035">
        <v>5</v>
      </c>
      <c r="U2035">
        <v>3</v>
      </c>
      <c r="V2035" s="87">
        <v>1</v>
      </c>
      <c r="W2035">
        <v>1</v>
      </c>
      <c r="X2035">
        <v>1</v>
      </c>
      <c r="Y2035">
        <v>0</v>
      </c>
      <c r="Z2035" s="33">
        <v>0</v>
      </c>
      <c r="AA2035">
        <v>5</v>
      </c>
      <c r="AB2035">
        <v>300</v>
      </c>
      <c r="AC2035">
        <v>888</v>
      </c>
      <c r="AL2035" s="64">
        <v>1</v>
      </c>
      <c r="AN2035" s="93"/>
      <c r="AO2035" s="92"/>
      <c r="AQ2035" t="s">
        <v>5341</v>
      </c>
      <c r="AS2035">
        <v>1</v>
      </c>
    </row>
    <row r="2036" spans="1:45">
      <c r="A2036">
        <v>515018</v>
      </c>
      <c r="B2036">
        <v>1001</v>
      </c>
      <c r="C2036">
        <v>2</v>
      </c>
      <c r="D2036">
        <v>1004</v>
      </c>
      <c r="E2036" t="s">
        <v>5343</v>
      </c>
      <c r="F2036" s="13" t="s">
        <v>5343</v>
      </c>
      <c r="G2036" t="s">
        <v>5305</v>
      </c>
      <c r="H2036" t="s">
        <v>5344</v>
      </c>
      <c r="I2036">
        <v>1</v>
      </c>
      <c r="J2036">
        <f t="shared" si="10"/>
        <v>5</v>
      </c>
      <c r="K2036" s="33">
        <v>1</v>
      </c>
      <c r="L2036">
        <v>9999</v>
      </c>
      <c r="M2036">
        <v>0</v>
      </c>
      <c r="S2036" s="33">
        <v>1</v>
      </c>
      <c r="T2036">
        <v>5</v>
      </c>
      <c r="U2036">
        <v>1</v>
      </c>
      <c r="V2036" s="87">
        <v>1</v>
      </c>
      <c r="W2036">
        <v>1</v>
      </c>
      <c r="X2036">
        <v>1</v>
      </c>
      <c r="Y2036">
        <v>0</v>
      </c>
      <c r="Z2036" s="33">
        <v>0</v>
      </c>
      <c r="AA2036">
        <v>5</v>
      </c>
      <c r="AB2036">
        <v>100</v>
      </c>
      <c r="AC2036">
        <v>888</v>
      </c>
      <c r="AL2036" s="64">
        <v>1</v>
      </c>
      <c r="AN2036" s="93"/>
      <c r="AO2036" s="92"/>
      <c r="AQ2036" t="s">
        <v>5345</v>
      </c>
      <c r="AS2036">
        <v>1</v>
      </c>
    </row>
    <row r="2037" spans="1:45">
      <c r="A2037">
        <v>515019</v>
      </c>
      <c r="B2037">
        <v>1001</v>
      </c>
      <c r="C2037">
        <v>2</v>
      </c>
      <c r="D2037">
        <v>1004</v>
      </c>
      <c r="E2037" t="s">
        <v>5346</v>
      </c>
      <c r="F2037" s="13" t="s">
        <v>5346</v>
      </c>
      <c r="G2037" t="s">
        <v>5305</v>
      </c>
      <c r="H2037" t="s">
        <v>5347</v>
      </c>
      <c r="I2037">
        <v>1</v>
      </c>
      <c r="J2037">
        <f t="shared" si="10"/>
        <v>5</v>
      </c>
      <c r="K2037" s="33">
        <v>1</v>
      </c>
      <c r="L2037">
        <v>9999</v>
      </c>
      <c r="M2037">
        <v>0</v>
      </c>
      <c r="S2037" s="33">
        <v>1</v>
      </c>
      <c r="T2037">
        <v>5</v>
      </c>
      <c r="U2037">
        <v>2</v>
      </c>
      <c r="V2037" s="87">
        <v>1</v>
      </c>
      <c r="W2037">
        <v>1</v>
      </c>
      <c r="X2037">
        <v>1</v>
      </c>
      <c r="Y2037">
        <v>0</v>
      </c>
      <c r="Z2037" s="33">
        <v>0</v>
      </c>
      <c r="AA2037">
        <v>5</v>
      </c>
      <c r="AB2037">
        <v>200</v>
      </c>
      <c r="AC2037">
        <v>888</v>
      </c>
      <c r="AL2037" s="64">
        <v>1</v>
      </c>
      <c r="AN2037" s="93"/>
      <c r="AO2037" s="92"/>
      <c r="AQ2037" t="s">
        <v>5348</v>
      </c>
      <c r="AS2037">
        <v>1</v>
      </c>
    </row>
    <row r="2038" spans="1:45">
      <c r="A2038" s="37">
        <v>515020</v>
      </c>
      <c r="B2038">
        <v>1001</v>
      </c>
      <c r="C2038">
        <v>2</v>
      </c>
      <c r="D2038">
        <v>1004</v>
      </c>
      <c r="E2038" t="s">
        <v>5311</v>
      </c>
      <c r="F2038" s="13" t="s">
        <v>5311</v>
      </c>
      <c r="G2038" t="s">
        <v>5305</v>
      </c>
      <c r="H2038" t="s">
        <v>5349</v>
      </c>
      <c r="I2038">
        <v>1</v>
      </c>
      <c r="J2038">
        <f t="shared" si="10"/>
        <v>5</v>
      </c>
      <c r="K2038" s="33">
        <v>1</v>
      </c>
      <c r="L2038">
        <v>9999</v>
      </c>
      <c r="M2038">
        <v>0</v>
      </c>
      <c r="S2038" s="33">
        <v>1</v>
      </c>
      <c r="T2038">
        <v>5</v>
      </c>
      <c r="U2038">
        <v>1</v>
      </c>
      <c r="V2038" s="87">
        <v>1</v>
      </c>
      <c r="W2038">
        <v>1</v>
      </c>
      <c r="X2038">
        <v>1</v>
      </c>
      <c r="Y2038">
        <v>0</v>
      </c>
      <c r="Z2038" s="33">
        <v>0</v>
      </c>
      <c r="AA2038">
        <v>5</v>
      </c>
      <c r="AB2038">
        <v>100</v>
      </c>
      <c r="AC2038">
        <v>888</v>
      </c>
      <c r="AL2038" s="64">
        <v>1</v>
      </c>
      <c r="AN2038" s="93"/>
      <c r="AO2038" s="92"/>
      <c r="AQ2038" t="s">
        <v>5311</v>
      </c>
      <c r="AS2038">
        <v>1</v>
      </c>
    </row>
    <row r="2039" spans="1:45">
      <c r="A2039">
        <v>515021</v>
      </c>
      <c r="B2039">
        <v>1001</v>
      </c>
      <c r="C2039">
        <v>2</v>
      </c>
      <c r="D2039">
        <v>1004</v>
      </c>
      <c r="E2039" t="s">
        <v>5350</v>
      </c>
      <c r="F2039" s="13" t="s">
        <v>5350</v>
      </c>
      <c r="G2039" t="s">
        <v>5305</v>
      </c>
      <c r="H2039" t="s">
        <v>5351</v>
      </c>
      <c r="I2039">
        <v>1</v>
      </c>
      <c r="J2039">
        <f t="shared" si="10"/>
        <v>5</v>
      </c>
      <c r="K2039" s="33">
        <v>1</v>
      </c>
      <c r="L2039">
        <v>9999</v>
      </c>
      <c r="M2039">
        <v>0</v>
      </c>
      <c r="S2039" s="33">
        <v>1</v>
      </c>
      <c r="T2039">
        <v>5</v>
      </c>
      <c r="U2039">
        <v>2</v>
      </c>
      <c r="V2039" s="87">
        <v>1</v>
      </c>
      <c r="W2039">
        <v>1</v>
      </c>
      <c r="X2039">
        <v>1</v>
      </c>
      <c r="Y2039">
        <v>0</v>
      </c>
      <c r="Z2039" s="33">
        <v>0</v>
      </c>
      <c r="AA2039">
        <v>5</v>
      </c>
      <c r="AB2039">
        <v>200</v>
      </c>
      <c r="AC2039">
        <v>888</v>
      </c>
      <c r="AL2039" s="64">
        <v>1</v>
      </c>
      <c r="AN2039" s="93"/>
      <c r="AO2039" s="92"/>
      <c r="AQ2039" t="s">
        <v>5350</v>
      </c>
      <c r="AS2039">
        <v>1</v>
      </c>
    </row>
    <row r="2040" spans="1:45">
      <c r="A2040">
        <v>515022</v>
      </c>
      <c r="B2040">
        <v>1001</v>
      </c>
      <c r="C2040">
        <v>2</v>
      </c>
      <c r="D2040">
        <v>1004</v>
      </c>
      <c r="E2040" t="s">
        <v>5352</v>
      </c>
      <c r="F2040" s="13" t="s">
        <v>5352</v>
      </c>
      <c r="G2040" t="s">
        <v>5305</v>
      </c>
      <c r="H2040" t="s">
        <v>5353</v>
      </c>
      <c r="I2040">
        <v>1</v>
      </c>
      <c r="J2040">
        <f t="shared" si="10"/>
        <v>5</v>
      </c>
      <c r="K2040" s="33">
        <v>1</v>
      </c>
      <c r="L2040">
        <v>9999</v>
      </c>
      <c r="M2040">
        <v>0</v>
      </c>
      <c r="S2040" s="33">
        <v>1</v>
      </c>
      <c r="T2040">
        <v>5</v>
      </c>
      <c r="U2040">
        <v>2</v>
      </c>
      <c r="V2040" s="87">
        <v>1</v>
      </c>
      <c r="W2040">
        <v>1</v>
      </c>
      <c r="X2040">
        <v>1</v>
      </c>
      <c r="Y2040">
        <v>0</v>
      </c>
      <c r="Z2040" s="33">
        <v>0</v>
      </c>
      <c r="AA2040">
        <v>5</v>
      </c>
      <c r="AB2040">
        <v>200</v>
      </c>
      <c r="AC2040">
        <v>888</v>
      </c>
      <c r="AL2040" s="64">
        <v>1</v>
      </c>
      <c r="AN2040" s="93"/>
      <c r="AO2040" s="92"/>
      <c r="AQ2040" t="s">
        <v>5352</v>
      </c>
      <c r="AS2040">
        <v>1</v>
      </c>
    </row>
    <row r="2041" spans="1:45">
      <c r="A2041">
        <v>515023</v>
      </c>
      <c r="B2041">
        <v>1001</v>
      </c>
      <c r="C2041">
        <v>2</v>
      </c>
      <c r="D2041">
        <v>1004</v>
      </c>
      <c r="E2041" t="s">
        <v>5354</v>
      </c>
      <c r="F2041" s="13" t="s">
        <v>5354</v>
      </c>
      <c r="G2041" t="s">
        <v>5327</v>
      </c>
      <c r="H2041" t="s">
        <v>5355</v>
      </c>
      <c r="I2041">
        <v>1</v>
      </c>
      <c r="J2041">
        <f t="shared" si="10"/>
        <v>5</v>
      </c>
      <c r="K2041" s="33">
        <v>1</v>
      </c>
      <c r="L2041">
        <v>9999</v>
      </c>
      <c r="M2041">
        <v>0</v>
      </c>
      <c r="S2041" s="33">
        <v>1</v>
      </c>
      <c r="T2041">
        <v>5</v>
      </c>
      <c r="U2041">
        <v>3</v>
      </c>
      <c r="V2041" s="87">
        <v>1</v>
      </c>
      <c r="W2041">
        <v>1</v>
      </c>
      <c r="X2041">
        <v>1</v>
      </c>
      <c r="Y2041">
        <v>0</v>
      </c>
      <c r="Z2041" s="33">
        <v>0</v>
      </c>
      <c r="AA2041">
        <v>5</v>
      </c>
      <c r="AB2041">
        <v>300</v>
      </c>
      <c r="AC2041">
        <v>888</v>
      </c>
      <c r="AL2041" s="64">
        <v>1</v>
      </c>
      <c r="AN2041" s="93"/>
      <c r="AO2041" s="92"/>
      <c r="AQ2041" t="s">
        <v>5354</v>
      </c>
      <c r="AS2041">
        <v>1</v>
      </c>
    </row>
    <row r="2042" spans="1:45">
      <c r="A2042">
        <v>515024</v>
      </c>
      <c r="B2042">
        <v>1001</v>
      </c>
      <c r="C2042">
        <v>2</v>
      </c>
      <c r="D2042">
        <v>1004</v>
      </c>
      <c r="E2042" t="s">
        <v>5356</v>
      </c>
      <c r="F2042" s="13" t="s">
        <v>5356</v>
      </c>
      <c r="G2042" t="s">
        <v>5327</v>
      </c>
      <c r="H2042" t="s">
        <v>5357</v>
      </c>
      <c r="I2042">
        <v>1</v>
      </c>
      <c r="J2042">
        <f t="shared" si="10"/>
        <v>5</v>
      </c>
      <c r="K2042" s="33">
        <v>1</v>
      </c>
      <c r="L2042">
        <v>9999</v>
      </c>
      <c r="M2042">
        <v>0</v>
      </c>
      <c r="S2042" s="33">
        <v>1</v>
      </c>
      <c r="T2042">
        <v>5</v>
      </c>
      <c r="U2042">
        <v>3</v>
      </c>
      <c r="V2042" s="87">
        <v>1</v>
      </c>
      <c r="W2042">
        <v>1</v>
      </c>
      <c r="X2042">
        <v>1</v>
      </c>
      <c r="Y2042">
        <v>0</v>
      </c>
      <c r="Z2042" s="33">
        <v>0</v>
      </c>
      <c r="AA2042">
        <v>5</v>
      </c>
      <c r="AB2042">
        <v>300</v>
      </c>
      <c r="AC2042">
        <v>888</v>
      </c>
      <c r="AL2042" s="64">
        <v>1</v>
      </c>
      <c r="AN2042" s="93"/>
      <c r="AO2042" s="92"/>
      <c r="AQ2042" t="s">
        <v>5356</v>
      </c>
      <c r="AS2042">
        <v>1</v>
      </c>
    </row>
    <row r="2043" spans="1:45">
      <c r="A2043">
        <v>515025</v>
      </c>
      <c r="B2043">
        <v>1001</v>
      </c>
      <c r="C2043">
        <v>2</v>
      </c>
      <c r="D2043">
        <v>1004</v>
      </c>
      <c r="E2043" t="s">
        <v>5358</v>
      </c>
      <c r="F2043" s="253" t="s">
        <v>5358</v>
      </c>
      <c r="G2043" t="s">
        <v>5327</v>
      </c>
      <c r="H2043" t="s">
        <v>5359</v>
      </c>
      <c r="I2043">
        <v>1</v>
      </c>
      <c r="J2043">
        <f t="shared" si="10"/>
        <v>5</v>
      </c>
      <c r="K2043" s="33">
        <v>1</v>
      </c>
      <c r="L2043">
        <v>9999</v>
      </c>
      <c r="M2043">
        <v>0</v>
      </c>
      <c r="S2043" s="33">
        <v>1</v>
      </c>
      <c r="T2043">
        <v>5</v>
      </c>
      <c r="U2043">
        <v>5</v>
      </c>
      <c r="V2043" s="87">
        <v>1</v>
      </c>
      <c r="W2043">
        <v>1</v>
      </c>
      <c r="X2043">
        <v>1</v>
      </c>
      <c r="Y2043">
        <v>0</v>
      </c>
      <c r="Z2043" s="33">
        <v>0</v>
      </c>
      <c r="AA2043">
        <v>5</v>
      </c>
      <c r="AB2043">
        <v>500</v>
      </c>
      <c r="AC2043">
        <v>888</v>
      </c>
      <c r="AL2043" s="64">
        <v>1</v>
      </c>
      <c r="AN2043" s="93"/>
      <c r="AO2043" s="92"/>
      <c r="AQ2043" t="s">
        <v>5358</v>
      </c>
      <c r="AS2043">
        <v>1</v>
      </c>
    </row>
    <row r="2044" spans="1:45">
      <c r="A2044">
        <v>511026</v>
      </c>
      <c r="B2044">
        <v>1001</v>
      </c>
      <c r="C2044">
        <v>2</v>
      </c>
      <c r="D2044">
        <v>1001</v>
      </c>
      <c r="E2044" t="s">
        <v>5360</v>
      </c>
      <c r="F2044" t="s">
        <v>5360</v>
      </c>
      <c r="G2044" t="s">
        <v>5361</v>
      </c>
      <c r="H2044" t="s">
        <v>5362</v>
      </c>
      <c r="I2044">
        <v>1</v>
      </c>
      <c r="J2044">
        <v>1</v>
      </c>
      <c r="K2044" s="33">
        <v>1</v>
      </c>
      <c r="L2044" s="3">
        <v>9999</v>
      </c>
      <c r="M2044">
        <v>0</v>
      </c>
      <c r="S2044" s="33">
        <v>1</v>
      </c>
      <c r="T2044">
        <v>5</v>
      </c>
      <c r="U2044">
        <v>5</v>
      </c>
      <c r="V2044" s="87">
        <v>1</v>
      </c>
      <c r="W2044">
        <v>1</v>
      </c>
      <c r="X2044">
        <v>1</v>
      </c>
      <c r="Y2044">
        <v>0</v>
      </c>
      <c r="Z2044" s="33">
        <v>0</v>
      </c>
      <c r="AA2044">
        <v>5</v>
      </c>
      <c r="AB2044">
        <v>500</v>
      </c>
      <c r="AC2044">
        <v>888</v>
      </c>
      <c r="AL2044" s="64">
        <v>1</v>
      </c>
      <c r="AN2044" s="93"/>
      <c r="AO2044" s="92"/>
      <c r="AS2044">
        <v>1</v>
      </c>
    </row>
    <row r="2045" spans="1:45">
      <c r="A2045">
        <v>511027</v>
      </c>
      <c r="B2045">
        <v>1001</v>
      </c>
      <c r="C2045">
        <v>2</v>
      </c>
      <c r="D2045">
        <v>1001</v>
      </c>
      <c r="E2045" t="s">
        <v>5363</v>
      </c>
      <c r="F2045" t="s">
        <v>5363</v>
      </c>
      <c r="G2045" t="s">
        <v>5361</v>
      </c>
      <c r="H2045" t="s">
        <v>5364</v>
      </c>
      <c r="I2045">
        <v>1</v>
      </c>
      <c r="J2045">
        <v>1</v>
      </c>
      <c r="K2045" s="33">
        <v>1</v>
      </c>
      <c r="L2045" s="3">
        <v>9999</v>
      </c>
      <c r="M2045">
        <v>0</v>
      </c>
      <c r="S2045" s="33">
        <v>1</v>
      </c>
      <c r="T2045">
        <v>5</v>
      </c>
      <c r="U2045">
        <v>5</v>
      </c>
      <c r="V2045" s="87">
        <v>1</v>
      </c>
      <c r="W2045">
        <v>1</v>
      </c>
      <c r="X2045">
        <v>1</v>
      </c>
      <c r="Y2045">
        <v>0</v>
      </c>
      <c r="Z2045" s="33">
        <v>0</v>
      </c>
      <c r="AA2045">
        <v>5</v>
      </c>
      <c r="AB2045">
        <v>500</v>
      </c>
      <c r="AC2045">
        <v>888</v>
      </c>
      <c r="AL2045" s="64">
        <v>1</v>
      </c>
      <c r="AN2045" s="93"/>
      <c r="AO2045" s="92"/>
      <c r="AS2045">
        <v>1</v>
      </c>
    </row>
    <row r="2046" spans="1:45">
      <c r="A2046">
        <v>511028</v>
      </c>
      <c r="B2046">
        <v>1001</v>
      </c>
      <c r="C2046">
        <v>2</v>
      </c>
      <c r="D2046">
        <v>1001</v>
      </c>
      <c r="E2046" t="s">
        <v>5365</v>
      </c>
      <c r="F2046" t="s">
        <v>5365</v>
      </c>
      <c r="G2046" t="s">
        <v>5361</v>
      </c>
      <c r="H2046" t="s">
        <v>5366</v>
      </c>
      <c r="I2046">
        <v>1</v>
      </c>
      <c r="J2046">
        <v>1</v>
      </c>
      <c r="K2046" s="33">
        <v>1</v>
      </c>
      <c r="L2046" s="3">
        <v>9999</v>
      </c>
      <c r="M2046">
        <v>0</v>
      </c>
      <c r="S2046" s="33">
        <v>1</v>
      </c>
      <c r="T2046">
        <v>5</v>
      </c>
      <c r="U2046">
        <v>5</v>
      </c>
      <c r="V2046" s="87">
        <v>1</v>
      </c>
      <c r="W2046">
        <v>1</v>
      </c>
      <c r="X2046">
        <v>1</v>
      </c>
      <c r="Y2046">
        <v>0</v>
      </c>
      <c r="Z2046" s="33">
        <v>0</v>
      </c>
      <c r="AA2046">
        <v>5</v>
      </c>
      <c r="AB2046">
        <v>500</v>
      </c>
      <c r="AC2046">
        <v>888</v>
      </c>
      <c r="AL2046" s="64">
        <v>1</v>
      </c>
      <c r="AN2046" s="93"/>
      <c r="AO2046" s="92"/>
      <c r="AS2046">
        <v>1</v>
      </c>
    </row>
    <row r="2047" spans="1:45">
      <c r="A2047">
        <v>511029</v>
      </c>
      <c r="B2047">
        <v>1001</v>
      </c>
      <c r="C2047">
        <v>2</v>
      </c>
      <c r="D2047">
        <v>1001</v>
      </c>
      <c r="E2047" t="s">
        <v>5367</v>
      </c>
      <c r="F2047" t="s">
        <v>5367</v>
      </c>
      <c r="G2047" t="s">
        <v>5361</v>
      </c>
      <c r="H2047" t="s">
        <v>5368</v>
      </c>
      <c r="I2047">
        <v>1</v>
      </c>
      <c r="J2047">
        <v>1</v>
      </c>
      <c r="K2047" s="33">
        <v>1</v>
      </c>
      <c r="L2047" s="3">
        <v>9999</v>
      </c>
      <c r="M2047">
        <v>0</v>
      </c>
      <c r="S2047" s="33">
        <v>1</v>
      </c>
      <c r="T2047">
        <v>5</v>
      </c>
      <c r="U2047">
        <v>5</v>
      </c>
      <c r="V2047" s="87">
        <v>1</v>
      </c>
      <c r="W2047">
        <v>1</v>
      </c>
      <c r="X2047">
        <v>1</v>
      </c>
      <c r="Y2047">
        <v>0</v>
      </c>
      <c r="Z2047" s="33">
        <v>0</v>
      </c>
      <c r="AA2047">
        <v>5</v>
      </c>
      <c r="AB2047">
        <v>500</v>
      </c>
      <c r="AC2047">
        <v>888</v>
      </c>
      <c r="AL2047" s="64">
        <v>1</v>
      </c>
      <c r="AN2047" s="93"/>
      <c r="AO2047" s="92"/>
      <c r="AS2047">
        <v>1</v>
      </c>
    </row>
    <row r="2048" spans="1:45">
      <c r="A2048">
        <v>511030</v>
      </c>
      <c r="B2048">
        <v>1001</v>
      </c>
      <c r="C2048">
        <v>2</v>
      </c>
      <c r="D2048">
        <v>1001</v>
      </c>
      <c r="E2048" t="s">
        <v>5369</v>
      </c>
      <c r="F2048" t="s">
        <v>5369</v>
      </c>
      <c r="G2048" t="s">
        <v>5361</v>
      </c>
      <c r="H2048" t="s">
        <v>5370</v>
      </c>
      <c r="I2048">
        <v>1</v>
      </c>
      <c r="J2048">
        <v>1</v>
      </c>
      <c r="K2048" s="33">
        <v>1</v>
      </c>
      <c r="L2048" s="3">
        <v>9999</v>
      </c>
      <c r="M2048">
        <v>0</v>
      </c>
      <c r="S2048" s="33">
        <v>1</v>
      </c>
      <c r="T2048">
        <v>5</v>
      </c>
      <c r="U2048">
        <v>5</v>
      </c>
      <c r="V2048" s="87">
        <v>1</v>
      </c>
      <c r="W2048">
        <v>1</v>
      </c>
      <c r="X2048">
        <v>1</v>
      </c>
      <c r="Y2048">
        <v>0</v>
      </c>
      <c r="Z2048" s="33">
        <v>0</v>
      </c>
      <c r="AA2048">
        <v>5</v>
      </c>
      <c r="AB2048">
        <v>500</v>
      </c>
      <c r="AC2048">
        <v>888</v>
      </c>
      <c r="AL2048" s="64">
        <v>1</v>
      </c>
      <c r="AN2048" s="93"/>
      <c r="AO2048" s="92"/>
      <c r="AS2048">
        <v>1</v>
      </c>
    </row>
    <row r="2049" spans="1:45">
      <c r="A2049">
        <v>512026</v>
      </c>
      <c r="B2049">
        <v>1001</v>
      </c>
      <c r="C2049">
        <v>2</v>
      </c>
      <c r="D2049">
        <v>1001</v>
      </c>
      <c r="E2049" t="s">
        <v>5371</v>
      </c>
      <c r="F2049" t="s">
        <v>5371</v>
      </c>
      <c r="G2049" t="s">
        <v>5361</v>
      </c>
      <c r="H2049" t="s">
        <v>5372</v>
      </c>
      <c r="I2049">
        <v>1</v>
      </c>
      <c r="J2049">
        <v>2</v>
      </c>
      <c r="K2049" s="33">
        <v>1</v>
      </c>
      <c r="L2049" s="3">
        <v>9999</v>
      </c>
      <c r="M2049">
        <v>0</v>
      </c>
      <c r="S2049" s="33">
        <v>1</v>
      </c>
      <c r="T2049">
        <v>5</v>
      </c>
      <c r="U2049">
        <v>5</v>
      </c>
      <c r="V2049" s="87">
        <v>1</v>
      </c>
      <c r="W2049">
        <v>1</v>
      </c>
      <c r="X2049">
        <v>1</v>
      </c>
      <c r="Y2049">
        <v>0</v>
      </c>
      <c r="Z2049" s="33">
        <v>0</v>
      </c>
      <c r="AA2049">
        <v>5</v>
      </c>
      <c r="AB2049">
        <v>500</v>
      </c>
      <c r="AC2049">
        <v>888</v>
      </c>
      <c r="AL2049" s="64">
        <v>1</v>
      </c>
      <c r="AN2049" s="93"/>
      <c r="AO2049" s="92"/>
      <c r="AS2049">
        <v>1</v>
      </c>
    </row>
    <row r="2050" spans="1:45">
      <c r="A2050">
        <v>512027</v>
      </c>
      <c r="B2050">
        <v>1001</v>
      </c>
      <c r="C2050">
        <v>2</v>
      </c>
      <c r="D2050">
        <v>1001</v>
      </c>
      <c r="E2050" t="s">
        <v>5373</v>
      </c>
      <c r="F2050" t="s">
        <v>5373</v>
      </c>
      <c r="G2050" t="s">
        <v>5361</v>
      </c>
      <c r="H2050" t="s">
        <v>5374</v>
      </c>
      <c r="I2050">
        <v>1</v>
      </c>
      <c r="J2050">
        <v>2</v>
      </c>
      <c r="K2050" s="33">
        <v>1</v>
      </c>
      <c r="L2050" s="3">
        <v>9999</v>
      </c>
      <c r="M2050">
        <v>0</v>
      </c>
      <c r="S2050" s="33">
        <v>1</v>
      </c>
      <c r="T2050">
        <v>5</v>
      </c>
      <c r="U2050">
        <v>5</v>
      </c>
      <c r="V2050" s="87">
        <v>1</v>
      </c>
      <c r="W2050">
        <v>1</v>
      </c>
      <c r="X2050">
        <v>1</v>
      </c>
      <c r="Y2050">
        <v>0</v>
      </c>
      <c r="Z2050" s="33">
        <v>0</v>
      </c>
      <c r="AA2050">
        <v>5</v>
      </c>
      <c r="AB2050">
        <v>500</v>
      </c>
      <c r="AC2050">
        <v>888</v>
      </c>
      <c r="AL2050" s="64">
        <v>1</v>
      </c>
      <c r="AN2050" s="93"/>
      <c r="AO2050" s="92"/>
      <c r="AS2050">
        <v>1</v>
      </c>
    </row>
    <row r="2051" spans="1:45">
      <c r="A2051">
        <v>512028</v>
      </c>
      <c r="B2051">
        <v>1001</v>
      </c>
      <c r="C2051">
        <v>2</v>
      </c>
      <c r="D2051">
        <v>1001</v>
      </c>
      <c r="E2051" t="s">
        <v>5375</v>
      </c>
      <c r="F2051" t="s">
        <v>5375</v>
      </c>
      <c r="G2051" t="s">
        <v>5361</v>
      </c>
      <c r="H2051" t="s">
        <v>5376</v>
      </c>
      <c r="I2051">
        <v>1</v>
      </c>
      <c r="J2051">
        <v>2</v>
      </c>
      <c r="K2051" s="33">
        <v>1</v>
      </c>
      <c r="L2051" s="3">
        <v>9999</v>
      </c>
      <c r="M2051">
        <v>0</v>
      </c>
      <c r="S2051" s="33">
        <v>1</v>
      </c>
      <c r="T2051">
        <v>5</v>
      </c>
      <c r="U2051">
        <v>5</v>
      </c>
      <c r="V2051" s="87">
        <v>1</v>
      </c>
      <c r="W2051">
        <v>1</v>
      </c>
      <c r="X2051">
        <v>1</v>
      </c>
      <c r="Y2051">
        <v>0</v>
      </c>
      <c r="Z2051" s="33">
        <v>0</v>
      </c>
      <c r="AA2051">
        <v>5</v>
      </c>
      <c r="AB2051">
        <v>500</v>
      </c>
      <c r="AC2051">
        <v>888</v>
      </c>
      <c r="AL2051" s="64">
        <v>1</v>
      </c>
      <c r="AN2051" s="93"/>
      <c r="AO2051" s="92"/>
      <c r="AS2051">
        <v>1</v>
      </c>
    </row>
    <row r="2052" spans="1:45">
      <c r="A2052">
        <v>512029</v>
      </c>
      <c r="B2052">
        <v>1001</v>
      </c>
      <c r="C2052">
        <v>2</v>
      </c>
      <c r="D2052">
        <v>1001</v>
      </c>
      <c r="E2052" t="s">
        <v>5377</v>
      </c>
      <c r="F2052" t="s">
        <v>5377</v>
      </c>
      <c r="G2052" t="s">
        <v>5361</v>
      </c>
      <c r="H2052" t="s">
        <v>5378</v>
      </c>
      <c r="I2052">
        <v>1</v>
      </c>
      <c r="J2052">
        <v>2</v>
      </c>
      <c r="K2052" s="33">
        <v>1</v>
      </c>
      <c r="L2052" s="3">
        <v>9999</v>
      </c>
      <c r="M2052">
        <v>0</v>
      </c>
      <c r="S2052" s="33">
        <v>1</v>
      </c>
      <c r="T2052">
        <v>5</v>
      </c>
      <c r="U2052">
        <v>5</v>
      </c>
      <c r="V2052" s="87">
        <v>1</v>
      </c>
      <c r="W2052">
        <v>1</v>
      </c>
      <c r="X2052">
        <v>1</v>
      </c>
      <c r="Y2052">
        <v>0</v>
      </c>
      <c r="Z2052" s="33">
        <v>0</v>
      </c>
      <c r="AA2052">
        <v>5</v>
      </c>
      <c r="AB2052">
        <v>500</v>
      </c>
      <c r="AC2052">
        <v>888</v>
      </c>
      <c r="AL2052" s="64">
        <v>1</v>
      </c>
      <c r="AN2052" s="93"/>
      <c r="AO2052" s="92"/>
      <c r="AS2052">
        <v>1</v>
      </c>
    </row>
    <row r="2053" spans="1:45">
      <c r="A2053">
        <v>512030</v>
      </c>
      <c r="B2053">
        <v>1001</v>
      </c>
      <c r="C2053">
        <v>2</v>
      </c>
      <c r="D2053">
        <v>1001</v>
      </c>
      <c r="E2053" t="s">
        <v>5379</v>
      </c>
      <c r="F2053" t="s">
        <v>5379</v>
      </c>
      <c r="G2053" t="s">
        <v>5361</v>
      </c>
      <c r="H2053" t="s">
        <v>5380</v>
      </c>
      <c r="I2053">
        <v>1</v>
      </c>
      <c r="J2053">
        <v>2</v>
      </c>
      <c r="K2053" s="33">
        <v>1</v>
      </c>
      <c r="L2053" s="3">
        <v>9999</v>
      </c>
      <c r="M2053">
        <v>0</v>
      </c>
      <c r="S2053" s="33">
        <v>1</v>
      </c>
      <c r="T2053">
        <v>5</v>
      </c>
      <c r="U2053">
        <v>5</v>
      </c>
      <c r="V2053" s="87">
        <v>1</v>
      </c>
      <c r="W2053">
        <v>1</v>
      </c>
      <c r="X2053">
        <v>1</v>
      </c>
      <c r="Y2053">
        <v>0</v>
      </c>
      <c r="Z2053" s="33">
        <v>0</v>
      </c>
      <c r="AA2053">
        <v>5</v>
      </c>
      <c r="AB2053">
        <v>500</v>
      </c>
      <c r="AC2053">
        <v>888</v>
      </c>
      <c r="AL2053" s="64">
        <v>1</v>
      </c>
      <c r="AN2053" s="93"/>
      <c r="AO2053" s="92"/>
      <c r="AS2053">
        <v>1</v>
      </c>
    </row>
    <row r="2054" spans="1:45">
      <c r="A2054">
        <v>513026</v>
      </c>
      <c r="B2054">
        <v>1001</v>
      </c>
      <c r="C2054">
        <v>2</v>
      </c>
      <c r="D2054">
        <v>1001</v>
      </c>
      <c r="E2054" t="s">
        <v>5381</v>
      </c>
      <c r="F2054" t="s">
        <v>5381</v>
      </c>
      <c r="G2054" t="s">
        <v>5361</v>
      </c>
      <c r="H2054" t="s">
        <v>5382</v>
      </c>
      <c r="I2054">
        <v>1</v>
      </c>
      <c r="J2054">
        <v>3</v>
      </c>
      <c r="K2054" s="33">
        <v>1</v>
      </c>
      <c r="L2054" s="3">
        <v>9999</v>
      </c>
      <c r="M2054">
        <v>0</v>
      </c>
      <c r="S2054" s="33">
        <v>1</v>
      </c>
      <c r="T2054">
        <v>5</v>
      </c>
      <c r="U2054">
        <v>5</v>
      </c>
      <c r="V2054" s="87">
        <v>1</v>
      </c>
      <c r="W2054">
        <v>1</v>
      </c>
      <c r="X2054">
        <v>1</v>
      </c>
      <c r="Y2054">
        <v>0</v>
      </c>
      <c r="Z2054" s="33">
        <v>0</v>
      </c>
      <c r="AA2054">
        <v>5</v>
      </c>
      <c r="AB2054">
        <v>500</v>
      </c>
      <c r="AC2054">
        <v>888</v>
      </c>
      <c r="AL2054" s="64">
        <v>1</v>
      </c>
      <c r="AN2054" s="93"/>
      <c r="AO2054" s="92"/>
      <c r="AS2054">
        <v>1</v>
      </c>
    </row>
    <row r="2055" spans="1:45">
      <c r="A2055">
        <v>513027</v>
      </c>
      <c r="B2055">
        <v>1001</v>
      </c>
      <c r="C2055">
        <v>2</v>
      </c>
      <c r="D2055">
        <v>1001</v>
      </c>
      <c r="E2055" t="s">
        <v>5383</v>
      </c>
      <c r="F2055" t="s">
        <v>5383</v>
      </c>
      <c r="G2055" t="s">
        <v>5361</v>
      </c>
      <c r="H2055" t="s">
        <v>5384</v>
      </c>
      <c r="I2055">
        <v>1</v>
      </c>
      <c r="J2055">
        <v>3</v>
      </c>
      <c r="K2055" s="33">
        <v>1</v>
      </c>
      <c r="L2055" s="3">
        <v>9999</v>
      </c>
      <c r="M2055">
        <v>0</v>
      </c>
      <c r="S2055" s="33">
        <v>1</v>
      </c>
      <c r="T2055">
        <v>5</v>
      </c>
      <c r="U2055">
        <v>5</v>
      </c>
      <c r="V2055" s="87">
        <v>1</v>
      </c>
      <c r="W2055">
        <v>1</v>
      </c>
      <c r="X2055">
        <v>1</v>
      </c>
      <c r="Y2055">
        <v>0</v>
      </c>
      <c r="Z2055" s="33">
        <v>0</v>
      </c>
      <c r="AA2055">
        <v>5</v>
      </c>
      <c r="AB2055">
        <v>500</v>
      </c>
      <c r="AC2055">
        <v>888</v>
      </c>
      <c r="AL2055" s="64">
        <v>1</v>
      </c>
      <c r="AN2055" s="93"/>
      <c r="AO2055" s="92"/>
      <c r="AS2055">
        <v>1</v>
      </c>
    </row>
    <row r="2056" spans="1:45">
      <c r="A2056">
        <v>513028</v>
      </c>
      <c r="B2056">
        <v>1001</v>
      </c>
      <c r="C2056">
        <v>2</v>
      </c>
      <c r="D2056">
        <v>1001</v>
      </c>
      <c r="E2056" t="s">
        <v>5385</v>
      </c>
      <c r="F2056" t="s">
        <v>5385</v>
      </c>
      <c r="G2056" t="s">
        <v>5361</v>
      </c>
      <c r="H2056" t="s">
        <v>5386</v>
      </c>
      <c r="I2056">
        <v>1</v>
      </c>
      <c r="J2056">
        <v>3</v>
      </c>
      <c r="K2056" s="33">
        <v>1</v>
      </c>
      <c r="L2056" s="3">
        <v>9999</v>
      </c>
      <c r="M2056">
        <v>0</v>
      </c>
      <c r="S2056" s="33">
        <v>1</v>
      </c>
      <c r="T2056">
        <v>5</v>
      </c>
      <c r="U2056">
        <v>5</v>
      </c>
      <c r="V2056" s="87">
        <v>1</v>
      </c>
      <c r="W2056">
        <v>1</v>
      </c>
      <c r="X2056">
        <v>1</v>
      </c>
      <c r="Y2056">
        <v>0</v>
      </c>
      <c r="Z2056" s="33">
        <v>0</v>
      </c>
      <c r="AA2056">
        <v>5</v>
      </c>
      <c r="AB2056">
        <v>500</v>
      </c>
      <c r="AC2056">
        <v>888</v>
      </c>
      <c r="AL2056" s="64">
        <v>1</v>
      </c>
      <c r="AN2056" s="93"/>
      <c r="AO2056" s="92"/>
      <c r="AS2056">
        <v>1</v>
      </c>
    </row>
    <row r="2057" spans="1:45">
      <c r="A2057">
        <v>513029</v>
      </c>
      <c r="B2057">
        <v>1001</v>
      </c>
      <c r="C2057">
        <v>2</v>
      </c>
      <c r="D2057">
        <v>1001</v>
      </c>
      <c r="E2057" t="s">
        <v>5387</v>
      </c>
      <c r="F2057" t="s">
        <v>5387</v>
      </c>
      <c r="G2057" t="s">
        <v>5361</v>
      </c>
      <c r="H2057" t="s">
        <v>5388</v>
      </c>
      <c r="I2057">
        <v>1</v>
      </c>
      <c r="J2057">
        <v>3</v>
      </c>
      <c r="K2057" s="33">
        <v>1</v>
      </c>
      <c r="L2057" s="3">
        <v>9999</v>
      </c>
      <c r="M2057">
        <v>0</v>
      </c>
      <c r="S2057" s="33">
        <v>1</v>
      </c>
      <c r="T2057">
        <v>5</v>
      </c>
      <c r="U2057">
        <v>5</v>
      </c>
      <c r="V2057" s="87">
        <v>1</v>
      </c>
      <c r="W2057">
        <v>1</v>
      </c>
      <c r="X2057">
        <v>1</v>
      </c>
      <c r="Y2057">
        <v>0</v>
      </c>
      <c r="Z2057" s="33">
        <v>0</v>
      </c>
      <c r="AA2057">
        <v>5</v>
      </c>
      <c r="AB2057">
        <v>500</v>
      </c>
      <c r="AC2057">
        <v>888</v>
      </c>
      <c r="AL2057" s="64">
        <v>1</v>
      </c>
      <c r="AN2057" s="93"/>
      <c r="AO2057" s="92"/>
      <c r="AS2057">
        <v>1</v>
      </c>
    </row>
    <row r="2058" spans="1:45">
      <c r="A2058">
        <v>513030</v>
      </c>
      <c r="B2058">
        <v>1001</v>
      </c>
      <c r="C2058">
        <v>2</v>
      </c>
      <c r="D2058">
        <v>1001</v>
      </c>
      <c r="E2058" t="s">
        <v>5389</v>
      </c>
      <c r="F2058" t="s">
        <v>5389</v>
      </c>
      <c r="G2058" t="s">
        <v>5361</v>
      </c>
      <c r="H2058" t="s">
        <v>5390</v>
      </c>
      <c r="I2058">
        <v>1</v>
      </c>
      <c r="J2058">
        <v>3</v>
      </c>
      <c r="K2058" s="33">
        <v>1</v>
      </c>
      <c r="L2058" s="3">
        <v>9999</v>
      </c>
      <c r="M2058">
        <v>0</v>
      </c>
      <c r="S2058" s="33">
        <v>1</v>
      </c>
      <c r="T2058">
        <v>5</v>
      </c>
      <c r="U2058">
        <v>5</v>
      </c>
      <c r="V2058" s="87">
        <v>1</v>
      </c>
      <c r="W2058">
        <v>1</v>
      </c>
      <c r="X2058">
        <v>1</v>
      </c>
      <c r="Y2058">
        <v>0</v>
      </c>
      <c r="Z2058" s="33">
        <v>0</v>
      </c>
      <c r="AA2058">
        <v>5</v>
      </c>
      <c r="AB2058">
        <v>500</v>
      </c>
      <c r="AC2058">
        <v>888</v>
      </c>
      <c r="AL2058" s="64">
        <v>1</v>
      </c>
      <c r="AN2058" s="93"/>
      <c r="AO2058" s="92"/>
      <c r="AS2058">
        <v>1</v>
      </c>
    </row>
    <row r="2059" spans="1:45">
      <c r="A2059">
        <v>514026</v>
      </c>
      <c r="B2059">
        <v>1001</v>
      </c>
      <c r="C2059">
        <v>2</v>
      </c>
      <c r="D2059">
        <v>1001</v>
      </c>
      <c r="E2059" t="s">
        <v>5391</v>
      </c>
      <c r="F2059" t="s">
        <v>5391</v>
      </c>
      <c r="G2059" t="s">
        <v>5361</v>
      </c>
      <c r="H2059" t="s">
        <v>5392</v>
      </c>
      <c r="I2059">
        <v>1</v>
      </c>
      <c r="J2059">
        <v>4</v>
      </c>
      <c r="K2059" s="33">
        <v>1</v>
      </c>
      <c r="L2059" s="3">
        <v>9999</v>
      </c>
      <c r="M2059">
        <v>0</v>
      </c>
      <c r="S2059" s="33">
        <v>1</v>
      </c>
      <c r="T2059">
        <v>5</v>
      </c>
      <c r="U2059">
        <v>5</v>
      </c>
      <c r="V2059" s="87">
        <v>1</v>
      </c>
      <c r="W2059">
        <v>1</v>
      </c>
      <c r="X2059">
        <v>1</v>
      </c>
      <c r="Y2059">
        <v>0</v>
      </c>
      <c r="Z2059" s="33">
        <v>0</v>
      </c>
      <c r="AA2059">
        <v>5</v>
      </c>
      <c r="AB2059">
        <v>500</v>
      </c>
      <c r="AC2059">
        <v>888</v>
      </c>
      <c r="AL2059" s="64">
        <v>1</v>
      </c>
      <c r="AN2059" s="93"/>
      <c r="AO2059" s="92"/>
      <c r="AS2059">
        <v>1</v>
      </c>
    </row>
    <row r="2060" spans="1:45">
      <c r="A2060">
        <v>514027</v>
      </c>
      <c r="B2060">
        <v>1001</v>
      </c>
      <c r="C2060">
        <v>2</v>
      </c>
      <c r="D2060">
        <v>1001</v>
      </c>
      <c r="E2060" t="s">
        <v>5393</v>
      </c>
      <c r="F2060" t="s">
        <v>5393</v>
      </c>
      <c r="G2060" t="s">
        <v>5361</v>
      </c>
      <c r="H2060" t="s">
        <v>5394</v>
      </c>
      <c r="I2060">
        <v>1</v>
      </c>
      <c r="J2060">
        <v>4</v>
      </c>
      <c r="K2060" s="33">
        <v>1</v>
      </c>
      <c r="L2060" s="3">
        <v>9999</v>
      </c>
      <c r="M2060">
        <v>0</v>
      </c>
      <c r="S2060" s="33">
        <v>1</v>
      </c>
      <c r="T2060">
        <v>5</v>
      </c>
      <c r="U2060">
        <v>5</v>
      </c>
      <c r="V2060" s="87">
        <v>1</v>
      </c>
      <c r="W2060">
        <v>1</v>
      </c>
      <c r="X2060">
        <v>1</v>
      </c>
      <c r="Y2060">
        <v>0</v>
      </c>
      <c r="Z2060" s="33">
        <v>0</v>
      </c>
      <c r="AA2060">
        <v>5</v>
      </c>
      <c r="AB2060">
        <v>500</v>
      </c>
      <c r="AC2060">
        <v>888</v>
      </c>
      <c r="AL2060" s="64">
        <v>1</v>
      </c>
      <c r="AN2060" s="93"/>
      <c r="AO2060" s="92"/>
      <c r="AS2060">
        <v>1</v>
      </c>
    </row>
    <row r="2061" spans="1:45">
      <c r="A2061">
        <v>514028</v>
      </c>
      <c r="B2061">
        <v>1001</v>
      </c>
      <c r="C2061">
        <v>2</v>
      </c>
      <c r="D2061">
        <v>1001</v>
      </c>
      <c r="E2061" t="s">
        <v>5395</v>
      </c>
      <c r="F2061" t="s">
        <v>5395</v>
      </c>
      <c r="G2061" t="s">
        <v>5361</v>
      </c>
      <c r="H2061" t="s">
        <v>5396</v>
      </c>
      <c r="I2061">
        <v>1</v>
      </c>
      <c r="J2061">
        <v>4</v>
      </c>
      <c r="K2061" s="33">
        <v>1</v>
      </c>
      <c r="L2061" s="3">
        <v>9999</v>
      </c>
      <c r="M2061">
        <v>0</v>
      </c>
      <c r="S2061" s="33">
        <v>1</v>
      </c>
      <c r="T2061">
        <v>5</v>
      </c>
      <c r="U2061">
        <v>5</v>
      </c>
      <c r="V2061" s="87">
        <v>1</v>
      </c>
      <c r="W2061">
        <v>1</v>
      </c>
      <c r="X2061">
        <v>1</v>
      </c>
      <c r="Y2061">
        <v>0</v>
      </c>
      <c r="Z2061" s="33">
        <v>0</v>
      </c>
      <c r="AA2061">
        <v>5</v>
      </c>
      <c r="AB2061">
        <v>500</v>
      </c>
      <c r="AC2061">
        <v>888</v>
      </c>
      <c r="AL2061" s="64">
        <v>1</v>
      </c>
      <c r="AN2061" s="93"/>
      <c r="AO2061" s="92"/>
      <c r="AS2061">
        <v>1</v>
      </c>
    </row>
    <row r="2062" spans="1:45">
      <c r="A2062">
        <v>514029</v>
      </c>
      <c r="B2062">
        <v>1001</v>
      </c>
      <c r="C2062">
        <v>2</v>
      </c>
      <c r="D2062">
        <v>1001</v>
      </c>
      <c r="E2062" t="s">
        <v>5397</v>
      </c>
      <c r="F2062" t="s">
        <v>5397</v>
      </c>
      <c r="G2062" t="s">
        <v>5361</v>
      </c>
      <c r="H2062" t="s">
        <v>5398</v>
      </c>
      <c r="I2062">
        <v>1</v>
      </c>
      <c r="J2062">
        <v>4</v>
      </c>
      <c r="K2062" s="33">
        <v>1</v>
      </c>
      <c r="L2062" s="3">
        <v>9999</v>
      </c>
      <c r="M2062">
        <v>0</v>
      </c>
      <c r="S2062" s="33">
        <v>1</v>
      </c>
      <c r="T2062">
        <v>5</v>
      </c>
      <c r="U2062">
        <v>5</v>
      </c>
      <c r="V2062" s="87">
        <v>1</v>
      </c>
      <c r="W2062">
        <v>1</v>
      </c>
      <c r="X2062">
        <v>1</v>
      </c>
      <c r="Y2062">
        <v>0</v>
      </c>
      <c r="Z2062" s="33">
        <v>0</v>
      </c>
      <c r="AA2062">
        <v>5</v>
      </c>
      <c r="AB2062">
        <v>500</v>
      </c>
      <c r="AC2062">
        <v>888</v>
      </c>
      <c r="AL2062" s="64">
        <v>1</v>
      </c>
      <c r="AN2062" s="93"/>
      <c r="AO2062" s="92"/>
      <c r="AS2062">
        <v>1</v>
      </c>
    </row>
    <row r="2063" spans="1:45">
      <c r="A2063">
        <v>514030</v>
      </c>
      <c r="B2063">
        <v>1001</v>
      </c>
      <c r="C2063">
        <v>2</v>
      </c>
      <c r="D2063">
        <v>1001</v>
      </c>
      <c r="E2063" t="s">
        <v>5399</v>
      </c>
      <c r="F2063" t="s">
        <v>5399</v>
      </c>
      <c r="G2063" t="s">
        <v>5361</v>
      </c>
      <c r="H2063" t="s">
        <v>5400</v>
      </c>
      <c r="I2063">
        <v>1</v>
      </c>
      <c r="J2063">
        <v>4</v>
      </c>
      <c r="K2063" s="33">
        <v>1</v>
      </c>
      <c r="L2063" s="3">
        <v>9999</v>
      </c>
      <c r="M2063">
        <v>0</v>
      </c>
      <c r="S2063" s="33">
        <v>1</v>
      </c>
      <c r="T2063">
        <v>5</v>
      </c>
      <c r="U2063">
        <v>5</v>
      </c>
      <c r="V2063" s="87">
        <v>1</v>
      </c>
      <c r="W2063">
        <v>1</v>
      </c>
      <c r="X2063">
        <v>1</v>
      </c>
      <c r="Y2063">
        <v>0</v>
      </c>
      <c r="Z2063" s="33">
        <v>0</v>
      </c>
      <c r="AA2063">
        <v>5</v>
      </c>
      <c r="AB2063">
        <v>500</v>
      </c>
      <c r="AC2063">
        <v>888</v>
      </c>
      <c r="AL2063" s="64">
        <v>1</v>
      </c>
      <c r="AN2063" s="93"/>
      <c r="AO2063" s="92"/>
      <c r="AS2063">
        <v>1</v>
      </c>
    </row>
    <row r="2064" spans="1:45">
      <c r="A2064">
        <v>515026</v>
      </c>
      <c r="B2064">
        <v>1001</v>
      </c>
      <c r="C2064">
        <v>2</v>
      </c>
      <c r="D2064">
        <v>1001</v>
      </c>
      <c r="E2064" t="s">
        <v>5401</v>
      </c>
      <c r="F2064" t="s">
        <v>5401</v>
      </c>
      <c r="G2064" t="s">
        <v>5361</v>
      </c>
      <c r="H2064" t="s">
        <v>5402</v>
      </c>
      <c r="I2064">
        <v>1</v>
      </c>
      <c r="J2064">
        <v>5</v>
      </c>
      <c r="K2064" s="33">
        <v>1</v>
      </c>
      <c r="L2064" s="3">
        <v>9999</v>
      </c>
      <c r="M2064">
        <v>0</v>
      </c>
      <c r="S2064" s="33">
        <v>1</v>
      </c>
      <c r="T2064">
        <v>5</v>
      </c>
      <c r="U2064">
        <v>5</v>
      </c>
      <c r="V2064" s="87">
        <v>1</v>
      </c>
      <c r="W2064">
        <v>1</v>
      </c>
      <c r="X2064">
        <v>1</v>
      </c>
      <c r="Y2064">
        <v>0</v>
      </c>
      <c r="Z2064" s="33">
        <v>0</v>
      </c>
      <c r="AA2064">
        <v>5</v>
      </c>
      <c r="AB2064">
        <v>500</v>
      </c>
      <c r="AC2064">
        <v>888</v>
      </c>
      <c r="AL2064" s="64">
        <v>1</v>
      </c>
      <c r="AN2064" s="93"/>
      <c r="AO2064" s="92"/>
      <c r="AS2064">
        <v>1</v>
      </c>
    </row>
    <row r="2065" spans="1:45">
      <c r="A2065">
        <v>515027</v>
      </c>
      <c r="B2065">
        <v>1001</v>
      </c>
      <c r="C2065">
        <v>2</v>
      </c>
      <c r="D2065">
        <v>1001</v>
      </c>
      <c r="E2065" t="s">
        <v>5403</v>
      </c>
      <c r="F2065" t="s">
        <v>5403</v>
      </c>
      <c r="G2065" t="s">
        <v>5361</v>
      </c>
      <c r="H2065" t="s">
        <v>5404</v>
      </c>
      <c r="I2065">
        <v>1</v>
      </c>
      <c r="J2065">
        <v>5</v>
      </c>
      <c r="K2065" s="33">
        <v>1</v>
      </c>
      <c r="L2065" s="3">
        <v>9999</v>
      </c>
      <c r="M2065">
        <v>0</v>
      </c>
      <c r="S2065" s="33">
        <v>1</v>
      </c>
      <c r="T2065">
        <v>5</v>
      </c>
      <c r="U2065">
        <v>5</v>
      </c>
      <c r="V2065" s="87">
        <v>1</v>
      </c>
      <c r="W2065">
        <v>1</v>
      </c>
      <c r="X2065">
        <v>1</v>
      </c>
      <c r="Y2065">
        <v>0</v>
      </c>
      <c r="Z2065" s="33">
        <v>0</v>
      </c>
      <c r="AA2065">
        <v>5</v>
      </c>
      <c r="AB2065">
        <v>500</v>
      </c>
      <c r="AC2065">
        <v>888</v>
      </c>
      <c r="AL2065" s="64">
        <v>1</v>
      </c>
      <c r="AN2065" s="93"/>
      <c r="AO2065" s="92"/>
      <c r="AS2065">
        <v>1</v>
      </c>
    </row>
    <row r="2066" spans="1:45">
      <c r="A2066">
        <v>515028</v>
      </c>
      <c r="B2066">
        <v>1001</v>
      </c>
      <c r="C2066">
        <v>2</v>
      </c>
      <c r="D2066">
        <v>1001</v>
      </c>
      <c r="E2066" t="s">
        <v>5405</v>
      </c>
      <c r="F2066" t="s">
        <v>5405</v>
      </c>
      <c r="G2066" t="s">
        <v>5361</v>
      </c>
      <c r="H2066" t="s">
        <v>5406</v>
      </c>
      <c r="I2066">
        <v>1</v>
      </c>
      <c r="J2066">
        <v>5</v>
      </c>
      <c r="K2066" s="33">
        <v>1</v>
      </c>
      <c r="L2066" s="3">
        <v>9999</v>
      </c>
      <c r="M2066">
        <v>0</v>
      </c>
      <c r="S2066" s="33">
        <v>1</v>
      </c>
      <c r="T2066">
        <v>5</v>
      </c>
      <c r="U2066">
        <v>5</v>
      </c>
      <c r="V2066" s="87">
        <v>1</v>
      </c>
      <c r="W2066">
        <v>1</v>
      </c>
      <c r="X2066">
        <v>1</v>
      </c>
      <c r="Y2066">
        <v>0</v>
      </c>
      <c r="Z2066" s="33">
        <v>0</v>
      </c>
      <c r="AA2066">
        <v>5</v>
      </c>
      <c r="AB2066">
        <v>500</v>
      </c>
      <c r="AC2066">
        <v>888</v>
      </c>
      <c r="AL2066" s="64">
        <v>1</v>
      </c>
      <c r="AN2066" s="93"/>
      <c r="AO2066" s="92"/>
      <c r="AS2066">
        <v>1</v>
      </c>
    </row>
    <row r="2067" spans="1:45">
      <c r="A2067">
        <v>515029</v>
      </c>
      <c r="B2067">
        <v>1001</v>
      </c>
      <c r="C2067">
        <v>2</v>
      </c>
      <c r="D2067">
        <v>1001</v>
      </c>
      <c r="E2067" t="s">
        <v>5407</v>
      </c>
      <c r="F2067" t="s">
        <v>5407</v>
      </c>
      <c r="G2067" t="s">
        <v>5361</v>
      </c>
      <c r="H2067" t="s">
        <v>5408</v>
      </c>
      <c r="I2067">
        <v>1</v>
      </c>
      <c r="J2067">
        <v>5</v>
      </c>
      <c r="K2067" s="33">
        <v>1</v>
      </c>
      <c r="L2067" s="3">
        <v>9999</v>
      </c>
      <c r="M2067">
        <v>0</v>
      </c>
      <c r="S2067" s="33">
        <v>1</v>
      </c>
      <c r="T2067">
        <v>5</v>
      </c>
      <c r="U2067">
        <v>5</v>
      </c>
      <c r="V2067" s="87">
        <v>1</v>
      </c>
      <c r="W2067">
        <v>1</v>
      </c>
      <c r="X2067">
        <v>1</v>
      </c>
      <c r="Y2067">
        <v>0</v>
      </c>
      <c r="Z2067" s="33">
        <v>0</v>
      </c>
      <c r="AA2067">
        <v>5</v>
      </c>
      <c r="AB2067">
        <v>500</v>
      </c>
      <c r="AC2067">
        <v>888</v>
      </c>
      <c r="AL2067" s="64">
        <v>1</v>
      </c>
      <c r="AN2067" s="93"/>
      <c r="AO2067" s="92"/>
      <c r="AS2067">
        <v>1</v>
      </c>
    </row>
    <row r="2068" spans="1:45">
      <c r="A2068">
        <v>515030</v>
      </c>
      <c r="B2068">
        <v>1001</v>
      </c>
      <c r="C2068">
        <v>2</v>
      </c>
      <c r="D2068">
        <v>1001</v>
      </c>
      <c r="E2068" t="s">
        <v>5409</v>
      </c>
      <c r="F2068" t="s">
        <v>5409</v>
      </c>
      <c r="G2068" t="s">
        <v>5361</v>
      </c>
      <c r="H2068" t="s">
        <v>5410</v>
      </c>
      <c r="I2068">
        <v>1</v>
      </c>
      <c r="J2068">
        <v>5</v>
      </c>
      <c r="K2068" s="33">
        <v>1</v>
      </c>
      <c r="L2068" s="3">
        <v>9999</v>
      </c>
      <c r="M2068">
        <v>0</v>
      </c>
      <c r="S2068" s="33">
        <v>1</v>
      </c>
      <c r="T2068">
        <v>5</v>
      </c>
      <c r="U2068">
        <v>5</v>
      </c>
      <c r="V2068" s="87">
        <v>1</v>
      </c>
      <c r="W2068">
        <v>1</v>
      </c>
      <c r="X2068">
        <v>1</v>
      </c>
      <c r="Y2068">
        <v>0</v>
      </c>
      <c r="Z2068" s="33">
        <v>0</v>
      </c>
      <c r="AA2068">
        <v>5</v>
      </c>
      <c r="AB2068">
        <v>500</v>
      </c>
      <c r="AC2068">
        <v>888</v>
      </c>
      <c r="AL2068" s="64">
        <v>1</v>
      </c>
      <c r="AN2068" s="93"/>
      <c r="AO2068" s="92"/>
      <c r="AS2068">
        <v>1</v>
      </c>
    </row>
    <row r="2069" spans="1:45">
      <c r="A2069">
        <v>514031</v>
      </c>
      <c r="B2069">
        <v>1001</v>
      </c>
      <c r="C2069">
        <v>2</v>
      </c>
      <c r="D2069">
        <v>1001</v>
      </c>
      <c r="E2069" t="s">
        <v>5411</v>
      </c>
      <c r="F2069" t="s">
        <v>5411</v>
      </c>
      <c r="G2069" t="s">
        <v>5412</v>
      </c>
      <c r="H2069" t="s">
        <v>5413</v>
      </c>
      <c r="I2069">
        <v>1</v>
      </c>
      <c r="J2069">
        <v>4</v>
      </c>
      <c r="K2069" s="33">
        <v>1</v>
      </c>
      <c r="L2069">
        <v>999</v>
      </c>
      <c r="M2069">
        <v>0</v>
      </c>
      <c r="S2069" s="33">
        <v>1</v>
      </c>
      <c r="T2069">
        <v>5</v>
      </c>
      <c r="U2069">
        <v>5</v>
      </c>
      <c r="V2069" s="87">
        <v>1</v>
      </c>
      <c r="W2069">
        <v>1</v>
      </c>
      <c r="X2069">
        <v>1</v>
      </c>
      <c r="Y2069">
        <v>0</v>
      </c>
      <c r="Z2069" s="33">
        <v>0</v>
      </c>
      <c r="AA2069">
        <v>5</v>
      </c>
      <c r="AB2069">
        <v>500</v>
      </c>
      <c r="AC2069">
        <v>888</v>
      </c>
      <c r="AL2069" s="64">
        <v>1</v>
      </c>
      <c r="AN2069" s="93"/>
      <c r="AO2069" s="92"/>
      <c r="AS2069">
        <v>1</v>
      </c>
    </row>
    <row r="2070" spans="1:45">
      <c r="A2070">
        <v>514032</v>
      </c>
      <c r="B2070">
        <v>1001</v>
      </c>
      <c r="C2070">
        <v>2</v>
      </c>
      <c r="D2070">
        <v>1001</v>
      </c>
      <c r="E2070" t="s">
        <v>5414</v>
      </c>
      <c r="F2070" s="238" t="s">
        <v>5415</v>
      </c>
      <c r="G2070" t="s">
        <v>5416</v>
      </c>
      <c r="H2070" t="s">
        <v>5417</v>
      </c>
      <c r="I2070">
        <v>1</v>
      </c>
      <c r="J2070">
        <v>4</v>
      </c>
      <c r="K2070" s="33">
        <v>1</v>
      </c>
      <c r="L2070">
        <v>999</v>
      </c>
      <c r="M2070">
        <v>0</v>
      </c>
      <c r="N2070"/>
      <c r="S2070" s="33">
        <v>1</v>
      </c>
      <c r="T2070">
        <v>5</v>
      </c>
      <c r="U2070">
        <v>5</v>
      </c>
      <c r="V2070" s="87">
        <v>1</v>
      </c>
      <c r="W2070">
        <v>1</v>
      </c>
      <c r="X2070">
        <v>1</v>
      </c>
      <c r="Y2070">
        <v>0</v>
      </c>
      <c r="Z2070" s="33">
        <v>0</v>
      </c>
      <c r="AA2070">
        <v>5</v>
      </c>
      <c r="AB2070">
        <v>500</v>
      </c>
      <c r="AC2070">
        <v>888</v>
      </c>
      <c r="AL2070" s="64">
        <v>1</v>
      </c>
      <c r="AN2070" s="93"/>
      <c r="AO2070" s="92"/>
      <c r="AQ2070"/>
      <c r="AS2070">
        <v>1</v>
      </c>
    </row>
    <row r="2071" spans="1:45">
      <c r="A2071">
        <v>524001</v>
      </c>
      <c r="B2071">
        <v>1001</v>
      </c>
      <c r="C2071">
        <v>2</v>
      </c>
      <c r="D2071">
        <v>1001</v>
      </c>
      <c r="E2071" t="s">
        <v>5418</v>
      </c>
      <c r="F2071" s="13" t="s">
        <v>5419</v>
      </c>
      <c r="G2071" t="s">
        <v>5420</v>
      </c>
      <c r="H2071" t="s">
        <v>5421</v>
      </c>
      <c r="I2071">
        <v>1</v>
      </c>
      <c r="J2071">
        <v>4</v>
      </c>
      <c r="K2071" s="33">
        <v>1</v>
      </c>
      <c r="L2071">
        <v>999</v>
      </c>
      <c r="M2071">
        <v>0</v>
      </c>
      <c r="N2071">
        <v>1023</v>
      </c>
      <c r="O2071" s="2">
        <v>7200000</v>
      </c>
      <c r="S2071" s="33">
        <v>0</v>
      </c>
      <c r="T2071">
        <v>5</v>
      </c>
      <c r="U2071">
        <v>0</v>
      </c>
      <c r="V2071" s="87">
        <v>1</v>
      </c>
      <c r="W2071">
        <v>1</v>
      </c>
      <c r="X2071">
        <v>1</v>
      </c>
      <c r="Y2071">
        <v>0</v>
      </c>
      <c r="Z2071" s="33">
        <v>0</v>
      </c>
      <c r="AA2071">
        <v>5</v>
      </c>
      <c r="AB2071">
        <v>4000</v>
      </c>
      <c r="AC2071">
        <v>905</v>
      </c>
      <c r="AL2071" s="64">
        <v>1</v>
      </c>
      <c r="AN2071" s="93"/>
      <c r="AO2071" s="92"/>
      <c r="AQ2071" t="s">
        <v>5418</v>
      </c>
      <c r="AS2071">
        <v>1</v>
      </c>
    </row>
    <row r="2072" spans="1:45">
      <c r="A2072">
        <v>525001</v>
      </c>
      <c r="B2072">
        <v>1001</v>
      </c>
      <c r="C2072">
        <v>2</v>
      </c>
      <c r="D2072">
        <v>1001</v>
      </c>
      <c r="E2072" t="s">
        <v>5422</v>
      </c>
      <c r="F2072" s="13" t="s">
        <v>5419</v>
      </c>
      <c r="G2072" t="s">
        <v>5420</v>
      </c>
      <c r="H2072" t="s">
        <v>5423</v>
      </c>
      <c r="I2072">
        <v>1</v>
      </c>
      <c r="J2072">
        <v>5</v>
      </c>
      <c r="K2072" s="33">
        <v>1</v>
      </c>
      <c r="L2072">
        <v>999</v>
      </c>
      <c r="M2072">
        <v>0</v>
      </c>
      <c r="N2072">
        <v>1023</v>
      </c>
      <c r="O2072" s="2">
        <v>14400000</v>
      </c>
      <c r="S2072" s="33">
        <v>0</v>
      </c>
      <c r="T2072">
        <v>5</v>
      </c>
      <c r="U2072">
        <v>0</v>
      </c>
      <c r="V2072" s="87">
        <v>1</v>
      </c>
      <c r="W2072">
        <v>1</v>
      </c>
      <c r="X2072">
        <v>1</v>
      </c>
      <c r="Y2072">
        <v>0</v>
      </c>
      <c r="Z2072" s="33">
        <v>0</v>
      </c>
      <c r="AA2072">
        <v>5</v>
      </c>
      <c r="AB2072">
        <v>4000</v>
      </c>
      <c r="AC2072">
        <v>905</v>
      </c>
      <c r="AL2072" s="64">
        <v>1</v>
      </c>
      <c r="AN2072" s="93"/>
      <c r="AO2072" s="92"/>
      <c r="AQ2072" t="s">
        <v>5422</v>
      </c>
      <c r="AS2072">
        <v>1</v>
      </c>
    </row>
    <row r="2073" spans="1:45">
      <c r="A2073">
        <v>511111</v>
      </c>
      <c r="B2073">
        <v>1001</v>
      </c>
      <c r="C2073">
        <v>2</v>
      </c>
      <c r="D2073">
        <v>1004</v>
      </c>
      <c r="E2073" s="3" t="s">
        <v>5424</v>
      </c>
      <c r="F2073" s="13" t="s">
        <v>5424</v>
      </c>
      <c r="G2073" t="s">
        <v>5049</v>
      </c>
      <c r="H2073" t="s">
        <v>5050</v>
      </c>
      <c r="I2073">
        <v>1</v>
      </c>
      <c r="J2073">
        <v>1</v>
      </c>
      <c r="K2073" s="33">
        <v>1</v>
      </c>
      <c r="L2073">
        <v>999</v>
      </c>
      <c r="M2073">
        <v>999</v>
      </c>
      <c r="S2073" s="33">
        <v>1</v>
      </c>
      <c r="T2073">
        <v>5</v>
      </c>
      <c r="U2073">
        <v>1000</v>
      </c>
      <c r="V2073" s="87">
        <v>0</v>
      </c>
      <c r="W2073">
        <v>1</v>
      </c>
      <c r="X2073">
        <v>1</v>
      </c>
      <c r="Y2073">
        <v>0</v>
      </c>
      <c r="Z2073" s="33">
        <v>0</v>
      </c>
      <c r="AA2073">
        <v>5</v>
      </c>
      <c r="AB2073">
        <v>4000</v>
      </c>
      <c r="AC2073">
        <v>908</v>
      </c>
      <c r="AL2073" s="64">
        <v>1</v>
      </c>
      <c r="AN2073" s="93"/>
      <c r="AO2073" s="92"/>
      <c r="AQ2073" s="3" t="s">
        <v>5424</v>
      </c>
      <c r="AS2073">
        <v>1</v>
      </c>
    </row>
    <row r="2074" spans="1:45">
      <c r="A2074">
        <v>511112</v>
      </c>
      <c r="B2074">
        <v>1001</v>
      </c>
      <c r="C2074">
        <v>2</v>
      </c>
      <c r="D2074">
        <v>1004</v>
      </c>
      <c r="E2074" s="3" t="s">
        <v>5425</v>
      </c>
      <c r="F2074" s="13" t="s">
        <v>5425</v>
      </c>
      <c r="G2074" t="s">
        <v>5049</v>
      </c>
      <c r="H2074" t="s">
        <v>5052</v>
      </c>
      <c r="I2074">
        <v>1</v>
      </c>
      <c r="J2074">
        <v>2</v>
      </c>
      <c r="K2074" s="33">
        <v>1</v>
      </c>
      <c r="L2074">
        <v>999</v>
      </c>
      <c r="M2074">
        <v>999</v>
      </c>
      <c r="S2074" s="33">
        <v>1</v>
      </c>
      <c r="T2074">
        <v>5</v>
      </c>
      <c r="U2074">
        <v>1000</v>
      </c>
      <c r="V2074" s="87">
        <v>0</v>
      </c>
      <c r="W2074">
        <v>1</v>
      </c>
      <c r="X2074">
        <v>1</v>
      </c>
      <c r="Y2074">
        <v>0</v>
      </c>
      <c r="Z2074" s="33">
        <v>0</v>
      </c>
      <c r="AA2074">
        <v>5</v>
      </c>
      <c r="AB2074">
        <v>4000</v>
      </c>
      <c r="AC2074">
        <v>908</v>
      </c>
      <c r="AL2074" s="64">
        <v>1</v>
      </c>
      <c r="AN2074" s="93"/>
      <c r="AO2074" s="92"/>
      <c r="AQ2074" s="3" t="s">
        <v>5425</v>
      </c>
      <c r="AS2074">
        <v>1</v>
      </c>
    </row>
    <row r="2075" spans="1:45">
      <c r="A2075">
        <v>511113</v>
      </c>
      <c r="B2075">
        <v>1001</v>
      </c>
      <c r="C2075">
        <v>2</v>
      </c>
      <c r="D2075">
        <v>1004</v>
      </c>
      <c r="E2075" s="3" t="s">
        <v>5426</v>
      </c>
      <c r="F2075" s="13" t="s">
        <v>5426</v>
      </c>
      <c r="G2075" t="s">
        <v>5049</v>
      </c>
      <c r="H2075" t="s">
        <v>5053</v>
      </c>
      <c r="I2075">
        <v>1</v>
      </c>
      <c r="J2075">
        <v>3</v>
      </c>
      <c r="K2075" s="33">
        <v>1</v>
      </c>
      <c r="L2075">
        <v>999</v>
      </c>
      <c r="M2075">
        <v>999</v>
      </c>
      <c r="S2075" s="33">
        <v>1</v>
      </c>
      <c r="T2075">
        <v>5</v>
      </c>
      <c r="U2075">
        <v>1000</v>
      </c>
      <c r="V2075" s="87">
        <v>0</v>
      </c>
      <c r="W2075">
        <v>1</v>
      </c>
      <c r="X2075">
        <v>1</v>
      </c>
      <c r="Y2075">
        <v>0</v>
      </c>
      <c r="Z2075" s="33">
        <v>0</v>
      </c>
      <c r="AA2075">
        <v>5</v>
      </c>
      <c r="AB2075">
        <v>4000</v>
      </c>
      <c r="AC2075">
        <v>908</v>
      </c>
      <c r="AL2075" s="64">
        <v>1</v>
      </c>
      <c r="AN2075" s="93"/>
      <c r="AO2075" s="92"/>
      <c r="AQ2075" s="3" t="s">
        <v>5426</v>
      </c>
      <c r="AS2075">
        <v>1</v>
      </c>
    </row>
    <row r="2076" spans="1:45">
      <c r="A2076">
        <v>511114</v>
      </c>
      <c r="B2076">
        <v>1001</v>
      </c>
      <c r="C2076">
        <v>2</v>
      </c>
      <c r="D2076">
        <v>1004</v>
      </c>
      <c r="E2076" s="3" t="s">
        <v>5427</v>
      </c>
      <c r="F2076" s="13" t="s">
        <v>5427</v>
      </c>
      <c r="G2076" t="s">
        <v>5049</v>
      </c>
      <c r="H2076" t="s">
        <v>5054</v>
      </c>
      <c r="I2076">
        <v>1</v>
      </c>
      <c r="J2076">
        <v>4</v>
      </c>
      <c r="K2076" s="33">
        <v>1</v>
      </c>
      <c r="L2076">
        <v>999</v>
      </c>
      <c r="M2076">
        <v>999</v>
      </c>
      <c r="S2076" s="33">
        <v>1</v>
      </c>
      <c r="T2076">
        <v>5</v>
      </c>
      <c r="U2076">
        <v>1000</v>
      </c>
      <c r="V2076" s="87">
        <v>0</v>
      </c>
      <c r="W2076">
        <v>1</v>
      </c>
      <c r="X2076">
        <v>1</v>
      </c>
      <c r="Y2076">
        <v>0</v>
      </c>
      <c r="Z2076" s="33">
        <v>0</v>
      </c>
      <c r="AA2076">
        <v>5</v>
      </c>
      <c r="AB2076">
        <v>4000</v>
      </c>
      <c r="AC2076">
        <v>908</v>
      </c>
      <c r="AL2076" s="64">
        <v>1</v>
      </c>
      <c r="AN2076" s="93"/>
      <c r="AO2076" s="92"/>
      <c r="AQ2076" s="3" t="s">
        <v>5427</v>
      </c>
      <c r="AS2076">
        <v>1</v>
      </c>
    </row>
    <row r="2077" spans="1:45">
      <c r="A2077">
        <v>511115</v>
      </c>
      <c r="B2077">
        <v>1001</v>
      </c>
      <c r="C2077">
        <v>2</v>
      </c>
      <c r="D2077">
        <v>1004</v>
      </c>
      <c r="E2077" s="3" t="s">
        <v>5428</v>
      </c>
      <c r="F2077" s="13" t="s">
        <v>5428</v>
      </c>
      <c r="G2077" t="s">
        <v>5049</v>
      </c>
      <c r="H2077" t="s">
        <v>5055</v>
      </c>
      <c r="I2077">
        <v>1</v>
      </c>
      <c r="J2077">
        <v>5</v>
      </c>
      <c r="K2077" s="33">
        <v>1</v>
      </c>
      <c r="L2077">
        <v>999</v>
      </c>
      <c r="M2077">
        <v>999</v>
      </c>
      <c r="S2077" s="33">
        <v>1</v>
      </c>
      <c r="T2077">
        <v>5</v>
      </c>
      <c r="U2077">
        <v>1000</v>
      </c>
      <c r="V2077" s="87">
        <v>0</v>
      </c>
      <c r="W2077">
        <v>1</v>
      </c>
      <c r="X2077">
        <v>1</v>
      </c>
      <c r="Y2077">
        <v>0</v>
      </c>
      <c r="Z2077" s="33">
        <v>0</v>
      </c>
      <c r="AA2077">
        <v>5</v>
      </c>
      <c r="AB2077">
        <v>4000</v>
      </c>
      <c r="AC2077">
        <v>908</v>
      </c>
      <c r="AL2077" s="64">
        <v>1</v>
      </c>
      <c r="AN2077" s="93"/>
      <c r="AO2077" s="92"/>
      <c r="AQ2077" s="3" t="s">
        <v>5428</v>
      </c>
      <c r="AS2077">
        <v>1</v>
      </c>
    </row>
    <row r="2078" ht="14.25" customHeight="1" spans="1:45">
      <c r="A2078">
        <v>511116</v>
      </c>
      <c r="B2078" s="238">
        <v>1001</v>
      </c>
      <c r="C2078" s="238">
        <v>2</v>
      </c>
      <c r="D2078" s="238">
        <v>1004</v>
      </c>
      <c r="E2078" s="3" t="s">
        <v>5429</v>
      </c>
      <c r="F2078" s="13" t="s">
        <v>5429</v>
      </c>
      <c r="G2078" t="s">
        <v>5049</v>
      </c>
      <c r="H2078" t="s">
        <v>5057</v>
      </c>
      <c r="I2078">
        <v>1</v>
      </c>
      <c r="J2078">
        <v>6</v>
      </c>
      <c r="K2078" s="254">
        <v>1</v>
      </c>
      <c r="L2078" s="238">
        <v>999</v>
      </c>
      <c r="M2078" s="238">
        <v>999</v>
      </c>
      <c r="N2078" s="8"/>
      <c r="S2078" s="254">
        <v>1</v>
      </c>
      <c r="T2078" s="238">
        <v>5</v>
      </c>
      <c r="U2078" s="238">
        <v>1000</v>
      </c>
      <c r="V2078" s="87">
        <v>0</v>
      </c>
      <c r="W2078">
        <v>1</v>
      </c>
      <c r="X2078" s="238">
        <v>1</v>
      </c>
      <c r="Y2078">
        <v>0</v>
      </c>
      <c r="Z2078" s="33">
        <v>0</v>
      </c>
      <c r="AA2078">
        <v>5</v>
      </c>
      <c r="AB2078">
        <v>4000</v>
      </c>
      <c r="AC2078" s="238">
        <v>908</v>
      </c>
      <c r="AE2078" s="90"/>
      <c r="AF2078" s="90"/>
      <c r="AG2078" s="91"/>
      <c r="AH2078" s="91"/>
      <c r="AI2078" s="91"/>
      <c r="AJ2078" s="91"/>
      <c r="AK2078" s="91"/>
      <c r="AL2078" s="256">
        <v>1</v>
      </c>
      <c r="AM2078" s="92"/>
      <c r="AN2078" s="93"/>
      <c r="AO2078" s="92"/>
      <c r="AP2078" s="86"/>
      <c r="AQ2078" s="3" t="s">
        <v>5429</v>
      </c>
      <c r="AR2078"/>
      <c r="AS2078">
        <v>1</v>
      </c>
    </row>
    <row r="2079" ht="14.25" customHeight="1" spans="1:45">
      <c r="A2079">
        <v>511117</v>
      </c>
      <c r="B2079" s="236">
        <v>1001</v>
      </c>
      <c r="C2079" s="236">
        <v>1</v>
      </c>
      <c r="D2079" s="236">
        <v>1001</v>
      </c>
      <c r="E2079" t="s">
        <v>5430</v>
      </c>
      <c r="F2079" s="13" t="s">
        <v>5431</v>
      </c>
      <c r="G2079" t="s">
        <v>1519</v>
      </c>
      <c r="H2079" t="s">
        <v>1836</v>
      </c>
      <c r="I2079">
        <v>1</v>
      </c>
      <c r="J2079" s="69">
        <v>5</v>
      </c>
      <c r="K2079" s="87">
        <v>2</v>
      </c>
      <c r="L2079" s="8">
        <v>999</v>
      </c>
      <c r="M2079" s="8">
        <v>0</v>
      </c>
      <c r="N2079" s="8">
        <v>1017</v>
      </c>
      <c r="O2079" s="2">
        <v>30018</v>
      </c>
      <c r="R2079" s="8"/>
      <c r="S2079" s="89">
        <v>1</v>
      </c>
      <c r="T2079" s="8">
        <v>5</v>
      </c>
      <c r="U2079" s="89">
        <v>170</v>
      </c>
      <c r="V2079" s="87">
        <v>1</v>
      </c>
      <c r="W2079">
        <v>1</v>
      </c>
      <c r="X2079" s="8">
        <v>1</v>
      </c>
      <c r="Y2079" s="238">
        <v>0</v>
      </c>
      <c r="Z2079" s="33">
        <v>0</v>
      </c>
      <c r="AA2079">
        <v>5</v>
      </c>
      <c r="AB2079" s="34">
        <v>6460</v>
      </c>
      <c r="AC2079" s="87">
        <v>123</v>
      </c>
      <c r="AD2079" s="62">
        <v>0</v>
      </c>
      <c r="AE2079" s="250">
        <v>4</v>
      </c>
      <c r="AF2079" s="250">
        <v>2</v>
      </c>
      <c r="AG2079" s="251"/>
      <c r="AH2079" s="251">
        <v>1</v>
      </c>
      <c r="AI2079" s="251"/>
      <c r="AJ2079" s="251"/>
      <c r="AK2079" s="251"/>
      <c r="AL2079" s="252">
        <v>1</v>
      </c>
      <c r="AM2079" s="252">
        <v>20</v>
      </c>
      <c r="AN2079" s="93"/>
      <c r="AO2079" s="92"/>
      <c r="AP2079" s="398"/>
      <c r="AQ2079" t="s">
        <v>1517</v>
      </c>
      <c r="AR2079">
        <v>1</v>
      </c>
      <c r="AS2079">
        <v>1</v>
      </c>
    </row>
    <row r="2080" spans="1:45">
      <c r="A2080">
        <v>511118</v>
      </c>
      <c r="B2080">
        <v>1001</v>
      </c>
      <c r="C2080">
        <v>1</v>
      </c>
      <c r="D2080">
        <v>1001</v>
      </c>
      <c r="E2080" t="s">
        <v>5432</v>
      </c>
      <c r="F2080" s="13" t="s">
        <v>5432</v>
      </c>
      <c r="G2080" t="s">
        <v>5433</v>
      </c>
      <c r="H2080" t="s">
        <v>5434</v>
      </c>
      <c r="I2080">
        <v>1</v>
      </c>
      <c r="J2080">
        <v>4</v>
      </c>
      <c r="K2080" s="87">
        <v>1</v>
      </c>
      <c r="L2080" s="8">
        <v>999</v>
      </c>
      <c r="M2080" s="8">
        <v>0</v>
      </c>
      <c r="N2080" s="8"/>
      <c r="O2080" s="249"/>
      <c r="R2080" s="8"/>
      <c r="S2080" s="89">
        <v>1</v>
      </c>
      <c r="T2080" s="8">
        <v>5</v>
      </c>
      <c r="U2080" s="89">
        <v>1</v>
      </c>
      <c r="V2080" s="87">
        <v>1</v>
      </c>
      <c r="W2080">
        <v>1</v>
      </c>
      <c r="X2080" s="8">
        <v>1</v>
      </c>
      <c r="Y2080" s="8">
        <v>0</v>
      </c>
      <c r="Z2080" s="33">
        <v>0</v>
      </c>
      <c r="AA2080">
        <v>5</v>
      </c>
      <c r="AB2080" s="34">
        <v>100</v>
      </c>
      <c r="AC2080" s="87">
        <v>70</v>
      </c>
      <c r="AD2080" s="62">
        <v>0</v>
      </c>
      <c r="AE2080" s="62">
        <v>4</v>
      </c>
      <c r="AF2080" s="62">
        <v>2</v>
      </c>
      <c r="AI2080" s="63" t="s">
        <v>5435</v>
      </c>
      <c r="AL2080" s="64">
        <v>1</v>
      </c>
      <c r="AN2080" s="93"/>
      <c r="AO2080" s="92"/>
      <c r="AP2080" s="8"/>
      <c r="AQ2080" t="s">
        <v>5432</v>
      </c>
      <c r="AR2080">
        <v>1</v>
      </c>
      <c r="AS2080">
        <v>1</v>
      </c>
    </row>
    <row r="2081" spans="1:45">
      <c r="A2081">
        <v>511119</v>
      </c>
      <c r="B2081">
        <v>1001</v>
      </c>
      <c r="C2081">
        <v>1</v>
      </c>
      <c r="D2081">
        <v>1001</v>
      </c>
      <c r="E2081" t="s">
        <v>5436</v>
      </c>
      <c r="F2081" s="13" t="s">
        <v>5436</v>
      </c>
      <c r="G2081" t="s">
        <v>5437</v>
      </c>
      <c r="H2081" t="s">
        <v>5438</v>
      </c>
      <c r="I2081">
        <v>1</v>
      </c>
      <c r="J2081">
        <v>5</v>
      </c>
      <c r="K2081" s="87">
        <v>1</v>
      </c>
      <c r="L2081" s="8">
        <v>999</v>
      </c>
      <c r="M2081" s="8">
        <v>0</v>
      </c>
      <c r="N2081" s="8"/>
      <c r="O2081" s="249"/>
      <c r="R2081" s="8"/>
      <c r="S2081" s="89">
        <v>1</v>
      </c>
      <c r="T2081" s="8">
        <v>5</v>
      </c>
      <c r="U2081" s="89">
        <v>1</v>
      </c>
      <c r="V2081" s="87">
        <v>1</v>
      </c>
      <c r="W2081">
        <v>1</v>
      </c>
      <c r="X2081" s="8">
        <v>1</v>
      </c>
      <c r="Y2081" s="8">
        <v>0</v>
      </c>
      <c r="Z2081" s="33">
        <v>0</v>
      </c>
      <c r="AA2081">
        <v>5</v>
      </c>
      <c r="AB2081" s="34">
        <v>100</v>
      </c>
      <c r="AC2081" s="87">
        <v>70</v>
      </c>
      <c r="AD2081" s="62">
        <v>0</v>
      </c>
      <c r="AE2081" s="62">
        <v>4</v>
      </c>
      <c r="AF2081" s="62">
        <v>2</v>
      </c>
      <c r="AI2081" s="63" t="s">
        <v>5435</v>
      </c>
      <c r="AL2081" s="64">
        <v>1</v>
      </c>
      <c r="AN2081" s="93"/>
      <c r="AO2081" s="92"/>
      <c r="AP2081" s="8"/>
      <c r="AQ2081" t="s">
        <v>5436</v>
      </c>
      <c r="AR2081">
        <v>1</v>
      </c>
      <c r="AS2081">
        <v>1</v>
      </c>
    </row>
    <row r="2082" spans="1:45">
      <c r="A2082">
        <v>511120</v>
      </c>
      <c r="B2082">
        <v>1001</v>
      </c>
      <c r="C2082">
        <v>1</v>
      </c>
      <c r="D2082">
        <v>1001</v>
      </c>
      <c r="E2082" t="s">
        <v>5439</v>
      </c>
      <c r="F2082" s="13" t="s">
        <v>5439</v>
      </c>
      <c r="G2082" t="s">
        <v>5440</v>
      </c>
      <c r="H2082" t="s">
        <v>5441</v>
      </c>
      <c r="I2082">
        <v>1</v>
      </c>
      <c r="J2082">
        <v>5</v>
      </c>
      <c r="K2082" s="87">
        <v>1</v>
      </c>
      <c r="L2082" s="8">
        <v>999</v>
      </c>
      <c r="M2082" s="8">
        <v>0</v>
      </c>
      <c r="N2082" s="8"/>
      <c r="O2082" s="249"/>
      <c r="R2082" s="8"/>
      <c r="S2082" s="89">
        <v>1</v>
      </c>
      <c r="T2082" s="8">
        <v>5</v>
      </c>
      <c r="U2082" s="89">
        <v>1</v>
      </c>
      <c r="V2082" s="87">
        <v>1</v>
      </c>
      <c r="W2082">
        <v>1</v>
      </c>
      <c r="X2082" s="8">
        <v>1</v>
      </c>
      <c r="Y2082" s="8">
        <v>0</v>
      </c>
      <c r="Z2082" s="33">
        <v>0</v>
      </c>
      <c r="AA2082">
        <v>5</v>
      </c>
      <c r="AB2082" s="34">
        <v>100</v>
      </c>
      <c r="AC2082" s="87">
        <v>70</v>
      </c>
      <c r="AD2082" s="62">
        <v>0</v>
      </c>
      <c r="AL2082" s="64">
        <v>1</v>
      </c>
      <c r="AN2082" s="93"/>
      <c r="AO2082" s="92"/>
      <c r="AP2082" s="8"/>
      <c r="AQ2082" t="s">
        <v>5442</v>
      </c>
      <c r="AS2082">
        <v>1</v>
      </c>
    </row>
    <row r="2083" spans="1:45">
      <c r="A2083">
        <v>511121</v>
      </c>
      <c r="B2083">
        <v>1001</v>
      </c>
      <c r="C2083">
        <v>1</v>
      </c>
      <c r="D2083">
        <v>1001</v>
      </c>
      <c r="E2083" t="s">
        <v>5443</v>
      </c>
      <c r="F2083" s="13" t="s">
        <v>5443</v>
      </c>
      <c r="G2083" t="s">
        <v>5444</v>
      </c>
      <c r="H2083" t="s">
        <v>5445</v>
      </c>
      <c r="I2083">
        <v>1</v>
      </c>
      <c r="J2083">
        <v>5</v>
      </c>
      <c r="K2083" s="248">
        <v>1</v>
      </c>
      <c r="L2083" s="8">
        <v>999</v>
      </c>
      <c r="M2083" s="8">
        <v>0</v>
      </c>
      <c r="N2083" s="236"/>
      <c r="O2083" s="249"/>
      <c r="R2083" s="236"/>
      <c r="S2083" s="89">
        <v>1</v>
      </c>
      <c r="T2083" s="8">
        <v>5</v>
      </c>
      <c r="U2083" s="89">
        <v>1</v>
      </c>
      <c r="V2083" s="87">
        <v>1</v>
      </c>
      <c r="W2083">
        <v>1</v>
      </c>
      <c r="X2083" s="8">
        <v>1</v>
      </c>
      <c r="Y2083" s="8">
        <v>0</v>
      </c>
      <c r="Z2083" s="33">
        <v>0</v>
      </c>
      <c r="AA2083">
        <v>5</v>
      </c>
      <c r="AB2083" s="34">
        <v>100</v>
      </c>
      <c r="AC2083" s="87">
        <v>70</v>
      </c>
      <c r="AD2083" s="62">
        <v>0</v>
      </c>
      <c r="AL2083" s="64">
        <v>1</v>
      </c>
      <c r="AN2083" s="93"/>
      <c r="AO2083" s="92"/>
      <c r="AP2083" s="236"/>
      <c r="AQ2083" t="s">
        <v>5442</v>
      </c>
      <c r="AS2083">
        <v>1</v>
      </c>
    </row>
    <row r="2084" spans="1:45">
      <c r="A2084">
        <v>511122</v>
      </c>
      <c r="B2084">
        <v>1001</v>
      </c>
      <c r="C2084">
        <v>1</v>
      </c>
      <c r="D2084">
        <v>1001</v>
      </c>
      <c r="E2084" t="s">
        <v>5446</v>
      </c>
      <c r="F2084" s="13" t="s">
        <v>5446</v>
      </c>
      <c r="G2084" t="s">
        <v>5447</v>
      </c>
      <c r="H2084" t="s">
        <v>5448</v>
      </c>
      <c r="I2084">
        <v>1</v>
      </c>
      <c r="J2084">
        <v>3</v>
      </c>
      <c r="K2084" s="33">
        <v>1</v>
      </c>
      <c r="L2084" s="8">
        <v>999</v>
      </c>
      <c r="M2084" s="8">
        <v>0</v>
      </c>
      <c r="S2084" s="89">
        <v>1</v>
      </c>
      <c r="T2084" s="8">
        <v>5</v>
      </c>
      <c r="U2084" s="89">
        <v>1</v>
      </c>
      <c r="V2084" s="87">
        <v>1</v>
      </c>
      <c r="W2084">
        <v>1</v>
      </c>
      <c r="X2084" s="8">
        <v>1</v>
      </c>
      <c r="Y2084" s="8">
        <v>0</v>
      </c>
      <c r="Z2084" s="33">
        <v>0</v>
      </c>
      <c r="AA2084">
        <v>5</v>
      </c>
      <c r="AB2084" s="34">
        <v>100</v>
      </c>
      <c r="AC2084" s="87">
        <v>900</v>
      </c>
      <c r="AD2084" s="62">
        <v>0</v>
      </c>
      <c r="AN2084" s="93"/>
      <c r="AO2084" s="92"/>
      <c r="AS2084">
        <v>1</v>
      </c>
    </row>
    <row r="2085" spans="1:45">
      <c r="A2085">
        <v>511123</v>
      </c>
      <c r="B2085">
        <v>1001</v>
      </c>
      <c r="C2085">
        <v>1</v>
      </c>
      <c r="D2085">
        <v>1001</v>
      </c>
      <c r="E2085" t="s">
        <v>5446</v>
      </c>
      <c r="F2085" s="13" t="s">
        <v>5449</v>
      </c>
      <c r="G2085" t="s">
        <v>5450</v>
      </c>
      <c r="H2085" t="s">
        <v>5451</v>
      </c>
      <c r="I2085">
        <v>1</v>
      </c>
      <c r="J2085">
        <v>4</v>
      </c>
      <c r="K2085" s="33">
        <v>1</v>
      </c>
      <c r="L2085" s="8">
        <v>999</v>
      </c>
      <c r="M2085" s="8">
        <v>0</v>
      </c>
      <c r="S2085" s="89">
        <v>1</v>
      </c>
      <c r="T2085" s="8">
        <v>5</v>
      </c>
      <c r="U2085" s="89">
        <v>1</v>
      </c>
      <c r="V2085" s="87">
        <v>1</v>
      </c>
      <c r="W2085">
        <v>1</v>
      </c>
      <c r="X2085" s="8">
        <v>1</v>
      </c>
      <c r="Y2085" s="8">
        <v>0</v>
      </c>
      <c r="Z2085" s="33">
        <v>0</v>
      </c>
      <c r="AA2085">
        <v>5</v>
      </c>
      <c r="AB2085" s="34">
        <v>100</v>
      </c>
      <c r="AC2085" s="87">
        <v>900</v>
      </c>
      <c r="AD2085" s="62">
        <v>0</v>
      </c>
      <c r="AN2085" s="93"/>
      <c r="AO2085" s="92"/>
      <c r="AS2085">
        <v>1</v>
      </c>
    </row>
    <row r="2086" spans="1:45">
      <c r="A2086">
        <v>511124</v>
      </c>
      <c r="B2086">
        <v>1001</v>
      </c>
      <c r="C2086">
        <v>1</v>
      </c>
      <c r="D2086">
        <v>1001</v>
      </c>
      <c r="E2086" t="s">
        <v>5452</v>
      </c>
      <c r="F2086" s="13" t="s">
        <v>5452</v>
      </c>
      <c r="G2086" t="s">
        <v>5453</v>
      </c>
      <c r="H2086" t="s">
        <v>5454</v>
      </c>
      <c r="I2086">
        <v>1</v>
      </c>
      <c r="J2086">
        <v>4</v>
      </c>
      <c r="K2086" s="33">
        <v>1</v>
      </c>
      <c r="L2086" s="8">
        <v>999</v>
      </c>
      <c r="M2086" s="8">
        <v>0</v>
      </c>
      <c r="S2086" s="89">
        <v>1</v>
      </c>
      <c r="T2086" s="8">
        <v>5</v>
      </c>
      <c r="U2086" s="89">
        <v>1</v>
      </c>
      <c r="V2086" s="87">
        <v>1</v>
      </c>
      <c r="W2086">
        <v>1</v>
      </c>
      <c r="X2086" s="8">
        <v>1</v>
      </c>
      <c r="Y2086" s="8">
        <v>0</v>
      </c>
      <c r="Z2086" s="33">
        <v>0</v>
      </c>
      <c r="AA2086">
        <v>5</v>
      </c>
      <c r="AB2086" s="34">
        <v>100</v>
      </c>
      <c r="AC2086" s="87">
        <v>900</v>
      </c>
      <c r="AD2086" s="62">
        <v>0</v>
      </c>
      <c r="AI2086" s="63" t="s">
        <v>1767</v>
      </c>
      <c r="AN2086" s="93"/>
      <c r="AO2086" s="92"/>
      <c r="AS2086">
        <v>1</v>
      </c>
    </row>
    <row r="2087" spans="1:45">
      <c r="A2087">
        <v>511125</v>
      </c>
      <c r="B2087">
        <v>1001</v>
      </c>
      <c r="C2087">
        <v>1</v>
      </c>
      <c r="D2087">
        <v>1001</v>
      </c>
      <c r="E2087" t="s">
        <v>5455</v>
      </c>
      <c r="F2087" s="13" t="s">
        <v>5455</v>
      </c>
      <c r="G2087" t="s">
        <v>5456</v>
      </c>
      <c r="H2087" t="s">
        <v>5457</v>
      </c>
      <c r="I2087">
        <v>1</v>
      </c>
      <c r="J2087">
        <v>5</v>
      </c>
      <c r="K2087" s="33">
        <v>1</v>
      </c>
      <c r="L2087" s="8">
        <v>999</v>
      </c>
      <c r="M2087" s="8">
        <v>0</v>
      </c>
      <c r="S2087" s="89">
        <v>1</v>
      </c>
      <c r="T2087" s="8">
        <v>5</v>
      </c>
      <c r="U2087" s="89">
        <v>1</v>
      </c>
      <c r="V2087" s="87">
        <v>1</v>
      </c>
      <c r="W2087">
        <v>1</v>
      </c>
      <c r="X2087" s="8">
        <v>1</v>
      </c>
      <c r="Y2087" s="8">
        <v>0</v>
      </c>
      <c r="Z2087" s="33">
        <v>0</v>
      </c>
      <c r="AA2087">
        <v>5</v>
      </c>
      <c r="AB2087" s="34">
        <v>100</v>
      </c>
      <c r="AC2087" s="87">
        <v>900</v>
      </c>
      <c r="AD2087" s="62">
        <v>0</v>
      </c>
      <c r="AN2087" s="93"/>
      <c r="AO2087" s="92"/>
      <c r="AS2087">
        <v>1</v>
      </c>
    </row>
    <row r="2088" spans="1:45">
      <c r="A2088">
        <v>511126</v>
      </c>
      <c r="B2088">
        <v>1001</v>
      </c>
      <c r="C2088">
        <v>1</v>
      </c>
      <c r="D2088">
        <v>1001</v>
      </c>
      <c r="E2088" t="s">
        <v>5458</v>
      </c>
      <c r="F2088" s="13" t="s">
        <v>5458</v>
      </c>
      <c r="G2088" t="s">
        <v>5459</v>
      </c>
      <c r="H2088" t="s">
        <v>5460</v>
      </c>
      <c r="I2088">
        <v>1</v>
      </c>
      <c r="J2088">
        <v>5</v>
      </c>
      <c r="K2088" s="33">
        <v>1</v>
      </c>
      <c r="L2088" s="8">
        <v>999</v>
      </c>
      <c r="M2088" s="8">
        <v>0</v>
      </c>
      <c r="S2088" s="89">
        <v>1</v>
      </c>
      <c r="T2088" s="8">
        <v>5</v>
      </c>
      <c r="U2088" s="89">
        <v>1</v>
      </c>
      <c r="V2088" s="87">
        <v>1</v>
      </c>
      <c r="W2088">
        <v>1</v>
      </c>
      <c r="X2088" s="8">
        <v>1</v>
      </c>
      <c r="Y2088" s="8">
        <v>0</v>
      </c>
      <c r="Z2088" s="33">
        <v>0</v>
      </c>
      <c r="AA2088">
        <v>5</v>
      </c>
      <c r="AB2088" s="34">
        <v>100</v>
      </c>
      <c r="AC2088" s="87">
        <v>900</v>
      </c>
      <c r="AD2088" s="62">
        <v>0</v>
      </c>
      <c r="AF2088" s="63"/>
      <c r="AI2088" s="64"/>
      <c r="AM2088" s="4"/>
      <c r="AN2088" s="93"/>
      <c r="AO2088" s="92"/>
      <c r="AS2088">
        <v>1</v>
      </c>
    </row>
    <row r="2089" spans="1:45">
      <c r="A2089">
        <v>511127</v>
      </c>
      <c r="B2089">
        <v>1001</v>
      </c>
      <c r="C2089">
        <v>1</v>
      </c>
      <c r="D2089">
        <v>1001</v>
      </c>
      <c r="E2089" t="s">
        <v>5461</v>
      </c>
      <c r="F2089" s="13" t="s">
        <v>5461</v>
      </c>
      <c r="G2089" t="s">
        <v>5462</v>
      </c>
      <c r="H2089" t="s">
        <v>5463</v>
      </c>
      <c r="I2089">
        <v>1</v>
      </c>
      <c r="J2089">
        <v>4</v>
      </c>
      <c r="K2089" s="33">
        <v>1</v>
      </c>
      <c r="L2089" s="8">
        <v>999</v>
      </c>
      <c r="M2089" s="8">
        <v>0</v>
      </c>
      <c r="S2089" s="89">
        <v>1</v>
      </c>
      <c r="T2089" s="8">
        <v>5</v>
      </c>
      <c r="U2089" s="89">
        <v>1</v>
      </c>
      <c r="V2089" s="87">
        <v>1</v>
      </c>
      <c r="W2089">
        <v>1</v>
      </c>
      <c r="X2089" s="8">
        <v>1</v>
      </c>
      <c r="Y2089" s="8">
        <v>0</v>
      </c>
      <c r="Z2089" s="33">
        <v>0</v>
      </c>
      <c r="AA2089">
        <v>5</v>
      </c>
      <c r="AB2089" s="34">
        <v>100</v>
      </c>
      <c r="AC2089" s="87">
        <v>900</v>
      </c>
      <c r="AD2089" s="62">
        <v>0</v>
      </c>
      <c r="AF2089" s="63"/>
      <c r="AI2089" s="64"/>
      <c r="AM2089" s="4"/>
      <c r="AN2089" s="93"/>
      <c r="AO2089" s="92"/>
      <c r="AS2089">
        <v>1</v>
      </c>
    </row>
    <row r="2090" spans="1:45">
      <c r="A2090">
        <v>511128</v>
      </c>
      <c r="B2090">
        <v>1001</v>
      </c>
      <c r="C2090">
        <v>1</v>
      </c>
      <c r="D2090">
        <v>1001</v>
      </c>
      <c r="E2090" s="238" t="s">
        <v>5464</v>
      </c>
      <c r="F2090" s="13" t="s">
        <v>5464</v>
      </c>
      <c r="G2090" t="s">
        <v>5462</v>
      </c>
      <c r="H2090" t="s">
        <v>5465</v>
      </c>
      <c r="I2090">
        <v>1</v>
      </c>
      <c r="J2090">
        <v>5</v>
      </c>
      <c r="K2090" s="254">
        <v>1</v>
      </c>
      <c r="L2090" s="8">
        <v>999</v>
      </c>
      <c r="M2090" s="8">
        <v>0</v>
      </c>
      <c r="N2090" s="8"/>
      <c r="O2090" s="249"/>
      <c r="R2090" s="8"/>
      <c r="S2090" s="89">
        <v>1</v>
      </c>
      <c r="T2090" s="8">
        <v>5</v>
      </c>
      <c r="U2090" s="89">
        <v>1</v>
      </c>
      <c r="V2090" s="87">
        <v>1</v>
      </c>
      <c r="W2090">
        <v>1</v>
      </c>
      <c r="X2090" s="8">
        <v>1</v>
      </c>
      <c r="Y2090" s="8">
        <v>0</v>
      </c>
      <c r="Z2090" s="33">
        <v>0</v>
      </c>
      <c r="AA2090">
        <v>5</v>
      </c>
      <c r="AB2090" s="34">
        <v>100</v>
      </c>
      <c r="AC2090" s="87">
        <v>900</v>
      </c>
      <c r="AD2090" s="62">
        <v>0</v>
      </c>
      <c r="AF2090" s="63"/>
      <c r="AI2090" s="64"/>
      <c r="AM2090" s="4"/>
      <c r="AN2090" s="93"/>
      <c r="AO2090" s="92"/>
      <c r="AP2090" s="8"/>
      <c r="AQ2090"/>
      <c r="AS2090">
        <v>1</v>
      </c>
    </row>
    <row r="2091" spans="1:45">
      <c r="A2091">
        <v>511129</v>
      </c>
      <c r="B2091">
        <v>1001</v>
      </c>
      <c r="C2091">
        <v>1</v>
      </c>
      <c r="D2091">
        <v>1001</v>
      </c>
      <c r="E2091" s="13" t="s">
        <v>5466</v>
      </c>
      <c r="F2091" s="13" t="s">
        <v>5466</v>
      </c>
      <c r="G2091" t="s">
        <v>5467</v>
      </c>
      <c r="H2091" t="s">
        <v>5468</v>
      </c>
      <c r="I2091">
        <v>1</v>
      </c>
      <c r="J2091">
        <v>5</v>
      </c>
      <c r="K2091" s="87">
        <v>1</v>
      </c>
      <c r="L2091" s="8">
        <v>999</v>
      </c>
      <c r="M2091" s="8">
        <v>0</v>
      </c>
      <c r="N2091" s="8"/>
      <c r="O2091" s="249"/>
      <c r="R2091" s="8"/>
      <c r="S2091" s="89">
        <v>1</v>
      </c>
      <c r="T2091" s="8">
        <v>5</v>
      </c>
      <c r="U2091" s="89">
        <v>1</v>
      </c>
      <c r="V2091" s="87">
        <v>1</v>
      </c>
      <c r="W2091">
        <v>1</v>
      </c>
      <c r="X2091" s="8">
        <v>1</v>
      </c>
      <c r="Y2091" s="8">
        <v>0</v>
      </c>
      <c r="Z2091" s="33">
        <v>0</v>
      </c>
      <c r="AA2091">
        <v>5</v>
      </c>
      <c r="AB2091" s="34">
        <v>100</v>
      </c>
      <c r="AC2091" s="87">
        <v>70</v>
      </c>
      <c r="AD2091" s="62">
        <v>0</v>
      </c>
      <c r="AL2091" s="64">
        <v>1</v>
      </c>
      <c r="AN2091" s="93"/>
      <c r="AO2091" s="92"/>
      <c r="AP2091" s="8"/>
      <c r="AQ2091" t="s">
        <v>5442</v>
      </c>
      <c r="AS2091">
        <v>1</v>
      </c>
    </row>
    <row r="2092" spans="1:45">
      <c r="A2092">
        <v>511130</v>
      </c>
      <c r="B2092">
        <v>1001</v>
      </c>
      <c r="C2092">
        <v>1</v>
      </c>
      <c r="D2092">
        <v>1001</v>
      </c>
      <c r="E2092" s="253" t="s">
        <v>5469</v>
      </c>
      <c r="F2092" s="253" t="s">
        <v>5469</v>
      </c>
      <c r="G2092" t="s">
        <v>5470</v>
      </c>
      <c r="H2092" t="s">
        <v>5471</v>
      </c>
      <c r="I2092">
        <v>1</v>
      </c>
      <c r="J2092">
        <v>5</v>
      </c>
      <c r="K2092" s="248">
        <v>1</v>
      </c>
      <c r="L2092" s="8">
        <v>999</v>
      </c>
      <c r="M2092" s="8">
        <v>0</v>
      </c>
      <c r="N2092" s="236"/>
      <c r="O2092" s="249"/>
      <c r="R2092" s="236"/>
      <c r="S2092" s="89">
        <v>1</v>
      </c>
      <c r="T2092" s="8">
        <v>5</v>
      </c>
      <c r="U2092" s="89">
        <v>1</v>
      </c>
      <c r="V2092" s="87">
        <v>1</v>
      </c>
      <c r="W2092">
        <v>1</v>
      </c>
      <c r="X2092" s="8">
        <v>1</v>
      </c>
      <c r="Y2092" s="8">
        <v>0</v>
      </c>
      <c r="Z2092" s="33">
        <v>0</v>
      </c>
      <c r="AA2092">
        <v>5</v>
      </c>
      <c r="AB2092" s="34">
        <v>100</v>
      </c>
      <c r="AC2092" s="87">
        <v>70</v>
      </c>
      <c r="AD2092" s="62">
        <v>0</v>
      </c>
      <c r="AL2092" s="64">
        <v>1</v>
      </c>
      <c r="AM2092" s="4"/>
      <c r="AN2092" s="93"/>
      <c r="AO2092" s="92"/>
      <c r="AP2092" s="236"/>
      <c r="AQ2092" t="s">
        <v>5442</v>
      </c>
      <c r="AR2092"/>
      <c r="AS2092">
        <v>1</v>
      </c>
    </row>
    <row r="2093" spans="1:45">
      <c r="A2093">
        <v>511131</v>
      </c>
      <c r="B2093">
        <v>1001</v>
      </c>
      <c r="C2093">
        <v>1</v>
      </c>
      <c r="D2093">
        <v>1001</v>
      </c>
      <c r="E2093" t="s">
        <v>5472</v>
      </c>
      <c r="F2093" t="s">
        <v>5472</v>
      </c>
      <c r="G2093" t="s">
        <v>5473</v>
      </c>
      <c r="H2093" t="s">
        <v>5474</v>
      </c>
      <c r="I2093">
        <v>1</v>
      </c>
      <c r="J2093">
        <v>5</v>
      </c>
      <c r="K2093" s="33">
        <v>1</v>
      </c>
      <c r="L2093" s="8">
        <v>999</v>
      </c>
      <c r="M2093" s="8">
        <v>0</v>
      </c>
      <c r="S2093" s="89">
        <v>1</v>
      </c>
      <c r="T2093" s="8">
        <v>5</v>
      </c>
      <c r="U2093" s="89">
        <v>1</v>
      </c>
      <c r="V2093" s="87">
        <v>1</v>
      </c>
      <c r="W2093">
        <v>1</v>
      </c>
      <c r="X2093" s="8">
        <v>1</v>
      </c>
      <c r="Y2093" s="8">
        <v>0</v>
      </c>
      <c r="Z2093" s="33">
        <v>0</v>
      </c>
      <c r="AA2093">
        <v>5</v>
      </c>
      <c r="AB2093" s="34">
        <v>100</v>
      </c>
      <c r="AC2093" s="87">
        <v>900</v>
      </c>
      <c r="AD2093" s="62">
        <v>0</v>
      </c>
      <c r="AM2093" s="4"/>
      <c r="AN2093" s="93"/>
      <c r="AO2093" s="92"/>
      <c r="AQ2093" t="s">
        <v>5472</v>
      </c>
      <c r="AR2093">
        <v>1</v>
      </c>
      <c r="AS2093">
        <v>1</v>
      </c>
    </row>
    <row r="2094" spans="1:45">
      <c r="A2094">
        <v>511132</v>
      </c>
      <c r="B2094">
        <v>1001</v>
      </c>
      <c r="C2094">
        <v>1</v>
      </c>
      <c r="D2094">
        <v>1001</v>
      </c>
      <c r="E2094" s="238" t="s">
        <v>5475</v>
      </c>
      <c r="F2094" s="238" t="s">
        <v>5475</v>
      </c>
      <c r="G2094" t="s">
        <v>5476</v>
      </c>
      <c r="H2094" t="s">
        <v>5477</v>
      </c>
      <c r="I2094">
        <v>1</v>
      </c>
      <c r="J2094">
        <v>5</v>
      </c>
      <c r="K2094" s="254">
        <v>1</v>
      </c>
      <c r="L2094" s="8">
        <v>999</v>
      </c>
      <c r="M2094" s="8">
        <v>0</v>
      </c>
      <c r="N2094" s="8"/>
      <c r="O2094" s="249"/>
      <c r="R2094" s="8"/>
      <c r="S2094" s="89">
        <v>1</v>
      </c>
      <c r="T2094" s="8">
        <v>5</v>
      </c>
      <c r="U2094" s="89">
        <v>1</v>
      </c>
      <c r="V2094" s="87">
        <v>1</v>
      </c>
      <c r="W2094">
        <v>1</v>
      </c>
      <c r="X2094" s="8">
        <v>1</v>
      </c>
      <c r="Y2094" s="8">
        <v>0</v>
      </c>
      <c r="Z2094" s="33">
        <v>0</v>
      </c>
      <c r="AA2094">
        <v>5</v>
      </c>
      <c r="AB2094" s="34">
        <v>100</v>
      </c>
      <c r="AC2094" s="87">
        <v>900</v>
      </c>
      <c r="AD2094" s="62">
        <v>0</v>
      </c>
      <c r="AM2094" s="4"/>
      <c r="AN2094" s="93"/>
      <c r="AO2094" s="92"/>
      <c r="AP2094" s="8"/>
      <c r="AQ2094" t="s">
        <v>5475</v>
      </c>
      <c r="AR2094">
        <v>1</v>
      </c>
      <c r="AS2094">
        <v>1</v>
      </c>
    </row>
    <row r="2095" spans="1:45">
      <c r="A2095">
        <v>511133</v>
      </c>
      <c r="B2095">
        <v>1001</v>
      </c>
      <c r="C2095">
        <v>1</v>
      </c>
      <c r="D2095">
        <v>1001</v>
      </c>
      <c r="E2095" s="253" t="s">
        <v>5478</v>
      </c>
      <c r="F2095" s="253" t="s">
        <v>5479</v>
      </c>
      <c r="G2095" t="s">
        <v>5480</v>
      </c>
      <c r="H2095" t="s">
        <v>5481</v>
      </c>
      <c r="I2095">
        <v>1</v>
      </c>
      <c r="J2095">
        <v>5</v>
      </c>
      <c r="K2095" s="87">
        <v>1</v>
      </c>
      <c r="L2095" s="8">
        <v>999</v>
      </c>
      <c r="M2095" s="8">
        <v>0</v>
      </c>
      <c r="N2095" s="236"/>
      <c r="O2095" s="249"/>
      <c r="R2095" s="236"/>
      <c r="S2095" s="89">
        <v>1</v>
      </c>
      <c r="T2095" s="8">
        <v>5</v>
      </c>
      <c r="U2095" s="89">
        <v>1</v>
      </c>
      <c r="V2095" s="87">
        <v>1</v>
      </c>
      <c r="W2095">
        <v>1</v>
      </c>
      <c r="X2095" s="8">
        <v>1</v>
      </c>
      <c r="Y2095" s="8">
        <v>0</v>
      </c>
      <c r="Z2095" s="33">
        <v>0</v>
      </c>
      <c r="AA2095">
        <v>5</v>
      </c>
      <c r="AB2095" s="34">
        <v>100</v>
      </c>
      <c r="AC2095" s="87">
        <v>70</v>
      </c>
      <c r="AD2095" s="62">
        <v>0</v>
      </c>
      <c r="AL2095" s="64">
        <v>1</v>
      </c>
      <c r="AN2095" s="338"/>
      <c r="AO2095" s="252"/>
      <c r="AP2095" s="236"/>
      <c r="AQ2095" t="s">
        <v>5442</v>
      </c>
      <c r="AS2095">
        <v>1</v>
      </c>
    </row>
    <row r="2096" spans="1:45">
      <c r="A2096">
        <v>511134</v>
      </c>
      <c r="B2096">
        <v>1001</v>
      </c>
      <c r="C2096">
        <v>1</v>
      </c>
      <c r="D2096">
        <v>1001</v>
      </c>
      <c r="E2096" t="s">
        <v>5482</v>
      </c>
      <c r="F2096" t="s">
        <v>5483</v>
      </c>
      <c r="G2096" t="s">
        <v>5484</v>
      </c>
      <c r="H2096" t="s">
        <v>5485</v>
      </c>
      <c r="I2096">
        <v>1</v>
      </c>
      <c r="J2096">
        <v>4</v>
      </c>
      <c r="K2096" s="87">
        <v>1</v>
      </c>
      <c r="L2096" s="8">
        <v>999</v>
      </c>
      <c r="M2096" s="8">
        <v>0</v>
      </c>
      <c r="S2096" s="89">
        <v>1</v>
      </c>
      <c r="T2096" s="8">
        <v>5</v>
      </c>
      <c r="U2096" s="89">
        <v>1</v>
      </c>
      <c r="V2096" s="87">
        <v>1</v>
      </c>
      <c r="W2096">
        <v>1</v>
      </c>
      <c r="X2096" s="8">
        <v>1</v>
      </c>
      <c r="Y2096" s="8">
        <v>0</v>
      </c>
      <c r="Z2096" s="33">
        <v>0</v>
      </c>
      <c r="AA2096">
        <v>5</v>
      </c>
      <c r="AB2096" s="34">
        <v>100</v>
      </c>
      <c r="AC2096" s="87">
        <v>70</v>
      </c>
      <c r="AD2096" s="62">
        <v>0</v>
      </c>
      <c r="AL2096" s="64">
        <v>1</v>
      </c>
      <c r="AS2096">
        <v>1</v>
      </c>
    </row>
    <row r="2097" spans="1:45">
      <c r="A2097">
        <v>511135</v>
      </c>
      <c r="B2097">
        <v>1001</v>
      </c>
      <c r="C2097">
        <v>1</v>
      </c>
      <c r="D2097">
        <v>1001</v>
      </c>
      <c r="E2097" t="s">
        <v>5482</v>
      </c>
      <c r="F2097" t="s">
        <v>5486</v>
      </c>
      <c r="G2097" t="s">
        <v>5484</v>
      </c>
      <c r="H2097" t="s">
        <v>5487</v>
      </c>
      <c r="I2097">
        <v>1</v>
      </c>
      <c r="J2097">
        <v>5</v>
      </c>
      <c r="K2097" s="87">
        <v>1</v>
      </c>
      <c r="L2097" s="8">
        <v>999</v>
      </c>
      <c r="M2097" s="8">
        <v>0</v>
      </c>
      <c r="N2097"/>
      <c r="S2097" s="89">
        <v>1</v>
      </c>
      <c r="T2097" s="8">
        <v>5</v>
      </c>
      <c r="U2097" s="89">
        <v>1</v>
      </c>
      <c r="V2097" s="87">
        <v>1</v>
      </c>
      <c r="W2097">
        <v>1</v>
      </c>
      <c r="X2097" s="8">
        <v>1</v>
      </c>
      <c r="Y2097" s="8">
        <v>0</v>
      </c>
      <c r="Z2097" s="33">
        <v>0</v>
      </c>
      <c r="AA2097">
        <v>5</v>
      </c>
      <c r="AB2097" s="34">
        <v>100</v>
      </c>
      <c r="AC2097" s="87">
        <v>70</v>
      </c>
      <c r="AD2097" s="62">
        <v>0</v>
      </c>
      <c r="AL2097" s="64">
        <v>1</v>
      </c>
      <c r="AS2097">
        <v>1</v>
      </c>
    </row>
    <row r="2098" spans="1:45">
      <c r="A2098">
        <v>511136</v>
      </c>
      <c r="B2098">
        <v>1001</v>
      </c>
      <c r="C2098">
        <v>6</v>
      </c>
      <c r="D2098">
        <v>1001</v>
      </c>
      <c r="E2098" t="s">
        <v>5482</v>
      </c>
      <c r="F2098" t="s">
        <v>5488</v>
      </c>
      <c r="G2098" t="s">
        <v>5489</v>
      </c>
      <c r="H2098" t="s">
        <v>1757</v>
      </c>
      <c r="I2098">
        <v>1</v>
      </c>
      <c r="J2098">
        <v>5</v>
      </c>
      <c r="K2098" s="248">
        <v>2</v>
      </c>
      <c r="L2098" s="8">
        <v>999</v>
      </c>
      <c r="M2098" s="8">
        <v>0</v>
      </c>
      <c r="N2098">
        <v>1017</v>
      </c>
      <c r="O2098" s="2">
        <v>10305</v>
      </c>
      <c r="S2098" s="89">
        <v>1</v>
      </c>
      <c r="T2098" s="8">
        <v>5</v>
      </c>
      <c r="U2098" s="89">
        <v>1</v>
      </c>
      <c r="V2098" s="87">
        <v>1</v>
      </c>
      <c r="W2098">
        <v>1</v>
      </c>
      <c r="X2098" s="8">
        <v>1</v>
      </c>
      <c r="Y2098" s="8">
        <v>0</v>
      </c>
      <c r="Z2098" s="33">
        <v>0</v>
      </c>
      <c r="AA2098">
        <v>5</v>
      </c>
      <c r="AB2098" s="34">
        <v>100</v>
      </c>
      <c r="AC2098" s="87">
        <v>70</v>
      </c>
      <c r="AD2098" s="62">
        <v>0</v>
      </c>
      <c r="AE2098" s="62">
        <v>4</v>
      </c>
      <c r="AF2098" s="62">
        <v>2</v>
      </c>
      <c r="AL2098" s="64">
        <v>1</v>
      </c>
      <c r="AS2098">
        <v>1</v>
      </c>
    </row>
    <row r="2099" spans="1:45">
      <c r="A2099">
        <v>511137</v>
      </c>
      <c r="B2099">
        <v>1001</v>
      </c>
      <c r="C2099">
        <v>1</v>
      </c>
      <c r="D2099">
        <v>1001</v>
      </c>
      <c r="E2099" t="s">
        <v>5490</v>
      </c>
      <c r="F2099" t="s">
        <v>5491</v>
      </c>
      <c r="G2099" t="s">
        <v>5492</v>
      </c>
      <c r="H2099" t="s">
        <v>388</v>
      </c>
      <c r="I2099">
        <v>1</v>
      </c>
      <c r="J2099">
        <v>4</v>
      </c>
      <c r="K2099" s="33">
        <v>1</v>
      </c>
      <c r="L2099" s="8">
        <v>999</v>
      </c>
      <c r="M2099" s="8">
        <v>0</v>
      </c>
      <c r="S2099" s="89">
        <v>1</v>
      </c>
      <c r="T2099" s="8">
        <v>5</v>
      </c>
      <c r="U2099" s="89">
        <v>1</v>
      </c>
      <c r="V2099" s="87">
        <v>1</v>
      </c>
      <c r="W2099">
        <v>1</v>
      </c>
      <c r="X2099" s="8">
        <v>1</v>
      </c>
      <c r="Y2099" s="8">
        <v>0</v>
      </c>
      <c r="Z2099" s="33">
        <v>0</v>
      </c>
      <c r="AA2099">
        <v>5</v>
      </c>
      <c r="AB2099" s="34">
        <v>100</v>
      </c>
      <c r="AC2099" s="87">
        <v>70</v>
      </c>
      <c r="AD2099" s="62">
        <v>0</v>
      </c>
      <c r="AL2099" s="64">
        <v>1</v>
      </c>
      <c r="AS2099">
        <v>1</v>
      </c>
    </row>
    <row r="2100" spans="1:45">
      <c r="A2100">
        <v>511138</v>
      </c>
      <c r="B2100">
        <v>1001</v>
      </c>
      <c r="C2100">
        <v>1</v>
      </c>
      <c r="D2100">
        <v>1001</v>
      </c>
      <c r="E2100" t="s">
        <v>5493</v>
      </c>
      <c r="F2100" t="s">
        <v>5494</v>
      </c>
      <c r="G2100" t="s">
        <v>5495</v>
      </c>
      <c r="H2100" t="s">
        <v>1574</v>
      </c>
      <c r="I2100">
        <v>1</v>
      </c>
      <c r="J2100">
        <v>5</v>
      </c>
      <c r="K2100" s="33">
        <v>1</v>
      </c>
      <c r="L2100" s="8">
        <v>999</v>
      </c>
      <c r="M2100" s="8">
        <v>0</v>
      </c>
      <c r="S2100" s="89">
        <v>1</v>
      </c>
      <c r="T2100" s="8">
        <v>5</v>
      </c>
      <c r="U2100" s="89">
        <v>1</v>
      </c>
      <c r="V2100" s="87">
        <v>1</v>
      </c>
      <c r="W2100">
        <v>1</v>
      </c>
      <c r="X2100" s="8">
        <v>1</v>
      </c>
      <c r="Y2100" s="8">
        <v>0</v>
      </c>
      <c r="Z2100" s="33">
        <v>0</v>
      </c>
      <c r="AA2100">
        <v>5</v>
      </c>
      <c r="AB2100" s="34">
        <v>100</v>
      </c>
      <c r="AC2100" s="87">
        <v>70</v>
      </c>
      <c r="AD2100" s="62">
        <v>0</v>
      </c>
      <c r="AL2100" s="64">
        <v>1</v>
      </c>
      <c r="AM2100" s="4"/>
      <c r="AN2100" s="93"/>
      <c r="AO2100" s="92"/>
      <c r="AQ2100"/>
      <c r="AR2100"/>
      <c r="AS2100">
        <v>1</v>
      </c>
    </row>
    <row r="2101" spans="1:45">
      <c r="A2101">
        <v>511139</v>
      </c>
      <c r="B2101">
        <v>1001</v>
      </c>
      <c r="C2101">
        <v>1</v>
      </c>
      <c r="D2101">
        <v>1001</v>
      </c>
      <c r="E2101" t="s">
        <v>5496</v>
      </c>
      <c r="F2101" t="s">
        <v>5496</v>
      </c>
      <c r="G2101" t="s">
        <v>5497</v>
      </c>
      <c r="H2101" t="s">
        <v>5498</v>
      </c>
      <c r="I2101">
        <v>1</v>
      </c>
      <c r="J2101">
        <v>5</v>
      </c>
      <c r="K2101" s="33">
        <v>1</v>
      </c>
      <c r="L2101" s="8">
        <v>999</v>
      </c>
      <c r="M2101" s="8">
        <v>0</v>
      </c>
      <c r="S2101" s="89">
        <v>1</v>
      </c>
      <c r="T2101" s="8">
        <v>5</v>
      </c>
      <c r="U2101" s="89">
        <v>1</v>
      </c>
      <c r="V2101" s="87">
        <v>1</v>
      </c>
      <c r="W2101">
        <v>1</v>
      </c>
      <c r="X2101" s="8">
        <v>1</v>
      </c>
      <c r="Y2101" s="8">
        <v>0</v>
      </c>
      <c r="Z2101" s="33">
        <v>0</v>
      </c>
      <c r="AA2101">
        <v>5</v>
      </c>
      <c r="AB2101" s="34">
        <v>100</v>
      </c>
      <c r="AC2101" s="87">
        <v>900</v>
      </c>
      <c r="AD2101" s="62">
        <v>0</v>
      </c>
      <c r="AM2101" s="4"/>
      <c r="AN2101" s="93"/>
      <c r="AO2101" s="92"/>
      <c r="AQ2101" t="s">
        <v>5496</v>
      </c>
      <c r="AR2101">
        <v>1</v>
      </c>
      <c r="AS2101">
        <v>1</v>
      </c>
    </row>
    <row r="2102" spans="1:45">
      <c r="A2102">
        <v>511140</v>
      </c>
      <c r="B2102">
        <v>1001</v>
      </c>
      <c r="C2102">
        <v>1</v>
      </c>
      <c r="D2102">
        <v>1001</v>
      </c>
      <c r="E2102" t="s">
        <v>5499</v>
      </c>
      <c r="F2102" t="s">
        <v>5499</v>
      </c>
      <c r="G2102" t="s">
        <v>5500</v>
      </c>
      <c r="H2102" t="s">
        <v>5501</v>
      </c>
      <c r="I2102">
        <v>1</v>
      </c>
      <c r="J2102">
        <v>5</v>
      </c>
      <c r="K2102" s="33">
        <v>1</v>
      </c>
      <c r="L2102" s="8">
        <v>999</v>
      </c>
      <c r="M2102" s="8">
        <v>0</v>
      </c>
      <c r="S2102" s="89">
        <v>1</v>
      </c>
      <c r="T2102" s="8">
        <v>5</v>
      </c>
      <c r="U2102" s="89">
        <v>1</v>
      </c>
      <c r="V2102" s="87">
        <v>1</v>
      </c>
      <c r="W2102">
        <v>1</v>
      </c>
      <c r="X2102" s="8">
        <v>1</v>
      </c>
      <c r="Y2102" s="8">
        <v>0</v>
      </c>
      <c r="Z2102" s="33">
        <v>0</v>
      </c>
      <c r="AA2102">
        <v>5</v>
      </c>
      <c r="AB2102" s="34">
        <v>100</v>
      </c>
      <c r="AC2102" s="87">
        <v>900</v>
      </c>
      <c r="AD2102" s="62">
        <v>0</v>
      </c>
      <c r="AM2102" s="4"/>
      <c r="AN2102" s="93"/>
      <c r="AO2102" s="92"/>
      <c r="AQ2102" t="s">
        <v>5499</v>
      </c>
      <c r="AR2102">
        <v>1</v>
      </c>
      <c r="AS2102">
        <v>1</v>
      </c>
    </row>
    <row r="2103" spans="1:45">
      <c r="A2103">
        <v>511141</v>
      </c>
      <c r="B2103">
        <v>1001</v>
      </c>
      <c r="C2103">
        <v>1</v>
      </c>
      <c r="D2103">
        <v>1001</v>
      </c>
      <c r="E2103" t="s">
        <v>5502</v>
      </c>
      <c r="F2103" t="s">
        <v>5502</v>
      </c>
      <c r="G2103" t="s">
        <v>5503</v>
      </c>
      <c r="H2103" t="s">
        <v>5504</v>
      </c>
      <c r="I2103">
        <v>1</v>
      </c>
      <c r="J2103">
        <v>5</v>
      </c>
      <c r="K2103" s="33">
        <v>1</v>
      </c>
      <c r="L2103" s="8">
        <v>999</v>
      </c>
      <c r="M2103" s="8">
        <v>0</v>
      </c>
      <c r="S2103" s="89">
        <v>1</v>
      </c>
      <c r="T2103" s="8">
        <v>5</v>
      </c>
      <c r="U2103" s="89">
        <v>1</v>
      </c>
      <c r="V2103" s="87">
        <v>1</v>
      </c>
      <c r="W2103">
        <v>1</v>
      </c>
      <c r="X2103" s="8">
        <v>1</v>
      </c>
      <c r="Y2103" s="8">
        <v>0</v>
      </c>
      <c r="Z2103" s="33">
        <v>0</v>
      </c>
      <c r="AA2103">
        <v>5</v>
      </c>
      <c r="AB2103" s="34">
        <v>100</v>
      </c>
      <c r="AC2103" s="87">
        <v>900</v>
      </c>
      <c r="AD2103" s="62">
        <v>0</v>
      </c>
      <c r="AM2103" s="4"/>
      <c r="AN2103" s="93"/>
      <c r="AO2103" s="92"/>
      <c r="AQ2103" t="s">
        <v>5502</v>
      </c>
      <c r="AR2103">
        <v>1</v>
      </c>
      <c r="AS2103">
        <v>1</v>
      </c>
    </row>
    <row r="2104" spans="1:45">
      <c r="A2104">
        <v>511142</v>
      </c>
      <c r="B2104">
        <v>1001</v>
      </c>
      <c r="C2104">
        <v>1</v>
      </c>
      <c r="D2104">
        <v>1001</v>
      </c>
      <c r="E2104" t="s">
        <v>5505</v>
      </c>
      <c r="F2104" t="s">
        <v>5505</v>
      </c>
      <c r="G2104" t="s">
        <v>5506</v>
      </c>
      <c r="H2104" t="s">
        <v>5507</v>
      </c>
      <c r="I2104">
        <v>1</v>
      </c>
      <c r="J2104">
        <v>5</v>
      </c>
      <c r="K2104" s="33">
        <v>1</v>
      </c>
      <c r="L2104" s="8">
        <v>999</v>
      </c>
      <c r="M2104" s="8">
        <v>0</v>
      </c>
      <c r="N2104"/>
      <c r="S2104" s="89">
        <v>1</v>
      </c>
      <c r="T2104" s="8">
        <v>5</v>
      </c>
      <c r="U2104" s="89">
        <v>1</v>
      </c>
      <c r="V2104" s="87">
        <v>1</v>
      </c>
      <c r="W2104">
        <v>1</v>
      </c>
      <c r="X2104" s="8">
        <v>1</v>
      </c>
      <c r="Y2104" s="8">
        <v>0</v>
      </c>
      <c r="Z2104" s="33">
        <v>0</v>
      </c>
      <c r="AA2104">
        <v>5</v>
      </c>
      <c r="AB2104" s="34">
        <v>100</v>
      </c>
      <c r="AC2104" s="87">
        <v>900</v>
      </c>
      <c r="AD2104" s="62">
        <v>0</v>
      </c>
      <c r="AM2104" s="4"/>
      <c r="AN2104" s="93"/>
      <c r="AO2104" s="92"/>
      <c r="AQ2104" t="s">
        <v>5505</v>
      </c>
      <c r="AR2104">
        <v>1</v>
      </c>
      <c r="AS2104">
        <v>1</v>
      </c>
    </row>
    <row r="2105" spans="1:45">
      <c r="A2105">
        <v>511143</v>
      </c>
      <c r="B2105">
        <v>1001</v>
      </c>
      <c r="C2105">
        <v>6</v>
      </c>
      <c r="D2105">
        <v>1001</v>
      </c>
      <c r="E2105" t="s">
        <v>5508</v>
      </c>
      <c r="F2105" t="s">
        <v>5508</v>
      </c>
      <c r="G2105" t="s">
        <v>5509</v>
      </c>
      <c r="H2105" t="s">
        <v>1812</v>
      </c>
      <c r="I2105">
        <v>1</v>
      </c>
      <c r="J2105">
        <v>5</v>
      </c>
      <c r="K2105" s="254">
        <v>2</v>
      </c>
      <c r="L2105" s="8">
        <v>999</v>
      </c>
      <c r="M2105" s="8">
        <v>0</v>
      </c>
      <c r="N2105" s="238">
        <v>1017</v>
      </c>
      <c r="O2105" s="2">
        <v>10306</v>
      </c>
      <c r="R2105" s="8"/>
      <c r="S2105" s="89">
        <v>1</v>
      </c>
      <c r="T2105" s="8">
        <v>5</v>
      </c>
      <c r="U2105" s="89">
        <v>1</v>
      </c>
      <c r="V2105" s="87">
        <v>1</v>
      </c>
      <c r="W2105">
        <v>1</v>
      </c>
      <c r="X2105" s="8">
        <v>1</v>
      </c>
      <c r="Y2105" s="8">
        <v>0</v>
      </c>
      <c r="Z2105" s="33">
        <v>0</v>
      </c>
      <c r="AA2105">
        <v>5</v>
      </c>
      <c r="AB2105" s="34">
        <v>100</v>
      </c>
      <c r="AC2105" s="87">
        <v>900</v>
      </c>
      <c r="AD2105" s="62">
        <v>0</v>
      </c>
      <c r="AE2105" s="62">
        <v>4</v>
      </c>
      <c r="AF2105" s="62">
        <v>2</v>
      </c>
      <c r="AL2105" s="64">
        <v>1</v>
      </c>
      <c r="AM2105" s="4"/>
      <c r="AN2105" s="93"/>
      <c r="AO2105" s="92"/>
      <c r="AP2105" s="8"/>
      <c r="AQ2105" t="s">
        <v>5510</v>
      </c>
      <c r="AR2105">
        <v>1</v>
      </c>
      <c r="AS2105">
        <v>1</v>
      </c>
    </row>
    <row r="2106" spans="1:45">
      <c r="A2106">
        <v>511144</v>
      </c>
      <c r="B2106">
        <v>1001</v>
      </c>
      <c r="C2106">
        <v>1</v>
      </c>
      <c r="D2106">
        <v>1001</v>
      </c>
      <c r="E2106" t="s">
        <v>5511</v>
      </c>
      <c r="F2106" t="s">
        <v>5511</v>
      </c>
      <c r="G2106" t="s">
        <v>5512</v>
      </c>
      <c r="H2106" t="s">
        <v>5507</v>
      </c>
      <c r="I2106">
        <v>1</v>
      </c>
      <c r="J2106">
        <v>5</v>
      </c>
      <c r="K2106" s="87">
        <v>1</v>
      </c>
      <c r="L2106" s="8">
        <v>999</v>
      </c>
      <c r="M2106" s="8">
        <v>0</v>
      </c>
      <c r="N2106" s="8"/>
      <c r="O2106" s="249"/>
      <c r="R2106" s="8"/>
      <c r="S2106" s="89">
        <v>1</v>
      </c>
      <c r="T2106" s="8">
        <v>5</v>
      </c>
      <c r="U2106" s="89">
        <v>1</v>
      </c>
      <c r="V2106" s="87">
        <v>1</v>
      </c>
      <c r="W2106">
        <v>1</v>
      </c>
      <c r="X2106" s="8">
        <v>1</v>
      </c>
      <c r="Y2106" s="8">
        <v>0</v>
      </c>
      <c r="Z2106" s="33">
        <v>0</v>
      </c>
      <c r="AA2106">
        <v>5</v>
      </c>
      <c r="AB2106" s="34">
        <v>100</v>
      </c>
      <c r="AC2106" s="87">
        <v>70</v>
      </c>
      <c r="AD2106" s="62">
        <v>0</v>
      </c>
      <c r="AL2106" s="64">
        <v>1</v>
      </c>
      <c r="AN2106" s="93"/>
      <c r="AO2106" s="92"/>
      <c r="AP2106" s="8"/>
      <c r="AQ2106" t="s">
        <v>5511</v>
      </c>
      <c r="AS2106">
        <v>1</v>
      </c>
    </row>
    <row r="2107" spans="1:45">
      <c r="A2107">
        <v>511145</v>
      </c>
      <c r="B2107">
        <v>1001</v>
      </c>
      <c r="C2107">
        <v>1</v>
      </c>
      <c r="D2107">
        <v>1001</v>
      </c>
      <c r="E2107" t="s">
        <v>5513</v>
      </c>
      <c r="F2107" t="s">
        <v>5514</v>
      </c>
      <c r="G2107" t="s">
        <v>5515</v>
      </c>
      <c r="H2107" t="s">
        <v>5507</v>
      </c>
      <c r="I2107">
        <v>1</v>
      </c>
      <c r="J2107">
        <v>5</v>
      </c>
      <c r="K2107" s="248">
        <v>2</v>
      </c>
      <c r="L2107" s="8">
        <v>999</v>
      </c>
      <c r="M2107" s="8">
        <v>0</v>
      </c>
      <c r="N2107" s="8">
        <v>1028</v>
      </c>
      <c r="O2107" s="249">
        <v>2</v>
      </c>
      <c r="R2107" s="236"/>
      <c r="S2107" s="89">
        <v>1</v>
      </c>
      <c r="T2107" s="8">
        <v>5</v>
      </c>
      <c r="U2107" s="89">
        <v>1</v>
      </c>
      <c r="V2107" s="87">
        <v>1</v>
      </c>
      <c r="W2107">
        <v>1</v>
      </c>
      <c r="X2107" s="8">
        <v>1</v>
      </c>
      <c r="Y2107" s="8">
        <v>0</v>
      </c>
      <c r="Z2107" s="33">
        <v>0</v>
      </c>
      <c r="AA2107">
        <v>5</v>
      </c>
      <c r="AB2107" s="34">
        <v>100</v>
      </c>
      <c r="AC2107" s="87">
        <v>70</v>
      </c>
      <c r="AD2107" s="62">
        <v>0</v>
      </c>
      <c r="AE2107" s="62">
        <v>1</v>
      </c>
      <c r="AF2107" s="62">
        <v>1</v>
      </c>
      <c r="AL2107" s="64">
        <v>1</v>
      </c>
      <c r="AN2107" s="338"/>
      <c r="AO2107" s="252"/>
      <c r="AP2107" s="236"/>
      <c r="AQ2107" t="s">
        <v>5511</v>
      </c>
      <c r="AS2107">
        <v>1</v>
      </c>
    </row>
    <row r="2108" spans="1:45">
      <c r="A2108">
        <v>511146</v>
      </c>
      <c r="B2108">
        <v>1001</v>
      </c>
      <c r="C2108">
        <v>1</v>
      </c>
      <c r="D2108">
        <v>1001</v>
      </c>
      <c r="E2108" t="s">
        <v>5516</v>
      </c>
      <c r="F2108" t="s">
        <v>5514</v>
      </c>
      <c r="H2108" t="s">
        <v>5507</v>
      </c>
      <c r="I2108">
        <v>1</v>
      </c>
      <c r="J2108">
        <v>5</v>
      </c>
      <c r="K2108" s="33">
        <v>2</v>
      </c>
      <c r="L2108" s="8">
        <v>999</v>
      </c>
      <c r="M2108" s="8">
        <v>0</v>
      </c>
      <c r="N2108" s="8">
        <v>1028</v>
      </c>
      <c r="O2108" s="2">
        <v>3</v>
      </c>
      <c r="S2108" s="89">
        <v>1</v>
      </c>
      <c r="T2108" s="8">
        <v>5</v>
      </c>
      <c r="U2108" s="89">
        <v>1</v>
      </c>
      <c r="V2108" s="87">
        <v>1</v>
      </c>
      <c r="W2108">
        <v>1</v>
      </c>
      <c r="X2108" s="8">
        <v>1</v>
      </c>
      <c r="Y2108" s="8">
        <v>0</v>
      </c>
      <c r="Z2108" s="33">
        <v>0</v>
      </c>
      <c r="AA2108">
        <v>5</v>
      </c>
      <c r="AB2108" s="34">
        <v>100</v>
      </c>
      <c r="AC2108" s="87">
        <v>70</v>
      </c>
      <c r="AD2108" s="62">
        <v>0</v>
      </c>
      <c r="AE2108" s="62">
        <v>1</v>
      </c>
      <c r="AF2108" s="62">
        <v>1</v>
      </c>
      <c r="AS2108">
        <v>1</v>
      </c>
    </row>
    <row r="2109" spans="1:45">
      <c r="A2109">
        <v>511147</v>
      </c>
      <c r="B2109">
        <v>1001</v>
      </c>
      <c r="C2109">
        <v>1</v>
      </c>
      <c r="D2109">
        <v>1001</v>
      </c>
      <c r="E2109" t="s">
        <v>5517</v>
      </c>
      <c r="F2109" t="s">
        <v>5514</v>
      </c>
      <c r="H2109" t="s">
        <v>5507</v>
      </c>
      <c r="I2109">
        <v>1</v>
      </c>
      <c r="J2109">
        <v>5</v>
      </c>
      <c r="K2109" s="33">
        <v>2</v>
      </c>
      <c r="L2109" s="8">
        <v>999</v>
      </c>
      <c r="M2109" s="8">
        <v>0</v>
      </c>
      <c r="N2109" s="8">
        <v>1028</v>
      </c>
      <c r="O2109" s="2">
        <v>4</v>
      </c>
      <c r="S2109" s="89">
        <v>1</v>
      </c>
      <c r="T2109" s="8">
        <v>5</v>
      </c>
      <c r="U2109" s="89">
        <v>1</v>
      </c>
      <c r="V2109" s="87">
        <v>1</v>
      </c>
      <c r="W2109">
        <v>1</v>
      </c>
      <c r="X2109" s="8">
        <v>1</v>
      </c>
      <c r="Y2109" s="8">
        <v>0</v>
      </c>
      <c r="Z2109" s="33">
        <v>0</v>
      </c>
      <c r="AA2109">
        <v>5</v>
      </c>
      <c r="AB2109" s="34">
        <v>100</v>
      </c>
      <c r="AC2109" s="87">
        <v>70</v>
      </c>
      <c r="AD2109" s="62">
        <v>0</v>
      </c>
      <c r="AE2109" s="62">
        <v>1</v>
      </c>
      <c r="AF2109" s="62">
        <v>1</v>
      </c>
      <c r="AS2109">
        <v>1</v>
      </c>
    </row>
    <row r="2110" spans="1:45">
      <c r="A2110">
        <v>511148</v>
      </c>
      <c r="B2110">
        <v>1001</v>
      </c>
      <c r="C2110">
        <v>1</v>
      </c>
      <c r="D2110">
        <v>1001</v>
      </c>
      <c r="E2110" t="s">
        <v>5518</v>
      </c>
      <c r="F2110" t="s">
        <v>5514</v>
      </c>
      <c r="H2110" t="s">
        <v>5507</v>
      </c>
      <c r="I2110">
        <v>1</v>
      </c>
      <c r="J2110">
        <v>5</v>
      </c>
      <c r="K2110" s="33">
        <v>2</v>
      </c>
      <c r="L2110" s="8">
        <v>999</v>
      </c>
      <c r="M2110" s="8">
        <v>0</v>
      </c>
      <c r="N2110" s="8">
        <v>1028</v>
      </c>
      <c r="O2110" s="2">
        <v>5</v>
      </c>
      <c r="S2110" s="89">
        <v>1</v>
      </c>
      <c r="T2110" s="8">
        <v>5</v>
      </c>
      <c r="U2110" s="89">
        <v>1</v>
      </c>
      <c r="V2110" s="87">
        <v>1</v>
      </c>
      <c r="W2110">
        <v>1</v>
      </c>
      <c r="X2110" s="8">
        <v>1</v>
      </c>
      <c r="Y2110" s="8">
        <v>0</v>
      </c>
      <c r="Z2110" s="33">
        <v>0</v>
      </c>
      <c r="AA2110">
        <v>5</v>
      </c>
      <c r="AB2110" s="34">
        <v>100</v>
      </c>
      <c r="AC2110" s="87">
        <v>70</v>
      </c>
      <c r="AD2110" s="62">
        <v>0</v>
      </c>
      <c r="AE2110" s="62">
        <v>1</v>
      </c>
      <c r="AF2110" s="62">
        <v>1</v>
      </c>
      <c r="AS2110">
        <v>1</v>
      </c>
    </row>
    <row r="2111" spans="1:45">
      <c r="A2111">
        <v>511149</v>
      </c>
      <c r="B2111">
        <v>1001</v>
      </c>
      <c r="C2111">
        <v>1</v>
      </c>
      <c r="D2111">
        <v>1001</v>
      </c>
      <c r="E2111" t="s">
        <v>5519</v>
      </c>
      <c r="F2111" t="s">
        <v>5514</v>
      </c>
      <c r="H2111" t="s">
        <v>5507</v>
      </c>
      <c r="I2111">
        <v>1</v>
      </c>
      <c r="J2111">
        <v>5</v>
      </c>
      <c r="K2111" s="33">
        <v>2</v>
      </c>
      <c r="L2111" s="236">
        <v>999</v>
      </c>
      <c r="M2111" s="236">
        <v>0</v>
      </c>
      <c r="N2111" s="236">
        <v>1028</v>
      </c>
      <c r="O2111" s="2">
        <v>6</v>
      </c>
      <c r="S2111" s="336">
        <v>1</v>
      </c>
      <c r="T2111" s="236">
        <v>5</v>
      </c>
      <c r="U2111" s="336">
        <v>1</v>
      </c>
      <c r="V2111" s="248">
        <v>1</v>
      </c>
      <c r="W2111">
        <v>1</v>
      </c>
      <c r="X2111" s="236">
        <v>1</v>
      </c>
      <c r="Y2111" s="236">
        <v>0</v>
      </c>
      <c r="Z2111" s="33">
        <v>0</v>
      </c>
      <c r="AA2111">
        <v>5</v>
      </c>
      <c r="AB2111" s="34">
        <v>100</v>
      </c>
      <c r="AC2111" s="248">
        <v>70</v>
      </c>
      <c r="AD2111" s="62">
        <v>0</v>
      </c>
      <c r="AE2111" s="62">
        <v>1</v>
      </c>
      <c r="AF2111" s="62">
        <v>1</v>
      </c>
      <c r="AS2111">
        <v>1</v>
      </c>
    </row>
    <row r="2112" spans="1:45">
      <c r="A2112">
        <v>2001000</v>
      </c>
      <c r="B2112">
        <v>1001</v>
      </c>
      <c r="C2112">
        <v>6</v>
      </c>
      <c r="D2112">
        <v>1001</v>
      </c>
      <c r="E2112" t="s">
        <v>5520</v>
      </c>
      <c r="F2112" t="s">
        <v>5521</v>
      </c>
      <c r="H2112" t="s">
        <v>1825</v>
      </c>
      <c r="I2112">
        <v>1</v>
      </c>
      <c r="J2112">
        <v>5</v>
      </c>
      <c r="K2112" s="33">
        <v>2</v>
      </c>
      <c r="L2112">
        <v>999</v>
      </c>
      <c r="M2112">
        <v>0</v>
      </c>
      <c r="N2112">
        <v>1018</v>
      </c>
      <c r="O2112" s="399" t="s">
        <v>5522</v>
      </c>
      <c r="S2112" s="33">
        <v>1</v>
      </c>
      <c r="T2112">
        <v>5</v>
      </c>
      <c r="U2112">
        <v>1</v>
      </c>
      <c r="V2112" s="33">
        <v>1</v>
      </c>
      <c r="W2112">
        <v>1</v>
      </c>
      <c r="X2112">
        <v>1</v>
      </c>
      <c r="Y2112">
        <v>0</v>
      </c>
      <c r="Z2112" s="33">
        <v>0</v>
      </c>
      <c r="AA2112">
        <v>5</v>
      </c>
      <c r="AB2112">
        <v>100</v>
      </c>
      <c r="AC2112">
        <v>70</v>
      </c>
      <c r="AD2112" s="62">
        <v>0</v>
      </c>
      <c r="AE2112" s="62">
        <v>5</v>
      </c>
      <c r="AF2112" s="62">
        <v>2</v>
      </c>
      <c r="AS2112">
        <v>1</v>
      </c>
    </row>
    <row r="2113" spans="1:45">
      <c r="A2113">
        <v>2001001</v>
      </c>
      <c r="B2113">
        <v>1001</v>
      </c>
      <c r="C2113">
        <v>6</v>
      </c>
      <c r="D2113">
        <v>1001</v>
      </c>
      <c r="E2113" t="s">
        <v>5523</v>
      </c>
      <c r="F2113" t="s">
        <v>5523</v>
      </c>
      <c r="G2113"/>
      <c r="H2113" t="s">
        <v>1825</v>
      </c>
      <c r="I2113">
        <v>1</v>
      </c>
      <c r="J2113">
        <v>5</v>
      </c>
      <c r="K2113" s="33">
        <v>2</v>
      </c>
      <c r="L2113">
        <v>999</v>
      </c>
      <c r="M2113">
        <v>0</v>
      </c>
      <c r="N2113">
        <v>1018</v>
      </c>
      <c r="O2113" s="2" t="s">
        <v>5524</v>
      </c>
      <c r="S2113" s="33">
        <v>1</v>
      </c>
      <c r="T2113">
        <v>5</v>
      </c>
      <c r="U2113">
        <v>1</v>
      </c>
      <c r="W2113">
        <v>1</v>
      </c>
      <c r="X2113">
        <v>1</v>
      </c>
      <c r="Y2113">
        <v>0</v>
      </c>
      <c r="Z2113" s="33">
        <v>0</v>
      </c>
      <c r="AA2113">
        <v>5</v>
      </c>
      <c r="AB2113">
        <v>100</v>
      </c>
      <c r="AC2113">
        <v>70</v>
      </c>
      <c r="AD2113" s="62">
        <v>0</v>
      </c>
      <c r="AE2113" s="62">
        <v>5</v>
      </c>
      <c r="AF2113" s="62">
        <v>2</v>
      </c>
      <c r="AQ2113"/>
      <c r="AS2113">
        <v>1</v>
      </c>
    </row>
    <row r="2114" spans="1:45">
      <c r="A2114">
        <v>511150</v>
      </c>
      <c r="B2114">
        <v>1001</v>
      </c>
      <c r="C2114">
        <v>6</v>
      </c>
      <c r="D2114">
        <v>1001</v>
      </c>
      <c r="E2114" t="s">
        <v>5525</v>
      </c>
      <c r="F2114" t="s">
        <v>5525</v>
      </c>
      <c r="G2114" t="s">
        <v>5526</v>
      </c>
      <c r="H2114" t="s">
        <v>5527</v>
      </c>
      <c r="I2114">
        <v>1</v>
      </c>
      <c r="J2114">
        <v>5</v>
      </c>
      <c r="K2114" s="33">
        <v>2</v>
      </c>
      <c r="L2114" s="238">
        <v>999</v>
      </c>
      <c r="M2114" s="238">
        <v>0</v>
      </c>
      <c r="N2114">
        <v>1017</v>
      </c>
      <c r="O2114" s="2">
        <v>30297</v>
      </c>
      <c r="S2114" s="254">
        <v>1</v>
      </c>
      <c r="T2114" s="238">
        <v>5</v>
      </c>
      <c r="U2114" s="238">
        <v>1</v>
      </c>
      <c r="V2114" s="254">
        <v>1</v>
      </c>
      <c r="W2114">
        <v>1</v>
      </c>
      <c r="X2114" s="238">
        <v>1</v>
      </c>
      <c r="Y2114" s="238">
        <v>0</v>
      </c>
      <c r="Z2114" s="33">
        <v>0</v>
      </c>
      <c r="AA2114">
        <v>5</v>
      </c>
      <c r="AB2114">
        <v>100</v>
      </c>
      <c r="AC2114" s="238">
        <v>70</v>
      </c>
      <c r="AD2114" s="62">
        <v>0</v>
      </c>
      <c r="AE2114" s="62">
        <v>4</v>
      </c>
      <c r="AF2114" s="62">
        <v>2</v>
      </c>
      <c r="AM2114" s="4"/>
      <c r="AN2114" s="93"/>
      <c r="AO2114" s="92"/>
      <c r="AQ2114" t="s">
        <v>5525</v>
      </c>
      <c r="AR2114"/>
      <c r="AS2114">
        <v>1</v>
      </c>
    </row>
    <row r="2115" spans="1:45">
      <c r="A2115">
        <v>511151</v>
      </c>
      <c r="B2115">
        <v>1001</v>
      </c>
      <c r="C2115">
        <v>1</v>
      </c>
      <c r="D2115">
        <v>1001</v>
      </c>
      <c r="E2115" t="s">
        <v>5528</v>
      </c>
      <c r="F2115" t="s">
        <v>5528</v>
      </c>
      <c r="G2115" t="s">
        <v>5529</v>
      </c>
      <c r="H2115" t="s">
        <v>1905</v>
      </c>
      <c r="I2115">
        <v>1</v>
      </c>
      <c r="J2115">
        <v>5</v>
      </c>
      <c r="K2115" s="254">
        <v>2</v>
      </c>
      <c r="L2115" s="8">
        <v>999</v>
      </c>
      <c r="M2115" s="8">
        <v>0</v>
      </c>
      <c r="N2115" s="8"/>
      <c r="O2115" s="249"/>
      <c r="R2115" s="8"/>
      <c r="S2115" s="89">
        <v>1</v>
      </c>
      <c r="T2115" s="8">
        <v>5</v>
      </c>
      <c r="U2115" s="89">
        <v>1</v>
      </c>
      <c r="V2115" s="87">
        <v>1</v>
      </c>
      <c r="W2115">
        <v>1</v>
      </c>
      <c r="X2115" s="8">
        <v>1</v>
      </c>
      <c r="Y2115" s="8">
        <v>0</v>
      </c>
      <c r="Z2115" s="33">
        <v>0</v>
      </c>
      <c r="AA2115">
        <v>5</v>
      </c>
      <c r="AB2115" s="34">
        <v>100</v>
      </c>
      <c r="AC2115" s="87">
        <v>70</v>
      </c>
      <c r="AD2115" s="62">
        <v>0</v>
      </c>
      <c r="AL2115" s="64">
        <v>1</v>
      </c>
      <c r="AM2115" s="4"/>
      <c r="AN2115" s="93"/>
      <c r="AO2115" s="92"/>
      <c r="AP2115" s="8"/>
      <c r="AQ2115" t="s">
        <v>5528</v>
      </c>
      <c r="AR2115">
        <v>1</v>
      </c>
      <c r="AS2115">
        <v>1</v>
      </c>
    </row>
    <row r="2116" spans="1:45">
      <c r="A2116">
        <v>511152</v>
      </c>
      <c r="B2116">
        <v>1001</v>
      </c>
      <c r="C2116">
        <v>1</v>
      </c>
      <c r="D2116">
        <v>1001</v>
      </c>
      <c r="E2116" t="s">
        <v>5530</v>
      </c>
      <c r="F2116" t="s">
        <v>5530</v>
      </c>
      <c r="G2116" t="s">
        <v>5529</v>
      </c>
      <c r="H2116" t="s">
        <v>5531</v>
      </c>
      <c r="I2116">
        <v>1</v>
      </c>
      <c r="J2116">
        <v>5</v>
      </c>
      <c r="K2116" s="248">
        <v>1</v>
      </c>
      <c r="L2116" s="236">
        <v>999</v>
      </c>
      <c r="M2116" s="236">
        <v>0</v>
      </c>
      <c r="N2116" s="236"/>
      <c r="O2116" s="249"/>
      <c r="R2116" s="236"/>
      <c r="S2116" s="336">
        <v>1</v>
      </c>
      <c r="T2116" s="236">
        <v>5</v>
      </c>
      <c r="U2116" s="336">
        <v>1</v>
      </c>
      <c r="V2116" s="248">
        <v>1</v>
      </c>
      <c r="W2116">
        <v>1</v>
      </c>
      <c r="X2116" s="236">
        <v>1</v>
      </c>
      <c r="Y2116" s="236">
        <v>0</v>
      </c>
      <c r="Z2116" s="33">
        <v>0</v>
      </c>
      <c r="AA2116">
        <v>5</v>
      </c>
      <c r="AB2116" s="34">
        <v>100</v>
      </c>
      <c r="AC2116" s="248">
        <v>70</v>
      </c>
      <c r="AD2116" s="62">
        <v>0</v>
      </c>
      <c r="AL2116" s="64">
        <v>1</v>
      </c>
      <c r="AN2116" s="338"/>
      <c r="AO2116" s="252"/>
      <c r="AP2116" s="236"/>
      <c r="AQ2116" t="s">
        <v>5530</v>
      </c>
      <c r="AR2116">
        <v>1</v>
      </c>
      <c r="AS2116">
        <v>1</v>
      </c>
    </row>
    <row r="2117" spans="1:45">
      <c r="A2117">
        <v>511153</v>
      </c>
      <c r="B2117">
        <v>1001</v>
      </c>
      <c r="C2117">
        <v>6</v>
      </c>
      <c r="D2117">
        <v>1001</v>
      </c>
      <c r="E2117" t="s">
        <v>5532</v>
      </c>
      <c r="F2117" t="s">
        <v>5532</v>
      </c>
      <c r="G2117" t="s">
        <v>5526</v>
      </c>
      <c r="H2117" t="s">
        <v>5527</v>
      </c>
      <c r="I2117">
        <v>1</v>
      </c>
      <c r="J2117">
        <v>5</v>
      </c>
      <c r="K2117" s="33">
        <v>2</v>
      </c>
      <c r="L2117">
        <v>999</v>
      </c>
      <c r="M2117">
        <v>0</v>
      </c>
      <c r="N2117">
        <v>1017</v>
      </c>
      <c r="O2117" s="2">
        <v>15118</v>
      </c>
      <c r="S2117" s="33">
        <v>1</v>
      </c>
      <c r="T2117">
        <v>5</v>
      </c>
      <c r="U2117">
        <v>1</v>
      </c>
      <c r="V2117" s="33">
        <v>1</v>
      </c>
      <c r="W2117">
        <v>1</v>
      </c>
      <c r="X2117">
        <v>1</v>
      </c>
      <c r="Y2117">
        <v>0</v>
      </c>
      <c r="Z2117" s="33">
        <v>0</v>
      </c>
      <c r="AA2117">
        <v>5</v>
      </c>
      <c r="AB2117">
        <v>100</v>
      </c>
      <c r="AC2117">
        <v>70</v>
      </c>
      <c r="AD2117" s="62">
        <v>0</v>
      </c>
      <c r="AE2117" s="62">
        <v>4</v>
      </c>
      <c r="AF2117" s="62">
        <v>2</v>
      </c>
      <c r="AL2117" s="64">
        <v>1</v>
      </c>
      <c r="AQ2117" t="s">
        <v>5533</v>
      </c>
      <c r="AS2117">
        <v>1</v>
      </c>
    </row>
    <row r="2118" spans="1:45">
      <c r="A2118">
        <v>511154</v>
      </c>
      <c r="B2118">
        <v>1001</v>
      </c>
      <c r="C2118">
        <v>6</v>
      </c>
      <c r="D2118">
        <v>1001</v>
      </c>
      <c r="E2118" t="s">
        <v>5534</v>
      </c>
      <c r="F2118" t="s">
        <v>5534</v>
      </c>
      <c r="G2118" t="s">
        <v>5526</v>
      </c>
      <c r="H2118" t="s">
        <v>5527</v>
      </c>
      <c r="I2118">
        <v>1</v>
      </c>
      <c r="J2118">
        <v>5</v>
      </c>
      <c r="K2118" s="33">
        <v>2</v>
      </c>
      <c r="L2118">
        <v>999</v>
      </c>
      <c r="M2118">
        <v>0</v>
      </c>
      <c r="N2118">
        <v>1017</v>
      </c>
      <c r="O2118" s="2">
        <v>15119</v>
      </c>
      <c r="S2118" s="33">
        <v>1</v>
      </c>
      <c r="T2118">
        <v>5</v>
      </c>
      <c r="U2118">
        <v>1</v>
      </c>
      <c r="V2118" s="33">
        <v>1</v>
      </c>
      <c r="W2118">
        <v>1</v>
      </c>
      <c r="X2118">
        <v>1</v>
      </c>
      <c r="Y2118">
        <v>0</v>
      </c>
      <c r="Z2118" s="33">
        <v>0</v>
      </c>
      <c r="AA2118">
        <v>5</v>
      </c>
      <c r="AB2118">
        <v>100</v>
      </c>
      <c r="AC2118">
        <v>70</v>
      </c>
      <c r="AD2118" s="62">
        <v>0</v>
      </c>
      <c r="AE2118" s="62">
        <v>4</v>
      </c>
      <c r="AF2118" s="62">
        <v>2</v>
      </c>
      <c r="AL2118" s="64">
        <v>1</v>
      </c>
      <c r="AQ2118" t="s">
        <v>5535</v>
      </c>
      <c r="AS2118">
        <v>1</v>
      </c>
    </row>
    <row r="2119" spans="1:45">
      <c r="A2119">
        <v>511155</v>
      </c>
      <c r="B2119">
        <v>1001</v>
      </c>
      <c r="C2119">
        <v>6</v>
      </c>
      <c r="D2119">
        <v>1001</v>
      </c>
      <c r="E2119" t="s">
        <v>5536</v>
      </c>
      <c r="F2119" t="s">
        <v>5536</v>
      </c>
      <c r="G2119" t="s">
        <v>5526</v>
      </c>
      <c r="H2119" t="s">
        <v>5537</v>
      </c>
      <c r="I2119">
        <v>1</v>
      </c>
      <c r="J2119">
        <v>5</v>
      </c>
      <c r="K2119" s="33">
        <v>2</v>
      </c>
      <c r="L2119">
        <v>999</v>
      </c>
      <c r="M2119">
        <v>0</v>
      </c>
      <c r="N2119">
        <v>1017</v>
      </c>
      <c r="O2119" s="2">
        <v>15120</v>
      </c>
      <c r="S2119" s="33">
        <v>1</v>
      </c>
      <c r="T2119">
        <v>5</v>
      </c>
      <c r="U2119">
        <v>1</v>
      </c>
      <c r="V2119" s="33">
        <v>1</v>
      </c>
      <c r="W2119">
        <v>1</v>
      </c>
      <c r="X2119">
        <v>1</v>
      </c>
      <c r="Y2119">
        <v>0</v>
      </c>
      <c r="Z2119" s="33">
        <v>0</v>
      </c>
      <c r="AA2119">
        <v>5</v>
      </c>
      <c r="AB2119">
        <v>100</v>
      </c>
      <c r="AC2119">
        <v>70</v>
      </c>
      <c r="AD2119" s="62">
        <v>0</v>
      </c>
      <c r="AE2119" s="62">
        <v>4</v>
      </c>
      <c r="AF2119" s="62">
        <v>2</v>
      </c>
      <c r="AL2119" s="64">
        <v>1</v>
      </c>
      <c r="AQ2119" t="s">
        <v>5538</v>
      </c>
      <c r="AS2119">
        <v>1</v>
      </c>
    </row>
    <row r="2120" spans="1:45">
      <c r="A2120">
        <v>511156</v>
      </c>
      <c r="B2120">
        <v>1001</v>
      </c>
      <c r="C2120">
        <v>6</v>
      </c>
      <c r="D2120">
        <v>1001</v>
      </c>
      <c r="E2120" t="s">
        <v>5539</v>
      </c>
      <c r="F2120" t="s">
        <v>5539</v>
      </c>
      <c r="G2120" t="s">
        <v>5526</v>
      </c>
      <c r="H2120" t="s">
        <v>5537</v>
      </c>
      <c r="I2120">
        <v>1</v>
      </c>
      <c r="J2120">
        <v>5</v>
      </c>
      <c r="K2120" s="33">
        <v>2</v>
      </c>
      <c r="L2120">
        <v>999</v>
      </c>
      <c r="M2120">
        <v>0</v>
      </c>
      <c r="N2120">
        <v>1017</v>
      </c>
      <c r="O2120" s="2">
        <v>15121</v>
      </c>
      <c r="S2120" s="33">
        <v>1</v>
      </c>
      <c r="T2120">
        <v>5</v>
      </c>
      <c r="U2120">
        <v>1</v>
      </c>
      <c r="V2120" s="33">
        <v>1</v>
      </c>
      <c r="W2120">
        <v>1</v>
      </c>
      <c r="X2120">
        <v>1</v>
      </c>
      <c r="Y2120">
        <v>0</v>
      </c>
      <c r="Z2120" s="33">
        <v>0</v>
      </c>
      <c r="AA2120">
        <v>5</v>
      </c>
      <c r="AB2120">
        <v>100</v>
      </c>
      <c r="AC2120">
        <v>70</v>
      </c>
      <c r="AD2120" s="62">
        <v>0</v>
      </c>
      <c r="AE2120" s="62">
        <v>4</v>
      </c>
      <c r="AF2120" s="62">
        <v>2</v>
      </c>
      <c r="AL2120" s="64">
        <v>1</v>
      </c>
      <c r="AQ2120" t="s">
        <v>5540</v>
      </c>
      <c r="AS2120">
        <v>1</v>
      </c>
    </row>
    <row r="2121" spans="1:45">
      <c r="A2121">
        <v>511157</v>
      </c>
      <c r="B2121">
        <v>1001</v>
      </c>
      <c r="C2121">
        <v>6</v>
      </c>
      <c r="D2121">
        <v>1001</v>
      </c>
      <c r="E2121" t="s">
        <v>5541</v>
      </c>
      <c r="F2121" t="s">
        <v>5541</v>
      </c>
      <c r="G2121" t="s">
        <v>5526</v>
      </c>
      <c r="H2121" t="s">
        <v>5542</v>
      </c>
      <c r="I2121">
        <v>1</v>
      </c>
      <c r="J2121">
        <v>5</v>
      </c>
      <c r="K2121" s="33">
        <v>2</v>
      </c>
      <c r="L2121">
        <v>999</v>
      </c>
      <c r="M2121">
        <v>0</v>
      </c>
      <c r="N2121">
        <v>1017</v>
      </c>
      <c r="O2121" s="2">
        <v>15122</v>
      </c>
      <c r="S2121" s="33">
        <v>1</v>
      </c>
      <c r="T2121">
        <v>5</v>
      </c>
      <c r="U2121">
        <v>1</v>
      </c>
      <c r="V2121" s="33">
        <v>1</v>
      </c>
      <c r="W2121">
        <v>1</v>
      </c>
      <c r="X2121">
        <v>1</v>
      </c>
      <c r="Y2121">
        <v>0</v>
      </c>
      <c r="Z2121" s="33">
        <v>0</v>
      </c>
      <c r="AA2121">
        <v>5</v>
      </c>
      <c r="AB2121">
        <v>100</v>
      </c>
      <c r="AC2121">
        <v>70</v>
      </c>
      <c r="AD2121" s="62">
        <v>0</v>
      </c>
      <c r="AE2121" s="62">
        <v>4</v>
      </c>
      <c r="AF2121" s="62">
        <v>2</v>
      </c>
      <c r="AL2121" s="64">
        <v>1</v>
      </c>
      <c r="AQ2121" t="s">
        <v>5543</v>
      </c>
      <c r="AS2121">
        <v>1</v>
      </c>
    </row>
    <row r="2122" spans="1:45">
      <c r="A2122">
        <v>511158</v>
      </c>
      <c r="B2122">
        <v>1001</v>
      </c>
      <c r="C2122">
        <v>6</v>
      </c>
      <c r="D2122">
        <v>1001</v>
      </c>
      <c r="E2122" t="s">
        <v>5544</v>
      </c>
      <c r="F2122" t="s">
        <v>5544</v>
      </c>
      <c r="G2122" t="s">
        <v>5526</v>
      </c>
      <c r="H2122" t="s">
        <v>5542</v>
      </c>
      <c r="I2122">
        <v>1</v>
      </c>
      <c r="J2122">
        <v>5</v>
      </c>
      <c r="K2122" s="33">
        <v>2</v>
      </c>
      <c r="L2122">
        <v>999</v>
      </c>
      <c r="M2122">
        <v>0</v>
      </c>
      <c r="N2122">
        <v>1017</v>
      </c>
      <c r="O2122" s="2">
        <v>15123</v>
      </c>
      <c r="S2122" s="33">
        <v>1</v>
      </c>
      <c r="T2122">
        <v>5</v>
      </c>
      <c r="U2122">
        <v>1</v>
      </c>
      <c r="V2122" s="33">
        <v>1</v>
      </c>
      <c r="W2122">
        <v>1</v>
      </c>
      <c r="X2122">
        <v>1</v>
      </c>
      <c r="Y2122">
        <v>0</v>
      </c>
      <c r="Z2122" s="33">
        <v>0</v>
      </c>
      <c r="AA2122">
        <v>5</v>
      </c>
      <c r="AB2122">
        <v>100</v>
      </c>
      <c r="AC2122">
        <v>70</v>
      </c>
      <c r="AD2122" s="62">
        <v>0</v>
      </c>
      <c r="AE2122" s="62">
        <v>4</v>
      </c>
      <c r="AF2122" s="62">
        <v>2</v>
      </c>
      <c r="AL2122" s="64">
        <v>1</v>
      </c>
      <c r="AQ2122" t="s">
        <v>5545</v>
      </c>
      <c r="AS2122">
        <v>1</v>
      </c>
    </row>
    <row r="2123" spans="1:45">
      <c r="A2123">
        <v>511159</v>
      </c>
      <c r="B2123">
        <v>1001</v>
      </c>
      <c r="C2123">
        <v>6</v>
      </c>
      <c r="D2123">
        <v>1001</v>
      </c>
      <c r="E2123" t="s">
        <v>5546</v>
      </c>
      <c r="F2123" t="s">
        <v>5547</v>
      </c>
      <c r="G2123" t="s">
        <v>5548</v>
      </c>
      <c r="H2123" t="s">
        <v>1825</v>
      </c>
      <c r="I2123">
        <v>1</v>
      </c>
      <c r="J2123">
        <v>5</v>
      </c>
      <c r="K2123" s="33">
        <v>2</v>
      </c>
      <c r="L2123">
        <v>999</v>
      </c>
      <c r="M2123">
        <v>0</v>
      </c>
      <c r="N2123">
        <v>1018</v>
      </c>
      <c r="O2123" s="2" t="s">
        <v>5549</v>
      </c>
      <c r="S2123" s="33">
        <v>1</v>
      </c>
      <c r="T2123">
        <v>5</v>
      </c>
      <c r="U2123">
        <v>1</v>
      </c>
      <c r="W2123">
        <v>1</v>
      </c>
      <c r="X2123">
        <v>1</v>
      </c>
      <c r="Y2123">
        <v>0</v>
      </c>
      <c r="Z2123" s="33">
        <v>0</v>
      </c>
      <c r="AA2123">
        <v>5</v>
      </c>
      <c r="AB2123">
        <v>100</v>
      </c>
      <c r="AC2123">
        <v>70</v>
      </c>
      <c r="AD2123" s="62">
        <v>0</v>
      </c>
      <c r="AE2123" s="62">
        <v>5</v>
      </c>
      <c r="AF2123" s="62">
        <v>2</v>
      </c>
      <c r="AQ2123" t="s">
        <v>5546</v>
      </c>
      <c r="AS2123">
        <v>1</v>
      </c>
    </row>
    <row r="2124" spans="1:45">
      <c r="A2124">
        <v>511160</v>
      </c>
      <c r="B2124">
        <v>1001</v>
      </c>
      <c r="C2124">
        <v>6</v>
      </c>
      <c r="D2124">
        <v>1001</v>
      </c>
      <c r="E2124" t="s">
        <v>5550</v>
      </c>
      <c r="F2124" t="s">
        <v>5551</v>
      </c>
      <c r="G2124" t="s">
        <v>5552</v>
      </c>
      <c r="H2124" t="s">
        <v>1822</v>
      </c>
      <c r="I2124">
        <v>1</v>
      </c>
      <c r="J2124">
        <v>5</v>
      </c>
      <c r="K2124" s="33">
        <v>2</v>
      </c>
      <c r="L2124">
        <v>999</v>
      </c>
      <c r="M2124">
        <v>0</v>
      </c>
      <c r="N2124">
        <v>1018</v>
      </c>
      <c r="O2124" s="2" t="s">
        <v>5553</v>
      </c>
      <c r="S2124" s="33">
        <v>1</v>
      </c>
      <c r="T2124">
        <v>5</v>
      </c>
      <c r="U2124">
        <v>1</v>
      </c>
      <c r="W2124">
        <v>1</v>
      </c>
      <c r="X2124">
        <v>1</v>
      </c>
      <c r="Y2124">
        <v>0</v>
      </c>
      <c r="Z2124" s="33">
        <v>0</v>
      </c>
      <c r="AA2124">
        <v>5</v>
      </c>
      <c r="AB2124">
        <v>100</v>
      </c>
      <c r="AC2124">
        <v>70</v>
      </c>
      <c r="AD2124" s="62">
        <v>0</v>
      </c>
      <c r="AE2124" s="62">
        <v>5</v>
      </c>
      <c r="AF2124" s="62">
        <v>2</v>
      </c>
      <c r="AQ2124" t="s">
        <v>5550</v>
      </c>
      <c r="AS2124">
        <v>1</v>
      </c>
    </row>
    <row r="2125" spans="1:45">
      <c r="A2125">
        <v>511161</v>
      </c>
      <c r="B2125">
        <v>1001</v>
      </c>
      <c r="C2125">
        <v>6</v>
      </c>
      <c r="D2125">
        <v>1001</v>
      </c>
      <c r="E2125" t="s">
        <v>5554</v>
      </c>
      <c r="F2125" t="s">
        <v>5554</v>
      </c>
      <c r="G2125" t="s">
        <v>5555</v>
      </c>
      <c r="H2125" t="s">
        <v>1760</v>
      </c>
      <c r="I2125">
        <v>1</v>
      </c>
      <c r="J2125">
        <v>5</v>
      </c>
      <c r="K2125" s="33">
        <v>2</v>
      </c>
      <c r="L2125">
        <v>999</v>
      </c>
      <c r="M2125">
        <v>0</v>
      </c>
      <c r="N2125">
        <v>1017</v>
      </c>
      <c r="O2125" s="2">
        <v>15124</v>
      </c>
      <c r="S2125" s="33">
        <v>1</v>
      </c>
      <c r="T2125">
        <v>5</v>
      </c>
      <c r="U2125">
        <v>1</v>
      </c>
      <c r="V2125" s="33">
        <v>1</v>
      </c>
      <c r="W2125">
        <v>1</v>
      </c>
      <c r="X2125">
        <v>1</v>
      </c>
      <c r="Y2125">
        <v>0</v>
      </c>
      <c r="Z2125" s="33">
        <v>0</v>
      </c>
      <c r="AA2125">
        <v>5</v>
      </c>
      <c r="AB2125">
        <v>100</v>
      </c>
      <c r="AC2125">
        <v>70</v>
      </c>
      <c r="AD2125" s="62">
        <v>0</v>
      </c>
      <c r="AE2125" s="62">
        <v>4</v>
      </c>
      <c r="AF2125" s="62">
        <v>2</v>
      </c>
      <c r="AL2125" s="64">
        <v>1</v>
      </c>
      <c r="AQ2125" t="s">
        <v>5554</v>
      </c>
      <c r="AS2125">
        <v>1</v>
      </c>
    </row>
    <row r="2126" spans="1:45">
      <c r="A2126">
        <v>511162</v>
      </c>
      <c r="B2126">
        <v>1001</v>
      </c>
      <c r="C2126">
        <v>6</v>
      </c>
      <c r="D2126">
        <v>1001</v>
      </c>
      <c r="E2126" t="s">
        <v>5556</v>
      </c>
      <c r="F2126" t="s">
        <v>5557</v>
      </c>
      <c r="G2126" t="s">
        <v>5558</v>
      </c>
      <c r="H2126" t="s">
        <v>5559</v>
      </c>
      <c r="I2126">
        <v>1</v>
      </c>
      <c r="J2126">
        <v>5</v>
      </c>
      <c r="K2126" s="33">
        <v>2</v>
      </c>
      <c r="L2126">
        <v>999</v>
      </c>
      <c r="M2126">
        <v>0</v>
      </c>
      <c r="N2126">
        <v>1018</v>
      </c>
      <c r="O2126" s="2" t="s">
        <v>5560</v>
      </c>
      <c r="S2126" s="33">
        <v>1</v>
      </c>
      <c r="T2126">
        <v>5</v>
      </c>
      <c r="U2126">
        <v>1</v>
      </c>
      <c r="V2126" s="33">
        <v>1</v>
      </c>
      <c r="W2126">
        <v>1</v>
      </c>
      <c r="X2126">
        <v>1</v>
      </c>
      <c r="Y2126">
        <v>0</v>
      </c>
      <c r="Z2126" s="33">
        <v>0</v>
      </c>
      <c r="AA2126">
        <v>5</v>
      </c>
      <c r="AB2126">
        <v>100</v>
      </c>
      <c r="AC2126">
        <v>70</v>
      </c>
      <c r="AD2126" s="62">
        <v>0</v>
      </c>
      <c r="AE2126" s="62">
        <v>5</v>
      </c>
      <c r="AF2126" s="62">
        <v>2</v>
      </c>
      <c r="AQ2126" t="s">
        <v>5556</v>
      </c>
      <c r="AS2126">
        <v>1</v>
      </c>
    </row>
    <row r="2127" ht="14.25" customHeight="1" spans="1:45">
      <c r="A2127">
        <v>511163</v>
      </c>
      <c r="B2127" s="238">
        <v>1001</v>
      </c>
      <c r="C2127" s="238">
        <v>6</v>
      </c>
      <c r="D2127" s="238">
        <v>1001</v>
      </c>
      <c r="E2127" t="s">
        <v>5561</v>
      </c>
      <c r="F2127" s="238" t="s">
        <v>5561</v>
      </c>
      <c r="G2127" t="s">
        <v>5562</v>
      </c>
      <c r="H2127" t="s">
        <v>1818</v>
      </c>
      <c r="I2127">
        <v>1</v>
      </c>
      <c r="J2127">
        <v>5</v>
      </c>
      <c r="K2127" s="254">
        <v>2</v>
      </c>
      <c r="L2127" s="238">
        <v>999</v>
      </c>
      <c r="M2127" s="238">
        <v>0</v>
      </c>
      <c r="N2127" s="238">
        <v>1018</v>
      </c>
      <c r="O2127" s="2" t="s">
        <v>5563</v>
      </c>
      <c r="S2127" s="254">
        <v>1</v>
      </c>
      <c r="T2127" s="238">
        <v>5</v>
      </c>
      <c r="U2127" s="238">
        <v>1</v>
      </c>
      <c r="V2127" s="87"/>
      <c r="W2127">
        <v>1</v>
      </c>
      <c r="X2127" s="238">
        <v>1</v>
      </c>
      <c r="Y2127">
        <v>0</v>
      </c>
      <c r="Z2127" s="33">
        <v>0</v>
      </c>
      <c r="AA2127">
        <v>5</v>
      </c>
      <c r="AB2127">
        <v>100</v>
      </c>
      <c r="AC2127" s="238">
        <v>70</v>
      </c>
      <c r="AD2127" s="62">
        <v>0</v>
      </c>
      <c r="AE2127" s="255">
        <v>5</v>
      </c>
      <c r="AF2127" s="255">
        <v>2</v>
      </c>
      <c r="AG2127" s="91"/>
      <c r="AH2127" s="91"/>
      <c r="AI2127" s="91"/>
      <c r="AJ2127" s="91"/>
      <c r="AK2127" s="91"/>
      <c r="AL2127" s="92"/>
      <c r="AM2127" s="92"/>
      <c r="AN2127" s="93"/>
      <c r="AO2127" s="92"/>
      <c r="AP2127" s="86"/>
      <c r="AQ2127" t="s">
        <v>5546</v>
      </c>
      <c r="AR2127"/>
      <c r="AS2127">
        <v>1</v>
      </c>
    </row>
    <row r="2128" ht="14.25" customHeight="1" spans="1:45">
      <c r="A2128">
        <v>511164</v>
      </c>
      <c r="B2128" s="8">
        <v>1001</v>
      </c>
      <c r="C2128" s="8">
        <v>6</v>
      </c>
      <c r="D2128" s="8">
        <v>1001</v>
      </c>
      <c r="E2128" t="s">
        <v>4241</v>
      </c>
      <c r="F2128" s="253" t="s">
        <v>4241</v>
      </c>
      <c r="G2128" t="s">
        <v>5564</v>
      </c>
      <c r="H2128" t="s">
        <v>4242</v>
      </c>
      <c r="I2128">
        <v>1</v>
      </c>
      <c r="J2128" s="69">
        <v>4</v>
      </c>
      <c r="K2128" s="248">
        <v>2</v>
      </c>
      <c r="L2128" s="8">
        <v>999</v>
      </c>
      <c r="M2128" s="236">
        <v>0</v>
      </c>
      <c r="N2128" s="8">
        <v>1017</v>
      </c>
      <c r="O2128" s="258">
        <v>33030</v>
      </c>
      <c r="S2128" s="89">
        <v>1</v>
      </c>
      <c r="T2128" s="8">
        <v>5</v>
      </c>
      <c r="U2128" s="89">
        <v>170</v>
      </c>
      <c r="V2128" s="87">
        <v>1</v>
      </c>
      <c r="W2128">
        <v>1</v>
      </c>
      <c r="X2128" s="8">
        <v>1</v>
      </c>
      <c r="Y2128">
        <v>0</v>
      </c>
      <c r="Z2128" s="33">
        <v>0</v>
      </c>
      <c r="AA2128">
        <v>5</v>
      </c>
      <c r="AB2128" s="34">
        <v>6460</v>
      </c>
      <c r="AC2128" s="87">
        <v>123</v>
      </c>
      <c r="AD2128" s="62">
        <v>0</v>
      </c>
      <c r="AE2128" s="90">
        <v>4</v>
      </c>
      <c r="AF2128" s="90">
        <v>2</v>
      </c>
      <c r="AG2128" s="91"/>
      <c r="AH2128" s="251">
        <v>1</v>
      </c>
      <c r="AI2128" s="251"/>
      <c r="AJ2128" s="251"/>
      <c r="AK2128" s="251"/>
      <c r="AL2128" s="92">
        <v>1</v>
      </c>
      <c r="AM2128" s="252"/>
      <c r="AN2128" s="338"/>
      <c r="AO2128" s="252"/>
      <c r="AP2128" s="86"/>
      <c r="AQ2128" t="s">
        <v>5565</v>
      </c>
      <c r="AR2128">
        <v>1</v>
      </c>
      <c r="AS2128">
        <v>1</v>
      </c>
    </row>
    <row r="2129" spans="1:45">
      <c r="A2129">
        <v>511165</v>
      </c>
      <c r="B2129" s="8">
        <v>1001</v>
      </c>
      <c r="C2129" s="8">
        <v>6</v>
      </c>
      <c r="D2129" s="8">
        <v>1001</v>
      </c>
      <c r="E2129" t="s">
        <v>5566</v>
      </c>
      <c r="F2129" t="s">
        <v>5567</v>
      </c>
      <c r="G2129" t="s">
        <v>5568</v>
      </c>
      <c r="H2129" t="s">
        <v>1818</v>
      </c>
      <c r="I2129">
        <v>1</v>
      </c>
      <c r="J2129">
        <v>5</v>
      </c>
      <c r="K2129" s="33">
        <v>2</v>
      </c>
      <c r="L2129" s="8">
        <v>999</v>
      </c>
      <c r="M2129">
        <v>0</v>
      </c>
      <c r="N2129" s="8">
        <v>1</v>
      </c>
      <c r="O2129" s="88" t="s">
        <v>5569</v>
      </c>
      <c r="R2129" s="8"/>
      <c r="S2129" s="89">
        <v>1</v>
      </c>
      <c r="T2129" s="8">
        <v>5</v>
      </c>
      <c r="U2129" s="89">
        <v>1</v>
      </c>
      <c r="V2129" s="87">
        <v>1</v>
      </c>
      <c r="W2129">
        <v>1</v>
      </c>
      <c r="X2129" s="8">
        <v>1</v>
      </c>
      <c r="Y2129">
        <v>0</v>
      </c>
      <c r="Z2129" s="33">
        <v>0</v>
      </c>
      <c r="AA2129">
        <v>5</v>
      </c>
      <c r="AB2129" s="34">
        <v>100</v>
      </c>
      <c r="AC2129" s="87">
        <v>23</v>
      </c>
      <c r="AD2129" s="62">
        <v>0</v>
      </c>
      <c r="AE2129" s="90">
        <v>4</v>
      </c>
      <c r="AF2129" s="90">
        <v>2</v>
      </c>
      <c r="AG2129" s="91"/>
      <c r="AL2129" s="92">
        <v>1</v>
      </c>
      <c r="AS2129">
        <v>1</v>
      </c>
    </row>
    <row r="2130" spans="1:45">
      <c r="A2130">
        <v>511166</v>
      </c>
      <c r="B2130" s="8">
        <v>1001</v>
      </c>
      <c r="C2130" s="8">
        <v>6</v>
      </c>
      <c r="D2130" s="8">
        <v>1001</v>
      </c>
      <c r="E2130" t="s">
        <v>5570</v>
      </c>
      <c r="F2130" t="s">
        <v>5571</v>
      </c>
      <c r="G2130" t="s">
        <v>5572</v>
      </c>
      <c r="H2130" t="s">
        <v>1818</v>
      </c>
      <c r="I2130">
        <v>1</v>
      </c>
      <c r="J2130">
        <v>5</v>
      </c>
      <c r="K2130" s="33">
        <v>2</v>
      </c>
      <c r="L2130" s="8">
        <v>999</v>
      </c>
      <c r="M2130">
        <v>0</v>
      </c>
      <c r="N2130" s="8">
        <v>1</v>
      </c>
      <c r="O2130" s="88" t="s">
        <v>5573</v>
      </c>
      <c r="R2130" s="8"/>
      <c r="S2130" s="89">
        <v>1</v>
      </c>
      <c r="T2130" s="8">
        <v>5</v>
      </c>
      <c r="U2130" s="89">
        <v>1</v>
      </c>
      <c r="V2130" s="87">
        <v>1</v>
      </c>
      <c r="W2130">
        <v>1</v>
      </c>
      <c r="X2130" s="8">
        <v>1</v>
      </c>
      <c r="Y2130">
        <v>0</v>
      </c>
      <c r="Z2130" s="33">
        <v>0</v>
      </c>
      <c r="AA2130">
        <v>5</v>
      </c>
      <c r="AB2130" s="34">
        <v>100</v>
      </c>
      <c r="AC2130" s="87">
        <v>23</v>
      </c>
      <c r="AD2130" s="62">
        <v>0</v>
      </c>
      <c r="AE2130" s="90">
        <v>4</v>
      </c>
      <c r="AF2130" s="90">
        <v>2</v>
      </c>
      <c r="AG2130" s="91"/>
      <c r="AL2130" s="92">
        <v>1</v>
      </c>
      <c r="AS2130">
        <v>1</v>
      </c>
    </row>
    <row r="2131" spans="1:45">
      <c r="A2131">
        <v>511167</v>
      </c>
      <c r="B2131" s="8">
        <v>1001</v>
      </c>
      <c r="C2131" s="236">
        <v>6</v>
      </c>
      <c r="D2131" s="8">
        <v>1001</v>
      </c>
      <c r="E2131" t="s">
        <v>5574</v>
      </c>
      <c r="F2131" t="s">
        <v>5575</v>
      </c>
      <c r="G2131" t="s">
        <v>5576</v>
      </c>
      <c r="H2131" t="s">
        <v>1818</v>
      </c>
      <c r="I2131">
        <v>1</v>
      </c>
      <c r="J2131">
        <v>5</v>
      </c>
      <c r="K2131" s="33">
        <v>2</v>
      </c>
      <c r="L2131" s="236">
        <v>999</v>
      </c>
      <c r="M2131">
        <v>0</v>
      </c>
      <c r="N2131" s="236">
        <v>1</v>
      </c>
      <c r="O2131" s="257" t="s">
        <v>5577</v>
      </c>
      <c r="R2131" s="8"/>
      <c r="S2131" s="336">
        <v>1</v>
      </c>
      <c r="T2131" s="236">
        <v>5</v>
      </c>
      <c r="U2131" s="336">
        <v>1</v>
      </c>
      <c r="V2131" s="248">
        <v>1</v>
      </c>
      <c r="W2131">
        <v>1</v>
      </c>
      <c r="X2131" s="8">
        <v>1</v>
      </c>
      <c r="Y2131">
        <v>0</v>
      </c>
      <c r="Z2131" s="33">
        <v>0</v>
      </c>
      <c r="AA2131">
        <v>5</v>
      </c>
      <c r="AB2131" s="34">
        <v>100</v>
      </c>
      <c r="AC2131" s="248">
        <v>23</v>
      </c>
      <c r="AD2131" s="62">
        <v>0</v>
      </c>
      <c r="AE2131" s="250">
        <v>4</v>
      </c>
      <c r="AF2131" s="250">
        <v>2</v>
      </c>
      <c r="AG2131" s="251"/>
      <c r="AL2131" s="252">
        <v>1</v>
      </c>
      <c r="AS2131">
        <v>1</v>
      </c>
    </row>
    <row r="2132" spans="1:45">
      <c r="A2132">
        <v>511168</v>
      </c>
      <c r="B2132" s="8">
        <v>1001</v>
      </c>
      <c r="C2132">
        <v>6</v>
      </c>
      <c r="D2132" s="8">
        <v>1001</v>
      </c>
      <c r="E2132" t="s">
        <v>5578</v>
      </c>
      <c r="F2132" t="s">
        <v>5578</v>
      </c>
      <c r="G2132" t="s">
        <v>5579</v>
      </c>
      <c r="H2132" t="s">
        <v>5559</v>
      </c>
      <c r="I2132">
        <v>1</v>
      </c>
      <c r="J2132">
        <v>5</v>
      </c>
      <c r="K2132" s="33">
        <v>2</v>
      </c>
      <c r="L2132">
        <v>999</v>
      </c>
      <c r="M2132">
        <v>0</v>
      </c>
      <c r="N2132">
        <v>1018</v>
      </c>
      <c r="O2132" s="2" t="s">
        <v>5580</v>
      </c>
      <c r="R2132" s="8"/>
      <c r="S2132" s="33">
        <v>1</v>
      </c>
      <c r="T2132">
        <v>5</v>
      </c>
      <c r="U2132">
        <v>1</v>
      </c>
      <c r="W2132">
        <v>1</v>
      </c>
      <c r="X2132" s="8">
        <v>1</v>
      </c>
      <c r="Y2132">
        <v>0</v>
      </c>
      <c r="Z2132" s="33">
        <v>0</v>
      </c>
      <c r="AA2132">
        <v>5</v>
      </c>
      <c r="AB2132">
        <v>100</v>
      </c>
      <c r="AC2132">
        <v>70</v>
      </c>
      <c r="AD2132" s="62">
        <v>0</v>
      </c>
      <c r="AE2132" s="62">
        <v>5</v>
      </c>
      <c r="AF2132" s="62">
        <v>2</v>
      </c>
      <c r="AS2132">
        <v>1</v>
      </c>
    </row>
    <row r="2133" spans="1:45">
      <c r="A2133">
        <v>511169</v>
      </c>
      <c r="B2133" s="8">
        <v>1001</v>
      </c>
      <c r="C2133">
        <v>6</v>
      </c>
      <c r="D2133" s="8">
        <v>1001</v>
      </c>
      <c r="E2133" t="s">
        <v>5581</v>
      </c>
      <c r="F2133" t="s">
        <v>5581</v>
      </c>
      <c r="G2133" t="s">
        <v>5582</v>
      </c>
      <c r="H2133" t="s">
        <v>5559</v>
      </c>
      <c r="I2133">
        <v>1</v>
      </c>
      <c r="J2133">
        <v>5</v>
      </c>
      <c r="K2133" s="33">
        <v>2</v>
      </c>
      <c r="L2133">
        <v>999</v>
      </c>
      <c r="M2133">
        <v>0</v>
      </c>
      <c r="N2133">
        <v>1018</v>
      </c>
      <c r="O2133" s="2" t="s">
        <v>5583</v>
      </c>
      <c r="R2133" s="8"/>
      <c r="S2133" s="33">
        <v>1</v>
      </c>
      <c r="T2133">
        <v>5</v>
      </c>
      <c r="U2133">
        <v>1</v>
      </c>
      <c r="W2133">
        <v>1</v>
      </c>
      <c r="X2133" s="8">
        <v>1</v>
      </c>
      <c r="Y2133">
        <v>0</v>
      </c>
      <c r="Z2133" s="33">
        <v>0</v>
      </c>
      <c r="AA2133">
        <v>5</v>
      </c>
      <c r="AB2133">
        <v>100</v>
      </c>
      <c r="AC2133">
        <v>70</v>
      </c>
      <c r="AD2133" s="62">
        <v>0</v>
      </c>
      <c r="AE2133" s="62">
        <v>5</v>
      </c>
      <c r="AF2133" s="62">
        <v>2</v>
      </c>
      <c r="AS2133">
        <v>1</v>
      </c>
    </row>
    <row r="2134" spans="1:45">
      <c r="A2134">
        <v>511170</v>
      </c>
      <c r="B2134" s="8">
        <v>1001</v>
      </c>
      <c r="C2134">
        <v>6</v>
      </c>
      <c r="D2134" s="8">
        <v>1001</v>
      </c>
      <c r="E2134" t="s">
        <v>5584</v>
      </c>
      <c r="F2134" t="s">
        <v>5584</v>
      </c>
      <c r="G2134" t="s">
        <v>5585</v>
      </c>
      <c r="H2134" t="s">
        <v>5559</v>
      </c>
      <c r="I2134">
        <v>1</v>
      </c>
      <c r="J2134">
        <v>5</v>
      </c>
      <c r="K2134" s="33">
        <v>2</v>
      </c>
      <c r="L2134">
        <v>999</v>
      </c>
      <c r="M2134">
        <v>0</v>
      </c>
      <c r="N2134">
        <v>1018</v>
      </c>
      <c r="O2134" s="2" t="s">
        <v>5586</v>
      </c>
      <c r="R2134" s="8"/>
      <c r="S2134" s="33">
        <v>1</v>
      </c>
      <c r="T2134">
        <v>5</v>
      </c>
      <c r="U2134">
        <v>1</v>
      </c>
      <c r="W2134">
        <v>1</v>
      </c>
      <c r="X2134" s="8">
        <v>1</v>
      </c>
      <c r="Y2134">
        <v>0</v>
      </c>
      <c r="Z2134" s="33">
        <v>0</v>
      </c>
      <c r="AA2134">
        <v>5</v>
      </c>
      <c r="AB2134">
        <v>100</v>
      </c>
      <c r="AC2134">
        <v>70</v>
      </c>
      <c r="AD2134" s="62">
        <v>0</v>
      </c>
      <c r="AE2134" s="62">
        <v>5</v>
      </c>
      <c r="AF2134" s="62">
        <v>2</v>
      </c>
      <c r="AS2134">
        <v>1</v>
      </c>
    </row>
    <row r="2135" spans="1:45">
      <c r="A2135">
        <v>511171</v>
      </c>
      <c r="B2135" s="8">
        <v>1001</v>
      </c>
      <c r="C2135">
        <v>6</v>
      </c>
      <c r="D2135" s="8">
        <v>1001</v>
      </c>
      <c r="E2135" t="s">
        <v>5587</v>
      </c>
      <c r="F2135" t="s">
        <v>5587</v>
      </c>
      <c r="G2135" t="s">
        <v>5588</v>
      </c>
      <c r="H2135" t="s">
        <v>1818</v>
      </c>
      <c r="I2135">
        <v>1</v>
      </c>
      <c r="J2135">
        <v>5</v>
      </c>
      <c r="K2135" s="33">
        <v>2</v>
      </c>
      <c r="L2135">
        <v>999</v>
      </c>
      <c r="M2135">
        <v>0</v>
      </c>
      <c r="N2135">
        <v>1018</v>
      </c>
      <c r="O2135" s="2" t="s">
        <v>5589</v>
      </c>
      <c r="R2135" s="8"/>
      <c r="S2135" s="33">
        <v>1</v>
      </c>
      <c r="T2135">
        <v>5</v>
      </c>
      <c r="U2135">
        <v>1</v>
      </c>
      <c r="W2135">
        <v>1</v>
      </c>
      <c r="X2135" s="8">
        <v>1</v>
      </c>
      <c r="Y2135">
        <v>0</v>
      </c>
      <c r="Z2135" s="33">
        <v>0</v>
      </c>
      <c r="AA2135">
        <v>5</v>
      </c>
      <c r="AB2135">
        <v>100</v>
      </c>
      <c r="AC2135">
        <v>70</v>
      </c>
      <c r="AD2135" s="62">
        <v>0</v>
      </c>
      <c r="AE2135" s="62">
        <v>5</v>
      </c>
      <c r="AF2135" s="62">
        <v>2</v>
      </c>
      <c r="AS2135">
        <v>1</v>
      </c>
    </row>
    <row r="2136" spans="1:45">
      <c r="A2136">
        <v>511172</v>
      </c>
      <c r="B2136" s="8">
        <v>1001</v>
      </c>
      <c r="C2136">
        <v>6</v>
      </c>
      <c r="D2136" s="8">
        <v>1001</v>
      </c>
      <c r="E2136" t="s">
        <v>5590</v>
      </c>
      <c r="F2136" t="s">
        <v>5590</v>
      </c>
      <c r="G2136" t="s">
        <v>5591</v>
      </c>
      <c r="H2136" t="s">
        <v>1818</v>
      </c>
      <c r="I2136">
        <v>1</v>
      </c>
      <c r="J2136">
        <v>5</v>
      </c>
      <c r="K2136" s="33">
        <v>2</v>
      </c>
      <c r="L2136">
        <v>999</v>
      </c>
      <c r="M2136">
        <v>0</v>
      </c>
      <c r="N2136">
        <v>1030</v>
      </c>
      <c r="O2136" s="2">
        <v>50</v>
      </c>
      <c r="R2136" s="8"/>
      <c r="S2136" s="33">
        <v>1</v>
      </c>
      <c r="T2136">
        <v>5</v>
      </c>
      <c r="U2136">
        <v>1</v>
      </c>
      <c r="W2136">
        <v>1</v>
      </c>
      <c r="X2136" s="8">
        <v>1</v>
      </c>
      <c r="Y2136">
        <v>0</v>
      </c>
      <c r="Z2136" s="33">
        <v>0</v>
      </c>
      <c r="AA2136">
        <v>5</v>
      </c>
      <c r="AB2136">
        <v>100</v>
      </c>
      <c r="AC2136">
        <v>70</v>
      </c>
      <c r="AD2136" s="62">
        <v>0</v>
      </c>
      <c r="AE2136" s="62">
        <v>5</v>
      </c>
      <c r="AF2136" s="62">
        <v>2</v>
      </c>
      <c r="AS2136">
        <v>1</v>
      </c>
    </row>
    <row r="2137" spans="1:45">
      <c r="A2137">
        <v>511173</v>
      </c>
      <c r="B2137" s="8">
        <v>1001</v>
      </c>
      <c r="C2137">
        <v>6</v>
      </c>
      <c r="D2137" s="8">
        <v>1001</v>
      </c>
      <c r="E2137" t="s">
        <v>5475</v>
      </c>
      <c r="F2137" t="s">
        <v>5475</v>
      </c>
      <c r="G2137" t="s">
        <v>5592</v>
      </c>
      <c r="H2137" t="s">
        <v>5477</v>
      </c>
      <c r="I2137">
        <v>1</v>
      </c>
      <c r="J2137">
        <v>5</v>
      </c>
      <c r="K2137" s="33">
        <v>2</v>
      </c>
      <c r="L2137">
        <v>999</v>
      </c>
      <c r="M2137">
        <v>0</v>
      </c>
      <c r="N2137">
        <v>1017</v>
      </c>
      <c r="O2137" s="249">
        <v>50094</v>
      </c>
      <c r="R2137" s="8"/>
      <c r="S2137" s="33">
        <v>1</v>
      </c>
      <c r="T2137">
        <v>5</v>
      </c>
      <c r="U2137">
        <v>1</v>
      </c>
      <c r="V2137" s="33">
        <v>1</v>
      </c>
      <c r="W2137">
        <v>1</v>
      </c>
      <c r="X2137" s="8">
        <v>1</v>
      </c>
      <c r="Y2137">
        <v>0</v>
      </c>
      <c r="Z2137" s="33">
        <v>0</v>
      </c>
      <c r="AA2137">
        <v>5</v>
      </c>
      <c r="AB2137">
        <v>100</v>
      </c>
      <c r="AC2137">
        <v>70</v>
      </c>
      <c r="AD2137" s="62">
        <v>0</v>
      </c>
      <c r="AE2137" s="62">
        <v>4</v>
      </c>
      <c r="AF2137" s="62">
        <v>2</v>
      </c>
      <c r="AS2137">
        <v>1</v>
      </c>
    </row>
    <row r="2138" spans="1:45">
      <c r="A2138">
        <v>511174</v>
      </c>
      <c r="B2138" s="8">
        <v>1001</v>
      </c>
      <c r="C2138">
        <v>6</v>
      </c>
      <c r="D2138" s="8">
        <v>1001</v>
      </c>
      <c r="E2138" t="s">
        <v>5472</v>
      </c>
      <c r="F2138" t="s">
        <v>5472</v>
      </c>
      <c r="G2138" t="s">
        <v>5593</v>
      </c>
      <c r="H2138" t="s">
        <v>5474</v>
      </c>
      <c r="I2138">
        <v>1</v>
      </c>
      <c r="J2138">
        <v>5</v>
      </c>
      <c r="K2138" s="33">
        <v>2</v>
      </c>
      <c r="L2138">
        <v>999</v>
      </c>
      <c r="M2138">
        <v>0</v>
      </c>
      <c r="N2138">
        <v>1017</v>
      </c>
      <c r="O2138" s="249">
        <v>50095</v>
      </c>
      <c r="R2138" s="8"/>
      <c r="S2138" s="33">
        <v>1</v>
      </c>
      <c r="T2138">
        <v>5</v>
      </c>
      <c r="U2138">
        <v>1</v>
      </c>
      <c r="V2138" s="33">
        <v>1</v>
      </c>
      <c r="W2138">
        <v>1</v>
      </c>
      <c r="X2138" s="8">
        <v>1</v>
      </c>
      <c r="Y2138">
        <v>0</v>
      </c>
      <c r="Z2138" s="33">
        <v>0</v>
      </c>
      <c r="AA2138">
        <v>5</v>
      </c>
      <c r="AB2138">
        <v>100</v>
      </c>
      <c r="AC2138">
        <v>70</v>
      </c>
      <c r="AD2138" s="62">
        <v>0</v>
      </c>
      <c r="AE2138" s="62">
        <v>4</v>
      </c>
      <c r="AF2138" s="62">
        <v>2</v>
      </c>
      <c r="AS2138">
        <v>1</v>
      </c>
    </row>
    <row r="2139" spans="1:45">
      <c r="A2139">
        <v>511175</v>
      </c>
      <c r="B2139" s="8">
        <v>1001</v>
      </c>
      <c r="C2139">
        <v>6</v>
      </c>
      <c r="D2139" s="8">
        <v>1001</v>
      </c>
      <c r="E2139" t="s">
        <v>5587</v>
      </c>
      <c r="F2139" t="s">
        <v>5587</v>
      </c>
      <c r="G2139" t="s">
        <v>5594</v>
      </c>
      <c r="H2139" t="s">
        <v>1818</v>
      </c>
      <c r="I2139">
        <v>1</v>
      </c>
      <c r="J2139">
        <v>5</v>
      </c>
      <c r="K2139" s="33">
        <v>2</v>
      </c>
      <c r="L2139">
        <v>999</v>
      </c>
      <c r="M2139">
        <v>0</v>
      </c>
      <c r="N2139">
        <v>1018</v>
      </c>
      <c r="O2139" s="2" t="s">
        <v>5595</v>
      </c>
      <c r="R2139" s="8"/>
      <c r="S2139" s="33">
        <v>1</v>
      </c>
      <c r="T2139">
        <v>5</v>
      </c>
      <c r="U2139">
        <v>1</v>
      </c>
      <c r="W2139">
        <v>1</v>
      </c>
      <c r="X2139" s="8">
        <v>1</v>
      </c>
      <c r="Y2139">
        <v>0</v>
      </c>
      <c r="Z2139" s="33">
        <v>0</v>
      </c>
      <c r="AA2139">
        <v>5</v>
      </c>
      <c r="AB2139">
        <v>100</v>
      </c>
      <c r="AC2139">
        <v>70</v>
      </c>
      <c r="AD2139" s="62">
        <v>0</v>
      </c>
      <c r="AE2139" s="62">
        <v>5</v>
      </c>
      <c r="AF2139" s="62">
        <v>2</v>
      </c>
      <c r="AS2139">
        <v>1</v>
      </c>
    </row>
    <row r="2140" spans="1:45">
      <c r="A2140">
        <v>511176</v>
      </c>
      <c r="B2140" s="8">
        <v>1001</v>
      </c>
      <c r="C2140">
        <v>6</v>
      </c>
      <c r="D2140" s="8">
        <v>1001</v>
      </c>
      <c r="E2140" t="s">
        <v>5596</v>
      </c>
      <c r="F2140" t="s">
        <v>5596</v>
      </c>
      <c r="G2140" t="s">
        <v>5597</v>
      </c>
      <c r="H2140" t="s">
        <v>312</v>
      </c>
      <c r="I2140">
        <v>1</v>
      </c>
      <c r="J2140">
        <v>5</v>
      </c>
      <c r="K2140" s="33">
        <v>2</v>
      </c>
      <c r="L2140">
        <v>999</v>
      </c>
      <c r="M2140">
        <v>0</v>
      </c>
      <c r="N2140">
        <v>1017</v>
      </c>
      <c r="O2140" s="249">
        <v>50096</v>
      </c>
      <c r="R2140" s="8"/>
      <c r="S2140" s="33">
        <v>1</v>
      </c>
      <c r="T2140">
        <v>5</v>
      </c>
      <c r="U2140">
        <v>1</v>
      </c>
      <c r="W2140">
        <v>1</v>
      </c>
      <c r="X2140" s="8">
        <v>1</v>
      </c>
      <c r="Y2140">
        <v>0</v>
      </c>
      <c r="Z2140" s="33">
        <v>0</v>
      </c>
      <c r="AA2140">
        <v>5</v>
      </c>
      <c r="AB2140">
        <v>100</v>
      </c>
      <c r="AC2140">
        <v>70</v>
      </c>
      <c r="AD2140" s="62">
        <v>0</v>
      </c>
      <c r="AE2140" s="62">
        <v>4</v>
      </c>
      <c r="AF2140" s="62">
        <v>2</v>
      </c>
      <c r="AS2140">
        <v>1</v>
      </c>
    </row>
    <row r="2141" spans="1:45">
      <c r="A2141">
        <v>511177</v>
      </c>
      <c r="B2141" s="8">
        <v>1001</v>
      </c>
      <c r="C2141">
        <v>6</v>
      </c>
      <c r="D2141" s="8">
        <v>1001</v>
      </c>
      <c r="E2141" t="s">
        <v>5598</v>
      </c>
      <c r="F2141" t="s">
        <v>5598</v>
      </c>
      <c r="G2141" t="s">
        <v>5599</v>
      </c>
      <c r="H2141" t="s">
        <v>312</v>
      </c>
      <c r="I2141">
        <v>1</v>
      </c>
      <c r="J2141">
        <v>5</v>
      </c>
      <c r="K2141" s="33">
        <v>2</v>
      </c>
      <c r="L2141">
        <v>999</v>
      </c>
      <c r="M2141">
        <v>0</v>
      </c>
      <c r="N2141">
        <v>1017</v>
      </c>
      <c r="O2141" s="249">
        <v>50097</v>
      </c>
      <c r="R2141" s="236"/>
      <c r="S2141" s="33">
        <v>1</v>
      </c>
      <c r="T2141">
        <v>5</v>
      </c>
      <c r="U2141">
        <v>1</v>
      </c>
      <c r="W2141">
        <v>1</v>
      </c>
      <c r="X2141" s="8">
        <v>1</v>
      </c>
      <c r="Y2141">
        <v>0</v>
      </c>
      <c r="Z2141" s="33">
        <v>0</v>
      </c>
      <c r="AA2141">
        <v>5</v>
      </c>
      <c r="AB2141">
        <v>100</v>
      </c>
      <c r="AC2141">
        <v>70</v>
      </c>
      <c r="AD2141" s="62">
        <v>0</v>
      </c>
      <c r="AE2141" s="62">
        <v>4</v>
      </c>
      <c r="AF2141" s="62">
        <v>2</v>
      </c>
      <c r="AS2141">
        <v>1</v>
      </c>
    </row>
    <row r="2142" spans="1:45">
      <c r="A2142">
        <v>511178</v>
      </c>
      <c r="B2142" s="8">
        <v>1001</v>
      </c>
      <c r="C2142">
        <v>6</v>
      </c>
      <c r="D2142" s="8">
        <v>1001</v>
      </c>
      <c r="E2142" t="s">
        <v>5600</v>
      </c>
      <c r="F2142" t="s">
        <v>5600</v>
      </c>
      <c r="G2142" t="s">
        <v>5601</v>
      </c>
      <c r="H2142" t="s">
        <v>1825</v>
      </c>
      <c r="I2142">
        <v>1</v>
      </c>
      <c r="J2142">
        <v>5</v>
      </c>
      <c r="K2142" s="33">
        <v>2</v>
      </c>
      <c r="L2142">
        <v>999</v>
      </c>
      <c r="M2142">
        <v>0</v>
      </c>
      <c r="N2142">
        <v>1</v>
      </c>
      <c r="O2142" s="400" t="s">
        <v>5569</v>
      </c>
      <c r="S2142" s="33">
        <v>1</v>
      </c>
      <c r="T2142">
        <v>5</v>
      </c>
      <c r="U2142">
        <v>1</v>
      </c>
      <c r="W2142">
        <v>1</v>
      </c>
      <c r="X2142" s="8">
        <v>1</v>
      </c>
      <c r="Y2142">
        <v>0</v>
      </c>
      <c r="Z2142" s="33">
        <v>0</v>
      </c>
      <c r="AA2142">
        <v>5</v>
      </c>
      <c r="AB2142">
        <v>100</v>
      </c>
      <c r="AC2142">
        <v>70</v>
      </c>
      <c r="AD2142" s="62">
        <v>0</v>
      </c>
      <c r="AE2142" s="62">
        <v>1</v>
      </c>
      <c r="AF2142" s="62">
        <v>2</v>
      </c>
      <c r="AS2142">
        <v>1</v>
      </c>
    </row>
    <row r="2143" spans="1:45">
      <c r="A2143">
        <v>511179</v>
      </c>
      <c r="B2143" s="8">
        <v>1001</v>
      </c>
      <c r="C2143">
        <v>6</v>
      </c>
      <c r="D2143" s="8">
        <v>1001</v>
      </c>
      <c r="E2143" s="238" t="s">
        <v>5602</v>
      </c>
      <c r="F2143" s="238" t="s">
        <v>5602</v>
      </c>
      <c r="G2143" s="238" t="s">
        <v>5603</v>
      </c>
      <c r="H2143" s="238" t="s">
        <v>1825</v>
      </c>
      <c r="I2143">
        <v>1</v>
      </c>
      <c r="J2143">
        <v>5</v>
      </c>
      <c r="K2143" s="33">
        <v>2</v>
      </c>
      <c r="L2143">
        <v>999</v>
      </c>
      <c r="M2143">
        <v>0</v>
      </c>
      <c r="N2143">
        <v>1</v>
      </c>
      <c r="O2143" s="400" t="s">
        <v>5604</v>
      </c>
      <c r="S2143" s="33">
        <v>1</v>
      </c>
      <c r="T2143">
        <v>5</v>
      </c>
      <c r="U2143">
        <v>1</v>
      </c>
      <c r="W2143">
        <v>1</v>
      </c>
      <c r="X2143" s="8">
        <v>1</v>
      </c>
      <c r="Y2143">
        <v>0</v>
      </c>
      <c r="Z2143" s="33">
        <v>0</v>
      </c>
      <c r="AA2143">
        <v>5</v>
      </c>
      <c r="AB2143">
        <v>100</v>
      </c>
      <c r="AC2143">
        <v>70</v>
      </c>
      <c r="AD2143" s="62">
        <v>0</v>
      </c>
      <c r="AE2143" s="62">
        <v>1</v>
      </c>
      <c r="AF2143" s="62">
        <v>2</v>
      </c>
      <c r="AS2143">
        <v>1</v>
      </c>
    </row>
    <row r="2144" spans="1:45">
      <c r="A2144">
        <v>511180</v>
      </c>
      <c r="B2144" s="8">
        <v>1001</v>
      </c>
      <c r="C2144">
        <v>6</v>
      </c>
      <c r="D2144" s="8">
        <v>1001</v>
      </c>
      <c r="E2144" s="401" t="s">
        <v>3332</v>
      </c>
      <c r="F2144" s="401" t="s">
        <v>3332</v>
      </c>
      <c r="G2144" s="401" t="s">
        <v>5605</v>
      </c>
      <c r="H2144" s="402" t="s">
        <v>3334</v>
      </c>
      <c r="I2144">
        <v>40</v>
      </c>
      <c r="J2144">
        <v>5</v>
      </c>
      <c r="K2144" s="33">
        <v>2</v>
      </c>
      <c r="L2144">
        <v>999</v>
      </c>
      <c r="M2144">
        <v>0</v>
      </c>
      <c r="N2144">
        <v>1017</v>
      </c>
      <c r="O2144" s="249">
        <v>30309</v>
      </c>
      <c r="S2144" s="33">
        <v>1</v>
      </c>
      <c r="T2144">
        <v>5</v>
      </c>
      <c r="U2144">
        <v>1</v>
      </c>
      <c r="V2144" s="33">
        <v>1</v>
      </c>
      <c r="W2144">
        <v>1</v>
      </c>
      <c r="X2144" s="8">
        <v>1</v>
      </c>
      <c r="Y2144">
        <v>0</v>
      </c>
      <c r="Z2144" s="33">
        <v>0</v>
      </c>
      <c r="AA2144">
        <v>5</v>
      </c>
      <c r="AB2144">
        <v>100</v>
      </c>
      <c r="AC2144">
        <v>70</v>
      </c>
      <c r="AD2144" s="62">
        <v>0</v>
      </c>
      <c r="AE2144" s="62">
        <v>1</v>
      </c>
      <c r="AF2144" s="62">
        <v>2</v>
      </c>
      <c r="AS2144">
        <v>1</v>
      </c>
    </row>
    <row r="2145" spans="1:45">
      <c r="A2145">
        <v>511181</v>
      </c>
      <c r="B2145" s="8">
        <v>1001</v>
      </c>
      <c r="C2145">
        <v>6</v>
      </c>
      <c r="D2145" s="8">
        <v>1001</v>
      </c>
      <c r="E2145" s="401" t="s">
        <v>3335</v>
      </c>
      <c r="F2145" s="401" t="s">
        <v>3335</v>
      </c>
      <c r="G2145" s="401" t="s">
        <v>5606</v>
      </c>
      <c r="H2145" s="402" t="s">
        <v>3337</v>
      </c>
      <c r="I2145">
        <v>40</v>
      </c>
      <c r="J2145">
        <v>5</v>
      </c>
      <c r="K2145" s="33">
        <v>2</v>
      </c>
      <c r="L2145">
        <v>999</v>
      </c>
      <c r="M2145">
        <v>0</v>
      </c>
      <c r="N2145">
        <v>1017</v>
      </c>
      <c r="O2145" s="249">
        <v>30310</v>
      </c>
      <c r="S2145" s="33">
        <v>1</v>
      </c>
      <c r="T2145">
        <v>5</v>
      </c>
      <c r="U2145">
        <v>1</v>
      </c>
      <c r="V2145" s="33">
        <v>1</v>
      </c>
      <c r="W2145">
        <v>1</v>
      </c>
      <c r="X2145" s="8">
        <v>1</v>
      </c>
      <c r="Y2145">
        <v>0</v>
      </c>
      <c r="Z2145" s="33">
        <v>0</v>
      </c>
      <c r="AA2145">
        <v>5</v>
      </c>
      <c r="AB2145">
        <v>100</v>
      </c>
      <c r="AC2145">
        <v>70</v>
      </c>
      <c r="AD2145" s="62">
        <v>0</v>
      </c>
      <c r="AE2145" s="62">
        <v>1</v>
      </c>
      <c r="AF2145" s="62">
        <v>2</v>
      </c>
      <c r="AS2145">
        <v>1</v>
      </c>
    </row>
    <row r="2146" spans="1:45">
      <c r="A2146">
        <v>511182</v>
      </c>
      <c r="B2146" s="8">
        <v>1001</v>
      </c>
      <c r="C2146">
        <v>6</v>
      </c>
      <c r="D2146" s="8">
        <v>1001</v>
      </c>
      <c r="E2146" s="401" t="s">
        <v>3338</v>
      </c>
      <c r="F2146" s="401" t="s">
        <v>3338</v>
      </c>
      <c r="G2146" s="401" t="s">
        <v>5607</v>
      </c>
      <c r="H2146" s="402" t="s">
        <v>3340</v>
      </c>
      <c r="I2146">
        <v>40</v>
      </c>
      <c r="J2146">
        <v>5</v>
      </c>
      <c r="K2146" s="33">
        <v>2</v>
      </c>
      <c r="L2146">
        <v>999</v>
      </c>
      <c r="M2146">
        <v>0</v>
      </c>
      <c r="N2146">
        <v>1017</v>
      </c>
      <c r="O2146" s="249">
        <v>30311</v>
      </c>
      <c r="S2146" s="33">
        <v>1</v>
      </c>
      <c r="T2146">
        <v>5</v>
      </c>
      <c r="U2146">
        <v>1</v>
      </c>
      <c r="V2146" s="33">
        <v>1</v>
      </c>
      <c r="W2146">
        <v>1</v>
      </c>
      <c r="X2146" s="8">
        <v>1</v>
      </c>
      <c r="Y2146">
        <v>0</v>
      </c>
      <c r="Z2146" s="33">
        <v>0</v>
      </c>
      <c r="AA2146">
        <v>5</v>
      </c>
      <c r="AB2146">
        <v>100</v>
      </c>
      <c r="AC2146">
        <v>70</v>
      </c>
      <c r="AD2146" s="62">
        <v>0</v>
      </c>
      <c r="AE2146" s="62">
        <v>1</v>
      </c>
      <c r="AF2146" s="62">
        <v>2</v>
      </c>
      <c r="AS2146">
        <v>1</v>
      </c>
    </row>
    <row r="2147" spans="1:45">
      <c r="A2147">
        <v>511183</v>
      </c>
      <c r="B2147" s="8">
        <v>1001</v>
      </c>
      <c r="C2147">
        <v>6</v>
      </c>
      <c r="D2147" s="8">
        <v>1001</v>
      </c>
      <c r="E2147" s="401" t="s">
        <v>3341</v>
      </c>
      <c r="F2147" s="401" t="s">
        <v>3341</v>
      </c>
      <c r="G2147" s="401" t="s">
        <v>5608</v>
      </c>
      <c r="H2147" s="402" t="s">
        <v>3343</v>
      </c>
      <c r="I2147">
        <v>40</v>
      </c>
      <c r="J2147">
        <v>5</v>
      </c>
      <c r="K2147" s="33">
        <v>2</v>
      </c>
      <c r="L2147">
        <v>999</v>
      </c>
      <c r="M2147">
        <v>0</v>
      </c>
      <c r="N2147">
        <v>1017</v>
      </c>
      <c r="O2147" s="249">
        <v>30312</v>
      </c>
      <c r="S2147" s="33">
        <v>1</v>
      </c>
      <c r="T2147">
        <v>5</v>
      </c>
      <c r="U2147">
        <v>1</v>
      </c>
      <c r="V2147" s="33">
        <v>1</v>
      </c>
      <c r="W2147">
        <v>1</v>
      </c>
      <c r="X2147" s="8">
        <v>1</v>
      </c>
      <c r="Y2147">
        <v>0</v>
      </c>
      <c r="Z2147" s="33">
        <v>0</v>
      </c>
      <c r="AA2147">
        <v>5</v>
      </c>
      <c r="AB2147">
        <v>100</v>
      </c>
      <c r="AC2147">
        <v>70</v>
      </c>
      <c r="AD2147" s="62">
        <v>0</v>
      </c>
      <c r="AE2147" s="62">
        <v>1</v>
      </c>
      <c r="AF2147" s="62">
        <v>2</v>
      </c>
      <c r="AS2147">
        <v>1</v>
      </c>
    </row>
    <row r="2148" spans="1:45">
      <c r="A2148">
        <v>511184</v>
      </c>
      <c r="B2148" s="8">
        <v>1001</v>
      </c>
      <c r="C2148">
        <v>6</v>
      </c>
      <c r="D2148" s="8">
        <v>1001</v>
      </c>
      <c r="E2148" s="13" t="s">
        <v>5609</v>
      </c>
      <c r="F2148" s="13" t="s">
        <v>5609</v>
      </c>
      <c r="G2148" s="13" t="s">
        <v>5610</v>
      </c>
      <c r="H2148" s="402" t="s">
        <v>5611</v>
      </c>
      <c r="I2148">
        <v>40</v>
      </c>
      <c r="J2148">
        <v>5</v>
      </c>
      <c r="K2148" s="33">
        <v>2</v>
      </c>
      <c r="L2148">
        <v>999</v>
      </c>
      <c r="M2148">
        <v>0</v>
      </c>
      <c r="N2148">
        <v>1017</v>
      </c>
      <c r="O2148" s="249">
        <v>30313</v>
      </c>
      <c r="S2148" s="33">
        <v>1</v>
      </c>
      <c r="T2148">
        <v>5</v>
      </c>
      <c r="U2148">
        <v>1</v>
      </c>
      <c r="V2148" s="33">
        <v>1</v>
      </c>
      <c r="W2148">
        <v>1</v>
      </c>
      <c r="X2148" s="8">
        <v>1</v>
      </c>
      <c r="Y2148">
        <v>0</v>
      </c>
      <c r="Z2148" s="33">
        <v>0</v>
      </c>
      <c r="AA2148">
        <v>5</v>
      </c>
      <c r="AB2148">
        <v>100</v>
      </c>
      <c r="AC2148">
        <v>70</v>
      </c>
      <c r="AD2148" s="62">
        <v>0</v>
      </c>
      <c r="AE2148" s="62">
        <v>1</v>
      </c>
      <c r="AF2148" s="62">
        <v>2</v>
      </c>
      <c r="AS2148">
        <v>1</v>
      </c>
    </row>
    <row r="2149" spans="1:45">
      <c r="A2149">
        <v>511185</v>
      </c>
      <c r="B2149" s="8">
        <v>1001</v>
      </c>
      <c r="C2149">
        <v>6</v>
      </c>
      <c r="D2149" s="8">
        <v>1001</v>
      </c>
      <c r="E2149" s="13" t="s">
        <v>5612</v>
      </c>
      <c r="F2149" s="13" t="s">
        <v>5612</v>
      </c>
      <c r="G2149" s="13" t="s">
        <v>5613</v>
      </c>
      <c r="H2149" s="402" t="s">
        <v>5614</v>
      </c>
      <c r="I2149">
        <v>40</v>
      </c>
      <c r="J2149">
        <v>5</v>
      </c>
      <c r="K2149" s="33">
        <v>2</v>
      </c>
      <c r="L2149">
        <v>999</v>
      </c>
      <c r="M2149">
        <v>0</v>
      </c>
      <c r="N2149">
        <v>1017</v>
      </c>
      <c r="O2149" s="249">
        <v>30314</v>
      </c>
      <c r="S2149" s="33">
        <v>1</v>
      </c>
      <c r="T2149">
        <v>5</v>
      </c>
      <c r="U2149">
        <v>1</v>
      </c>
      <c r="V2149" s="33">
        <v>1</v>
      </c>
      <c r="W2149">
        <v>1</v>
      </c>
      <c r="X2149" s="8">
        <v>1</v>
      </c>
      <c r="Y2149">
        <v>0</v>
      </c>
      <c r="Z2149" s="33">
        <v>0</v>
      </c>
      <c r="AA2149">
        <v>5</v>
      </c>
      <c r="AB2149">
        <v>100</v>
      </c>
      <c r="AC2149">
        <v>70</v>
      </c>
      <c r="AD2149" s="62">
        <v>0</v>
      </c>
      <c r="AE2149" s="62">
        <v>1</v>
      </c>
      <c r="AF2149" s="62">
        <v>2</v>
      </c>
      <c r="AS2149">
        <v>1</v>
      </c>
    </row>
    <row r="2150" spans="1:45">
      <c r="A2150">
        <v>511186</v>
      </c>
      <c r="B2150" s="8">
        <v>1001</v>
      </c>
      <c r="C2150">
        <v>6</v>
      </c>
      <c r="D2150" s="8">
        <v>1001</v>
      </c>
      <c r="E2150" s="13" t="s">
        <v>5615</v>
      </c>
      <c r="F2150" s="13" t="s">
        <v>5615</v>
      </c>
      <c r="G2150" s="13" t="s">
        <v>5616</v>
      </c>
      <c r="H2150" s="402" t="s">
        <v>5617</v>
      </c>
      <c r="I2150">
        <v>40</v>
      </c>
      <c r="J2150">
        <v>5</v>
      </c>
      <c r="K2150" s="33">
        <v>2</v>
      </c>
      <c r="L2150">
        <v>999</v>
      </c>
      <c r="M2150">
        <v>0</v>
      </c>
      <c r="N2150">
        <v>1017</v>
      </c>
      <c r="O2150" s="249">
        <v>30315</v>
      </c>
      <c r="S2150" s="33">
        <v>1</v>
      </c>
      <c r="T2150">
        <v>5</v>
      </c>
      <c r="U2150">
        <v>1</v>
      </c>
      <c r="V2150" s="33">
        <v>1</v>
      </c>
      <c r="W2150">
        <v>1</v>
      </c>
      <c r="X2150" s="8">
        <v>1</v>
      </c>
      <c r="Y2150">
        <v>0</v>
      </c>
      <c r="Z2150" s="33">
        <v>0</v>
      </c>
      <c r="AA2150">
        <v>5</v>
      </c>
      <c r="AB2150">
        <v>100</v>
      </c>
      <c r="AC2150">
        <v>70</v>
      </c>
      <c r="AD2150" s="62">
        <v>0</v>
      </c>
      <c r="AE2150" s="62">
        <v>1</v>
      </c>
      <c r="AF2150" s="62">
        <v>2</v>
      </c>
      <c r="AS2150">
        <v>1</v>
      </c>
    </row>
    <row r="2151" spans="1:45">
      <c r="A2151">
        <v>511187</v>
      </c>
      <c r="B2151" s="8">
        <v>1001</v>
      </c>
      <c r="C2151">
        <v>6</v>
      </c>
      <c r="D2151" s="8">
        <v>1001</v>
      </c>
      <c r="E2151" s="13" t="s">
        <v>5618</v>
      </c>
      <c r="F2151" s="13" t="s">
        <v>5618</v>
      </c>
      <c r="G2151" s="253" t="s">
        <v>5619</v>
      </c>
      <c r="H2151" s="403" t="s">
        <v>5620</v>
      </c>
      <c r="I2151">
        <v>40</v>
      </c>
      <c r="J2151">
        <v>5</v>
      </c>
      <c r="K2151" s="33">
        <v>2</v>
      </c>
      <c r="L2151">
        <v>999</v>
      </c>
      <c r="M2151">
        <v>0</v>
      </c>
      <c r="N2151">
        <v>1017</v>
      </c>
      <c r="O2151" s="249">
        <v>30316</v>
      </c>
      <c r="S2151" s="33">
        <v>1</v>
      </c>
      <c r="T2151">
        <v>5</v>
      </c>
      <c r="U2151">
        <v>1</v>
      </c>
      <c r="V2151" s="33">
        <v>1</v>
      </c>
      <c r="W2151">
        <v>1</v>
      </c>
      <c r="X2151" s="8">
        <v>1</v>
      </c>
      <c r="Y2151">
        <v>0</v>
      </c>
      <c r="Z2151" s="33">
        <v>0</v>
      </c>
      <c r="AA2151">
        <v>5</v>
      </c>
      <c r="AB2151">
        <v>100</v>
      </c>
      <c r="AC2151">
        <v>70</v>
      </c>
      <c r="AD2151" s="62">
        <v>0</v>
      </c>
      <c r="AE2151" s="62">
        <v>1</v>
      </c>
      <c r="AF2151" s="62">
        <v>2</v>
      </c>
      <c r="AS2151">
        <v>1</v>
      </c>
    </row>
    <row r="2152" spans="1:45">
      <c r="A2152">
        <v>511188</v>
      </c>
      <c r="B2152" s="8">
        <v>1001</v>
      </c>
      <c r="C2152">
        <v>6</v>
      </c>
      <c r="D2152" s="8">
        <v>1001</v>
      </c>
      <c r="E2152" s="253" t="s">
        <v>5452</v>
      </c>
      <c r="F2152" s="253" t="s">
        <v>5452</v>
      </c>
      <c r="G2152" t="s">
        <v>5621</v>
      </c>
      <c r="H2152" t="s">
        <v>5454</v>
      </c>
      <c r="I2152">
        <v>1</v>
      </c>
      <c r="J2152">
        <v>4</v>
      </c>
      <c r="K2152" s="33">
        <v>2</v>
      </c>
      <c r="L2152">
        <v>999</v>
      </c>
      <c r="M2152">
        <v>0</v>
      </c>
      <c r="N2152">
        <v>1017</v>
      </c>
      <c r="O2152" s="249">
        <v>30317</v>
      </c>
      <c r="R2152" s="8"/>
      <c r="S2152" s="33">
        <v>1</v>
      </c>
      <c r="T2152">
        <v>5</v>
      </c>
      <c r="U2152">
        <v>1</v>
      </c>
      <c r="V2152" s="33">
        <v>1</v>
      </c>
      <c r="W2152">
        <v>1</v>
      </c>
      <c r="X2152" s="8">
        <v>1</v>
      </c>
      <c r="Y2152">
        <v>0</v>
      </c>
      <c r="Z2152" s="33">
        <v>0</v>
      </c>
      <c r="AA2152">
        <v>5</v>
      </c>
      <c r="AB2152">
        <v>100</v>
      </c>
      <c r="AC2152">
        <v>70</v>
      </c>
      <c r="AD2152" s="62">
        <v>0</v>
      </c>
      <c r="AE2152" s="62">
        <v>1</v>
      </c>
      <c r="AF2152" s="62">
        <v>2</v>
      </c>
      <c r="AS2152">
        <v>1</v>
      </c>
    </row>
    <row r="2153" spans="1:45">
      <c r="A2153">
        <v>511189</v>
      </c>
      <c r="B2153" s="8">
        <v>1001</v>
      </c>
      <c r="C2153">
        <v>6</v>
      </c>
      <c r="D2153" s="8">
        <v>1001</v>
      </c>
      <c r="E2153" t="s">
        <v>5622</v>
      </c>
      <c r="F2153" t="s">
        <v>5622</v>
      </c>
      <c r="G2153" t="s">
        <v>5592</v>
      </c>
      <c r="H2153" t="s">
        <v>5623</v>
      </c>
      <c r="I2153">
        <v>1</v>
      </c>
      <c r="J2153">
        <v>5</v>
      </c>
      <c r="K2153" s="33">
        <v>2</v>
      </c>
      <c r="L2153">
        <v>999</v>
      </c>
      <c r="M2153">
        <v>0</v>
      </c>
      <c r="N2153">
        <v>1017</v>
      </c>
      <c r="O2153" s="249">
        <v>50094</v>
      </c>
      <c r="R2153" s="8"/>
      <c r="S2153" s="33">
        <v>1</v>
      </c>
      <c r="T2153">
        <v>5</v>
      </c>
      <c r="U2153">
        <v>1</v>
      </c>
      <c r="V2153" s="33">
        <v>1</v>
      </c>
      <c r="W2153">
        <v>1</v>
      </c>
      <c r="X2153" s="8">
        <v>1</v>
      </c>
      <c r="Y2153">
        <v>0</v>
      </c>
      <c r="Z2153" s="33">
        <v>0</v>
      </c>
      <c r="AA2153">
        <v>5</v>
      </c>
      <c r="AB2153">
        <v>100</v>
      </c>
      <c r="AC2153">
        <v>70</v>
      </c>
      <c r="AD2153" s="62">
        <v>0</v>
      </c>
      <c r="AE2153" s="62">
        <v>4</v>
      </c>
      <c r="AF2153" s="62">
        <v>2</v>
      </c>
      <c r="AS2153">
        <v>1</v>
      </c>
    </row>
    <row r="2154" spans="1:45">
      <c r="A2154">
        <v>511190</v>
      </c>
      <c r="B2154" s="8">
        <v>1001</v>
      </c>
      <c r="C2154" s="238">
        <v>6</v>
      </c>
      <c r="D2154" s="8">
        <v>1001</v>
      </c>
      <c r="E2154" s="238" t="s">
        <v>5624</v>
      </c>
      <c r="F2154" s="238" t="s">
        <v>5624</v>
      </c>
      <c r="G2154" t="s">
        <v>5593</v>
      </c>
      <c r="H2154" t="s">
        <v>5625</v>
      </c>
      <c r="I2154">
        <v>1</v>
      </c>
      <c r="J2154">
        <v>5</v>
      </c>
      <c r="K2154" s="33">
        <v>2</v>
      </c>
      <c r="L2154">
        <v>999</v>
      </c>
      <c r="M2154">
        <v>0</v>
      </c>
      <c r="N2154">
        <v>1017</v>
      </c>
      <c r="O2154" s="249">
        <v>50095</v>
      </c>
      <c r="R2154" s="236"/>
      <c r="S2154" s="33">
        <v>1</v>
      </c>
      <c r="T2154">
        <v>5</v>
      </c>
      <c r="U2154">
        <v>1</v>
      </c>
      <c r="V2154" s="33">
        <v>1</v>
      </c>
      <c r="W2154">
        <v>1</v>
      </c>
      <c r="X2154" s="8">
        <v>1</v>
      </c>
      <c r="Y2154">
        <v>0</v>
      </c>
      <c r="Z2154" s="33">
        <v>0</v>
      </c>
      <c r="AA2154">
        <v>5</v>
      </c>
      <c r="AB2154">
        <v>100</v>
      </c>
      <c r="AC2154" s="238">
        <v>70</v>
      </c>
      <c r="AD2154" s="62">
        <v>0</v>
      </c>
      <c r="AE2154" s="62">
        <v>4</v>
      </c>
      <c r="AF2154" s="62">
        <v>2</v>
      </c>
      <c r="AS2154">
        <v>1</v>
      </c>
    </row>
    <row r="2155" spans="1:45">
      <c r="A2155">
        <v>511191</v>
      </c>
      <c r="B2155" s="8">
        <v>1001</v>
      </c>
      <c r="C2155" s="8">
        <v>2</v>
      </c>
      <c r="D2155" s="8">
        <v>1001</v>
      </c>
      <c r="E2155" s="13" t="s">
        <v>5626</v>
      </c>
      <c r="F2155" s="13" t="s">
        <v>5626</v>
      </c>
      <c r="G2155" t="s">
        <v>5627</v>
      </c>
      <c r="H2155" t="s">
        <v>5628</v>
      </c>
      <c r="I2155">
        <v>1</v>
      </c>
      <c r="J2155">
        <v>3</v>
      </c>
      <c r="K2155" s="33">
        <v>1</v>
      </c>
      <c r="L2155">
        <v>999</v>
      </c>
      <c r="M2155">
        <v>0</v>
      </c>
      <c r="O2155" s="249"/>
      <c r="S2155" s="33">
        <v>1</v>
      </c>
      <c r="T2155">
        <v>5</v>
      </c>
      <c r="U2155">
        <v>1</v>
      </c>
      <c r="V2155" s="33">
        <v>1</v>
      </c>
      <c r="W2155">
        <v>1</v>
      </c>
      <c r="X2155" s="8">
        <v>1</v>
      </c>
      <c r="Y2155">
        <v>0</v>
      </c>
      <c r="Z2155" s="33">
        <v>0</v>
      </c>
      <c r="AA2155">
        <v>5</v>
      </c>
      <c r="AB2155">
        <v>100</v>
      </c>
      <c r="AC2155" s="87">
        <v>855</v>
      </c>
      <c r="AD2155" s="62">
        <v>0</v>
      </c>
      <c r="AS2155">
        <v>1</v>
      </c>
    </row>
    <row r="2156" spans="1:45">
      <c r="A2156">
        <v>511192</v>
      </c>
      <c r="B2156" s="8">
        <v>1001</v>
      </c>
      <c r="C2156" s="8">
        <v>2</v>
      </c>
      <c r="D2156" s="8">
        <v>1001</v>
      </c>
      <c r="E2156" s="13" t="s">
        <v>5629</v>
      </c>
      <c r="F2156" s="13" t="s">
        <v>5629</v>
      </c>
      <c r="G2156" t="s">
        <v>5630</v>
      </c>
      <c r="H2156" t="s">
        <v>5631</v>
      </c>
      <c r="I2156">
        <v>1</v>
      </c>
      <c r="J2156">
        <v>4</v>
      </c>
      <c r="K2156" s="33">
        <v>1</v>
      </c>
      <c r="L2156">
        <v>999</v>
      </c>
      <c r="M2156">
        <v>0</v>
      </c>
      <c r="O2156" s="249"/>
      <c r="S2156" s="33">
        <v>1</v>
      </c>
      <c r="T2156">
        <v>5</v>
      </c>
      <c r="U2156">
        <v>1</v>
      </c>
      <c r="V2156" s="33">
        <v>1</v>
      </c>
      <c r="W2156">
        <v>1</v>
      </c>
      <c r="X2156" s="8">
        <v>1</v>
      </c>
      <c r="Y2156">
        <v>0</v>
      </c>
      <c r="Z2156" s="33">
        <v>0</v>
      </c>
      <c r="AA2156">
        <v>5</v>
      </c>
      <c r="AB2156">
        <v>100</v>
      </c>
      <c r="AC2156" s="87">
        <v>855</v>
      </c>
      <c r="AD2156" s="62">
        <v>0</v>
      </c>
      <c r="AS2156">
        <v>1</v>
      </c>
    </row>
    <row r="2157" spans="1:45">
      <c r="A2157">
        <v>511193</v>
      </c>
      <c r="B2157" s="8">
        <v>1001</v>
      </c>
      <c r="C2157" s="8">
        <v>2</v>
      </c>
      <c r="D2157" s="8">
        <v>1001</v>
      </c>
      <c r="E2157" s="253" t="s">
        <v>5632</v>
      </c>
      <c r="F2157" s="13" t="s">
        <v>5633</v>
      </c>
      <c r="G2157" t="s">
        <v>5634</v>
      </c>
      <c r="H2157" t="s">
        <v>5635</v>
      </c>
      <c r="I2157">
        <v>1</v>
      </c>
      <c r="J2157">
        <v>5</v>
      </c>
      <c r="K2157" s="254">
        <v>1</v>
      </c>
      <c r="L2157" s="238">
        <v>999</v>
      </c>
      <c r="M2157" s="238">
        <v>0</v>
      </c>
      <c r="N2157" s="8"/>
      <c r="O2157" s="249"/>
      <c r="S2157" s="254">
        <v>1</v>
      </c>
      <c r="T2157" s="238">
        <v>5</v>
      </c>
      <c r="U2157" s="238">
        <v>1</v>
      </c>
      <c r="V2157" s="254">
        <v>1</v>
      </c>
      <c r="W2157" s="238">
        <v>1</v>
      </c>
      <c r="X2157" s="8">
        <v>1</v>
      </c>
      <c r="Y2157">
        <v>0</v>
      </c>
      <c r="Z2157" s="33">
        <v>0</v>
      </c>
      <c r="AA2157">
        <v>5</v>
      </c>
      <c r="AB2157">
        <v>100</v>
      </c>
      <c r="AC2157" s="87">
        <v>855</v>
      </c>
      <c r="AD2157" s="62">
        <v>0</v>
      </c>
      <c r="AE2157" s="90"/>
      <c r="AF2157" s="90"/>
      <c r="AG2157" s="91"/>
      <c r="AH2157" s="91"/>
      <c r="AI2157" s="91"/>
      <c r="AJ2157" s="91"/>
      <c r="AK2157" s="91"/>
      <c r="AL2157" s="92"/>
      <c r="AM2157" s="92"/>
      <c r="AN2157" s="93"/>
      <c r="AO2157" s="92"/>
      <c r="AQ2157" s="56"/>
      <c r="AS2157">
        <v>1</v>
      </c>
    </row>
    <row r="2158" spans="1:45">
      <c r="A2158">
        <v>431001</v>
      </c>
      <c r="B2158" s="8">
        <v>1001</v>
      </c>
      <c r="C2158" s="8">
        <v>2</v>
      </c>
      <c r="D2158" s="8">
        <v>1001</v>
      </c>
      <c r="E2158" t="s">
        <v>2532</v>
      </c>
      <c r="F2158" s="13" t="s">
        <v>2532</v>
      </c>
      <c r="G2158" t="s">
        <v>5636</v>
      </c>
      <c r="H2158" t="s">
        <v>2533</v>
      </c>
      <c r="I2158">
        <v>1</v>
      </c>
      <c r="J2158">
        <v>1</v>
      </c>
      <c r="K2158" s="87">
        <v>1</v>
      </c>
      <c r="L2158" s="8">
        <v>999</v>
      </c>
      <c r="M2158" s="8">
        <v>0</v>
      </c>
      <c r="N2158" s="8"/>
      <c r="S2158" s="89">
        <v>1</v>
      </c>
      <c r="T2158" s="8">
        <v>5</v>
      </c>
      <c r="U2158" s="89">
        <v>500</v>
      </c>
      <c r="V2158" s="87">
        <v>1</v>
      </c>
      <c r="W2158" s="8">
        <v>1</v>
      </c>
      <c r="X2158" s="8">
        <v>1</v>
      </c>
      <c r="Y2158">
        <v>0</v>
      </c>
      <c r="Z2158" s="33">
        <v>0</v>
      </c>
      <c r="AA2158">
        <v>5</v>
      </c>
      <c r="AB2158" s="34">
        <v>6000</v>
      </c>
      <c r="AC2158" s="87">
        <v>855</v>
      </c>
      <c r="AE2158" s="90"/>
      <c r="AF2158" s="90"/>
      <c r="AG2158" s="91"/>
      <c r="AH2158" s="91"/>
      <c r="AI2158" s="91"/>
      <c r="AJ2158" s="91"/>
      <c r="AK2158" s="91"/>
      <c r="AL2158" s="92">
        <v>1</v>
      </c>
      <c r="AM2158" s="92"/>
      <c r="AN2158" s="93"/>
      <c r="AO2158" s="92"/>
      <c r="AQ2158" s="56" t="s">
        <v>2532</v>
      </c>
      <c r="AS2158">
        <v>1</v>
      </c>
    </row>
    <row r="2159" spans="1:45">
      <c r="A2159">
        <v>432001</v>
      </c>
      <c r="B2159" s="8">
        <v>1001</v>
      </c>
      <c r="C2159" s="8">
        <v>2</v>
      </c>
      <c r="D2159" s="8">
        <v>1001</v>
      </c>
      <c r="E2159" t="s">
        <v>2540</v>
      </c>
      <c r="F2159" s="13" t="s">
        <v>2540</v>
      </c>
      <c r="G2159" t="s">
        <v>2353</v>
      </c>
      <c r="H2159" t="s">
        <v>2541</v>
      </c>
      <c r="I2159">
        <v>1</v>
      </c>
      <c r="J2159">
        <v>1</v>
      </c>
      <c r="K2159" s="87">
        <v>1</v>
      </c>
      <c r="L2159" s="8">
        <v>999</v>
      </c>
      <c r="M2159" s="8">
        <v>0</v>
      </c>
      <c r="N2159" s="8"/>
      <c r="S2159" s="89">
        <v>1</v>
      </c>
      <c r="T2159" s="8">
        <v>5</v>
      </c>
      <c r="U2159" s="89">
        <v>500</v>
      </c>
      <c r="V2159" s="87">
        <v>1</v>
      </c>
      <c r="W2159" s="8">
        <v>1</v>
      </c>
      <c r="X2159" s="8">
        <v>1</v>
      </c>
      <c r="Y2159">
        <v>0</v>
      </c>
      <c r="Z2159" s="33">
        <v>0</v>
      </c>
      <c r="AA2159">
        <v>5</v>
      </c>
      <c r="AB2159" s="34">
        <v>6000</v>
      </c>
      <c r="AC2159" s="87">
        <v>855</v>
      </c>
      <c r="AE2159" s="90"/>
      <c r="AF2159" s="90"/>
      <c r="AG2159" s="91"/>
      <c r="AH2159" s="91"/>
      <c r="AI2159" s="91"/>
      <c r="AJ2159" s="91"/>
      <c r="AK2159" s="91"/>
      <c r="AL2159" s="92">
        <v>1</v>
      </c>
      <c r="AM2159" s="92"/>
      <c r="AN2159" s="93"/>
      <c r="AO2159" s="92"/>
      <c r="AQ2159" s="56" t="s">
        <v>2540</v>
      </c>
      <c r="AS2159">
        <v>1</v>
      </c>
    </row>
    <row r="2160" spans="1:45">
      <c r="A2160">
        <v>433001</v>
      </c>
      <c r="B2160" s="8">
        <v>1001</v>
      </c>
      <c r="C2160" s="8">
        <v>2</v>
      </c>
      <c r="D2160" s="8">
        <v>1001</v>
      </c>
      <c r="E2160" t="s">
        <v>2542</v>
      </c>
      <c r="F2160" s="13" t="s">
        <v>2542</v>
      </c>
      <c r="G2160" t="s">
        <v>5637</v>
      </c>
      <c r="H2160" t="s">
        <v>2543</v>
      </c>
      <c r="I2160">
        <v>1</v>
      </c>
      <c r="J2160">
        <v>1</v>
      </c>
      <c r="K2160" s="87">
        <v>1</v>
      </c>
      <c r="L2160" s="8">
        <v>999</v>
      </c>
      <c r="M2160" s="8">
        <v>0</v>
      </c>
      <c r="N2160" s="8"/>
      <c r="S2160" s="89">
        <v>1</v>
      </c>
      <c r="T2160" s="8">
        <v>5</v>
      </c>
      <c r="U2160" s="89">
        <v>500</v>
      </c>
      <c r="V2160" s="87">
        <v>1</v>
      </c>
      <c r="W2160" s="8">
        <v>1</v>
      </c>
      <c r="X2160" s="8">
        <v>1</v>
      </c>
      <c r="Y2160">
        <v>0</v>
      </c>
      <c r="Z2160" s="33">
        <v>0</v>
      </c>
      <c r="AA2160">
        <v>5</v>
      </c>
      <c r="AB2160" s="34">
        <v>6000</v>
      </c>
      <c r="AC2160" s="87">
        <v>855</v>
      </c>
      <c r="AE2160" s="90"/>
      <c r="AF2160" s="90"/>
      <c r="AG2160" s="91"/>
      <c r="AH2160" s="91"/>
      <c r="AI2160" s="91"/>
      <c r="AJ2160" s="91"/>
      <c r="AK2160" s="91"/>
      <c r="AL2160" s="92">
        <v>1</v>
      </c>
      <c r="AM2160" s="92"/>
      <c r="AN2160" s="93"/>
      <c r="AO2160" s="92"/>
      <c r="AQ2160" s="56" t="s">
        <v>2542</v>
      </c>
      <c r="AS2160">
        <v>1</v>
      </c>
    </row>
    <row r="2161" spans="1:45">
      <c r="A2161">
        <v>434001</v>
      </c>
      <c r="B2161" s="8">
        <v>1001</v>
      </c>
      <c r="C2161" s="8">
        <v>2</v>
      </c>
      <c r="D2161" s="8">
        <v>1001</v>
      </c>
      <c r="E2161" t="s">
        <v>2552</v>
      </c>
      <c r="F2161" s="13" t="s">
        <v>2552</v>
      </c>
      <c r="G2161" t="s">
        <v>2353</v>
      </c>
      <c r="H2161" t="s">
        <v>2553</v>
      </c>
      <c r="I2161">
        <v>1</v>
      </c>
      <c r="J2161">
        <v>1</v>
      </c>
      <c r="K2161" s="87">
        <v>1</v>
      </c>
      <c r="L2161" s="8">
        <v>999</v>
      </c>
      <c r="M2161" s="8">
        <v>0</v>
      </c>
      <c r="N2161" s="8"/>
      <c r="S2161" s="89">
        <v>1</v>
      </c>
      <c r="T2161" s="8">
        <v>5</v>
      </c>
      <c r="U2161" s="89">
        <v>500</v>
      </c>
      <c r="V2161" s="87">
        <v>1</v>
      </c>
      <c r="W2161" s="8">
        <v>1</v>
      </c>
      <c r="X2161" s="8">
        <v>1</v>
      </c>
      <c r="Y2161">
        <v>0</v>
      </c>
      <c r="Z2161" s="33">
        <v>0</v>
      </c>
      <c r="AA2161">
        <v>5</v>
      </c>
      <c r="AB2161" s="34">
        <v>6000</v>
      </c>
      <c r="AC2161" s="87">
        <v>855</v>
      </c>
      <c r="AE2161" s="90"/>
      <c r="AF2161" s="90"/>
      <c r="AG2161" s="91"/>
      <c r="AH2161" s="91"/>
      <c r="AI2161" s="91"/>
      <c r="AJ2161" s="91"/>
      <c r="AK2161" s="91"/>
      <c r="AL2161" s="92">
        <v>1</v>
      </c>
      <c r="AM2161" s="92"/>
      <c r="AN2161" s="93"/>
      <c r="AO2161" s="92"/>
      <c r="AQ2161" s="56" t="s">
        <v>2552</v>
      </c>
      <c r="AS2161">
        <v>1</v>
      </c>
    </row>
    <row r="2162" spans="1:45">
      <c r="A2162">
        <v>435001</v>
      </c>
      <c r="B2162" s="236">
        <v>1001</v>
      </c>
      <c r="C2162" s="236">
        <v>2</v>
      </c>
      <c r="D2162" s="236">
        <v>1001</v>
      </c>
      <c r="E2162" t="s">
        <v>2554</v>
      </c>
      <c r="F2162" s="253" t="s">
        <v>2554</v>
      </c>
      <c r="G2162" t="s">
        <v>5638</v>
      </c>
      <c r="H2162" t="s">
        <v>5639</v>
      </c>
      <c r="I2162">
        <v>1</v>
      </c>
      <c r="J2162">
        <v>1</v>
      </c>
      <c r="K2162" s="248">
        <v>1</v>
      </c>
      <c r="L2162" s="8">
        <v>999</v>
      </c>
      <c r="M2162" s="8">
        <v>0</v>
      </c>
      <c r="N2162" s="236"/>
      <c r="S2162" s="89">
        <v>1</v>
      </c>
      <c r="T2162" s="8">
        <v>5</v>
      </c>
      <c r="U2162" s="89">
        <v>500</v>
      </c>
      <c r="V2162" s="87">
        <v>1</v>
      </c>
      <c r="W2162" s="236">
        <v>1</v>
      </c>
      <c r="X2162" s="8">
        <v>1</v>
      </c>
      <c r="Y2162" s="238">
        <v>0</v>
      </c>
      <c r="Z2162" s="33">
        <v>0</v>
      </c>
      <c r="AA2162">
        <v>5</v>
      </c>
      <c r="AB2162" s="34">
        <v>6000</v>
      </c>
      <c r="AC2162" s="87">
        <v>855</v>
      </c>
      <c r="AE2162" s="250"/>
      <c r="AF2162" s="250"/>
      <c r="AG2162" s="251"/>
      <c r="AH2162" s="251"/>
      <c r="AI2162" s="251"/>
      <c r="AJ2162" s="251"/>
      <c r="AK2162" s="251"/>
      <c r="AL2162" s="252">
        <v>1</v>
      </c>
      <c r="AM2162" s="252"/>
      <c r="AN2162" s="93"/>
      <c r="AO2162" s="92"/>
      <c r="AQ2162" s="56" t="s">
        <v>2554</v>
      </c>
      <c r="AR2162"/>
      <c r="AS2162">
        <v>1</v>
      </c>
    </row>
    <row r="2163" spans="1:45">
      <c r="A2163">
        <v>511194</v>
      </c>
      <c r="B2163">
        <v>1001</v>
      </c>
      <c r="C2163">
        <v>1</v>
      </c>
      <c r="D2163">
        <v>1001</v>
      </c>
      <c r="E2163" t="s">
        <v>5640</v>
      </c>
      <c r="F2163" t="s">
        <v>5640</v>
      </c>
      <c r="G2163" t="s">
        <v>5641</v>
      </c>
      <c r="H2163" t="s">
        <v>5642</v>
      </c>
      <c r="I2163">
        <v>1</v>
      </c>
      <c r="J2163">
        <v>5</v>
      </c>
      <c r="K2163" s="33">
        <v>1</v>
      </c>
      <c r="L2163" s="8">
        <v>999</v>
      </c>
      <c r="M2163" s="8">
        <v>0</v>
      </c>
      <c r="S2163" s="89">
        <v>1</v>
      </c>
      <c r="T2163" s="8">
        <v>5</v>
      </c>
      <c r="U2163" s="89">
        <v>1</v>
      </c>
      <c r="V2163" s="87">
        <v>1</v>
      </c>
      <c r="W2163">
        <v>1</v>
      </c>
      <c r="X2163" s="8">
        <v>1</v>
      </c>
      <c r="Y2163" s="8">
        <v>0</v>
      </c>
      <c r="Z2163" s="33">
        <v>0</v>
      </c>
      <c r="AA2163">
        <v>5</v>
      </c>
      <c r="AB2163" s="34">
        <v>100</v>
      </c>
      <c r="AC2163" s="87">
        <v>900</v>
      </c>
      <c r="AD2163" s="62">
        <v>0</v>
      </c>
      <c r="AL2163" s="64">
        <v>1</v>
      </c>
      <c r="AM2163" s="4"/>
      <c r="AN2163" s="93"/>
      <c r="AO2163" s="92"/>
      <c r="AQ2163" t="s">
        <v>5643</v>
      </c>
      <c r="AR2163">
        <v>1</v>
      </c>
      <c r="AS2163">
        <v>1</v>
      </c>
    </row>
    <row r="2164" spans="1:45">
      <c r="A2164">
        <v>511195</v>
      </c>
      <c r="B2164" s="238">
        <v>1001</v>
      </c>
      <c r="C2164" s="238">
        <v>1</v>
      </c>
      <c r="D2164" s="238">
        <v>1001</v>
      </c>
      <c r="E2164" t="s">
        <v>5644</v>
      </c>
      <c r="F2164" t="s">
        <v>5644</v>
      </c>
      <c r="G2164" t="s">
        <v>5645</v>
      </c>
      <c r="H2164" t="s">
        <v>5646</v>
      </c>
      <c r="I2164">
        <v>1</v>
      </c>
      <c r="J2164">
        <v>5</v>
      </c>
      <c r="K2164" s="33">
        <v>1</v>
      </c>
      <c r="L2164" s="236">
        <v>999</v>
      </c>
      <c r="M2164" s="236">
        <v>0</v>
      </c>
      <c r="N2164"/>
      <c r="S2164" s="336">
        <v>1</v>
      </c>
      <c r="T2164" s="236">
        <v>5</v>
      </c>
      <c r="U2164" s="336">
        <v>1</v>
      </c>
      <c r="V2164" s="248">
        <v>1</v>
      </c>
      <c r="W2164">
        <v>1</v>
      </c>
      <c r="X2164" s="8">
        <v>1</v>
      </c>
      <c r="Y2164" s="236">
        <v>0</v>
      </c>
      <c r="Z2164" s="33">
        <v>0</v>
      </c>
      <c r="AA2164">
        <v>5</v>
      </c>
      <c r="AB2164" s="34">
        <v>100</v>
      </c>
      <c r="AC2164" s="248">
        <v>900</v>
      </c>
      <c r="AD2164" s="62">
        <v>0</v>
      </c>
      <c r="AL2164" s="64">
        <v>1</v>
      </c>
      <c r="AM2164" s="4"/>
      <c r="AN2164" s="338"/>
      <c r="AO2164" s="252"/>
      <c r="AQ2164" t="s">
        <v>5643</v>
      </c>
      <c r="AR2164">
        <v>1</v>
      </c>
      <c r="AS2164">
        <v>1</v>
      </c>
    </row>
    <row r="2165" spans="1:45">
      <c r="A2165">
        <v>511196</v>
      </c>
      <c r="B2165" s="8">
        <v>1001</v>
      </c>
      <c r="C2165" s="236">
        <v>6</v>
      </c>
      <c r="D2165" s="8">
        <v>1001</v>
      </c>
      <c r="E2165" t="s">
        <v>5647</v>
      </c>
      <c r="F2165" t="s">
        <v>5647</v>
      </c>
      <c r="G2165" t="s">
        <v>5648</v>
      </c>
      <c r="H2165" t="s">
        <v>1822</v>
      </c>
      <c r="I2165">
        <v>1</v>
      </c>
      <c r="J2165">
        <v>1</v>
      </c>
      <c r="K2165" s="33">
        <v>2</v>
      </c>
      <c r="L2165">
        <v>999</v>
      </c>
      <c r="M2165">
        <v>0</v>
      </c>
      <c r="N2165">
        <v>1018</v>
      </c>
      <c r="O2165" s="2" t="s">
        <v>5649</v>
      </c>
      <c r="S2165" s="33">
        <v>1</v>
      </c>
      <c r="T2165">
        <v>5</v>
      </c>
      <c r="U2165">
        <v>1</v>
      </c>
      <c r="V2165" s="33">
        <v>1</v>
      </c>
      <c r="W2165">
        <v>1</v>
      </c>
      <c r="X2165" s="236">
        <v>1</v>
      </c>
      <c r="Y2165">
        <v>0</v>
      </c>
      <c r="Z2165" s="33">
        <v>0</v>
      </c>
      <c r="AA2165">
        <v>5</v>
      </c>
      <c r="AB2165">
        <v>100</v>
      </c>
      <c r="AC2165">
        <v>70</v>
      </c>
      <c r="AD2165" s="62">
        <v>0</v>
      </c>
      <c r="AE2165" s="62">
        <v>5</v>
      </c>
      <c r="AF2165" s="62">
        <v>2</v>
      </c>
      <c r="AS2165">
        <v>1</v>
      </c>
    </row>
    <row r="2166" spans="1:45">
      <c r="A2166">
        <v>511197</v>
      </c>
      <c r="B2166" s="8">
        <v>1001</v>
      </c>
      <c r="C2166">
        <v>2</v>
      </c>
      <c r="D2166" s="8">
        <v>1001</v>
      </c>
      <c r="E2166" t="s">
        <v>5650</v>
      </c>
      <c r="F2166" t="s">
        <v>5651</v>
      </c>
      <c r="G2166" t="s">
        <v>5651</v>
      </c>
      <c r="H2166" t="s">
        <v>5628</v>
      </c>
      <c r="I2166">
        <v>1</v>
      </c>
      <c r="J2166">
        <v>1</v>
      </c>
      <c r="K2166" s="33">
        <v>1</v>
      </c>
      <c r="L2166">
        <v>999</v>
      </c>
      <c r="M2166">
        <v>0</v>
      </c>
      <c r="N2166">
        <v>1017</v>
      </c>
      <c r="O2166" s="2">
        <v>100127</v>
      </c>
      <c r="V2166" s="33">
        <v>1</v>
      </c>
      <c r="AS2166">
        <v>1</v>
      </c>
    </row>
    <row r="2167" spans="1:45">
      <c r="A2167">
        <v>511198</v>
      </c>
      <c r="B2167" s="8">
        <v>1001</v>
      </c>
      <c r="C2167">
        <v>2</v>
      </c>
      <c r="D2167" s="8">
        <v>1001</v>
      </c>
      <c r="E2167" t="s">
        <v>5652</v>
      </c>
      <c r="F2167" t="s">
        <v>5653</v>
      </c>
      <c r="G2167" t="s">
        <v>5652</v>
      </c>
      <c r="H2167" t="s">
        <v>5631</v>
      </c>
      <c r="I2167">
        <v>1</v>
      </c>
      <c r="J2167">
        <v>1</v>
      </c>
      <c r="K2167" s="33">
        <v>1</v>
      </c>
      <c r="L2167">
        <v>999</v>
      </c>
      <c r="M2167">
        <v>0</v>
      </c>
      <c r="N2167">
        <v>1017</v>
      </c>
      <c r="O2167" s="2">
        <v>100128</v>
      </c>
      <c r="V2167" s="33">
        <v>1</v>
      </c>
      <c r="AS2167">
        <v>1</v>
      </c>
    </row>
    <row r="2168" spans="1:45">
      <c r="A2168">
        <v>511199</v>
      </c>
      <c r="B2168" s="8">
        <v>1001</v>
      </c>
      <c r="C2168">
        <v>2</v>
      </c>
      <c r="D2168" s="8">
        <v>1001</v>
      </c>
      <c r="E2168" t="s">
        <v>5654</v>
      </c>
      <c r="F2168" t="s">
        <v>5655</v>
      </c>
      <c r="G2168" t="s">
        <v>5654</v>
      </c>
      <c r="H2168" t="s">
        <v>5635</v>
      </c>
      <c r="I2168">
        <v>1</v>
      </c>
      <c r="J2168">
        <v>1</v>
      </c>
      <c r="K2168" s="33">
        <v>1</v>
      </c>
      <c r="L2168">
        <v>999</v>
      </c>
      <c r="M2168">
        <v>0</v>
      </c>
      <c r="N2168">
        <v>1017</v>
      </c>
      <c r="O2168" s="2">
        <v>100129</v>
      </c>
      <c r="R2168" s="8"/>
      <c r="T2168"/>
      <c r="U2168"/>
      <c r="V2168" s="33">
        <v>1</v>
      </c>
      <c r="W2168"/>
      <c r="X2168" s="8"/>
      <c r="Y2168"/>
      <c r="AA2168"/>
      <c r="AB2168"/>
      <c r="AC2168"/>
      <c r="AS2168">
        <v>1</v>
      </c>
    </row>
    <row r="2169" spans="1:45">
      <c r="A2169">
        <v>511200</v>
      </c>
      <c r="B2169" s="8">
        <v>1001</v>
      </c>
      <c r="C2169">
        <v>6</v>
      </c>
      <c r="D2169" s="8">
        <v>1001</v>
      </c>
      <c r="E2169" t="s">
        <v>5656</v>
      </c>
      <c r="F2169" t="s">
        <v>5656</v>
      </c>
      <c r="G2169" t="s">
        <v>5657</v>
      </c>
      <c r="H2169" t="s">
        <v>312</v>
      </c>
      <c r="I2169">
        <v>1</v>
      </c>
      <c r="J2169">
        <v>5</v>
      </c>
      <c r="K2169" s="33">
        <v>2</v>
      </c>
      <c r="L2169">
        <v>999</v>
      </c>
      <c r="M2169">
        <v>0</v>
      </c>
      <c r="N2169">
        <v>1017</v>
      </c>
      <c r="O2169" s="249">
        <v>50098</v>
      </c>
      <c r="R2169" s="8"/>
      <c r="S2169" s="33">
        <v>1</v>
      </c>
      <c r="T2169">
        <v>5</v>
      </c>
      <c r="U2169">
        <v>1</v>
      </c>
      <c r="V2169" s="33">
        <v>1</v>
      </c>
      <c r="W2169">
        <v>1</v>
      </c>
      <c r="X2169" s="8">
        <v>1</v>
      </c>
      <c r="Y2169">
        <v>0</v>
      </c>
      <c r="Z2169" s="33">
        <v>0</v>
      </c>
      <c r="AA2169">
        <v>5</v>
      </c>
      <c r="AB2169">
        <v>100</v>
      </c>
      <c r="AC2169">
        <v>70</v>
      </c>
      <c r="AD2169" s="62">
        <v>0</v>
      </c>
      <c r="AE2169" s="62">
        <v>4</v>
      </c>
      <c r="AF2169" s="62">
        <v>2</v>
      </c>
      <c r="AS2169">
        <v>1</v>
      </c>
    </row>
    <row r="2170" spans="1:45">
      <c r="A2170">
        <v>511201</v>
      </c>
      <c r="B2170" s="236">
        <v>1001</v>
      </c>
      <c r="C2170">
        <v>6</v>
      </c>
      <c r="D2170" s="236">
        <v>1001</v>
      </c>
      <c r="E2170" t="s">
        <v>5658</v>
      </c>
      <c r="F2170" t="s">
        <v>5658</v>
      </c>
      <c r="G2170" t="s">
        <v>5659</v>
      </c>
      <c r="H2170" t="s">
        <v>2535</v>
      </c>
      <c r="I2170">
        <v>1</v>
      </c>
      <c r="J2170">
        <v>5</v>
      </c>
      <c r="K2170" s="33">
        <v>2</v>
      </c>
      <c r="L2170">
        <v>999</v>
      </c>
      <c r="M2170">
        <v>0</v>
      </c>
      <c r="N2170">
        <v>1033</v>
      </c>
      <c r="O2170" s="249">
        <v>300</v>
      </c>
      <c r="R2170" s="236"/>
      <c r="S2170" s="33">
        <v>1</v>
      </c>
      <c r="T2170">
        <v>5</v>
      </c>
      <c r="U2170">
        <v>1</v>
      </c>
      <c r="V2170" s="33">
        <v>1</v>
      </c>
      <c r="W2170">
        <v>1</v>
      </c>
      <c r="X2170" s="236">
        <v>1</v>
      </c>
      <c r="Y2170">
        <v>0</v>
      </c>
      <c r="Z2170" s="33">
        <v>0</v>
      </c>
      <c r="AA2170">
        <v>5</v>
      </c>
      <c r="AB2170">
        <v>100</v>
      </c>
      <c r="AC2170">
        <v>70</v>
      </c>
      <c r="AD2170" s="62">
        <v>0</v>
      </c>
      <c r="AE2170" s="62">
        <v>4</v>
      </c>
      <c r="AF2170" s="62">
        <v>1</v>
      </c>
      <c r="AQ2170"/>
      <c r="AS2170">
        <v>1</v>
      </c>
    </row>
    <row r="2171" spans="1:45">
      <c r="A2171">
        <v>511202</v>
      </c>
      <c r="B2171">
        <v>1001</v>
      </c>
      <c r="C2171">
        <v>6</v>
      </c>
      <c r="D2171" s="238">
        <v>1001</v>
      </c>
      <c r="E2171" t="s">
        <v>5660</v>
      </c>
      <c r="F2171" t="s">
        <v>5660</v>
      </c>
      <c r="G2171" t="s">
        <v>5661</v>
      </c>
      <c r="H2171" t="s">
        <v>290</v>
      </c>
      <c r="I2171">
        <v>1</v>
      </c>
      <c r="J2171">
        <v>2</v>
      </c>
      <c r="K2171" s="33">
        <v>2</v>
      </c>
      <c r="L2171">
        <v>999</v>
      </c>
      <c r="M2171">
        <v>0</v>
      </c>
      <c r="N2171">
        <v>1</v>
      </c>
      <c r="O2171" s="2" t="s">
        <v>313</v>
      </c>
      <c r="S2171" s="33">
        <v>1</v>
      </c>
      <c r="T2171">
        <v>5</v>
      </c>
      <c r="U2171">
        <v>110</v>
      </c>
      <c r="V2171" s="33">
        <v>1</v>
      </c>
      <c r="W2171">
        <v>1</v>
      </c>
      <c r="X2171">
        <v>1</v>
      </c>
      <c r="Y2171">
        <v>0</v>
      </c>
      <c r="Z2171" s="33">
        <v>0</v>
      </c>
      <c r="AA2171">
        <v>5</v>
      </c>
      <c r="AB2171">
        <v>4180</v>
      </c>
      <c r="AC2171">
        <v>55</v>
      </c>
      <c r="AE2171" s="62">
        <v>4</v>
      </c>
      <c r="AF2171" s="62">
        <v>2</v>
      </c>
      <c r="AL2171" s="64">
        <v>1</v>
      </c>
      <c r="AQ2171" t="s">
        <v>5660</v>
      </c>
      <c r="AS2171">
        <v>1</v>
      </c>
    </row>
    <row r="2172" spans="1:45">
      <c r="A2172">
        <v>511203</v>
      </c>
      <c r="B2172">
        <v>1001</v>
      </c>
      <c r="C2172">
        <v>1</v>
      </c>
      <c r="D2172" s="8">
        <v>3</v>
      </c>
      <c r="E2172" t="s">
        <v>5662</v>
      </c>
      <c r="F2172" t="s">
        <v>5662</v>
      </c>
      <c r="G2172" t="s">
        <v>5663</v>
      </c>
      <c r="H2172" t="s">
        <v>2177</v>
      </c>
      <c r="I2172">
        <v>1</v>
      </c>
      <c r="J2172">
        <v>2</v>
      </c>
      <c r="K2172" s="33">
        <v>1</v>
      </c>
      <c r="L2172">
        <v>999</v>
      </c>
      <c r="M2172">
        <v>0</v>
      </c>
      <c r="S2172" s="33">
        <v>0</v>
      </c>
      <c r="T2172">
        <v>5</v>
      </c>
      <c r="U2172">
        <v>110</v>
      </c>
      <c r="V2172" s="33">
        <v>1</v>
      </c>
      <c r="W2172">
        <v>1</v>
      </c>
      <c r="X2172">
        <v>1</v>
      </c>
      <c r="Y2172">
        <v>0</v>
      </c>
      <c r="Z2172" s="33">
        <v>0</v>
      </c>
      <c r="AA2172">
        <v>5</v>
      </c>
      <c r="AB2172">
        <v>4180</v>
      </c>
      <c r="AC2172">
        <v>0</v>
      </c>
      <c r="AD2172" s="62">
        <v>0</v>
      </c>
      <c r="AE2172" s="62">
        <v>0</v>
      </c>
      <c r="AF2172" s="62">
        <v>0</v>
      </c>
      <c r="AH2172" s="63">
        <v>1</v>
      </c>
      <c r="AL2172" s="64">
        <v>1</v>
      </c>
      <c r="AQ2172" t="s">
        <v>5662</v>
      </c>
      <c r="AS2172">
        <v>1</v>
      </c>
    </row>
    <row r="2173" spans="1:45">
      <c r="A2173">
        <v>511204</v>
      </c>
      <c r="B2173">
        <v>1001</v>
      </c>
      <c r="C2173">
        <v>1</v>
      </c>
      <c r="D2173" s="8">
        <v>3</v>
      </c>
      <c r="E2173" t="s">
        <v>5664</v>
      </c>
      <c r="F2173" t="s">
        <v>5664</v>
      </c>
      <c r="G2173" t="s">
        <v>5665</v>
      </c>
      <c r="H2173" t="s">
        <v>1296</v>
      </c>
      <c r="I2173">
        <v>1</v>
      </c>
      <c r="J2173">
        <v>2</v>
      </c>
      <c r="K2173" s="33">
        <v>1</v>
      </c>
      <c r="L2173">
        <v>999</v>
      </c>
      <c r="M2173">
        <v>0</v>
      </c>
      <c r="S2173" s="33">
        <v>0</v>
      </c>
      <c r="T2173">
        <v>5</v>
      </c>
      <c r="U2173">
        <v>110</v>
      </c>
      <c r="V2173" s="33">
        <v>1</v>
      </c>
      <c r="W2173">
        <v>1</v>
      </c>
      <c r="X2173">
        <v>1</v>
      </c>
      <c r="Y2173">
        <v>0</v>
      </c>
      <c r="Z2173" s="33">
        <v>0</v>
      </c>
      <c r="AA2173">
        <v>5</v>
      </c>
      <c r="AB2173">
        <v>4180</v>
      </c>
      <c r="AC2173">
        <v>0</v>
      </c>
      <c r="AD2173" s="62">
        <v>0</v>
      </c>
      <c r="AE2173" s="62">
        <v>0</v>
      </c>
      <c r="AF2173" s="62">
        <v>0</v>
      </c>
      <c r="AH2173" s="63">
        <v>1</v>
      </c>
      <c r="AL2173" s="64">
        <v>1</v>
      </c>
      <c r="AQ2173" t="s">
        <v>5664</v>
      </c>
      <c r="AS2173">
        <v>1</v>
      </c>
    </row>
    <row r="2174" spans="1:45">
      <c r="A2174">
        <v>511205</v>
      </c>
      <c r="B2174">
        <v>1001</v>
      </c>
      <c r="C2174">
        <v>1</v>
      </c>
      <c r="D2174" s="8">
        <v>3</v>
      </c>
      <c r="E2174" t="s">
        <v>5666</v>
      </c>
      <c r="F2174" t="s">
        <v>5666</v>
      </c>
      <c r="G2174" t="s">
        <v>5667</v>
      </c>
      <c r="H2174" t="s">
        <v>1329</v>
      </c>
      <c r="I2174">
        <v>1</v>
      </c>
      <c r="J2174">
        <v>2</v>
      </c>
      <c r="K2174" s="33">
        <v>1</v>
      </c>
      <c r="L2174">
        <v>999</v>
      </c>
      <c r="M2174">
        <v>0</v>
      </c>
      <c r="S2174" s="33">
        <v>0</v>
      </c>
      <c r="T2174">
        <v>5</v>
      </c>
      <c r="U2174">
        <v>110</v>
      </c>
      <c r="V2174" s="33">
        <v>1</v>
      </c>
      <c r="W2174">
        <v>1</v>
      </c>
      <c r="X2174">
        <v>1</v>
      </c>
      <c r="Y2174">
        <v>0</v>
      </c>
      <c r="Z2174" s="33">
        <v>0</v>
      </c>
      <c r="AA2174">
        <v>5</v>
      </c>
      <c r="AB2174">
        <v>4180</v>
      </c>
      <c r="AC2174">
        <v>0</v>
      </c>
      <c r="AD2174" s="62">
        <v>0</v>
      </c>
      <c r="AE2174" s="62">
        <v>0</v>
      </c>
      <c r="AF2174" s="62">
        <v>0</v>
      </c>
      <c r="AH2174" s="63">
        <v>1</v>
      </c>
      <c r="AL2174" s="64">
        <v>1</v>
      </c>
      <c r="AQ2174" t="s">
        <v>5666</v>
      </c>
      <c r="AS2174">
        <v>1</v>
      </c>
    </row>
    <row r="2175" spans="1:45">
      <c r="A2175">
        <v>511206</v>
      </c>
      <c r="B2175">
        <v>1001</v>
      </c>
      <c r="C2175">
        <v>1</v>
      </c>
      <c r="D2175" s="8">
        <v>3</v>
      </c>
      <c r="E2175" t="s">
        <v>5668</v>
      </c>
      <c r="F2175" t="s">
        <v>5668</v>
      </c>
      <c r="G2175" t="s">
        <v>5669</v>
      </c>
      <c r="H2175" t="s">
        <v>5368</v>
      </c>
      <c r="I2175">
        <v>1</v>
      </c>
      <c r="J2175">
        <v>2</v>
      </c>
      <c r="K2175" s="33">
        <v>1</v>
      </c>
      <c r="L2175">
        <v>999</v>
      </c>
      <c r="M2175">
        <v>0</v>
      </c>
      <c r="S2175" s="33">
        <v>0</v>
      </c>
      <c r="T2175">
        <v>5</v>
      </c>
      <c r="U2175">
        <v>110</v>
      </c>
      <c r="V2175" s="33">
        <v>1</v>
      </c>
      <c r="W2175">
        <v>1</v>
      </c>
      <c r="X2175">
        <v>1</v>
      </c>
      <c r="Y2175">
        <v>0</v>
      </c>
      <c r="Z2175" s="33">
        <v>0</v>
      </c>
      <c r="AA2175">
        <v>5</v>
      </c>
      <c r="AB2175">
        <v>4180</v>
      </c>
      <c r="AC2175">
        <v>0</v>
      </c>
      <c r="AD2175" s="62">
        <v>0</v>
      </c>
      <c r="AE2175" s="62">
        <v>0</v>
      </c>
      <c r="AF2175" s="62">
        <v>0</v>
      </c>
      <c r="AH2175" s="63">
        <v>1</v>
      </c>
      <c r="AL2175" s="64">
        <v>1</v>
      </c>
      <c r="AQ2175" t="s">
        <v>5668</v>
      </c>
      <c r="AS2175">
        <v>1</v>
      </c>
    </row>
    <row r="2176" spans="1:45">
      <c r="A2176">
        <v>511207</v>
      </c>
      <c r="B2176">
        <v>1001</v>
      </c>
      <c r="C2176">
        <v>1</v>
      </c>
      <c r="D2176" s="8">
        <v>3</v>
      </c>
      <c r="E2176" t="s">
        <v>5670</v>
      </c>
      <c r="F2176" t="s">
        <v>5670</v>
      </c>
      <c r="G2176" t="s">
        <v>5671</v>
      </c>
      <c r="H2176" t="s">
        <v>1329</v>
      </c>
      <c r="I2176">
        <v>1</v>
      </c>
      <c r="J2176">
        <v>2</v>
      </c>
      <c r="K2176" s="33">
        <v>1</v>
      </c>
      <c r="L2176">
        <v>999</v>
      </c>
      <c r="M2176">
        <v>0</v>
      </c>
      <c r="S2176" s="33">
        <v>0</v>
      </c>
      <c r="T2176">
        <v>5</v>
      </c>
      <c r="U2176">
        <v>110</v>
      </c>
      <c r="V2176" s="33">
        <v>1</v>
      </c>
      <c r="W2176">
        <v>1</v>
      </c>
      <c r="X2176">
        <v>1</v>
      </c>
      <c r="Y2176">
        <v>0</v>
      </c>
      <c r="Z2176" s="33">
        <v>0</v>
      </c>
      <c r="AA2176">
        <v>5</v>
      </c>
      <c r="AB2176">
        <v>4180</v>
      </c>
      <c r="AC2176">
        <v>0</v>
      </c>
      <c r="AD2176" s="62">
        <v>0</v>
      </c>
      <c r="AE2176" s="62">
        <v>0</v>
      </c>
      <c r="AF2176" s="62">
        <v>0</v>
      </c>
      <c r="AH2176" s="63">
        <v>1</v>
      </c>
      <c r="AL2176" s="64">
        <v>1</v>
      </c>
      <c r="AQ2176" t="s">
        <v>5670</v>
      </c>
      <c r="AS2176">
        <v>1</v>
      </c>
    </row>
    <row r="2177" spans="1:45">
      <c r="A2177">
        <v>511208</v>
      </c>
      <c r="B2177">
        <v>1001</v>
      </c>
      <c r="C2177">
        <v>1</v>
      </c>
      <c r="D2177" s="8">
        <v>3</v>
      </c>
      <c r="E2177" t="s">
        <v>5672</v>
      </c>
      <c r="F2177" t="s">
        <v>5672</v>
      </c>
      <c r="G2177" t="s">
        <v>5673</v>
      </c>
      <c r="H2177" t="s">
        <v>1329</v>
      </c>
      <c r="I2177">
        <v>1</v>
      </c>
      <c r="J2177">
        <v>2</v>
      </c>
      <c r="K2177" s="33">
        <v>1</v>
      </c>
      <c r="L2177">
        <v>999</v>
      </c>
      <c r="M2177">
        <v>0</v>
      </c>
      <c r="S2177" s="33">
        <v>0</v>
      </c>
      <c r="T2177">
        <v>5</v>
      </c>
      <c r="U2177">
        <v>110</v>
      </c>
      <c r="V2177" s="33">
        <v>1</v>
      </c>
      <c r="W2177">
        <v>1</v>
      </c>
      <c r="X2177">
        <v>1</v>
      </c>
      <c r="Y2177">
        <v>0</v>
      </c>
      <c r="Z2177" s="33">
        <v>0</v>
      </c>
      <c r="AA2177">
        <v>5</v>
      </c>
      <c r="AB2177">
        <v>4180</v>
      </c>
      <c r="AC2177">
        <v>0</v>
      </c>
      <c r="AD2177" s="62">
        <v>0</v>
      </c>
      <c r="AE2177" s="62">
        <v>0</v>
      </c>
      <c r="AF2177" s="62">
        <v>0</v>
      </c>
      <c r="AH2177" s="63">
        <v>1</v>
      </c>
      <c r="AL2177" s="64">
        <v>1</v>
      </c>
      <c r="AQ2177" t="s">
        <v>5672</v>
      </c>
      <c r="AS2177">
        <v>1</v>
      </c>
    </row>
    <row r="2178" spans="1:45">
      <c r="A2178">
        <v>511209</v>
      </c>
      <c r="B2178">
        <v>1001</v>
      </c>
      <c r="C2178">
        <v>1</v>
      </c>
      <c r="D2178" s="8">
        <v>3</v>
      </c>
      <c r="E2178" t="s">
        <v>5674</v>
      </c>
      <c r="F2178" t="s">
        <v>5674</v>
      </c>
      <c r="G2178" t="s">
        <v>5675</v>
      </c>
      <c r="H2178" t="s">
        <v>1329</v>
      </c>
      <c r="I2178">
        <v>1</v>
      </c>
      <c r="J2178">
        <v>2</v>
      </c>
      <c r="K2178" s="33">
        <v>1</v>
      </c>
      <c r="L2178">
        <v>999</v>
      </c>
      <c r="M2178">
        <v>0</v>
      </c>
      <c r="S2178" s="33">
        <v>0</v>
      </c>
      <c r="T2178">
        <v>5</v>
      </c>
      <c r="U2178">
        <v>110</v>
      </c>
      <c r="V2178" s="33">
        <v>1</v>
      </c>
      <c r="W2178">
        <v>1</v>
      </c>
      <c r="X2178">
        <v>1</v>
      </c>
      <c r="Y2178">
        <v>0</v>
      </c>
      <c r="Z2178" s="33">
        <v>0</v>
      </c>
      <c r="AA2178">
        <v>5</v>
      </c>
      <c r="AB2178">
        <v>4180</v>
      </c>
      <c r="AC2178">
        <v>0</v>
      </c>
      <c r="AD2178" s="62">
        <v>0</v>
      </c>
      <c r="AE2178" s="62">
        <v>0</v>
      </c>
      <c r="AF2178" s="62">
        <v>0</v>
      </c>
      <c r="AH2178" s="63">
        <v>1</v>
      </c>
      <c r="AL2178" s="64">
        <v>1</v>
      </c>
      <c r="AQ2178" t="s">
        <v>5674</v>
      </c>
      <c r="AS2178">
        <v>1</v>
      </c>
    </row>
    <row r="2179" spans="1:45">
      <c r="A2179">
        <v>511210</v>
      </c>
      <c r="B2179">
        <v>1001</v>
      </c>
      <c r="C2179">
        <v>1</v>
      </c>
      <c r="D2179" s="8">
        <v>3</v>
      </c>
      <c r="E2179" t="s">
        <v>5676</v>
      </c>
      <c r="F2179" t="s">
        <v>5676</v>
      </c>
      <c r="G2179" t="s">
        <v>5677</v>
      </c>
      <c r="H2179" t="s">
        <v>1301</v>
      </c>
      <c r="I2179">
        <v>1</v>
      </c>
      <c r="J2179">
        <v>2</v>
      </c>
      <c r="K2179" s="33">
        <v>1</v>
      </c>
      <c r="L2179">
        <v>999</v>
      </c>
      <c r="M2179">
        <v>0</v>
      </c>
      <c r="S2179" s="33">
        <v>0</v>
      </c>
      <c r="T2179">
        <v>5</v>
      </c>
      <c r="U2179">
        <v>110</v>
      </c>
      <c r="V2179" s="33">
        <v>1</v>
      </c>
      <c r="W2179">
        <v>1</v>
      </c>
      <c r="X2179">
        <v>1</v>
      </c>
      <c r="Y2179">
        <v>0</v>
      </c>
      <c r="Z2179" s="33">
        <v>0</v>
      </c>
      <c r="AA2179">
        <v>5</v>
      </c>
      <c r="AB2179">
        <v>4180</v>
      </c>
      <c r="AC2179">
        <v>0</v>
      </c>
      <c r="AD2179" s="62">
        <v>0</v>
      </c>
      <c r="AE2179" s="62">
        <v>0</v>
      </c>
      <c r="AF2179" s="62">
        <v>0</v>
      </c>
      <c r="AH2179" s="63">
        <v>1</v>
      </c>
      <c r="AL2179" s="64">
        <v>1</v>
      </c>
      <c r="AQ2179" t="s">
        <v>5676</v>
      </c>
      <c r="AS2179">
        <v>1</v>
      </c>
    </row>
    <row r="2180" spans="1:45">
      <c r="A2180">
        <v>511211</v>
      </c>
      <c r="B2180">
        <v>1001</v>
      </c>
      <c r="C2180">
        <v>1</v>
      </c>
      <c r="D2180" s="8">
        <v>3</v>
      </c>
      <c r="E2180" t="s">
        <v>5678</v>
      </c>
      <c r="F2180" t="s">
        <v>5678</v>
      </c>
      <c r="G2180" t="s">
        <v>5679</v>
      </c>
      <c r="H2180" t="s">
        <v>2553</v>
      </c>
      <c r="I2180">
        <v>1</v>
      </c>
      <c r="J2180">
        <v>2</v>
      </c>
      <c r="K2180" s="33">
        <v>1</v>
      </c>
      <c r="L2180">
        <v>999</v>
      </c>
      <c r="M2180">
        <v>0</v>
      </c>
      <c r="S2180" s="33">
        <v>0</v>
      </c>
      <c r="T2180">
        <v>5</v>
      </c>
      <c r="U2180">
        <v>110</v>
      </c>
      <c r="V2180" s="33">
        <v>1</v>
      </c>
      <c r="W2180">
        <v>1</v>
      </c>
      <c r="X2180">
        <v>1</v>
      </c>
      <c r="Y2180">
        <v>0</v>
      </c>
      <c r="Z2180" s="33">
        <v>0</v>
      </c>
      <c r="AA2180">
        <v>5</v>
      </c>
      <c r="AB2180">
        <v>4180</v>
      </c>
      <c r="AC2180">
        <v>0</v>
      </c>
      <c r="AD2180" s="62">
        <v>0</v>
      </c>
      <c r="AE2180" s="62">
        <v>0</v>
      </c>
      <c r="AF2180" s="62">
        <v>0</v>
      </c>
      <c r="AH2180" s="63">
        <v>1</v>
      </c>
      <c r="AL2180" s="64">
        <v>1</v>
      </c>
      <c r="AQ2180" t="s">
        <v>5678</v>
      </c>
      <c r="AS2180">
        <v>1</v>
      </c>
    </row>
    <row r="2181" spans="1:45">
      <c r="A2181">
        <v>511212</v>
      </c>
      <c r="B2181">
        <v>1001</v>
      </c>
      <c r="C2181">
        <v>1</v>
      </c>
      <c r="D2181" s="236">
        <v>3</v>
      </c>
      <c r="E2181" s="238" t="s">
        <v>5680</v>
      </c>
      <c r="F2181" s="238" t="s">
        <v>5680</v>
      </c>
      <c r="G2181" t="s">
        <v>5681</v>
      </c>
      <c r="H2181" t="s">
        <v>1329</v>
      </c>
      <c r="I2181">
        <v>1</v>
      </c>
      <c r="J2181">
        <v>2</v>
      </c>
      <c r="K2181" s="254">
        <v>1</v>
      </c>
      <c r="L2181" s="238">
        <v>999</v>
      </c>
      <c r="M2181" s="238">
        <v>0</v>
      </c>
      <c r="N2181" s="8"/>
      <c r="O2181" s="249"/>
      <c r="R2181" s="8"/>
      <c r="S2181" s="254">
        <v>0</v>
      </c>
      <c r="T2181" s="238">
        <v>5</v>
      </c>
      <c r="U2181" s="238">
        <v>110</v>
      </c>
      <c r="V2181" s="254">
        <v>1</v>
      </c>
      <c r="W2181">
        <v>1</v>
      </c>
      <c r="X2181" s="238">
        <v>1</v>
      </c>
      <c r="Y2181" s="238">
        <v>0</v>
      </c>
      <c r="Z2181" s="33">
        <v>0</v>
      </c>
      <c r="AA2181">
        <v>5</v>
      </c>
      <c r="AB2181">
        <v>4180</v>
      </c>
      <c r="AC2181" s="238">
        <v>0</v>
      </c>
      <c r="AD2181" s="62">
        <v>0</v>
      </c>
      <c r="AE2181" s="62">
        <v>0</v>
      </c>
      <c r="AF2181" s="62">
        <v>0</v>
      </c>
      <c r="AH2181" s="63">
        <v>1</v>
      </c>
      <c r="AL2181" s="64">
        <v>1</v>
      </c>
      <c r="AN2181" s="93"/>
      <c r="AO2181" s="92"/>
      <c r="AP2181" s="8"/>
      <c r="AQ2181" t="s">
        <v>5680</v>
      </c>
      <c r="AS2181">
        <v>1</v>
      </c>
    </row>
    <row r="2182" s="51" customFormat="1" spans="1:45">
      <c r="A2182">
        <v>511213</v>
      </c>
      <c r="B2182" s="238">
        <v>1001</v>
      </c>
      <c r="C2182" s="238">
        <v>1</v>
      </c>
      <c r="D2182" s="238">
        <v>1001</v>
      </c>
      <c r="E2182" s="253" t="s">
        <v>5682</v>
      </c>
      <c r="F2182" s="253" t="s">
        <v>5682</v>
      </c>
      <c r="G2182" t="s">
        <v>5683</v>
      </c>
      <c r="H2182" t="s">
        <v>5684</v>
      </c>
      <c r="I2182">
        <v>1</v>
      </c>
      <c r="J2182">
        <v>5</v>
      </c>
      <c r="K2182" s="87">
        <v>1</v>
      </c>
      <c r="L2182" s="8">
        <v>999</v>
      </c>
      <c r="M2182" s="8">
        <v>0</v>
      </c>
      <c r="N2182" s="8"/>
      <c r="O2182" s="249"/>
      <c r="R2182" s="236"/>
      <c r="S2182" s="89">
        <v>1</v>
      </c>
      <c r="T2182" s="8">
        <v>5</v>
      </c>
      <c r="U2182" s="89">
        <v>1</v>
      </c>
      <c r="V2182" s="87">
        <v>1</v>
      </c>
      <c r="W2182" s="238">
        <v>1</v>
      </c>
      <c r="X2182" s="8">
        <v>1</v>
      </c>
      <c r="Y2182" s="236">
        <v>0</v>
      </c>
      <c r="Z2182" s="33">
        <v>0</v>
      </c>
      <c r="AA2182">
        <v>5</v>
      </c>
      <c r="AB2182" s="34">
        <v>100</v>
      </c>
      <c r="AC2182" s="87">
        <v>70</v>
      </c>
      <c r="AD2182" s="62">
        <v>0</v>
      </c>
      <c r="AE2182" s="404"/>
      <c r="AF2182" s="404"/>
      <c r="AG2182" s="405"/>
      <c r="AH2182" s="405"/>
      <c r="AI2182" s="405"/>
      <c r="AJ2182" s="405"/>
      <c r="AK2182" s="405"/>
      <c r="AL2182" s="256">
        <v>1</v>
      </c>
      <c r="AM2182" s="406"/>
      <c r="AN2182" s="93"/>
      <c r="AO2182" s="92"/>
      <c r="AP2182" s="236"/>
      <c r="AQ2182" t="s">
        <v>5442</v>
      </c>
      <c r="AS2182">
        <v>1</v>
      </c>
    </row>
    <row r="2183" spans="1:45">
      <c r="A2183" s="51">
        <v>511214</v>
      </c>
      <c r="B2183" s="407">
        <v>1001</v>
      </c>
      <c r="C2183" s="407">
        <v>1</v>
      </c>
      <c r="D2183" s="407">
        <v>3</v>
      </c>
      <c r="E2183" s="408" t="s">
        <v>5685</v>
      </c>
      <c r="F2183" s="408" t="s">
        <v>5685</v>
      </c>
      <c r="G2183" s="408" t="s">
        <v>5686</v>
      </c>
      <c r="H2183" s="58" t="s">
        <v>1329</v>
      </c>
      <c r="I2183" s="51">
        <v>1</v>
      </c>
      <c r="J2183" s="409">
        <v>2</v>
      </c>
      <c r="K2183" s="410">
        <v>1</v>
      </c>
      <c r="L2183" s="411">
        <v>999</v>
      </c>
      <c r="M2183" s="411">
        <v>0</v>
      </c>
      <c r="N2183" s="411"/>
      <c r="O2183" s="412"/>
      <c r="S2183" s="413">
        <v>0</v>
      </c>
      <c r="T2183" s="411">
        <v>5</v>
      </c>
      <c r="U2183" s="413">
        <v>110</v>
      </c>
      <c r="V2183" s="410">
        <v>1</v>
      </c>
      <c r="W2183" s="411">
        <v>1</v>
      </c>
      <c r="X2183" s="411">
        <v>1</v>
      </c>
      <c r="Y2183" s="51">
        <v>0</v>
      </c>
      <c r="Z2183" s="414">
        <v>0</v>
      </c>
      <c r="AA2183" s="51">
        <v>5</v>
      </c>
      <c r="AB2183" s="415">
        <v>4180</v>
      </c>
      <c r="AC2183" s="410">
        <v>0</v>
      </c>
      <c r="AD2183" s="416">
        <v>0</v>
      </c>
      <c r="AE2183" s="417">
        <v>0</v>
      </c>
      <c r="AF2183" s="417">
        <v>0</v>
      </c>
      <c r="AG2183" s="418"/>
      <c r="AH2183" s="418">
        <v>1</v>
      </c>
      <c r="AI2183" s="418"/>
      <c r="AJ2183" s="418"/>
      <c r="AK2183" s="418"/>
      <c r="AL2183" s="419">
        <v>1</v>
      </c>
      <c r="AM2183" s="419"/>
      <c r="AN2183" s="420"/>
      <c r="AO2183" s="419"/>
      <c r="AQ2183" s="421" t="s">
        <v>5685</v>
      </c>
      <c r="AS2183" s="51">
        <v>1</v>
      </c>
    </row>
    <row r="2184" spans="1:45">
      <c r="A2184">
        <v>511215</v>
      </c>
      <c r="B2184" s="58">
        <v>1001</v>
      </c>
      <c r="C2184" s="58">
        <v>1</v>
      </c>
      <c r="D2184" s="58">
        <v>3</v>
      </c>
      <c r="E2184" t="s">
        <v>5687</v>
      </c>
      <c r="F2184" t="s">
        <v>5687</v>
      </c>
      <c r="G2184" t="s">
        <v>5688</v>
      </c>
      <c r="H2184" s="58" t="s">
        <v>1329</v>
      </c>
      <c r="I2184">
        <v>1</v>
      </c>
      <c r="J2184">
        <v>2</v>
      </c>
      <c r="K2184" s="33">
        <v>1</v>
      </c>
      <c r="L2184">
        <v>999</v>
      </c>
      <c r="M2184">
        <v>0</v>
      </c>
      <c r="S2184" s="33">
        <v>0</v>
      </c>
      <c r="T2184">
        <v>5</v>
      </c>
      <c r="U2184">
        <v>110</v>
      </c>
      <c r="V2184" s="33">
        <v>1</v>
      </c>
      <c r="W2184">
        <v>1</v>
      </c>
      <c r="X2184">
        <v>1</v>
      </c>
      <c r="Y2184">
        <v>0</v>
      </c>
      <c r="Z2184" s="33">
        <v>0</v>
      </c>
      <c r="AA2184">
        <v>5</v>
      </c>
      <c r="AB2184">
        <v>4180</v>
      </c>
      <c r="AC2184">
        <v>0</v>
      </c>
      <c r="AD2184" s="62">
        <v>0</v>
      </c>
      <c r="AE2184" s="62">
        <v>0</v>
      </c>
      <c r="AF2184" s="62">
        <v>0</v>
      </c>
      <c r="AH2184" s="63">
        <v>1</v>
      </c>
      <c r="AL2184" s="64">
        <v>1</v>
      </c>
      <c r="AQ2184" t="s">
        <v>5687</v>
      </c>
      <c r="AS2184">
        <v>1</v>
      </c>
    </row>
    <row r="2185" spans="1:45">
      <c r="A2185">
        <v>511216</v>
      </c>
      <c r="B2185">
        <v>1001</v>
      </c>
      <c r="C2185">
        <v>1</v>
      </c>
      <c r="D2185">
        <v>3</v>
      </c>
      <c r="E2185" t="s">
        <v>5689</v>
      </c>
      <c r="F2185" t="s">
        <v>5689</v>
      </c>
      <c r="G2185" t="s">
        <v>5690</v>
      </c>
      <c r="H2185" t="s">
        <v>1329</v>
      </c>
      <c r="I2185">
        <v>1</v>
      </c>
      <c r="J2185">
        <v>2</v>
      </c>
      <c r="K2185" s="33">
        <v>1</v>
      </c>
      <c r="L2185">
        <v>999</v>
      </c>
      <c r="M2185">
        <v>0</v>
      </c>
      <c r="S2185" s="33">
        <v>0</v>
      </c>
      <c r="T2185">
        <v>5</v>
      </c>
      <c r="U2185">
        <v>110</v>
      </c>
      <c r="V2185" s="33">
        <v>1</v>
      </c>
      <c r="W2185">
        <v>1</v>
      </c>
      <c r="X2185">
        <v>1</v>
      </c>
      <c r="Y2185">
        <v>0</v>
      </c>
      <c r="Z2185" s="33">
        <v>0</v>
      </c>
      <c r="AA2185">
        <v>5</v>
      </c>
      <c r="AB2185">
        <v>4180</v>
      </c>
      <c r="AC2185">
        <v>0</v>
      </c>
      <c r="AD2185" s="62">
        <v>0</v>
      </c>
      <c r="AE2185" s="62">
        <v>0</v>
      </c>
      <c r="AF2185" s="62">
        <v>0</v>
      </c>
      <c r="AH2185" s="63">
        <v>1</v>
      </c>
      <c r="AL2185" s="64">
        <v>1</v>
      </c>
      <c r="AQ2185" t="s">
        <v>5689</v>
      </c>
      <c r="AS2185">
        <v>1</v>
      </c>
    </row>
    <row r="2186" s="51" customFormat="1" spans="1:45">
      <c r="A2186">
        <v>511217</v>
      </c>
      <c r="B2186" s="238">
        <v>1001</v>
      </c>
      <c r="C2186" s="238">
        <v>1</v>
      </c>
      <c r="D2186" s="238">
        <v>3</v>
      </c>
      <c r="E2186" t="s">
        <v>5691</v>
      </c>
      <c r="F2186" t="s">
        <v>5691</v>
      </c>
      <c r="G2186" t="s">
        <v>5692</v>
      </c>
      <c r="H2186" t="s">
        <v>1329</v>
      </c>
      <c r="I2186">
        <v>1</v>
      </c>
      <c r="J2186">
        <v>2</v>
      </c>
      <c r="K2186" s="254">
        <v>1</v>
      </c>
      <c r="L2186" s="238">
        <v>999</v>
      </c>
      <c r="M2186" s="238">
        <v>0</v>
      </c>
      <c r="N2186" s="422"/>
      <c r="O2186" s="412"/>
      <c r="S2186" s="254">
        <v>0</v>
      </c>
      <c r="T2186" s="238">
        <v>5</v>
      </c>
      <c r="U2186" s="238">
        <v>110</v>
      </c>
      <c r="V2186" s="254">
        <v>1</v>
      </c>
      <c r="W2186" s="238">
        <v>1</v>
      </c>
      <c r="X2186" s="238">
        <v>1</v>
      </c>
      <c r="Y2186">
        <v>0</v>
      </c>
      <c r="Z2186" s="33">
        <v>0</v>
      </c>
      <c r="AA2186">
        <v>5</v>
      </c>
      <c r="AB2186">
        <v>4180</v>
      </c>
      <c r="AC2186" s="238">
        <v>0</v>
      </c>
      <c r="AD2186" s="62">
        <v>0</v>
      </c>
      <c r="AE2186" s="255">
        <v>0</v>
      </c>
      <c r="AF2186" s="255">
        <v>0</v>
      </c>
      <c r="AG2186" s="405"/>
      <c r="AH2186" s="423">
        <v>1</v>
      </c>
      <c r="AI2186" s="405"/>
      <c r="AJ2186" s="405"/>
      <c r="AK2186" s="405"/>
      <c r="AL2186" s="256">
        <v>1</v>
      </c>
      <c r="AM2186" s="406"/>
      <c r="AN2186" s="424"/>
      <c r="AO2186" s="406"/>
      <c r="AQ2186" t="s">
        <v>5691</v>
      </c>
      <c r="AS2186">
        <v>1</v>
      </c>
    </row>
    <row r="2187" spans="1:45">
      <c r="A2187" s="51">
        <v>511218</v>
      </c>
      <c r="B2187" s="425">
        <v>1001</v>
      </c>
      <c r="C2187" s="425">
        <v>1</v>
      </c>
      <c r="D2187" s="407">
        <v>3</v>
      </c>
      <c r="E2187" s="408" t="s">
        <v>5693</v>
      </c>
      <c r="F2187" s="408" t="s">
        <v>5693</v>
      </c>
      <c r="G2187" s="408" t="s">
        <v>5694</v>
      </c>
      <c r="H2187" s="58" t="s">
        <v>1329</v>
      </c>
      <c r="I2187" s="51">
        <v>1</v>
      </c>
      <c r="J2187" s="409">
        <v>2</v>
      </c>
      <c r="K2187" s="410">
        <v>1</v>
      </c>
      <c r="L2187" s="422">
        <v>999</v>
      </c>
      <c r="M2187" s="422">
        <v>0</v>
      </c>
      <c r="N2187" s="411"/>
      <c r="O2187" s="412"/>
      <c r="S2187" s="426">
        <v>0</v>
      </c>
      <c r="T2187" s="422">
        <v>5</v>
      </c>
      <c r="U2187" s="426">
        <v>110</v>
      </c>
      <c r="V2187" s="427">
        <v>1</v>
      </c>
      <c r="W2187" s="411">
        <v>1</v>
      </c>
      <c r="X2187" s="422">
        <v>1</v>
      </c>
      <c r="Y2187" s="428">
        <v>0</v>
      </c>
      <c r="Z2187" s="414">
        <v>0</v>
      </c>
      <c r="AA2187" s="51">
        <v>5</v>
      </c>
      <c r="AB2187" s="415">
        <v>4180</v>
      </c>
      <c r="AC2187" s="427">
        <v>0</v>
      </c>
      <c r="AD2187" s="416">
        <v>0</v>
      </c>
      <c r="AE2187" s="417">
        <v>0</v>
      </c>
      <c r="AF2187" s="417">
        <v>0</v>
      </c>
      <c r="AG2187" s="418"/>
      <c r="AH2187" s="418">
        <v>1</v>
      </c>
      <c r="AI2187" s="418"/>
      <c r="AJ2187" s="418"/>
      <c r="AK2187" s="418"/>
      <c r="AL2187" s="419">
        <v>1</v>
      </c>
      <c r="AM2187" s="419"/>
      <c r="AN2187" s="429"/>
      <c r="AO2187" s="406"/>
      <c r="AQ2187" s="421" t="s">
        <v>5693</v>
      </c>
      <c r="AR2187"/>
      <c r="AS2187" s="51">
        <v>1</v>
      </c>
    </row>
    <row r="2188" spans="1:45">
      <c r="A2188">
        <v>511219</v>
      </c>
      <c r="B2188" s="425">
        <v>1001</v>
      </c>
      <c r="C2188" s="425">
        <v>1</v>
      </c>
      <c r="D2188">
        <v>1001</v>
      </c>
      <c r="E2188" t="s">
        <v>5695</v>
      </c>
      <c r="F2188" t="s">
        <v>5695</v>
      </c>
      <c r="G2188" t="s">
        <v>5696</v>
      </c>
      <c r="H2188" t="s">
        <v>5697</v>
      </c>
      <c r="I2188">
        <v>1</v>
      </c>
      <c r="J2188">
        <v>5</v>
      </c>
      <c r="K2188" s="33">
        <v>1</v>
      </c>
      <c r="L2188" s="8">
        <v>999</v>
      </c>
      <c r="M2188" s="8">
        <v>0</v>
      </c>
      <c r="S2188" s="89">
        <v>1</v>
      </c>
      <c r="T2188" s="8">
        <v>5</v>
      </c>
      <c r="U2188" s="89">
        <v>1</v>
      </c>
      <c r="V2188" s="87">
        <v>1</v>
      </c>
      <c r="W2188">
        <v>1</v>
      </c>
      <c r="X2188" s="8">
        <v>1</v>
      </c>
      <c r="Y2188" s="8">
        <v>0</v>
      </c>
      <c r="Z2188" s="33">
        <v>0</v>
      </c>
      <c r="AA2188">
        <v>5</v>
      </c>
      <c r="AB2188" s="34">
        <v>100</v>
      </c>
      <c r="AC2188" s="87">
        <v>900</v>
      </c>
      <c r="AD2188" s="62">
        <v>0</v>
      </c>
      <c r="AL2188" s="64">
        <v>1</v>
      </c>
      <c r="AM2188" s="4"/>
      <c r="AN2188" s="93"/>
      <c r="AO2188" s="92"/>
      <c r="AQ2188" t="s">
        <v>5695</v>
      </c>
      <c r="AR2188">
        <v>1</v>
      </c>
      <c r="AS2188">
        <v>1</v>
      </c>
    </row>
    <row r="2189" spans="1:45">
      <c r="A2189">
        <v>511220</v>
      </c>
      <c r="B2189" s="425">
        <v>1001</v>
      </c>
      <c r="C2189" s="425">
        <v>1</v>
      </c>
      <c r="D2189">
        <v>1001</v>
      </c>
      <c r="E2189" t="s">
        <v>5698</v>
      </c>
      <c r="F2189" t="s">
        <v>5698</v>
      </c>
      <c r="G2189" t="s">
        <v>5696</v>
      </c>
      <c r="H2189" t="s">
        <v>5699</v>
      </c>
      <c r="I2189">
        <v>1</v>
      </c>
      <c r="J2189">
        <v>5</v>
      </c>
      <c r="K2189" s="33">
        <v>1</v>
      </c>
      <c r="L2189" s="8">
        <v>999</v>
      </c>
      <c r="M2189" s="8">
        <v>0</v>
      </c>
      <c r="N2189"/>
      <c r="O2189" s="249"/>
      <c r="S2189" s="336">
        <v>1</v>
      </c>
      <c r="T2189" s="8">
        <v>5</v>
      </c>
      <c r="U2189" s="89">
        <v>1</v>
      </c>
      <c r="V2189" s="87">
        <v>1</v>
      </c>
      <c r="W2189">
        <v>1</v>
      </c>
      <c r="X2189" s="8">
        <v>1</v>
      </c>
      <c r="Y2189" s="8">
        <v>0</v>
      </c>
      <c r="Z2189" s="33">
        <v>0</v>
      </c>
      <c r="AA2189">
        <v>5</v>
      </c>
      <c r="AB2189" s="34">
        <v>100</v>
      </c>
      <c r="AC2189" s="87">
        <v>900</v>
      </c>
      <c r="AD2189" s="62">
        <v>0</v>
      </c>
      <c r="AL2189" s="64">
        <v>1</v>
      </c>
      <c r="AM2189" s="4"/>
      <c r="AN2189" s="338"/>
      <c r="AO2189" s="252"/>
      <c r="AQ2189" t="s">
        <v>5698</v>
      </c>
      <c r="AR2189">
        <v>1</v>
      </c>
      <c r="AS2189">
        <v>1</v>
      </c>
    </row>
    <row r="2190" spans="1:45">
      <c r="A2190">
        <v>511221</v>
      </c>
      <c r="B2190" s="425">
        <v>1001</v>
      </c>
      <c r="C2190" s="425">
        <v>6</v>
      </c>
      <c r="D2190">
        <v>1001</v>
      </c>
      <c r="E2190" t="s">
        <v>5700</v>
      </c>
      <c r="F2190" t="s">
        <v>5701</v>
      </c>
      <c r="G2190" t="s">
        <v>5702</v>
      </c>
      <c r="H2190" t="s">
        <v>312</v>
      </c>
      <c r="I2190">
        <v>1</v>
      </c>
      <c r="J2190">
        <v>1</v>
      </c>
      <c r="K2190" s="33">
        <v>2</v>
      </c>
      <c r="L2190" s="8">
        <v>999</v>
      </c>
      <c r="M2190" s="8">
        <v>0</v>
      </c>
      <c r="N2190">
        <v>1017</v>
      </c>
      <c r="O2190" s="249">
        <v>30318</v>
      </c>
      <c r="S2190" s="33">
        <v>0</v>
      </c>
      <c r="T2190" s="8">
        <v>5</v>
      </c>
      <c r="U2190" s="89">
        <v>1</v>
      </c>
      <c r="V2190" s="87">
        <v>1</v>
      </c>
      <c r="W2190">
        <v>1</v>
      </c>
      <c r="X2190" s="8">
        <v>1</v>
      </c>
      <c r="Y2190" s="8">
        <v>0</v>
      </c>
      <c r="Z2190" s="33">
        <v>0</v>
      </c>
      <c r="AA2190">
        <v>5</v>
      </c>
      <c r="AB2190" s="34">
        <v>100</v>
      </c>
      <c r="AC2190" s="87">
        <v>65</v>
      </c>
      <c r="AD2190" s="62">
        <v>0</v>
      </c>
      <c r="AE2190" s="62">
        <v>4</v>
      </c>
      <c r="AF2190" s="62">
        <v>2</v>
      </c>
      <c r="AM2190" s="64">
        <v>1</v>
      </c>
      <c r="AS2190">
        <v>1</v>
      </c>
    </row>
    <row r="2191" spans="1:45">
      <c r="A2191">
        <v>511222</v>
      </c>
      <c r="B2191" s="425">
        <v>1001</v>
      </c>
      <c r="C2191" s="425">
        <v>6</v>
      </c>
      <c r="D2191">
        <v>1001</v>
      </c>
      <c r="E2191" t="s">
        <v>5703</v>
      </c>
      <c r="F2191" t="s">
        <v>5701</v>
      </c>
      <c r="G2191" t="s">
        <v>5704</v>
      </c>
      <c r="H2191" t="s">
        <v>312</v>
      </c>
      <c r="I2191">
        <v>1</v>
      </c>
      <c r="J2191">
        <v>1</v>
      </c>
      <c r="K2191" s="33">
        <v>2</v>
      </c>
      <c r="L2191" s="8">
        <v>999</v>
      </c>
      <c r="M2191" s="8">
        <v>0</v>
      </c>
      <c r="N2191">
        <v>1017</v>
      </c>
      <c r="O2191" s="249">
        <v>30319</v>
      </c>
      <c r="S2191" s="33">
        <v>0</v>
      </c>
      <c r="T2191" s="8">
        <v>5</v>
      </c>
      <c r="U2191" s="89">
        <v>1</v>
      </c>
      <c r="V2191" s="87">
        <v>1</v>
      </c>
      <c r="W2191">
        <v>1</v>
      </c>
      <c r="X2191" s="8">
        <v>1</v>
      </c>
      <c r="Y2191" s="8">
        <v>0</v>
      </c>
      <c r="Z2191" s="33">
        <v>0</v>
      </c>
      <c r="AA2191">
        <v>5</v>
      </c>
      <c r="AB2191" s="34">
        <v>100</v>
      </c>
      <c r="AC2191" s="87">
        <v>64</v>
      </c>
      <c r="AD2191" s="62">
        <v>0</v>
      </c>
      <c r="AE2191" s="62">
        <v>4</v>
      </c>
      <c r="AF2191" s="62">
        <v>2</v>
      </c>
      <c r="AM2191" s="64">
        <v>2</v>
      </c>
      <c r="AS2191">
        <v>1</v>
      </c>
    </row>
    <row r="2192" spans="1:45">
      <c r="A2192">
        <v>511223</v>
      </c>
      <c r="B2192" s="425">
        <v>1001</v>
      </c>
      <c r="C2192" s="425">
        <v>6</v>
      </c>
      <c r="D2192">
        <v>1001</v>
      </c>
      <c r="E2192" t="s">
        <v>5705</v>
      </c>
      <c r="F2192" t="s">
        <v>5701</v>
      </c>
      <c r="G2192" t="s">
        <v>5706</v>
      </c>
      <c r="H2192" t="s">
        <v>312</v>
      </c>
      <c r="I2192">
        <v>1</v>
      </c>
      <c r="J2192">
        <v>2</v>
      </c>
      <c r="K2192" s="33">
        <v>2</v>
      </c>
      <c r="L2192" s="8">
        <v>999</v>
      </c>
      <c r="M2192" s="8">
        <v>0</v>
      </c>
      <c r="N2192">
        <v>1017</v>
      </c>
      <c r="O2192" s="249">
        <v>30320</v>
      </c>
      <c r="S2192" s="33">
        <v>0</v>
      </c>
      <c r="T2192" s="8">
        <v>5</v>
      </c>
      <c r="U2192" s="89">
        <v>1</v>
      </c>
      <c r="V2192" s="87">
        <v>1</v>
      </c>
      <c r="W2192">
        <v>1</v>
      </c>
      <c r="X2192" s="8">
        <v>1</v>
      </c>
      <c r="Y2192" s="8">
        <v>0</v>
      </c>
      <c r="Z2192" s="33">
        <v>0</v>
      </c>
      <c r="AA2192">
        <v>5</v>
      </c>
      <c r="AB2192" s="34">
        <v>100</v>
      </c>
      <c r="AC2192" s="87">
        <v>63</v>
      </c>
      <c r="AD2192" s="62">
        <v>0</v>
      </c>
      <c r="AE2192" s="62">
        <v>4</v>
      </c>
      <c r="AF2192" s="62">
        <v>2</v>
      </c>
      <c r="AM2192" s="64">
        <v>3</v>
      </c>
      <c r="AS2192">
        <v>1</v>
      </c>
    </row>
    <row r="2193" spans="1:45">
      <c r="A2193">
        <v>511224</v>
      </c>
      <c r="B2193" s="425">
        <v>1001</v>
      </c>
      <c r="C2193" s="425">
        <v>6</v>
      </c>
      <c r="D2193">
        <v>1001</v>
      </c>
      <c r="E2193" t="s">
        <v>5707</v>
      </c>
      <c r="F2193" t="s">
        <v>5701</v>
      </c>
      <c r="G2193" t="s">
        <v>5708</v>
      </c>
      <c r="H2193" t="s">
        <v>312</v>
      </c>
      <c r="I2193">
        <v>1</v>
      </c>
      <c r="J2193">
        <v>2</v>
      </c>
      <c r="K2193" s="33">
        <v>2</v>
      </c>
      <c r="L2193" s="8">
        <v>999</v>
      </c>
      <c r="M2193" s="8">
        <v>0</v>
      </c>
      <c r="N2193">
        <v>1017</v>
      </c>
      <c r="O2193" s="249">
        <v>30321</v>
      </c>
      <c r="S2193" s="33">
        <v>0</v>
      </c>
      <c r="T2193" s="8">
        <v>5</v>
      </c>
      <c r="U2193" s="89">
        <v>1</v>
      </c>
      <c r="V2193" s="87">
        <v>1</v>
      </c>
      <c r="W2193">
        <v>1</v>
      </c>
      <c r="X2193" s="8">
        <v>1</v>
      </c>
      <c r="Y2193" s="8">
        <v>0</v>
      </c>
      <c r="Z2193" s="33">
        <v>0</v>
      </c>
      <c r="AA2193">
        <v>5</v>
      </c>
      <c r="AB2193" s="34">
        <v>100</v>
      </c>
      <c r="AC2193" s="87">
        <v>62</v>
      </c>
      <c r="AD2193" s="62">
        <v>0</v>
      </c>
      <c r="AE2193" s="62">
        <v>4</v>
      </c>
      <c r="AF2193" s="62">
        <v>2</v>
      </c>
      <c r="AM2193" s="64">
        <v>4</v>
      </c>
      <c r="AS2193">
        <v>1</v>
      </c>
    </row>
    <row r="2194" spans="1:45">
      <c r="A2194">
        <v>511225</v>
      </c>
      <c r="B2194" s="425">
        <v>1001</v>
      </c>
      <c r="C2194" s="425">
        <v>6</v>
      </c>
      <c r="D2194">
        <v>1001</v>
      </c>
      <c r="E2194" t="s">
        <v>5709</v>
      </c>
      <c r="F2194" t="s">
        <v>5701</v>
      </c>
      <c r="G2194" t="s">
        <v>5710</v>
      </c>
      <c r="H2194" t="s">
        <v>312</v>
      </c>
      <c r="I2194">
        <v>1</v>
      </c>
      <c r="J2194">
        <v>3</v>
      </c>
      <c r="K2194" s="33">
        <v>2</v>
      </c>
      <c r="L2194" s="8">
        <v>999</v>
      </c>
      <c r="M2194" s="8">
        <v>0</v>
      </c>
      <c r="N2194">
        <v>1017</v>
      </c>
      <c r="O2194" s="249">
        <v>30322</v>
      </c>
      <c r="S2194" s="33">
        <v>0</v>
      </c>
      <c r="T2194" s="8">
        <v>5</v>
      </c>
      <c r="U2194" s="89">
        <v>1</v>
      </c>
      <c r="V2194" s="87">
        <v>1</v>
      </c>
      <c r="W2194">
        <v>1</v>
      </c>
      <c r="X2194" s="8">
        <v>1</v>
      </c>
      <c r="Y2194" s="8">
        <v>0</v>
      </c>
      <c r="Z2194" s="33">
        <v>0</v>
      </c>
      <c r="AA2194">
        <v>5</v>
      </c>
      <c r="AB2194" s="34">
        <v>100</v>
      </c>
      <c r="AC2194" s="87">
        <v>61</v>
      </c>
      <c r="AD2194" s="62">
        <v>0</v>
      </c>
      <c r="AE2194" s="62">
        <v>4</v>
      </c>
      <c r="AF2194" s="62">
        <v>2</v>
      </c>
      <c r="AM2194" s="64">
        <v>5</v>
      </c>
      <c r="AS2194">
        <v>1</v>
      </c>
    </row>
    <row r="2195" spans="1:45">
      <c r="A2195">
        <v>511226</v>
      </c>
      <c r="B2195" s="425">
        <v>1001</v>
      </c>
      <c r="C2195" s="425">
        <v>6</v>
      </c>
      <c r="D2195">
        <v>1001</v>
      </c>
      <c r="E2195" t="s">
        <v>5711</v>
      </c>
      <c r="F2195" t="s">
        <v>5701</v>
      </c>
      <c r="G2195" t="s">
        <v>5712</v>
      </c>
      <c r="H2195" t="s">
        <v>312</v>
      </c>
      <c r="I2195">
        <v>1</v>
      </c>
      <c r="J2195">
        <v>3</v>
      </c>
      <c r="K2195" s="33">
        <v>2</v>
      </c>
      <c r="L2195" s="8">
        <v>999</v>
      </c>
      <c r="M2195" s="8">
        <v>0</v>
      </c>
      <c r="N2195">
        <v>1017</v>
      </c>
      <c r="O2195" s="249">
        <v>30323</v>
      </c>
      <c r="S2195" s="33">
        <v>0</v>
      </c>
      <c r="T2195" s="8">
        <v>5</v>
      </c>
      <c r="U2195" s="89">
        <v>1</v>
      </c>
      <c r="V2195" s="87">
        <v>1</v>
      </c>
      <c r="W2195">
        <v>1</v>
      </c>
      <c r="X2195" s="8">
        <v>1</v>
      </c>
      <c r="Y2195" s="8">
        <v>0</v>
      </c>
      <c r="Z2195" s="33">
        <v>0</v>
      </c>
      <c r="AA2195">
        <v>5</v>
      </c>
      <c r="AB2195" s="34">
        <v>100</v>
      </c>
      <c r="AC2195" s="87">
        <v>60</v>
      </c>
      <c r="AD2195" s="62">
        <v>0</v>
      </c>
      <c r="AE2195" s="62">
        <v>4</v>
      </c>
      <c r="AF2195" s="62">
        <v>2</v>
      </c>
      <c r="AM2195" s="64">
        <v>6</v>
      </c>
      <c r="AS2195">
        <v>1</v>
      </c>
    </row>
    <row r="2196" spans="1:45">
      <c r="A2196">
        <v>511227</v>
      </c>
      <c r="B2196" s="425">
        <v>1001</v>
      </c>
      <c r="C2196" s="425">
        <v>6</v>
      </c>
      <c r="D2196">
        <v>1001</v>
      </c>
      <c r="E2196" t="s">
        <v>5713</v>
      </c>
      <c r="F2196" t="s">
        <v>5701</v>
      </c>
      <c r="G2196" t="s">
        <v>5714</v>
      </c>
      <c r="H2196" t="s">
        <v>312</v>
      </c>
      <c r="I2196">
        <v>1</v>
      </c>
      <c r="J2196">
        <v>4</v>
      </c>
      <c r="K2196" s="33">
        <v>2</v>
      </c>
      <c r="L2196" s="8">
        <v>999</v>
      </c>
      <c r="M2196" s="8">
        <v>0</v>
      </c>
      <c r="N2196">
        <v>1017</v>
      </c>
      <c r="O2196" s="249">
        <v>30324</v>
      </c>
      <c r="S2196" s="33">
        <v>0</v>
      </c>
      <c r="T2196" s="8">
        <v>5</v>
      </c>
      <c r="U2196" s="89">
        <v>1</v>
      </c>
      <c r="V2196" s="87">
        <v>1</v>
      </c>
      <c r="W2196">
        <v>1</v>
      </c>
      <c r="X2196" s="8">
        <v>1</v>
      </c>
      <c r="Y2196" s="8">
        <v>0</v>
      </c>
      <c r="Z2196" s="33">
        <v>0</v>
      </c>
      <c r="AA2196">
        <v>5</v>
      </c>
      <c r="AB2196" s="34">
        <v>100</v>
      </c>
      <c r="AC2196" s="87">
        <v>59</v>
      </c>
      <c r="AD2196" s="62">
        <v>0</v>
      </c>
      <c r="AE2196" s="62">
        <v>4</v>
      </c>
      <c r="AF2196" s="62">
        <v>2</v>
      </c>
      <c r="AM2196" s="64">
        <v>7</v>
      </c>
      <c r="AS2196">
        <v>1</v>
      </c>
    </row>
    <row r="2197" spans="1:45">
      <c r="A2197">
        <v>511228</v>
      </c>
      <c r="B2197" s="425">
        <v>1001</v>
      </c>
      <c r="C2197" s="425">
        <v>6</v>
      </c>
      <c r="D2197">
        <v>1001</v>
      </c>
      <c r="E2197" t="s">
        <v>5715</v>
      </c>
      <c r="F2197" t="s">
        <v>5701</v>
      </c>
      <c r="G2197" t="s">
        <v>5716</v>
      </c>
      <c r="H2197" t="s">
        <v>312</v>
      </c>
      <c r="I2197">
        <v>1</v>
      </c>
      <c r="J2197">
        <v>4</v>
      </c>
      <c r="K2197" s="33">
        <v>2</v>
      </c>
      <c r="L2197" s="8">
        <v>999</v>
      </c>
      <c r="M2197" s="8">
        <v>0</v>
      </c>
      <c r="N2197">
        <v>1017</v>
      </c>
      <c r="O2197" s="249">
        <v>30325</v>
      </c>
      <c r="S2197" s="33">
        <v>0</v>
      </c>
      <c r="T2197" s="8">
        <v>5</v>
      </c>
      <c r="U2197" s="89">
        <v>1</v>
      </c>
      <c r="V2197" s="87">
        <v>1</v>
      </c>
      <c r="W2197">
        <v>1</v>
      </c>
      <c r="X2197" s="8">
        <v>1</v>
      </c>
      <c r="Y2197" s="8">
        <v>0</v>
      </c>
      <c r="Z2197" s="33">
        <v>0</v>
      </c>
      <c r="AA2197">
        <v>5</v>
      </c>
      <c r="AB2197" s="34">
        <v>100</v>
      </c>
      <c r="AC2197" s="87">
        <v>58</v>
      </c>
      <c r="AD2197" s="62">
        <v>0</v>
      </c>
      <c r="AE2197" s="62">
        <v>4</v>
      </c>
      <c r="AF2197" s="62">
        <v>2</v>
      </c>
      <c r="AM2197" s="64">
        <v>8</v>
      </c>
      <c r="AS2197">
        <v>1</v>
      </c>
    </row>
    <row r="2198" spans="1:45">
      <c r="A2198">
        <v>511229</v>
      </c>
      <c r="B2198" s="425">
        <v>1001</v>
      </c>
      <c r="C2198" s="425">
        <v>6</v>
      </c>
      <c r="D2198">
        <v>1001</v>
      </c>
      <c r="E2198" t="s">
        <v>5717</v>
      </c>
      <c r="F2198" t="s">
        <v>5701</v>
      </c>
      <c r="G2198" t="s">
        <v>5718</v>
      </c>
      <c r="H2198" t="s">
        <v>312</v>
      </c>
      <c r="I2198">
        <v>1</v>
      </c>
      <c r="J2198">
        <v>5</v>
      </c>
      <c r="K2198" s="33">
        <v>2</v>
      </c>
      <c r="L2198" s="8">
        <v>999</v>
      </c>
      <c r="M2198" s="8">
        <v>0</v>
      </c>
      <c r="N2198">
        <v>1017</v>
      </c>
      <c r="O2198" s="249">
        <v>30326</v>
      </c>
      <c r="S2198" s="33">
        <v>0</v>
      </c>
      <c r="T2198" s="8">
        <v>5</v>
      </c>
      <c r="U2198" s="89">
        <v>1</v>
      </c>
      <c r="V2198" s="87">
        <v>1</v>
      </c>
      <c r="W2198">
        <v>1</v>
      </c>
      <c r="X2198" s="8">
        <v>1</v>
      </c>
      <c r="Y2198" s="8">
        <v>0</v>
      </c>
      <c r="Z2198" s="33">
        <v>0</v>
      </c>
      <c r="AA2198">
        <v>5</v>
      </c>
      <c r="AB2198" s="34">
        <v>100</v>
      </c>
      <c r="AC2198" s="87">
        <v>57</v>
      </c>
      <c r="AD2198" s="62">
        <v>0</v>
      </c>
      <c r="AE2198" s="62">
        <v>4</v>
      </c>
      <c r="AF2198" s="62">
        <v>2</v>
      </c>
      <c r="AM2198" s="64">
        <v>9</v>
      </c>
      <c r="AS2198">
        <v>1</v>
      </c>
    </row>
    <row r="2199" spans="1:45">
      <c r="A2199">
        <v>511230</v>
      </c>
      <c r="B2199" s="425">
        <v>1001</v>
      </c>
      <c r="C2199" s="425">
        <v>6</v>
      </c>
      <c r="D2199" s="238">
        <v>1001</v>
      </c>
      <c r="E2199" t="s">
        <v>5719</v>
      </c>
      <c r="F2199" t="s">
        <v>5701</v>
      </c>
      <c r="G2199" t="s">
        <v>5720</v>
      </c>
      <c r="H2199" t="s">
        <v>312</v>
      </c>
      <c r="I2199">
        <v>1</v>
      </c>
      <c r="J2199">
        <v>5</v>
      </c>
      <c r="K2199" s="33">
        <v>2</v>
      </c>
      <c r="L2199" s="236">
        <v>999</v>
      </c>
      <c r="M2199" s="236">
        <v>0</v>
      </c>
      <c r="N2199">
        <v>1017</v>
      </c>
      <c r="O2199" s="249">
        <v>30327</v>
      </c>
      <c r="S2199" s="33">
        <v>0</v>
      </c>
      <c r="T2199" s="236">
        <v>5</v>
      </c>
      <c r="U2199" s="336">
        <v>1</v>
      </c>
      <c r="V2199" s="248">
        <v>1</v>
      </c>
      <c r="W2199">
        <v>1</v>
      </c>
      <c r="X2199" s="8">
        <v>1</v>
      </c>
      <c r="Y2199" s="236">
        <v>0</v>
      </c>
      <c r="Z2199" s="33">
        <v>0</v>
      </c>
      <c r="AA2199">
        <v>5</v>
      </c>
      <c r="AB2199" s="34">
        <v>100</v>
      </c>
      <c r="AC2199" s="248">
        <v>56</v>
      </c>
      <c r="AD2199" s="62">
        <v>0</v>
      </c>
      <c r="AE2199" s="62">
        <v>4</v>
      </c>
      <c r="AF2199" s="62">
        <v>2</v>
      </c>
      <c r="AM2199" s="64">
        <v>10</v>
      </c>
      <c r="AS2199">
        <v>1</v>
      </c>
    </row>
    <row r="2200" spans="1:45">
      <c r="A2200">
        <v>511231</v>
      </c>
      <c r="B2200" s="8">
        <v>1001</v>
      </c>
      <c r="C2200" s="8">
        <v>2</v>
      </c>
      <c r="D2200" s="8">
        <v>1001</v>
      </c>
      <c r="E2200" t="s">
        <v>5721</v>
      </c>
      <c r="F2200" t="s">
        <v>5721</v>
      </c>
      <c r="G2200" t="s">
        <v>5722</v>
      </c>
      <c r="H2200" t="s">
        <v>1822</v>
      </c>
      <c r="I2200">
        <v>1</v>
      </c>
      <c r="J2200">
        <v>5</v>
      </c>
      <c r="K2200" s="33">
        <v>2</v>
      </c>
      <c r="L2200">
        <v>999</v>
      </c>
      <c r="M2200">
        <v>0</v>
      </c>
      <c r="N2200">
        <v>1018</v>
      </c>
      <c r="O2200" s="2" t="s">
        <v>5723</v>
      </c>
      <c r="S2200" s="33">
        <v>1</v>
      </c>
      <c r="T2200">
        <v>5</v>
      </c>
      <c r="U2200">
        <v>1</v>
      </c>
      <c r="W2200">
        <v>1</v>
      </c>
      <c r="X2200" s="8">
        <v>1</v>
      </c>
      <c r="Y2200">
        <v>0</v>
      </c>
      <c r="Z2200" s="33">
        <v>0</v>
      </c>
      <c r="AA2200">
        <v>5</v>
      </c>
      <c r="AB2200">
        <v>100</v>
      </c>
      <c r="AC2200">
        <v>70</v>
      </c>
      <c r="AD2200" s="62">
        <v>0</v>
      </c>
      <c r="AE2200" s="62">
        <v>5</v>
      </c>
      <c r="AF2200" s="62">
        <v>2</v>
      </c>
      <c r="AS2200">
        <v>1</v>
      </c>
    </row>
    <row r="2201" spans="1:45">
      <c r="A2201">
        <v>511232</v>
      </c>
      <c r="B2201" s="8">
        <v>1001</v>
      </c>
      <c r="C2201" s="8">
        <v>6</v>
      </c>
      <c r="D2201" s="8">
        <v>1001</v>
      </c>
      <c r="E2201" t="s">
        <v>5724</v>
      </c>
      <c r="F2201" t="s">
        <v>5724</v>
      </c>
      <c r="G2201" t="s">
        <v>5725</v>
      </c>
      <c r="H2201" t="s">
        <v>5726</v>
      </c>
      <c r="I2201">
        <v>1</v>
      </c>
      <c r="J2201">
        <v>4</v>
      </c>
      <c r="K2201" s="33">
        <v>2</v>
      </c>
      <c r="L2201">
        <v>999</v>
      </c>
      <c r="M2201">
        <v>0</v>
      </c>
      <c r="N2201">
        <v>1017</v>
      </c>
      <c r="O2201" s="249">
        <v>10329</v>
      </c>
      <c r="S2201" s="33">
        <v>1</v>
      </c>
      <c r="T2201">
        <v>5</v>
      </c>
      <c r="U2201">
        <v>1</v>
      </c>
      <c r="V2201" s="33">
        <v>1</v>
      </c>
      <c r="W2201">
        <v>1</v>
      </c>
      <c r="X2201" s="8">
        <v>1</v>
      </c>
      <c r="Y2201">
        <v>0</v>
      </c>
      <c r="Z2201" s="33">
        <v>0</v>
      </c>
      <c r="AA2201">
        <v>5</v>
      </c>
      <c r="AB2201">
        <v>100</v>
      </c>
      <c r="AC2201">
        <v>56</v>
      </c>
      <c r="AD2201" s="62">
        <v>0</v>
      </c>
      <c r="AE2201" s="62">
        <v>4</v>
      </c>
      <c r="AF2201" s="62">
        <v>2</v>
      </c>
      <c r="AS2201">
        <v>1</v>
      </c>
    </row>
    <row r="2202" spans="1:45">
      <c r="A2202">
        <v>511233</v>
      </c>
      <c r="B2202" s="8">
        <v>1001</v>
      </c>
      <c r="C2202" s="8">
        <v>6</v>
      </c>
      <c r="D2202" s="8">
        <v>1001</v>
      </c>
      <c r="E2202" t="s">
        <v>5727</v>
      </c>
      <c r="F2202" t="s">
        <v>5727</v>
      </c>
      <c r="G2202" t="s">
        <v>1803</v>
      </c>
      <c r="H2202" t="s">
        <v>1804</v>
      </c>
      <c r="I2202">
        <v>1</v>
      </c>
      <c r="J2202">
        <v>4</v>
      </c>
      <c r="K2202" s="33">
        <v>2</v>
      </c>
      <c r="L2202">
        <v>999</v>
      </c>
      <c r="M2202">
        <v>0</v>
      </c>
      <c r="N2202">
        <v>1017</v>
      </c>
      <c r="O2202" s="249">
        <v>10330</v>
      </c>
      <c r="S2202" s="33">
        <v>1</v>
      </c>
      <c r="T2202">
        <v>5</v>
      </c>
      <c r="U2202">
        <v>1</v>
      </c>
      <c r="V2202" s="33">
        <v>1</v>
      </c>
      <c r="W2202">
        <v>1</v>
      </c>
      <c r="X2202" s="8">
        <v>1</v>
      </c>
      <c r="Y2202">
        <v>0</v>
      </c>
      <c r="Z2202" s="33">
        <v>0</v>
      </c>
      <c r="AA2202">
        <v>5</v>
      </c>
      <c r="AB2202">
        <v>100</v>
      </c>
      <c r="AC2202">
        <v>56</v>
      </c>
      <c r="AD2202" s="62">
        <v>0</v>
      </c>
      <c r="AE2202" s="62">
        <v>4</v>
      </c>
      <c r="AF2202" s="62">
        <v>2</v>
      </c>
      <c r="AS2202">
        <v>1</v>
      </c>
    </row>
    <row r="2203" spans="1:45">
      <c r="A2203">
        <v>511234</v>
      </c>
      <c r="B2203" s="236">
        <v>1001</v>
      </c>
      <c r="C2203" s="236">
        <v>6</v>
      </c>
      <c r="D2203" s="236">
        <v>1001</v>
      </c>
      <c r="E2203" t="s">
        <v>5728</v>
      </c>
      <c r="F2203" t="s">
        <v>5728</v>
      </c>
      <c r="G2203" t="s">
        <v>5729</v>
      </c>
      <c r="H2203" t="s">
        <v>1822</v>
      </c>
      <c r="I2203">
        <v>1</v>
      </c>
      <c r="J2203">
        <v>5</v>
      </c>
      <c r="K2203" s="33">
        <v>2</v>
      </c>
      <c r="L2203">
        <v>999</v>
      </c>
      <c r="M2203">
        <v>0</v>
      </c>
      <c r="N2203">
        <v>1018</v>
      </c>
      <c r="O2203" s="2" t="s">
        <v>5649</v>
      </c>
      <c r="S2203" s="33">
        <v>1</v>
      </c>
      <c r="T2203">
        <v>5</v>
      </c>
      <c r="U2203">
        <v>1</v>
      </c>
      <c r="W2203">
        <v>1</v>
      </c>
      <c r="X2203" s="236">
        <v>1</v>
      </c>
      <c r="Y2203">
        <v>0</v>
      </c>
      <c r="Z2203" s="33">
        <v>0</v>
      </c>
      <c r="AA2203">
        <v>5</v>
      </c>
      <c r="AB2203">
        <v>100</v>
      </c>
      <c r="AC2203">
        <v>70</v>
      </c>
      <c r="AD2203" s="62">
        <v>0</v>
      </c>
      <c r="AE2203" s="62">
        <v>5</v>
      </c>
      <c r="AF2203" s="62">
        <v>2</v>
      </c>
      <c r="AS2203">
        <v>1</v>
      </c>
    </row>
    <row r="2204" spans="1:45">
      <c r="A2204">
        <v>511235</v>
      </c>
      <c r="B2204">
        <v>1001</v>
      </c>
      <c r="C2204">
        <v>6</v>
      </c>
      <c r="D2204">
        <v>1001</v>
      </c>
      <c r="E2204" t="s">
        <v>5730</v>
      </c>
      <c r="F2204" s="238" t="s">
        <v>5731</v>
      </c>
      <c r="G2204" t="s">
        <v>5732</v>
      </c>
      <c r="H2204" t="s">
        <v>1431</v>
      </c>
      <c r="I2204">
        <v>1</v>
      </c>
      <c r="J2204">
        <v>5</v>
      </c>
      <c r="K2204" s="33">
        <v>2</v>
      </c>
      <c r="L2204" s="238">
        <v>999</v>
      </c>
      <c r="M2204" s="238">
        <v>0</v>
      </c>
      <c r="N2204">
        <v>1017</v>
      </c>
      <c r="O2204" s="2">
        <v>90076</v>
      </c>
      <c r="S2204" s="254">
        <v>1</v>
      </c>
      <c r="T2204" s="238">
        <v>5</v>
      </c>
      <c r="U2204" s="238">
        <v>200</v>
      </c>
      <c r="V2204" s="254">
        <v>1</v>
      </c>
      <c r="W2204">
        <v>1</v>
      </c>
      <c r="X2204" s="238">
        <v>1</v>
      </c>
      <c r="Y2204" s="238">
        <v>0</v>
      </c>
      <c r="Z2204" s="33">
        <v>0</v>
      </c>
      <c r="AA2204">
        <v>5</v>
      </c>
      <c r="AB2204">
        <v>4000</v>
      </c>
      <c r="AC2204" s="238">
        <v>110</v>
      </c>
      <c r="AE2204" s="62">
        <v>4</v>
      </c>
      <c r="AF2204" s="62">
        <v>2</v>
      </c>
      <c r="AH2204" s="63">
        <v>1</v>
      </c>
      <c r="AL2204" s="64">
        <v>1</v>
      </c>
      <c r="AM2204" s="64">
        <v>100</v>
      </c>
      <c r="AN2204" s="424"/>
      <c r="AO2204" s="92"/>
      <c r="AS2204">
        <v>1</v>
      </c>
    </row>
    <row r="2205" spans="1:45">
      <c r="A2205">
        <v>511236</v>
      </c>
      <c r="B2205">
        <v>1001</v>
      </c>
      <c r="C2205">
        <v>1</v>
      </c>
      <c r="D2205">
        <v>1001</v>
      </c>
      <c r="E2205" t="s">
        <v>5733</v>
      </c>
      <c r="F2205" s="13" t="s">
        <v>5733</v>
      </c>
      <c r="G2205" t="s">
        <v>5734</v>
      </c>
      <c r="H2205" t="s">
        <v>5735</v>
      </c>
      <c r="I2205">
        <v>1</v>
      </c>
      <c r="J2205">
        <v>4</v>
      </c>
      <c r="K2205" s="33">
        <v>1</v>
      </c>
      <c r="L2205" s="8">
        <v>999</v>
      </c>
      <c r="M2205" s="8">
        <v>0</v>
      </c>
      <c r="N2205"/>
      <c r="S2205" s="89">
        <v>1</v>
      </c>
      <c r="T2205" s="8">
        <v>5</v>
      </c>
      <c r="U2205" s="89">
        <v>1</v>
      </c>
      <c r="V2205" s="87">
        <v>1</v>
      </c>
      <c r="W2205">
        <v>1</v>
      </c>
      <c r="X2205" s="8">
        <v>1</v>
      </c>
      <c r="Y2205" s="8">
        <v>0</v>
      </c>
      <c r="Z2205" s="33">
        <v>0</v>
      </c>
      <c r="AA2205">
        <v>5</v>
      </c>
      <c r="AB2205" s="34">
        <v>100</v>
      </c>
      <c r="AC2205" s="87">
        <v>900</v>
      </c>
      <c r="AD2205" s="62">
        <v>0</v>
      </c>
      <c r="AN2205" s="93"/>
      <c r="AO2205" s="92"/>
      <c r="AS2205">
        <v>1</v>
      </c>
    </row>
    <row r="2206" spans="1:45">
      <c r="A2206">
        <v>511237</v>
      </c>
      <c r="B2206" s="238">
        <v>1001</v>
      </c>
      <c r="C2206">
        <v>1</v>
      </c>
      <c r="D2206" s="238">
        <v>1001</v>
      </c>
      <c r="E2206" t="s">
        <v>5736</v>
      </c>
      <c r="F2206" s="253" t="s">
        <v>5736</v>
      </c>
      <c r="G2206" t="s">
        <v>5737</v>
      </c>
      <c r="H2206" t="s">
        <v>5738</v>
      </c>
      <c r="I2206">
        <v>1</v>
      </c>
      <c r="J2206">
        <v>4</v>
      </c>
      <c r="K2206" s="33">
        <v>1</v>
      </c>
      <c r="L2206" s="236">
        <v>999</v>
      </c>
      <c r="M2206" s="236">
        <v>0</v>
      </c>
      <c r="N2206">
        <v>1028</v>
      </c>
      <c r="O2206" s="2">
        <v>3</v>
      </c>
      <c r="R2206" s="8"/>
      <c r="S2206" s="336">
        <v>1</v>
      </c>
      <c r="T2206" s="236">
        <v>5</v>
      </c>
      <c r="U2206" s="336">
        <v>1</v>
      </c>
      <c r="V2206" s="248">
        <v>1</v>
      </c>
      <c r="W2206">
        <v>1</v>
      </c>
      <c r="X2206" s="8">
        <v>1</v>
      </c>
      <c r="Y2206" s="236">
        <v>0</v>
      </c>
      <c r="Z2206" s="33">
        <v>0</v>
      </c>
      <c r="AA2206">
        <v>5</v>
      </c>
      <c r="AB2206" s="34">
        <v>100</v>
      </c>
      <c r="AC2206" s="248">
        <v>900</v>
      </c>
      <c r="AD2206" s="62">
        <v>0</v>
      </c>
      <c r="AN2206" s="338"/>
      <c r="AO2206" s="252"/>
      <c r="AS2206">
        <v>1</v>
      </c>
    </row>
    <row r="2207" spans="1:45">
      <c r="A2207">
        <v>511238</v>
      </c>
      <c r="B2207" s="8">
        <v>1001</v>
      </c>
      <c r="C2207">
        <v>6</v>
      </c>
      <c r="D2207" s="8">
        <v>1001</v>
      </c>
      <c r="E2207" t="s">
        <v>1806</v>
      </c>
      <c r="F2207" t="s">
        <v>1806</v>
      </c>
      <c r="G2207" t="s">
        <v>5592</v>
      </c>
      <c r="H2207" t="s">
        <v>1808</v>
      </c>
      <c r="I2207">
        <v>1</v>
      </c>
      <c r="J2207">
        <v>5</v>
      </c>
      <c r="K2207" s="33">
        <v>2</v>
      </c>
      <c r="L2207">
        <v>999</v>
      </c>
      <c r="M2207">
        <v>0</v>
      </c>
      <c r="N2207">
        <v>1017</v>
      </c>
      <c r="O2207" s="249">
        <v>50094</v>
      </c>
      <c r="R2207" s="8"/>
      <c r="S2207" s="33">
        <v>1</v>
      </c>
      <c r="T2207">
        <v>5</v>
      </c>
      <c r="U2207">
        <v>1</v>
      </c>
      <c r="V2207" s="33">
        <v>1</v>
      </c>
      <c r="W2207">
        <v>1</v>
      </c>
      <c r="X2207" s="8">
        <v>1</v>
      </c>
      <c r="Y2207">
        <v>0</v>
      </c>
      <c r="Z2207" s="33">
        <v>0</v>
      </c>
      <c r="AA2207">
        <v>5</v>
      </c>
      <c r="AB2207">
        <v>100</v>
      </c>
      <c r="AC2207">
        <v>70</v>
      </c>
      <c r="AD2207" s="62">
        <v>0</v>
      </c>
      <c r="AE2207" s="62">
        <v>4</v>
      </c>
      <c r="AF2207" s="62">
        <v>2</v>
      </c>
      <c r="AS2207">
        <v>1</v>
      </c>
    </row>
    <row r="2208" spans="1:45">
      <c r="A2208">
        <v>511239</v>
      </c>
      <c r="B2208" s="236">
        <v>1001</v>
      </c>
      <c r="C2208">
        <v>6</v>
      </c>
      <c r="D2208" s="236">
        <v>1001</v>
      </c>
      <c r="E2208" t="s">
        <v>5739</v>
      </c>
      <c r="F2208" t="s">
        <v>5739</v>
      </c>
      <c r="G2208" t="s">
        <v>5593</v>
      </c>
      <c r="H2208" t="s">
        <v>5740</v>
      </c>
      <c r="I2208">
        <v>1</v>
      </c>
      <c r="J2208">
        <v>5</v>
      </c>
      <c r="K2208" s="33">
        <v>2</v>
      </c>
      <c r="L2208">
        <v>999</v>
      </c>
      <c r="M2208">
        <v>0</v>
      </c>
      <c r="N2208">
        <v>1017</v>
      </c>
      <c r="O2208" s="249">
        <v>50095</v>
      </c>
      <c r="R2208" s="236"/>
      <c r="S2208" s="33">
        <v>1</v>
      </c>
      <c r="T2208">
        <v>5</v>
      </c>
      <c r="U2208">
        <v>1</v>
      </c>
      <c r="V2208" s="33">
        <v>1</v>
      </c>
      <c r="W2208">
        <v>1</v>
      </c>
      <c r="X2208" s="236">
        <v>1</v>
      </c>
      <c r="Y2208">
        <v>0</v>
      </c>
      <c r="Z2208" s="33">
        <v>0</v>
      </c>
      <c r="AA2208">
        <v>5</v>
      </c>
      <c r="AB2208">
        <v>100</v>
      </c>
      <c r="AC2208">
        <v>70</v>
      </c>
      <c r="AD2208" s="62">
        <v>0</v>
      </c>
      <c r="AE2208" s="62">
        <v>4</v>
      </c>
      <c r="AF2208" s="62">
        <v>2</v>
      </c>
      <c r="AS2208">
        <v>1</v>
      </c>
    </row>
    <row r="2209" spans="1:45">
      <c r="A2209">
        <v>511240</v>
      </c>
      <c r="B2209">
        <v>1001</v>
      </c>
      <c r="C2209">
        <v>6</v>
      </c>
      <c r="D2209">
        <v>1001</v>
      </c>
      <c r="E2209" t="s">
        <v>5741</v>
      </c>
      <c r="F2209" t="s">
        <v>5741</v>
      </c>
      <c r="G2209" t="s">
        <v>5741</v>
      </c>
      <c r="H2209" t="s">
        <v>1822</v>
      </c>
      <c r="I2209">
        <v>1</v>
      </c>
      <c r="J2209">
        <v>5</v>
      </c>
      <c r="K2209" s="33">
        <v>2</v>
      </c>
      <c r="L2209">
        <v>999</v>
      </c>
      <c r="M2209">
        <v>0</v>
      </c>
      <c r="N2209">
        <v>1017</v>
      </c>
      <c r="O2209" s="2">
        <v>100150</v>
      </c>
      <c r="S2209" s="33">
        <v>1</v>
      </c>
      <c r="T2209">
        <v>5</v>
      </c>
      <c r="U2209">
        <v>1</v>
      </c>
      <c r="V2209" s="33">
        <v>1</v>
      </c>
      <c r="W2209">
        <v>1</v>
      </c>
      <c r="X2209">
        <v>1</v>
      </c>
      <c r="Y2209">
        <v>0</v>
      </c>
      <c r="Z2209" s="33">
        <v>0</v>
      </c>
      <c r="AA2209">
        <v>5</v>
      </c>
      <c r="AB2209">
        <v>100</v>
      </c>
      <c r="AC2209">
        <v>70</v>
      </c>
      <c r="AD2209" s="62">
        <v>0</v>
      </c>
      <c r="AE2209" s="62">
        <v>4</v>
      </c>
      <c r="AF2209" s="62">
        <v>2</v>
      </c>
      <c r="AS2209">
        <v>1</v>
      </c>
    </row>
    <row r="2210" spans="1:45">
      <c r="A2210">
        <v>511241</v>
      </c>
      <c r="B2210" s="238">
        <v>1001</v>
      </c>
      <c r="C2210">
        <v>6</v>
      </c>
      <c r="D2210" s="238">
        <v>1001</v>
      </c>
      <c r="E2210" t="s">
        <v>5742</v>
      </c>
      <c r="F2210" t="s">
        <v>5742</v>
      </c>
      <c r="G2210" t="s">
        <v>5743</v>
      </c>
      <c r="H2210" t="s">
        <v>204</v>
      </c>
      <c r="I2210">
        <v>1</v>
      </c>
      <c r="J2210">
        <v>5</v>
      </c>
      <c r="K2210" s="33">
        <v>2</v>
      </c>
      <c r="L2210">
        <v>999</v>
      </c>
      <c r="M2210">
        <v>0</v>
      </c>
      <c r="N2210">
        <v>1018</v>
      </c>
      <c r="O2210" s="2" t="s">
        <v>5744</v>
      </c>
      <c r="R2210" s="8"/>
      <c r="S2210" s="33">
        <v>1</v>
      </c>
      <c r="T2210">
        <v>5</v>
      </c>
      <c r="U2210">
        <v>1</v>
      </c>
      <c r="V2210" s="33">
        <v>1</v>
      </c>
      <c r="W2210">
        <v>1</v>
      </c>
      <c r="X2210" s="238">
        <v>1</v>
      </c>
      <c r="Y2210">
        <v>0</v>
      </c>
      <c r="Z2210" s="33">
        <v>0</v>
      </c>
      <c r="AA2210">
        <v>5</v>
      </c>
      <c r="AB2210">
        <v>100</v>
      </c>
      <c r="AC2210">
        <v>70</v>
      </c>
      <c r="AD2210" s="62">
        <v>0</v>
      </c>
      <c r="AE2210" s="62">
        <v>5</v>
      </c>
      <c r="AF2210" s="62">
        <v>2</v>
      </c>
      <c r="AS2210">
        <v>1</v>
      </c>
    </row>
    <row r="2211" spans="1:45">
      <c r="A2211">
        <v>511242</v>
      </c>
      <c r="B2211" s="8">
        <v>1001</v>
      </c>
      <c r="C2211">
        <v>6</v>
      </c>
      <c r="D2211" s="8">
        <v>1001</v>
      </c>
      <c r="E2211" t="s">
        <v>5745</v>
      </c>
      <c r="F2211" t="s">
        <v>5745</v>
      </c>
      <c r="G2211" t="s">
        <v>5592</v>
      </c>
      <c r="H2211" t="s">
        <v>5726</v>
      </c>
      <c r="I2211">
        <v>1</v>
      </c>
      <c r="J2211">
        <v>5</v>
      </c>
      <c r="K2211" s="33">
        <v>2</v>
      </c>
      <c r="L2211">
        <v>999</v>
      </c>
      <c r="M2211">
        <v>0</v>
      </c>
      <c r="N2211">
        <v>1017</v>
      </c>
      <c r="O2211" s="249">
        <v>50094</v>
      </c>
      <c r="R2211" s="8"/>
      <c r="S2211" s="33">
        <v>1</v>
      </c>
      <c r="T2211">
        <v>5</v>
      </c>
      <c r="U2211">
        <v>1</v>
      </c>
      <c r="V2211" s="33">
        <v>1</v>
      </c>
      <c r="W2211">
        <v>1</v>
      </c>
      <c r="X2211" s="8">
        <v>1</v>
      </c>
      <c r="Y2211">
        <v>0</v>
      </c>
      <c r="Z2211" s="33">
        <v>0</v>
      </c>
      <c r="AA2211">
        <v>5</v>
      </c>
      <c r="AB2211">
        <v>100</v>
      </c>
      <c r="AC2211">
        <v>70</v>
      </c>
      <c r="AD2211" s="62">
        <v>0</v>
      </c>
      <c r="AE2211" s="62">
        <v>4</v>
      </c>
      <c r="AF2211" s="62">
        <v>2</v>
      </c>
      <c r="AS2211">
        <v>1</v>
      </c>
    </row>
    <row r="2212" spans="1:45">
      <c r="A2212">
        <v>511243</v>
      </c>
      <c r="B2212" s="236">
        <v>1001</v>
      </c>
      <c r="C2212">
        <v>6</v>
      </c>
      <c r="D2212" s="236">
        <v>1001</v>
      </c>
      <c r="E2212" t="s">
        <v>1827</v>
      </c>
      <c r="F2212" t="s">
        <v>1827</v>
      </c>
      <c r="G2212" t="s">
        <v>5593</v>
      </c>
      <c r="H2212" t="s">
        <v>1829</v>
      </c>
      <c r="I2212">
        <v>1</v>
      </c>
      <c r="J2212">
        <v>5</v>
      </c>
      <c r="K2212" s="33">
        <v>2</v>
      </c>
      <c r="L2212">
        <v>999</v>
      </c>
      <c r="M2212">
        <v>0</v>
      </c>
      <c r="N2212">
        <v>1017</v>
      </c>
      <c r="O2212" s="249">
        <v>50095</v>
      </c>
      <c r="R2212" s="236"/>
      <c r="S2212" s="33">
        <v>1</v>
      </c>
      <c r="T2212">
        <v>5</v>
      </c>
      <c r="U2212">
        <v>1</v>
      </c>
      <c r="V2212" s="33">
        <v>1</v>
      </c>
      <c r="W2212">
        <v>1</v>
      </c>
      <c r="X2212" s="236">
        <v>1</v>
      </c>
      <c r="Y2212">
        <v>0</v>
      </c>
      <c r="Z2212" s="33">
        <v>0</v>
      </c>
      <c r="AA2212">
        <v>5</v>
      </c>
      <c r="AB2212">
        <v>100</v>
      </c>
      <c r="AC2212">
        <v>70</v>
      </c>
      <c r="AD2212" s="62">
        <v>0</v>
      </c>
      <c r="AE2212" s="62">
        <v>4</v>
      </c>
      <c r="AF2212" s="62">
        <v>2</v>
      </c>
      <c r="AS2212">
        <v>1</v>
      </c>
    </row>
    <row r="2213" spans="1:45">
      <c r="A2213">
        <v>511244</v>
      </c>
      <c r="B2213">
        <v>1001</v>
      </c>
      <c r="C2213">
        <v>6</v>
      </c>
      <c r="D2213">
        <v>1001</v>
      </c>
      <c r="E2213" t="s">
        <v>5746</v>
      </c>
      <c r="F2213" t="s">
        <v>5746</v>
      </c>
      <c r="G2213" t="s">
        <v>5747</v>
      </c>
      <c r="H2213" t="s">
        <v>1664</v>
      </c>
      <c r="I2213">
        <v>1</v>
      </c>
      <c r="J2213">
        <v>4</v>
      </c>
      <c r="K2213" s="33">
        <v>2</v>
      </c>
      <c r="L2213">
        <v>999</v>
      </c>
      <c r="M2213">
        <v>0</v>
      </c>
      <c r="N2213">
        <v>1018</v>
      </c>
      <c r="O2213" s="2" t="s">
        <v>5748</v>
      </c>
      <c r="S2213" s="33">
        <v>1</v>
      </c>
      <c r="T2213">
        <v>5</v>
      </c>
      <c r="U2213">
        <v>1</v>
      </c>
      <c r="V2213" s="33">
        <v>1</v>
      </c>
      <c r="W2213">
        <v>1</v>
      </c>
      <c r="X2213">
        <v>1</v>
      </c>
      <c r="Y2213">
        <v>0</v>
      </c>
      <c r="Z2213" s="33">
        <v>0</v>
      </c>
      <c r="AA2213">
        <v>5</v>
      </c>
      <c r="AB2213">
        <v>100</v>
      </c>
      <c r="AC2213">
        <v>70</v>
      </c>
      <c r="AD2213" s="62">
        <v>0</v>
      </c>
      <c r="AE2213" s="62">
        <v>5</v>
      </c>
      <c r="AF2213" s="62">
        <v>2</v>
      </c>
      <c r="AS2213">
        <v>1</v>
      </c>
    </row>
    <row r="2214" spans="1:45">
      <c r="A2214">
        <v>511245</v>
      </c>
      <c r="B2214">
        <v>1001</v>
      </c>
      <c r="C2214">
        <v>6</v>
      </c>
      <c r="D2214">
        <v>1001</v>
      </c>
      <c r="E2214" t="s">
        <v>5749</v>
      </c>
      <c r="F2214" t="s">
        <v>5749</v>
      </c>
      <c r="G2214" t="s">
        <v>5750</v>
      </c>
      <c r="H2214" t="s">
        <v>204</v>
      </c>
      <c r="I2214">
        <v>1</v>
      </c>
      <c r="J2214">
        <v>5</v>
      </c>
      <c r="K2214" s="33">
        <v>2</v>
      </c>
      <c r="L2214">
        <v>999</v>
      </c>
      <c r="M2214">
        <v>0</v>
      </c>
      <c r="N2214">
        <v>1018</v>
      </c>
      <c r="O2214" s="2" t="s">
        <v>5751</v>
      </c>
      <c r="S2214" s="33">
        <v>1</v>
      </c>
      <c r="T2214">
        <v>5</v>
      </c>
      <c r="U2214">
        <v>1</v>
      </c>
      <c r="V2214" s="33">
        <v>1</v>
      </c>
      <c r="W2214">
        <v>1</v>
      </c>
      <c r="X2214">
        <v>1</v>
      </c>
      <c r="Y2214">
        <v>0</v>
      </c>
      <c r="Z2214" s="33">
        <v>0</v>
      </c>
      <c r="AA2214">
        <v>5</v>
      </c>
      <c r="AB2214">
        <v>100</v>
      </c>
      <c r="AC2214">
        <v>70</v>
      </c>
      <c r="AD2214" s="62">
        <v>0</v>
      </c>
      <c r="AE2214" s="62">
        <v>5</v>
      </c>
      <c r="AF2214" s="62">
        <v>2</v>
      </c>
      <c r="AS2214">
        <v>1</v>
      </c>
    </row>
    <row r="2215" spans="1:45">
      <c r="A2215">
        <v>511246</v>
      </c>
      <c r="B2215" s="238">
        <v>1001</v>
      </c>
      <c r="C2215">
        <v>6</v>
      </c>
      <c r="D2215" s="238">
        <v>1001</v>
      </c>
      <c r="E2215" t="s">
        <v>5752</v>
      </c>
      <c r="F2215" t="s">
        <v>5752</v>
      </c>
      <c r="G2215" s="3" t="s">
        <v>5753</v>
      </c>
      <c r="H2215" t="s">
        <v>204</v>
      </c>
      <c r="I2215">
        <v>1</v>
      </c>
      <c r="J2215">
        <v>5</v>
      </c>
      <c r="K2215" s="33">
        <v>2</v>
      </c>
      <c r="L2215">
        <v>999</v>
      </c>
      <c r="M2215">
        <v>0</v>
      </c>
      <c r="N2215">
        <v>1018</v>
      </c>
      <c r="O2215" s="231" t="s">
        <v>5754</v>
      </c>
      <c r="R2215" s="8"/>
      <c r="S2215" s="33">
        <v>1</v>
      </c>
      <c r="T2215">
        <v>5</v>
      </c>
      <c r="U2215">
        <v>1</v>
      </c>
      <c r="V2215" s="33">
        <v>1</v>
      </c>
      <c r="W2215">
        <v>1</v>
      </c>
      <c r="X2215" s="238">
        <v>1</v>
      </c>
      <c r="Y2215">
        <v>0</v>
      </c>
      <c r="Z2215" s="33">
        <v>0</v>
      </c>
      <c r="AA2215">
        <v>5</v>
      </c>
      <c r="AB2215">
        <v>100</v>
      </c>
      <c r="AC2215">
        <v>70</v>
      </c>
      <c r="AD2215" s="62">
        <v>0</v>
      </c>
      <c r="AE2215" s="62">
        <v>5</v>
      </c>
      <c r="AF2215" s="62">
        <v>2</v>
      </c>
      <c r="AS2215">
        <v>1</v>
      </c>
    </row>
    <row r="2216" spans="1:45">
      <c r="A2216">
        <v>511247</v>
      </c>
      <c r="B2216" s="8">
        <v>1001</v>
      </c>
      <c r="C2216">
        <v>6</v>
      </c>
      <c r="D2216" s="8">
        <v>1001</v>
      </c>
      <c r="E2216" t="s">
        <v>5499</v>
      </c>
      <c r="F2216" t="s">
        <v>5499</v>
      </c>
      <c r="G2216" t="s">
        <v>5592</v>
      </c>
      <c r="H2216" t="s">
        <v>5501</v>
      </c>
      <c r="I2216">
        <v>1</v>
      </c>
      <c r="J2216">
        <v>5</v>
      </c>
      <c r="K2216" s="33">
        <v>2</v>
      </c>
      <c r="L2216">
        <v>999</v>
      </c>
      <c r="M2216">
        <v>0</v>
      </c>
      <c r="N2216">
        <v>1017</v>
      </c>
      <c r="O2216" s="249">
        <v>50094</v>
      </c>
      <c r="R2216" s="8"/>
      <c r="S2216" s="33">
        <v>1</v>
      </c>
      <c r="T2216">
        <v>5</v>
      </c>
      <c r="U2216">
        <v>1</v>
      </c>
      <c r="V2216" s="33">
        <v>1</v>
      </c>
      <c r="W2216">
        <v>1</v>
      </c>
      <c r="X2216" s="8">
        <v>1</v>
      </c>
      <c r="Y2216">
        <v>0</v>
      </c>
      <c r="Z2216" s="33">
        <v>0</v>
      </c>
      <c r="AA2216">
        <v>5</v>
      </c>
      <c r="AB2216">
        <v>100</v>
      </c>
      <c r="AC2216">
        <v>70</v>
      </c>
      <c r="AD2216" s="62">
        <v>0</v>
      </c>
      <c r="AE2216" s="62">
        <v>4</v>
      </c>
      <c r="AF2216" s="62">
        <v>2</v>
      </c>
      <c r="AS2216">
        <v>1</v>
      </c>
    </row>
    <row r="2217" spans="1:45">
      <c r="A2217">
        <v>511248</v>
      </c>
      <c r="B2217" s="236">
        <v>1001</v>
      </c>
      <c r="C2217">
        <v>6</v>
      </c>
      <c r="D2217" s="236">
        <v>1001</v>
      </c>
      <c r="E2217" t="s">
        <v>5502</v>
      </c>
      <c r="F2217" t="s">
        <v>5502</v>
      </c>
      <c r="G2217" t="s">
        <v>5593</v>
      </c>
      <c r="H2217" t="s">
        <v>5504</v>
      </c>
      <c r="I2217">
        <v>1</v>
      </c>
      <c r="J2217">
        <v>5</v>
      </c>
      <c r="K2217" s="33">
        <v>2</v>
      </c>
      <c r="L2217">
        <v>999</v>
      </c>
      <c r="M2217">
        <v>0</v>
      </c>
      <c r="N2217">
        <v>1017</v>
      </c>
      <c r="O2217" s="249">
        <v>50095</v>
      </c>
      <c r="R2217" s="236"/>
      <c r="S2217" s="33">
        <v>1</v>
      </c>
      <c r="T2217">
        <v>5</v>
      </c>
      <c r="U2217">
        <v>1</v>
      </c>
      <c r="V2217" s="33">
        <v>1</v>
      </c>
      <c r="W2217">
        <v>1</v>
      </c>
      <c r="X2217" s="236">
        <v>1</v>
      </c>
      <c r="Y2217">
        <v>0</v>
      </c>
      <c r="Z2217" s="33">
        <v>0</v>
      </c>
      <c r="AA2217">
        <v>5</v>
      </c>
      <c r="AB2217">
        <v>100</v>
      </c>
      <c r="AC2217">
        <v>70</v>
      </c>
      <c r="AD2217" s="62">
        <v>0</v>
      </c>
      <c r="AE2217" s="62">
        <v>4</v>
      </c>
      <c r="AF2217" s="62">
        <v>2</v>
      </c>
      <c r="AS2217">
        <v>1</v>
      </c>
    </row>
    <row r="2218" spans="1:45">
      <c r="A2218">
        <v>511249</v>
      </c>
      <c r="B2218">
        <v>1001</v>
      </c>
      <c r="C2218">
        <v>6</v>
      </c>
      <c r="D2218" s="238">
        <v>1001</v>
      </c>
      <c r="E2218" t="s">
        <v>5755</v>
      </c>
      <c r="F2218" t="s">
        <v>5755</v>
      </c>
      <c r="G2218" t="s">
        <v>5756</v>
      </c>
      <c r="H2218" t="s">
        <v>204</v>
      </c>
      <c r="I2218">
        <v>1</v>
      </c>
      <c r="J2218">
        <v>5</v>
      </c>
      <c r="K2218" s="33">
        <v>2</v>
      </c>
      <c r="L2218">
        <v>999</v>
      </c>
      <c r="M2218">
        <v>0</v>
      </c>
      <c r="N2218">
        <v>1018</v>
      </c>
      <c r="O2218" s="2" t="s">
        <v>5757</v>
      </c>
      <c r="S2218" s="33">
        <v>1</v>
      </c>
      <c r="T2218">
        <v>5</v>
      </c>
      <c r="U2218">
        <v>1</v>
      </c>
      <c r="V2218" s="254">
        <v>1</v>
      </c>
      <c r="W2218">
        <v>1</v>
      </c>
      <c r="X2218">
        <v>1</v>
      </c>
      <c r="Y2218">
        <v>0</v>
      </c>
      <c r="Z2218" s="33">
        <v>0</v>
      </c>
      <c r="AA2218">
        <v>5</v>
      </c>
      <c r="AB2218">
        <v>100</v>
      </c>
      <c r="AC2218">
        <v>70</v>
      </c>
      <c r="AD2218" s="62">
        <v>0</v>
      </c>
      <c r="AE2218" s="62">
        <v>5</v>
      </c>
      <c r="AF2218" s="62">
        <v>2</v>
      </c>
      <c r="AN2218" s="93"/>
      <c r="AO2218" s="92"/>
      <c r="AQ2218"/>
      <c r="AS2218">
        <v>1</v>
      </c>
    </row>
    <row r="2219" spans="1:45">
      <c r="A2219">
        <v>511250</v>
      </c>
      <c r="B2219">
        <v>1001</v>
      </c>
      <c r="C2219">
        <v>20</v>
      </c>
      <c r="D2219" s="8">
        <v>1001</v>
      </c>
      <c r="E2219" t="s">
        <v>5758</v>
      </c>
      <c r="F2219" t="s">
        <v>5758</v>
      </c>
      <c r="G2219" t="s">
        <v>5759</v>
      </c>
      <c r="H2219" t="s">
        <v>5760</v>
      </c>
      <c r="I2219">
        <v>1</v>
      </c>
      <c r="J2219">
        <v>3</v>
      </c>
      <c r="K2219" s="33">
        <v>1</v>
      </c>
      <c r="L2219">
        <v>999</v>
      </c>
      <c r="M2219">
        <v>0</v>
      </c>
      <c r="N2219">
        <v>1034</v>
      </c>
      <c r="O2219" s="2">
        <v>300</v>
      </c>
      <c r="S2219" s="33">
        <v>1</v>
      </c>
      <c r="T2219">
        <v>5</v>
      </c>
      <c r="U2219">
        <v>1</v>
      </c>
      <c r="V2219" s="87">
        <v>1</v>
      </c>
      <c r="W2219">
        <v>1</v>
      </c>
      <c r="X2219">
        <v>1</v>
      </c>
      <c r="Y2219">
        <v>0</v>
      </c>
      <c r="Z2219" s="33">
        <v>0</v>
      </c>
      <c r="AA2219">
        <v>5</v>
      </c>
      <c r="AB2219">
        <v>450</v>
      </c>
      <c r="AC2219">
        <v>511</v>
      </c>
      <c r="AL2219" s="64">
        <v>1</v>
      </c>
      <c r="AN2219" s="93"/>
      <c r="AO2219" s="92"/>
      <c r="AQ2219" t="s">
        <v>5761</v>
      </c>
      <c r="AS2219">
        <v>1</v>
      </c>
    </row>
    <row r="2220" spans="1:45">
      <c r="A2220">
        <v>511251</v>
      </c>
      <c r="B2220">
        <v>1001</v>
      </c>
      <c r="C2220">
        <v>20</v>
      </c>
      <c r="D2220" s="8">
        <v>1001</v>
      </c>
      <c r="E2220" t="s">
        <v>5762</v>
      </c>
      <c r="F2220" t="s">
        <v>5762</v>
      </c>
      <c r="G2220" t="s">
        <v>5763</v>
      </c>
      <c r="H2220" t="s">
        <v>5764</v>
      </c>
      <c r="I2220">
        <v>1</v>
      </c>
      <c r="J2220">
        <v>4</v>
      </c>
      <c r="K2220" s="33">
        <v>1</v>
      </c>
      <c r="L2220">
        <v>999</v>
      </c>
      <c r="M2220">
        <v>0</v>
      </c>
      <c r="N2220">
        <v>1034</v>
      </c>
      <c r="O2220" s="2">
        <v>1800</v>
      </c>
      <c r="S2220" s="33">
        <v>1</v>
      </c>
      <c r="T2220">
        <v>5</v>
      </c>
      <c r="U2220">
        <v>1</v>
      </c>
      <c r="V2220" s="87">
        <v>1</v>
      </c>
      <c r="W2220">
        <v>1</v>
      </c>
      <c r="X2220">
        <v>1</v>
      </c>
      <c r="Y2220">
        <v>0</v>
      </c>
      <c r="Z2220" s="33">
        <v>0</v>
      </c>
      <c r="AA2220">
        <v>5</v>
      </c>
      <c r="AB2220">
        <v>450</v>
      </c>
      <c r="AC2220">
        <v>511</v>
      </c>
      <c r="AL2220" s="64">
        <v>1</v>
      </c>
      <c r="AN2220" s="93"/>
      <c r="AO2220" s="92"/>
      <c r="AQ2220" t="s">
        <v>5765</v>
      </c>
      <c r="AS2220">
        <v>1</v>
      </c>
    </row>
    <row r="2221" spans="1:45">
      <c r="A2221">
        <v>511252</v>
      </c>
      <c r="B2221">
        <v>1001</v>
      </c>
      <c r="C2221">
        <v>20</v>
      </c>
      <c r="D2221" s="8">
        <v>1001</v>
      </c>
      <c r="E2221" t="s">
        <v>5464</v>
      </c>
      <c r="F2221" t="s">
        <v>5464</v>
      </c>
      <c r="G2221" t="s">
        <v>5766</v>
      </c>
      <c r="H2221" t="s">
        <v>5767</v>
      </c>
      <c r="I2221">
        <v>1</v>
      </c>
      <c r="J2221">
        <v>4</v>
      </c>
      <c r="K2221" s="33">
        <v>1</v>
      </c>
      <c r="L2221">
        <v>999</v>
      </c>
      <c r="M2221">
        <v>0</v>
      </c>
      <c r="N2221">
        <v>1034</v>
      </c>
      <c r="O2221" s="2">
        <v>7200</v>
      </c>
      <c r="S2221" s="33">
        <v>1</v>
      </c>
      <c r="T2221">
        <v>5</v>
      </c>
      <c r="U2221">
        <v>1</v>
      </c>
      <c r="V2221" s="87">
        <v>1</v>
      </c>
      <c r="W2221">
        <v>1</v>
      </c>
      <c r="X2221">
        <v>1</v>
      </c>
      <c r="Y2221">
        <v>0</v>
      </c>
      <c r="Z2221" s="33">
        <v>0</v>
      </c>
      <c r="AA2221">
        <v>5</v>
      </c>
      <c r="AB2221">
        <v>450</v>
      </c>
      <c r="AC2221">
        <v>511</v>
      </c>
      <c r="AL2221" s="64">
        <v>1</v>
      </c>
      <c r="AN2221" s="93"/>
      <c r="AO2221" s="92"/>
      <c r="AQ2221" t="s">
        <v>5768</v>
      </c>
      <c r="AS2221">
        <v>1</v>
      </c>
    </row>
    <row r="2222" spans="1:45">
      <c r="A2222">
        <v>511253</v>
      </c>
      <c r="B2222">
        <v>1001</v>
      </c>
      <c r="C2222">
        <v>20</v>
      </c>
      <c r="D2222" s="236">
        <v>1001</v>
      </c>
      <c r="E2222" t="s">
        <v>5769</v>
      </c>
      <c r="F2222" t="s">
        <v>5769</v>
      </c>
      <c r="G2222" t="s">
        <v>5770</v>
      </c>
      <c r="H2222" t="s">
        <v>5771</v>
      </c>
      <c r="I2222">
        <v>1</v>
      </c>
      <c r="J2222">
        <v>5</v>
      </c>
      <c r="K2222" s="33">
        <v>1</v>
      </c>
      <c r="L2222">
        <v>999</v>
      </c>
      <c r="M2222">
        <v>0</v>
      </c>
      <c r="N2222">
        <v>1034</v>
      </c>
      <c r="O2222" s="2">
        <v>21600</v>
      </c>
      <c r="S2222" s="33">
        <v>1</v>
      </c>
      <c r="T2222">
        <v>5</v>
      </c>
      <c r="U2222">
        <v>1</v>
      </c>
      <c r="V2222" s="248">
        <v>1</v>
      </c>
      <c r="W2222">
        <v>1</v>
      </c>
      <c r="X2222">
        <v>1</v>
      </c>
      <c r="Y2222">
        <v>0</v>
      </c>
      <c r="Z2222" s="33">
        <v>0</v>
      </c>
      <c r="AA2222">
        <v>5</v>
      </c>
      <c r="AB2222">
        <v>450</v>
      </c>
      <c r="AC2222">
        <v>511</v>
      </c>
      <c r="AL2222" s="64">
        <v>1</v>
      </c>
      <c r="AN2222" s="338"/>
      <c r="AO2222" s="252"/>
      <c r="AQ2222" t="s">
        <v>5772</v>
      </c>
      <c r="AS2222">
        <v>1</v>
      </c>
    </row>
    <row r="2223" spans="1:45">
      <c r="A2223">
        <v>511254</v>
      </c>
      <c r="B2223">
        <v>1001</v>
      </c>
      <c r="C2223">
        <v>1</v>
      </c>
      <c r="D2223">
        <v>1001</v>
      </c>
      <c r="E2223" t="s">
        <v>5773</v>
      </c>
      <c r="F2223" t="s">
        <v>5774</v>
      </c>
      <c r="G2223" t="s">
        <v>5775</v>
      </c>
      <c r="H2223" t="s">
        <v>1822</v>
      </c>
      <c r="I2223">
        <v>1</v>
      </c>
      <c r="J2223">
        <v>5</v>
      </c>
      <c r="K2223" s="33">
        <v>2</v>
      </c>
      <c r="L2223">
        <v>999</v>
      </c>
      <c r="M2223">
        <v>0</v>
      </c>
      <c r="N2223">
        <v>1017</v>
      </c>
      <c r="O2223" s="2">
        <v>120101</v>
      </c>
      <c r="S2223" s="33">
        <v>1</v>
      </c>
      <c r="T2223">
        <v>5</v>
      </c>
      <c r="U2223">
        <v>1</v>
      </c>
      <c r="V2223" s="33">
        <v>1</v>
      </c>
      <c r="W2223">
        <v>1</v>
      </c>
      <c r="X2223">
        <v>1</v>
      </c>
      <c r="Y2223">
        <v>0</v>
      </c>
      <c r="Z2223" s="33">
        <v>0</v>
      </c>
      <c r="AA2223">
        <v>5</v>
      </c>
      <c r="AB2223">
        <v>100</v>
      </c>
      <c r="AC2223">
        <v>70</v>
      </c>
      <c r="AD2223" s="62">
        <v>0</v>
      </c>
      <c r="AE2223" s="62">
        <v>4</v>
      </c>
      <c r="AF2223" s="62">
        <v>2</v>
      </c>
      <c r="AS2223">
        <v>1</v>
      </c>
    </row>
    <row r="2224" spans="1:45">
      <c r="A2224">
        <v>511255</v>
      </c>
      <c r="B2224">
        <v>1001</v>
      </c>
      <c r="C2224">
        <v>1</v>
      </c>
      <c r="D2224">
        <v>1001</v>
      </c>
      <c r="E2224" t="s">
        <v>5776</v>
      </c>
      <c r="F2224" t="s">
        <v>5777</v>
      </c>
      <c r="G2224" t="s">
        <v>5778</v>
      </c>
      <c r="H2224" t="s">
        <v>1822</v>
      </c>
      <c r="I2224">
        <v>1</v>
      </c>
      <c r="J2224">
        <v>5</v>
      </c>
      <c r="K2224" s="33">
        <v>2</v>
      </c>
      <c r="L2224">
        <v>999</v>
      </c>
      <c r="M2224">
        <v>0</v>
      </c>
      <c r="N2224">
        <v>1017</v>
      </c>
      <c r="O2224" s="2">
        <v>120102</v>
      </c>
      <c r="S2224" s="33">
        <v>1</v>
      </c>
      <c r="T2224">
        <v>5</v>
      </c>
      <c r="U2224">
        <v>1</v>
      </c>
      <c r="V2224" s="33">
        <v>1</v>
      </c>
      <c r="W2224">
        <v>1</v>
      </c>
      <c r="X2224">
        <v>1</v>
      </c>
      <c r="Y2224">
        <v>0</v>
      </c>
      <c r="Z2224" s="33">
        <v>0</v>
      </c>
      <c r="AA2224">
        <v>5</v>
      </c>
      <c r="AB2224">
        <v>100</v>
      </c>
      <c r="AC2224">
        <v>70</v>
      </c>
      <c r="AD2224" s="62">
        <v>0</v>
      </c>
      <c r="AE2224" s="62">
        <v>4</v>
      </c>
      <c r="AF2224" s="62">
        <v>2</v>
      </c>
      <c r="AS2224">
        <v>1</v>
      </c>
    </row>
    <row r="2225" spans="1:45">
      <c r="A2225">
        <v>511256</v>
      </c>
      <c r="B2225">
        <v>1001</v>
      </c>
      <c r="C2225">
        <v>1</v>
      </c>
      <c r="D2225">
        <v>1001</v>
      </c>
      <c r="E2225" t="s">
        <v>5779</v>
      </c>
      <c r="F2225" t="s">
        <v>5780</v>
      </c>
      <c r="G2225" t="s">
        <v>5781</v>
      </c>
      <c r="H2225" t="s">
        <v>1822</v>
      </c>
      <c r="I2225">
        <v>1</v>
      </c>
      <c r="J2225">
        <v>5</v>
      </c>
      <c r="K2225" s="33">
        <v>2</v>
      </c>
      <c r="L2225">
        <v>999</v>
      </c>
      <c r="M2225">
        <v>0</v>
      </c>
      <c r="N2225">
        <v>1017</v>
      </c>
      <c r="O2225" s="2">
        <v>120103</v>
      </c>
      <c r="S2225" s="33">
        <v>1</v>
      </c>
      <c r="T2225">
        <v>5</v>
      </c>
      <c r="U2225">
        <v>1</v>
      </c>
      <c r="V2225" s="33">
        <v>1</v>
      </c>
      <c r="W2225">
        <v>1</v>
      </c>
      <c r="X2225">
        <v>1</v>
      </c>
      <c r="Y2225">
        <v>0</v>
      </c>
      <c r="Z2225" s="33">
        <v>0</v>
      </c>
      <c r="AA2225">
        <v>5</v>
      </c>
      <c r="AB2225">
        <v>100</v>
      </c>
      <c r="AC2225">
        <v>70</v>
      </c>
      <c r="AD2225" s="62">
        <v>0</v>
      </c>
      <c r="AE2225" s="62">
        <v>4</v>
      </c>
      <c r="AF2225" s="62">
        <v>2</v>
      </c>
      <c r="AS2225">
        <v>1</v>
      </c>
    </row>
    <row r="2226" spans="1:45">
      <c r="A2226">
        <v>511257</v>
      </c>
      <c r="B2226">
        <v>1001</v>
      </c>
      <c r="C2226">
        <v>1</v>
      </c>
      <c r="D2226">
        <v>1001</v>
      </c>
      <c r="E2226" t="s">
        <v>5782</v>
      </c>
      <c r="F2226" t="s">
        <v>5783</v>
      </c>
      <c r="G2226" t="s">
        <v>5784</v>
      </c>
      <c r="H2226" t="s">
        <v>1822</v>
      </c>
      <c r="I2226">
        <v>1</v>
      </c>
      <c r="J2226">
        <v>5</v>
      </c>
      <c r="K2226" s="33">
        <v>2</v>
      </c>
      <c r="L2226">
        <v>999</v>
      </c>
      <c r="M2226">
        <v>0</v>
      </c>
      <c r="N2226">
        <v>1017</v>
      </c>
      <c r="O2226" s="2">
        <v>120104</v>
      </c>
      <c r="S2226" s="33">
        <v>1</v>
      </c>
      <c r="T2226">
        <v>5</v>
      </c>
      <c r="U2226">
        <v>1</v>
      </c>
      <c r="V2226" s="33">
        <v>1</v>
      </c>
      <c r="W2226">
        <v>1</v>
      </c>
      <c r="X2226">
        <v>1</v>
      </c>
      <c r="Y2226">
        <v>0</v>
      </c>
      <c r="Z2226" s="33">
        <v>0</v>
      </c>
      <c r="AA2226">
        <v>5</v>
      </c>
      <c r="AB2226">
        <v>100</v>
      </c>
      <c r="AC2226">
        <v>70</v>
      </c>
      <c r="AD2226" s="62">
        <v>0</v>
      </c>
      <c r="AE2226" s="62">
        <v>4</v>
      </c>
      <c r="AF2226" s="62">
        <v>2</v>
      </c>
      <c r="AS2226">
        <v>1</v>
      </c>
    </row>
    <row r="2227" spans="1:45">
      <c r="A2227">
        <v>511258</v>
      </c>
      <c r="B2227">
        <v>1001</v>
      </c>
      <c r="C2227">
        <v>1</v>
      </c>
      <c r="D2227">
        <v>1001</v>
      </c>
      <c r="E2227" t="s">
        <v>5785</v>
      </c>
      <c r="F2227" t="s">
        <v>5785</v>
      </c>
      <c r="G2227" t="s">
        <v>5786</v>
      </c>
      <c r="H2227" t="s">
        <v>1822</v>
      </c>
      <c r="I2227">
        <v>1</v>
      </c>
      <c r="J2227">
        <v>5</v>
      </c>
      <c r="K2227" s="33">
        <v>2</v>
      </c>
      <c r="L2227">
        <v>999</v>
      </c>
      <c r="M2227">
        <v>0</v>
      </c>
      <c r="N2227">
        <v>1017</v>
      </c>
      <c r="O2227" s="2">
        <v>120105</v>
      </c>
      <c r="S2227" s="33">
        <v>1</v>
      </c>
      <c r="T2227">
        <v>5</v>
      </c>
      <c r="U2227">
        <v>1</v>
      </c>
      <c r="V2227" s="33">
        <v>1</v>
      </c>
      <c r="W2227">
        <v>1</v>
      </c>
      <c r="X2227">
        <v>1</v>
      </c>
      <c r="Y2227">
        <v>0</v>
      </c>
      <c r="Z2227" s="33">
        <v>0</v>
      </c>
      <c r="AA2227">
        <v>5</v>
      </c>
      <c r="AB2227">
        <v>100</v>
      </c>
      <c r="AC2227">
        <v>70</v>
      </c>
      <c r="AD2227" s="62">
        <v>0</v>
      </c>
      <c r="AE2227" s="62">
        <v>4</v>
      </c>
      <c r="AF2227" s="62">
        <v>2</v>
      </c>
      <c r="AS2227">
        <v>1</v>
      </c>
    </row>
    <row r="2228" spans="1:45">
      <c r="A2228">
        <v>511259</v>
      </c>
      <c r="B2228">
        <v>1001</v>
      </c>
      <c r="C2228">
        <v>1</v>
      </c>
      <c r="D2228">
        <v>1001</v>
      </c>
      <c r="E2228" t="s">
        <v>5787</v>
      </c>
      <c r="F2228" t="s">
        <v>5788</v>
      </c>
      <c r="G2228" t="s">
        <v>5789</v>
      </c>
      <c r="H2228" t="s">
        <v>1431</v>
      </c>
      <c r="I2228">
        <v>1</v>
      </c>
      <c r="J2228">
        <v>5</v>
      </c>
      <c r="K2228" s="33">
        <v>2</v>
      </c>
      <c r="L2228">
        <v>999</v>
      </c>
      <c r="M2228">
        <v>0</v>
      </c>
      <c r="N2228">
        <v>1017</v>
      </c>
      <c r="O2228" s="2">
        <v>10331</v>
      </c>
      <c r="S2228" s="33">
        <v>1</v>
      </c>
      <c r="T2228">
        <v>5</v>
      </c>
      <c r="U2228">
        <v>1</v>
      </c>
      <c r="V2228" s="33">
        <v>1</v>
      </c>
      <c r="W2228">
        <v>1</v>
      </c>
      <c r="X2228">
        <v>1</v>
      </c>
      <c r="Y2228">
        <v>0</v>
      </c>
      <c r="Z2228" s="33">
        <v>0</v>
      </c>
      <c r="AA2228">
        <v>5</v>
      </c>
      <c r="AB2228">
        <v>100</v>
      </c>
      <c r="AC2228">
        <v>70</v>
      </c>
      <c r="AD2228" s="62">
        <v>0</v>
      </c>
      <c r="AE2228" s="62">
        <v>4</v>
      </c>
      <c r="AF2228" s="62">
        <v>2</v>
      </c>
      <c r="AS2228">
        <v>1</v>
      </c>
    </row>
    <row r="2229" spans="1:45">
      <c r="A2229">
        <v>511260</v>
      </c>
      <c r="B2229">
        <v>1001</v>
      </c>
      <c r="C2229">
        <v>1</v>
      </c>
      <c r="D2229">
        <v>1001</v>
      </c>
      <c r="E2229" t="s">
        <v>5790</v>
      </c>
      <c r="F2229" t="s">
        <v>5791</v>
      </c>
      <c r="G2229" t="s">
        <v>5792</v>
      </c>
      <c r="H2229" t="s">
        <v>1431</v>
      </c>
      <c r="I2229">
        <v>1</v>
      </c>
      <c r="J2229">
        <v>5</v>
      </c>
      <c r="K2229" s="33">
        <v>2</v>
      </c>
      <c r="L2229">
        <v>999</v>
      </c>
      <c r="M2229">
        <v>0</v>
      </c>
      <c r="N2229">
        <v>1017</v>
      </c>
      <c r="O2229" s="2">
        <v>10332</v>
      </c>
      <c r="S2229" s="33">
        <v>1</v>
      </c>
      <c r="T2229">
        <v>5</v>
      </c>
      <c r="U2229">
        <v>1</v>
      </c>
      <c r="V2229" s="33">
        <v>1</v>
      </c>
      <c r="W2229">
        <v>1</v>
      </c>
      <c r="X2229">
        <v>1</v>
      </c>
      <c r="Y2229">
        <v>0</v>
      </c>
      <c r="Z2229" s="33">
        <v>0</v>
      </c>
      <c r="AA2229">
        <v>5</v>
      </c>
      <c r="AB2229">
        <v>100</v>
      </c>
      <c r="AC2229">
        <v>70</v>
      </c>
      <c r="AD2229" s="62">
        <v>0</v>
      </c>
      <c r="AE2229" s="62">
        <v>4</v>
      </c>
      <c r="AF2229" s="62">
        <v>2</v>
      </c>
      <c r="AS2229">
        <v>1</v>
      </c>
    </row>
    <row r="2230" spans="1:45">
      <c r="A2230">
        <v>511261</v>
      </c>
      <c r="B2230">
        <v>1001</v>
      </c>
      <c r="C2230">
        <v>1</v>
      </c>
      <c r="D2230">
        <v>1001</v>
      </c>
      <c r="E2230" t="s">
        <v>5793</v>
      </c>
      <c r="F2230" t="s">
        <v>5794</v>
      </c>
      <c r="G2230" t="s">
        <v>5795</v>
      </c>
      <c r="H2230" t="s">
        <v>1431</v>
      </c>
      <c r="I2230">
        <v>1</v>
      </c>
      <c r="J2230">
        <v>5</v>
      </c>
      <c r="K2230" s="33">
        <v>2</v>
      </c>
      <c r="L2230">
        <v>999</v>
      </c>
      <c r="M2230">
        <v>0</v>
      </c>
      <c r="N2230">
        <v>1017</v>
      </c>
      <c r="O2230" s="2">
        <v>10333</v>
      </c>
      <c r="S2230" s="33">
        <v>1</v>
      </c>
      <c r="T2230">
        <v>5</v>
      </c>
      <c r="U2230">
        <v>1</v>
      </c>
      <c r="V2230" s="33">
        <v>1</v>
      </c>
      <c r="W2230">
        <v>1</v>
      </c>
      <c r="X2230">
        <v>1</v>
      </c>
      <c r="Y2230">
        <v>0</v>
      </c>
      <c r="Z2230" s="33">
        <v>0</v>
      </c>
      <c r="AA2230">
        <v>5</v>
      </c>
      <c r="AB2230">
        <v>100</v>
      </c>
      <c r="AC2230">
        <v>70</v>
      </c>
      <c r="AD2230" s="62">
        <v>0</v>
      </c>
      <c r="AE2230" s="62">
        <v>4</v>
      </c>
      <c r="AF2230" s="62">
        <v>2</v>
      </c>
      <c r="AS2230">
        <v>1</v>
      </c>
    </row>
    <row r="2231" spans="1:45">
      <c r="A2231">
        <v>511262</v>
      </c>
      <c r="B2231" s="238">
        <v>1001</v>
      </c>
      <c r="C2231">
        <v>6</v>
      </c>
      <c r="D2231" s="238">
        <v>1001</v>
      </c>
      <c r="E2231" t="s">
        <v>5752</v>
      </c>
      <c r="F2231" t="s">
        <v>5752</v>
      </c>
      <c r="G2231" s="3" t="s">
        <v>5796</v>
      </c>
      <c r="H2231" t="s">
        <v>204</v>
      </c>
      <c r="I2231">
        <v>1</v>
      </c>
      <c r="J2231">
        <v>5</v>
      </c>
      <c r="K2231" s="33">
        <v>2</v>
      </c>
      <c r="L2231">
        <v>999</v>
      </c>
      <c r="M2231">
        <v>0</v>
      </c>
      <c r="N2231">
        <v>1018</v>
      </c>
      <c r="O2231" s="231" t="s">
        <v>5797</v>
      </c>
      <c r="R2231" s="8"/>
      <c r="S2231" s="33">
        <v>1</v>
      </c>
      <c r="T2231">
        <v>5</v>
      </c>
      <c r="U2231">
        <v>1</v>
      </c>
      <c r="V2231" s="33">
        <v>1</v>
      </c>
      <c r="W2231">
        <v>1</v>
      </c>
      <c r="X2231" s="238">
        <v>1</v>
      </c>
      <c r="Y2231">
        <v>0</v>
      </c>
      <c r="Z2231" s="33">
        <v>0</v>
      </c>
      <c r="AA2231">
        <v>5</v>
      </c>
      <c r="AB2231">
        <v>100</v>
      </c>
      <c r="AC2231">
        <v>70</v>
      </c>
      <c r="AD2231" s="62">
        <v>0</v>
      </c>
      <c r="AE2231" s="62">
        <v>5</v>
      </c>
      <c r="AF2231" s="62">
        <v>2</v>
      </c>
      <c r="AS2231">
        <v>1</v>
      </c>
    </row>
    <row r="2232" spans="1:45">
      <c r="A2232">
        <v>511263</v>
      </c>
      <c r="B2232" s="8">
        <v>1001</v>
      </c>
      <c r="C2232">
        <v>6</v>
      </c>
      <c r="D2232" s="8">
        <v>1001</v>
      </c>
      <c r="E2232" t="s">
        <v>5798</v>
      </c>
      <c r="F2232" t="s">
        <v>5798</v>
      </c>
      <c r="G2232" t="s">
        <v>5592</v>
      </c>
      <c r="H2232" t="s">
        <v>1804</v>
      </c>
      <c r="I2232">
        <v>1</v>
      </c>
      <c r="J2232">
        <v>5</v>
      </c>
      <c r="K2232" s="33">
        <v>2</v>
      </c>
      <c r="L2232">
        <v>999</v>
      </c>
      <c r="M2232">
        <v>0</v>
      </c>
      <c r="N2232">
        <v>1017</v>
      </c>
      <c r="O2232" s="249">
        <v>50094</v>
      </c>
      <c r="R2232" s="8"/>
      <c r="S2232" s="33">
        <v>1</v>
      </c>
      <c r="T2232">
        <v>5</v>
      </c>
      <c r="U2232">
        <v>1</v>
      </c>
      <c r="V2232" s="33">
        <v>1</v>
      </c>
      <c r="W2232">
        <v>1</v>
      </c>
      <c r="X2232" s="8">
        <v>1</v>
      </c>
      <c r="Y2232">
        <v>0</v>
      </c>
      <c r="Z2232" s="33">
        <v>0</v>
      </c>
      <c r="AA2232">
        <v>5</v>
      </c>
      <c r="AB2232">
        <v>100</v>
      </c>
      <c r="AC2232">
        <v>70</v>
      </c>
      <c r="AD2232" s="62">
        <v>0</v>
      </c>
      <c r="AE2232" s="62">
        <v>4</v>
      </c>
      <c r="AF2232" s="62">
        <v>2</v>
      </c>
      <c r="AS2232">
        <v>1</v>
      </c>
    </row>
    <row r="2233" spans="1:45">
      <c r="A2233">
        <v>511264</v>
      </c>
      <c r="B2233" s="236">
        <v>1001</v>
      </c>
      <c r="C2233">
        <v>6</v>
      </c>
      <c r="D2233" s="236">
        <v>1001</v>
      </c>
      <c r="E2233" t="s">
        <v>5799</v>
      </c>
      <c r="F2233" t="s">
        <v>5799</v>
      </c>
      <c r="G2233" t="s">
        <v>5593</v>
      </c>
      <c r="H2233" t="s">
        <v>5740</v>
      </c>
      <c r="I2233">
        <v>1</v>
      </c>
      <c r="J2233">
        <v>5</v>
      </c>
      <c r="K2233" s="33">
        <v>2</v>
      </c>
      <c r="L2233">
        <v>999</v>
      </c>
      <c r="M2233">
        <v>0</v>
      </c>
      <c r="N2233">
        <v>1017</v>
      </c>
      <c r="O2233" s="249">
        <v>50095</v>
      </c>
      <c r="R2233" s="236"/>
      <c r="S2233" s="33">
        <v>1</v>
      </c>
      <c r="T2233">
        <v>5</v>
      </c>
      <c r="U2233">
        <v>1</v>
      </c>
      <c r="V2233" s="33">
        <v>1</v>
      </c>
      <c r="W2233">
        <v>1</v>
      </c>
      <c r="X2233" s="236">
        <v>1</v>
      </c>
      <c r="Y2233">
        <v>0</v>
      </c>
      <c r="Z2233" s="33">
        <v>0</v>
      </c>
      <c r="AA2233">
        <v>5</v>
      </c>
      <c r="AB2233">
        <v>100</v>
      </c>
      <c r="AC2233">
        <v>70</v>
      </c>
      <c r="AD2233" s="62">
        <v>0</v>
      </c>
      <c r="AE2233" s="62">
        <v>4</v>
      </c>
      <c r="AF2233" s="62">
        <v>2</v>
      </c>
      <c r="AS2233">
        <v>1</v>
      </c>
    </row>
    <row r="2234" spans="1:45">
      <c r="A2234">
        <v>511265</v>
      </c>
      <c r="B2234" s="238">
        <v>1001</v>
      </c>
      <c r="C2234" s="238">
        <v>1</v>
      </c>
      <c r="D2234" s="238">
        <v>1001</v>
      </c>
      <c r="E2234" t="s">
        <v>5800</v>
      </c>
      <c r="F2234" t="s">
        <v>5801</v>
      </c>
      <c r="G2234" t="s">
        <v>5802</v>
      </c>
      <c r="H2234" t="s">
        <v>1822</v>
      </c>
      <c r="I2234">
        <v>1</v>
      </c>
      <c r="J2234">
        <v>5</v>
      </c>
      <c r="K2234" s="33">
        <v>2</v>
      </c>
      <c r="L2234">
        <v>999</v>
      </c>
      <c r="M2234">
        <v>0</v>
      </c>
      <c r="N2234" s="238">
        <v>1017</v>
      </c>
      <c r="O2234" s="2">
        <v>10334</v>
      </c>
      <c r="S2234" s="254">
        <v>1</v>
      </c>
      <c r="T2234" s="238">
        <v>5</v>
      </c>
      <c r="U2234" s="238">
        <v>1</v>
      </c>
      <c r="V2234" s="254">
        <v>1</v>
      </c>
      <c r="W2234" s="238">
        <v>1</v>
      </c>
      <c r="X2234" s="238">
        <v>1</v>
      </c>
      <c r="Y2234">
        <v>0</v>
      </c>
      <c r="Z2234" s="33">
        <v>0</v>
      </c>
      <c r="AA2234">
        <v>5</v>
      </c>
      <c r="AB2234">
        <v>100</v>
      </c>
      <c r="AC2234" s="238">
        <v>70</v>
      </c>
      <c r="AD2234" s="62">
        <v>0</v>
      </c>
      <c r="AE2234" s="255">
        <v>4</v>
      </c>
      <c r="AF2234" s="255">
        <v>2</v>
      </c>
      <c r="AG2234" s="91"/>
      <c r="AH2234" s="91"/>
      <c r="AI2234" s="91"/>
      <c r="AJ2234" s="91"/>
      <c r="AK2234" s="91"/>
      <c r="AL2234" s="92"/>
      <c r="AM2234" s="92"/>
      <c r="AN2234" s="93"/>
      <c r="AO2234" s="92"/>
      <c r="AS2234">
        <v>1</v>
      </c>
    </row>
    <row r="2235" spans="1:45">
      <c r="A2235">
        <v>511266</v>
      </c>
      <c r="B2235" s="8">
        <v>1001</v>
      </c>
      <c r="C2235" s="8">
        <v>2</v>
      </c>
      <c r="D2235" s="8">
        <v>1004</v>
      </c>
      <c r="E2235" t="s">
        <v>5803</v>
      </c>
      <c r="F2235" t="s">
        <v>5803</v>
      </c>
      <c r="G2235" t="s">
        <v>5804</v>
      </c>
      <c r="H2235" t="s">
        <v>5805</v>
      </c>
      <c r="I2235">
        <v>1</v>
      </c>
      <c r="J2235">
        <v>5</v>
      </c>
      <c r="K2235" s="33">
        <v>1</v>
      </c>
      <c r="L2235">
        <v>9999</v>
      </c>
      <c r="M2235">
        <v>0</v>
      </c>
      <c r="N2235" s="8"/>
      <c r="S2235" s="89">
        <v>1</v>
      </c>
      <c r="T2235" s="8">
        <v>5</v>
      </c>
      <c r="U2235" s="89">
        <v>10</v>
      </c>
      <c r="V2235" s="87">
        <v>1</v>
      </c>
      <c r="W2235" s="8">
        <v>1</v>
      </c>
      <c r="X2235" s="8">
        <v>1</v>
      </c>
      <c r="Y2235">
        <v>0</v>
      </c>
      <c r="Z2235" s="33">
        <v>0</v>
      </c>
      <c r="AA2235">
        <v>5</v>
      </c>
      <c r="AB2235">
        <v>100</v>
      </c>
      <c r="AC2235" s="87">
        <v>0</v>
      </c>
      <c r="AD2235" s="62">
        <v>0</v>
      </c>
      <c r="AE2235" s="90">
        <v>0</v>
      </c>
      <c r="AF2235" s="90">
        <v>0</v>
      </c>
      <c r="AG2235" s="91"/>
      <c r="AH2235" s="91"/>
      <c r="AI2235" s="91"/>
      <c r="AJ2235" s="91"/>
      <c r="AK2235" s="91"/>
      <c r="AL2235" s="92"/>
      <c r="AM2235" s="92"/>
      <c r="AN2235" s="93"/>
      <c r="AO2235" s="92"/>
      <c r="AS2235">
        <v>1</v>
      </c>
    </row>
    <row r="2236" ht="14.25" customHeight="1" spans="1:45">
      <c r="A2236">
        <v>511267</v>
      </c>
      <c r="B2236" s="8">
        <v>1001</v>
      </c>
      <c r="C2236" s="8">
        <v>2</v>
      </c>
      <c r="D2236" s="8">
        <v>1004</v>
      </c>
      <c r="E2236" t="s">
        <v>5806</v>
      </c>
      <c r="F2236" t="s">
        <v>5806</v>
      </c>
      <c r="G2236" t="s">
        <v>5807</v>
      </c>
      <c r="H2236" t="s">
        <v>5808</v>
      </c>
      <c r="I2236">
        <v>1</v>
      </c>
      <c r="J2236">
        <v>5</v>
      </c>
      <c r="K2236" s="254">
        <v>1</v>
      </c>
      <c r="L2236" s="238">
        <v>9999</v>
      </c>
      <c r="M2236" s="238">
        <v>0</v>
      </c>
      <c r="N2236" s="8"/>
      <c r="O2236" s="88"/>
      <c r="R2236" s="8"/>
      <c r="S2236" s="89">
        <v>1</v>
      </c>
      <c r="T2236" s="8">
        <v>5</v>
      </c>
      <c r="U2236" s="89">
        <v>10</v>
      </c>
      <c r="V2236" s="87">
        <v>1</v>
      </c>
      <c r="W2236" s="236">
        <v>1</v>
      </c>
      <c r="X2236" s="8">
        <v>1</v>
      </c>
      <c r="Y2236">
        <v>0</v>
      </c>
      <c r="Z2236" s="33">
        <v>0</v>
      </c>
      <c r="AA2236">
        <v>5</v>
      </c>
      <c r="AB2236">
        <v>100</v>
      </c>
      <c r="AC2236" s="87">
        <v>0</v>
      </c>
      <c r="AD2236" s="62">
        <v>0</v>
      </c>
      <c r="AE2236" s="90">
        <v>0</v>
      </c>
      <c r="AF2236" s="90">
        <v>0</v>
      </c>
      <c r="AG2236" s="91"/>
      <c r="AH2236" s="91"/>
      <c r="AI2236" s="91"/>
      <c r="AJ2236" s="91"/>
      <c r="AK2236" s="91"/>
      <c r="AL2236" s="92"/>
      <c r="AM2236" s="92"/>
      <c r="AN2236" s="93"/>
      <c r="AO2236" s="92"/>
      <c r="AP2236" s="86"/>
      <c r="AQ2236"/>
      <c r="AS2236">
        <v>1</v>
      </c>
    </row>
    <row r="2237" ht="14.25" customHeight="1" spans="1:45">
      <c r="A2237">
        <v>511268</v>
      </c>
      <c r="B2237" s="8">
        <v>1001</v>
      </c>
      <c r="C2237" s="8">
        <v>6</v>
      </c>
      <c r="D2237" s="8">
        <v>1001</v>
      </c>
      <c r="E2237" t="s">
        <v>5809</v>
      </c>
      <c r="F2237" t="s">
        <v>5809</v>
      </c>
      <c r="G2237" t="s">
        <v>5810</v>
      </c>
      <c r="H2237" s="117" t="s">
        <v>5811</v>
      </c>
      <c r="I2237">
        <v>1</v>
      </c>
      <c r="J2237" s="69">
        <v>3</v>
      </c>
      <c r="K2237" s="87">
        <v>2</v>
      </c>
      <c r="L2237" s="8">
        <v>999</v>
      </c>
      <c r="M2237" s="8">
        <v>0</v>
      </c>
      <c r="N2237" s="8">
        <v>1</v>
      </c>
      <c r="O2237" s="88" t="s">
        <v>301</v>
      </c>
      <c r="R2237" s="8"/>
      <c r="S2237" s="89">
        <v>0</v>
      </c>
      <c r="T2237" s="8">
        <v>5</v>
      </c>
      <c r="U2237" s="89">
        <v>1</v>
      </c>
      <c r="V2237" s="87">
        <v>1</v>
      </c>
      <c r="W2237">
        <v>1</v>
      </c>
      <c r="X2237" s="8">
        <v>1</v>
      </c>
      <c r="Y2237">
        <v>0</v>
      </c>
      <c r="Z2237" s="33">
        <v>0</v>
      </c>
      <c r="AA2237">
        <v>5</v>
      </c>
      <c r="AB2237">
        <v>100</v>
      </c>
      <c r="AC2237" s="87">
        <v>51</v>
      </c>
      <c r="AE2237" s="90">
        <v>4</v>
      </c>
      <c r="AF2237" s="90">
        <v>2</v>
      </c>
      <c r="AG2237" s="91"/>
      <c r="AH2237" s="91"/>
      <c r="AI2237" s="91"/>
      <c r="AJ2237" s="91"/>
      <c r="AK2237" s="91"/>
      <c r="AL2237" s="92"/>
      <c r="AM2237" s="92"/>
      <c r="AN2237" s="93"/>
      <c r="AO2237" s="92"/>
      <c r="AP2237" s="86"/>
      <c r="AQ2237" t="s">
        <v>298</v>
      </c>
      <c r="AS2237">
        <v>1</v>
      </c>
    </row>
    <row r="2238" ht="14.25" customHeight="1" spans="1:45">
      <c r="A2238">
        <v>511269</v>
      </c>
      <c r="B2238" s="8">
        <v>1001</v>
      </c>
      <c r="C2238" s="8">
        <v>6</v>
      </c>
      <c r="D2238" s="8">
        <v>1001</v>
      </c>
      <c r="E2238" t="s">
        <v>5812</v>
      </c>
      <c r="F2238" t="s">
        <v>5812</v>
      </c>
      <c r="G2238" t="s">
        <v>5813</v>
      </c>
      <c r="H2238" s="117" t="s">
        <v>5814</v>
      </c>
      <c r="I2238">
        <v>1</v>
      </c>
      <c r="J2238" s="69">
        <v>4</v>
      </c>
      <c r="K2238" s="87">
        <v>2</v>
      </c>
      <c r="L2238" s="8">
        <v>999</v>
      </c>
      <c r="M2238" s="8">
        <v>0</v>
      </c>
      <c r="N2238" s="8">
        <v>1</v>
      </c>
      <c r="O2238" s="88" t="s">
        <v>5815</v>
      </c>
      <c r="R2238" s="8"/>
      <c r="S2238" s="89">
        <v>0</v>
      </c>
      <c r="T2238" s="8">
        <v>5</v>
      </c>
      <c r="U2238" s="89">
        <v>1</v>
      </c>
      <c r="V2238" s="87">
        <v>1</v>
      </c>
      <c r="W2238">
        <v>1</v>
      </c>
      <c r="X2238" s="8">
        <v>1</v>
      </c>
      <c r="Y2238">
        <v>0</v>
      </c>
      <c r="Z2238" s="33">
        <v>0</v>
      </c>
      <c r="AA2238">
        <v>5</v>
      </c>
      <c r="AB2238">
        <v>100</v>
      </c>
      <c r="AC2238" s="87">
        <v>51</v>
      </c>
      <c r="AE2238" s="90">
        <v>4</v>
      </c>
      <c r="AF2238" s="90">
        <v>2</v>
      </c>
      <c r="AG2238" s="91"/>
      <c r="AH2238" s="91"/>
      <c r="AI2238" s="91"/>
      <c r="AJ2238" s="91"/>
      <c r="AK2238" s="91"/>
      <c r="AL2238" s="92"/>
      <c r="AM2238" s="92"/>
      <c r="AN2238" s="93"/>
      <c r="AO2238" s="92"/>
      <c r="AP2238" s="86"/>
      <c r="AQ2238" t="s">
        <v>298</v>
      </c>
      <c r="AS2238">
        <v>1</v>
      </c>
    </row>
    <row r="2239" ht="14.25" customHeight="1" spans="1:45">
      <c r="A2239">
        <v>511270</v>
      </c>
      <c r="B2239" s="8">
        <v>1001</v>
      </c>
      <c r="C2239" s="8">
        <v>6</v>
      </c>
      <c r="D2239" s="236">
        <v>1001</v>
      </c>
      <c r="E2239" t="s">
        <v>5816</v>
      </c>
      <c r="F2239" t="s">
        <v>5816</v>
      </c>
      <c r="G2239" t="s">
        <v>5817</v>
      </c>
      <c r="H2239" s="117" t="s">
        <v>5818</v>
      </c>
      <c r="I2239">
        <v>1</v>
      </c>
      <c r="J2239" s="69">
        <v>5</v>
      </c>
      <c r="K2239" s="248">
        <v>2</v>
      </c>
      <c r="L2239" s="8">
        <v>999</v>
      </c>
      <c r="M2239" s="8">
        <v>0</v>
      </c>
      <c r="N2239" s="236">
        <v>1</v>
      </c>
      <c r="O2239" s="257" t="s">
        <v>5819</v>
      </c>
      <c r="R2239" s="236"/>
      <c r="S2239" s="336">
        <v>0</v>
      </c>
      <c r="T2239" s="8">
        <v>5</v>
      </c>
      <c r="U2239" s="89">
        <v>1</v>
      </c>
      <c r="V2239" s="87">
        <v>1</v>
      </c>
      <c r="W2239">
        <v>1</v>
      </c>
      <c r="X2239" s="8">
        <v>1</v>
      </c>
      <c r="Y2239" s="238">
        <v>0</v>
      </c>
      <c r="Z2239" s="33">
        <v>0</v>
      </c>
      <c r="AA2239">
        <v>5</v>
      </c>
      <c r="AB2239">
        <v>100</v>
      </c>
      <c r="AC2239" s="87">
        <v>51</v>
      </c>
      <c r="AE2239" s="250">
        <v>4</v>
      </c>
      <c r="AF2239" s="250">
        <v>2</v>
      </c>
      <c r="AG2239" s="251"/>
      <c r="AH2239" s="251"/>
      <c r="AI2239" s="251"/>
      <c r="AJ2239" s="251"/>
      <c r="AK2239" s="251"/>
      <c r="AL2239" s="252"/>
      <c r="AM2239" s="252"/>
      <c r="AN2239" s="338"/>
      <c r="AO2239" s="252"/>
      <c r="AP2239" s="86"/>
      <c r="AQ2239" t="s">
        <v>298</v>
      </c>
      <c r="AS2239">
        <v>1</v>
      </c>
    </row>
    <row r="2240" spans="1:45">
      <c r="A2240">
        <v>511271</v>
      </c>
      <c r="B2240" s="425">
        <v>1001</v>
      </c>
      <c r="C2240" s="425">
        <v>6</v>
      </c>
      <c r="D2240">
        <v>1001</v>
      </c>
      <c r="E2240" t="s">
        <v>5820</v>
      </c>
      <c r="F2240" t="s">
        <v>5820</v>
      </c>
      <c r="G2240" t="s">
        <v>5821</v>
      </c>
      <c r="H2240" s="117" t="s">
        <v>1912</v>
      </c>
      <c r="I2240">
        <v>1</v>
      </c>
      <c r="J2240" s="69">
        <v>3</v>
      </c>
      <c r="K2240" s="33">
        <v>2</v>
      </c>
      <c r="L2240" s="8">
        <v>999</v>
      </c>
      <c r="M2240" s="8">
        <v>0</v>
      </c>
      <c r="N2240">
        <v>1017</v>
      </c>
      <c r="O2240" s="249">
        <v>80007</v>
      </c>
      <c r="S2240" s="33">
        <v>0</v>
      </c>
      <c r="T2240" s="8">
        <v>5</v>
      </c>
      <c r="U2240" s="89">
        <v>1</v>
      </c>
      <c r="V2240" s="87">
        <v>1</v>
      </c>
      <c r="W2240">
        <v>1</v>
      </c>
      <c r="X2240" s="8">
        <v>1</v>
      </c>
      <c r="Y2240" s="8">
        <v>0</v>
      </c>
      <c r="Z2240" s="33">
        <v>0</v>
      </c>
      <c r="AA2240">
        <v>5</v>
      </c>
      <c r="AB2240" s="34">
        <v>100</v>
      </c>
      <c r="AC2240" s="87">
        <v>65</v>
      </c>
      <c r="AD2240" s="62">
        <v>0</v>
      </c>
      <c r="AE2240" s="62">
        <v>4</v>
      </c>
      <c r="AF2240" s="62">
        <v>2</v>
      </c>
      <c r="AS2240">
        <v>1</v>
      </c>
    </row>
    <row r="2241" spans="1:45">
      <c r="A2241">
        <v>511272</v>
      </c>
      <c r="B2241" s="425">
        <v>1001</v>
      </c>
      <c r="C2241" s="425">
        <v>6</v>
      </c>
      <c r="D2241">
        <v>1001</v>
      </c>
      <c r="E2241" t="s">
        <v>5822</v>
      </c>
      <c r="F2241" t="s">
        <v>5822</v>
      </c>
      <c r="G2241" t="s">
        <v>5823</v>
      </c>
      <c r="H2241" s="117" t="s">
        <v>1919</v>
      </c>
      <c r="I2241">
        <v>1</v>
      </c>
      <c r="J2241" s="69">
        <v>4</v>
      </c>
      <c r="K2241" s="33">
        <v>2</v>
      </c>
      <c r="L2241" s="8">
        <v>999</v>
      </c>
      <c r="M2241" s="8">
        <v>0</v>
      </c>
      <c r="N2241">
        <v>1017</v>
      </c>
      <c r="O2241" s="249">
        <v>80008</v>
      </c>
      <c r="S2241" s="33">
        <v>0</v>
      </c>
      <c r="T2241" s="8">
        <v>5</v>
      </c>
      <c r="U2241" s="89">
        <v>1</v>
      </c>
      <c r="V2241" s="87">
        <v>1</v>
      </c>
      <c r="W2241">
        <v>1</v>
      </c>
      <c r="X2241" s="8">
        <v>1</v>
      </c>
      <c r="Y2241" s="8">
        <v>0</v>
      </c>
      <c r="Z2241" s="33">
        <v>0</v>
      </c>
      <c r="AA2241">
        <v>5</v>
      </c>
      <c r="AB2241" s="34">
        <v>100</v>
      </c>
      <c r="AC2241" s="87">
        <v>65</v>
      </c>
      <c r="AD2241" s="62">
        <v>0</v>
      </c>
      <c r="AE2241" s="62">
        <v>4</v>
      </c>
      <c r="AF2241" s="62">
        <v>2</v>
      </c>
      <c r="AS2241">
        <v>1</v>
      </c>
    </row>
    <row r="2242" spans="1:45">
      <c r="A2242">
        <v>511273</v>
      </c>
      <c r="B2242" s="425">
        <v>1001</v>
      </c>
      <c r="C2242" s="425">
        <v>6</v>
      </c>
      <c r="D2242">
        <v>1001</v>
      </c>
      <c r="E2242" t="s">
        <v>5824</v>
      </c>
      <c r="F2242" t="s">
        <v>5824</v>
      </c>
      <c r="G2242" t="s">
        <v>5825</v>
      </c>
      <c r="H2242" s="117" t="s">
        <v>1531</v>
      </c>
      <c r="I2242">
        <v>1</v>
      </c>
      <c r="J2242" s="69">
        <v>5</v>
      </c>
      <c r="K2242" s="33">
        <v>2</v>
      </c>
      <c r="L2242" s="8">
        <v>999</v>
      </c>
      <c r="M2242" s="8">
        <v>0</v>
      </c>
      <c r="N2242">
        <v>1017</v>
      </c>
      <c r="O2242" s="249">
        <v>80009</v>
      </c>
      <c r="S2242" s="33">
        <v>0</v>
      </c>
      <c r="T2242" s="8">
        <v>5</v>
      </c>
      <c r="U2242" s="89">
        <v>1</v>
      </c>
      <c r="V2242" s="87">
        <v>1</v>
      </c>
      <c r="W2242">
        <v>1</v>
      </c>
      <c r="X2242" s="8">
        <v>1</v>
      </c>
      <c r="Y2242" s="8">
        <v>0</v>
      </c>
      <c r="Z2242" s="33">
        <v>0</v>
      </c>
      <c r="AA2242">
        <v>5</v>
      </c>
      <c r="AB2242" s="34">
        <v>100</v>
      </c>
      <c r="AC2242" s="87">
        <v>65</v>
      </c>
      <c r="AD2242" s="62">
        <v>0</v>
      </c>
      <c r="AE2242" s="62">
        <v>4</v>
      </c>
      <c r="AF2242" s="62">
        <v>2</v>
      </c>
      <c r="AS2242">
        <v>1</v>
      </c>
    </row>
    <row r="2243" spans="1:45">
      <c r="A2243">
        <v>511274</v>
      </c>
      <c r="B2243" s="425">
        <v>1001</v>
      </c>
      <c r="C2243" s="425">
        <v>6</v>
      </c>
      <c r="D2243">
        <v>1001</v>
      </c>
      <c r="E2243" t="s">
        <v>5826</v>
      </c>
      <c r="F2243" t="s">
        <v>5826</v>
      </c>
      <c r="G2243" t="s">
        <v>5827</v>
      </c>
      <c r="H2243" s="117" t="s">
        <v>5828</v>
      </c>
      <c r="I2243">
        <v>1</v>
      </c>
      <c r="J2243" s="69">
        <v>3</v>
      </c>
      <c r="K2243" s="33">
        <v>2</v>
      </c>
      <c r="L2243" s="8">
        <v>999</v>
      </c>
      <c r="M2243" s="8">
        <v>0</v>
      </c>
      <c r="N2243">
        <v>1017</v>
      </c>
      <c r="O2243" s="249">
        <v>80010</v>
      </c>
      <c r="S2243" s="33">
        <v>0</v>
      </c>
      <c r="T2243" s="8">
        <v>5</v>
      </c>
      <c r="U2243" s="89">
        <v>1</v>
      </c>
      <c r="V2243" s="87">
        <v>1</v>
      </c>
      <c r="W2243">
        <v>1</v>
      </c>
      <c r="X2243" s="8">
        <v>1</v>
      </c>
      <c r="Y2243" s="8">
        <v>0</v>
      </c>
      <c r="Z2243" s="33">
        <v>0</v>
      </c>
      <c r="AA2243">
        <v>5</v>
      </c>
      <c r="AB2243" s="34">
        <v>100</v>
      </c>
      <c r="AC2243" s="87">
        <v>65</v>
      </c>
      <c r="AD2243" s="62">
        <v>0</v>
      </c>
      <c r="AE2243" s="62">
        <v>4</v>
      </c>
      <c r="AF2243" s="62">
        <v>2</v>
      </c>
      <c r="AS2243">
        <v>1</v>
      </c>
    </row>
    <row r="2244" spans="1:45">
      <c r="A2244">
        <v>511275</v>
      </c>
      <c r="B2244" s="425">
        <v>1001</v>
      </c>
      <c r="C2244" s="425">
        <v>6</v>
      </c>
      <c r="D2244">
        <v>1001</v>
      </c>
      <c r="E2244" t="s">
        <v>5829</v>
      </c>
      <c r="F2244" t="s">
        <v>5829</v>
      </c>
      <c r="G2244" t="s">
        <v>5830</v>
      </c>
      <c r="H2244" s="117" t="s">
        <v>5831</v>
      </c>
      <c r="I2244">
        <v>1</v>
      </c>
      <c r="J2244" s="69">
        <v>4</v>
      </c>
      <c r="K2244" s="33">
        <v>2</v>
      </c>
      <c r="L2244" s="8">
        <v>999</v>
      </c>
      <c r="M2244" s="8">
        <v>0</v>
      </c>
      <c r="N2244">
        <v>1017</v>
      </c>
      <c r="O2244" s="249">
        <v>80011</v>
      </c>
      <c r="S2244" s="33">
        <v>0</v>
      </c>
      <c r="T2244" s="8">
        <v>5</v>
      </c>
      <c r="U2244" s="89">
        <v>1</v>
      </c>
      <c r="V2244" s="87">
        <v>1</v>
      </c>
      <c r="W2244">
        <v>1</v>
      </c>
      <c r="X2244" s="8">
        <v>1</v>
      </c>
      <c r="Y2244" s="8">
        <v>0</v>
      </c>
      <c r="Z2244" s="33">
        <v>0</v>
      </c>
      <c r="AA2244">
        <v>5</v>
      </c>
      <c r="AB2244" s="34">
        <v>100</v>
      </c>
      <c r="AC2244" s="87">
        <v>65</v>
      </c>
      <c r="AD2244" s="62">
        <v>0</v>
      </c>
      <c r="AE2244" s="62">
        <v>4</v>
      </c>
      <c r="AF2244" s="62">
        <v>2</v>
      </c>
      <c r="AS2244">
        <v>1</v>
      </c>
    </row>
    <row r="2245" spans="1:45">
      <c r="A2245">
        <v>511276</v>
      </c>
      <c r="B2245" s="425">
        <v>1001</v>
      </c>
      <c r="C2245" s="425">
        <v>6</v>
      </c>
      <c r="D2245">
        <v>1001</v>
      </c>
      <c r="E2245" t="s">
        <v>5832</v>
      </c>
      <c r="F2245" t="s">
        <v>5832</v>
      </c>
      <c r="G2245" t="s">
        <v>5833</v>
      </c>
      <c r="H2245" s="117" t="s">
        <v>5834</v>
      </c>
      <c r="I2245">
        <v>1</v>
      </c>
      <c r="J2245" s="69">
        <v>5</v>
      </c>
      <c r="K2245" s="33">
        <v>2</v>
      </c>
      <c r="L2245" s="8">
        <v>999</v>
      </c>
      <c r="M2245" s="8">
        <v>0</v>
      </c>
      <c r="N2245">
        <v>1017</v>
      </c>
      <c r="O2245" s="249">
        <v>80012</v>
      </c>
      <c r="S2245" s="33">
        <v>0</v>
      </c>
      <c r="T2245" s="8">
        <v>5</v>
      </c>
      <c r="U2245" s="89">
        <v>1</v>
      </c>
      <c r="V2245" s="87">
        <v>1</v>
      </c>
      <c r="W2245">
        <v>1</v>
      </c>
      <c r="X2245" s="8">
        <v>1</v>
      </c>
      <c r="Y2245" s="8">
        <v>0</v>
      </c>
      <c r="Z2245" s="33">
        <v>0</v>
      </c>
      <c r="AA2245">
        <v>5</v>
      </c>
      <c r="AB2245" s="34">
        <v>100</v>
      </c>
      <c r="AC2245" s="87">
        <v>65</v>
      </c>
      <c r="AD2245" s="62">
        <v>0</v>
      </c>
      <c r="AE2245" s="62">
        <v>4</v>
      </c>
      <c r="AF2245" s="62">
        <v>2</v>
      </c>
      <c r="AS2245">
        <v>1</v>
      </c>
    </row>
    <row r="2246" spans="1:45">
      <c r="A2246">
        <v>511277</v>
      </c>
      <c r="B2246" s="425">
        <v>1001</v>
      </c>
      <c r="C2246" s="425">
        <v>6</v>
      </c>
      <c r="D2246">
        <v>1001</v>
      </c>
      <c r="E2246" t="s">
        <v>5835</v>
      </c>
      <c r="F2246" t="s">
        <v>5835</v>
      </c>
      <c r="G2246" t="s">
        <v>5836</v>
      </c>
      <c r="H2246" s="117" t="s">
        <v>5837</v>
      </c>
      <c r="I2246">
        <v>1</v>
      </c>
      <c r="J2246" s="69">
        <v>3</v>
      </c>
      <c r="K2246" s="33">
        <v>2</v>
      </c>
      <c r="L2246" s="8">
        <v>999</v>
      </c>
      <c r="M2246" s="8">
        <v>0</v>
      </c>
      <c r="N2246">
        <v>1017</v>
      </c>
      <c r="O2246" s="249">
        <v>80013</v>
      </c>
      <c r="S2246" s="33">
        <v>0</v>
      </c>
      <c r="T2246" s="8">
        <v>5</v>
      </c>
      <c r="U2246" s="89">
        <v>1</v>
      </c>
      <c r="V2246" s="87">
        <v>1</v>
      </c>
      <c r="W2246">
        <v>1</v>
      </c>
      <c r="X2246" s="8">
        <v>1</v>
      </c>
      <c r="Y2246" s="8">
        <v>0</v>
      </c>
      <c r="Z2246" s="33">
        <v>0</v>
      </c>
      <c r="AA2246">
        <v>5</v>
      </c>
      <c r="AB2246" s="34">
        <v>100</v>
      </c>
      <c r="AC2246" s="87">
        <v>65</v>
      </c>
      <c r="AD2246" s="62">
        <v>0</v>
      </c>
      <c r="AE2246" s="62">
        <v>4</v>
      </c>
      <c r="AF2246" s="62">
        <v>2</v>
      </c>
      <c r="AS2246">
        <v>1</v>
      </c>
    </row>
    <row r="2247" spans="1:45">
      <c r="A2247">
        <v>511278</v>
      </c>
      <c r="B2247" s="425">
        <v>1001</v>
      </c>
      <c r="C2247" s="425">
        <v>6</v>
      </c>
      <c r="D2247">
        <v>1001</v>
      </c>
      <c r="E2247" t="s">
        <v>5838</v>
      </c>
      <c r="F2247" t="s">
        <v>5838</v>
      </c>
      <c r="G2247" t="s">
        <v>5836</v>
      </c>
      <c r="H2247" s="117" t="s">
        <v>5839</v>
      </c>
      <c r="I2247">
        <v>1</v>
      </c>
      <c r="J2247" s="69">
        <v>4</v>
      </c>
      <c r="K2247" s="33">
        <v>2</v>
      </c>
      <c r="L2247" s="8">
        <v>999</v>
      </c>
      <c r="M2247" s="8">
        <v>0</v>
      </c>
      <c r="N2247">
        <v>1017</v>
      </c>
      <c r="O2247" s="249">
        <v>80014</v>
      </c>
      <c r="S2247" s="33">
        <v>0</v>
      </c>
      <c r="T2247" s="8">
        <v>5</v>
      </c>
      <c r="U2247" s="89">
        <v>1</v>
      </c>
      <c r="V2247" s="87">
        <v>1</v>
      </c>
      <c r="W2247">
        <v>1</v>
      </c>
      <c r="X2247" s="8">
        <v>1</v>
      </c>
      <c r="Y2247" s="8">
        <v>0</v>
      </c>
      <c r="Z2247" s="33">
        <v>0</v>
      </c>
      <c r="AA2247">
        <v>5</v>
      </c>
      <c r="AB2247" s="34">
        <v>100</v>
      </c>
      <c r="AC2247" s="87">
        <v>65</v>
      </c>
      <c r="AD2247" s="62">
        <v>0</v>
      </c>
      <c r="AE2247" s="62">
        <v>4</v>
      </c>
      <c r="AF2247" s="62">
        <v>2</v>
      </c>
      <c r="AS2247">
        <v>1</v>
      </c>
    </row>
    <row r="2248" spans="1:45">
      <c r="A2248">
        <v>511279</v>
      </c>
      <c r="B2248" s="425">
        <v>1001</v>
      </c>
      <c r="C2248" s="425">
        <v>6</v>
      </c>
      <c r="D2248">
        <v>1001</v>
      </c>
      <c r="E2248" t="s">
        <v>5840</v>
      </c>
      <c r="F2248" t="s">
        <v>5840</v>
      </c>
      <c r="G2248" t="s">
        <v>5836</v>
      </c>
      <c r="H2248" s="117" t="s">
        <v>5841</v>
      </c>
      <c r="I2248">
        <v>1</v>
      </c>
      <c r="J2248" s="69">
        <v>5</v>
      </c>
      <c r="K2248" s="33">
        <v>2</v>
      </c>
      <c r="L2248" s="8">
        <v>999</v>
      </c>
      <c r="M2248" s="8">
        <v>0</v>
      </c>
      <c r="N2248">
        <v>1017</v>
      </c>
      <c r="O2248" s="249">
        <v>80015</v>
      </c>
      <c r="S2248" s="33">
        <v>0</v>
      </c>
      <c r="T2248" s="8">
        <v>5</v>
      </c>
      <c r="U2248" s="89">
        <v>1</v>
      </c>
      <c r="V2248" s="87">
        <v>1</v>
      </c>
      <c r="W2248">
        <v>1</v>
      </c>
      <c r="X2248" s="8">
        <v>1</v>
      </c>
      <c r="Y2248" s="8">
        <v>0</v>
      </c>
      <c r="Z2248" s="33">
        <v>0</v>
      </c>
      <c r="AA2248">
        <v>5</v>
      </c>
      <c r="AB2248" s="34">
        <v>100</v>
      </c>
      <c r="AC2248" s="87">
        <v>65</v>
      </c>
      <c r="AD2248" s="62">
        <v>0</v>
      </c>
      <c r="AE2248" s="62">
        <v>4</v>
      </c>
      <c r="AF2248" s="62">
        <v>2</v>
      </c>
      <c r="AS2248">
        <v>1</v>
      </c>
    </row>
    <row r="2249" spans="1:45">
      <c r="A2249">
        <v>511280</v>
      </c>
      <c r="B2249" s="425">
        <v>1001</v>
      </c>
      <c r="C2249" s="425">
        <v>6</v>
      </c>
      <c r="D2249">
        <v>1001</v>
      </c>
      <c r="E2249" t="s">
        <v>5842</v>
      </c>
      <c r="F2249" t="s">
        <v>5842</v>
      </c>
      <c r="G2249" t="s">
        <v>5843</v>
      </c>
      <c r="H2249" s="117" t="s">
        <v>5844</v>
      </c>
      <c r="I2249">
        <v>1</v>
      </c>
      <c r="J2249" s="69">
        <v>3</v>
      </c>
      <c r="K2249" s="33">
        <v>2</v>
      </c>
      <c r="L2249" s="8">
        <v>999</v>
      </c>
      <c r="M2249" s="8">
        <v>0</v>
      </c>
      <c r="N2249">
        <v>1017</v>
      </c>
      <c r="O2249" s="249">
        <v>80024</v>
      </c>
      <c r="S2249" s="33">
        <v>0</v>
      </c>
      <c r="T2249" s="8">
        <v>5</v>
      </c>
      <c r="U2249" s="89">
        <v>1</v>
      </c>
      <c r="V2249" s="87">
        <v>1</v>
      </c>
      <c r="W2249">
        <v>1</v>
      </c>
      <c r="X2249" s="8">
        <v>1</v>
      </c>
      <c r="Y2249" s="8">
        <v>0</v>
      </c>
      <c r="Z2249" s="33">
        <v>0</v>
      </c>
      <c r="AA2249">
        <v>5</v>
      </c>
      <c r="AB2249" s="34">
        <v>100</v>
      </c>
      <c r="AC2249" s="87">
        <v>65</v>
      </c>
      <c r="AD2249" s="62">
        <v>0</v>
      </c>
      <c r="AE2249" s="62">
        <v>4</v>
      </c>
      <c r="AF2249" s="62">
        <v>2</v>
      </c>
      <c r="AS2249">
        <v>1</v>
      </c>
    </row>
    <row r="2250" spans="1:45">
      <c r="A2250">
        <v>511281</v>
      </c>
      <c r="B2250" s="425">
        <v>1001</v>
      </c>
      <c r="C2250" s="425">
        <v>6</v>
      </c>
      <c r="D2250">
        <v>1001</v>
      </c>
      <c r="E2250" t="s">
        <v>5845</v>
      </c>
      <c r="F2250" t="s">
        <v>5845</v>
      </c>
      <c r="G2250" t="s">
        <v>5843</v>
      </c>
      <c r="H2250" s="117" t="s">
        <v>5846</v>
      </c>
      <c r="I2250">
        <v>1</v>
      </c>
      <c r="J2250" s="69">
        <v>4</v>
      </c>
      <c r="K2250" s="33">
        <v>2</v>
      </c>
      <c r="L2250" s="8">
        <v>999</v>
      </c>
      <c r="M2250" s="8">
        <v>0</v>
      </c>
      <c r="N2250">
        <v>1017</v>
      </c>
      <c r="O2250" s="249">
        <v>80025</v>
      </c>
      <c r="S2250" s="33">
        <v>0</v>
      </c>
      <c r="T2250" s="8">
        <v>5</v>
      </c>
      <c r="U2250" s="89">
        <v>1</v>
      </c>
      <c r="V2250" s="87">
        <v>1</v>
      </c>
      <c r="W2250">
        <v>1</v>
      </c>
      <c r="X2250" s="8">
        <v>1</v>
      </c>
      <c r="Y2250" s="8">
        <v>0</v>
      </c>
      <c r="Z2250" s="33">
        <v>0</v>
      </c>
      <c r="AA2250">
        <v>5</v>
      </c>
      <c r="AB2250" s="34">
        <v>100</v>
      </c>
      <c r="AC2250" s="87">
        <v>65</v>
      </c>
      <c r="AD2250" s="62">
        <v>0</v>
      </c>
      <c r="AE2250" s="62">
        <v>4</v>
      </c>
      <c r="AF2250" s="62">
        <v>2</v>
      </c>
      <c r="AS2250">
        <v>1</v>
      </c>
    </row>
    <row r="2251" spans="1:45">
      <c r="A2251">
        <v>511282</v>
      </c>
      <c r="B2251" s="425">
        <v>1001</v>
      </c>
      <c r="C2251" s="425">
        <v>6</v>
      </c>
      <c r="D2251">
        <v>1001</v>
      </c>
      <c r="E2251" t="s">
        <v>5847</v>
      </c>
      <c r="F2251" t="s">
        <v>5847</v>
      </c>
      <c r="G2251" t="s">
        <v>5843</v>
      </c>
      <c r="H2251" s="117" t="s">
        <v>5848</v>
      </c>
      <c r="I2251">
        <v>1</v>
      </c>
      <c r="J2251" s="69">
        <v>5</v>
      </c>
      <c r="K2251" s="33">
        <v>2</v>
      </c>
      <c r="L2251" s="8">
        <v>999</v>
      </c>
      <c r="M2251" s="8">
        <v>0</v>
      </c>
      <c r="N2251">
        <v>1017</v>
      </c>
      <c r="O2251" s="249">
        <v>80026</v>
      </c>
      <c r="S2251" s="33">
        <v>0</v>
      </c>
      <c r="T2251" s="8">
        <v>5</v>
      </c>
      <c r="U2251" s="89">
        <v>1</v>
      </c>
      <c r="V2251" s="87">
        <v>1</v>
      </c>
      <c r="W2251">
        <v>1</v>
      </c>
      <c r="X2251" s="8">
        <v>1</v>
      </c>
      <c r="Y2251" s="8">
        <v>0</v>
      </c>
      <c r="Z2251" s="33">
        <v>0</v>
      </c>
      <c r="AA2251">
        <v>5</v>
      </c>
      <c r="AB2251" s="34">
        <v>100</v>
      </c>
      <c r="AC2251" s="87">
        <v>65</v>
      </c>
      <c r="AD2251" s="62">
        <v>0</v>
      </c>
      <c r="AE2251" s="62">
        <v>4</v>
      </c>
      <c r="AF2251" s="62">
        <v>2</v>
      </c>
      <c r="AS2251">
        <v>1</v>
      </c>
    </row>
    <row r="2252" spans="1:45">
      <c r="A2252">
        <v>511283</v>
      </c>
      <c r="B2252" s="425">
        <v>1001</v>
      </c>
      <c r="C2252" s="425">
        <v>2</v>
      </c>
      <c r="D2252">
        <v>1001</v>
      </c>
      <c r="E2252" t="s">
        <v>5849</v>
      </c>
      <c r="F2252" t="s">
        <v>5849</v>
      </c>
      <c r="G2252" t="s">
        <v>5850</v>
      </c>
      <c r="H2252" t="s">
        <v>2557</v>
      </c>
      <c r="I2252">
        <v>1</v>
      </c>
      <c r="J2252" s="69">
        <v>5</v>
      </c>
      <c r="K2252" s="33">
        <v>2</v>
      </c>
      <c r="L2252" s="236">
        <v>999</v>
      </c>
      <c r="M2252" s="236">
        <v>0</v>
      </c>
      <c r="O2252" s="249"/>
      <c r="S2252" s="33">
        <v>0</v>
      </c>
      <c r="T2252" s="236">
        <v>5</v>
      </c>
      <c r="U2252" s="336">
        <v>1</v>
      </c>
      <c r="V2252" s="248">
        <v>1</v>
      </c>
      <c r="W2252">
        <v>1</v>
      </c>
      <c r="X2252" s="236">
        <v>1</v>
      </c>
      <c r="Y2252" s="236">
        <v>0</v>
      </c>
      <c r="Z2252" s="33">
        <v>0</v>
      </c>
      <c r="AA2252">
        <v>5</v>
      </c>
      <c r="AB2252" s="34">
        <v>100</v>
      </c>
      <c r="AC2252" s="248">
        <v>65</v>
      </c>
      <c r="AD2252" s="62">
        <v>0</v>
      </c>
      <c r="AE2252" s="62">
        <v>4</v>
      </c>
      <c r="AF2252" s="62">
        <v>2</v>
      </c>
      <c r="AG2252" s="430"/>
      <c r="AH2252" s="430"/>
      <c r="AI2252" s="430"/>
      <c r="AJ2252" s="430"/>
      <c r="AK2252" s="430"/>
      <c r="AL2252" s="214"/>
      <c r="AM2252" s="214"/>
      <c r="AN2252" s="431"/>
      <c r="AO2252" s="214"/>
      <c r="AP2252" s="214"/>
      <c r="AQ2252"/>
      <c r="AS2252">
        <v>1</v>
      </c>
    </row>
    <row r="2253" spans="1:45">
      <c r="A2253">
        <v>511284</v>
      </c>
      <c r="B2253" s="425">
        <v>1001</v>
      </c>
      <c r="C2253" s="425">
        <v>1</v>
      </c>
      <c r="D2253">
        <v>3</v>
      </c>
      <c r="E2253" t="s">
        <v>5851</v>
      </c>
      <c r="F2253" t="s">
        <v>5851</v>
      </c>
      <c r="G2253" t="s">
        <v>5852</v>
      </c>
      <c r="H2253" t="s">
        <v>2177</v>
      </c>
      <c r="I2253">
        <v>1</v>
      </c>
      <c r="J2253" s="69">
        <v>2</v>
      </c>
      <c r="K2253" s="33">
        <v>1</v>
      </c>
      <c r="L2253" s="238">
        <v>999</v>
      </c>
      <c r="M2253">
        <v>0</v>
      </c>
      <c r="S2253" s="33">
        <v>0</v>
      </c>
      <c r="T2253" s="238">
        <v>5</v>
      </c>
      <c r="U2253" s="238">
        <v>110</v>
      </c>
      <c r="V2253" s="33">
        <v>1</v>
      </c>
      <c r="W2253">
        <v>1</v>
      </c>
      <c r="X2253">
        <v>1</v>
      </c>
      <c r="Y2253" s="238">
        <v>0</v>
      </c>
      <c r="Z2253" s="33">
        <v>0</v>
      </c>
      <c r="AA2253" s="238">
        <v>5</v>
      </c>
      <c r="AB2253">
        <v>4180</v>
      </c>
      <c r="AC2253">
        <v>0</v>
      </c>
      <c r="AD2253" s="12">
        <v>0</v>
      </c>
      <c r="AE2253" s="12">
        <v>0</v>
      </c>
      <c r="AF2253" s="12">
        <v>0</v>
      </c>
      <c r="AG2253" s="430"/>
      <c r="AH2253" s="430">
        <v>1</v>
      </c>
      <c r="AI2253" s="430"/>
      <c r="AJ2253" s="430"/>
      <c r="AK2253" s="430"/>
      <c r="AL2253" s="214">
        <v>1</v>
      </c>
      <c r="AM2253" s="214"/>
      <c r="AN2253" s="431"/>
      <c r="AO2253" s="214"/>
      <c r="AP2253" s="214"/>
      <c r="AQ2253" t="s">
        <v>5851</v>
      </c>
      <c r="AS2253">
        <v>1</v>
      </c>
    </row>
    <row r="2254" spans="1:45">
      <c r="A2254">
        <v>511285</v>
      </c>
      <c r="B2254" s="425">
        <v>1001</v>
      </c>
      <c r="C2254" s="425">
        <v>1</v>
      </c>
      <c r="D2254">
        <v>3</v>
      </c>
      <c r="E2254" t="s">
        <v>5853</v>
      </c>
      <c r="F2254" t="s">
        <v>5853</v>
      </c>
      <c r="G2254" t="s">
        <v>5854</v>
      </c>
      <c r="H2254" t="s">
        <v>1296</v>
      </c>
      <c r="I2254">
        <v>1</v>
      </c>
      <c r="J2254" s="69">
        <v>2</v>
      </c>
      <c r="K2254" s="33">
        <v>1</v>
      </c>
      <c r="L2254" s="8">
        <v>999</v>
      </c>
      <c r="M2254">
        <v>0</v>
      </c>
      <c r="S2254" s="33">
        <v>0</v>
      </c>
      <c r="T2254" s="8">
        <v>5</v>
      </c>
      <c r="U2254" s="89">
        <v>110</v>
      </c>
      <c r="V2254" s="33">
        <v>1</v>
      </c>
      <c r="W2254">
        <v>1</v>
      </c>
      <c r="X2254">
        <v>1</v>
      </c>
      <c r="Y2254" s="8">
        <v>0</v>
      </c>
      <c r="Z2254" s="33">
        <v>0</v>
      </c>
      <c r="AA2254" s="8">
        <v>5</v>
      </c>
      <c r="AB2254">
        <v>4180</v>
      </c>
      <c r="AC2254">
        <v>0</v>
      </c>
      <c r="AD2254" s="62">
        <v>0</v>
      </c>
      <c r="AE2254" s="62">
        <v>0</v>
      </c>
      <c r="AF2254" s="62">
        <v>0</v>
      </c>
      <c r="AH2254" s="63">
        <v>1</v>
      </c>
      <c r="AL2254" s="64">
        <v>1</v>
      </c>
      <c r="AQ2254" t="s">
        <v>5853</v>
      </c>
      <c r="AS2254">
        <v>1</v>
      </c>
    </row>
    <row r="2255" spans="1:45">
      <c r="A2255">
        <v>511286</v>
      </c>
      <c r="B2255" s="425">
        <v>1001</v>
      </c>
      <c r="C2255" s="425">
        <v>1</v>
      </c>
      <c r="D2255">
        <v>3</v>
      </c>
      <c r="E2255" t="s">
        <v>5855</v>
      </c>
      <c r="F2255" t="s">
        <v>5855</v>
      </c>
      <c r="G2255" t="s">
        <v>5856</v>
      </c>
      <c r="H2255" t="s">
        <v>1329</v>
      </c>
      <c r="I2255">
        <v>1</v>
      </c>
      <c r="J2255" s="69">
        <v>2</v>
      </c>
      <c r="K2255" s="33">
        <v>1</v>
      </c>
      <c r="L2255" s="8">
        <v>999</v>
      </c>
      <c r="M2255">
        <v>0</v>
      </c>
      <c r="S2255" s="33">
        <v>0</v>
      </c>
      <c r="T2255" s="8">
        <v>5</v>
      </c>
      <c r="U2255" s="89">
        <v>110</v>
      </c>
      <c r="V2255" s="33">
        <v>1</v>
      </c>
      <c r="W2255">
        <v>1</v>
      </c>
      <c r="X2255">
        <v>1</v>
      </c>
      <c r="Y2255" s="8">
        <v>0</v>
      </c>
      <c r="Z2255" s="33">
        <v>0</v>
      </c>
      <c r="AA2255" s="8">
        <v>5</v>
      </c>
      <c r="AB2255">
        <v>4180</v>
      </c>
      <c r="AC2255">
        <v>0</v>
      </c>
      <c r="AD2255" s="62">
        <v>0</v>
      </c>
      <c r="AE2255" s="62">
        <v>0</v>
      </c>
      <c r="AF2255" s="62">
        <v>0</v>
      </c>
      <c r="AH2255" s="63">
        <v>1</v>
      </c>
      <c r="AL2255" s="64">
        <v>1</v>
      </c>
      <c r="AQ2255" t="s">
        <v>5855</v>
      </c>
      <c r="AS2255">
        <v>1</v>
      </c>
    </row>
    <row r="2256" spans="1:45">
      <c r="A2256">
        <v>511287</v>
      </c>
      <c r="B2256" s="425">
        <v>1001</v>
      </c>
      <c r="C2256" s="425">
        <v>1</v>
      </c>
      <c r="D2256">
        <v>3</v>
      </c>
      <c r="E2256" t="s">
        <v>5857</v>
      </c>
      <c r="F2256" t="s">
        <v>5857</v>
      </c>
      <c r="G2256" t="s">
        <v>5858</v>
      </c>
      <c r="H2256" t="s">
        <v>1301</v>
      </c>
      <c r="I2256">
        <v>1</v>
      </c>
      <c r="J2256" s="69">
        <v>2</v>
      </c>
      <c r="K2256" s="33">
        <v>1</v>
      </c>
      <c r="L2256" s="8">
        <v>999</v>
      </c>
      <c r="M2256">
        <v>0</v>
      </c>
      <c r="S2256" s="33">
        <v>0</v>
      </c>
      <c r="T2256" s="8">
        <v>5</v>
      </c>
      <c r="U2256" s="89">
        <v>110</v>
      </c>
      <c r="V2256" s="33">
        <v>1</v>
      </c>
      <c r="W2256">
        <v>1</v>
      </c>
      <c r="X2256">
        <v>1</v>
      </c>
      <c r="Y2256" s="8">
        <v>0</v>
      </c>
      <c r="Z2256" s="33">
        <v>0</v>
      </c>
      <c r="AA2256" s="8">
        <v>5</v>
      </c>
      <c r="AB2256">
        <v>4180</v>
      </c>
      <c r="AC2256">
        <v>0</v>
      </c>
      <c r="AD2256" s="62">
        <v>0</v>
      </c>
      <c r="AE2256" s="62">
        <v>0</v>
      </c>
      <c r="AF2256" s="62">
        <v>0</v>
      </c>
      <c r="AH2256" s="63">
        <v>1</v>
      </c>
      <c r="AL2256" s="64">
        <v>1</v>
      </c>
      <c r="AQ2256" t="s">
        <v>5857</v>
      </c>
      <c r="AS2256">
        <v>1</v>
      </c>
    </row>
    <row r="2257" spans="1:45">
      <c r="A2257">
        <v>511288</v>
      </c>
      <c r="B2257" s="425">
        <v>1001</v>
      </c>
      <c r="C2257" s="425">
        <v>1</v>
      </c>
      <c r="D2257">
        <v>3</v>
      </c>
      <c r="E2257" t="s">
        <v>5859</v>
      </c>
      <c r="F2257" t="s">
        <v>5859</v>
      </c>
      <c r="G2257" t="s">
        <v>5860</v>
      </c>
      <c r="H2257" t="s">
        <v>1329</v>
      </c>
      <c r="I2257">
        <v>1</v>
      </c>
      <c r="J2257" s="69">
        <v>2</v>
      </c>
      <c r="K2257" s="33">
        <v>1</v>
      </c>
      <c r="L2257" s="8">
        <v>999</v>
      </c>
      <c r="M2257">
        <v>0</v>
      </c>
      <c r="S2257" s="33">
        <v>0</v>
      </c>
      <c r="T2257" s="8">
        <v>5</v>
      </c>
      <c r="U2257" s="89">
        <v>110</v>
      </c>
      <c r="V2257" s="33">
        <v>1</v>
      </c>
      <c r="W2257">
        <v>1</v>
      </c>
      <c r="X2257">
        <v>1</v>
      </c>
      <c r="Y2257" s="8">
        <v>0</v>
      </c>
      <c r="Z2257" s="33">
        <v>0</v>
      </c>
      <c r="AA2257" s="8">
        <v>5</v>
      </c>
      <c r="AB2257">
        <v>4180</v>
      </c>
      <c r="AC2257">
        <v>0</v>
      </c>
      <c r="AD2257" s="62">
        <v>0</v>
      </c>
      <c r="AE2257" s="62">
        <v>0</v>
      </c>
      <c r="AF2257" s="62">
        <v>0</v>
      </c>
      <c r="AH2257" s="63">
        <v>1</v>
      </c>
      <c r="AL2257" s="64">
        <v>1</v>
      </c>
      <c r="AQ2257" t="s">
        <v>5859</v>
      </c>
      <c r="AS2257">
        <v>1</v>
      </c>
    </row>
    <row r="2258" spans="1:45">
      <c r="A2258">
        <v>511289</v>
      </c>
      <c r="B2258" s="425">
        <v>1001</v>
      </c>
      <c r="C2258" s="425">
        <v>1</v>
      </c>
      <c r="D2258">
        <v>3</v>
      </c>
      <c r="E2258" t="s">
        <v>1362</v>
      </c>
      <c r="F2258" t="s">
        <v>1362</v>
      </c>
      <c r="G2258" t="s">
        <v>5861</v>
      </c>
      <c r="H2258" t="s">
        <v>1329</v>
      </c>
      <c r="I2258">
        <v>1</v>
      </c>
      <c r="J2258" s="69">
        <v>2</v>
      </c>
      <c r="K2258" s="33">
        <v>1</v>
      </c>
      <c r="L2258" s="8">
        <v>999</v>
      </c>
      <c r="M2258">
        <v>0</v>
      </c>
      <c r="S2258" s="33">
        <v>0</v>
      </c>
      <c r="T2258" s="8">
        <v>5</v>
      </c>
      <c r="U2258" s="89">
        <v>110</v>
      </c>
      <c r="V2258" s="33">
        <v>1</v>
      </c>
      <c r="W2258">
        <v>1</v>
      </c>
      <c r="X2258">
        <v>1</v>
      </c>
      <c r="Y2258" s="8">
        <v>0</v>
      </c>
      <c r="Z2258" s="33">
        <v>0</v>
      </c>
      <c r="AA2258" s="8">
        <v>5</v>
      </c>
      <c r="AB2258">
        <v>4180</v>
      </c>
      <c r="AC2258">
        <v>0</v>
      </c>
      <c r="AD2258" s="62">
        <v>0</v>
      </c>
      <c r="AE2258" s="62">
        <v>0</v>
      </c>
      <c r="AF2258" s="62">
        <v>0</v>
      </c>
      <c r="AH2258" s="63">
        <v>1</v>
      </c>
      <c r="AL2258" s="64">
        <v>1</v>
      </c>
      <c r="AQ2258" t="s">
        <v>1362</v>
      </c>
      <c r="AS2258">
        <v>1</v>
      </c>
    </row>
    <row r="2259" spans="1:45">
      <c r="A2259">
        <v>511290</v>
      </c>
      <c r="B2259" s="425">
        <v>1001</v>
      </c>
      <c r="C2259" s="425">
        <v>1</v>
      </c>
      <c r="D2259">
        <v>3</v>
      </c>
      <c r="E2259" t="s">
        <v>5862</v>
      </c>
      <c r="F2259" t="s">
        <v>5862</v>
      </c>
      <c r="G2259" t="s">
        <v>5863</v>
      </c>
      <c r="H2259" t="s">
        <v>1296</v>
      </c>
      <c r="I2259">
        <v>1</v>
      </c>
      <c r="J2259" s="69">
        <v>2</v>
      </c>
      <c r="K2259" s="33">
        <v>1</v>
      </c>
      <c r="L2259" s="8">
        <v>999</v>
      </c>
      <c r="M2259">
        <v>0</v>
      </c>
      <c r="S2259" s="33">
        <v>0</v>
      </c>
      <c r="T2259" s="8">
        <v>5</v>
      </c>
      <c r="U2259" s="89">
        <v>110</v>
      </c>
      <c r="V2259" s="33">
        <v>1</v>
      </c>
      <c r="W2259">
        <v>1</v>
      </c>
      <c r="X2259">
        <v>1</v>
      </c>
      <c r="Y2259" s="8">
        <v>0</v>
      </c>
      <c r="Z2259" s="33">
        <v>0</v>
      </c>
      <c r="AA2259" s="8">
        <v>5</v>
      </c>
      <c r="AB2259">
        <v>4180</v>
      </c>
      <c r="AC2259">
        <v>0</v>
      </c>
      <c r="AD2259" s="62">
        <v>0</v>
      </c>
      <c r="AE2259" s="62">
        <v>0</v>
      </c>
      <c r="AF2259" s="62">
        <v>0</v>
      </c>
      <c r="AH2259" s="63">
        <v>1</v>
      </c>
      <c r="AL2259" s="64">
        <v>1</v>
      </c>
      <c r="AQ2259" t="s">
        <v>5862</v>
      </c>
      <c r="AS2259">
        <v>1</v>
      </c>
    </row>
    <row r="2260" spans="1:45">
      <c r="A2260">
        <v>511291</v>
      </c>
      <c r="B2260" s="425">
        <v>1001</v>
      </c>
      <c r="C2260" s="425">
        <v>1</v>
      </c>
      <c r="D2260">
        <v>3</v>
      </c>
      <c r="E2260" t="s">
        <v>5864</v>
      </c>
      <c r="F2260" t="s">
        <v>5864</v>
      </c>
      <c r="G2260" t="s">
        <v>5865</v>
      </c>
      <c r="H2260" t="s">
        <v>1329</v>
      </c>
      <c r="I2260">
        <v>1</v>
      </c>
      <c r="J2260" s="69">
        <v>2</v>
      </c>
      <c r="K2260" s="33">
        <v>1</v>
      </c>
      <c r="L2260" s="8">
        <v>999</v>
      </c>
      <c r="M2260">
        <v>0</v>
      </c>
      <c r="S2260" s="33">
        <v>0</v>
      </c>
      <c r="T2260" s="8">
        <v>5</v>
      </c>
      <c r="U2260" s="89">
        <v>110</v>
      </c>
      <c r="V2260" s="33">
        <v>1</v>
      </c>
      <c r="W2260">
        <v>1</v>
      </c>
      <c r="X2260">
        <v>1</v>
      </c>
      <c r="Y2260" s="8">
        <v>0</v>
      </c>
      <c r="Z2260" s="33">
        <v>0</v>
      </c>
      <c r="AA2260" s="8">
        <v>5</v>
      </c>
      <c r="AB2260">
        <v>4180</v>
      </c>
      <c r="AC2260">
        <v>0</v>
      </c>
      <c r="AD2260" s="62">
        <v>0</v>
      </c>
      <c r="AE2260" s="62">
        <v>0</v>
      </c>
      <c r="AF2260" s="62">
        <v>0</v>
      </c>
      <c r="AH2260" s="63">
        <v>1</v>
      </c>
      <c r="AL2260" s="64">
        <v>1</v>
      </c>
      <c r="AQ2260" t="s">
        <v>5864</v>
      </c>
      <c r="AS2260">
        <v>1</v>
      </c>
    </row>
    <row r="2261" spans="1:45">
      <c r="A2261">
        <v>511292</v>
      </c>
      <c r="B2261" s="425">
        <v>1001</v>
      </c>
      <c r="C2261" s="425">
        <v>1</v>
      </c>
      <c r="D2261">
        <v>3</v>
      </c>
      <c r="E2261" t="s">
        <v>5866</v>
      </c>
      <c r="F2261" t="s">
        <v>5866</v>
      </c>
      <c r="G2261" t="s">
        <v>5867</v>
      </c>
      <c r="H2261" t="s">
        <v>2553</v>
      </c>
      <c r="I2261">
        <v>1</v>
      </c>
      <c r="J2261" s="69">
        <v>2</v>
      </c>
      <c r="K2261" s="33">
        <v>1</v>
      </c>
      <c r="L2261" s="8">
        <v>999</v>
      </c>
      <c r="M2261">
        <v>0</v>
      </c>
      <c r="S2261" s="33">
        <v>0</v>
      </c>
      <c r="T2261" s="8">
        <v>5</v>
      </c>
      <c r="U2261" s="89">
        <v>110</v>
      </c>
      <c r="V2261" s="33">
        <v>1</v>
      </c>
      <c r="W2261">
        <v>1</v>
      </c>
      <c r="X2261">
        <v>1</v>
      </c>
      <c r="Y2261" s="8">
        <v>0</v>
      </c>
      <c r="Z2261" s="33">
        <v>0</v>
      </c>
      <c r="AA2261" s="8">
        <v>5</v>
      </c>
      <c r="AB2261">
        <v>4180</v>
      </c>
      <c r="AC2261">
        <v>0</v>
      </c>
      <c r="AD2261" s="62">
        <v>0</v>
      </c>
      <c r="AE2261" s="62">
        <v>0</v>
      </c>
      <c r="AF2261" s="62">
        <v>0</v>
      </c>
      <c r="AH2261" s="63">
        <v>1</v>
      </c>
      <c r="AL2261" s="64">
        <v>1</v>
      </c>
      <c r="AQ2261" t="s">
        <v>5866</v>
      </c>
      <c r="AS2261">
        <v>1</v>
      </c>
    </row>
    <row r="2262" spans="1:45">
      <c r="A2262">
        <v>511293</v>
      </c>
      <c r="B2262" s="425">
        <v>1001</v>
      </c>
      <c r="C2262" s="407">
        <v>1</v>
      </c>
      <c r="D2262" s="238">
        <v>3</v>
      </c>
      <c r="E2262" t="s">
        <v>5868</v>
      </c>
      <c r="F2262" t="s">
        <v>5868</v>
      </c>
      <c r="G2262" t="s">
        <v>5869</v>
      </c>
      <c r="H2262" t="s">
        <v>1329</v>
      </c>
      <c r="I2262">
        <v>1</v>
      </c>
      <c r="J2262" s="69">
        <v>2</v>
      </c>
      <c r="K2262" s="33">
        <v>1</v>
      </c>
      <c r="L2262" s="236">
        <v>999</v>
      </c>
      <c r="M2262">
        <v>0</v>
      </c>
      <c r="N2262"/>
      <c r="O2262" s="249"/>
      <c r="R2262" s="8"/>
      <c r="S2262" s="33">
        <v>0</v>
      </c>
      <c r="T2262" s="236">
        <v>5</v>
      </c>
      <c r="U2262" s="336">
        <v>110</v>
      </c>
      <c r="V2262" s="33">
        <v>1</v>
      </c>
      <c r="W2262">
        <v>1</v>
      </c>
      <c r="X2262" s="238">
        <v>1</v>
      </c>
      <c r="Y2262" s="236">
        <v>0</v>
      </c>
      <c r="Z2262" s="33">
        <v>0</v>
      </c>
      <c r="AA2262" s="236">
        <v>5</v>
      </c>
      <c r="AB2262">
        <v>4180</v>
      </c>
      <c r="AC2262">
        <v>0</v>
      </c>
      <c r="AD2262" s="62">
        <v>0</v>
      </c>
      <c r="AE2262" s="62">
        <v>0</v>
      </c>
      <c r="AF2262" s="62">
        <v>0</v>
      </c>
      <c r="AH2262" s="63">
        <v>1</v>
      </c>
      <c r="AL2262" s="64">
        <v>1</v>
      </c>
      <c r="AQ2262" t="s">
        <v>5868</v>
      </c>
      <c r="AS2262">
        <v>1</v>
      </c>
    </row>
    <row r="2263" spans="1:45">
      <c r="A2263">
        <v>511294</v>
      </c>
      <c r="B2263" s="8">
        <v>1001</v>
      </c>
      <c r="C2263">
        <v>6</v>
      </c>
      <c r="D2263" s="8">
        <v>1001</v>
      </c>
      <c r="E2263" t="s">
        <v>5870</v>
      </c>
      <c r="F2263" t="s">
        <v>5870</v>
      </c>
      <c r="G2263" t="s">
        <v>5592</v>
      </c>
      <c r="H2263" t="s">
        <v>5871</v>
      </c>
      <c r="I2263">
        <v>1</v>
      </c>
      <c r="J2263">
        <v>5</v>
      </c>
      <c r="K2263" s="33">
        <v>2</v>
      </c>
      <c r="L2263">
        <v>999</v>
      </c>
      <c r="M2263">
        <v>0</v>
      </c>
      <c r="N2263">
        <v>1017</v>
      </c>
      <c r="O2263" s="249">
        <v>50094</v>
      </c>
      <c r="R2263" s="8"/>
      <c r="S2263" s="33">
        <v>1</v>
      </c>
      <c r="T2263">
        <v>5</v>
      </c>
      <c r="U2263">
        <v>1</v>
      </c>
      <c r="V2263" s="33">
        <v>1</v>
      </c>
      <c r="W2263">
        <v>1</v>
      </c>
      <c r="X2263" s="8">
        <v>1</v>
      </c>
      <c r="Y2263">
        <v>0</v>
      </c>
      <c r="Z2263" s="33">
        <v>0</v>
      </c>
      <c r="AA2263">
        <v>5</v>
      </c>
      <c r="AB2263">
        <v>100</v>
      </c>
      <c r="AC2263">
        <v>70</v>
      </c>
      <c r="AD2263" s="62">
        <v>0</v>
      </c>
      <c r="AE2263" s="62">
        <v>4</v>
      </c>
      <c r="AF2263" s="62">
        <v>2</v>
      </c>
      <c r="AS2263">
        <v>1</v>
      </c>
    </row>
    <row r="2264" spans="1:45">
      <c r="A2264">
        <v>511295</v>
      </c>
      <c r="B2264" s="236">
        <v>1001</v>
      </c>
      <c r="C2264">
        <v>6</v>
      </c>
      <c r="D2264" s="236">
        <v>1001</v>
      </c>
      <c r="E2264" t="s">
        <v>1837</v>
      </c>
      <c r="F2264" t="s">
        <v>1837</v>
      </c>
      <c r="G2264" t="s">
        <v>5593</v>
      </c>
      <c r="H2264" t="s">
        <v>1839</v>
      </c>
      <c r="I2264">
        <v>1</v>
      </c>
      <c r="J2264">
        <v>5</v>
      </c>
      <c r="K2264" s="33">
        <v>2</v>
      </c>
      <c r="L2264">
        <v>999</v>
      </c>
      <c r="M2264">
        <v>0</v>
      </c>
      <c r="N2264">
        <v>1017</v>
      </c>
      <c r="O2264" s="249">
        <v>50095</v>
      </c>
      <c r="R2264" s="236"/>
      <c r="S2264" s="33">
        <v>1</v>
      </c>
      <c r="T2264">
        <v>5</v>
      </c>
      <c r="U2264">
        <v>1</v>
      </c>
      <c r="V2264" s="33">
        <v>1</v>
      </c>
      <c r="W2264">
        <v>1</v>
      </c>
      <c r="X2264" s="236">
        <v>1</v>
      </c>
      <c r="Y2264">
        <v>0</v>
      </c>
      <c r="Z2264" s="33">
        <v>0</v>
      </c>
      <c r="AA2264">
        <v>5</v>
      </c>
      <c r="AB2264">
        <v>100</v>
      </c>
      <c r="AC2264">
        <v>70</v>
      </c>
      <c r="AD2264" s="62">
        <v>0</v>
      </c>
      <c r="AE2264" s="62">
        <v>4</v>
      </c>
      <c r="AF2264" s="62">
        <v>2</v>
      </c>
      <c r="AS2264">
        <v>1</v>
      </c>
    </row>
    <row r="2265" spans="1:45">
      <c r="A2265">
        <v>511296</v>
      </c>
      <c r="B2265">
        <v>1001</v>
      </c>
      <c r="C2265">
        <v>6</v>
      </c>
      <c r="D2265">
        <v>1001</v>
      </c>
      <c r="E2265" t="s">
        <v>5752</v>
      </c>
      <c r="F2265" t="s">
        <v>5752</v>
      </c>
      <c r="G2265" s="3" t="s">
        <v>5872</v>
      </c>
      <c r="H2265" t="s">
        <v>204</v>
      </c>
      <c r="I2265">
        <v>1</v>
      </c>
      <c r="J2265">
        <v>5</v>
      </c>
      <c r="K2265" s="33">
        <v>2</v>
      </c>
      <c r="L2265">
        <v>999</v>
      </c>
      <c r="M2265">
        <v>0</v>
      </c>
      <c r="N2265">
        <v>1018</v>
      </c>
      <c r="O2265" s="231" t="s">
        <v>5873</v>
      </c>
      <c r="S2265" s="33">
        <v>1</v>
      </c>
      <c r="T2265">
        <v>5</v>
      </c>
      <c r="U2265">
        <v>1</v>
      </c>
      <c r="V2265" s="33">
        <v>1</v>
      </c>
      <c r="W2265">
        <v>1</v>
      </c>
      <c r="X2265">
        <v>1</v>
      </c>
      <c r="Y2265">
        <v>0</v>
      </c>
      <c r="Z2265" s="33">
        <v>0</v>
      </c>
      <c r="AA2265">
        <v>5</v>
      </c>
      <c r="AB2265">
        <v>100</v>
      </c>
      <c r="AC2265">
        <v>70</v>
      </c>
      <c r="AD2265" s="62">
        <v>0</v>
      </c>
      <c r="AE2265" s="62">
        <v>5</v>
      </c>
      <c r="AF2265" s="62">
        <v>2</v>
      </c>
      <c r="AS2265">
        <v>1</v>
      </c>
    </row>
    <row r="2266" spans="1:45">
      <c r="A2266">
        <v>511297</v>
      </c>
      <c r="B2266">
        <v>1001</v>
      </c>
      <c r="C2266">
        <v>6</v>
      </c>
      <c r="D2266">
        <v>1001</v>
      </c>
      <c r="E2266" t="s">
        <v>5874</v>
      </c>
      <c r="F2266" t="s">
        <v>5874</v>
      </c>
      <c r="G2266" t="s">
        <v>5875</v>
      </c>
      <c r="H2266" t="s">
        <v>204</v>
      </c>
      <c r="I2266">
        <v>1</v>
      </c>
      <c r="J2266">
        <v>5</v>
      </c>
      <c r="K2266" s="33">
        <v>2</v>
      </c>
      <c r="L2266">
        <v>999</v>
      </c>
      <c r="M2266">
        <v>0</v>
      </c>
      <c r="N2266">
        <v>1018</v>
      </c>
      <c r="O2266" s="2" t="s">
        <v>5876</v>
      </c>
      <c r="S2266" s="254">
        <v>1</v>
      </c>
      <c r="T2266" s="238">
        <v>5</v>
      </c>
      <c r="U2266" s="238">
        <v>1</v>
      </c>
      <c r="V2266" s="254">
        <v>1</v>
      </c>
      <c r="W2266">
        <v>1</v>
      </c>
      <c r="X2266" s="238">
        <v>1</v>
      </c>
      <c r="Y2266">
        <v>0</v>
      </c>
      <c r="Z2266" s="33">
        <v>0</v>
      </c>
      <c r="AA2266">
        <v>5</v>
      </c>
      <c r="AB2266">
        <v>100</v>
      </c>
      <c r="AC2266" s="238">
        <v>70</v>
      </c>
      <c r="AD2266" s="62">
        <v>0</v>
      </c>
      <c r="AE2266" s="255">
        <v>5</v>
      </c>
      <c r="AF2266" s="255">
        <v>2</v>
      </c>
      <c r="AG2266" s="91"/>
      <c r="AH2266" s="91"/>
      <c r="AI2266" s="91"/>
      <c r="AJ2266" s="91"/>
      <c r="AK2266" s="91"/>
      <c r="AS2266">
        <v>1</v>
      </c>
    </row>
    <row r="2267" spans="1:45">
      <c r="A2267">
        <v>511298</v>
      </c>
      <c r="B2267" s="238">
        <v>1001</v>
      </c>
      <c r="C2267">
        <v>6</v>
      </c>
      <c r="D2267" s="238">
        <v>1001</v>
      </c>
      <c r="E2267" t="s">
        <v>5877</v>
      </c>
      <c r="F2267" t="s">
        <v>5877</v>
      </c>
      <c r="G2267" t="s">
        <v>5878</v>
      </c>
      <c r="H2267" t="s">
        <v>1574</v>
      </c>
      <c r="I2267">
        <v>1</v>
      </c>
      <c r="J2267">
        <v>5</v>
      </c>
      <c r="K2267" s="33">
        <v>2</v>
      </c>
      <c r="L2267">
        <v>999</v>
      </c>
      <c r="M2267">
        <v>0</v>
      </c>
      <c r="N2267">
        <v>1</v>
      </c>
      <c r="O2267" s="2" t="s">
        <v>5879</v>
      </c>
      <c r="S2267" s="89">
        <v>0</v>
      </c>
      <c r="T2267" s="8">
        <v>5</v>
      </c>
      <c r="U2267" s="89">
        <v>1</v>
      </c>
      <c r="V2267" s="87">
        <v>1</v>
      </c>
      <c r="W2267">
        <v>1</v>
      </c>
      <c r="X2267" s="8">
        <v>1</v>
      </c>
      <c r="Y2267">
        <v>0</v>
      </c>
      <c r="Z2267" s="33">
        <v>0</v>
      </c>
      <c r="AA2267">
        <v>5</v>
      </c>
      <c r="AB2267">
        <v>100</v>
      </c>
      <c r="AC2267" s="87">
        <v>51</v>
      </c>
      <c r="AE2267" s="90">
        <v>4</v>
      </c>
      <c r="AF2267" s="90">
        <v>2</v>
      </c>
      <c r="AG2267" s="91"/>
      <c r="AH2267" s="91"/>
      <c r="AI2267" s="91"/>
      <c r="AJ2267" s="91"/>
      <c r="AK2267" s="91"/>
      <c r="AS2267">
        <v>1</v>
      </c>
    </row>
    <row r="2268" spans="1:45">
      <c r="A2268">
        <v>511299</v>
      </c>
      <c r="B2268" s="8">
        <v>1001</v>
      </c>
      <c r="C2268">
        <v>6</v>
      </c>
      <c r="D2268" s="236">
        <v>1001</v>
      </c>
      <c r="E2268" t="s">
        <v>5880</v>
      </c>
      <c r="F2268" t="s">
        <v>5880</v>
      </c>
      <c r="G2268" t="s">
        <v>5881</v>
      </c>
      <c r="H2268" t="s">
        <v>1574</v>
      </c>
      <c r="I2268">
        <v>1</v>
      </c>
      <c r="J2268">
        <v>5</v>
      </c>
      <c r="K2268" s="33">
        <v>2</v>
      </c>
      <c r="L2268">
        <v>999</v>
      </c>
      <c r="M2268">
        <v>0</v>
      </c>
      <c r="N2268">
        <v>1</v>
      </c>
      <c r="O2268" s="2" t="s">
        <v>5882</v>
      </c>
      <c r="S2268" s="89">
        <v>0</v>
      </c>
      <c r="T2268" s="8">
        <v>5</v>
      </c>
      <c r="U2268" s="89">
        <v>1</v>
      </c>
      <c r="V2268" s="87">
        <v>1</v>
      </c>
      <c r="W2268">
        <v>1</v>
      </c>
      <c r="X2268" s="8">
        <v>1</v>
      </c>
      <c r="Y2268">
        <v>0</v>
      </c>
      <c r="Z2268" s="33">
        <v>0</v>
      </c>
      <c r="AA2268">
        <v>5</v>
      </c>
      <c r="AB2268">
        <v>100</v>
      </c>
      <c r="AC2268" s="87">
        <v>51</v>
      </c>
      <c r="AE2268" s="90">
        <v>4</v>
      </c>
      <c r="AF2268" s="90">
        <v>2</v>
      </c>
      <c r="AG2268" s="91"/>
      <c r="AH2268" s="91"/>
      <c r="AI2268" s="91"/>
      <c r="AJ2268" s="91"/>
      <c r="AK2268" s="91"/>
      <c r="AS2268">
        <v>1</v>
      </c>
    </row>
    <row r="2269" spans="1:45">
      <c r="A2269">
        <v>511300</v>
      </c>
      <c r="B2269" s="236">
        <v>1001</v>
      </c>
      <c r="C2269">
        <v>6</v>
      </c>
      <c r="D2269">
        <v>1001</v>
      </c>
      <c r="E2269" t="s">
        <v>5883</v>
      </c>
      <c r="F2269" t="s">
        <v>5883</v>
      </c>
      <c r="G2269" t="s">
        <v>5884</v>
      </c>
      <c r="H2269" t="s">
        <v>1574</v>
      </c>
      <c r="I2269">
        <v>1</v>
      </c>
      <c r="J2269">
        <v>5</v>
      </c>
      <c r="K2269" s="33">
        <v>2</v>
      </c>
      <c r="L2269">
        <v>999</v>
      </c>
      <c r="M2269">
        <v>0</v>
      </c>
      <c r="N2269">
        <v>1</v>
      </c>
      <c r="O2269" s="2" t="s">
        <v>5885</v>
      </c>
      <c r="S2269" s="89">
        <v>0</v>
      </c>
      <c r="T2269" s="8">
        <v>5</v>
      </c>
      <c r="U2269" s="89">
        <v>1</v>
      </c>
      <c r="V2269" s="87">
        <v>1</v>
      </c>
      <c r="W2269">
        <v>1</v>
      </c>
      <c r="X2269" s="8">
        <v>1</v>
      </c>
      <c r="Y2269">
        <v>0</v>
      </c>
      <c r="Z2269" s="33">
        <v>0</v>
      </c>
      <c r="AA2269">
        <v>5</v>
      </c>
      <c r="AB2269">
        <v>100</v>
      </c>
      <c r="AC2269" s="87">
        <v>51</v>
      </c>
      <c r="AE2269" s="90">
        <v>4</v>
      </c>
      <c r="AF2269" s="90">
        <v>2</v>
      </c>
      <c r="AG2269" s="91"/>
      <c r="AH2269" s="91"/>
      <c r="AI2269" s="91"/>
      <c r="AJ2269" s="91"/>
      <c r="AK2269" s="91"/>
      <c r="AS2269">
        <v>1</v>
      </c>
    </row>
    <row r="2270" spans="1:45">
      <c r="A2270">
        <v>511301</v>
      </c>
      <c r="B2270">
        <v>1001</v>
      </c>
      <c r="C2270">
        <v>6</v>
      </c>
      <c r="D2270">
        <v>1001</v>
      </c>
      <c r="E2270" t="s">
        <v>5886</v>
      </c>
      <c r="F2270" t="s">
        <v>5886</v>
      </c>
      <c r="G2270" t="s">
        <v>5887</v>
      </c>
      <c r="H2270" t="s">
        <v>1574</v>
      </c>
      <c r="I2270">
        <v>1</v>
      </c>
      <c r="J2270">
        <v>5</v>
      </c>
      <c r="K2270" s="33">
        <v>2</v>
      </c>
      <c r="L2270">
        <v>999</v>
      </c>
      <c r="M2270">
        <v>0</v>
      </c>
      <c r="N2270">
        <v>1</v>
      </c>
      <c r="O2270" s="2" t="s">
        <v>5888</v>
      </c>
      <c r="S2270" s="89">
        <v>0</v>
      </c>
      <c r="T2270" s="8">
        <v>5</v>
      </c>
      <c r="U2270" s="89">
        <v>1</v>
      </c>
      <c r="V2270" s="87">
        <v>1</v>
      </c>
      <c r="W2270">
        <v>1</v>
      </c>
      <c r="X2270" s="8">
        <v>1</v>
      </c>
      <c r="Y2270">
        <v>0</v>
      </c>
      <c r="Z2270" s="33">
        <v>0</v>
      </c>
      <c r="AA2270">
        <v>5</v>
      </c>
      <c r="AB2270">
        <v>100</v>
      </c>
      <c r="AC2270" s="87">
        <v>51</v>
      </c>
      <c r="AE2270" s="90">
        <v>4</v>
      </c>
      <c r="AF2270" s="90">
        <v>2</v>
      </c>
      <c r="AG2270" s="91"/>
      <c r="AH2270" s="91"/>
      <c r="AI2270" s="91"/>
      <c r="AJ2270" s="91"/>
      <c r="AK2270" s="91"/>
      <c r="AS2270">
        <v>1</v>
      </c>
    </row>
    <row r="2271" spans="1:45">
      <c r="A2271">
        <v>511302</v>
      </c>
      <c r="B2271">
        <v>1001</v>
      </c>
      <c r="C2271">
        <v>6</v>
      </c>
      <c r="D2271">
        <v>1001</v>
      </c>
      <c r="E2271" t="s">
        <v>5889</v>
      </c>
      <c r="F2271" t="s">
        <v>5889</v>
      </c>
      <c r="G2271" t="s">
        <v>5890</v>
      </c>
      <c r="H2271" t="s">
        <v>1574</v>
      </c>
      <c r="I2271">
        <v>1</v>
      </c>
      <c r="J2271">
        <v>5</v>
      </c>
      <c r="K2271" s="33">
        <v>2</v>
      </c>
      <c r="L2271">
        <v>999</v>
      </c>
      <c r="M2271">
        <v>0</v>
      </c>
      <c r="N2271">
        <v>1</v>
      </c>
      <c r="O2271" s="2" t="s">
        <v>5891</v>
      </c>
      <c r="S2271" s="336">
        <v>0</v>
      </c>
      <c r="T2271" s="236">
        <v>5</v>
      </c>
      <c r="U2271" s="336">
        <v>1</v>
      </c>
      <c r="V2271" s="248">
        <v>1</v>
      </c>
      <c r="W2271">
        <v>1</v>
      </c>
      <c r="X2271" s="236">
        <v>1</v>
      </c>
      <c r="Y2271">
        <v>0</v>
      </c>
      <c r="Z2271" s="33">
        <v>0</v>
      </c>
      <c r="AA2271">
        <v>5</v>
      </c>
      <c r="AB2271">
        <v>100</v>
      </c>
      <c r="AC2271" s="248">
        <v>51</v>
      </c>
      <c r="AE2271" s="250">
        <v>4</v>
      </c>
      <c r="AF2271" s="250">
        <v>2</v>
      </c>
      <c r="AG2271" s="251"/>
      <c r="AH2271" s="251"/>
      <c r="AI2271" s="251"/>
      <c r="AJ2271" s="251"/>
      <c r="AK2271" s="251"/>
      <c r="AS2271">
        <v>1</v>
      </c>
    </row>
    <row r="2272" ht="15" customHeight="1" spans="1:45">
      <c r="A2272">
        <v>511303</v>
      </c>
      <c r="B2272" s="238">
        <v>1001</v>
      </c>
      <c r="C2272" s="238">
        <v>6</v>
      </c>
      <c r="D2272" s="238">
        <v>1001</v>
      </c>
      <c r="E2272" t="s">
        <v>5892</v>
      </c>
      <c r="F2272" t="s">
        <v>5892</v>
      </c>
      <c r="G2272" t="s">
        <v>5893</v>
      </c>
      <c r="H2272" t="s">
        <v>204</v>
      </c>
      <c r="I2272">
        <v>1</v>
      </c>
      <c r="J2272">
        <v>5</v>
      </c>
      <c r="K2272" s="254">
        <v>2</v>
      </c>
      <c r="L2272" s="238">
        <v>999</v>
      </c>
      <c r="M2272" s="238">
        <v>0</v>
      </c>
      <c r="N2272" s="238">
        <v>1018</v>
      </c>
      <c r="O2272" s="258" t="s">
        <v>5894</v>
      </c>
      <c r="R2272" s="8"/>
      <c r="S2272" s="254">
        <v>1</v>
      </c>
      <c r="T2272" s="238">
        <v>5</v>
      </c>
      <c r="U2272" s="238">
        <v>1</v>
      </c>
      <c r="V2272" s="254">
        <v>1</v>
      </c>
      <c r="W2272">
        <v>1</v>
      </c>
      <c r="X2272" s="238">
        <v>1</v>
      </c>
      <c r="Y2272">
        <v>0</v>
      </c>
      <c r="Z2272" s="33">
        <v>0</v>
      </c>
      <c r="AA2272">
        <v>5</v>
      </c>
      <c r="AB2272">
        <v>100</v>
      </c>
      <c r="AC2272" s="238">
        <v>70</v>
      </c>
      <c r="AD2272" s="62">
        <v>0</v>
      </c>
      <c r="AE2272" s="255">
        <v>5</v>
      </c>
      <c r="AF2272" s="255">
        <v>2</v>
      </c>
      <c r="AG2272" s="91"/>
      <c r="AH2272" s="91"/>
      <c r="AI2272" s="91"/>
      <c r="AJ2272" s="91"/>
      <c r="AK2272" s="91"/>
      <c r="AL2272" s="92"/>
      <c r="AM2272" s="92"/>
      <c r="AN2272" s="93"/>
      <c r="AO2272" s="92"/>
      <c r="AP2272" s="86"/>
      <c r="AQ2272"/>
      <c r="AS2272">
        <v>1</v>
      </c>
    </row>
    <row r="2273" ht="14.25" customHeight="1" spans="1:45">
      <c r="A2273">
        <v>511304</v>
      </c>
      <c r="B2273" s="8">
        <v>1001</v>
      </c>
      <c r="C2273" s="236">
        <v>6</v>
      </c>
      <c r="D2273" s="8">
        <v>1001</v>
      </c>
      <c r="E2273" t="s">
        <v>5895</v>
      </c>
      <c r="F2273" t="s">
        <v>5895</v>
      </c>
      <c r="G2273" t="s">
        <v>5896</v>
      </c>
      <c r="H2273" s="117" t="s">
        <v>5897</v>
      </c>
      <c r="I2273">
        <v>1</v>
      </c>
      <c r="J2273" s="69">
        <v>5</v>
      </c>
      <c r="K2273" s="248">
        <v>2</v>
      </c>
      <c r="L2273" s="236">
        <v>999</v>
      </c>
      <c r="M2273" s="236">
        <v>0</v>
      </c>
      <c r="N2273" s="236">
        <v>1</v>
      </c>
      <c r="O2273" s="257" t="s">
        <v>5898</v>
      </c>
      <c r="R2273" s="8"/>
      <c r="S2273" s="336">
        <v>1</v>
      </c>
      <c r="T2273" s="236">
        <v>5</v>
      </c>
      <c r="U2273" s="336">
        <v>170</v>
      </c>
      <c r="V2273" s="248">
        <v>1</v>
      </c>
      <c r="W2273">
        <v>1</v>
      </c>
      <c r="X2273" s="8">
        <v>1</v>
      </c>
      <c r="Y2273">
        <v>0</v>
      </c>
      <c r="Z2273" s="33">
        <v>0</v>
      </c>
      <c r="AA2273">
        <v>5</v>
      </c>
      <c r="AB2273" s="34">
        <v>6460</v>
      </c>
      <c r="AC2273" s="248">
        <v>56</v>
      </c>
      <c r="AE2273" s="250">
        <v>4</v>
      </c>
      <c r="AF2273" s="250">
        <v>2</v>
      </c>
      <c r="AG2273" s="251"/>
      <c r="AH2273" s="251"/>
      <c r="AI2273" s="251"/>
      <c r="AJ2273" s="251"/>
      <c r="AK2273" s="251"/>
      <c r="AL2273" s="252">
        <v>1</v>
      </c>
      <c r="AM2273" s="252"/>
      <c r="AN2273" s="338"/>
      <c r="AO2273" s="252"/>
      <c r="AP2273" s="86"/>
      <c r="AQ2273" t="s">
        <v>5899</v>
      </c>
      <c r="AS2273">
        <v>1</v>
      </c>
    </row>
    <row r="2274" spans="1:45">
      <c r="A2274">
        <v>511305</v>
      </c>
      <c r="B2274" s="8">
        <v>1001</v>
      </c>
      <c r="C2274" s="238">
        <v>6</v>
      </c>
      <c r="D2274" s="8">
        <v>1001</v>
      </c>
      <c r="E2274" t="s">
        <v>5900</v>
      </c>
      <c r="F2274" t="s">
        <v>5900</v>
      </c>
      <c r="G2274" t="s">
        <v>5901</v>
      </c>
      <c r="H2274" t="s">
        <v>5559</v>
      </c>
      <c r="I2274">
        <v>1</v>
      </c>
      <c r="J2274">
        <v>5</v>
      </c>
      <c r="K2274" s="33">
        <v>2</v>
      </c>
      <c r="L2274">
        <v>999</v>
      </c>
      <c r="M2274">
        <v>0</v>
      </c>
      <c r="N2274">
        <v>1018</v>
      </c>
      <c r="O2274" s="2" t="s">
        <v>5902</v>
      </c>
      <c r="R2274" s="236"/>
      <c r="S2274" s="33">
        <v>1</v>
      </c>
      <c r="T2274">
        <v>5</v>
      </c>
      <c r="U2274">
        <v>1</v>
      </c>
      <c r="W2274">
        <v>1</v>
      </c>
      <c r="X2274" s="236">
        <v>1</v>
      </c>
      <c r="Y2274">
        <v>0</v>
      </c>
      <c r="Z2274" s="33">
        <v>0</v>
      </c>
      <c r="AA2274">
        <v>5</v>
      </c>
      <c r="AB2274">
        <v>100</v>
      </c>
      <c r="AC2274">
        <v>70</v>
      </c>
      <c r="AD2274" s="62">
        <v>0</v>
      </c>
      <c r="AE2274" s="62">
        <v>5</v>
      </c>
      <c r="AF2274" s="62">
        <v>2</v>
      </c>
      <c r="AG2274" s="430"/>
      <c r="AH2274" s="430"/>
      <c r="AI2274" s="430"/>
      <c r="AJ2274" s="430"/>
      <c r="AK2274" s="430"/>
      <c r="AL2274" s="214"/>
      <c r="AM2274" s="214"/>
      <c r="AN2274" s="431"/>
      <c r="AO2274" s="214"/>
      <c r="AP2274" s="214"/>
      <c r="AS2274">
        <v>1</v>
      </c>
    </row>
    <row r="2275" spans="1:45">
      <c r="A2275">
        <v>511306</v>
      </c>
      <c r="B2275" s="425">
        <v>1001</v>
      </c>
      <c r="C2275" s="425">
        <v>1</v>
      </c>
      <c r="D2275" s="8">
        <v>1001</v>
      </c>
      <c r="E2275" t="s">
        <v>5903</v>
      </c>
      <c r="F2275" t="s">
        <v>5903</v>
      </c>
      <c r="G2275" t="s">
        <v>5904</v>
      </c>
      <c r="H2275" t="s">
        <v>5905</v>
      </c>
      <c r="I2275">
        <v>1</v>
      </c>
      <c r="J2275" s="69">
        <v>5</v>
      </c>
      <c r="K2275" s="33">
        <v>1</v>
      </c>
      <c r="L2275">
        <v>999</v>
      </c>
      <c r="M2275">
        <v>0</v>
      </c>
      <c r="S2275" s="33">
        <v>1</v>
      </c>
      <c r="T2275">
        <v>5</v>
      </c>
      <c r="U2275">
        <v>110</v>
      </c>
      <c r="V2275" s="33">
        <v>1</v>
      </c>
      <c r="W2275">
        <v>1</v>
      </c>
      <c r="X2275">
        <v>1</v>
      </c>
      <c r="Y2275">
        <v>0</v>
      </c>
      <c r="Z2275" s="33">
        <v>0</v>
      </c>
      <c r="AA2275">
        <v>5</v>
      </c>
      <c r="AB2275">
        <v>4000</v>
      </c>
      <c r="AC2275">
        <v>0</v>
      </c>
      <c r="AD2275" s="12">
        <v>0</v>
      </c>
      <c r="AE2275" s="12">
        <v>0</v>
      </c>
      <c r="AF2275" s="12">
        <v>0</v>
      </c>
      <c r="AG2275" s="430"/>
      <c r="AH2275" s="430">
        <v>1</v>
      </c>
      <c r="AI2275" s="430"/>
      <c r="AJ2275" s="430"/>
      <c r="AK2275" s="430"/>
      <c r="AL2275" s="214">
        <v>1</v>
      </c>
      <c r="AM2275" s="214"/>
      <c r="AN2275" s="431"/>
      <c r="AO2275" s="214"/>
      <c r="AP2275" s="214"/>
      <c r="AS2275">
        <v>1</v>
      </c>
    </row>
    <row r="2276" spans="1:45">
      <c r="A2276">
        <v>511307</v>
      </c>
      <c r="B2276" s="425">
        <v>1001</v>
      </c>
      <c r="C2276" s="425">
        <v>1</v>
      </c>
      <c r="D2276" s="8">
        <v>1001</v>
      </c>
      <c r="E2276" t="s">
        <v>5906</v>
      </c>
      <c r="F2276" t="s">
        <v>5906</v>
      </c>
      <c r="G2276" t="s">
        <v>5907</v>
      </c>
      <c r="H2276" t="s">
        <v>5908</v>
      </c>
      <c r="I2276">
        <v>1</v>
      </c>
      <c r="J2276" s="69">
        <v>5</v>
      </c>
      <c r="K2276" s="33">
        <v>1</v>
      </c>
      <c r="L2276">
        <v>999</v>
      </c>
      <c r="M2276">
        <v>0</v>
      </c>
      <c r="S2276" s="33">
        <v>1</v>
      </c>
      <c r="T2276">
        <v>5</v>
      </c>
      <c r="U2276">
        <v>110</v>
      </c>
      <c r="V2276" s="33">
        <v>1</v>
      </c>
      <c r="W2276">
        <v>1</v>
      </c>
      <c r="X2276">
        <v>1</v>
      </c>
      <c r="Y2276">
        <v>0</v>
      </c>
      <c r="Z2276" s="33">
        <v>0</v>
      </c>
      <c r="AA2276">
        <v>5</v>
      </c>
      <c r="AB2276">
        <v>4000</v>
      </c>
      <c r="AC2276">
        <v>0</v>
      </c>
      <c r="AD2276" s="12">
        <v>0</v>
      </c>
      <c r="AE2276" s="12">
        <v>0</v>
      </c>
      <c r="AF2276" s="12">
        <v>0</v>
      </c>
      <c r="AG2276" s="430"/>
      <c r="AH2276" s="430">
        <v>1</v>
      </c>
      <c r="AI2276" s="430"/>
      <c r="AJ2276" s="430"/>
      <c r="AK2276" s="430"/>
      <c r="AL2276" s="214">
        <v>1</v>
      </c>
      <c r="AM2276" s="214"/>
      <c r="AN2276" s="431"/>
      <c r="AO2276" s="214"/>
      <c r="AP2276" s="214"/>
      <c r="AS2276">
        <v>1</v>
      </c>
    </row>
    <row r="2277" spans="1:45">
      <c r="A2277">
        <v>511308</v>
      </c>
      <c r="B2277" s="425">
        <v>1001</v>
      </c>
      <c r="C2277" s="425">
        <v>1</v>
      </c>
      <c r="D2277" s="8">
        <v>1001</v>
      </c>
      <c r="E2277" t="s">
        <v>5909</v>
      </c>
      <c r="F2277" t="s">
        <v>5909</v>
      </c>
      <c r="G2277" t="s">
        <v>5910</v>
      </c>
      <c r="H2277" t="s">
        <v>5911</v>
      </c>
      <c r="I2277">
        <v>1</v>
      </c>
      <c r="J2277" s="69">
        <v>5</v>
      </c>
      <c r="K2277" s="33">
        <v>1</v>
      </c>
      <c r="L2277">
        <v>999</v>
      </c>
      <c r="M2277">
        <v>0</v>
      </c>
      <c r="S2277" s="33">
        <v>1</v>
      </c>
      <c r="T2277">
        <v>5</v>
      </c>
      <c r="U2277">
        <v>110</v>
      </c>
      <c r="V2277" s="33">
        <v>1</v>
      </c>
      <c r="W2277">
        <v>1</v>
      </c>
      <c r="X2277">
        <v>1</v>
      </c>
      <c r="Y2277">
        <v>0</v>
      </c>
      <c r="Z2277" s="33">
        <v>0</v>
      </c>
      <c r="AA2277">
        <v>5</v>
      </c>
      <c r="AB2277">
        <v>4000</v>
      </c>
      <c r="AC2277">
        <v>0</v>
      </c>
      <c r="AD2277" s="12">
        <v>0</v>
      </c>
      <c r="AE2277" s="12">
        <v>0</v>
      </c>
      <c r="AF2277" s="12">
        <v>0</v>
      </c>
      <c r="AG2277" s="430"/>
      <c r="AH2277" s="430">
        <v>1</v>
      </c>
      <c r="AI2277" s="430"/>
      <c r="AJ2277" s="430"/>
      <c r="AK2277" s="430"/>
      <c r="AL2277" s="214">
        <v>1</v>
      </c>
      <c r="AM2277" s="214"/>
      <c r="AN2277" s="431"/>
      <c r="AO2277" s="214"/>
      <c r="AP2277" s="214"/>
      <c r="AS2277">
        <v>1</v>
      </c>
    </row>
    <row r="2278" spans="1:45">
      <c r="A2278">
        <v>511309</v>
      </c>
      <c r="B2278" s="425">
        <v>1001</v>
      </c>
      <c r="C2278" s="425">
        <v>1</v>
      </c>
      <c r="D2278" s="8">
        <v>1001</v>
      </c>
      <c r="E2278" t="s">
        <v>5912</v>
      </c>
      <c r="F2278" t="s">
        <v>5912</v>
      </c>
      <c r="G2278" t="s">
        <v>5913</v>
      </c>
      <c r="H2278" t="s">
        <v>5911</v>
      </c>
      <c r="I2278">
        <v>1</v>
      </c>
      <c r="J2278" s="69">
        <v>5</v>
      </c>
      <c r="K2278" s="33">
        <v>1</v>
      </c>
      <c r="L2278">
        <v>999</v>
      </c>
      <c r="M2278">
        <v>0</v>
      </c>
      <c r="S2278" s="33">
        <v>1</v>
      </c>
      <c r="T2278">
        <v>5</v>
      </c>
      <c r="U2278">
        <v>110</v>
      </c>
      <c r="V2278" s="33">
        <v>1</v>
      </c>
      <c r="W2278">
        <v>1</v>
      </c>
      <c r="X2278">
        <v>1</v>
      </c>
      <c r="Y2278">
        <v>0</v>
      </c>
      <c r="Z2278" s="33">
        <v>0</v>
      </c>
      <c r="AA2278">
        <v>5</v>
      </c>
      <c r="AB2278">
        <v>4000</v>
      </c>
      <c r="AC2278">
        <v>0</v>
      </c>
      <c r="AD2278" s="12">
        <v>0</v>
      </c>
      <c r="AE2278" s="12">
        <v>0</v>
      </c>
      <c r="AF2278" s="12">
        <v>0</v>
      </c>
      <c r="AG2278" s="430"/>
      <c r="AH2278" s="430">
        <v>1</v>
      </c>
      <c r="AI2278" s="430"/>
      <c r="AJ2278" s="430"/>
      <c r="AK2278" s="430"/>
      <c r="AL2278" s="214">
        <v>1</v>
      </c>
      <c r="AM2278" s="214"/>
      <c r="AN2278" s="431"/>
      <c r="AO2278" s="214"/>
      <c r="AP2278" s="214"/>
      <c r="AS2278">
        <v>1</v>
      </c>
    </row>
    <row r="2279" spans="1:45">
      <c r="A2279">
        <v>511310</v>
      </c>
      <c r="B2279" s="425">
        <v>1001</v>
      </c>
      <c r="C2279" s="425">
        <v>1</v>
      </c>
      <c r="D2279" s="8">
        <v>1001</v>
      </c>
      <c r="E2279" t="s">
        <v>5914</v>
      </c>
      <c r="F2279" t="s">
        <v>5914</v>
      </c>
      <c r="G2279" t="s">
        <v>5915</v>
      </c>
      <c r="H2279" t="s">
        <v>5911</v>
      </c>
      <c r="I2279">
        <v>1</v>
      </c>
      <c r="J2279" s="69">
        <v>5</v>
      </c>
      <c r="K2279" s="33">
        <v>1</v>
      </c>
      <c r="L2279">
        <v>999</v>
      </c>
      <c r="M2279">
        <v>0</v>
      </c>
      <c r="S2279" s="33">
        <v>1</v>
      </c>
      <c r="T2279">
        <v>5</v>
      </c>
      <c r="U2279">
        <v>110</v>
      </c>
      <c r="V2279" s="33">
        <v>1</v>
      </c>
      <c r="W2279">
        <v>1</v>
      </c>
      <c r="X2279">
        <v>1</v>
      </c>
      <c r="Y2279">
        <v>0</v>
      </c>
      <c r="Z2279" s="33">
        <v>0</v>
      </c>
      <c r="AA2279">
        <v>5</v>
      </c>
      <c r="AB2279">
        <v>4000</v>
      </c>
      <c r="AC2279">
        <v>0</v>
      </c>
      <c r="AD2279" s="12">
        <v>0</v>
      </c>
      <c r="AE2279" s="12">
        <v>0</v>
      </c>
      <c r="AF2279" s="12">
        <v>0</v>
      </c>
      <c r="AG2279" s="430"/>
      <c r="AH2279" s="430">
        <v>1</v>
      </c>
      <c r="AI2279" s="430"/>
      <c r="AJ2279" s="430"/>
      <c r="AK2279" s="430"/>
      <c r="AL2279" s="214">
        <v>1</v>
      </c>
      <c r="AM2279" s="214"/>
      <c r="AN2279" s="431"/>
      <c r="AO2279" s="214"/>
      <c r="AP2279" s="214"/>
      <c r="AS2279">
        <v>1</v>
      </c>
    </row>
    <row r="2280" spans="1:45">
      <c r="A2280">
        <v>511311</v>
      </c>
      <c r="B2280" s="425">
        <v>1001</v>
      </c>
      <c r="C2280" s="425">
        <v>1</v>
      </c>
      <c r="D2280" s="8">
        <v>1001</v>
      </c>
      <c r="E2280" t="s">
        <v>5916</v>
      </c>
      <c r="F2280" t="s">
        <v>5916</v>
      </c>
      <c r="G2280" t="s">
        <v>5917</v>
      </c>
      <c r="H2280" t="s">
        <v>5911</v>
      </c>
      <c r="I2280">
        <v>1</v>
      </c>
      <c r="J2280" s="69">
        <v>5</v>
      </c>
      <c r="K2280" s="33">
        <v>1</v>
      </c>
      <c r="L2280">
        <v>999</v>
      </c>
      <c r="M2280">
        <v>0</v>
      </c>
      <c r="S2280" s="33">
        <v>1</v>
      </c>
      <c r="T2280">
        <v>5</v>
      </c>
      <c r="U2280">
        <v>110</v>
      </c>
      <c r="V2280" s="33">
        <v>1</v>
      </c>
      <c r="W2280">
        <v>1</v>
      </c>
      <c r="X2280">
        <v>1</v>
      </c>
      <c r="Y2280">
        <v>0</v>
      </c>
      <c r="Z2280" s="33">
        <v>0</v>
      </c>
      <c r="AA2280">
        <v>5</v>
      </c>
      <c r="AB2280">
        <v>4000</v>
      </c>
      <c r="AC2280">
        <v>0</v>
      </c>
      <c r="AD2280" s="12">
        <v>0</v>
      </c>
      <c r="AE2280" s="12">
        <v>0</v>
      </c>
      <c r="AF2280" s="12">
        <v>0</v>
      </c>
      <c r="AG2280" s="430"/>
      <c r="AH2280" s="430">
        <v>1</v>
      </c>
      <c r="AI2280" s="430"/>
      <c r="AJ2280" s="430"/>
      <c r="AK2280" s="430"/>
      <c r="AL2280" s="214">
        <v>1</v>
      </c>
      <c r="AM2280" s="214"/>
      <c r="AN2280" s="431"/>
      <c r="AO2280" s="214"/>
      <c r="AP2280" s="214"/>
      <c r="AS2280">
        <v>1</v>
      </c>
    </row>
    <row r="2281" spans="1:45">
      <c r="A2281">
        <v>511312</v>
      </c>
      <c r="B2281" s="425">
        <v>1001</v>
      </c>
      <c r="C2281" s="425">
        <v>1</v>
      </c>
      <c r="D2281" s="8">
        <v>1001</v>
      </c>
      <c r="E2281" t="s">
        <v>5918</v>
      </c>
      <c r="F2281" t="s">
        <v>5914</v>
      </c>
      <c r="G2281" t="s">
        <v>5919</v>
      </c>
      <c r="H2281" t="s">
        <v>5920</v>
      </c>
      <c r="I2281">
        <v>1</v>
      </c>
      <c r="J2281" s="69">
        <v>5</v>
      </c>
      <c r="K2281" s="33">
        <v>1</v>
      </c>
      <c r="L2281">
        <v>999</v>
      </c>
      <c r="M2281">
        <v>0</v>
      </c>
      <c r="S2281" s="33">
        <v>1</v>
      </c>
      <c r="T2281">
        <v>5</v>
      </c>
      <c r="U2281">
        <v>110</v>
      </c>
      <c r="V2281" s="33">
        <v>1</v>
      </c>
      <c r="W2281">
        <v>1</v>
      </c>
      <c r="X2281">
        <v>1</v>
      </c>
      <c r="Y2281">
        <v>0</v>
      </c>
      <c r="Z2281" s="33">
        <v>0</v>
      </c>
      <c r="AA2281">
        <v>5</v>
      </c>
      <c r="AB2281">
        <v>4000</v>
      </c>
      <c r="AC2281">
        <v>0</v>
      </c>
      <c r="AD2281" s="12">
        <v>0</v>
      </c>
      <c r="AE2281" s="12">
        <v>0</v>
      </c>
      <c r="AF2281" s="12">
        <v>0</v>
      </c>
      <c r="AG2281" s="430"/>
      <c r="AH2281" s="430">
        <v>1</v>
      </c>
      <c r="AI2281" s="430"/>
      <c r="AJ2281" s="430"/>
      <c r="AK2281" s="430"/>
      <c r="AL2281" s="214">
        <v>1</v>
      </c>
      <c r="AM2281" s="214"/>
      <c r="AN2281" s="431"/>
      <c r="AO2281" s="214"/>
      <c r="AP2281" s="214"/>
      <c r="AS2281">
        <v>1</v>
      </c>
    </row>
    <row r="2282" spans="1:45">
      <c r="A2282">
        <v>511313</v>
      </c>
      <c r="B2282" s="425">
        <v>1001</v>
      </c>
      <c r="C2282" s="425">
        <v>1</v>
      </c>
      <c r="D2282" s="8">
        <v>1001</v>
      </c>
      <c r="E2282" t="s">
        <v>5921</v>
      </c>
      <c r="F2282" t="s">
        <v>5921</v>
      </c>
      <c r="G2282" t="s">
        <v>5922</v>
      </c>
      <c r="H2282" t="s">
        <v>5923</v>
      </c>
      <c r="I2282">
        <v>1</v>
      </c>
      <c r="J2282" s="69">
        <v>5</v>
      </c>
      <c r="K2282" s="33">
        <v>1</v>
      </c>
      <c r="L2282">
        <v>999</v>
      </c>
      <c r="M2282">
        <v>0</v>
      </c>
      <c r="N2282" s="8"/>
      <c r="S2282" s="254">
        <v>1</v>
      </c>
      <c r="T2282" s="238">
        <v>5</v>
      </c>
      <c r="U2282" s="238">
        <v>110</v>
      </c>
      <c r="V2282" s="254">
        <v>1</v>
      </c>
      <c r="W2282" s="238">
        <v>1</v>
      </c>
      <c r="X2282" s="238">
        <v>1</v>
      </c>
      <c r="Y2282">
        <v>0</v>
      </c>
      <c r="Z2282" s="33">
        <v>0</v>
      </c>
      <c r="AA2282">
        <v>5</v>
      </c>
      <c r="AB2282">
        <v>4000</v>
      </c>
      <c r="AC2282" s="238">
        <v>0</v>
      </c>
      <c r="AD2282" s="12">
        <v>0</v>
      </c>
      <c r="AE2282" s="432">
        <v>0</v>
      </c>
      <c r="AF2282" s="432">
        <v>0</v>
      </c>
      <c r="AG2282" s="433"/>
      <c r="AH2282" s="433">
        <v>1</v>
      </c>
      <c r="AI2282" s="433"/>
      <c r="AJ2282" s="433"/>
      <c r="AK2282" s="433"/>
      <c r="AL2282" s="434">
        <v>1</v>
      </c>
      <c r="AM2282" s="434"/>
      <c r="AN2282" s="435"/>
      <c r="AO2282" s="434"/>
      <c r="AP2282" s="214"/>
      <c r="AS2282">
        <v>1</v>
      </c>
    </row>
    <row r="2283" spans="1:45">
      <c r="A2283">
        <v>511314</v>
      </c>
      <c r="B2283" s="425">
        <v>1001</v>
      </c>
      <c r="C2283" s="8">
        <v>6</v>
      </c>
      <c r="D2283" s="8">
        <v>1001</v>
      </c>
      <c r="E2283" t="s">
        <v>5924</v>
      </c>
      <c r="F2283" t="s">
        <v>5924</v>
      </c>
      <c r="G2283" t="s">
        <v>5925</v>
      </c>
      <c r="H2283" t="s">
        <v>1311</v>
      </c>
      <c r="I2283">
        <v>1</v>
      </c>
      <c r="J2283">
        <v>5</v>
      </c>
      <c r="K2283" s="33">
        <v>2</v>
      </c>
      <c r="L2283">
        <v>999</v>
      </c>
      <c r="M2283">
        <v>0</v>
      </c>
      <c r="N2283" s="8">
        <v>1</v>
      </c>
      <c r="O2283" s="271" t="s">
        <v>5926</v>
      </c>
      <c r="S2283" s="89">
        <v>0</v>
      </c>
      <c r="T2283" s="8">
        <v>5</v>
      </c>
      <c r="U2283" s="89">
        <v>1</v>
      </c>
      <c r="V2283" s="87">
        <v>1</v>
      </c>
      <c r="W2283" s="8">
        <v>1</v>
      </c>
      <c r="X2283" s="8">
        <v>1</v>
      </c>
      <c r="Y2283">
        <v>0</v>
      </c>
      <c r="Z2283" s="33">
        <v>0</v>
      </c>
      <c r="AA2283">
        <v>5</v>
      </c>
      <c r="AB2283">
        <v>100</v>
      </c>
      <c r="AC2283" s="87">
        <v>0</v>
      </c>
      <c r="AD2283" s="62">
        <v>0</v>
      </c>
      <c r="AE2283" s="90">
        <v>4</v>
      </c>
      <c r="AF2283" s="90">
        <v>2</v>
      </c>
      <c r="AG2283" s="91"/>
      <c r="AH2283" s="91"/>
      <c r="AI2283" s="91"/>
      <c r="AJ2283" s="91"/>
      <c r="AK2283" s="91"/>
      <c r="AL2283" s="92"/>
      <c r="AM2283" s="92"/>
      <c r="AN2283" s="93"/>
      <c r="AO2283" s="92"/>
      <c r="AS2283">
        <v>1</v>
      </c>
    </row>
    <row r="2284" spans="1:45">
      <c r="A2284">
        <v>511315</v>
      </c>
      <c r="B2284" s="425">
        <v>1001</v>
      </c>
      <c r="C2284" s="236">
        <v>6</v>
      </c>
      <c r="D2284" s="8">
        <v>1001</v>
      </c>
      <c r="E2284" t="s">
        <v>5927</v>
      </c>
      <c r="F2284" t="s">
        <v>5927</v>
      </c>
      <c r="G2284" t="s">
        <v>5928</v>
      </c>
      <c r="H2284" t="s">
        <v>2567</v>
      </c>
      <c r="I2284">
        <v>1</v>
      </c>
      <c r="J2284">
        <v>5</v>
      </c>
      <c r="K2284" s="33">
        <v>2</v>
      </c>
      <c r="L2284">
        <v>999</v>
      </c>
      <c r="M2284">
        <v>0</v>
      </c>
      <c r="N2284" s="236">
        <v>1</v>
      </c>
      <c r="O2284" s="271" t="s">
        <v>5929</v>
      </c>
      <c r="S2284" s="89">
        <v>0</v>
      </c>
      <c r="T2284" s="8">
        <v>5</v>
      </c>
      <c r="U2284" s="89">
        <v>1</v>
      </c>
      <c r="V2284" s="87">
        <v>1</v>
      </c>
      <c r="W2284" s="8">
        <v>1</v>
      </c>
      <c r="X2284" s="8">
        <v>1</v>
      </c>
      <c r="Y2284">
        <v>0</v>
      </c>
      <c r="Z2284" s="33">
        <v>0</v>
      </c>
      <c r="AA2284">
        <v>5</v>
      </c>
      <c r="AB2284">
        <v>100</v>
      </c>
      <c r="AC2284" s="87">
        <v>0</v>
      </c>
      <c r="AD2284" s="62">
        <v>0</v>
      </c>
      <c r="AE2284" s="90">
        <v>4</v>
      </c>
      <c r="AF2284" s="90">
        <v>2</v>
      </c>
      <c r="AG2284" s="91"/>
      <c r="AH2284" s="91"/>
      <c r="AI2284" s="91"/>
      <c r="AJ2284" s="91"/>
      <c r="AK2284" s="91"/>
      <c r="AL2284" s="92"/>
      <c r="AM2284" s="252"/>
      <c r="AN2284" s="338"/>
      <c r="AO2284" s="252"/>
      <c r="AS2284">
        <v>1</v>
      </c>
    </row>
    <row r="2285" spans="1:45">
      <c r="A2285">
        <v>511316</v>
      </c>
      <c r="B2285" s="425">
        <v>1001</v>
      </c>
      <c r="C2285">
        <v>1</v>
      </c>
      <c r="D2285" s="8">
        <v>1001</v>
      </c>
      <c r="E2285" s="36" t="s">
        <v>5930</v>
      </c>
      <c r="F2285" t="s">
        <v>5930</v>
      </c>
      <c r="G2285" t="s">
        <v>5931</v>
      </c>
      <c r="H2285" t="s">
        <v>5932</v>
      </c>
      <c r="I2285">
        <v>1</v>
      </c>
      <c r="J2285">
        <v>4</v>
      </c>
      <c r="K2285" s="33">
        <v>1</v>
      </c>
      <c r="L2285">
        <v>999</v>
      </c>
      <c r="M2285">
        <v>0</v>
      </c>
      <c r="S2285" s="118">
        <v>0</v>
      </c>
      <c r="T2285" s="118">
        <v>5</v>
      </c>
      <c r="U2285" s="118">
        <v>1</v>
      </c>
      <c r="V2285" s="87">
        <v>1</v>
      </c>
      <c r="W2285" s="8">
        <v>1</v>
      </c>
      <c r="X2285" s="8">
        <v>1</v>
      </c>
      <c r="Y2285">
        <v>0</v>
      </c>
      <c r="Z2285" s="33">
        <v>0</v>
      </c>
      <c r="AA2285">
        <v>5</v>
      </c>
      <c r="AB2285">
        <v>100</v>
      </c>
      <c r="AC2285" s="87">
        <v>0</v>
      </c>
      <c r="AD2285" s="62">
        <v>0</v>
      </c>
      <c r="AE2285" s="90">
        <v>0</v>
      </c>
      <c r="AF2285" s="90">
        <v>0</v>
      </c>
      <c r="AG2285" s="91"/>
      <c r="AH2285" s="91"/>
      <c r="AI2285" s="91"/>
      <c r="AJ2285" s="91"/>
      <c r="AK2285" s="91"/>
      <c r="AL2285" s="92"/>
      <c r="AS2285">
        <v>1</v>
      </c>
    </row>
    <row r="2286" spans="1:45">
      <c r="A2286">
        <v>511317</v>
      </c>
      <c r="B2286" s="407">
        <v>1001</v>
      </c>
      <c r="C2286">
        <v>1</v>
      </c>
      <c r="D2286" s="236">
        <v>1001</v>
      </c>
      <c r="E2286" s="36" t="s">
        <v>5933</v>
      </c>
      <c r="F2286" t="s">
        <v>5933</v>
      </c>
      <c r="G2286" t="s">
        <v>5931</v>
      </c>
      <c r="H2286" t="s">
        <v>5934</v>
      </c>
      <c r="I2286">
        <v>1</v>
      </c>
      <c r="J2286">
        <v>5</v>
      </c>
      <c r="K2286" s="33">
        <v>1</v>
      </c>
      <c r="L2286">
        <v>999</v>
      </c>
      <c r="M2286">
        <v>0</v>
      </c>
      <c r="N2286"/>
      <c r="O2286" s="231"/>
      <c r="S2286" s="436">
        <v>0</v>
      </c>
      <c r="T2286" s="436">
        <v>5</v>
      </c>
      <c r="U2286" s="436">
        <v>1</v>
      </c>
      <c r="V2286" s="248">
        <v>1</v>
      </c>
      <c r="W2286" s="236">
        <v>1</v>
      </c>
      <c r="X2286" s="236">
        <v>1</v>
      </c>
      <c r="Y2286">
        <v>0</v>
      </c>
      <c r="Z2286" s="33">
        <v>0</v>
      </c>
      <c r="AA2286">
        <v>5</v>
      </c>
      <c r="AB2286">
        <v>100</v>
      </c>
      <c r="AC2286" s="248">
        <v>0</v>
      </c>
      <c r="AD2286" s="62">
        <v>0</v>
      </c>
      <c r="AE2286" s="250">
        <v>0</v>
      </c>
      <c r="AF2286" s="250">
        <v>0</v>
      </c>
      <c r="AG2286" s="251"/>
      <c r="AH2286" s="251"/>
      <c r="AI2286" s="251"/>
      <c r="AJ2286" s="251"/>
      <c r="AK2286" s="251"/>
      <c r="AL2286" s="252"/>
      <c r="AS2286">
        <v>1</v>
      </c>
    </row>
    <row r="2287" spans="1:45">
      <c r="A2287">
        <v>511318</v>
      </c>
      <c r="B2287">
        <v>1001</v>
      </c>
      <c r="C2287">
        <v>6</v>
      </c>
      <c r="D2287">
        <v>1001</v>
      </c>
      <c r="E2287" t="s">
        <v>5752</v>
      </c>
      <c r="F2287" t="s">
        <v>5752</v>
      </c>
      <c r="G2287" s="3" t="s">
        <v>5935</v>
      </c>
      <c r="H2287" t="s">
        <v>204</v>
      </c>
      <c r="I2287">
        <v>1</v>
      </c>
      <c r="J2287">
        <v>5</v>
      </c>
      <c r="K2287" s="33">
        <v>2</v>
      </c>
      <c r="L2287">
        <v>999</v>
      </c>
      <c r="M2287">
        <v>0</v>
      </c>
      <c r="N2287">
        <v>1018</v>
      </c>
      <c r="O2287" s="231" t="s">
        <v>5936</v>
      </c>
      <c r="S2287" s="33">
        <v>1</v>
      </c>
      <c r="T2287">
        <v>5</v>
      </c>
      <c r="U2287">
        <v>1</v>
      </c>
      <c r="V2287" s="33">
        <v>1</v>
      </c>
      <c r="W2287">
        <v>1</v>
      </c>
      <c r="X2287">
        <v>1</v>
      </c>
      <c r="Y2287">
        <v>0</v>
      </c>
      <c r="Z2287" s="33">
        <v>0</v>
      </c>
      <c r="AA2287">
        <v>5</v>
      </c>
      <c r="AB2287">
        <v>100</v>
      </c>
      <c r="AC2287">
        <v>70</v>
      </c>
      <c r="AD2287" s="62">
        <v>0</v>
      </c>
      <c r="AE2287" s="62">
        <v>5</v>
      </c>
      <c r="AF2287" s="62">
        <v>2</v>
      </c>
      <c r="AS2287">
        <v>1</v>
      </c>
    </row>
    <row r="2288" spans="1:45">
      <c r="A2288">
        <v>511319</v>
      </c>
      <c r="B2288" s="238">
        <v>1001</v>
      </c>
      <c r="C2288" s="238">
        <v>6</v>
      </c>
      <c r="D2288" s="238">
        <v>1001</v>
      </c>
      <c r="E2288" t="s">
        <v>5749</v>
      </c>
      <c r="F2288" t="s">
        <v>5749</v>
      </c>
      <c r="G2288" t="s">
        <v>5937</v>
      </c>
      <c r="H2288" t="s">
        <v>204</v>
      </c>
      <c r="I2288">
        <v>1</v>
      </c>
      <c r="J2288">
        <v>5</v>
      </c>
      <c r="K2288" s="33">
        <v>2</v>
      </c>
      <c r="L2288">
        <v>999</v>
      </c>
      <c r="M2288">
        <v>0</v>
      </c>
      <c r="N2288" s="238">
        <v>1018</v>
      </c>
      <c r="O2288" s="2" t="s">
        <v>5938</v>
      </c>
      <c r="S2288" s="254">
        <v>1</v>
      </c>
      <c r="T2288" s="238">
        <v>5</v>
      </c>
      <c r="U2288" s="238">
        <v>1</v>
      </c>
      <c r="V2288" s="254">
        <v>1</v>
      </c>
      <c r="W2288" s="238">
        <v>1</v>
      </c>
      <c r="X2288" s="238">
        <v>1</v>
      </c>
      <c r="Y2288">
        <v>0</v>
      </c>
      <c r="Z2288" s="33">
        <v>0</v>
      </c>
      <c r="AA2288">
        <v>5</v>
      </c>
      <c r="AB2288">
        <v>100</v>
      </c>
      <c r="AC2288" s="238">
        <v>70</v>
      </c>
      <c r="AD2288" s="62">
        <v>0</v>
      </c>
      <c r="AE2288" s="255">
        <v>5</v>
      </c>
      <c r="AF2288" s="255">
        <v>2</v>
      </c>
      <c r="AG2288" s="91"/>
      <c r="AH2288" s="91"/>
      <c r="AI2288" s="91"/>
      <c r="AJ2288" s="91"/>
      <c r="AK2288" s="91"/>
      <c r="AL2288" s="92"/>
      <c r="AM2288" s="92"/>
      <c r="AN2288" s="93"/>
      <c r="AO2288" s="92"/>
      <c r="AS2288">
        <v>1</v>
      </c>
    </row>
    <row r="2289" spans="1:45">
      <c r="A2289">
        <v>511320</v>
      </c>
      <c r="B2289" s="425">
        <v>1001</v>
      </c>
      <c r="C2289" s="8">
        <v>6</v>
      </c>
      <c r="D2289" s="8">
        <v>1001</v>
      </c>
      <c r="E2289" t="s">
        <v>5939</v>
      </c>
      <c r="F2289" t="s">
        <v>5939</v>
      </c>
      <c r="G2289" t="s">
        <v>5940</v>
      </c>
      <c r="H2289" t="s">
        <v>1667</v>
      </c>
      <c r="I2289">
        <v>1</v>
      </c>
      <c r="J2289">
        <v>5</v>
      </c>
      <c r="K2289" s="33">
        <v>2</v>
      </c>
      <c r="L2289">
        <v>999</v>
      </c>
      <c r="M2289">
        <v>0</v>
      </c>
      <c r="N2289" s="8">
        <v>1</v>
      </c>
      <c r="O2289" s="271" t="s">
        <v>5941</v>
      </c>
      <c r="S2289" s="89">
        <v>0</v>
      </c>
      <c r="T2289" s="8">
        <v>5</v>
      </c>
      <c r="U2289" s="89">
        <v>1</v>
      </c>
      <c r="V2289" s="87">
        <v>1</v>
      </c>
      <c r="W2289" s="8">
        <v>1</v>
      </c>
      <c r="X2289" s="8">
        <v>1</v>
      </c>
      <c r="Y2289">
        <v>0</v>
      </c>
      <c r="Z2289" s="33">
        <v>0</v>
      </c>
      <c r="AA2289">
        <v>5</v>
      </c>
      <c r="AB2289">
        <v>100</v>
      </c>
      <c r="AC2289" s="87">
        <v>0</v>
      </c>
      <c r="AD2289" s="62">
        <v>0</v>
      </c>
      <c r="AE2289" s="90">
        <v>4</v>
      </c>
      <c r="AF2289" s="90">
        <v>2</v>
      </c>
      <c r="AG2289" s="91"/>
      <c r="AH2289" s="91"/>
      <c r="AI2289" s="91"/>
      <c r="AJ2289" s="91"/>
      <c r="AK2289" s="91"/>
      <c r="AL2289" s="92"/>
      <c r="AM2289" s="92"/>
      <c r="AN2289" s="93"/>
      <c r="AO2289" s="92"/>
      <c r="AS2289">
        <v>1</v>
      </c>
    </row>
    <row r="2290" spans="1:45">
      <c r="A2290">
        <v>511321</v>
      </c>
      <c r="B2290" s="425">
        <v>1001</v>
      </c>
      <c r="C2290" s="8">
        <v>6</v>
      </c>
      <c r="D2290" s="8">
        <v>1001</v>
      </c>
      <c r="E2290" t="s">
        <v>5942</v>
      </c>
      <c r="F2290" t="s">
        <v>5942</v>
      </c>
      <c r="G2290" t="s">
        <v>5943</v>
      </c>
      <c r="H2290" t="s">
        <v>204</v>
      </c>
      <c r="I2290">
        <v>1</v>
      </c>
      <c r="J2290">
        <v>5</v>
      </c>
      <c r="K2290" s="33">
        <v>2</v>
      </c>
      <c r="L2290">
        <v>999</v>
      </c>
      <c r="M2290">
        <v>0</v>
      </c>
      <c r="N2290" s="8">
        <v>1</v>
      </c>
      <c r="O2290" s="271" t="s">
        <v>5944</v>
      </c>
      <c r="S2290" s="89">
        <v>0</v>
      </c>
      <c r="T2290" s="8">
        <v>5</v>
      </c>
      <c r="U2290" s="89">
        <v>1</v>
      </c>
      <c r="V2290" s="87">
        <v>1</v>
      </c>
      <c r="W2290" s="8">
        <v>1</v>
      </c>
      <c r="X2290" s="8">
        <v>1</v>
      </c>
      <c r="Y2290">
        <v>0</v>
      </c>
      <c r="Z2290" s="33">
        <v>0</v>
      </c>
      <c r="AA2290">
        <v>5</v>
      </c>
      <c r="AB2290">
        <v>100</v>
      </c>
      <c r="AC2290" s="87">
        <v>0</v>
      </c>
      <c r="AD2290" s="62">
        <v>0</v>
      </c>
      <c r="AE2290" s="90">
        <v>4</v>
      </c>
      <c r="AF2290" s="90">
        <v>2</v>
      </c>
      <c r="AG2290" s="91"/>
      <c r="AH2290" s="91"/>
      <c r="AI2290" s="91"/>
      <c r="AJ2290" s="91"/>
      <c r="AK2290" s="91"/>
      <c r="AL2290" s="92"/>
      <c r="AM2290" s="92"/>
      <c r="AN2290" s="93"/>
      <c r="AO2290" s="92"/>
      <c r="AS2290">
        <v>1</v>
      </c>
    </row>
    <row r="2291" spans="1:45">
      <c r="A2291">
        <v>511322</v>
      </c>
      <c r="B2291" s="407">
        <v>1001</v>
      </c>
      <c r="C2291" s="236">
        <v>6</v>
      </c>
      <c r="D2291" s="236">
        <v>1001</v>
      </c>
      <c r="E2291" t="s">
        <v>5945</v>
      </c>
      <c r="F2291" t="s">
        <v>5945</v>
      </c>
      <c r="G2291" t="s">
        <v>5946</v>
      </c>
      <c r="H2291" t="s">
        <v>312</v>
      </c>
      <c r="I2291">
        <v>1</v>
      </c>
      <c r="J2291">
        <v>4</v>
      </c>
      <c r="K2291" s="33">
        <v>2</v>
      </c>
      <c r="L2291">
        <v>999</v>
      </c>
      <c r="M2291">
        <v>0</v>
      </c>
      <c r="N2291" s="236">
        <v>1017</v>
      </c>
      <c r="O2291" s="271" t="s">
        <v>5947</v>
      </c>
      <c r="S2291" s="336">
        <v>1</v>
      </c>
      <c r="T2291" s="236">
        <v>5</v>
      </c>
      <c r="U2291" s="336">
        <v>1</v>
      </c>
      <c r="V2291" s="248">
        <v>1</v>
      </c>
      <c r="W2291" s="236">
        <v>1</v>
      </c>
      <c r="X2291" s="236">
        <v>1</v>
      </c>
      <c r="Y2291">
        <v>0</v>
      </c>
      <c r="Z2291" s="33">
        <v>0</v>
      </c>
      <c r="AA2291">
        <v>5</v>
      </c>
      <c r="AB2291">
        <v>100</v>
      </c>
      <c r="AC2291" s="248">
        <v>0</v>
      </c>
      <c r="AD2291" s="62">
        <v>0</v>
      </c>
      <c r="AE2291" s="250">
        <v>4</v>
      </c>
      <c r="AF2291" s="250">
        <v>2</v>
      </c>
      <c r="AG2291" s="251"/>
      <c r="AH2291" s="251"/>
      <c r="AI2291" s="251"/>
      <c r="AJ2291" s="251"/>
      <c r="AK2291" s="251"/>
      <c r="AL2291" s="252"/>
      <c r="AM2291" s="252"/>
      <c r="AN2291" s="338"/>
      <c r="AO2291" s="252"/>
      <c r="AS2291">
        <v>1</v>
      </c>
    </row>
    <row r="2292" ht="14.25" customHeight="1" spans="1:45">
      <c r="A2292">
        <v>511323</v>
      </c>
      <c r="B2292" s="238">
        <v>1001</v>
      </c>
      <c r="C2292" s="238">
        <v>6</v>
      </c>
      <c r="D2292" s="238">
        <v>1001</v>
      </c>
      <c r="E2292" t="s">
        <v>5874</v>
      </c>
      <c r="F2292" t="s">
        <v>5874</v>
      </c>
      <c r="G2292" t="s">
        <v>5948</v>
      </c>
      <c r="H2292" t="s">
        <v>204</v>
      </c>
      <c r="I2292">
        <v>1</v>
      </c>
      <c r="J2292">
        <v>5</v>
      </c>
      <c r="K2292" s="254">
        <v>2</v>
      </c>
      <c r="L2292" s="238">
        <v>999</v>
      </c>
      <c r="M2292" s="238">
        <v>0</v>
      </c>
      <c r="N2292" s="238">
        <v>1018</v>
      </c>
      <c r="O2292" s="2" t="s">
        <v>5949</v>
      </c>
      <c r="S2292" s="254">
        <v>1</v>
      </c>
      <c r="T2292" s="238">
        <v>5</v>
      </c>
      <c r="U2292" s="238">
        <v>1</v>
      </c>
      <c r="V2292" s="254">
        <v>1</v>
      </c>
      <c r="W2292">
        <v>1</v>
      </c>
      <c r="X2292" s="238">
        <v>1</v>
      </c>
      <c r="Y2292">
        <v>0</v>
      </c>
      <c r="Z2292" s="33">
        <v>0</v>
      </c>
      <c r="AA2292">
        <v>5</v>
      </c>
      <c r="AB2292">
        <v>100</v>
      </c>
      <c r="AC2292" s="238">
        <v>70</v>
      </c>
      <c r="AD2292" s="62">
        <v>0</v>
      </c>
      <c r="AE2292" s="255">
        <v>5</v>
      </c>
      <c r="AF2292" s="255">
        <v>2</v>
      </c>
      <c r="AG2292" s="91"/>
      <c r="AH2292" s="91"/>
      <c r="AI2292" s="91"/>
      <c r="AJ2292" s="91"/>
      <c r="AK2292" s="91"/>
      <c r="AL2292" s="92"/>
      <c r="AM2292" s="92"/>
      <c r="AN2292" s="93"/>
      <c r="AO2292" s="92"/>
      <c r="AP2292" s="86"/>
      <c r="AS2292">
        <v>1</v>
      </c>
    </row>
    <row r="2293" ht="14.25" customHeight="1" spans="1:45">
      <c r="A2293">
        <v>511324</v>
      </c>
      <c r="B2293" s="8">
        <v>1001</v>
      </c>
      <c r="C2293" s="8">
        <v>1</v>
      </c>
      <c r="D2293" s="8">
        <v>1001</v>
      </c>
      <c r="E2293" t="s">
        <v>5950</v>
      </c>
      <c r="F2293" t="s">
        <v>5950</v>
      </c>
      <c r="G2293" t="s">
        <v>5951</v>
      </c>
      <c r="H2293" t="s">
        <v>1667</v>
      </c>
      <c r="I2293">
        <v>100</v>
      </c>
      <c r="J2293" s="69">
        <v>5</v>
      </c>
      <c r="K2293" s="87">
        <v>2</v>
      </c>
      <c r="L2293" s="8">
        <v>999</v>
      </c>
      <c r="M2293" s="8">
        <v>0</v>
      </c>
      <c r="N2293" s="8">
        <v>1017</v>
      </c>
      <c r="O2293" s="2">
        <v>10335</v>
      </c>
      <c r="S2293" s="89">
        <v>1</v>
      </c>
      <c r="T2293" s="8">
        <v>5</v>
      </c>
      <c r="U2293" s="89">
        <v>200</v>
      </c>
      <c r="V2293" s="87">
        <v>1</v>
      </c>
      <c r="W2293">
        <v>1</v>
      </c>
      <c r="X2293" s="8">
        <v>1</v>
      </c>
      <c r="Y2293">
        <v>0</v>
      </c>
      <c r="Z2293" s="33">
        <v>0</v>
      </c>
      <c r="AA2293">
        <v>5</v>
      </c>
      <c r="AB2293" s="34">
        <v>7600</v>
      </c>
      <c r="AC2293" s="87">
        <v>110</v>
      </c>
      <c r="AD2293" s="62">
        <v>0</v>
      </c>
      <c r="AE2293" s="90">
        <v>4</v>
      </c>
      <c r="AF2293" s="90">
        <v>2</v>
      </c>
      <c r="AG2293" s="91"/>
      <c r="AH2293" s="91">
        <v>1</v>
      </c>
      <c r="AI2293" s="91"/>
      <c r="AJ2293" s="91"/>
      <c r="AK2293" s="91"/>
      <c r="AL2293" s="92">
        <v>1</v>
      </c>
      <c r="AM2293" s="92"/>
      <c r="AN2293" s="93"/>
      <c r="AO2293" s="92"/>
      <c r="AP2293" s="86"/>
      <c r="AS2293">
        <v>1</v>
      </c>
    </row>
    <row r="2294" ht="14.25" customHeight="1" spans="1:45">
      <c r="A2294">
        <v>511325</v>
      </c>
      <c r="B2294" s="8">
        <v>1001</v>
      </c>
      <c r="C2294" s="8">
        <v>1</v>
      </c>
      <c r="D2294" s="8">
        <v>1001</v>
      </c>
      <c r="E2294" t="s">
        <v>5952</v>
      </c>
      <c r="F2294" t="s">
        <v>5952</v>
      </c>
      <c r="G2294" t="s">
        <v>5953</v>
      </c>
      <c r="H2294" t="s">
        <v>1763</v>
      </c>
      <c r="I2294">
        <v>1</v>
      </c>
      <c r="J2294" s="69">
        <v>5</v>
      </c>
      <c r="K2294" s="87">
        <v>2</v>
      </c>
      <c r="L2294" s="8">
        <v>999</v>
      </c>
      <c r="M2294" s="8">
        <v>0</v>
      </c>
      <c r="N2294" s="8">
        <v>1017</v>
      </c>
      <c r="O2294" s="2">
        <v>10348</v>
      </c>
      <c r="S2294" s="89">
        <v>1</v>
      </c>
      <c r="T2294" s="8">
        <v>5</v>
      </c>
      <c r="U2294" s="89">
        <v>200</v>
      </c>
      <c r="V2294" s="87">
        <v>1</v>
      </c>
      <c r="W2294">
        <v>1</v>
      </c>
      <c r="X2294" s="8">
        <v>1</v>
      </c>
      <c r="Y2294">
        <v>0</v>
      </c>
      <c r="Z2294" s="33">
        <v>0</v>
      </c>
      <c r="AA2294">
        <v>5</v>
      </c>
      <c r="AB2294" s="34">
        <v>7600</v>
      </c>
      <c r="AC2294" s="87">
        <v>110</v>
      </c>
      <c r="AD2294" s="62">
        <v>0</v>
      </c>
      <c r="AE2294" s="90">
        <v>4</v>
      </c>
      <c r="AF2294" s="90">
        <v>2</v>
      </c>
      <c r="AG2294" s="91"/>
      <c r="AH2294" s="91">
        <v>1</v>
      </c>
      <c r="AI2294" s="91"/>
      <c r="AJ2294" s="91"/>
      <c r="AK2294" s="91"/>
      <c r="AL2294" s="92">
        <v>1</v>
      </c>
      <c r="AM2294" s="92"/>
      <c r="AN2294" s="93"/>
      <c r="AO2294" s="92"/>
      <c r="AP2294" s="86"/>
      <c r="AS2294">
        <v>1</v>
      </c>
    </row>
    <row r="2295" ht="14.25" customHeight="1" spans="1:45">
      <c r="A2295">
        <v>511326</v>
      </c>
      <c r="B2295" s="8">
        <v>1001</v>
      </c>
      <c r="C2295" s="236">
        <v>1</v>
      </c>
      <c r="D2295" s="8">
        <v>1001</v>
      </c>
      <c r="E2295" s="238" t="s">
        <v>5954</v>
      </c>
      <c r="F2295" s="238" t="s">
        <v>5954</v>
      </c>
      <c r="G2295" s="238" t="s">
        <v>5955</v>
      </c>
      <c r="H2295" t="s">
        <v>1763</v>
      </c>
      <c r="I2295">
        <v>1</v>
      </c>
      <c r="J2295" s="69">
        <v>5</v>
      </c>
      <c r="K2295" s="248">
        <v>2</v>
      </c>
      <c r="L2295" s="236">
        <v>999</v>
      </c>
      <c r="M2295" s="236">
        <v>0</v>
      </c>
      <c r="N2295" s="236">
        <v>1017</v>
      </c>
      <c r="O2295" s="2">
        <v>10349</v>
      </c>
      <c r="S2295" s="336">
        <v>1</v>
      </c>
      <c r="T2295" s="236">
        <v>5</v>
      </c>
      <c r="U2295" s="336">
        <v>200</v>
      </c>
      <c r="V2295" s="248">
        <v>1</v>
      </c>
      <c r="W2295">
        <v>1</v>
      </c>
      <c r="X2295" s="8">
        <v>1</v>
      </c>
      <c r="Y2295">
        <v>0</v>
      </c>
      <c r="Z2295" s="33">
        <v>0</v>
      </c>
      <c r="AA2295">
        <v>5</v>
      </c>
      <c r="AB2295" s="34">
        <v>7600</v>
      </c>
      <c r="AC2295" s="248">
        <v>110</v>
      </c>
      <c r="AD2295" s="62">
        <v>0</v>
      </c>
      <c r="AE2295" s="250">
        <v>4</v>
      </c>
      <c r="AF2295" s="250">
        <v>2</v>
      </c>
      <c r="AG2295" s="251"/>
      <c r="AH2295" s="251">
        <v>1</v>
      </c>
      <c r="AI2295" s="251"/>
      <c r="AJ2295" s="251"/>
      <c r="AK2295" s="251"/>
      <c r="AL2295" s="252">
        <v>1</v>
      </c>
      <c r="AM2295" s="252"/>
      <c r="AN2295" s="338"/>
      <c r="AO2295" s="252"/>
      <c r="AP2295" s="86"/>
      <c r="AS2295">
        <v>1</v>
      </c>
    </row>
    <row r="2296" spans="1:45">
      <c r="A2296">
        <v>511327</v>
      </c>
      <c r="B2296" s="8">
        <v>1001</v>
      </c>
      <c r="C2296">
        <v>6</v>
      </c>
      <c r="D2296" s="8">
        <v>1001</v>
      </c>
      <c r="E2296" s="401" t="s">
        <v>5956</v>
      </c>
      <c r="F2296" s="401" t="s">
        <v>5956</v>
      </c>
      <c r="G2296" s="401" t="s">
        <v>5957</v>
      </c>
      <c r="H2296" t="s">
        <v>1520</v>
      </c>
      <c r="I2296">
        <v>1</v>
      </c>
      <c r="J2296">
        <v>5</v>
      </c>
      <c r="K2296" s="33">
        <v>2</v>
      </c>
      <c r="L2296">
        <v>999</v>
      </c>
      <c r="M2296">
        <v>0</v>
      </c>
      <c r="N2296">
        <v>1017</v>
      </c>
      <c r="O2296" s="249">
        <v>33050</v>
      </c>
      <c r="S2296" s="33">
        <v>1</v>
      </c>
      <c r="T2296">
        <v>5</v>
      </c>
      <c r="U2296">
        <v>1</v>
      </c>
      <c r="V2296" s="33">
        <v>1</v>
      </c>
      <c r="W2296">
        <v>1</v>
      </c>
      <c r="X2296" s="8">
        <v>1</v>
      </c>
      <c r="Y2296">
        <v>0</v>
      </c>
      <c r="Z2296" s="33">
        <v>0</v>
      </c>
      <c r="AA2296">
        <v>5</v>
      </c>
      <c r="AB2296">
        <v>100</v>
      </c>
      <c r="AC2296">
        <v>70</v>
      </c>
      <c r="AD2296" s="62">
        <v>0</v>
      </c>
      <c r="AE2296" s="62">
        <v>1</v>
      </c>
      <c r="AF2296" s="62">
        <v>2</v>
      </c>
      <c r="AS2296">
        <v>1</v>
      </c>
    </row>
    <row r="2297" spans="1:45">
      <c r="A2297">
        <v>511328</v>
      </c>
      <c r="B2297" s="8">
        <v>1001</v>
      </c>
      <c r="C2297">
        <v>6</v>
      </c>
      <c r="D2297" s="8">
        <v>1001</v>
      </c>
      <c r="E2297" s="401" t="s">
        <v>5958</v>
      </c>
      <c r="F2297" s="401" t="s">
        <v>5958</v>
      </c>
      <c r="G2297" s="401" t="s">
        <v>5959</v>
      </c>
      <c r="H2297" t="s">
        <v>1520</v>
      </c>
      <c r="I2297">
        <v>1</v>
      </c>
      <c r="J2297">
        <v>5</v>
      </c>
      <c r="K2297" s="33">
        <v>2</v>
      </c>
      <c r="L2297">
        <v>999</v>
      </c>
      <c r="M2297">
        <v>0</v>
      </c>
      <c r="N2297">
        <v>1017</v>
      </c>
      <c r="O2297" s="249">
        <v>33051</v>
      </c>
      <c r="S2297" s="33">
        <v>1</v>
      </c>
      <c r="T2297">
        <v>5</v>
      </c>
      <c r="U2297">
        <v>1</v>
      </c>
      <c r="V2297" s="33">
        <v>1</v>
      </c>
      <c r="W2297">
        <v>1</v>
      </c>
      <c r="X2297" s="8">
        <v>1</v>
      </c>
      <c r="Y2297">
        <v>0</v>
      </c>
      <c r="Z2297" s="33">
        <v>0</v>
      </c>
      <c r="AA2297">
        <v>5</v>
      </c>
      <c r="AB2297">
        <v>100</v>
      </c>
      <c r="AC2297">
        <v>70</v>
      </c>
      <c r="AD2297" s="62">
        <v>0</v>
      </c>
      <c r="AE2297" s="62">
        <v>1</v>
      </c>
      <c r="AF2297" s="62">
        <v>2</v>
      </c>
      <c r="AS2297">
        <v>1</v>
      </c>
    </row>
    <row r="2298" spans="1:45">
      <c r="A2298">
        <v>511329</v>
      </c>
      <c r="B2298" s="8">
        <v>1001</v>
      </c>
      <c r="C2298">
        <v>6</v>
      </c>
      <c r="D2298" s="8">
        <v>1001</v>
      </c>
      <c r="E2298" s="401" t="s">
        <v>5960</v>
      </c>
      <c r="F2298" s="401" t="s">
        <v>5960</v>
      </c>
      <c r="G2298" s="401" t="s">
        <v>5961</v>
      </c>
      <c r="H2298" t="s">
        <v>1520</v>
      </c>
      <c r="I2298">
        <v>1</v>
      </c>
      <c r="J2298">
        <v>5</v>
      </c>
      <c r="K2298" s="33">
        <v>2</v>
      </c>
      <c r="L2298">
        <v>999</v>
      </c>
      <c r="M2298">
        <v>0</v>
      </c>
      <c r="N2298">
        <v>1017</v>
      </c>
      <c r="O2298" s="249">
        <v>33052</v>
      </c>
      <c r="S2298" s="33">
        <v>1</v>
      </c>
      <c r="T2298">
        <v>5</v>
      </c>
      <c r="U2298">
        <v>1</v>
      </c>
      <c r="V2298" s="33">
        <v>1</v>
      </c>
      <c r="W2298">
        <v>1</v>
      </c>
      <c r="X2298" s="8">
        <v>1</v>
      </c>
      <c r="Y2298">
        <v>0</v>
      </c>
      <c r="Z2298" s="33">
        <v>0</v>
      </c>
      <c r="AA2298">
        <v>5</v>
      </c>
      <c r="AB2298">
        <v>100</v>
      </c>
      <c r="AC2298">
        <v>70</v>
      </c>
      <c r="AD2298" s="62">
        <v>0</v>
      </c>
      <c r="AE2298" s="62">
        <v>1</v>
      </c>
      <c r="AF2298" s="62">
        <v>2</v>
      </c>
      <c r="AS2298">
        <v>1</v>
      </c>
    </row>
    <row r="2299" spans="1:45">
      <c r="A2299">
        <v>511330</v>
      </c>
      <c r="B2299" s="8">
        <v>1001</v>
      </c>
      <c r="C2299">
        <v>6</v>
      </c>
      <c r="D2299" s="8">
        <v>1001</v>
      </c>
      <c r="E2299" s="401" t="s">
        <v>5962</v>
      </c>
      <c r="F2299" s="401" t="s">
        <v>5962</v>
      </c>
      <c r="G2299" s="401" t="s">
        <v>5963</v>
      </c>
      <c r="H2299" t="s">
        <v>1520</v>
      </c>
      <c r="I2299">
        <v>1</v>
      </c>
      <c r="J2299">
        <v>5</v>
      </c>
      <c r="K2299" s="33">
        <v>2</v>
      </c>
      <c r="L2299">
        <v>999</v>
      </c>
      <c r="M2299">
        <v>0</v>
      </c>
      <c r="N2299">
        <v>1017</v>
      </c>
      <c r="O2299" s="249">
        <v>33053</v>
      </c>
      <c r="S2299" s="33">
        <v>1</v>
      </c>
      <c r="T2299">
        <v>5</v>
      </c>
      <c r="U2299">
        <v>1</v>
      </c>
      <c r="V2299" s="33">
        <v>1</v>
      </c>
      <c r="W2299">
        <v>1</v>
      </c>
      <c r="X2299" s="8">
        <v>1</v>
      </c>
      <c r="Y2299">
        <v>0</v>
      </c>
      <c r="Z2299" s="33">
        <v>0</v>
      </c>
      <c r="AA2299">
        <v>5</v>
      </c>
      <c r="AB2299">
        <v>100</v>
      </c>
      <c r="AC2299">
        <v>70</v>
      </c>
      <c r="AD2299" s="62">
        <v>0</v>
      </c>
      <c r="AE2299" s="62">
        <v>1</v>
      </c>
      <c r="AF2299" s="62">
        <v>2</v>
      </c>
      <c r="AS2299">
        <v>1</v>
      </c>
    </row>
    <row r="2300" spans="1:45">
      <c r="A2300">
        <v>511331</v>
      </c>
      <c r="B2300" s="8">
        <v>1001</v>
      </c>
      <c r="C2300">
        <v>6</v>
      </c>
      <c r="D2300" s="8">
        <v>1001</v>
      </c>
      <c r="E2300" s="401" t="s">
        <v>5964</v>
      </c>
      <c r="F2300" s="401" t="s">
        <v>5964</v>
      </c>
      <c r="G2300" s="401" t="s">
        <v>5965</v>
      </c>
      <c r="H2300" t="s">
        <v>1520</v>
      </c>
      <c r="I2300">
        <v>1</v>
      </c>
      <c r="J2300">
        <v>5</v>
      </c>
      <c r="K2300" s="33">
        <v>2</v>
      </c>
      <c r="L2300">
        <v>999</v>
      </c>
      <c r="M2300">
        <v>0</v>
      </c>
      <c r="N2300">
        <v>1017</v>
      </c>
      <c r="O2300" s="249">
        <v>33054</v>
      </c>
      <c r="S2300" s="33">
        <v>1</v>
      </c>
      <c r="T2300">
        <v>5</v>
      </c>
      <c r="U2300">
        <v>1</v>
      </c>
      <c r="V2300" s="33">
        <v>1</v>
      </c>
      <c r="W2300">
        <v>1</v>
      </c>
      <c r="X2300" s="8">
        <v>1</v>
      </c>
      <c r="Y2300">
        <v>0</v>
      </c>
      <c r="Z2300" s="33">
        <v>0</v>
      </c>
      <c r="AA2300">
        <v>5</v>
      </c>
      <c r="AB2300">
        <v>100</v>
      </c>
      <c r="AC2300">
        <v>70</v>
      </c>
      <c r="AD2300" s="62">
        <v>0</v>
      </c>
      <c r="AE2300" s="62">
        <v>1</v>
      </c>
      <c r="AF2300" s="62">
        <v>2</v>
      </c>
      <c r="AS2300">
        <v>1</v>
      </c>
    </row>
    <row r="2301" spans="1:45">
      <c r="A2301">
        <v>511332</v>
      </c>
      <c r="B2301" s="8">
        <v>1001</v>
      </c>
      <c r="C2301">
        <v>6</v>
      </c>
      <c r="D2301" s="8">
        <v>1001</v>
      </c>
      <c r="E2301" s="401" t="s">
        <v>5966</v>
      </c>
      <c r="F2301" s="401" t="s">
        <v>5966</v>
      </c>
      <c r="G2301" s="401" t="s">
        <v>5967</v>
      </c>
      <c r="H2301" t="s">
        <v>1520</v>
      </c>
      <c r="I2301">
        <v>1</v>
      </c>
      <c r="J2301">
        <v>5</v>
      </c>
      <c r="K2301" s="33">
        <v>2</v>
      </c>
      <c r="L2301">
        <v>999</v>
      </c>
      <c r="M2301">
        <v>0</v>
      </c>
      <c r="N2301">
        <v>1017</v>
      </c>
      <c r="O2301" s="249">
        <v>33055</v>
      </c>
      <c r="S2301" s="33">
        <v>1</v>
      </c>
      <c r="T2301">
        <v>5</v>
      </c>
      <c r="U2301">
        <v>1</v>
      </c>
      <c r="V2301" s="33">
        <v>1</v>
      </c>
      <c r="W2301">
        <v>1</v>
      </c>
      <c r="X2301" s="8">
        <v>1</v>
      </c>
      <c r="Y2301">
        <v>0</v>
      </c>
      <c r="Z2301" s="33">
        <v>0</v>
      </c>
      <c r="AA2301">
        <v>5</v>
      </c>
      <c r="AB2301">
        <v>100</v>
      </c>
      <c r="AC2301">
        <v>70</v>
      </c>
      <c r="AD2301" s="62">
        <v>0</v>
      </c>
      <c r="AE2301" s="62">
        <v>1</v>
      </c>
      <c r="AF2301" s="62">
        <v>2</v>
      </c>
      <c r="AS2301">
        <v>1</v>
      </c>
    </row>
    <row r="2302" spans="1:45">
      <c r="A2302">
        <v>511333</v>
      </c>
      <c r="B2302" s="8">
        <v>1001</v>
      </c>
      <c r="C2302">
        <v>6</v>
      </c>
      <c r="D2302" s="8">
        <v>1001</v>
      </c>
      <c r="E2302" s="401" t="s">
        <v>5968</v>
      </c>
      <c r="F2302" s="401" t="s">
        <v>5968</v>
      </c>
      <c r="G2302" s="401" t="s">
        <v>5969</v>
      </c>
      <c r="H2302" t="s">
        <v>1520</v>
      </c>
      <c r="I2302">
        <v>1</v>
      </c>
      <c r="J2302">
        <v>5</v>
      </c>
      <c r="K2302" s="33">
        <v>2</v>
      </c>
      <c r="L2302">
        <v>999</v>
      </c>
      <c r="M2302">
        <v>0</v>
      </c>
      <c r="N2302">
        <v>1017</v>
      </c>
      <c r="O2302" s="249">
        <v>33056</v>
      </c>
      <c r="S2302" s="33">
        <v>1</v>
      </c>
      <c r="T2302">
        <v>5</v>
      </c>
      <c r="U2302">
        <v>1</v>
      </c>
      <c r="V2302" s="33">
        <v>1</v>
      </c>
      <c r="W2302">
        <v>1</v>
      </c>
      <c r="X2302" s="8">
        <v>1</v>
      </c>
      <c r="Y2302">
        <v>0</v>
      </c>
      <c r="Z2302" s="33">
        <v>0</v>
      </c>
      <c r="AA2302">
        <v>5</v>
      </c>
      <c r="AB2302">
        <v>100</v>
      </c>
      <c r="AC2302">
        <v>70</v>
      </c>
      <c r="AD2302" s="62">
        <v>0</v>
      </c>
      <c r="AE2302" s="62">
        <v>1</v>
      </c>
      <c r="AF2302" s="62">
        <v>2</v>
      </c>
      <c r="AS2302">
        <v>1</v>
      </c>
    </row>
    <row r="2303" spans="1:45">
      <c r="A2303">
        <v>511334</v>
      </c>
      <c r="B2303" s="236">
        <v>1001</v>
      </c>
      <c r="C2303">
        <v>6</v>
      </c>
      <c r="D2303" s="236">
        <v>1001</v>
      </c>
      <c r="E2303" s="437" t="s">
        <v>5970</v>
      </c>
      <c r="F2303" s="437" t="s">
        <v>5970</v>
      </c>
      <c r="G2303" s="437" t="s">
        <v>5971</v>
      </c>
      <c r="H2303" t="s">
        <v>1520</v>
      </c>
      <c r="I2303">
        <v>1</v>
      </c>
      <c r="J2303">
        <v>5</v>
      </c>
      <c r="K2303" s="33">
        <v>2</v>
      </c>
      <c r="L2303">
        <v>999</v>
      </c>
      <c r="M2303">
        <v>0</v>
      </c>
      <c r="N2303">
        <v>1017</v>
      </c>
      <c r="O2303" s="249">
        <v>33057</v>
      </c>
      <c r="S2303" s="33">
        <v>1</v>
      </c>
      <c r="T2303">
        <v>5</v>
      </c>
      <c r="U2303">
        <v>1</v>
      </c>
      <c r="V2303" s="33">
        <v>1</v>
      </c>
      <c r="W2303">
        <v>1</v>
      </c>
      <c r="X2303" s="236">
        <v>1</v>
      </c>
      <c r="Y2303">
        <v>0</v>
      </c>
      <c r="Z2303" s="33">
        <v>0</v>
      </c>
      <c r="AA2303">
        <v>5</v>
      </c>
      <c r="AB2303">
        <v>100</v>
      </c>
      <c r="AC2303">
        <v>70</v>
      </c>
      <c r="AD2303" s="62">
        <v>0</v>
      </c>
      <c r="AE2303" s="62">
        <v>1</v>
      </c>
      <c r="AF2303" s="62">
        <v>2</v>
      </c>
      <c r="AS2303">
        <v>1</v>
      </c>
    </row>
    <row r="2304" spans="1:45">
      <c r="A2304">
        <v>511335</v>
      </c>
      <c r="B2304">
        <v>1001</v>
      </c>
      <c r="C2304">
        <v>6</v>
      </c>
      <c r="D2304">
        <v>1001</v>
      </c>
      <c r="E2304" t="s">
        <v>5972</v>
      </c>
      <c r="F2304" t="s">
        <v>5972</v>
      </c>
      <c r="G2304" t="s">
        <v>5973</v>
      </c>
      <c r="H2304" t="s">
        <v>1931</v>
      </c>
      <c r="I2304">
        <v>1</v>
      </c>
      <c r="J2304">
        <v>5</v>
      </c>
      <c r="K2304" s="33">
        <v>2</v>
      </c>
      <c r="L2304">
        <v>999</v>
      </c>
      <c r="M2304">
        <v>0</v>
      </c>
      <c r="N2304">
        <v>1018</v>
      </c>
      <c r="O2304" s="2" t="s">
        <v>5974</v>
      </c>
      <c r="S2304" s="33">
        <v>1</v>
      </c>
      <c r="T2304">
        <v>5</v>
      </c>
      <c r="U2304">
        <v>1</v>
      </c>
      <c r="V2304" s="33">
        <v>1</v>
      </c>
      <c r="W2304">
        <v>1</v>
      </c>
      <c r="X2304">
        <v>1</v>
      </c>
      <c r="Y2304">
        <v>0</v>
      </c>
      <c r="Z2304" s="33">
        <v>0</v>
      </c>
      <c r="AA2304">
        <v>5</v>
      </c>
      <c r="AB2304">
        <v>100</v>
      </c>
      <c r="AC2304">
        <v>70</v>
      </c>
      <c r="AD2304" s="62">
        <v>0</v>
      </c>
      <c r="AE2304" s="62">
        <v>5</v>
      </c>
      <c r="AF2304" s="62">
        <v>2</v>
      </c>
      <c r="AS2304">
        <v>1</v>
      </c>
    </row>
    <row r="2305" ht="15.75" customHeight="1" spans="1:45">
      <c r="A2305">
        <v>511336</v>
      </c>
      <c r="B2305">
        <v>1001</v>
      </c>
      <c r="C2305">
        <v>6</v>
      </c>
      <c r="D2305">
        <v>1001</v>
      </c>
      <c r="E2305" t="s">
        <v>5975</v>
      </c>
      <c r="F2305" t="s">
        <v>5975</v>
      </c>
      <c r="G2305" t="s">
        <v>5976</v>
      </c>
      <c r="H2305" t="s">
        <v>1931</v>
      </c>
      <c r="I2305">
        <v>1</v>
      </c>
      <c r="J2305">
        <v>5</v>
      </c>
      <c r="K2305" s="33">
        <v>2</v>
      </c>
      <c r="L2305">
        <v>999</v>
      </c>
      <c r="M2305">
        <v>0</v>
      </c>
      <c r="N2305">
        <v>1018</v>
      </c>
      <c r="O2305" s="2" t="s">
        <v>5977</v>
      </c>
      <c r="S2305" s="33">
        <v>1</v>
      </c>
      <c r="T2305">
        <v>5</v>
      </c>
      <c r="U2305">
        <v>1</v>
      </c>
      <c r="V2305" s="33">
        <v>1</v>
      </c>
      <c r="W2305">
        <v>1</v>
      </c>
      <c r="X2305">
        <v>1</v>
      </c>
      <c r="Y2305">
        <v>0</v>
      </c>
      <c r="Z2305" s="33">
        <v>0</v>
      </c>
      <c r="AA2305">
        <v>5</v>
      </c>
      <c r="AB2305">
        <v>100</v>
      </c>
      <c r="AC2305">
        <v>70</v>
      </c>
      <c r="AD2305" s="62">
        <v>0</v>
      </c>
      <c r="AE2305" s="62">
        <v>5</v>
      </c>
      <c r="AF2305" s="62">
        <v>2</v>
      </c>
      <c r="AS2305">
        <v>1</v>
      </c>
    </row>
    <row r="2306" ht="15.75" customHeight="1" spans="1:45">
      <c r="A2306">
        <v>511337</v>
      </c>
      <c r="B2306" s="238">
        <v>1001</v>
      </c>
      <c r="C2306">
        <v>6</v>
      </c>
      <c r="D2306" s="238">
        <v>1001</v>
      </c>
      <c r="E2306" t="s">
        <v>5749</v>
      </c>
      <c r="F2306" t="s">
        <v>5749</v>
      </c>
      <c r="G2306" s="438" t="s">
        <v>5978</v>
      </c>
      <c r="H2306" t="s">
        <v>204</v>
      </c>
      <c r="I2306">
        <v>1</v>
      </c>
      <c r="J2306">
        <v>5</v>
      </c>
      <c r="K2306" s="33">
        <v>2</v>
      </c>
      <c r="L2306">
        <v>999</v>
      </c>
      <c r="M2306">
        <v>0</v>
      </c>
      <c r="N2306">
        <v>1018</v>
      </c>
      <c r="O2306" s="2" t="s">
        <v>5979</v>
      </c>
      <c r="R2306" s="8"/>
      <c r="S2306" s="33">
        <v>1</v>
      </c>
      <c r="T2306">
        <v>5</v>
      </c>
      <c r="U2306">
        <v>1</v>
      </c>
      <c r="V2306" s="33">
        <v>1</v>
      </c>
      <c r="W2306">
        <v>1</v>
      </c>
      <c r="X2306" s="238">
        <v>1</v>
      </c>
      <c r="Y2306">
        <v>0</v>
      </c>
      <c r="Z2306" s="33">
        <v>0</v>
      </c>
      <c r="AA2306">
        <v>5</v>
      </c>
      <c r="AB2306">
        <v>100</v>
      </c>
      <c r="AC2306">
        <v>70</v>
      </c>
      <c r="AD2306" s="62">
        <v>0</v>
      </c>
      <c r="AE2306" s="62">
        <v>5</v>
      </c>
      <c r="AF2306" s="62">
        <v>2</v>
      </c>
      <c r="AS2306">
        <v>1</v>
      </c>
    </row>
    <row r="2307" spans="1:45">
      <c r="A2307">
        <v>511338</v>
      </c>
      <c r="B2307" s="8">
        <v>1001</v>
      </c>
      <c r="C2307">
        <v>6</v>
      </c>
      <c r="D2307" s="8">
        <v>1001</v>
      </c>
      <c r="E2307" t="s">
        <v>5980</v>
      </c>
      <c r="F2307" t="s">
        <v>5980</v>
      </c>
      <c r="G2307" t="s">
        <v>5592</v>
      </c>
      <c r="H2307" t="s">
        <v>5981</v>
      </c>
      <c r="I2307">
        <v>1</v>
      </c>
      <c r="J2307">
        <v>5</v>
      </c>
      <c r="K2307" s="33">
        <v>2</v>
      </c>
      <c r="L2307">
        <v>999</v>
      </c>
      <c r="M2307">
        <v>0</v>
      </c>
      <c r="N2307">
        <v>1017</v>
      </c>
      <c r="O2307" s="249">
        <v>50094</v>
      </c>
      <c r="R2307" s="8"/>
      <c r="S2307" s="33">
        <v>1</v>
      </c>
      <c r="T2307">
        <v>5</v>
      </c>
      <c r="U2307">
        <v>1</v>
      </c>
      <c r="V2307" s="33">
        <v>1</v>
      </c>
      <c r="W2307">
        <v>1</v>
      </c>
      <c r="X2307" s="8">
        <v>1</v>
      </c>
      <c r="Y2307">
        <v>0</v>
      </c>
      <c r="Z2307" s="33">
        <v>0</v>
      </c>
      <c r="AA2307">
        <v>5</v>
      </c>
      <c r="AB2307">
        <v>100</v>
      </c>
      <c r="AC2307">
        <v>70</v>
      </c>
      <c r="AD2307" s="62">
        <v>0</v>
      </c>
      <c r="AE2307" s="62">
        <v>4</v>
      </c>
      <c r="AF2307" s="62">
        <v>2</v>
      </c>
      <c r="AS2307">
        <v>1</v>
      </c>
    </row>
    <row r="2308" spans="1:45">
      <c r="A2308">
        <v>511339</v>
      </c>
      <c r="B2308" s="236">
        <v>1001</v>
      </c>
      <c r="C2308">
        <v>6</v>
      </c>
      <c r="D2308" s="236">
        <v>1001</v>
      </c>
      <c r="E2308" t="s">
        <v>5799</v>
      </c>
      <c r="F2308" t="s">
        <v>5799</v>
      </c>
      <c r="G2308" t="s">
        <v>5593</v>
      </c>
      <c r="H2308" t="s">
        <v>5740</v>
      </c>
      <c r="I2308">
        <v>1</v>
      </c>
      <c r="J2308">
        <v>5</v>
      </c>
      <c r="K2308" s="33">
        <v>2</v>
      </c>
      <c r="L2308">
        <v>999</v>
      </c>
      <c r="M2308">
        <v>0</v>
      </c>
      <c r="N2308">
        <v>1017</v>
      </c>
      <c r="O2308" s="249">
        <v>50095</v>
      </c>
      <c r="R2308" s="236"/>
      <c r="S2308" s="33">
        <v>1</v>
      </c>
      <c r="T2308">
        <v>5</v>
      </c>
      <c r="U2308">
        <v>1</v>
      </c>
      <c r="V2308" s="33">
        <v>1</v>
      </c>
      <c r="W2308">
        <v>1</v>
      </c>
      <c r="X2308" s="236">
        <v>1</v>
      </c>
      <c r="Y2308">
        <v>0</v>
      </c>
      <c r="Z2308" s="33">
        <v>0</v>
      </c>
      <c r="AA2308">
        <v>5</v>
      </c>
      <c r="AB2308">
        <v>100</v>
      </c>
      <c r="AC2308">
        <v>70</v>
      </c>
      <c r="AD2308" s="62">
        <v>0</v>
      </c>
      <c r="AE2308" s="62">
        <v>4</v>
      </c>
      <c r="AF2308" s="62">
        <v>2</v>
      </c>
      <c r="AQ2308"/>
      <c r="AS2308">
        <v>1</v>
      </c>
    </row>
    <row r="2309" spans="1:45">
      <c r="A2309">
        <v>511340</v>
      </c>
      <c r="B2309">
        <v>1001</v>
      </c>
      <c r="C2309">
        <v>6</v>
      </c>
      <c r="D2309">
        <v>1001</v>
      </c>
      <c r="E2309" t="s">
        <v>5809</v>
      </c>
      <c r="F2309" t="s">
        <v>5809</v>
      </c>
      <c r="G2309" t="s">
        <v>5982</v>
      </c>
      <c r="H2309" t="s">
        <v>5811</v>
      </c>
      <c r="I2309">
        <v>1</v>
      </c>
      <c r="J2309">
        <v>2</v>
      </c>
      <c r="K2309" s="33">
        <v>2</v>
      </c>
      <c r="L2309">
        <v>999</v>
      </c>
      <c r="M2309">
        <v>0</v>
      </c>
      <c r="N2309">
        <v>1</v>
      </c>
      <c r="O2309" s="2" t="s">
        <v>5983</v>
      </c>
      <c r="S2309" s="33">
        <v>0</v>
      </c>
      <c r="T2309">
        <v>5</v>
      </c>
      <c r="U2309">
        <v>1</v>
      </c>
      <c r="V2309" s="33">
        <v>1</v>
      </c>
      <c r="W2309">
        <v>1</v>
      </c>
      <c r="X2309">
        <v>1</v>
      </c>
      <c r="Y2309">
        <v>0</v>
      </c>
      <c r="Z2309" s="33">
        <v>0</v>
      </c>
      <c r="AA2309">
        <v>5</v>
      </c>
      <c r="AB2309">
        <v>100</v>
      </c>
      <c r="AC2309">
        <v>51</v>
      </c>
      <c r="AE2309" s="62">
        <v>4</v>
      </c>
      <c r="AF2309" s="62">
        <v>2</v>
      </c>
      <c r="AQ2309" t="s">
        <v>298</v>
      </c>
      <c r="AS2309">
        <v>1</v>
      </c>
    </row>
    <row r="2310" spans="1:45">
      <c r="A2310">
        <v>511341</v>
      </c>
      <c r="B2310">
        <v>1001</v>
      </c>
      <c r="C2310">
        <v>6</v>
      </c>
      <c r="D2310">
        <v>1001</v>
      </c>
      <c r="E2310" t="s">
        <v>5812</v>
      </c>
      <c r="F2310" t="s">
        <v>5812</v>
      </c>
      <c r="G2310" t="s">
        <v>5810</v>
      </c>
      <c r="H2310" t="s">
        <v>5811</v>
      </c>
      <c r="I2310">
        <v>1</v>
      </c>
      <c r="J2310">
        <v>3</v>
      </c>
      <c r="K2310" s="33">
        <v>2</v>
      </c>
      <c r="L2310">
        <v>999</v>
      </c>
      <c r="M2310">
        <v>0</v>
      </c>
      <c r="N2310">
        <v>1</v>
      </c>
      <c r="O2310" s="2" t="s">
        <v>301</v>
      </c>
      <c r="S2310" s="33">
        <v>0</v>
      </c>
      <c r="T2310">
        <v>5</v>
      </c>
      <c r="U2310">
        <v>1</v>
      </c>
      <c r="V2310" s="33">
        <v>1</v>
      </c>
      <c r="W2310">
        <v>1</v>
      </c>
      <c r="X2310">
        <v>1</v>
      </c>
      <c r="Y2310">
        <v>0</v>
      </c>
      <c r="Z2310" s="33">
        <v>0</v>
      </c>
      <c r="AA2310">
        <v>5</v>
      </c>
      <c r="AB2310">
        <v>100</v>
      </c>
      <c r="AC2310">
        <v>51</v>
      </c>
      <c r="AE2310" s="62">
        <v>4</v>
      </c>
      <c r="AF2310" s="62">
        <v>2</v>
      </c>
      <c r="AQ2310" t="s">
        <v>298</v>
      </c>
      <c r="AS2310">
        <v>1</v>
      </c>
    </row>
    <row r="2311" spans="1:45">
      <c r="A2311">
        <v>511342</v>
      </c>
      <c r="B2311">
        <v>1001</v>
      </c>
      <c r="C2311">
        <v>6</v>
      </c>
      <c r="D2311">
        <v>1001</v>
      </c>
      <c r="E2311" t="s">
        <v>5984</v>
      </c>
      <c r="F2311" t="s">
        <v>5984</v>
      </c>
      <c r="G2311" t="s">
        <v>5985</v>
      </c>
      <c r="H2311" t="s">
        <v>5814</v>
      </c>
      <c r="I2311">
        <v>1</v>
      </c>
      <c r="J2311">
        <v>4</v>
      </c>
      <c r="K2311" s="33">
        <v>2</v>
      </c>
      <c r="L2311">
        <v>999</v>
      </c>
      <c r="M2311">
        <v>0</v>
      </c>
      <c r="N2311">
        <v>1</v>
      </c>
      <c r="O2311" s="2" t="s">
        <v>5986</v>
      </c>
      <c r="S2311" s="33">
        <v>0</v>
      </c>
      <c r="T2311">
        <v>5</v>
      </c>
      <c r="U2311">
        <v>1</v>
      </c>
      <c r="V2311" s="33">
        <v>1</v>
      </c>
      <c r="W2311">
        <v>1</v>
      </c>
      <c r="X2311">
        <v>1</v>
      </c>
      <c r="Y2311">
        <v>0</v>
      </c>
      <c r="Z2311" s="33">
        <v>0</v>
      </c>
      <c r="AA2311">
        <v>5</v>
      </c>
      <c r="AB2311">
        <v>100</v>
      </c>
      <c r="AC2311">
        <v>51</v>
      </c>
      <c r="AE2311" s="62">
        <v>4</v>
      </c>
      <c r="AF2311" s="62">
        <v>2</v>
      </c>
      <c r="AQ2311" t="s">
        <v>298</v>
      </c>
      <c r="AS2311">
        <v>1</v>
      </c>
    </row>
    <row r="2312" spans="1:45">
      <c r="A2312">
        <v>511343</v>
      </c>
      <c r="B2312">
        <v>1001</v>
      </c>
      <c r="C2312">
        <v>6</v>
      </c>
      <c r="D2312">
        <v>1001</v>
      </c>
      <c r="E2312" t="s">
        <v>5816</v>
      </c>
      <c r="F2312" t="s">
        <v>5816</v>
      </c>
      <c r="G2312" t="s">
        <v>5987</v>
      </c>
      <c r="H2312" t="s">
        <v>5814</v>
      </c>
      <c r="I2312">
        <v>1</v>
      </c>
      <c r="J2312">
        <v>5</v>
      </c>
      <c r="K2312" s="33">
        <v>2</v>
      </c>
      <c r="L2312">
        <v>999</v>
      </c>
      <c r="M2312">
        <v>0</v>
      </c>
      <c r="N2312">
        <v>1</v>
      </c>
      <c r="O2312" s="2" t="s">
        <v>5988</v>
      </c>
      <c r="S2312" s="33">
        <v>0</v>
      </c>
      <c r="T2312">
        <v>5</v>
      </c>
      <c r="U2312">
        <v>1</v>
      </c>
      <c r="V2312" s="33">
        <v>1</v>
      </c>
      <c r="W2312">
        <v>1</v>
      </c>
      <c r="X2312">
        <v>1</v>
      </c>
      <c r="Y2312">
        <v>0</v>
      </c>
      <c r="Z2312" s="33">
        <v>0</v>
      </c>
      <c r="AA2312">
        <v>5</v>
      </c>
      <c r="AB2312">
        <v>100</v>
      </c>
      <c r="AC2312">
        <v>51</v>
      </c>
      <c r="AE2312" s="62">
        <v>4</v>
      </c>
      <c r="AF2312" s="62">
        <v>2</v>
      </c>
      <c r="AQ2312" t="s">
        <v>298</v>
      </c>
      <c r="AS2312">
        <v>1</v>
      </c>
    </row>
    <row r="2313" spans="1:45">
      <c r="A2313">
        <v>511344</v>
      </c>
      <c r="B2313">
        <v>1001</v>
      </c>
      <c r="C2313">
        <v>6</v>
      </c>
      <c r="D2313">
        <v>1001</v>
      </c>
      <c r="E2313" t="s">
        <v>5989</v>
      </c>
      <c r="F2313" t="s">
        <v>5989</v>
      </c>
      <c r="G2313" t="s">
        <v>5990</v>
      </c>
      <c r="H2313" t="s">
        <v>5818</v>
      </c>
      <c r="I2313">
        <v>1</v>
      </c>
      <c r="J2313">
        <v>6</v>
      </c>
      <c r="K2313" s="33">
        <v>2</v>
      </c>
      <c r="L2313">
        <v>999</v>
      </c>
      <c r="M2313">
        <v>0</v>
      </c>
      <c r="N2313">
        <v>1</v>
      </c>
      <c r="O2313" s="2" t="s">
        <v>5991</v>
      </c>
      <c r="S2313" s="33">
        <v>0</v>
      </c>
      <c r="T2313">
        <v>5</v>
      </c>
      <c r="U2313">
        <v>1</v>
      </c>
      <c r="V2313" s="33">
        <v>1</v>
      </c>
      <c r="W2313">
        <v>1</v>
      </c>
      <c r="X2313">
        <v>1</v>
      </c>
      <c r="Y2313">
        <v>0</v>
      </c>
      <c r="Z2313" s="33">
        <v>0</v>
      </c>
      <c r="AA2313">
        <v>5</v>
      </c>
      <c r="AB2313">
        <v>100</v>
      </c>
      <c r="AC2313">
        <v>51</v>
      </c>
      <c r="AE2313" s="62">
        <v>4</v>
      </c>
      <c r="AF2313" s="62">
        <v>2</v>
      </c>
      <c r="AQ2313" t="s">
        <v>298</v>
      </c>
      <c r="AS2313">
        <v>1</v>
      </c>
    </row>
    <row r="2314" spans="1:45">
      <c r="A2314">
        <v>511345</v>
      </c>
      <c r="B2314">
        <v>1001</v>
      </c>
      <c r="C2314">
        <v>6</v>
      </c>
      <c r="D2314">
        <v>1001</v>
      </c>
      <c r="E2314" t="s">
        <v>5992</v>
      </c>
      <c r="F2314" t="s">
        <v>5992</v>
      </c>
      <c r="G2314" t="s">
        <v>5993</v>
      </c>
      <c r="H2314" t="s">
        <v>1912</v>
      </c>
      <c r="I2314">
        <v>1</v>
      </c>
      <c r="J2314">
        <v>3</v>
      </c>
      <c r="K2314" s="33">
        <v>2</v>
      </c>
      <c r="L2314">
        <v>999</v>
      </c>
      <c r="M2314">
        <v>0</v>
      </c>
      <c r="N2314">
        <v>1017</v>
      </c>
      <c r="O2314" s="2">
        <v>80000</v>
      </c>
      <c r="S2314" s="33">
        <v>0</v>
      </c>
      <c r="T2314">
        <v>5</v>
      </c>
      <c r="U2314">
        <v>1</v>
      </c>
      <c r="V2314" s="33">
        <v>1</v>
      </c>
      <c r="W2314">
        <v>1</v>
      </c>
      <c r="X2314">
        <v>1</v>
      </c>
      <c r="Y2314">
        <v>0</v>
      </c>
      <c r="Z2314" s="33">
        <v>0</v>
      </c>
      <c r="AA2314">
        <v>5</v>
      </c>
      <c r="AB2314">
        <v>100</v>
      </c>
      <c r="AC2314">
        <v>65</v>
      </c>
      <c r="AD2314" s="62">
        <v>0</v>
      </c>
      <c r="AE2314" s="62">
        <v>4</v>
      </c>
      <c r="AF2314" s="62">
        <v>2</v>
      </c>
      <c r="AS2314">
        <v>1</v>
      </c>
    </row>
    <row r="2315" spans="1:45">
      <c r="A2315">
        <v>511346</v>
      </c>
      <c r="B2315">
        <v>1001</v>
      </c>
      <c r="C2315">
        <v>6</v>
      </c>
      <c r="D2315">
        <v>1001</v>
      </c>
      <c r="E2315" t="s">
        <v>5826</v>
      </c>
      <c r="F2315" t="s">
        <v>5826</v>
      </c>
      <c r="G2315" t="s">
        <v>5827</v>
      </c>
      <c r="H2315" t="s">
        <v>5828</v>
      </c>
      <c r="I2315">
        <v>1</v>
      </c>
      <c r="J2315">
        <v>2</v>
      </c>
      <c r="K2315" s="33">
        <v>2</v>
      </c>
      <c r="L2315">
        <v>999</v>
      </c>
      <c r="M2315">
        <v>0</v>
      </c>
      <c r="N2315">
        <v>1017</v>
      </c>
      <c r="O2315" s="2">
        <v>80027</v>
      </c>
      <c r="S2315" s="33">
        <v>0</v>
      </c>
      <c r="T2315">
        <v>5</v>
      </c>
      <c r="U2315">
        <v>1</v>
      </c>
      <c r="V2315" s="33">
        <v>1</v>
      </c>
      <c r="W2315">
        <v>1</v>
      </c>
      <c r="X2315">
        <v>1</v>
      </c>
      <c r="Y2315">
        <v>0</v>
      </c>
      <c r="Z2315" s="33">
        <v>0</v>
      </c>
      <c r="AA2315">
        <v>5</v>
      </c>
      <c r="AB2315">
        <v>100</v>
      </c>
      <c r="AC2315">
        <v>65</v>
      </c>
      <c r="AD2315" s="62">
        <v>0</v>
      </c>
      <c r="AE2315" s="62">
        <v>4</v>
      </c>
      <c r="AF2315" s="62">
        <v>2</v>
      </c>
      <c r="AS2315">
        <v>1</v>
      </c>
    </row>
    <row r="2316" spans="1:45">
      <c r="A2316">
        <v>511347</v>
      </c>
      <c r="B2316">
        <v>1001</v>
      </c>
      <c r="C2316">
        <v>6</v>
      </c>
      <c r="D2316">
        <v>1001</v>
      </c>
      <c r="E2316" t="s">
        <v>5829</v>
      </c>
      <c r="F2316" t="s">
        <v>5829</v>
      </c>
      <c r="G2316" t="s">
        <v>5994</v>
      </c>
      <c r="H2316" t="s">
        <v>5828</v>
      </c>
      <c r="I2316">
        <v>1</v>
      </c>
      <c r="J2316">
        <v>3</v>
      </c>
      <c r="K2316" s="33">
        <v>2</v>
      </c>
      <c r="L2316">
        <v>999</v>
      </c>
      <c r="M2316">
        <v>0</v>
      </c>
      <c r="N2316">
        <v>1017</v>
      </c>
      <c r="O2316" s="2">
        <v>80028</v>
      </c>
      <c r="S2316" s="33">
        <v>0</v>
      </c>
      <c r="T2316">
        <v>5</v>
      </c>
      <c r="U2316">
        <v>1</v>
      </c>
      <c r="V2316" s="33">
        <v>1</v>
      </c>
      <c r="W2316">
        <v>1</v>
      </c>
      <c r="X2316">
        <v>1</v>
      </c>
      <c r="Y2316">
        <v>0</v>
      </c>
      <c r="Z2316" s="33">
        <v>0</v>
      </c>
      <c r="AA2316">
        <v>5</v>
      </c>
      <c r="AB2316">
        <v>100</v>
      </c>
      <c r="AC2316">
        <v>65</v>
      </c>
      <c r="AD2316" s="62">
        <v>0</v>
      </c>
      <c r="AE2316" s="62">
        <v>4</v>
      </c>
      <c r="AF2316" s="62">
        <v>2</v>
      </c>
      <c r="AS2316">
        <v>1</v>
      </c>
    </row>
    <row r="2317" spans="1:45">
      <c r="A2317">
        <v>511348</v>
      </c>
      <c r="B2317">
        <v>1001</v>
      </c>
      <c r="C2317">
        <v>6</v>
      </c>
      <c r="D2317">
        <v>1001</v>
      </c>
      <c r="E2317" t="s">
        <v>5995</v>
      </c>
      <c r="F2317" t="s">
        <v>5995</v>
      </c>
      <c r="G2317" t="s">
        <v>5996</v>
      </c>
      <c r="H2317" t="s">
        <v>5831</v>
      </c>
      <c r="I2317">
        <v>1</v>
      </c>
      <c r="J2317">
        <v>4</v>
      </c>
      <c r="K2317" s="33">
        <v>2</v>
      </c>
      <c r="L2317">
        <v>999</v>
      </c>
      <c r="M2317">
        <v>0</v>
      </c>
      <c r="N2317">
        <v>1017</v>
      </c>
      <c r="O2317" s="2">
        <v>80029</v>
      </c>
      <c r="S2317" s="33">
        <v>0</v>
      </c>
      <c r="T2317">
        <v>5</v>
      </c>
      <c r="U2317">
        <v>1</v>
      </c>
      <c r="V2317" s="33">
        <v>1</v>
      </c>
      <c r="W2317">
        <v>1</v>
      </c>
      <c r="X2317">
        <v>1</v>
      </c>
      <c r="Y2317">
        <v>0</v>
      </c>
      <c r="Z2317" s="33">
        <v>0</v>
      </c>
      <c r="AA2317">
        <v>5</v>
      </c>
      <c r="AB2317">
        <v>100</v>
      </c>
      <c r="AC2317">
        <v>65</v>
      </c>
      <c r="AD2317" s="62">
        <v>0</v>
      </c>
      <c r="AE2317" s="62">
        <v>4</v>
      </c>
      <c r="AF2317" s="62">
        <v>2</v>
      </c>
      <c r="AS2317">
        <v>1</v>
      </c>
    </row>
    <row r="2318" spans="1:45">
      <c r="A2318">
        <v>511349</v>
      </c>
      <c r="B2318">
        <v>1001</v>
      </c>
      <c r="C2318">
        <v>6</v>
      </c>
      <c r="D2318">
        <v>1001</v>
      </c>
      <c r="E2318" t="s">
        <v>5832</v>
      </c>
      <c r="F2318" t="s">
        <v>5832</v>
      </c>
      <c r="G2318" t="s">
        <v>5997</v>
      </c>
      <c r="H2318" t="s">
        <v>5831</v>
      </c>
      <c r="I2318">
        <v>1</v>
      </c>
      <c r="J2318">
        <v>5</v>
      </c>
      <c r="K2318" s="33">
        <v>2</v>
      </c>
      <c r="L2318">
        <v>999</v>
      </c>
      <c r="M2318">
        <v>0</v>
      </c>
      <c r="N2318">
        <v>1017</v>
      </c>
      <c r="O2318" s="2">
        <v>80030</v>
      </c>
      <c r="S2318" s="33">
        <v>0</v>
      </c>
      <c r="T2318">
        <v>5</v>
      </c>
      <c r="U2318">
        <v>1</v>
      </c>
      <c r="V2318" s="33">
        <v>1</v>
      </c>
      <c r="W2318">
        <v>1</v>
      </c>
      <c r="X2318">
        <v>1</v>
      </c>
      <c r="Y2318">
        <v>0</v>
      </c>
      <c r="Z2318" s="33">
        <v>0</v>
      </c>
      <c r="AA2318">
        <v>5</v>
      </c>
      <c r="AB2318">
        <v>100</v>
      </c>
      <c r="AC2318">
        <v>65</v>
      </c>
      <c r="AD2318" s="62">
        <v>0</v>
      </c>
      <c r="AE2318" s="62">
        <v>4</v>
      </c>
      <c r="AF2318" s="62">
        <v>2</v>
      </c>
      <c r="AS2318">
        <v>1</v>
      </c>
    </row>
    <row r="2319" spans="1:45">
      <c r="A2319">
        <v>511350</v>
      </c>
      <c r="B2319">
        <v>1001</v>
      </c>
      <c r="C2319">
        <v>6</v>
      </c>
      <c r="D2319">
        <v>1001</v>
      </c>
      <c r="E2319" t="s">
        <v>5998</v>
      </c>
      <c r="F2319" t="s">
        <v>5998</v>
      </c>
      <c r="G2319" t="s">
        <v>5999</v>
      </c>
      <c r="H2319" t="s">
        <v>5834</v>
      </c>
      <c r="I2319">
        <v>1</v>
      </c>
      <c r="J2319">
        <v>6</v>
      </c>
      <c r="K2319" s="33">
        <v>2</v>
      </c>
      <c r="L2319">
        <v>999</v>
      </c>
      <c r="M2319">
        <v>0</v>
      </c>
      <c r="N2319">
        <v>1017</v>
      </c>
      <c r="O2319" s="2">
        <v>80031</v>
      </c>
      <c r="S2319" s="33">
        <v>0</v>
      </c>
      <c r="T2319">
        <v>5</v>
      </c>
      <c r="U2319">
        <v>1</v>
      </c>
      <c r="V2319" s="33">
        <v>1</v>
      </c>
      <c r="W2319">
        <v>1</v>
      </c>
      <c r="X2319">
        <v>1</v>
      </c>
      <c r="Y2319">
        <v>0</v>
      </c>
      <c r="Z2319" s="33">
        <v>0</v>
      </c>
      <c r="AA2319">
        <v>5</v>
      </c>
      <c r="AB2319">
        <v>100</v>
      </c>
      <c r="AC2319">
        <v>65</v>
      </c>
      <c r="AD2319" s="62">
        <v>0</v>
      </c>
      <c r="AE2319" s="62">
        <v>4</v>
      </c>
      <c r="AF2319" s="62">
        <v>2</v>
      </c>
      <c r="AS2319">
        <v>1</v>
      </c>
    </row>
    <row r="2320" spans="1:45">
      <c r="A2320">
        <v>511351</v>
      </c>
      <c r="B2320">
        <v>1001</v>
      </c>
      <c r="C2320">
        <v>6</v>
      </c>
      <c r="D2320">
        <v>1001</v>
      </c>
      <c r="E2320" t="s">
        <v>5835</v>
      </c>
      <c r="F2320" t="s">
        <v>5835</v>
      </c>
      <c r="G2320" t="s">
        <v>6000</v>
      </c>
      <c r="H2320" t="s">
        <v>5837</v>
      </c>
      <c r="I2320">
        <v>1</v>
      </c>
      <c r="J2320">
        <v>2</v>
      </c>
      <c r="K2320" s="33">
        <v>2</v>
      </c>
      <c r="L2320">
        <v>999</v>
      </c>
      <c r="M2320">
        <v>0</v>
      </c>
      <c r="N2320">
        <v>1017</v>
      </c>
      <c r="O2320" s="2">
        <v>80032</v>
      </c>
      <c r="S2320" s="33">
        <v>0</v>
      </c>
      <c r="T2320">
        <v>5</v>
      </c>
      <c r="U2320">
        <v>1</v>
      </c>
      <c r="V2320" s="33">
        <v>1</v>
      </c>
      <c r="W2320">
        <v>1</v>
      </c>
      <c r="X2320">
        <v>1</v>
      </c>
      <c r="Y2320">
        <v>0</v>
      </c>
      <c r="Z2320" s="33">
        <v>0</v>
      </c>
      <c r="AA2320">
        <v>5</v>
      </c>
      <c r="AB2320">
        <v>100</v>
      </c>
      <c r="AC2320">
        <v>65</v>
      </c>
      <c r="AD2320" s="62">
        <v>0</v>
      </c>
      <c r="AE2320" s="62">
        <v>4</v>
      </c>
      <c r="AF2320" s="62">
        <v>2</v>
      </c>
      <c r="AS2320">
        <v>1</v>
      </c>
    </row>
    <row r="2321" spans="1:45">
      <c r="A2321">
        <v>511352</v>
      </c>
      <c r="B2321">
        <v>1001</v>
      </c>
      <c r="C2321">
        <v>6</v>
      </c>
      <c r="D2321">
        <v>1001</v>
      </c>
      <c r="E2321" t="s">
        <v>5838</v>
      </c>
      <c r="F2321" t="s">
        <v>5838</v>
      </c>
      <c r="G2321" t="s">
        <v>6000</v>
      </c>
      <c r="H2321" t="s">
        <v>5837</v>
      </c>
      <c r="I2321">
        <v>1</v>
      </c>
      <c r="J2321">
        <v>3</v>
      </c>
      <c r="K2321" s="33">
        <v>2</v>
      </c>
      <c r="L2321">
        <v>999</v>
      </c>
      <c r="M2321">
        <v>0</v>
      </c>
      <c r="N2321">
        <v>1017</v>
      </c>
      <c r="O2321" s="2">
        <v>80033</v>
      </c>
      <c r="S2321" s="33">
        <v>0</v>
      </c>
      <c r="T2321">
        <v>5</v>
      </c>
      <c r="U2321">
        <v>1</v>
      </c>
      <c r="V2321" s="33">
        <v>1</v>
      </c>
      <c r="W2321">
        <v>1</v>
      </c>
      <c r="X2321">
        <v>1</v>
      </c>
      <c r="Y2321">
        <v>0</v>
      </c>
      <c r="Z2321" s="33">
        <v>0</v>
      </c>
      <c r="AA2321">
        <v>5</v>
      </c>
      <c r="AB2321">
        <v>100</v>
      </c>
      <c r="AC2321">
        <v>65</v>
      </c>
      <c r="AD2321" s="62">
        <v>0</v>
      </c>
      <c r="AE2321" s="62">
        <v>4</v>
      </c>
      <c r="AF2321" s="62">
        <v>2</v>
      </c>
      <c r="AS2321">
        <v>1</v>
      </c>
    </row>
    <row r="2322" spans="1:45">
      <c r="A2322">
        <v>511353</v>
      </c>
      <c r="B2322">
        <v>1001</v>
      </c>
      <c r="C2322">
        <v>6</v>
      </c>
      <c r="D2322">
        <v>1001</v>
      </c>
      <c r="E2322" t="s">
        <v>6001</v>
      </c>
      <c r="F2322" t="s">
        <v>6001</v>
      </c>
      <c r="G2322" t="s">
        <v>6000</v>
      </c>
      <c r="H2322" t="s">
        <v>5839</v>
      </c>
      <c r="I2322">
        <v>1</v>
      </c>
      <c r="J2322">
        <v>4</v>
      </c>
      <c r="K2322" s="33">
        <v>2</v>
      </c>
      <c r="L2322">
        <v>999</v>
      </c>
      <c r="M2322">
        <v>0</v>
      </c>
      <c r="N2322">
        <v>1017</v>
      </c>
      <c r="O2322" s="2">
        <v>80034</v>
      </c>
      <c r="S2322" s="33">
        <v>0</v>
      </c>
      <c r="T2322">
        <v>5</v>
      </c>
      <c r="U2322">
        <v>1</v>
      </c>
      <c r="V2322" s="33">
        <v>1</v>
      </c>
      <c r="W2322">
        <v>1</v>
      </c>
      <c r="X2322">
        <v>1</v>
      </c>
      <c r="Y2322">
        <v>0</v>
      </c>
      <c r="Z2322" s="33">
        <v>0</v>
      </c>
      <c r="AA2322">
        <v>5</v>
      </c>
      <c r="AB2322">
        <v>100</v>
      </c>
      <c r="AC2322">
        <v>65</v>
      </c>
      <c r="AD2322" s="62">
        <v>0</v>
      </c>
      <c r="AE2322" s="62">
        <v>4</v>
      </c>
      <c r="AF2322" s="62">
        <v>2</v>
      </c>
      <c r="AS2322">
        <v>1</v>
      </c>
    </row>
    <row r="2323" spans="1:45">
      <c r="A2323">
        <v>511354</v>
      </c>
      <c r="B2323">
        <v>1001</v>
      </c>
      <c r="C2323">
        <v>6</v>
      </c>
      <c r="D2323">
        <v>1001</v>
      </c>
      <c r="E2323" t="s">
        <v>5840</v>
      </c>
      <c r="F2323" t="s">
        <v>5840</v>
      </c>
      <c r="G2323" t="s">
        <v>6000</v>
      </c>
      <c r="H2323" t="s">
        <v>5839</v>
      </c>
      <c r="I2323">
        <v>1</v>
      </c>
      <c r="J2323">
        <v>5</v>
      </c>
      <c r="K2323" s="33">
        <v>2</v>
      </c>
      <c r="L2323">
        <v>999</v>
      </c>
      <c r="M2323">
        <v>0</v>
      </c>
      <c r="N2323">
        <v>1017</v>
      </c>
      <c r="O2323" s="2">
        <v>80035</v>
      </c>
      <c r="S2323" s="33">
        <v>0</v>
      </c>
      <c r="T2323">
        <v>5</v>
      </c>
      <c r="U2323">
        <v>1</v>
      </c>
      <c r="V2323" s="33">
        <v>1</v>
      </c>
      <c r="W2323">
        <v>1</v>
      </c>
      <c r="X2323">
        <v>1</v>
      </c>
      <c r="Y2323">
        <v>0</v>
      </c>
      <c r="Z2323" s="33">
        <v>0</v>
      </c>
      <c r="AA2323">
        <v>5</v>
      </c>
      <c r="AB2323">
        <v>100</v>
      </c>
      <c r="AC2323">
        <v>65</v>
      </c>
      <c r="AD2323" s="62">
        <v>0</v>
      </c>
      <c r="AE2323" s="62">
        <v>4</v>
      </c>
      <c r="AF2323" s="62">
        <v>2</v>
      </c>
      <c r="AS2323">
        <v>1</v>
      </c>
    </row>
    <row r="2324" spans="1:45">
      <c r="A2324">
        <v>511355</v>
      </c>
      <c r="B2324">
        <v>1001</v>
      </c>
      <c r="C2324">
        <v>6</v>
      </c>
      <c r="D2324">
        <v>1001</v>
      </c>
      <c r="E2324" t="s">
        <v>6002</v>
      </c>
      <c r="F2324" t="s">
        <v>6002</v>
      </c>
      <c r="G2324" t="s">
        <v>6000</v>
      </c>
      <c r="H2324" t="s">
        <v>5841</v>
      </c>
      <c r="I2324">
        <v>1</v>
      </c>
      <c r="J2324">
        <v>6</v>
      </c>
      <c r="K2324" s="33">
        <v>2</v>
      </c>
      <c r="L2324">
        <v>999</v>
      </c>
      <c r="M2324">
        <v>0</v>
      </c>
      <c r="N2324">
        <v>1017</v>
      </c>
      <c r="O2324" s="2">
        <v>80036</v>
      </c>
      <c r="S2324" s="33">
        <v>0</v>
      </c>
      <c r="T2324">
        <v>5</v>
      </c>
      <c r="U2324">
        <v>1</v>
      </c>
      <c r="V2324" s="33">
        <v>1</v>
      </c>
      <c r="W2324">
        <v>1</v>
      </c>
      <c r="X2324">
        <v>1</v>
      </c>
      <c r="Y2324">
        <v>0</v>
      </c>
      <c r="Z2324" s="33">
        <v>0</v>
      </c>
      <c r="AA2324">
        <v>5</v>
      </c>
      <c r="AB2324">
        <v>100</v>
      </c>
      <c r="AC2324">
        <v>65</v>
      </c>
      <c r="AD2324" s="62">
        <v>0</v>
      </c>
      <c r="AE2324" s="62">
        <v>4</v>
      </c>
      <c r="AF2324" s="62">
        <v>2</v>
      </c>
      <c r="AS2324">
        <v>1</v>
      </c>
    </row>
    <row r="2325" spans="1:45">
      <c r="A2325">
        <v>511356</v>
      </c>
      <c r="B2325">
        <v>1001</v>
      </c>
      <c r="C2325">
        <v>6</v>
      </c>
      <c r="D2325">
        <v>1001</v>
      </c>
      <c r="E2325" t="s">
        <v>5842</v>
      </c>
      <c r="F2325" t="s">
        <v>5842</v>
      </c>
      <c r="G2325" t="s">
        <v>5843</v>
      </c>
      <c r="H2325" t="s">
        <v>5844</v>
      </c>
      <c r="I2325">
        <v>1</v>
      </c>
      <c r="J2325">
        <v>2</v>
      </c>
      <c r="K2325" s="33">
        <v>2</v>
      </c>
      <c r="L2325">
        <v>999</v>
      </c>
      <c r="M2325">
        <v>0</v>
      </c>
      <c r="N2325">
        <v>1017</v>
      </c>
      <c r="O2325" s="2">
        <v>80038</v>
      </c>
      <c r="S2325" s="33">
        <v>0</v>
      </c>
      <c r="T2325">
        <v>5</v>
      </c>
      <c r="U2325">
        <v>1</v>
      </c>
      <c r="V2325" s="33">
        <v>1</v>
      </c>
      <c r="W2325">
        <v>1</v>
      </c>
      <c r="X2325">
        <v>1</v>
      </c>
      <c r="Y2325">
        <v>0</v>
      </c>
      <c r="Z2325" s="33">
        <v>0</v>
      </c>
      <c r="AA2325">
        <v>5</v>
      </c>
      <c r="AB2325">
        <v>100</v>
      </c>
      <c r="AC2325">
        <v>65</v>
      </c>
      <c r="AD2325" s="62">
        <v>0</v>
      </c>
      <c r="AE2325" s="62">
        <v>4</v>
      </c>
      <c r="AF2325" s="62">
        <v>2</v>
      </c>
      <c r="AS2325">
        <v>1</v>
      </c>
    </row>
    <row r="2326" spans="1:45">
      <c r="A2326">
        <v>511357</v>
      </c>
      <c r="B2326">
        <v>1001</v>
      </c>
      <c r="C2326">
        <v>6</v>
      </c>
      <c r="D2326">
        <v>1001</v>
      </c>
      <c r="E2326" t="s">
        <v>5845</v>
      </c>
      <c r="F2326" t="s">
        <v>5845</v>
      </c>
      <c r="G2326" t="s">
        <v>5843</v>
      </c>
      <c r="H2326" t="s">
        <v>5844</v>
      </c>
      <c r="I2326">
        <v>1</v>
      </c>
      <c r="J2326">
        <v>3</v>
      </c>
      <c r="K2326" s="33">
        <v>2</v>
      </c>
      <c r="L2326">
        <v>999</v>
      </c>
      <c r="M2326">
        <v>0</v>
      </c>
      <c r="N2326">
        <v>1017</v>
      </c>
      <c r="O2326" s="2">
        <v>80039</v>
      </c>
      <c r="S2326" s="33">
        <v>0</v>
      </c>
      <c r="T2326">
        <v>5</v>
      </c>
      <c r="U2326">
        <v>1</v>
      </c>
      <c r="V2326" s="33">
        <v>1</v>
      </c>
      <c r="W2326">
        <v>1</v>
      </c>
      <c r="X2326">
        <v>1</v>
      </c>
      <c r="Y2326">
        <v>0</v>
      </c>
      <c r="Z2326" s="33">
        <v>0</v>
      </c>
      <c r="AA2326">
        <v>5</v>
      </c>
      <c r="AB2326">
        <v>100</v>
      </c>
      <c r="AC2326">
        <v>65</v>
      </c>
      <c r="AD2326" s="62">
        <v>0</v>
      </c>
      <c r="AE2326" s="62">
        <v>4</v>
      </c>
      <c r="AF2326" s="62">
        <v>2</v>
      </c>
      <c r="AS2326">
        <v>1</v>
      </c>
    </row>
    <row r="2327" spans="1:45">
      <c r="A2327">
        <v>511358</v>
      </c>
      <c r="B2327">
        <v>1001</v>
      </c>
      <c r="C2327">
        <v>6</v>
      </c>
      <c r="D2327">
        <v>1001</v>
      </c>
      <c r="E2327" t="s">
        <v>6003</v>
      </c>
      <c r="F2327" t="s">
        <v>6003</v>
      </c>
      <c r="G2327" t="s">
        <v>5843</v>
      </c>
      <c r="H2327" t="s">
        <v>5846</v>
      </c>
      <c r="I2327">
        <v>1</v>
      </c>
      <c r="J2327">
        <v>4</v>
      </c>
      <c r="K2327" s="33">
        <v>2</v>
      </c>
      <c r="L2327">
        <v>999</v>
      </c>
      <c r="M2327">
        <v>0</v>
      </c>
      <c r="N2327">
        <v>1017</v>
      </c>
      <c r="O2327" s="2">
        <v>80040</v>
      </c>
      <c r="S2327" s="33">
        <v>0</v>
      </c>
      <c r="T2327">
        <v>5</v>
      </c>
      <c r="U2327">
        <v>1</v>
      </c>
      <c r="V2327" s="33">
        <v>1</v>
      </c>
      <c r="W2327">
        <v>1</v>
      </c>
      <c r="X2327">
        <v>1</v>
      </c>
      <c r="Y2327">
        <v>0</v>
      </c>
      <c r="Z2327" s="33">
        <v>0</v>
      </c>
      <c r="AA2327">
        <v>5</v>
      </c>
      <c r="AB2327">
        <v>100</v>
      </c>
      <c r="AC2327">
        <v>65</v>
      </c>
      <c r="AD2327" s="62">
        <v>0</v>
      </c>
      <c r="AE2327" s="62">
        <v>4</v>
      </c>
      <c r="AF2327" s="62">
        <v>2</v>
      </c>
      <c r="AS2327">
        <v>1</v>
      </c>
    </row>
    <row r="2328" spans="1:45">
      <c r="A2328">
        <v>511359</v>
      </c>
      <c r="B2328">
        <v>1001</v>
      </c>
      <c r="C2328">
        <v>6</v>
      </c>
      <c r="D2328">
        <v>1001</v>
      </c>
      <c r="E2328" t="s">
        <v>5847</v>
      </c>
      <c r="F2328" t="s">
        <v>5847</v>
      </c>
      <c r="G2328" t="s">
        <v>5843</v>
      </c>
      <c r="H2328" t="s">
        <v>5846</v>
      </c>
      <c r="I2328">
        <v>1</v>
      </c>
      <c r="J2328">
        <v>5</v>
      </c>
      <c r="K2328" s="33">
        <v>2</v>
      </c>
      <c r="L2328">
        <v>999</v>
      </c>
      <c r="M2328">
        <v>0</v>
      </c>
      <c r="N2328">
        <v>1017</v>
      </c>
      <c r="O2328" s="2">
        <v>80041</v>
      </c>
      <c r="S2328" s="33">
        <v>0</v>
      </c>
      <c r="T2328">
        <v>5</v>
      </c>
      <c r="U2328">
        <v>1</v>
      </c>
      <c r="V2328" s="33">
        <v>1</v>
      </c>
      <c r="W2328">
        <v>1</v>
      </c>
      <c r="X2328">
        <v>1</v>
      </c>
      <c r="Y2328">
        <v>0</v>
      </c>
      <c r="Z2328" s="33">
        <v>0</v>
      </c>
      <c r="AA2328">
        <v>5</v>
      </c>
      <c r="AB2328">
        <v>100</v>
      </c>
      <c r="AC2328">
        <v>65</v>
      </c>
      <c r="AD2328" s="62">
        <v>0</v>
      </c>
      <c r="AE2328" s="62">
        <v>4</v>
      </c>
      <c r="AF2328" s="62">
        <v>2</v>
      </c>
      <c r="AS2328">
        <v>1</v>
      </c>
    </row>
    <row r="2329" spans="1:45">
      <c r="A2329">
        <v>511360</v>
      </c>
      <c r="B2329" s="238">
        <v>1001</v>
      </c>
      <c r="C2329" s="238">
        <v>6</v>
      </c>
      <c r="D2329" s="238">
        <v>1001</v>
      </c>
      <c r="E2329" t="s">
        <v>6004</v>
      </c>
      <c r="F2329" t="s">
        <v>6004</v>
      </c>
      <c r="G2329" t="s">
        <v>5843</v>
      </c>
      <c r="H2329" t="s">
        <v>5848</v>
      </c>
      <c r="I2329">
        <v>1</v>
      </c>
      <c r="J2329">
        <v>6</v>
      </c>
      <c r="K2329" s="33">
        <v>2</v>
      </c>
      <c r="L2329">
        <v>999</v>
      </c>
      <c r="M2329">
        <v>0</v>
      </c>
      <c r="N2329">
        <v>1017</v>
      </c>
      <c r="O2329" s="2">
        <v>80042</v>
      </c>
      <c r="S2329" s="33">
        <v>0</v>
      </c>
      <c r="T2329">
        <v>5</v>
      </c>
      <c r="U2329">
        <v>1</v>
      </c>
      <c r="V2329" s="33">
        <v>1</v>
      </c>
      <c r="W2329">
        <v>1</v>
      </c>
      <c r="X2329">
        <v>1</v>
      </c>
      <c r="Y2329">
        <v>0</v>
      </c>
      <c r="Z2329" s="33">
        <v>0</v>
      </c>
      <c r="AA2329">
        <v>5</v>
      </c>
      <c r="AB2329">
        <v>100</v>
      </c>
      <c r="AC2329">
        <v>65</v>
      </c>
      <c r="AD2329" s="62">
        <v>0</v>
      </c>
      <c r="AE2329" s="62">
        <v>4</v>
      </c>
      <c r="AF2329" s="62">
        <v>2</v>
      </c>
      <c r="AG2329" s="430"/>
      <c r="AH2329" s="430"/>
      <c r="AI2329" s="430"/>
      <c r="AJ2329" s="430"/>
      <c r="AK2329" s="430"/>
      <c r="AL2329" s="214"/>
      <c r="AM2329" s="214"/>
      <c r="AN2329" s="431"/>
      <c r="AO2329" s="214"/>
      <c r="AP2329" s="214"/>
      <c r="AS2329">
        <v>1</v>
      </c>
    </row>
    <row r="2330" spans="1:45">
      <c r="A2330">
        <v>16010002</v>
      </c>
      <c r="B2330" s="425">
        <v>1001</v>
      </c>
      <c r="C2330" s="425">
        <v>1</v>
      </c>
      <c r="D2330" s="8">
        <v>1001</v>
      </c>
      <c r="E2330" t="s">
        <v>6005</v>
      </c>
      <c r="F2330" t="s">
        <v>6005</v>
      </c>
      <c r="G2330" t="s">
        <v>6006</v>
      </c>
      <c r="H2330" t="s">
        <v>6007</v>
      </c>
      <c r="I2330">
        <v>1</v>
      </c>
      <c r="J2330" s="69">
        <v>5</v>
      </c>
      <c r="K2330" s="33">
        <v>1</v>
      </c>
      <c r="L2330">
        <v>999</v>
      </c>
      <c r="M2330">
        <v>0</v>
      </c>
      <c r="S2330" s="33">
        <v>1</v>
      </c>
      <c r="T2330">
        <v>5</v>
      </c>
      <c r="U2330">
        <v>110</v>
      </c>
      <c r="V2330" s="33">
        <v>1</v>
      </c>
      <c r="W2330">
        <v>1</v>
      </c>
      <c r="X2330">
        <v>1</v>
      </c>
      <c r="Y2330">
        <v>0</v>
      </c>
      <c r="Z2330" s="33">
        <v>0</v>
      </c>
      <c r="AA2330">
        <v>5</v>
      </c>
      <c r="AB2330">
        <v>4000</v>
      </c>
      <c r="AC2330">
        <v>0</v>
      </c>
      <c r="AD2330" s="12">
        <v>0</v>
      </c>
      <c r="AE2330" s="12">
        <v>0</v>
      </c>
      <c r="AF2330" s="12">
        <v>0</v>
      </c>
      <c r="AG2330" s="430"/>
      <c r="AH2330" s="430">
        <v>1</v>
      </c>
      <c r="AI2330" s="430"/>
      <c r="AJ2330" s="430"/>
      <c r="AK2330" s="430"/>
      <c r="AL2330" s="214">
        <v>1</v>
      </c>
      <c r="AM2330" s="214"/>
      <c r="AN2330" s="431"/>
      <c r="AO2330" s="214"/>
      <c r="AP2330" s="214"/>
      <c r="AS2330">
        <v>1</v>
      </c>
    </row>
    <row r="2331" spans="1:45">
      <c r="A2331">
        <v>16010003</v>
      </c>
      <c r="B2331" s="425">
        <v>1001</v>
      </c>
      <c r="C2331" s="425">
        <v>1</v>
      </c>
      <c r="D2331" s="8">
        <v>1001</v>
      </c>
      <c r="E2331" t="s">
        <v>6008</v>
      </c>
      <c r="F2331" t="s">
        <v>6008</v>
      </c>
      <c r="G2331" t="s">
        <v>6009</v>
      </c>
      <c r="H2331" t="s">
        <v>6010</v>
      </c>
      <c r="I2331">
        <v>1</v>
      </c>
      <c r="J2331" s="69">
        <v>5</v>
      </c>
      <c r="K2331" s="33">
        <v>1</v>
      </c>
      <c r="L2331">
        <v>999</v>
      </c>
      <c r="M2331">
        <v>0</v>
      </c>
      <c r="S2331" s="33">
        <v>1</v>
      </c>
      <c r="T2331">
        <v>5</v>
      </c>
      <c r="U2331">
        <v>110</v>
      </c>
      <c r="V2331" s="33">
        <v>1</v>
      </c>
      <c r="W2331">
        <v>1</v>
      </c>
      <c r="X2331">
        <v>1</v>
      </c>
      <c r="Y2331">
        <v>0</v>
      </c>
      <c r="Z2331" s="33">
        <v>0</v>
      </c>
      <c r="AA2331">
        <v>5</v>
      </c>
      <c r="AB2331">
        <v>4000</v>
      </c>
      <c r="AC2331">
        <v>0</v>
      </c>
      <c r="AD2331" s="12">
        <v>0</v>
      </c>
      <c r="AE2331" s="12">
        <v>0</v>
      </c>
      <c r="AF2331" s="12">
        <v>0</v>
      </c>
      <c r="AG2331" s="430"/>
      <c r="AH2331" s="430">
        <v>1</v>
      </c>
      <c r="AI2331" s="430"/>
      <c r="AJ2331" s="430"/>
      <c r="AK2331" s="430"/>
      <c r="AL2331" s="214">
        <v>1</v>
      </c>
      <c r="AM2331" s="214"/>
      <c r="AN2331" s="431"/>
      <c r="AO2331" s="214"/>
      <c r="AP2331" s="214"/>
      <c r="AS2331">
        <v>1</v>
      </c>
    </row>
    <row r="2332" spans="1:45">
      <c r="A2332">
        <v>16010004</v>
      </c>
      <c r="B2332" s="425">
        <v>1001</v>
      </c>
      <c r="C2332" s="425">
        <v>1</v>
      </c>
      <c r="D2332" s="8">
        <v>1001</v>
      </c>
      <c r="E2332" t="s">
        <v>6011</v>
      </c>
      <c r="F2332" t="s">
        <v>6011</v>
      </c>
      <c r="G2332" t="s">
        <v>6012</v>
      </c>
      <c r="H2332" t="s">
        <v>6013</v>
      </c>
      <c r="I2332">
        <v>1</v>
      </c>
      <c r="J2332" s="69">
        <v>5</v>
      </c>
      <c r="K2332" s="33">
        <v>1</v>
      </c>
      <c r="L2332">
        <v>999</v>
      </c>
      <c r="M2332">
        <v>0</v>
      </c>
      <c r="S2332" s="33">
        <v>1</v>
      </c>
      <c r="T2332">
        <v>5</v>
      </c>
      <c r="U2332">
        <v>110</v>
      </c>
      <c r="V2332" s="33">
        <v>1</v>
      </c>
      <c r="W2332">
        <v>1</v>
      </c>
      <c r="X2332">
        <v>1</v>
      </c>
      <c r="Y2332">
        <v>0</v>
      </c>
      <c r="Z2332" s="33">
        <v>0</v>
      </c>
      <c r="AA2332">
        <v>5</v>
      </c>
      <c r="AB2332">
        <v>4000</v>
      </c>
      <c r="AC2332">
        <v>0</v>
      </c>
      <c r="AD2332" s="12">
        <v>0</v>
      </c>
      <c r="AE2332" s="12">
        <v>0</v>
      </c>
      <c r="AF2332" s="12">
        <v>0</v>
      </c>
      <c r="AG2332" s="430"/>
      <c r="AH2332" s="430">
        <v>1</v>
      </c>
      <c r="AI2332" s="430"/>
      <c r="AJ2332" s="430"/>
      <c r="AK2332" s="430"/>
      <c r="AL2332" s="214">
        <v>1</v>
      </c>
      <c r="AM2332" s="214"/>
      <c r="AN2332" s="431"/>
      <c r="AO2332" s="214"/>
      <c r="AP2332" s="214"/>
      <c r="AS2332">
        <v>1</v>
      </c>
    </row>
    <row r="2333" spans="1:45">
      <c r="A2333">
        <v>16010005</v>
      </c>
      <c r="B2333" s="425">
        <v>1001</v>
      </c>
      <c r="C2333" s="425">
        <v>1</v>
      </c>
      <c r="D2333" s="8">
        <v>1001</v>
      </c>
      <c r="E2333" t="s">
        <v>6014</v>
      </c>
      <c r="F2333" t="s">
        <v>6014</v>
      </c>
      <c r="G2333" t="s">
        <v>6015</v>
      </c>
      <c r="H2333" t="s">
        <v>6013</v>
      </c>
      <c r="I2333">
        <v>1</v>
      </c>
      <c r="J2333" s="69">
        <v>5</v>
      </c>
      <c r="K2333" s="33">
        <v>1</v>
      </c>
      <c r="L2333">
        <v>999</v>
      </c>
      <c r="M2333">
        <v>0</v>
      </c>
      <c r="S2333" s="33">
        <v>1</v>
      </c>
      <c r="T2333">
        <v>5</v>
      </c>
      <c r="U2333">
        <v>110</v>
      </c>
      <c r="V2333" s="33">
        <v>1</v>
      </c>
      <c r="W2333">
        <v>1</v>
      </c>
      <c r="X2333">
        <v>1</v>
      </c>
      <c r="Y2333">
        <v>0</v>
      </c>
      <c r="Z2333" s="33">
        <v>0</v>
      </c>
      <c r="AA2333">
        <v>5</v>
      </c>
      <c r="AB2333">
        <v>4000</v>
      </c>
      <c r="AC2333">
        <v>0</v>
      </c>
      <c r="AD2333" s="12">
        <v>0</v>
      </c>
      <c r="AE2333" s="12">
        <v>0</v>
      </c>
      <c r="AF2333" s="12">
        <v>0</v>
      </c>
      <c r="AG2333" s="430"/>
      <c r="AH2333" s="430">
        <v>1</v>
      </c>
      <c r="AI2333" s="430"/>
      <c r="AJ2333" s="430"/>
      <c r="AK2333" s="430"/>
      <c r="AL2333" s="214">
        <v>1</v>
      </c>
      <c r="AM2333" s="214"/>
      <c r="AN2333" s="431"/>
      <c r="AO2333" s="214"/>
      <c r="AP2333" s="214"/>
      <c r="AS2333">
        <v>1</v>
      </c>
    </row>
    <row r="2334" spans="1:45">
      <c r="A2334">
        <v>16010006</v>
      </c>
      <c r="B2334" s="425">
        <v>1001</v>
      </c>
      <c r="C2334" s="425">
        <v>1</v>
      </c>
      <c r="D2334" s="8">
        <v>1001</v>
      </c>
      <c r="E2334" t="s">
        <v>6016</v>
      </c>
      <c r="F2334" t="s">
        <v>6016</v>
      </c>
      <c r="G2334" t="s">
        <v>6017</v>
      </c>
      <c r="H2334" t="s">
        <v>6007</v>
      </c>
      <c r="I2334">
        <v>1</v>
      </c>
      <c r="J2334" s="69">
        <v>5</v>
      </c>
      <c r="K2334" s="33">
        <v>1</v>
      </c>
      <c r="L2334">
        <v>999</v>
      </c>
      <c r="M2334">
        <v>0</v>
      </c>
      <c r="S2334" s="33">
        <v>1</v>
      </c>
      <c r="T2334">
        <v>5</v>
      </c>
      <c r="U2334">
        <v>110</v>
      </c>
      <c r="V2334" s="33">
        <v>1</v>
      </c>
      <c r="W2334">
        <v>1</v>
      </c>
      <c r="X2334">
        <v>1</v>
      </c>
      <c r="Y2334">
        <v>0</v>
      </c>
      <c r="Z2334" s="33">
        <v>0</v>
      </c>
      <c r="AA2334">
        <v>5</v>
      </c>
      <c r="AB2334">
        <v>4000</v>
      </c>
      <c r="AC2334">
        <v>0</v>
      </c>
      <c r="AD2334" s="12">
        <v>0</v>
      </c>
      <c r="AE2334" s="12">
        <v>0</v>
      </c>
      <c r="AF2334" s="12">
        <v>0</v>
      </c>
      <c r="AG2334" s="430"/>
      <c r="AH2334" s="430">
        <v>1</v>
      </c>
      <c r="AI2334" s="430"/>
      <c r="AJ2334" s="430"/>
      <c r="AK2334" s="430"/>
      <c r="AL2334" s="214">
        <v>1</v>
      </c>
      <c r="AM2334" s="214"/>
      <c r="AN2334" s="431"/>
      <c r="AO2334" s="214"/>
      <c r="AP2334" s="214"/>
      <c r="AS2334">
        <v>1</v>
      </c>
    </row>
    <row r="2335" spans="1:45">
      <c r="A2335">
        <v>16010007</v>
      </c>
      <c r="B2335" s="425">
        <v>1001</v>
      </c>
      <c r="C2335" s="425">
        <v>1</v>
      </c>
      <c r="D2335" s="8">
        <v>1001</v>
      </c>
      <c r="E2335" t="s">
        <v>6018</v>
      </c>
      <c r="F2335" t="s">
        <v>6018</v>
      </c>
      <c r="G2335" t="s">
        <v>6019</v>
      </c>
      <c r="H2335" t="s">
        <v>6010</v>
      </c>
      <c r="I2335">
        <v>1</v>
      </c>
      <c r="J2335" s="69">
        <v>5</v>
      </c>
      <c r="K2335" s="33">
        <v>1</v>
      </c>
      <c r="L2335">
        <v>999</v>
      </c>
      <c r="M2335">
        <v>0</v>
      </c>
      <c r="S2335" s="33">
        <v>1</v>
      </c>
      <c r="T2335">
        <v>5</v>
      </c>
      <c r="U2335">
        <v>110</v>
      </c>
      <c r="V2335" s="33">
        <v>1</v>
      </c>
      <c r="W2335">
        <v>1</v>
      </c>
      <c r="X2335">
        <v>1</v>
      </c>
      <c r="Y2335">
        <v>0</v>
      </c>
      <c r="Z2335" s="33">
        <v>0</v>
      </c>
      <c r="AA2335">
        <v>5</v>
      </c>
      <c r="AB2335">
        <v>4000</v>
      </c>
      <c r="AC2335">
        <v>0</v>
      </c>
      <c r="AD2335" s="12">
        <v>0</v>
      </c>
      <c r="AE2335" s="12">
        <v>0</v>
      </c>
      <c r="AF2335" s="12">
        <v>0</v>
      </c>
      <c r="AG2335" s="430"/>
      <c r="AH2335" s="430">
        <v>1</v>
      </c>
      <c r="AI2335" s="430"/>
      <c r="AJ2335" s="430"/>
      <c r="AK2335" s="430"/>
      <c r="AL2335" s="214">
        <v>1</v>
      </c>
      <c r="AM2335" s="214"/>
      <c r="AN2335" s="431"/>
      <c r="AO2335" s="214"/>
      <c r="AP2335" s="214"/>
      <c r="AS2335">
        <v>1</v>
      </c>
    </row>
    <row r="2336" spans="1:45">
      <c r="A2336">
        <v>16010008</v>
      </c>
      <c r="B2336" s="425">
        <v>1001</v>
      </c>
      <c r="C2336" s="425">
        <v>1</v>
      </c>
      <c r="D2336" s="8">
        <v>1001</v>
      </c>
      <c r="E2336" t="s">
        <v>6020</v>
      </c>
      <c r="F2336" t="s">
        <v>6020</v>
      </c>
      <c r="G2336" t="s">
        <v>6021</v>
      </c>
      <c r="H2336" t="s">
        <v>6010</v>
      </c>
      <c r="I2336">
        <v>1</v>
      </c>
      <c r="J2336" s="69">
        <v>5</v>
      </c>
      <c r="K2336" s="33">
        <v>1</v>
      </c>
      <c r="L2336">
        <v>999</v>
      </c>
      <c r="M2336">
        <v>0</v>
      </c>
      <c r="S2336" s="33">
        <v>1</v>
      </c>
      <c r="T2336">
        <v>5</v>
      </c>
      <c r="U2336">
        <v>110</v>
      </c>
      <c r="V2336" s="33">
        <v>1</v>
      </c>
      <c r="W2336">
        <v>1</v>
      </c>
      <c r="X2336">
        <v>1</v>
      </c>
      <c r="Y2336">
        <v>0</v>
      </c>
      <c r="Z2336" s="33">
        <v>0</v>
      </c>
      <c r="AA2336">
        <v>5</v>
      </c>
      <c r="AB2336">
        <v>4000</v>
      </c>
      <c r="AC2336">
        <v>0</v>
      </c>
      <c r="AD2336" s="12">
        <v>0</v>
      </c>
      <c r="AE2336" s="12">
        <v>0</v>
      </c>
      <c r="AF2336" s="12">
        <v>0</v>
      </c>
      <c r="AG2336" s="430"/>
      <c r="AH2336" s="430">
        <v>1</v>
      </c>
      <c r="AI2336" s="430"/>
      <c r="AJ2336" s="430"/>
      <c r="AK2336" s="430"/>
      <c r="AL2336" s="214">
        <v>1</v>
      </c>
      <c r="AM2336" s="214"/>
      <c r="AN2336" s="431"/>
      <c r="AO2336" s="214"/>
      <c r="AP2336" s="214"/>
      <c r="AS2336">
        <v>1</v>
      </c>
    </row>
    <row r="2337" spans="1:45">
      <c r="A2337">
        <v>16010009</v>
      </c>
      <c r="B2337" s="425">
        <v>1001</v>
      </c>
      <c r="C2337" s="425">
        <v>1</v>
      </c>
      <c r="D2337" s="8">
        <v>1001</v>
      </c>
      <c r="E2337" t="s">
        <v>6022</v>
      </c>
      <c r="F2337" t="s">
        <v>6022</v>
      </c>
      <c r="G2337" t="s">
        <v>6023</v>
      </c>
      <c r="H2337" t="s">
        <v>6007</v>
      </c>
      <c r="I2337">
        <v>1</v>
      </c>
      <c r="J2337" s="69">
        <v>5</v>
      </c>
      <c r="K2337" s="33">
        <v>1</v>
      </c>
      <c r="L2337">
        <v>999</v>
      </c>
      <c r="M2337">
        <v>0</v>
      </c>
      <c r="S2337" s="33">
        <v>1</v>
      </c>
      <c r="T2337">
        <v>5</v>
      </c>
      <c r="U2337">
        <v>110</v>
      </c>
      <c r="V2337" s="33">
        <v>1</v>
      </c>
      <c r="W2337">
        <v>1</v>
      </c>
      <c r="X2337">
        <v>1</v>
      </c>
      <c r="Y2337">
        <v>0</v>
      </c>
      <c r="Z2337" s="33">
        <v>0</v>
      </c>
      <c r="AA2337">
        <v>5</v>
      </c>
      <c r="AB2337">
        <v>4000</v>
      </c>
      <c r="AC2337">
        <v>0</v>
      </c>
      <c r="AD2337" s="12">
        <v>0</v>
      </c>
      <c r="AE2337" s="12">
        <v>0</v>
      </c>
      <c r="AF2337" s="12">
        <v>0</v>
      </c>
      <c r="AG2337" s="430"/>
      <c r="AH2337" s="430">
        <v>1</v>
      </c>
      <c r="AI2337" s="430"/>
      <c r="AJ2337" s="430"/>
      <c r="AK2337" s="430"/>
      <c r="AL2337" s="214">
        <v>1</v>
      </c>
      <c r="AM2337" s="214"/>
      <c r="AN2337" s="431"/>
      <c r="AO2337" s="214"/>
      <c r="AP2337" s="214"/>
      <c r="AS2337">
        <v>1</v>
      </c>
    </row>
    <row r="2338" spans="1:45">
      <c r="A2338">
        <v>16010010</v>
      </c>
      <c r="B2338" s="425">
        <v>1001</v>
      </c>
      <c r="C2338" s="425">
        <v>1</v>
      </c>
      <c r="D2338" s="8">
        <v>1001</v>
      </c>
      <c r="E2338" t="s">
        <v>6024</v>
      </c>
      <c r="F2338" t="s">
        <v>6025</v>
      </c>
      <c r="G2338" t="s">
        <v>6026</v>
      </c>
      <c r="H2338" t="s">
        <v>6007</v>
      </c>
      <c r="I2338">
        <v>1</v>
      </c>
      <c r="J2338" s="69">
        <v>5</v>
      </c>
      <c r="K2338" s="33">
        <v>1</v>
      </c>
      <c r="L2338">
        <v>999</v>
      </c>
      <c r="M2338">
        <v>0</v>
      </c>
      <c r="S2338" s="33">
        <v>1</v>
      </c>
      <c r="T2338">
        <v>5</v>
      </c>
      <c r="U2338">
        <v>110</v>
      </c>
      <c r="V2338" s="33">
        <v>1</v>
      </c>
      <c r="W2338">
        <v>1</v>
      </c>
      <c r="X2338">
        <v>1</v>
      </c>
      <c r="Y2338">
        <v>0</v>
      </c>
      <c r="Z2338" s="33">
        <v>0</v>
      </c>
      <c r="AA2338">
        <v>5</v>
      </c>
      <c r="AB2338">
        <v>4000</v>
      </c>
      <c r="AC2338">
        <v>0</v>
      </c>
      <c r="AD2338" s="12">
        <v>0</v>
      </c>
      <c r="AE2338" s="12">
        <v>0</v>
      </c>
      <c r="AF2338" s="12">
        <v>0</v>
      </c>
      <c r="AG2338" s="430"/>
      <c r="AH2338" s="430">
        <v>1</v>
      </c>
      <c r="AI2338" s="430"/>
      <c r="AJ2338" s="430"/>
      <c r="AK2338" s="430"/>
      <c r="AL2338" s="214">
        <v>1</v>
      </c>
      <c r="AM2338" s="214"/>
      <c r="AN2338" s="431"/>
      <c r="AO2338" s="214"/>
      <c r="AP2338" s="214"/>
      <c r="AS2338">
        <v>1</v>
      </c>
    </row>
    <row r="2339" spans="1:45">
      <c r="A2339">
        <v>16010011</v>
      </c>
      <c r="B2339" s="407">
        <v>1001</v>
      </c>
      <c r="C2339" s="407">
        <v>1</v>
      </c>
      <c r="D2339" s="236">
        <v>1001</v>
      </c>
      <c r="E2339" t="s">
        <v>6025</v>
      </c>
      <c r="F2339" t="s">
        <v>6025</v>
      </c>
      <c r="G2339" t="s">
        <v>6026</v>
      </c>
      <c r="H2339" t="s">
        <v>6007</v>
      </c>
      <c r="I2339">
        <v>1</v>
      </c>
      <c r="J2339" s="69">
        <v>5</v>
      </c>
      <c r="K2339" s="33">
        <v>1</v>
      </c>
      <c r="L2339">
        <v>999</v>
      </c>
      <c r="M2339">
        <v>0</v>
      </c>
      <c r="N2339"/>
      <c r="S2339" s="33">
        <v>1</v>
      </c>
      <c r="T2339">
        <v>5</v>
      </c>
      <c r="U2339">
        <v>110</v>
      </c>
      <c r="V2339" s="33">
        <v>1</v>
      </c>
      <c r="W2339">
        <v>1</v>
      </c>
      <c r="X2339">
        <v>1</v>
      </c>
      <c r="Y2339">
        <v>0</v>
      </c>
      <c r="Z2339" s="33">
        <v>0</v>
      </c>
      <c r="AA2339">
        <v>5</v>
      </c>
      <c r="AB2339">
        <v>4000</v>
      </c>
      <c r="AC2339">
        <v>0</v>
      </c>
      <c r="AD2339" s="12">
        <v>0</v>
      </c>
      <c r="AE2339" s="12">
        <v>0</v>
      </c>
      <c r="AF2339" s="12">
        <v>0</v>
      </c>
      <c r="AG2339" s="430"/>
      <c r="AH2339" s="430">
        <v>1</v>
      </c>
      <c r="AI2339" s="430"/>
      <c r="AJ2339" s="430"/>
      <c r="AK2339" s="430"/>
      <c r="AL2339" s="214">
        <v>1</v>
      </c>
      <c r="AM2339" s="214"/>
      <c r="AN2339" s="431"/>
      <c r="AO2339" s="214"/>
      <c r="AP2339" s="214"/>
      <c r="AQ2339"/>
      <c r="AS2339">
        <v>1</v>
      </c>
    </row>
    <row r="2340" spans="1:45">
      <c r="A2340">
        <v>511361</v>
      </c>
      <c r="B2340" s="238">
        <v>1001</v>
      </c>
      <c r="C2340" s="238">
        <v>6</v>
      </c>
      <c r="D2340" s="238">
        <v>1001</v>
      </c>
      <c r="E2340" t="s">
        <v>298</v>
      </c>
      <c r="F2340" t="s">
        <v>298</v>
      </c>
      <c r="G2340" t="s">
        <v>5810</v>
      </c>
      <c r="H2340" t="s">
        <v>5811</v>
      </c>
      <c r="I2340">
        <v>1</v>
      </c>
      <c r="J2340">
        <v>3</v>
      </c>
      <c r="K2340" s="33">
        <v>2</v>
      </c>
      <c r="L2340">
        <v>999</v>
      </c>
      <c r="M2340">
        <v>0</v>
      </c>
      <c r="N2340" s="238">
        <v>1</v>
      </c>
      <c r="O2340" s="2" t="s">
        <v>301</v>
      </c>
      <c r="S2340" s="254">
        <v>0</v>
      </c>
      <c r="T2340" s="238">
        <v>5</v>
      </c>
      <c r="U2340" s="238">
        <v>1</v>
      </c>
      <c r="V2340" s="254">
        <v>1</v>
      </c>
      <c r="W2340" s="238">
        <v>1</v>
      </c>
      <c r="X2340" s="238">
        <v>1</v>
      </c>
      <c r="Y2340">
        <v>0</v>
      </c>
      <c r="Z2340" s="33">
        <v>0</v>
      </c>
      <c r="AA2340">
        <v>5</v>
      </c>
      <c r="AB2340">
        <v>100</v>
      </c>
      <c r="AC2340" s="238">
        <v>51</v>
      </c>
      <c r="AE2340" s="255">
        <v>4</v>
      </c>
      <c r="AF2340" s="255">
        <v>2</v>
      </c>
      <c r="AG2340" s="91"/>
      <c r="AH2340" s="91"/>
      <c r="AI2340" s="91"/>
      <c r="AJ2340" s="91"/>
      <c r="AK2340" s="91"/>
      <c r="AL2340" s="92"/>
      <c r="AM2340" s="92"/>
      <c r="AN2340" s="424"/>
      <c r="AO2340" s="92"/>
      <c r="AQ2340" t="s">
        <v>298</v>
      </c>
      <c r="AS2340">
        <v>1</v>
      </c>
    </row>
    <row r="2341" ht="15.75" customHeight="1" spans="1:45">
      <c r="A2341">
        <v>511362</v>
      </c>
      <c r="B2341" s="407">
        <v>1001</v>
      </c>
      <c r="C2341" s="236">
        <v>6</v>
      </c>
      <c r="D2341" s="236">
        <v>1001</v>
      </c>
      <c r="E2341" t="s">
        <v>5939</v>
      </c>
      <c r="F2341" t="s">
        <v>5939</v>
      </c>
      <c r="G2341" t="s">
        <v>6027</v>
      </c>
      <c r="H2341" t="s">
        <v>1667</v>
      </c>
      <c r="I2341">
        <v>1</v>
      </c>
      <c r="J2341">
        <v>5</v>
      </c>
      <c r="K2341" s="33">
        <v>2</v>
      </c>
      <c r="L2341">
        <v>999</v>
      </c>
      <c r="M2341">
        <v>0</v>
      </c>
      <c r="N2341" s="236">
        <v>1</v>
      </c>
      <c r="O2341" s="271" t="s">
        <v>6028</v>
      </c>
      <c r="S2341" s="336">
        <v>0</v>
      </c>
      <c r="T2341" s="236">
        <v>5</v>
      </c>
      <c r="U2341" s="336">
        <v>1</v>
      </c>
      <c r="V2341" s="248">
        <v>1</v>
      </c>
      <c r="W2341" s="236">
        <v>1</v>
      </c>
      <c r="X2341" s="236">
        <v>1</v>
      </c>
      <c r="Y2341">
        <v>0</v>
      </c>
      <c r="Z2341" s="33">
        <v>0</v>
      </c>
      <c r="AA2341">
        <v>5</v>
      </c>
      <c r="AB2341">
        <v>100</v>
      </c>
      <c r="AC2341" s="248">
        <v>0</v>
      </c>
      <c r="AD2341" s="62">
        <v>0</v>
      </c>
      <c r="AE2341" s="250">
        <v>4</v>
      </c>
      <c r="AF2341" s="250">
        <v>2</v>
      </c>
      <c r="AG2341" s="251"/>
      <c r="AH2341" s="251"/>
      <c r="AI2341" s="251"/>
      <c r="AJ2341" s="251"/>
      <c r="AK2341" s="251"/>
      <c r="AL2341" s="252"/>
      <c r="AM2341" s="252"/>
      <c r="AN2341" s="338"/>
      <c r="AO2341" s="252"/>
      <c r="AS2341">
        <v>1</v>
      </c>
    </row>
    <row r="2342" spans="1:45">
      <c r="A2342">
        <v>511363</v>
      </c>
      <c r="B2342">
        <v>1001</v>
      </c>
      <c r="C2342">
        <v>6</v>
      </c>
      <c r="D2342">
        <v>1001</v>
      </c>
      <c r="E2342" t="s">
        <v>5749</v>
      </c>
      <c r="F2342" t="s">
        <v>5749</v>
      </c>
      <c r="G2342" s="439" t="s">
        <v>6029</v>
      </c>
      <c r="H2342" t="s">
        <v>204</v>
      </c>
      <c r="I2342">
        <v>1</v>
      </c>
      <c r="J2342">
        <v>5</v>
      </c>
      <c r="K2342" s="254">
        <v>2</v>
      </c>
      <c r="L2342" s="238">
        <v>999</v>
      </c>
      <c r="M2342" s="238">
        <v>0</v>
      </c>
      <c r="N2342" s="238">
        <v>1018</v>
      </c>
      <c r="O2342" s="2" t="s">
        <v>6030</v>
      </c>
      <c r="R2342" s="8"/>
      <c r="S2342" s="33">
        <v>1</v>
      </c>
      <c r="T2342">
        <v>5</v>
      </c>
      <c r="U2342">
        <v>1</v>
      </c>
      <c r="V2342" s="33">
        <v>1</v>
      </c>
      <c r="W2342">
        <v>1</v>
      </c>
      <c r="X2342">
        <v>1</v>
      </c>
      <c r="Y2342">
        <v>0</v>
      </c>
      <c r="Z2342" s="33">
        <v>0</v>
      </c>
      <c r="AA2342">
        <v>5</v>
      </c>
      <c r="AB2342">
        <v>100</v>
      </c>
      <c r="AC2342">
        <v>70</v>
      </c>
      <c r="AD2342" s="62">
        <v>0</v>
      </c>
      <c r="AE2342" s="62">
        <v>5</v>
      </c>
      <c r="AF2342" s="62">
        <v>2</v>
      </c>
      <c r="AS2342">
        <v>1</v>
      </c>
    </row>
    <row r="2343" spans="1:45">
      <c r="A2343">
        <v>511364</v>
      </c>
      <c r="B2343">
        <v>1001</v>
      </c>
      <c r="C2343">
        <v>6</v>
      </c>
      <c r="D2343">
        <v>1001</v>
      </c>
      <c r="E2343" t="s">
        <v>5752</v>
      </c>
      <c r="F2343" t="s">
        <v>5752</v>
      </c>
      <c r="G2343" t="s">
        <v>6031</v>
      </c>
      <c r="H2343" t="s">
        <v>204</v>
      </c>
      <c r="I2343">
        <v>1</v>
      </c>
      <c r="J2343" s="69">
        <v>5</v>
      </c>
      <c r="K2343" s="248">
        <v>2</v>
      </c>
      <c r="L2343" s="8">
        <v>999</v>
      </c>
      <c r="M2343" s="8">
        <v>0</v>
      </c>
      <c r="N2343" s="8">
        <v>1018</v>
      </c>
      <c r="O2343" s="2" t="s">
        <v>6032</v>
      </c>
      <c r="R2343" s="236"/>
      <c r="S2343" s="254">
        <v>1</v>
      </c>
      <c r="T2343" s="238">
        <v>5</v>
      </c>
      <c r="U2343" s="238">
        <v>1</v>
      </c>
      <c r="V2343" s="254">
        <v>1</v>
      </c>
      <c r="W2343">
        <v>1</v>
      </c>
      <c r="X2343" s="238">
        <v>1</v>
      </c>
      <c r="Y2343" s="238">
        <v>0</v>
      </c>
      <c r="Z2343" s="33">
        <v>0</v>
      </c>
      <c r="AA2343">
        <v>5</v>
      </c>
      <c r="AB2343">
        <v>100</v>
      </c>
      <c r="AC2343" s="238">
        <v>70</v>
      </c>
      <c r="AD2343" s="62">
        <v>0</v>
      </c>
      <c r="AE2343" s="62">
        <v>5</v>
      </c>
      <c r="AF2343" s="62">
        <v>2</v>
      </c>
      <c r="AN2343" s="93"/>
      <c r="AO2343" s="92"/>
      <c r="AQ2343"/>
      <c r="AS2343">
        <v>1</v>
      </c>
    </row>
    <row r="2344" spans="1:45">
      <c r="A2344">
        <v>511365</v>
      </c>
      <c r="B2344" s="238">
        <v>1001</v>
      </c>
      <c r="C2344">
        <v>6</v>
      </c>
      <c r="D2344" s="238">
        <v>1001</v>
      </c>
      <c r="E2344" s="238" t="s">
        <v>6033</v>
      </c>
      <c r="F2344" s="238" t="s">
        <v>6033</v>
      </c>
      <c r="G2344" s="238" t="s">
        <v>6034</v>
      </c>
      <c r="H2344" s="238" t="s">
        <v>1574</v>
      </c>
      <c r="I2344">
        <v>1</v>
      </c>
      <c r="J2344">
        <v>4</v>
      </c>
      <c r="K2344" s="33">
        <v>2</v>
      </c>
      <c r="L2344" s="236">
        <v>999</v>
      </c>
      <c r="M2344" s="236">
        <v>0</v>
      </c>
      <c r="N2344" s="236">
        <v>1017</v>
      </c>
      <c r="O2344" s="2">
        <v>30349</v>
      </c>
      <c r="S2344" s="336">
        <v>1</v>
      </c>
      <c r="T2344" s="236">
        <v>5</v>
      </c>
      <c r="U2344" s="336">
        <v>170</v>
      </c>
      <c r="V2344" s="248">
        <v>1</v>
      </c>
      <c r="W2344">
        <v>1</v>
      </c>
      <c r="X2344" s="8">
        <v>1</v>
      </c>
      <c r="Y2344" s="236">
        <v>0</v>
      </c>
      <c r="Z2344" s="33">
        <v>0</v>
      </c>
      <c r="AA2344">
        <v>5</v>
      </c>
      <c r="AB2344" s="34">
        <v>6460</v>
      </c>
      <c r="AC2344" s="248">
        <v>70</v>
      </c>
      <c r="AD2344" s="62">
        <v>0</v>
      </c>
      <c r="AE2344" s="62">
        <v>4</v>
      </c>
      <c r="AF2344" s="62">
        <v>2</v>
      </c>
      <c r="AL2344" s="64">
        <v>1</v>
      </c>
      <c r="AN2344" s="338"/>
      <c r="AO2344" s="252"/>
      <c r="AQ2344" t="s">
        <v>6033</v>
      </c>
      <c r="AS2344">
        <v>1</v>
      </c>
    </row>
    <row r="2345" spans="1:45">
      <c r="A2345">
        <v>511366</v>
      </c>
      <c r="B2345" s="8">
        <v>1001</v>
      </c>
      <c r="C2345">
        <v>6</v>
      </c>
      <c r="D2345" s="8">
        <v>1001</v>
      </c>
      <c r="E2345" s="401" t="s">
        <v>6035</v>
      </c>
      <c r="F2345" s="401" t="s">
        <v>6035</v>
      </c>
      <c r="G2345" s="401" t="s">
        <v>6036</v>
      </c>
      <c r="H2345" s="402" t="s">
        <v>6037</v>
      </c>
      <c r="I2345">
        <v>40</v>
      </c>
      <c r="J2345">
        <v>5</v>
      </c>
      <c r="K2345" s="33">
        <v>2</v>
      </c>
      <c r="L2345">
        <v>999</v>
      </c>
      <c r="M2345">
        <v>0</v>
      </c>
      <c r="N2345">
        <v>1017</v>
      </c>
      <c r="O2345" s="249">
        <v>33058</v>
      </c>
      <c r="S2345" s="33">
        <v>1</v>
      </c>
      <c r="T2345">
        <v>5</v>
      </c>
      <c r="U2345">
        <v>1</v>
      </c>
      <c r="V2345" s="33">
        <v>1</v>
      </c>
      <c r="W2345">
        <v>1</v>
      </c>
      <c r="X2345" s="8">
        <v>1</v>
      </c>
      <c r="Y2345">
        <v>0</v>
      </c>
      <c r="Z2345" s="33">
        <v>0</v>
      </c>
      <c r="AA2345">
        <v>5</v>
      </c>
      <c r="AB2345">
        <v>100</v>
      </c>
      <c r="AC2345">
        <v>70</v>
      </c>
      <c r="AD2345" s="62">
        <v>0</v>
      </c>
      <c r="AE2345" s="62">
        <v>1</v>
      </c>
      <c r="AF2345" s="62">
        <v>2</v>
      </c>
      <c r="AS2345">
        <v>1</v>
      </c>
    </row>
    <row r="2346" spans="1:45">
      <c r="A2346">
        <v>511367</v>
      </c>
      <c r="B2346" s="8">
        <v>1001</v>
      </c>
      <c r="C2346">
        <v>6</v>
      </c>
      <c r="D2346" s="8">
        <v>1001</v>
      </c>
      <c r="E2346" s="401" t="s">
        <v>6038</v>
      </c>
      <c r="F2346" s="401" t="s">
        <v>6038</v>
      </c>
      <c r="G2346" s="401" t="s">
        <v>6039</v>
      </c>
      <c r="H2346" s="402" t="s">
        <v>6040</v>
      </c>
      <c r="I2346">
        <v>40</v>
      </c>
      <c r="J2346">
        <v>5</v>
      </c>
      <c r="K2346" s="33">
        <v>2</v>
      </c>
      <c r="L2346">
        <v>999</v>
      </c>
      <c r="M2346">
        <v>0</v>
      </c>
      <c r="N2346">
        <v>1017</v>
      </c>
      <c r="O2346" s="249">
        <v>33059</v>
      </c>
      <c r="S2346" s="33">
        <v>1</v>
      </c>
      <c r="T2346">
        <v>5</v>
      </c>
      <c r="U2346">
        <v>1</v>
      </c>
      <c r="V2346" s="33">
        <v>1</v>
      </c>
      <c r="W2346">
        <v>1</v>
      </c>
      <c r="X2346" s="8">
        <v>1</v>
      </c>
      <c r="Y2346">
        <v>0</v>
      </c>
      <c r="Z2346" s="33">
        <v>0</v>
      </c>
      <c r="AA2346">
        <v>5</v>
      </c>
      <c r="AB2346">
        <v>100</v>
      </c>
      <c r="AC2346">
        <v>70</v>
      </c>
      <c r="AD2346" s="62">
        <v>0</v>
      </c>
      <c r="AE2346" s="62">
        <v>1</v>
      </c>
      <c r="AF2346" s="62">
        <v>2</v>
      </c>
      <c r="AS2346">
        <v>1</v>
      </c>
    </row>
    <row r="2347" spans="1:45">
      <c r="A2347">
        <v>511368</v>
      </c>
      <c r="B2347" s="8">
        <v>1001</v>
      </c>
      <c r="C2347">
        <v>6</v>
      </c>
      <c r="D2347" s="8">
        <v>1001</v>
      </c>
      <c r="E2347" s="401" t="s">
        <v>6041</v>
      </c>
      <c r="F2347" s="401" t="s">
        <v>6041</v>
      </c>
      <c r="G2347" s="401" t="s">
        <v>6042</v>
      </c>
      <c r="H2347" s="402" t="s">
        <v>6043</v>
      </c>
      <c r="I2347">
        <v>40</v>
      </c>
      <c r="J2347">
        <v>5</v>
      </c>
      <c r="K2347" s="33">
        <v>2</v>
      </c>
      <c r="L2347">
        <v>999</v>
      </c>
      <c r="M2347">
        <v>0</v>
      </c>
      <c r="N2347">
        <v>1017</v>
      </c>
      <c r="O2347" s="249">
        <v>33060</v>
      </c>
      <c r="S2347" s="33">
        <v>1</v>
      </c>
      <c r="T2347">
        <v>5</v>
      </c>
      <c r="U2347">
        <v>1</v>
      </c>
      <c r="V2347" s="33">
        <v>1</v>
      </c>
      <c r="W2347">
        <v>1</v>
      </c>
      <c r="X2347" s="8">
        <v>1</v>
      </c>
      <c r="Y2347">
        <v>0</v>
      </c>
      <c r="Z2347" s="33">
        <v>0</v>
      </c>
      <c r="AA2347">
        <v>5</v>
      </c>
      <c r="AB2347">
        <v>100</v>
      </c>
      <c r="AC2347">
        <v>70</v>
      </c>
      <c r="AD2347" s="62">
        <v>0</v>
      </c>
      <c r="AE2347" s="62">
        <v>1</v>
      </c>
      <c r="AF2347" s="62">
        <v>2</v>
      </c>
      <c r="AS2347">
        <v>1</v>
      </c>
    </row>
    <row r="2348" spans="1:45">
      <c r="A2348">
        <v>511369</v>
      </c>
      <c r="B2348" s="8">
        <v>1001</v>
      </c>
      <c r="C2348">
        <v>6</v>
      </c>
      <c r="D2348" s="8">
        <v>1001</v>
      </c>
      <c r="E2348" s="401" t="s">
        <v>6044</v>
      </c>
      <c r="F2348" s="401" t="s">
        <v>6044</v>
      </c>
      <c r="G2348" s="401" t="s">
        <v>6045</v>
      </c>
      <c r="H2348" s="402" t="s">
        <v>6046</v>
      </c>
      <c r="I2348">
        <v>40</v>
      </c>
      <c r="J2348">
        <v>5</v>
      </c>
      <c r="K2348" s="33">
        <v>2</v>
      </c>
      <c r="L2348">
        <v>999</v>
      </c>
      <c r="M2348">
        <v>0</v>
      </c>
      <c r="N2348">
        <v>1017</v>
      </c>
      <c r="O2348" s="249">
        <v>33061</v>
      </c>
      <c r="S2348" s="33">
        <v>1</v>
      </c>
      <c r="T2348">
        <v>5</v>
      </c>
      <c r="U2348">
        <v>1</v>
      </c>
      <c r="V2348" s="33">
        <v>1</v>
      </c>
      <c r="W2348">
        <v>1</v>
      </c>
      <c r="X2348" s="8">
        <v>1</v>
      </c>
      <c r="Y2348">
        <v>0</v>
      </c>
      <c r="Z2348" s="33">
        <v>0</v>
      </c>
      <c r="AA2348">
        <v>5</v>
      </c>
      <c r="AB2348">
        <v>100</v>
      </c>
      <c r="AC2348">
        <v>70</v>
      </c>
      <c r="AD2348" s="62">
        <v>0</v>
      </c>
      <c r="AE2348" s="62">
        <v>1</v>
      </c>
      <c r="AF2348" s="62">
        <v>2</v>
      </c>
      <c r="AS2348">
        <v>1</v>
      </c>
    </row>
    <row r="2349" spans="1:45">
      <c r="A2349">
        <v>511370</v>
      </c>
      <c r="B2349" s="8">
        <v>1001</v>
      </c>
      <c r="C2349">
        <v>6</v>
      </c>
      <c r="D2349" s="8">
        <v>1001</v>
      </c>
      <c r="E2349" s="13" t="s">
        <v>6047</v>
      </c>
      <c r="F2349" s="13" t="s">
        <v>6047</v>
      </c>
      <c r="G2349" s="13" t="s">
        <v>6048</v>
      </c>
      <c r="H2349" s="402" t="s">
        <v>6049</v>
      </c>
      <c r="I2349">
        <v>40</v>
      </c>
      <c r="J2349">
        <v>5</v>
      </c>
      <c r="K2349" s="33">
        <v>2</v>
      </c>
      <c r="L2349">
        <v>999</v>
      </c>
      <c r="M2349">
        <v>0</v>
      </c>
      <c r="N2349">
        <v>1017</v>
      </c>
      <c r="O2349" s="249">
        <v>33062</v>
      </c>
      <c r="S2349" s="33">
        <v>1</v>
      </c>
      <c r="T2349">
        <v>5</v>
      </c>
      <c r="U2349">
        <v>1</v>
      </c>
      <c r="V2349" s="33">
        <v>1</v>
      </c>
      <c r="W2349">
        <v>1</v>
      </c>
      <c r="X2349" s="8">
        <v>1</v>
      </c>
      <c r="Y2349">
        <v>0</v>
      </c>
      <c r="Z2349" s="33">
        <v>0</v>
      </c>
      <c r="AA2349">
        <v>5</v>
      </c>
      <c r="AB2349">
        <v>100</v>
      </c>
      <c r="AC2349">
        <v>70</v>
      </c>
      <c r="AD2349" s="62">
        <v>0</v>
      </c>
      <c r="AE2349" s="62">
        <v>1</v>
      </c>
      <c r="AF2349" s="62">
        <v>2</v>
      </c>
      <c r="AS2349">
        <v>1</v>
      </c>
    </row>
    <row r="2350" spans="1:45">
      <c r="A2350">
        <v>511371</v>
      </c>
      <c r="B2350" s="8">
        <v>1001</v>
      </c>
      <c r="C2350">
        <v>6</v>
      </c>
      <c r="D2350" s="8">
        <v>1001</v>
      </c>
      <c r="E2350" s="13" t="s">
        <v>6050</v>
      </c>
      <c r="F2350" s="13" t="s">
        <v>6050</v>
      </c>
      <c r="G2350" s="13" t="s">
        <v>6051</v>
      </c>
      <c r="H2350" s="402" t="s">
        <v>6052</v>
      </c>
      <c r="I2350">
        <v>40</v>
      </c>
      <c r="J2350">
        <v>5</v>
      </c>
      <c r="K2350" s="33">
        <v>2</v>
      </c>
      <c r="L2350">
        <v>999</v>
      </c>
      <c r="M2350">
        <v>0</v>
      </c>
      <c r="N2350">
        <v>1017</v>
      </c>
      <c r="O2350" s="249">
        <v>33063</v>
      </c>
      <c r="S2350" s="33">
        <v>1</v>
      </c>
      <c r="T2350">
        <v>5</v>
      </c>
      <c r="U2350">
        <v>1</v>
      </c>
      <c r="V2350" s="33">
        <v>1</v>
      </c>
      <c r="W2350">
        <v>1</v>
      </c>
      <c r="X2350" s="8">
        <v>1</v>
      </c>
      <c r="Y2350">
        <v>0</v>
      </c>
      <c r="Z2350" s="33">
        <v>0</v>
      </c>
      <c r="AA2350">
        <v>5</v>
      </c>
      <c r="AB2350">
        <v>100</v>
      </c>
      <c r="AC2350">
        <v>70</v>
      </c>
      <c r="AD2350" s="62">
        <v>0</v>
      </c>
      <c r="AE2350" s="62">
        <v>1</v>
      </c>
      <c r="AF2350" s="62">
        <v>2</v>
      </c>
      <c r="AS2350">
        <v>1</v>
      </c>
    </row>
    <row r="2351" spans="1:45">
      <c r="A2351">
        <v>511372</v>
      </c>
      <c r="B2351" s="8">
        <v>1001</v>
      </c>
      <c r="C2351">
        <v>6</v>
      </c>
      <c r="D2351" s="8">
        <v>1001</v>
      </c>
      <c r="E2351" s="13" t="s">
        <v>6053</v>
      </c>
      <c r="F2351" s="13" t="s">
        <v>6053</v>
      </c>
      <c r="G2351" s="13" t="s">
        <v>6054</v>
      </c>
      <c r="H2351" s="402" t="s">
        <v>6055</v>
      </c>
      <c r="I2351">
        <v>40</v>
      </c>
      <c r="J2351">
        <v>5</v>
      </c>
      <c r="K2351" s="33">
        <v>2</v>
      </c>
      <c r="L2351">
        <v>999</v>
      </c>
      <c r="M2351">
        <v>0</v>
      </c>
      <c r="N2351">
        <v>1017</v>
      </c>
      <c r="O2351" s="249">
        <v>33064</v>
      </c>
      <c r="S2351" s="33">
        <v>1</v>
      </c>
      <c r="T2351">
        <v>5</v>
      </c>
      <c r="U2351">
        <v>1</v>
      </c>
      <c r="V2351" s="33">
        <v>1</v>
      </c>
      <c r="W2351">
        <v>1</v>
      </c>
      <c r="X2351" s="8">
        <v>1</v>
      </c>
      <c r="Y2351">
        <v>0</v>
      </c>
      <c r="Z2351" s="33">
        <v>0</v>
      </c>
      <c r="AA2351">
        <v>5</v>
      </c>
      <c r="AB2351">
        <v>100</v>
      </c>
      <c r="AC2351">
        <v>70</v>
      </c>
      <c r="AD2351" s="62">
        <v>0</v>
      </c>
      <c r="AE2351" s="62">
        <v>1</v>
      </c>
      <c r="AF2351" s="62">
        <v>2</v>
      </c>
      <c r="AS2351">
        <v>1</v>
      </c>
    </row>
    <row r="2352" spans="1:45">
      <c r="A2352">
        <v>511373</v>
      </c>
      <c r="B2352" s="8">
        <v>1001</v>
      </c>
      <c r="C2352">
        <v>6</v>
      </c>
      <c r="D2352" s="8">
        <v>1001</v>
      </c>
      <c r="E2352" s="253" t="s">
        <v>6056</v>
      </c>
      <c r="F2352" s="253" t="s">
        <v>6056</v>
      </c>
      <c r="G2352" s="253" t="s">
        <v>6057</v>
      </c>
      <c r="H2352" s="403" t="s">
        <v>6058</v>
      </c>
      <c r="I2352">
        <v>40</v>
      </c>
      <c r="J2352">
        <v>5</v>
      </c>
      <c r="K2352" s="33">
        <v>2</v>
      </c>
      <c r="L2352">
        <v>999</v>
      </c>
      <c r="M2352">
        <v>0</v>
      </c>
      <c r="N2352">
        <v>1017</v>
      </c>
      <c r="O2352" s="249">
        <v>33065</v>
      </c>
      <c r="S2352" s="33">
        <v>1</v>
      </c>
      <c r="T2352">
        <v>5</v>
      </c>
      <c r="U2352">
        <v>1</v>
      </c>
      <c r="V2352" s="33">
        <v>1</v>
      </c>
      <c r="W2352">
        <v>1</v>
      </c>
      <c r="X2352" s="236">
        <v>1</v>
      </c>
      <c r="Y2352">
        <v>0</v>
      </c>
      <c r="Z2352" s="33">
        <v>0</v>
      </c>
      <c r="AA2352">
        <v>5</v>
      </c>
      <c r="AB2352">
        <v>100</v>
      </c>
      <c r="AC2352">
        <v>70</v>
      </c>
      <c r="AD2352" s="62">
        <v>0</v>
      </c>
      <c r="AE2352" s="62">
        <v>1</v>
      </c>
      <c r="AF2352" s="62">
        <v>2</v>
      </c>
      <c r="AS2352">
        <v>1</v>
      </c>
    </row>
    <row r="2353" spans="1:45">
      <c r="A2353">
        <v>511374</v>
      </c>
      <c r="B2353" s="8">
        <v>1001</v>
      </c>
      <c r="C2353">
        <v>6</v>
      </c>
      <c r="D2353" s="8">
        <v>1001</v>
      </c>
      <c r="E2353" t="s">
        <v>6059</v>
      </c>
      <c r="F2353" t="s">
        <v>6059</v>
      </c>
      <c r="G2353" t="s">
        <v>6060</v>
      </c>
      <c r="H2353" t="s">
        <v>5726</v>
      </c>
      <c r="I2353">
        <v>1</v>
      </c>
      <c r="J2353">
        <v>5</v>
      </c>
      <c r="K2353" s="33">
        <v>2</v>
      </c>
      <c r="L2353">
        <v>999</v>
      </c>
      <c r="M2353">
        <v>0</v>
      </c>
      <c r="N2353">
        <v>1035</v>
      </c>
      <c r="O2353" s="2">
        <v>52</v>
      </c>
      <c r="S2353" s="33">
        <v>1</v>
      </c>
      <c r="T2353">
        <v>5</v>
      </c>
      <c r="U2353">
        <v>1</v>
      </c>
      <c r="V2353" s="33">
        <v>1</v>
      </c>
      <c r="W2353">
        <v>1</v>
      </c>
      <c r="X2353">
        <v>1</v>
      </c>
      <c r="Y2353">
        <v>0</v>
      </c>
      <c r="Z2353" s="33">
        <v>0</v>
      </c>
      <c r="AA2353">
        <v>5</v>
      </c>
      <c r="AB2353">
        <v>100</v>
      </c>
      <c r="AC2353">
        <v>70</v>
      </c>
      <c r="AD2353" s="62">
        <v>0</v>
      </c>
      <c r="AE2353" s="62">
        <v>1</v>
      </c>
      <c r="AF2353" s="62">
        <v>2</v>
      </c>
      <c r="AS2353">
        <v>1</v>
      </c>
    </row>
    <row r="2354" spans="1:45">
      <c r="A2354">
        <v>511375</v>
      </c>
      <c r="B2354" s="8">
        <v>1001</v>
      </c>
      <c r="C2354">
        <v>6</v>
      </c>
      <c r="D2354" s="8">
        <v>1001</v>
      </c>
      <c r="E2354" t="s">
        <v>6061</v>
      </c>
      <c r="F2354" t="s">
        <v>6061</v>
      </c>
      <c r="G2354" t="s">
        <v>6061</v>
      </c>
      <c r="H2354" t="s">
        <v>5559</v>
      </c>
      <c r="I2354">
        <v>1</v>
      </c>
      <c r="J2354">
        <v>5</v>
      </c>
      <c r="K2354" s="33">
        <v>2</v>
      </c>
      <c r="L2354">
        <v>999</v>
      </c>
      <c r="M2354">
        <v>0</v>
      </c>
      <c r="N2354">
        <v>1</v>
      </c>
      <c r="O2354" s="2" t="s">
        <v>6062</v>
      </c>
      <c r="S2354" s="33">
        <v>0</v>
      </c>
      <c r="T2354">
        <v>5</v>
      </c>
      <c r="U2354">
        <v>1</v>
      </c>
      <c r="V2354" s="33">
        <v>1</v>
      </c>
      <c r="W2354">
        <v>1</v>
      </c>
      <c r="X2354">
        <v>1</v>
      </c>
      <c r="Y2354">
        <v>0</v>
      </c>
      <c r="Z2354" s="33">
        <v>0</v>
      </c>
      <c r="AA2354">
        <v>5</v>
      </c>
      <c r="AB2354">
        <v>100</v>
      </c>
      <c r="AC2354">
        <v>70</v>
      </c>
      <c r="AD2354" s="62">
        <v>0</v>
      </c>
      <c r="AE2354" s="62">
        <v>4</v>
      </c>
      <c r="AF2354" s="62">
        <v>2</v>
      </c>
      <c r="AS2354">
        <v>1</v>
      </c>
    </row>
    <row r="2355" spans="1:45">
      <c r="A2355">
        <v>511376</v>
      </c>
      <c r="B2355" s="8">
        <v>1001</v>
      </c>
      <c r="C2355">
        <v>6</v>
      </c>
      <c r="D2355" s="8">
        <v>1001</v>
      </c>
      <c r="E2355" t="s">
        <v>6063</v>
      </c>
      <c r="F2355" t="s">
        <v>6064</v>
      </c>
      <c r="G2355" t="s">
        <v>5708</v>
      </c>
      <c r="H2355" t="s">
        <v>312</v>
      </c>
      <c r="I2355">
        <v>1</v>
      </c>
      <c r="J2355">
        <v>4</v>
      </c>
      <c r="K2355" s="33">
        <v>2</v>
      </c>
      <c r="L2355">
        <v>999</v>
      </c>
      <c r="M2355">
        <v>0</v>
      </c>
      <c r="N2355">
        <v>1017</v>
      </c>
      <c r="O2355" s="2">
        <v>30350</v>
      </c>
      <c r="S2355" s="33">
        <v>1</v>
      </c>
      <c r="T2355">
        <v>5</v>
      </c>
      <c r="U2355">
        <v>1</v>
      </c>
      <c r="V2355" s="33">
        <v>1</v>
      </c>
      <c r="W2355">
        <v>1</v>
      </c>
      <c r="X2355">
        <v>1</v>
      </c>
      <c r="Y2355">
        <v>0</v>
      </c>
      <c r="Z2355" s="33">
        <v>0</v>
      </c>
      <c r="AA2355">
        <v>5</v>
      </c>
      <c r="AB2355">
        <v>100</v>
      </c>
      <c r="AC2355">
        <v>70</v>
      </c>
      <c r="AD2355" s="62">
        <v>0</v>
      </c>
      <c r="AE2355" s="62">
        <v>4</v>
      </c>
      <c r="AF2355" s="62">
        <v>2</v>
      </c>
      <c r="AS2355">
        <v>1</v>
      </c>
    </row>
    <row r="2356" spans="1:45">
      <c r="A2356">
        <v>511377</v>
      </c>
      <c r="B2356" s="8">
        <v>1001</v>
      </c>
      <c r="C2356">
        <v>6</v>
      </c>
      <c r="D2356" s="8">
        <v>1001</v>
      </c>
      <c r="E2356" t="s">
        <v>6065</v>
      </c>
      <c r="F2356" t="s">
        <v>6066</v>
      </c>
      <c r="G2356" t="s">
        <v>5710</v>
      </c>
      <c r="H2356" t="s">
        <v>312</v>
      </c>
      <c r="I2356">
        <v>1</v>
      </c>
      <c r="J2356">
        <v>4</v>
      </c>
      <c r="K2356" s="33">
        <v>2</v>
      </c>
      <c r="L2356">
        <v>999</v>
      </c>
      <c r="M2356">
        <v>0</v>
      </c>
      <c r="N2356">
        <v>1017</v>
      </c>
      <c r="O2356" s="2">
        <v>30351</v>
      </c>
      <c r="S2356" s="33">
        <v>1</v>
      </c>
      <c r="T2356">
        <v>5</v>
      </c>
      <c r="U2356">
        <v>1</v>
      </c>
      <c r="V2356" s="33">
        <v>1</v>
      </c>
      <c r="W2356">
        <v>1</v>
      </c>
      <c r="X2356">
        <v>1</v>
      </c>
      <c r="Y2356">
        <v>0</v>
      </c>
      <c r="Z2356" s="33">
        <v>0</v>
      </c>
      <c r="AA2356">
        <v>5</v>
      </c>
      <c r="AB2356">
        <v>100</v>
      </c>
      <c r="AC2356">
        <v>70</v>
      </c>
      <c r="AD2356" s="62">
        <v>0</v>
      </c>
      <c r="AE2356" s="62">
        <v>4</v>
      </c>
      <c r="AF2356" s="62">
        <v>2</v>
      </c>
      <c r="AS2356">
        <v>1</v>
      </c>
    </row>
    <row r="2357" spans="1:45">
      <c r="A2357">
        <v>511378</v>
      </c>
      <c r="B2357" s="8">
        <v>1001</v>
      </c>
      <c r="C2357">
        <v>6</v>
      </c>
      <c r="D2357" s="8">
        <v>1001</v>
      </c>
      <c r="E2357" t="s">
        <v>6067</v>
      </c>
      <c r="F2357" t="s">
        <v>6068</v>
      </c>
      <c r="G2357" t="s">
        <v>5712</v>
      </c>
      <c r="H2357" t="s">
        <v>1574</v>
      </c>
      <c r="I2357">
        <v>1</v>
      </c>
      <c r="J2357">
        <v>5</v>
      </c>
      <c r="K2357" s="33">
        <v>2</v>
      </c>
      <c r="L2357">
        <v>999</v>
      </c>
      <c r="M2357">
        <v>0</v>
      </c>
      <c r="N2357">
        <v>1017</v>
      </c>
      <c r="O2357" s="2">
        <v>30352</v>
      </c>
      <c r="S2357" s="33">
        <v>1</v>
      </c>
      <c r="T2357">
        <v>5</v>
      </c>
      <c r="U2357">
        <v>1</v>
      </c>
      <c r="V2357" s="33">
        <v>1</v>
      </c>
      <c r="W2357">
        <v>1</v>
      </c>
      <c r="X2357">
        <v>1</v>
      </c>
      <c r="Y2357">
        <v>0</v>
      </c>
      <c r="Z2357" s="33">
        <v>0</v>
      </c>
      <c r="AA2357">
        <v>5</v>
      </c>
      <c r="AB2357">
        <v>100</v>
      </c>
      <c r="AC2357">
        <v>70</v>
      </c>
      <c r="AD2357" s="62">
        <v>0</v>
      </c>
      <c r="AE2357" s="62">
        <v>4</v>
      </c>
      <c r="AF2357" s="62">
        <v>2</v>
      </c>
      <c r="AS2357">
        <v>1</v>
      </c>
    </row>
    <row r="2358" spans="1:45">
      <c r="A2358">
        <v>511379</v>
      </c>
      <c r="B2358" s="8">
        <v>1001</v>
      </c>
      <c r="C2358">
        <v>6</v>
      </c>
      <c r="D2358" s="8">
        <v>1001</v>
      </c>
      <c r="E2358" t="s">
        <v>6069</v>
      </c>
      <c r="F2358" t="s">
        <v>6070</v>
      </c>
      <c r="G2358" t="s">
        <v>6071</v>
      </c>
      <c r="H2358" t="s">
        <v>312</v>
      </c>
      <c r="I2358">
        <v>1</v>
      </c>
      <c r="J2358">
        <v>4</v>
      </c>
      <c r="K2358" s="33">
        <v>2</v>
      </c>
      <c r="L2358">
        <v>999</v>
      </c>
      <c r="M2358">
        <v>0</v>
      </c>
      <c r="N2358">
        <v>1017</v>
      </c>
      <c r="O2358" s="2">
        <v>30353</v>
      </c>
      <c r="S2358" s="33">
        <v>1</v>
      </c>
      <c r="T2358">
        <v>5</v>
      </c>
      <c r="U2358">
        <v>1</v>
      </c>
      <c r="V2358" s="33">
        <v>1</v>
      </c>
      <c r="W2358">
        <v>1</v>
      </c>
      <c r="X2358">
        <v>1</v>
      </c>
      <c r="Y2358">
        <v>0</v>
      </c>
      <c r="Z2358" s="33">
        <v>0</v>
      </c>
      <c r="AA2358">
        <v>5</v>
      </c>
      <c r="AB2358">
        <v>100</v>
      </c>
      <c r="AC2358">
        <v>56</v>
      </c>
      <c r="AD2358" s="62">
        <v>0</v>
      </c>
      <c r="AE2358" s="62">
        <v>4</v>
      </c>
      <c r="AF2358" s="62">
        <v>2</v>
      </c>
      <c r="AS2358">
        <v>1</v>
      </c>
    </row>
    <row r="2359" spans="1:45">
      <c r="A2359">
        <v>511380</v>
      </c>
      <c r="B2359" s="8">
        <v>1001</v>
      </c>
      <c r="C2359">
        <v>6</v>
      </c>
      <c r="D2359" s="8">
        <v>1001</v>
      </c>
      <c r="E2359" t="s">
        <v>6072</v>
      </c>
      <c r="F2359" t="s">
        <v>6072</v>
      </c>
      <c r="G2359" t="s">
        <v>6073</v>
      </c>
      <c r="H2359" t="s">
        <v>1531</v>
      </c>
      <c r="I2359">
        <v>1</v>
      </c>
      <c r="J2359">
        <v>5</v>
      </c>
      <c r="K2359" s="33">
        <v>2</v>
      </c>
      <c r="L2359">
        <v>999</v>
      </c>
      <c r="M2359">
        <v>0</v>
      </c>
      <c r="N2359">
        <v>1017</v>
      </c>
      <c r="O2359" s="2">
        <v>90083</v>
      </c>
      <c r="S2359" s="33">
        <v>1</v>
      </c>
      <c r="T2359">
        <v>5</v>
      </c>
      <c r="U2359">
        <v>1</v>
      </c>
      <c r="V2359" s="33">
        <v>1</v>
      </c>
      <c r="W2359">
        <v>1</v>
      </c>
      <c r="X2359">
        <v>1</v>
      </c>
      <c r="Y2359">
        <v>0</v>
      </c>
      <c r="Z2359" s="33">
        <v>0</v>
      </c>
      <c r="AA2359">
        <v>5</v>
      </c>
      <c r="AB2359">
        <v>100</v>
      </c>
      <c r="AC2359">
        <v>55</v>
      </c>
      <c r="AD2359" s="62">
        <v>0</v>
      </c>
      <c r="AE2359" s="62">
        <v>4</v>
      </c>
      <c r="AF2359" s="62">
        <v>2</v>
      </c>
      <c r="AS2359">
        <v>1</v>
      </c>
    </row>
    <row r="2360" spans="1:45">
      <c r="A2360">
        <v>511381</v>
      </c>
      <c r="B2360" s="236">
        <v>1001</v>
      </c>
      <c r="C2360">
        <v>6</v>
      </c>
      <c r="D2360" s="236">
        <v>1001</v>
      </c>
      <c r="E2360" t="s">
        <v>6074</v>
      </c>
      <c r="F2360" t="s">
        <v>6074</v>
      </c>
      <c r="G2360" t="s">
        <v>6075</v>
      </c>
      <c r="H2360" t="s">
        <v>1531</v>
      </c>
      <c r="I2360">
        <v>1</v>
      </c>
      <c r="J2360">
        <v>5</v>
      </c>
      <c r="K2360" s="33">
        <v>2</v>
      </c>
      <c r="L2360">
        <v>999</v>
      </c>
      <c r="M2360">
        <v>0</v>
      </c>
      <c r="N2360">
        <v>1017</v>
      </c>
      <c r="O2360" s="2">
        <v>90090</v>
      </c>
      <c r="S2360" s="33">
        <v>1</v>
      </c>
      <c r="T2360">
        <v>5</v>
      </c>
      <c r="U2360">
        <v>1</v>
      </c>
      <c r="V2360" s="33">
        <v>1</v>
      </c>
      <c r="W2360">
        <v>1</v>
      </c>
      <c r="X2360">
        <v>1</v>
      </c>
      <c r="Y2360">
        <v>0</v>
      </c>
      <c r="Z2360" s="33">
        <v>0</v>
      </c>
      <c r="AA2360">
        <v>5</v>
      </c>
      <c r="AB2360">
        <v>100</v>
      </c>
      <c r="AC2360">
        <v>55</v>
      </c>
      <c r="AD2360" s="62">
        <v>0</v>
      </c>
      <c r="AE2360" s="62">
        <v>4</v>
      </c>
      <c r="AF2360" s="62">
        <v>2</v>
      </c>
      <c r="AS2360">
        <v>1</v>
      </c>
    </row>
    <row r="2361" spans="1:45">
      <c r="A2361">
        <v>511382</v>
      </c>
      <c r="B2361">
        <v>1001</v>
      </c>
      <c r="C2361">
        <v>1</v>
      </c>
      <c r="D2361">
        <v>1001</v>
      </c>
      <c r="E2361" t="s">
        <v>6076</v>
      </c>
      <c r="F2361" t="s">
        <v>6076</v>
      </c>
      <c r="G2361" t="s">
        <v>6077</v>
      </c>
      <c r="H2361" t="s">
        <v>5932</v>
      </c>
      <c r="I2361">
        <v>1</v>
      </c>
      <c r="J2361">
        <v>4</v>
      </c>
      <c r="K2361" s="33">
        <v>1</v>
      </c>
      <c r="L2361">
        <v>999</v>
      </c>
      <c r="M2361">
        <v>0</v>
      </c>
      <c r="S2361" s="33">
        <v>1</v>
      </c>
      <c r="T2361">
        <v>5</v>
      </c>
      <c r="U2361">
        <v>1</v>
      </c>
      <c r="V2361" s="33">
        <v>1</v>
      </c>
      <c r="W2361">
        <v>1</v>
      </c>
      <c r="X2361">
        <v>1</v>
      </c>
      <c r="Y2361">
        <v>0</v>
      </c>
      <c r="Z2361" s="33">
        <v>0</v>
      </c>
      <c r="AA2361">
        <v>5</v>
      </c>
      <c r="AB2361">
        <v>100</v>
      </c>
      <c r="AC2361">
        <v>0</v>
      </c>
      <c r="AD2361" s="62">
        <v>0</v>
      </c>
      <c r="AE2361" s="62">
        <v>0</v>
      </c>
      <c r="AF2361" s="62">
        <v>0</v>
      </c>
      <c r="AM2361" s="65"/>
      <c r="AN2361" s="64"/>
      <c r="AS2361">
        <v>1</v>
      </c>
    </row>
    <row r="2362" spans="1:45">
      <c r="A2362">
        <v>511383</v>
      </c>
      <c r="B2362">
        <v>1001</v>
      </c>
      <c r="C2362">
        <v>1</v>
      </c>
      <c r="D2362">
        <v>1001</v>
      </c>
      <c r="E2362" t="s">
        <v>6078</v>
      </c>
      <c r="F2362" t="s">
        <v>6078</v>
      </c>
      <c r="G2362" t="s">
        <v>6077</v>
      </c>
      <c r="H2362" t="s">
        <v>5934</v>
      </c>
      <c r="I2362">
        <v>1</v>
      </c>
      <c r="J2362">
        <v>5</v>
      </c>
      <c r="K2362" s="33">
        <v>1</v>
      </c>
      <c r="L2362">
        <v>999</v>
      </c>
      <c r="M2362">
        <v>0</v>
      </c>
      <c r="S2362" s="33">
        <v>1</v>
      </c>
      <c r="T2362">
        <v>5</v>
      </c>
      <c r="U2362">
        <v>1</v>
      </c>
      <c r="V2362" s="33">
        <v>1</v>
      </c>
      <c r="W2362">
        <v>1</v>
      </c>
      <c r="X2362">
        <v>1</v>
      </c>
      <c r="Y2362">
        <v>0</v>
      </c>
      <c r="Z2362" s="33">
        <v>0</v>
      </c>
      <c r="AA2362">
        <v>5</v>
      </c>
      <c r="AB2362">
        <v>100</v>
      </c>
      <c r="AC2362">
        <v>0</v>
      </c>
      <c r="AD2362" s="62">
        <v>0</v>
      </c>
      <c r="AE2362" s="62">
        <v>0</v>
      </c>
      <c r="AF2362" s="62">
        <v>0</v>
      </c>
      <c r="AM2362" s="65"/>
      <c r="AN2362" s="64"/>
      <c r="AQ2362"/>
      <c r="AS2362">
        <v>1</v>
      </c>
    </row>
    <row r="2363" spans="1:45">
      <c r="A2363">
        <v>511384</v>
      </c>
      <c r="B2363">
        <v>1001</v>
      </c>
      <c r="C2363">
        <v>1</v>
      </c>
      <c r="D2363">
        <v>3</v>
      </c>
      <c r="E2363" t="s">
        <v>6079</v>
      </c>
      <c r="F2363" t="s">
        <v>6079</v>
      </c>
      <c r="G2363" t="s">
        <v>6080</v>
      </c>
      <c r="H2363" t="s">
        <v>1329</v>
      </c>
      <c r="I2363">
        <v>1</v>
      </c>
      <c r="J2363">
        <v>2</v>
      </c>
      <c r="K2363" s="33">
        <v>1</v>
      </c>
      <c r="L2363">
        <v>9999</v>
      </c>
      <c r="M2363">
        <v>0</v>
      </c>
      <c r="S2363" s="33">
        <v>0</v>
      </c>
      <c r="T2363">
        <v>5</v>
      </c>
      <c r="U2363">
        <v>110</v>
      </c>
      <c r="V2363" s="33">
        <v>1</v>
      </c>
      <c r="W2363">
        <v>1</v>
      </c>
      <c r="X2363">
        <v>1</v>
      </c>
      <c r="Y2363">
        <v>0</v>
      </c>
      <c r="Z2363" s="33">
        <v>0</v>
      </c>
      <c r="AA2363">
        <v>5</v>
      </c>
      <c r="AB2363">
        <v>4180</v>
      </c>
      <c r="AC2363">
        <v>0</v>
      </c>
      <c r="AD2363" s="62">
        <v>0</v>
      </c>
      <c r="AE2363" s="62">
        <v>0</v>
      </c>
      <c r="AF2363" s="62">
        <v>0</v>
      </c>
      <c r="AH2363" s="63">
        <v>1</v>
      </c>
      <c r="AL2363" s="64">
        <v>1</v>
      </c>
      <c r="AM2363" s="65"/>
      <c r="AN2363" s="64"/>
      <c r="AQ2363" t="s">
        <v>5851</v>
      </c>
      <c r="AS2363">
        <v>1</v>
      </c>
    </row>
    <row r="2364" spans="1:45">
      <c r="A2364">
        <v>511385</v>
      </c>
      <c r="B2364">
        <v>1001</v>
      </c>
      <c r="C2364">
        <v>1</v>
      </c>
      <c r="D2364">
        <v>3</v>
      </c>
      <c r="E2364" t="s">
        <v>6081</v>
      </c>
      <c r="F2364" t="s">
        <v>6081</v>
      </c>
      <c r="G2364" t="s">
        <v>6082</v>
      </c>
      <c r="H2364" t="s">
        <v>1329</v>
      </c>
      <c r="I2364">
        <v>1</v>
      </c>
      <c r="J2364">
        <v>2</v>
      </c>
      <c r="K2364" s="33">
        <v>1</v>
      </c>
      <c r="L2364">
        <v>999</v>
      </c>
      <c r="M2364">
        <v>0</v>
      </c>
      <c r="S2364" s="33">
        <v>0</v>
      </c>
      <c r="T2364">
        <v>5</v>
      </c>
      <c r="U2364">
        <v>110</v>
      </c>
      <c r="V2364" s="33">
        <v>1</v>
      </c>
      <c r="W2364">
        <v>1</v>
      </c>
      <c r="X2364">
        <v>1</v>
      </c>
      <c r="Y2364">
        <v>0</v>
      </c>
      <c r="Z2364" s="33">
        <v>0</v>
      </c>
      <c r="AA2364">
        <v>5</v>
      </c>
      <c r="AB2364">
        <v>4180</v>
      </c>
      <c r="AC2364">
        <v>0</v>
      </c>
      <c r="AD2364" s="62">
        <v>0</v>
      </c>
      <c r="AE2364" s="62">
        <v>0</v>
      </c>
      <c r="AF2364" s="62">
        <v>0</v>
      </c>
      <c r="AH2364" s="63">
        <v>1</v>
      </c>
      <c r="AL2364" s="64">
        <v>1</v>
      </c>
      <c r="AM2364" s="65"/>
      <c r="AN2364" s="64"/>
      <c r="AQ2364" t="s">
        <v>5851</v>
      </c>
      <c r="AS2364">
        <v>1</v>
      </c>
    </row>
    <row r="2365" spans="1:45">
      <c r="A2365">
        <v>511386</v>
      </c>
      <c r="B2365">
        <v>1001</v>
      </c>
      <c r="C2365">
        <v>1</v>
      </c>
      <c r="D2365">
        <v>3</v>
      </c>
      <c r="E2365" t="s">
        <v>6083</v>
      </c>
      <c r="F2365" t="s">
        <v>6083</v>
      </c>
      <c r="G2365" t="s">
        <v>6084</v>
      </c>
      <c r="H2365" t="s">
        <v>2177</v>
      </c>
      <c r="I2365">
        <v>1</v>
      </c>
      <c r="J2365">
        <v>2</v>
      </c>
      <c r="K2365" s="33">
        <v>1</v>
      </c>
      <c r="L2365">
        <v>999</v>
      </c>
      <c r="M2365">
        <v>0</v>
      </c>
      <c r="S2365" s="33">
        <v>0</v>
      </c>
      <c r="T2365">
        <v>5</v>
      </c>
      <c r="U2365">
        <v>110</v>
      </c>
      <c r="V2365" s="33">
        <v>1</v>
      </c>
      <c r="W2365">
        <v>1</v>
      </c>
      <c r="X2365">
        <v>1</v>
      </c>
      <c r="Y2365">
        <v>0</v>
      </c>
      <c r="Z2365" s="33">
        <v>0</v>
      </c>
      <c r="AA2365">
        <v>5</v>
      </c>
      <c r="AB2365">
        <v>4180</v>
      </c>
      <c r="AC2365">
        <v>0</v>
      </c>
      <c r="AD2365" s="62">
        <v>0</v>
      </c>
      <c r="AE2365" s="62">
        <v>0</v>
      </c>
      <c r="AF2365" s="62">
        <v>0</v>
      </c>
      <c r="AH2365" s="63">
        <v>1</v>
      </c>
      <c r="AL2365" s="64">
        <v>1</v>
      </c>
      <c r="AM2365" s="65"/>
      <c r="AN2365" s="64"/>
      <c r="AQ2365" t="s">
        <v>5851</v>
      </c>
      <c r="AS2365">
        <v>1</v>
      </c>
    </row>
    <row r="2366" spans="1:45">
      <c r="A2366">
        <v>511387</v>
      </c>
      <c r="B2366">
        <v>1001</v>
      </c>
      <c r="C2366">
        <v>1</v>
      </c>
      <c r="D2366">
        <v>3</v>
      </c>
      <c r="E2366" t="s">
        <v>6085</v>
      </c>
      <c r="F2366" t="s">
        <v>6085</v>
      </c>
      <c r="G2366" t="s">
        <v>6086</v>
      </c>
      <c r="H2366" t="s">
        <v>1296</v>
      </c>
      <c r="I2366">
        <v>1</v>
      </c>
      <c r="J2366">
        <v>2</v>
      </c>
      <c r="K2366" s="33">
        <v>1</v>
      </c>
      <c r="L2366">
        <v>999</v>
      </c>
      <c r="M2366">
        <v>0</v>
      </c>
      <c r="S2366" s="33">
        <v>0</v>
      </c>
      <c r="T2366">
        <v>5</v>
      </c>
      <c r="U2366">
        <v>110</v>
      </c>
      <c r="V2366" s="33">
        <v>1</v>
      </c>
      <c r="W2366">
        <v>1</v>
      </c>
      <c r="X2366">
        <v>1</v>
      </c>
      <c r="Y2366">
        <v>0</v>
      </c>
      <c r="Z2366" s="33">
        <v>0</v>
      </c>
      <c r="AA2366">
        <v>5</v>
      </c>
      <c r="AB2366">
        <v>4180</v>
      </c>
      <c r="AC2366">
        <v>0</v>
      </c>
      <c r="AD2366" s="62">
        <v>0</v>
      </c>
      <c r="AE2366" s="62">
        <v>0</v>
      </c>
      <c r="AF2366" s="62">
        <v>0</v>
      </c>
      <c r="AH2366" s="63">
        <v>1</v>
      </c>
      <c r="AL2366" s="64">
        <v>1</v>
      </c>
      <c r="AM2366" s="65"/>
      <c r="AN2366" s="64"/>
      <c r="AQ2366" t="s">
        <v>5851</v>
      </c>
      <c r="AS2366">
        <v>1</v>
      </c>
    </row>
    <row r="2367" spans="1:45">
      <c r="A2367">
        <v>511388</v>
      </c>
      <c r="B2367">
        <v>1001</v>
      </c>
      <c r="C2367">
        <v>1</v>
      </c>
      <c r="D2367">
        <v>3</v>
      </c>
      <c r="E2367" t="s">
        <v>6087</v>
      </c>
      <c r="F2367" t="s">
        <v>6087</v>
      </c>
      <c r="G2367" t="s">
        <v>6088</v>
      </c>
      <c r="H2367" t="s">
        <v>1329</v>
      </c>
      <c r="I2367">
        <v>1</v>
      </c>
      <c r="J2367">
        <v>2</v>
      </c>
      <c r="K2367" s="33">
        <v>1</v>
      </c>
      <c r="L2367">
        <v>999</v>
      </c>
      <c r="M2367">
        <v>0</v>
      </c>
      <c r="S2367" s="33">
        <v>0</v>
      </c>
      <c r="T2367">
        <v>5</v>
      </c>
      <c r="U2367">
        <v>110</v>
      </c>
      <c r="V2367" s="33">
        <v>1</v>
      </c>
      <c r="W2367">
        <v>1</v>
      </c>
      <c r="X2367">
        <v>1</v>
      </c>
      <c r="Y2367">
        <v>0</v>
      </c>
      <c r="Z2367" s="33">
        <v>0</v>
      </c>
      <c r="AA2367">
        <v>5</v>
      </c>
      <c r="AB2367">
        <v>4180</v>
      </c>
      <c r="AC2367">
        <v>0</v>
      </c>
      <c r="AD2367" s="62">
        <v>0</v>
      </c>
      <c r="AE2367" s="62">
        <v>0</v>
      </c>
      <c r="AF2367" s="62">
        <v>0</v>
      </c>
      <c r="AH2367" s="63">
        <v>1</v>
      </c>
      <c r="AL2367" s="64">
        <v>1</v>
      </c>
      <c r="AM2367" s="65"/>
      <c r="AN2367" s="64"/>
      <c r="AQ2367" t="s">
        <v>5851</v>
      </c>
      <c r="AS2367">
        <v>1</v>
      </c>
    </row>
    <row r="2368" spans="1:45">
      <c r="A2368">
        <v>511389</v>
      </c>
      <c r="B2368">
        <v>1001</v>
      </c>
      <c r="C2368">
        <v>1</v>
      </c>
      <c r="D2368">
        <v>3</v>
      </c>
      <c r="E2368" t="s">
        <v>2536</v>
      </c>
      <c r="F2368" t="s">
        <v>2536</v>
      </c>
      <c r="G2368" t="s">
        <v>6089</v>
      </c>
      <c r="H2368" t="s">
        <v>1329</v>
      </c>
      <c r="I2368">
        <v>1</v>
      </c>
      <c r="J2368">
        <v>2</v>
      </c>
      <c r="K2368" s="33">
        <v>1</v>
      </c>
      <c r="L2368">
        <v>999</v>
      </c>
      <c r="M2368">
        <v>0</v>
      </c>
      <c r="N2368"/>
      <c r="S2368" s="33">
        <v>0</v>
      </c>
      <c r="T2368">
        <v>5</v>
      </c>
      <c r="U2368">
        <v>110</v>
      </c>
      <c r="V2368" s="33">
        <v>1</v>
      </c>
      <c r="W2368">
        <v>1</v>
      </c>
      <c r="X2368">
        <v>1</v>
      </c>
      <c r="Y2368">
        <v>0</v>
      </c>
      <c r="Z2368" s="33">
        <v>0</v>
      </c>
      <c r="AA2368">
        <v>5</v>
      </c>
      <c r="AB2368">
        <v>4180</v>
      </c>
      <c r="AC2368">
        <v>0</v>
      </c>
      <c r="AD2368" s="62">
        <v>0</v>
      </c>
      <c r="AE2368" s="62">
        <v>0</v>
      </c>
      <c r="AF2368" s="62">
        <v>0</v>
      </c>
      <c r="AH2368" s="63">
        <v>1</v>
      </c>
      <c r="AL2368" s="64">
        <v>1</v>
      </c>
      <c r="AM2368" s="65"/>
      <c r="AN2368" s="64"/>
      <c r="AQ2368" t="s">
        <v>5851</v>
      </c>
      <c r="AS2368">
        <v>1</v>
      </c>
    </row>
    <row r="2369" spans="1:45">
      <c r="A2369">
        <v>511390</v>
      </c>
      <c r="B2369">
        <v>1001</v>
      </c>
      <c r="C2369">
        <v>6</v>
      </c>
      <c r="D2369">
        <v>1001</v>
      </c>
      <c r="E2369" t="s">
        <v>6090</v>
      </c>
      <c r="F2369" t="s">
        <v>6090</v>
      </c>
      <c r="G2369" t="s">
        <v>6091</v>
      </c>
      <c r="H2369" t="s">
        <v>1825</v>
      </c>
      <c r="I2369">
        <v>1</v>
      </c>
      <c r="J2369">
        <v>5</v>
      </c>
      <c r="K2369" s="33">
        <v>2</v>
      </c>
      <c r="L2369">
        <v>999</v>
      </c>
      <c r="M2369">
        <v>0</v>
      </c>
      <c r="N2369">
        <v>1</v>
      </c>
      <c r="O2369" s="2" t="s">
        <v>6092</v>
      </c>
      <c r="S2369" s="33">
        <v>0</v>
      </c>
      <c r="T2369">
        <v>5</v>
      </c>
      <c r="U2369">
        <v>1</v>
      </c>
      <c r="V2369" s="33">
        <v>1</v>
      </c>
      <c r="W2369">
        <v>1</v>
      </c>
      <c r="X2369">
        <v>1</v>
      </c>
      <c r="Y2369">
        <v>0</v>
      </c>
      <c r="Z2369" s="33">
        <v>0</v>
      </c>
      <c r="AA2369">
        <v>5</v>
      </c>
      <c r="AB2369">
        <v>100</v>
      </c>
      <c r="AC2369">
        <v>55</v>
      </c>
      <c r="AD2369" s="62">
        <v>0</v>
      </c>
      <c r="AE2369" s="62">
        <v>4</v>
      </c>
      <c r="AF2369" s="62">
        <v>2</v>
      </c>
      <c r="AQ2369"/>
      <c r="AS2369">
        <v>1</v>
      </c>
    </row>
    <row r="2370" spans="1:45">
      <c r="A2370">
        <v>511391</v>
      </c>
      <c r="B2370">
        <v>1001</v>
      </c>
      <c r="C2370">
        <v>1</v>
      </c>
      <c r="D2370">
        <v>3</v>
      </c>
      <c r="E2370" t="s">
        <v>6093</v>
      </c>
      <c r="F2370" t="s">
        <v>6093</v>
      </c>
      <c r="G2370" t="s">
        <v>6094</v>
      </c>
      <c r="H2370" t="s">
        <v>1329</v>
      </c>
      <c r="I2370">
        <v>1</v>
      </c>
      <c r="J2370">
        <v>2</v>
      </c>
      <c r="K2370" s="33">
        <v>1</v>
      </c>
      <c r="L2370">
        <v>999</v>
      </c>
      <c r="M2370">
        <v>0</v>
      </c>
      <c r="S2370" s="33">
        <v>0</v>
      </c>
      <c r="T2370">
        <v>5</v>
      </c>
      <c r="U2370">
        <v>110</v>
      </c>
      <c r="V2370" s="33">
        <v>1</v>
      </c>
      <c r="W2370">
        <v>1</v>
      </c>
      <c r="X2370">
        <v>1</v>
      </c>
      <c r="Y2370">
        <v>0</v>
      </c>
      <c r="Z2370" s="33">
        <v>0</v>
      </c>
      <c r="AA2370">
        <v>5</v>
      </c>
      <c r="AB2370">
        <v>4180</v>
      </c>
      <c r="AC2370">
        <v>0</v>
      </c>
      <c r="AD2370" s="62">
        <v>0</v>
      </c>
      <c r="AE2370" s="62">
        <v>0</v>
      </c>
      <c r="AF2370" s="62">
        <v>0</v>
      </c>
      <c r="AH2370" s="63">
        <v>1</v>
      </c>
      <c r="AL2370" s="64">
        <v>1</v>
      </c>
      <c r="AQ2370" t="s">
        <v>6093</v>
      </c>
      <c r="AS2370">
        <v>1</v>
      </c>
    </row>
    <row r="2371" spans="1:45">
      <c r="A2371">
        <v>511392</v>
      </c>
      <c r="B2371">
        <v>1001</v>
      </c>
      <c r="C2371">
        <v>1</v>
      </c>
      <c r="D2371">
        <v>3</v>
      </c>
      <c r="E2371" t="s">
        <v>6095</v>
      </c>
      <c r="F2371" t="s">
        <v>6095</v>
      </c>
      <c r="G2371" t="s">
        <v>6096</v>
      </c>
      <c r="H2371" t="s">
        <v>1329</v>
      </c>
      <c r="I2371">
        <v>1</v>
      </c>
      <c r="J2371">
        <v>2</v>
      </c>
      <c r="K2371" s="33">
        <v>1</v>
      </c>
      <c r="L2371">
        <v>999</v>
      </c>
      <c r="M2371">
        <v>0</v>
      </c>
      <c r="S2371" s="33">
        <v>0</v>
      </c>
      <c r="T2371">
        <v>5</v>
      </c>
      <c r="U2371">
        <v>110</v>
      </c>
      <c r="V2371" s="33">
        <v>1</v>
      </c>
      <c r="W2371">
        <v>1</v>
      </c>
      <c r="X2371">
        <v>1</v>
      </c>
      <c r="Y2371">
        <v>0</v>
      </c>
      <c r="Z2371" s="33">
        <v>0</v>
      </c>
      <c r="AA2371">
        <v>5</v>
      </c>
      <c r="AB2371">
        <v>4180</v>
      </c>
      <c r="AC2371">
        <v>0</v>
      </c>
      <c r="AD2371" s="62">
        <v>0</v>
      </c>
      <c r="AE2371" s="62">
        <v>0</v>
      </c>
      <c r="AF2371" s="62">
        <v>0</v>
      </c>
      <c r="AH2371" s="63">
        <v>1</v>
      </c>
      <c r="AL2371" s="64">
        <v>1</v>
      </c>
      <c r="AQ2371" t="s">
        <v>6095</v>
      </c>
      <c r="AS2371">
        <v>1</v>
      </c>
    </row>
    <row r="2372" spans="1:45">
      <c r="A2372">
        <v>511393</v>
      </c>
      <c r="B2372">
        <v>1001</v>
      </c>
      <c r="C2372">
        <v>1</v>
      </c>
      <c r="D2372">
        <v>3</v>
      </c>
      <c r="E2372" t="s">
        <v>1318</v>
      </c>
      <c r="F2372" t="s">
        <v>1318</v>
      </c>
      <c r="G2372" t="s">
        <v>6097</v>
      </c>
      <c r="H2372" t="s">
        <v>1329</v>
      </c>
      <c r="I2372">
        <v>1</v>
      </c>
      <c r="J2372">
        <v>2</v>
      </c>
      <c r="K2372" s="33">
        <v>1</v>
      </c>
      <c r="L2372">
        <v>999</v>
      </c>
      <c r="M2372">
        <v>0</v>
      </c>
      <c r="S2372" s="33">
        <v>0</v>
      </c>
      <c r="T2372">
        <v>5</v>
      </c>
      <c r="U2372">
        <v>110</v>
      </c>
      <c r="V2372" s="33">
        <v>1</v>
      </c>
      <c r="W2372">
        <v>1</v>
      </c>
      <c r="X2372">
        <v>1</v>
      </c>
      <c r="Y2372">
        <v>0</v>
      </c>
      <c r="Z2372" s="33">
        <v>0</v>
      </c>
      <c r="AA2372">
        <v>5</v>
      </c>
      <c r="AB2372">
        <v>4180</v>
      </c>
      <c r="AC2372">
        <v>0</v>
      </c>
      <c r="AD2372" s="62">
        <v>0</v>
      </c>
      <c r="AE2372" s="62">
        <v>0</v>
      </c>
      <c r="AF2372" s="62">
        <v>0</v>
      </c>
      <c r="AH2372" s="63">
        <v>1</v>
      </c>
      <c r="AL2372" s="64">
        <v>1</v>
      </c>
      <c r="AQ2372" t="s">
        <v>1318</v>
      </c>
      <c r="AS2372">
        <v>1</v>
      </c>
    </row>
    <row r="2373" spans="1:45">
      <c r="A2373">
        <v>511394</v>
      </c>
      <c r="B2373">
        <v>1001</v>
      </c>
      <c r="C2373">
        <v>1</v>
      </c>
      <c r="D2373">
        <v>3</v>
      </c>
      <c r="E2373" t="s">
        <v>6098</v>
      </c>
      <c r="F2373" t="s">
        <v>6098</v>
      </c>
      <c r="G2373" t="s">
        <v>6099</v>
      </c>
      <c r="H2373" t="s">
        <v>1329</v>
      </c>
      <c r="I2373">
        <v>1</v>
      </c>
      <c r="J2373">
        <v>2</v>
      </c>
      <c r="K2373" s="33">
        <v>1</v>
      </c>
      <c r="L2373">
        <v>999</v>
      </c>
      <c r="M2373">
        <v>0</v>
      </c>
      <c r="S2373" s="33">
        <v>0</v>
      </c>
      <c r="T2373">
        <v>5</v>
      </c>
      <c r="U2373">
        <v>110</v>
      </c>
      <c r="V2373" s="33">
        <v>1</v>
      </c>
      <c r="W2373">
        <v>1</v>
      </c>
      <c r="X2373">
        <v>1</v>
      </c>
      <c r="Y2373">
        <v>0</v>
      </c>
      <c r="Z2373" s="33">
        <v>0</v>
      </c>
      <c r="AA2373">
        <v>5</v>
      </c>
      <c r="AB2373">
        <v>4180</v>
      </c>
      <c r="AC2373">
        <v>0</v>
      </c>
      <c r="AD2373" s="62">
        <v>0</v>
      </c>
      <c r="AE2373" s="62">
        <v>0</v>
      </c>
      <c r="AF2373" s="62">
        <v>0</v>
      </c>
      <c r="AH2373" s="63">
        <v>1</v>
      </c>
      <c r="AL2373" s="64">
        <v>1</v>
      </c>
      <c r="AQ2373" t="s">
        <v>6098</v>
      </c>
      <c r="AS2373">
        <v>1</v>
      </c>
    </row>
    <row r="2374" spans="1:45">
      <c r="A2374">
        <v>511395</v>
      </c>
      <c r="B2374">
        <v>1001</v>
      </c>
      <c r="C2374">
        <v>1</v>
      </c>
      <c r="D2374">
        <v>3</v>
      </c>
      <c r="E2374" t="s">
        <v>6100</v>
      </c>
      <c r="F2374" t="s">
        <v>6100</v>
      </c>
      <c r="G2374" t="s">
        <v>6101</v>
      </c>
      <c r="H2374" t="s">
        <v>1329</v>
      </c>
      <c r="I2374">
        <v>1</v>
      </c>
      <c r="J2374">
        <v>2</v>
      </c>
      <c r="K2374" s="33">
        <v>1</v>
      </c>
      <c r="L2374">
        <v>999</v>
      </c>
      <c r="M2374">
        <v>0</v>
      </c>
      <c r="S2374" s="33">
        <v>0</v>
      </c>
      <c r="T2374">
        <v>5</v>
      </c>
      <c r="U2374">
        <v>110</v>
      </c>
      <c r="V2374" s="33">
        <v>1</v>
      </c>
      <c r="W2374">
        <v>1</v>
      </c>
      <c r="X2374">
        <v>1</v>
      </c>
      <c r="Y2374">
        <v>0</v>
      </c>
      <c r="Z2374" s="33">
        <v>0</v>
      </c>
      <c r="AA2374">
        <v>5</v>
      </c>
      <c r="AB2374">
        <v>4180</v>
      </c>
      <c r="AC2374">
        <v>0</v>
      </c>
      <c r="AD2374" s="62">
        <v>0</v>
      </c>
      <c r="AE2374" s="62">
        <v>0</v>
      </c>
      <c r="AF2374" s="62">
        <v>0</v>
      </c>
      <c r="AH2374" s="63">
        <v>1</v>
      </c>
      <c r="AL2374" s="64">
        <v>1</v>
      </c>
      <c r="AQ2374" t="s">
        <v>6100</v>
      </c>
      <c r="AS2374">
        <v>1</v>
      </c>
    </row>
    <row r="2375" spans="1:45">
      <c r="A2375">
        <v>511396</v>
      </c>
      <c r="B2375">
        <v>1001</v>
      </c>
      <c r="C2375">
        <v>1</v>
      </c>
      <c r="D2375">
        <v>3</v>
      </c>
      <c r="E2375" t="s">
        <v>6102</v>
      </c>
      <c r="F2375" t="s">
        <v>6102</v>
      </c>
      <c r="G2375" t="s">
        <v>6103</v>
      </c>
      <c r="H2375" t="s">
        <v>1329</v>
      </c>
      <c r="I2375">
        <v>1</v>
      </c>
      <c r="J2375">
        <v>2</v>
      </c>
      <c r="K2375" s="33">
        <v>1</v>
      </c>
      <c r="L2375">
        <v>999</v>
      </c>
      <c r="M2375">
        <v>0</v>
      </c>
      <c r="S2375" s="33">
        <v>0</v>
      </c>
      <c r="T2375">
        <v>5</v>
      </c>
      <c r="U2375">
        <v>110</v>
      </c>
      <c r="V2375" s="33">
        <v>1</v>
      </c>
      <c r="W2375">
        <v>1</v>
      </c>
      <c r="X2375">
        <v>1</v>
      </c>
      <c r="Y2375">
        <v>0</v>
      </c>
      <c r="Z2375" s="33">
        <v>0</v>
      </c>
      <c r="AA2375">
        <v>5</v>
      </c>
      <c r="AB2375">
        <v>4180</v>
      </c>
      <c r="AC2375">
        <v>0</v>
      </c>
      <c r="AD2375" s="62">
        <v>0</v>
      </c>
      <c r="AE2375" s="62">
        <v>0</v>
      </c>
      <c r="AF2375" s="62">
        <v>0</v>
      </c>
      <c r="AH2375" s="63">
        <v>1</v>
      </c>
      <c r="AL2375" s="64">
        <v>1</v>
      </c>
      <c r="AQ2375" t="s">
        <v>6102</v>
      </c>
      <c r="AS2375">
        <v>1</v>
      </c>
    </row>
    <row r="2376" ht="15.75" customHeight="1" spans="1:45">
      <c r="A2376">
        <v>511397</v>
      </c>
      <c r="B2376">
        <v>1001</v>
      </c>
      <c r="C2376">
        <v>1</v>
      </c>
      <c r="D2376">
        <v>3</v>
      </c>
      <c r="E2376" t="s">
        <v>6104</v>
      </c>
      <c r="F2376" t="s">
        <v>6104</v>
      </c>
      <c r="G2376" t="s">
        <v>6105</v>
      </c>
      <c r="H2376" t="s">
        <v>1329</v>
      </c>
      <c r="I2376">
        <v>1</v>
      </c>
      <c r="J2376">
        <v>2</v>
      </c>
      <c r="K2376" s="33">
        <v>1</v>
      </c>
      <c r="L2376">
        <v>999</v>
      </c>
      <c r="M2376">
        <v>0</v>
      </c>
      <c r="N2376"/>
      <c r="S2376" s="33">
        <v>0</v>
      </c>
      <c r="T2376">
        <v>5</v>
      </c>
      <c r="U2376">
        <v>110</v>
      </c>
      <c r="V2376" s="33">
        <v>1</v>
      </c>
      <c r="W2376">
        <v>1</v>
      </c>
      <c r="X2376">
        <v>1</v>
      </c>
      <c r="Y2376">
        <v>0</v>
      </c>
      <c r="Z2376" s="33">
        <v>0</v>
      </c>
      <c r="AA2376">
        <v>5</v>
      </c>
      <c r="AB2376">
        <v>4180</v>
      </c>
      <c r="AC2376">
        <v>0</v>
      </c>
      <c r="AD2376" s="62">
        <v>0</v>
      </c>
      <c r="AE2376" s="62">
        <v>0</v>
      </c>
      <c r="AF2376" s="62">
        <v>0</v>
      </c>
      <c r="AH2376" s="63">
        <v>1</v>
      </c>
      <c r="AL2376" s="64">
        <v>1</v>
      </c>
      <c r="AQ2376" t="s">
        <v>6104</v>
      </c>
      <c r="AS2376">
        <v>1</v>
      </c>
    </row>
    <row r="2377" spans="1:45">
      <c r="A2377">
        <v>511398</v>
      </c>
      <c r="B2377">
        <v>1001</v>
      </c>
      <c r="C2377">
        <v>6</v>
      </c>
      <c r="D2377">
        <v>1001</v>
      </c>
      <c r="E2377" t="s">
        <v>5749</v>
      </c>
      <c r="F2377" t="s">
        <v>5749</v>
      </c>
      <c r="G2377" s="439" t="s">
        <v>6106</v>
      </c>
      <c r="H2377" t="s">
        <v>1531</v>
      </c>
      <c r="I2377">
        <v>1</v>
      </c>
      <c r="J2377">
        <v>5</v>
      </c>
      <c r="K2377" s="33">
        <v>2</v>
      </c>
      <c r="L2377">
        <v>999</v>
      </c>
      <c r="M2377">
        <v>0</v>
      </c>
      <c r="N2377">
        <v>1018</v>
      </c>
      <c r="O2377" s="2" t="s">
        <v>6107</v>
      </c>
      <c r="S2377" s="33">
        <v>1</v>
      </c>
      <c r="T2377">
        <v>5</v>
      </c>
      <c r="U2377">
        <v>1</v>
      </c>
      <c r="V2377" s="33">
        <v>1</v>
      </c>
      <c r="W2377">
        <v>1</v>
      </c>
      <c r="X2377">
        <v>1</v>
      </c>
      <c r="Y2377">
        <v>0</v>
      </c>
      <c r="Z2377" s="33">
        <v>0</v>
      </c>
      <c r="AA2377">
        <v>5</v>
      </c>
      <c r="AB2377">
        <v>100</v>
      </c>
      <c r="AC2377">
        <v>70</v>
      </c>
      <c r="AD2377" s="62">
        <v>0</v>
      </c>
      <c r="AE2377" s="62">
        <v>5</v>
      </c>
      <c r="AF2377" s="62">
        <v>2</v>
      </c>
      <c r="AS2377">
        <v>1</v>
      </c>
    </row>
    <row r="2378" spans="1:45">
      <c r="A2378" s="238">
        <v>511399</v>
      </c>
      <c r="B2378" s="238">
        <v>1001</v>
      </c>
      <c r="C2378" s="238">
        <v>6</v>
      </c>
      <c r="D2378" s="238">
        <v>1001</v>
      </c>
      <c r="E2378" t="s">
        <v>6108</v>
      </c>
      <c r="F2378" s="238" t="s">
        <v>6108</v>
      </c>
      <c r="G2378" t="s">
        <v>6109</v>
      </c>
      <c r="H2378" t="s">
        <v>1818</v>
      </c>
      <c r="I2378">
        <v>1</v>
      </c>
      <c r="J2378">
        <v>5</v>
      </c>
      <c r="K2378" s="254">
        <v>2</v>
      </c>
      <c r="L2378" s="238">
        <v>999</v>
      </c>
      <c r="M2378" s="238">
        <v>0</v>
      </c>
      <c r="N2378" s="238">
        <v>1018</v>
      </c>
      <c r="O2378" s="2" t="s">
        <v>6110</v>
      </c>
      <c r="R2378" s="8"/>
      <c r="S2378" s="254">
        <v>1</v>
      </c>
      <c r="T2378" s="238">
        <v>5</v>
      </c>
      <c r="U2378" s="238">
        <v>1</v>
      </c>
      <c r="V2378" s="254">
        <v>1</v>
      </c>
      <c r="W2378">
        <v>1</v>
      </c>
      <c r="X2378" s="238">
        <v>1</v>
      </c>
      <c r="Y2378" s="238">
        <v>0</v>
      </c>
      <c r="Z2378" s="33">
        <v>0</v>
      </c>
      <c r="AA2378">
        <v>5</v>
      </c>
      <c r="AB2378">
        <v>100</v>
      </c>
      <c r="AC2378" s="238">
        <v>70</v>
      </c>
      <c r="AD2378" s="62">
        <v>0</v>
      </c>
      <c r="AE2378" s="62">
        <v>5</v>
      </c>
      <c r="AF2378" s="62">
        <v>2</v>
      </c>
      <c r="AN2378" s="93"/>
      <c r="AO2378" s="92"/>
      <c r="AP2378" s="8"/>
      <c r="AR2378"/>
      <c r="AS2378">
        <v>1</v>
      </c>
    </row>
    <row r="2379" spans="1:45">
      <c r="A2379" s="8">
        <v>511400</v>
      </c>
      <c r="B2379" s="8">
        <v>1001</v>
      </c>
      <c r="C2379" s="8">
        <v>1</v>
      </c>
      <c r="D2379" s="8">
        <v>1001</v>
      </c>
      <c r="E2379" t="s">
        <v>4238</v>
      </c>
      <c r="F2379" s="13" t="s">
        <v>4238</v>
      </c>
      <c r="G2379" t="s">
        <v>4239</v>
      </c>
      <c r="H2379" t="s">
        <v>4240</v>
      </c>
      <c r="I2379">
        <v>1</v>
      </c>
      <c r="J2379" s="69">
        <v>4</v>
      </c>
      <c r="K2379" s="87">
        <v>1</v>
      </c>
      <c r="L2379" s="8">
        <v>999</v>
      </c>
      <c r="M2379" s="8">
        <v>0</v>
      </c>
      <c r="N2379" s="8"/>
      <c r="O2379" s="249"/>
      <c r="R2379" s="8"/>
      <c r="S2379" s="89">
        <v>1</v>
      </c>
      <c r="T2379" s="8">
        <v>5</v>
      </c>
      <c r="U2379" s="89">
        <v>200</v>
      </c>
      <c r="V2379" s="87">
        <v>1</v>
      </c>
      <c r="W2379">
        <v>1</v>
      </c>
      <c r="X2379" s="8">
        <v>1</v>
      </c>
      <c r="Y2379" s="8">
        <v>0</v>
      </c>
      <c r="Z2379" s="33">
        <v>0</v>
      </c>
      <c r="AA2379">
        <v>5</v>
      </c>
      <c r="AB2379" s="34">
        <v>7600</v>
      </c>
      <c r="AC2379" s="87">
        <v>70</v>
      </c>
      <c r="AD2379" s="62">
        <v>0</v>
      </c>
      <c r="AE2379" s="62">
        <v>4</v>
      </c>
      <c r="AF2379" s="62">
        <v>2</v>
      </c>
      <c r="AL2379" s="64">
        <v>1</v>
      </c>
      <c r="AN2379" s="93"/>
      <c r="AO2379" s="92"/>
      <c r="AP2379" s="8"/>
      <c r="AR2379">
        <v>1</v>
      </c>
      <c r="AS2379">
        <v>1</v>
      </c>
    </row>
    <row r="2380" spans="1:45">
      <c r="A2380" s="236">
        <v>511401</v>
      </c>
      <c r="B2380" s="236">
        <v>1001</v>
      </c>
      <c r="C2380" s="236">
        <v>1</v>
      </c>
      <c r="D2380" s="236">
        <v>1001</v>
      </c>
      <c r="E2380" t="s">
        <v>4241</v>
      </c>
      <c r="F2380" s="253" t="s">
        <v>4241</v>
      </c>
      <c r="G2380" t="s">
        <v>4239</v>
      </c>
      <c r="H2380" t="s">
        <v>4242</v>
      </c>
      <c r="I2380">
        <v>1</v>
      </c>
      <c r="J2380" s="69">
        <v>4</v>
      </c>
      <c r="K2380" s="248">
        <v>1</v>
      </c>
      <c r="L2380" s="236">
        <v>999</v>
      </c>
      <c r="M2380" s="236">
        <v>0</v>
      </c>
      <c r="N2380" s="236"/>
      <c r="O2380" s="249"/>
      <c r="R2380" s="236"/>
      <c r="S2380" s="336">
        <v>1</v>
      </c>
      <c r="T2380" s="236">
        <v>5</v>
      </c>
      <c r="U2380" s="336">
        <v>200</v>
      </c>
      <c r="V2380" s="248">
        <v>1</v>
      </c>
      <c r="W2380">
        <v>1</v>
      </c>
      <c r="X2380" s="236">
        <v>1</v>
      </c>
      <c r="Y2380" s="236">
        <v>0</v>
      </c>
      <c r="Z2380" s="33">
        <v>0</v>
      </c>
      <c r="AA2380">
        <v>5</v>
      </c>
      <c r="AB2380" s="34">
        <v>7600</v>
      </c>
      <c r="AC2380" s="248">
        <v>70</v>
      </c>
      <c r="AD2380" s="62">
        <v>0</v>
      </c>
      <c r="AE2380" s="62">
        <v>4</v>
      </c>
      <c r="AF2380" s="62">
        <v>2</v>
      </c>
      <c r="AL2380" s="64">
        <v>1</v>
      </c>
      <c r="AN2380" s="338"/>
      <c r="AO2380" s="252"/>
      <c r="AP2380" s="236"/>
      <c r="AR2380">
        <v>1</v>
      </c>
      <c r="AS2380">
        <v>1</v>
      </c>
    </row>
    <row r="2381" spans="1:45">
      <c r="A2381" s="238">
        <v>511402</v>
      </c>
      <c r="B2381" s="238">
        <v>1001</v>
      </c>
      <c r="C2381" s="238">
        <v>6</v>
      </c>
      <c r="D2381">
        <v>1001</v>
      </c>
      <c r="E2381" t="s">
        <v>5755</v>
      </c>
      <c r="F2381" t="s">
        <v>5755</v>
      </c>
      <c r="G2381" t="s">
        <v>6111</v>
      </c>
      <c r="H2381" t="s">
        <v>204</v>
      </c>
      <c r="I2381">
        <v>1</v>
      </c>
      <c r="J2381">
        <v>5</v>
      </c>
      <c r="K2381" s="33">
        <v>2</v>
      </c>
      <c r="L2381">
        <v>999</v>
      </c>
      <c r="M2381">
        <v>0</v>
      </c>
      <c r="N2381">
        <v>1018</v>
      </c>
      <c r="O2381" s="2" t="s">
        <v>6112</v>
      </c>
      <c r="S2381" s="33">
        <v>1</v>
      </c>
      <c r="T2381">
        <v>5</v>
      </c>
      <c r="U2381">
        <v>1</v>
      </c>
      <c r="V2381" s="33">
        <v>1</v>
      </c>
      <c r="W2381">
        <v>1</v>
      </c>
      <c r="X2381">
        <v>1</v>
      </c>
      <c r="Y2381">
        <v>0</v>
      </c>
      <c r="Z2381" s="33">
        <v>0</v>
      </c>
      <c r="AA2381">
        <v>5</v>
      </c>
      <c r="AB2381">
        <v>100</v>
      </c>
      <c r="AC2381">
        <v>70</v>
      </c>
      <c r="AD2381" s="62">
        <v>0</v>
      </c>
      <c r="AE2381" s="62">
        <v>5</v>
      </c>
      <c r="AF2381" s="62">
        <v>2</v>
      </c>
      <c r="AG2381" s="430"/>
      <c r="AH2381" s="430"/>
      <c r="AI2381" s="430"/>
      <c r="AJ2381" s="430"/>
      <c r="AK2381" s="430"/>
      <c r="AL2381" s="214"/>
      <c r="AM2381" s="214"/>
      <c r="AN2381" s="431"/>
      <c r="AO2381" s="214"/>
      <c r="AP2381" s="214"/>
      <c r="AQ2381"/>
      <c r="AS2381">
        <v>1</v>
      </c>
    </row>
    <row r="2382" spans="1:45">
      <c r="A2382" s="236">
        <v>511403</v>
      </c>
      <c r="B2382" s="425">
        <v>1001</v>
      </c>
      <c r="C2382" s="425">
        <v>1</v>
      </c>
      <c r="D2382">
        <v>3</v>
      </c>
      <c r="E2382" t="s">
        <v>5851</v>
      </c>
      <c r="F2382" t="s">
        <v>5851</v>
      </c>
      <c r="G2382" t="s">
        <v>5852</v>
      </c>
      <c r="H2382" t="s">
        <v>2177</v>
      </c>
      <c r="I2382">
        <v>1</v>
      </c>
      <c r="J2382" s="69">
        <v>2</v>
      </c>
      <c r="K2382" s="33">
        <v>1</v>
      </c>
      <c r="L2382" s="238">
        <v>999</v>
      </c>
      <c r="M2382">
        <v>0</v>
      </c>
      <c r="S2382" s="33">
        <v>0</v>
      </c>
      <c r="T2382" s="238">
        <v>5</v>
      </c>
      <c r="U2382" s="238">
        <v>110</v>
      </c>
      <c r="V2382" s="33">
        <v>1</v>
      </c>
      <c r="W2382">
        <v>1</v>
      </c>
      <c r="X2382">
        <v>1</v>
      </c>
      <c r="Y2382" s="238">
        <v>0</v>
      </c>
      <c r="Z2382" s="33">
        <v>0</v>
      </c>
      <c r="AA2382" s="238">
        <v>5</v>
      </c>
      <c r="AB2382">
        <v>4180</v>
      </c>
      <c r="AC2382">
        <v>0</v>
      </c>
      <c r="AD2382" s="12">
        <v>0</v>
      </c>
      <c r="AE2382" s="12">
        <v>0</v>
      </c>
      <c r="AF2382" s="12">
        <v>0</v>
      </c>
      <c r="AG2382" s="430"/>
      <c r="AH2382" s="430">
        <v>1</v>
      </c>
      <c r="AI2382" s="430"/>
      <c r="AJ2382" s="430"/>
      <c r="AK2382" s="430"/>
      <c r="AL2382" s="214">
        <v>1</v>
      </c>
      <c r="AM2382" s="214"/>
      <c r="AN2382" s="431"/>
      <c r="AO2382" s="214"/>
      <c r="AP2382" s="214"/>
      <c r="AQ2382" t="s">
        <v>5851</v>
      </c>
      <c r="AS2382">
        <v>1</v>
      </c>
    </row>
    <row r="2383" spans="1:45">
      <c r="A2383" s="238">
        <v>511404</v>
      </c>
      <c r="B2383" s="425">
        <v>1001</v>
      </c>
      <c r="C2383" s="425">
        <v>1</v>
      </c>
      <c r="D2383">
        <v>3</v>
      </c>
      <c r="E2383" t="s">
        <v>5853</v>
      </c>
      <c r="F2383" t="s">
        <v>5853</v>
      </c>
      <c r="G2383" t="s">
        <v>5854</v>
      </c>
      <c r="H2383" t="s">
        <v>1296</v>
      </c>
      <c r="I2383">
        <v>1</v>
      </c>
      <c r="J2383" s="69">
        <v>2</v>
      </c>
      <c r="K2383" s="33">
        <v>1</v>
      </c>
      <c r="L2383" s="8">
        <v>999</v>
      </c>
      <c r="M2383">
        <v>0</v>
      </c>
      <c r="S2383" s="33">
        <v>0</v>
      </c>
      <c r="T2383" s="8">
        <v>5</v>
      </c>
      <c r="U2383" s="89">
        <v>110</v>
      </c>
      <c r="V2383" s="33">
        <v>1</v>
      </c>
      <c r="W2383">
        <v>1</v>
      </c>
      <c r="X2383">
        <v>1</v>
      </c>
      <c r="Y2383" s="8">
        <v>0</v>
      </c>
      <c r="Z2383" s="33">
        <v>0</v>
      </c>
      <c r="AA2383" s="8">
        <v>5</v>
      </c>
      <c r="AB2383">
        <v>4180</v>
      </c>
      <c r="AC2383">
        <v>0</v>
      </c>
      <c r="AD2383" s="62">
        <v>0</v>
      </c>
      <c r="AE2383" s="62">
        <v>0</v>
      </c>
      <c r="AF2383" s="62">
        <v>0</v>
      </c>
      <c r="AH2383" s="63">
        <v>1</v>
      </c>
      <c r="AL2383" s="64">
        <v>1</v>
      </c>
      <c r="AQ2383" t="s">
        <v>5853</v>
      </c>
      <c r="AS2383">
        <v>1</v>
      </c>
    </row>
    <row r="2384" spans="1:45">
      <c r="A2384" s="236">
        <v>511405</v>
      </c>
      <c r="B2384" s="425">
        <v>1001</v>
      </c>
      <c r="C2384" s="425">
        <v>1</v>
      </c>
      <c r="D2384">
        <v>3</v>
      </c>
      <c r="E2384" t="s">
        <v>5855</v>
      </c>
      <c r="F2384" t="s">
        <v>5855</v>
      </c>
      <c r="G2384" t="s">
        <v>5856</v>
      </c>
      <c r="H2384" t="s">
        <v>1329</v>
      </c>
      <c r="I2384">
        <v>1</v>
      </c>
      <c r="J2384" s="69">
        <v>2</v>
      </c>
      <c r="K2384" s="33">
        <v>1</v>
      </c>
      <c r="L2384" s="8">
        <v>999</v>
      </c>
      <c r="M2384">
        <v>0</v>
      </c>
      <c r="S2384" s="33">
        <v>0</v>
      </c>
      <c r="T2384" s="8">
        <v>5</v>
      </c>
      <c r="U2384" s="89">
        <v>110</v>
      </c>
      <c r="V2384" s="33">
        <v>1</v>
      </c>
      <c r="W2384">
        <v>1</v>
      </c>
      <c r="X2384">
        <v>1</v>
      </c>
      <c r="Y2384" s="8">
        <v>0</v>
      </c>
      <c r="Z2384" s="33">
        <v>0</v>
      </c>
      <c r="AA2384" s="8">
        <v>5</v>
      </c>
      <c r="AB2384">
        <v>4180</v>
      </c>
      <c r="AC2384">
        <v>0</v>
      </c>
      <c r="AD2384" s="62">
        <v>0</v>
      </c>
      <c r="AE2384" s="62">
        <v>0</v>
      </c>
      <c r="AF2384" s="62">
        <v>0</v>
      </c>
      <c r="AH2384" s="63">
        <v>1</v>
      </c>
      <c r="AL2384" s="64">
        <v>1</v>
      </c>
      <c r="AQ2384" t="s">
        <v>5855</v>
      </c>
      <c r="AS2384">
        <v>1</v>
      </c>
    </row>
    <row r="2385" spans="1:45">
      <c r="A2385" s="238">
        <v>511406</v>
      </c>
      <c r="B2385" s="425">
        <v>1001</v>
      </c>
      <c r="C2385" s="425">
        <v>1</v>
      </c>
      <c r="D2385">
        <v>3</v>
      </c>
      <c r="E2385" t="s">
        <v>5857</v>
      </c>
      <c r="F2385" t="s">
        <v>5857</v>
      </c>
      <c r="G2385" t="s">
        <v>5858</v>
      </c>
      <c r="H2385" t="s">
        <v>1301</v>
      </c>
      <c r="I2385">
        <v>1</v>
      </c>
      <c r="J2385" s="69">
        <v>2</v>
      </c>
      <c r="K2385" s="33">
        <v>1</v>
      </c>
      <c r="L2385" s="8">
        <v>999</v>
      </c>
      <c r="M2385">
        <v>0</v>
      </c>
      <c r="S2385" s="33">
        <v>0</v>
      </c>
      <c r="T2385" s="8">
        <v>5</v>
      </c>
      <c r="U2385" s="89">
        <v>110</v>
      </c>
      <c r="V2385" s="33">
        <v>1</v>
      </c>
      <c r="W2385">
        <v>1</v>
      </c>
      <c r="X2385">
        <v>1</v>
      </c>
      <c r="Y2385" s="8">
        <v>0</v>
      </c>
      <c r="Z2385" s="33">
        <v>0</v>
      </c>
      <c r="AA2385" s="8">
        <v>5</v>
      </c>
      <c r="AB2385">
        <v>4180</v>
      </c>
      <c r="AC2385">
        <v>0</v>
      </c>
      <c r="AD2385" s="62">
        <v>0</v>
      </c>
      <c r="AE2385" s="62">
        <v>0</v>
      </c>
      <c r="AF2385" s="62">
        <v>0</v>
      </c>
      <c r="AH2385" s="63">
        <v>1</v>
      </c>
      <c r="AL2385" s="64">
        <v>1</v>
      </c>
      <c r="AQ2385" t="s">
        <v>5857</v>
      </c>
      <c r="AS2385">
        <v>1</v>
      </c>
    </row>
    <row r="2386" spans="1:45">
      <c r="A2386" s="236">
        <v>511407</v>
      </c>
      <c r="B2386" s="425">
        <v>1001</v>
      </c>
      <c r="C2386" s="425">
        <v>1</v>
      </c>
      <c r="D2386">
        <v>3</v>
      </c>
      <c r="E2386" t="s">
        <v>5859</v>
      </c>
      <c r="F2386" t="s">
        <v>5859</v>
      </c>
      <c r="G2386" t="s">
        <v>5860</v>
      </c>
      <c r="H2386" t="s">
        <v>1329</v>
      </c>
      <c r="I2386">
        <v>1</v>
      </c>
      <c r="J2386" s="69">
        <v>2</v>
      </c>
      <c r="K2386" s="33">
        <v>1</v>
      </c>
      <c r="L2386" s="8">
        <v>999</v>
      </c>
      <c r="M2386">
        <v>0</v>
      </c>
      <c r="S2386" s="33">
        <v>0</v>
      </c>
      <c r="T2386" s="8">
        <v>5</v>
      </c>
      <c r="U2386" s="89">
        <v>110</v>
      </c>
      <c r="V2386" s="33">
        <v>1</v>
      </c>
      <c r="W2386">
        <v>1</v>
      </c>
      <c r="X2386">
        <v>1</v>
      </c>
      <c r="Y2386" s="8">
        <v>0</v>
      </c>
      <c r="Z2386" s="33">
        <v>0</v>
      </c>
      <c r="AA2386" s="8">
        <v>5</v>
      </c>
      <c r="AB2386">
        <v>4180</v>
      </c>
      <c r="AC2386">
        <v>0</v>
      </c>
      <c r="AD2386" s="62">
        <v>0</v>
      </c>
      <c r="AE2386" s="62">
        <v>0</v>
      </c>
      <c r="AF2386" s="62">
        <v>0</v>
      </c>
      <c r="AH2386" s="63">
        <v>1</v>
      </c>
      <c r="AL2386" s="64">
        <v>1</v>
      </c>
      <c r="AQ2386" t="s">
        <v>5859</v>
      </c>
      <c r="AS2386">
        <v>1</v>
      </c>
    </row>
    <row r="2387" spans="1:45">
      <c r="A2387" s="238">
        <v>511408</v>
      </c>
      <c r="B2387" s="425">
        <v>1001</v>
      </c>
      <c r="C2387" s="425">
        <v>1</v>
      </c>
      <c r="D2387">
        <v>3</v>
      </c>
      <c r="E2387" t="s">
        <v>1362</v>
      </c>
      <c r="F2387" t="s">
        <v>1362</v>
      </c>
      <c r="G2387" t="s">
        <v>5861</v>
      </c>
      <c r="H2387" t="s">
        <v>1329</v>
      </c>
      <c r="I2387">
        <v>1</v>
      </c>
      <c r="J2387" s="69">
        <v>2</v>
      </c>
      <c r="K2387" s="33">
        <v>1</v>
      </c>
      <c r="L2387" s="8">
        <v>999</v>
      </c>
      <c r="M2387">
        <v>0</v>
      </c>
      <c r="S2387" s="33">
        <v>0</v>
      </c>
      <c r="T2387" s="8">
        <v>5</v>
      </c>
      <c r="U2387" s="89">
        <v>110</v>
      </c>
      <c r="V2387" s="33">
        <v>1</v>
      </c>
      <c r="W2387">
        <v>1</v>
      </c>
      <c r="X2387">
        <v>1</v>
      </c>
      <c r="Y2387" s="8">
        <v>0</v>
      </c>
      <c r="Z2387" s="33">
        <v>0</v>
      </c>
      <c r="AA2387" s="8">
        <v>5</v>
      </c>
      <c r="AB2387">
        <v>4180</v>
      </c>
      <c r="AC2387">
        <v>0</v>
      </c>
      <c r="AD2387" s="62">
        <v>0</v>
      </c>
      <c r="AE2387" s="62">
        <v>0</v>
      </c>
      <c r="AF2387" s="62">
        <v>0</v>
      </c>
      <c r="AH2387" s="63">
        <v>1</v>
      </c>
      <c r="AL2387" s="64">
        <v>1</v>
      </c>
      <c r="AQ2387" t="s">
        <v>1362</v>
      </c>
      <c r="AS2387">
        <v>1</v>
      </c>
    </row>
    <row r="2388" spans="1:45">
      <c r="A2388" s="236">
        <v>511409</v>
      </c>
      <c r="B2388" s="425">
        <v>1001</v>
      </c>
      <c r="C2388" s="425">
        <v>1</v>
      </c>
      <c r="D2388">
        <v>3</v>
      </c>
      <c r="E2388" t="s">
        <v>5862</v>
      </c>
      <c r="F2388" t="s">
        <v>5862</v>
      </c>
      <c r="G2388" t="s">
        <v>5863</v>
      </c>
      <c r="H2388" t="s">
        <v>1296</v>
      </c>
      <c r="I2388">
        <v>1</v>
      </c>
      <c r="J2388" s="69">
        <v>2</v>
      </c>
      <c r="K2388" s="33">
        <v>1</v>
      </c>
      <c r="L2388" s="8">
        <v>999</v>
      </c>
      <c r="M2388">
        <v>0</v>
      </c>
      <c r="S2388" s="33">
        <v>0</v>
      </c>
      <c r="T2388" s="8">
        <v>5</v>
      </c>
      <c r="U2388" s="89">
        <v>110</v>
      </c>
      <c r="V2388" s="33">
        <v>1</v>
      </c>
      <c r="W2388">
        <v>1</v>
      </c>
      <c r="X2388">
        <v>1</v>
      </c>
      <c r="Y2388" s="8">
        <v>0</v>
      </c>
      <c r="Z2388" s="33">
        <v>0</v>
      </c>
      <c r="AA2388" s="8">
        <v>5</v>
      </c>
      <c r="AB2388">
        <v>4180</v>
      </c>
      <c r="AC2388">
        <v>0</v>
      </c>
      <c r="AD2388" s="62">
        <v>0</v>
      </c>
      <c r="AE2388" s="62">
        <v>0</v>
      </c>
      <c r="AF2388" s="62">
        <v>0</v>
      </c>
      <c r="AH2388" s="63">
        <v>1</v>
      </c>
      <c r="AL2388" s="64">
        <v>1</v>
      </c>
      <c r="AQ2388" t="s">
        <v>5862</v>
      </c>
      <c r="AS2388">
        <v>1</v>
      </c>
    </row>
    <row r="2389" spans="1:45">
      <c r="A2389" s="238">
        <v>511410</v>
      </c>
      <c r="B2389" s="425">
        <v>1001</v>
      </c>
      <c r="C2389" s="425">
        <v>1</v>
      </c>
      <c r="D2389">
        <v>3</v>
      </c>
      <c r="E2389" t="s">
        <v>5864</v>
      </c>
      <c r="F2389" t="s">
        <v>5864</v>
      </c>
      <c r="G2389" t="s">
        <v>5865</v>
      </c>
      <c r="H2389" t="s">
        <v>1329</v>
      </c>
      <c r="I2389">
        <v>1</v>
      </c>
      <c r="J2389" s="69">
        <v>2</v>
      </c>
      <c r="K2389" s="33">
        <v>1</v>
      </c>
      <c r="L2389" s="8">
        <v>999</v>
      </c>
      <c r="M2389">
        <v>0</v>
      </c>
      <c r="S2389" s="33">
        <v>0</v>
      </c>
      <c r="T2389" s="8">
        <v>5</v>
      </c>
      <c r="U2389" s="89">
        <v>110</v>
      </c>
      <c r="V2389" s="33">
        <v>1</v>
      </c>
      <c r="W2389">
        <v>1</v>
      </c>
      <c r="X2389">
        <v>1</v>
      </c>
      <c r="Y2389" s="8">
        <v>0</v>
      </c>
      <c r="Z2389" s="33">
        <v>0</v>
      </c>
      <c r="AA2389" s="8">
        <v>5</v>
      </c>
      <c r="AB2389">
        <v>4180</v>
      </c>
      <c r="AC2389">
        <v>0</v>
      </c>
      <c r="AD2389" s="62">
        <v>0</v>
      </c>
      <c r="AE2389" s="62">
        <v>0</v>
      </c>
      <c r="AF2389" s="62">
        <v>0</v>
      </c>
      <c r="AH2389" s="63">
        <v>1</v>
      </c>
      <c r="AL2389" s="64">
        <v>1</v>
      </c>
      <c r="AQ2389" t="s">
        <v>5864</v>
      </c>
      <c r="AS2389">
        <v>1</v>
      </c>
    </row>
    <row r="2390" spans="1:45">
      <c r="A2390" s="236">
        <v>511411</v>
      </c>
      <c r="B2390" s="425">
        <v>1001</v>
      </c>
      <c r="C2390" s="425">
        <v>1</v>
      </c>
      <c r="D2390">
        <v>3</v>
      </c>
      <c r="E2390" t="s">
        <v>5866</v>
      </c>
      <c r="F2390" t="s">
        <v>5866</v>
      </c>
      <c r="G2390" t="s">
        <v>5867</v>
      </c>
      <c r="H2390" t="s">
        <v>2553</v>
      </c>
      <c r="I2390">
        <v>1</v>
      </c>
      <c r="J2390" s="69">
        <v>2</v>
      </c>
      <c r="K2390" s="33">
        <v>1</v>
      </c>
      <c r="L2390" s="8">
        <v>999</v>
      </c>
      <c r="M2390">
        <v>0</v>
      </c>
      <c r="S2390" s="33">
        <v>0</v>
      </c>
      <c r="T2390" s="8">
        <v>5</v>
      </c>
      <c r="U2390" s="89">
        <v>110</v>
      </c>
      <c r="V2390" s="33">
        <v>1</v>
      </c>
      <c r="W2390">
        <v>1</v>
      </c>
      <c r="X2390">
        <v>1</v>
      </c>
      <c r="Y2390" s="8">
        <v>0</v>
      </c>
      <c r="Z2390" s="33">
        <v>0</v>
      </c>
      <c r="AA2390" s="8">
        <v>5</v>
      </c>
      <c r="AB2390">
        <v>4180</v>
      </c>
      <c r="AC2390">
        <v>0</v>
      </c>
      <c r="AD2390" s="62">
        <v>0</v>
      </c>
      <c r="AE2390" s="62">
        <v>0</v>
      </c>
      <c r="AF2390" s="62">
        <v>0</v>
      </c>
      <c r="AH2390" s="63">
        <v>1</v>
      </c>
      <c r="AL2390" s="64">
        <v>1</v>
      </c>
      <c r="AQ2390" t="s">
        <v>5866</v>
      </c>
      <c r="AS2390">
        <v>1</v>
      </c>
    </row>
    <row r="2391" spans="1:45">
      <c r="A2391">
        <v>511412</v>
      </c>
      <c r="B2391" s="407">
        <v>1001</v>
      </c>
      <c r="C2391" s="407">
        <v>1</v>
      </c>
      <c r="D2391">
        <v>3</v>
      </c>
      <c r="E2391" t="s">
        <v>5868</v>
      </c>
      <c r="F2391" t="s">
        <v>5868</v>
      </c>
      <c r="G2391" t="s">
        <v>5869</v>
      </c>
      <c r="H2391" t="s">
        <v>1329</v>
      </c>
      <c r="I2391">
        <v>1</v>
      </c>
      <c r="J2391" s="69">
        <v>2</v>
      </c>
      <c r="K2391" s="33">
        <v>1</v>
      </c>
      <c r="L2391" s="236">
        <v>999</v>
      </c>
      <c r="M2391">
        <v>0</v>
      </c>
      <c r="N2391"/>
      <c r="O2391" s="249"/>
      <c r="S2391" s="33">
        <v>0</v>
      </c>
      <c r="T2391" s="236">
        <v>5</v>
      </c>
      <c r="U2391" s="336">
        <v>110</v>
      </c>
      <c r="V2391" s="33">
        <v>1</v>
      </c>
      <c r="W2391">
        <v>1</v>
      </c>
      <c r="X2391">
        <v>1</v>
      </c>
      <c r="Y2391" s="236">
        <v>0</v>
      </c>
      <c r="Z2391" s="33">
        <v>0</v>
      </c>
      <c r="AA2391" s="236">
        <v>5</v>
      </c>
      <c r="AB2391">
        <v>4180</v>
      </c>
      <c r="AC2391">
        <v>0</v>
      </c>
      <c r="AD2391" s="62">
        <v>0</v>
      </c>
      <c r="AE2391" s="62">
        <v>0</v>
      </c>
      <c r="AF2391" s="62">
        <v>0</v>
      </c>
      <c r="AH2391" s="63">
        <v>1</v>
      </c>
      <c r="AL2391" s="64">
        <v>1</v>
      </c>
      <c r="AQ2391" t="s">
        <v>5868</v>
      </c>
      <c r="AS2391">
        <v>1</v>
      </c>
    </row>
    <row r="2392" spans="1:45">
      <c r="A2392">
        <v>511413</v>
      </c>
      <c r="B2392" s="238">
        <v>1001</v>
      </c>
      <c r="C2392" s="238">
        <v>6</v>
      </c>
      <c r="D2392" s="238">
        <v>1001</v>
      </c>
      <c r="E2392" t="s">
        <v>6113</v>
      </c>
      <c r="F2392" t="s">
        <v>5731</v>
      </c>
      <c r="G2392" t="s">
        <v>6114</v>
      </c>
      <c r="H2392" t="s">
        <v>1431</v>
      </c>
      <c r="I2392">
        <v>1</v>
      </c>
      <c r="J2392">
        <v>5</v>
      </c>
      <c r="K2392" s="33">
        <v>2</v>
      </c>
      <c r="L2392">
        <v>999</v>
      </c>
      <c r="M2392">
        <v>0</v>
      </c>
      <c r="N2392" s="238">
        <v>1017</v>
      </c>
      <c r="O2392" s="249">
        <v>90098</v>
      </c>
      <c r="S2392" s="254">
        <v>1</v>
      </c>
      <c r="T2392" s="238">
        <v>5</v>
      </c>
      <c r="U2392" s="238">
        <v>200</v>
      </c>
      <c r="V2392" s="254">
        <v>1</v>
      </c>
      <c r="W2392" s="238">
        <v>1</v>
      </c>
      <c r="X2392" s="238">
        <v>1</v>
      </c>
      <c r="Y2392">
        <v>0</v>
      </c>
      <c r="Z2392" s="33">
        <v>0</v>
      </c>
      <c r="AA2392">
        <v>5</v>
      </c>
      <c r="AB2392">
        <v>4000</v>
      </c>
      <c r="AC2392" s="238">
        <v>110</v>
      </c>
      <c r="AE2392" s="255">
        <v>4</v>
      </c>
      <c r="AF2392" s="255">
        <v>2</v>
      </c>
      <c r="AG2392" s="91"/>
      <c r="AH2392" s="423">
        <v>1</v>
      </c>
      <c r="AI2392" s="91"/>
      <c r="AJ2392" s="91"/>
      <c r="AK2392" s="91"/>
      <c r="AL2392" s="256">
        <v>1</v>
      </c>
      <c r="AM2392" s="256">
        <v>100</v>
      </c>
      <c r="AN2392" s="424"/>
      <c r="AO2392" s="92"/>
      <c r="AS2392">
        <v>1</v>
      </c>
    </row>
    <row r="2393" spans="1:45">
      <c r="A2393">
        <v>511414</v>
      </c>
      <c r="B2393" s="407">
        <v>1001</v>
      </c>
      <c r="C2393" s="236">
        <v>6</v>
      </c>
      <c r="D2393" s="236">
        <v>1001</v>
      </c>
      <c r="E2393" t="s">
        <v>6115</v>
      </c>
      <c r="F2393" t="s">
        <v>6115</v>
      </c>
      <c r="G2393" t="s">
        <v>6116</v>
      </c>
      <c r="H2393" t="s">
        <v>6117</v>
      </c>
      <c r="I2393">
        <v>1</v>
      </c>
      <c r="J2393">
        <v>4</v>
      </c>
      <c r="K2393" s="33">
        <v>2</v>
      </c>
      <c r="L2393" s="238">
        <v>999</v>
      </c>
      <c r="M2393" s="238">
        <v>0</v>
      </c>
      <c r="N2393" s="236">
        <v>1017</v>
      </c>
      <c r="O2393" s="2" t="s">
        <v>6118</v>
      </c>
      <c r="S2393" s="89">
        <v>1</v>
      </c>
      <c r="T2393" s="8">
        <v>5</v>
      </c>
      <c r="U2393" s="89">
        <v>1</v>
      </c>
      <c r="V2393" s="87">
        <v>1</v>
      </c>
      <c r="W2393" s="236">
        <v>1</v>
      </c>
      <c r="X2393" s="8">
        <v>1</v>
      </c>
      <c r="Y2393" s="238">
        <v>0</v>
      </c>
      <c r="Z2393" s="33">
        <v>0</v>
      </c>
      <c r="AA2393">
        <v>5</v>
      </c>
      <c r="AB2393">
        <v>100</v>
      </c>
      <c r="AC2393" s="87">
        <v>0</v>
      </c>
      <c r="AD2393" s="62">
        <v>0</v>
      </c>
      <c r="AE2393" s="250">
        <v>4</v>
      </c>
      <c r="AF2393" s="250">
        <v>2</v>
      </c>
      <c r="AG2393" s="251"/>
      <c r="AH2393" s="251"/>
      <c r="AI2393" s="251"/>
      <c r="AJ2393" s="251"/>
      <c r="AK2393" s="251"/>
      <c r="AL2393" s="252"/>
      <c r="AM2393" s="252"/>
      <c r="AN2393" s="93"/>
      <c r="AO2393" s="92"/>
      <c r="AQ2393"/>
      <c r="AR2393"/>
      <c r="AS2393">
        <v>1</v>
      </c>
    </row>
    <row r="2394" spans="1:45">
      <c r="A2394">
        <v>511415</v>
      </c>
      <c r="B2394">
        <v>1001</v>
      </c>
      <c r="C2394">
        <v>1</v>
      </c>
      <c r="D2394">
        <v>1001</v>
      </c>
      <c r="E2394" t="s">
        <v>6119</v>
      </c>
      <c r="F2394" t="s">
        <v>6119</v>
      </c>
      <c r="G2394" t="s">
        <v>6120</v>
      </c>
      <c r="H2394" t="s">
        <v>6121</v>
      </c>
      <c r="I2394">
        <v>1</v>
      </c>
      <c r="J2394">
        <v>5</v>
      </c>
      <c r="K2394" s="33">
        <v>1</v>
      </c>
      <c r="L2394" s="8">
        <v>999</v>
      </c>
      <c r="M2394" s="8">
        <v>0</v>
      </c>
      <c r="S2394" s="89">
        <v>1</v>
      </c>
      <c r="T2394" s="8">
        <v>5</v>
      </c>
      <c r="U2394" s="89">
        <v>1</v>
      </c>
      <c r="V2394" s="87">
        <v>1</v>
      </c>
      <c r="W2394">
        <v>1</v>
      </c>
      <c r="X2394" s="8">
        <v>1</v>
      </c>
      <c r="Y2394" s="8">
        <v>0</v>
      </c>
      <c r="Z2394" s="33">
        <v>0</v>
      </c>
      <c r="AA2394">
        <v>5</v>
      </c>
      <c r="AB2394" s="34">
        <v>100</v>
      </c>
      <c r="AC2394" s="87">
        <v>900</v>
      </c>
      <c r="AD2394" s="62">
        <v>0</v>
      </c>
      <c r="AE2394" s="255">
        <v>4</v>
      </c>
      <c r="AF2394" s="255">
        <v>2</v>
      </c>
      <c r="AL2394" s="64">
        <v>1</v>
      </c>
      <c r="AM2394" s="4"/>
      <c r="AN2394" s="93"/>
      <c r="AO2394" s="92"/>
      <c r="AQ2394" t="s">
        <v>6119</v>
      </c>
      <c r="AR2394">
        <v>1</v>
      </c>
      <c r="AS2394">
        <v>1</v>
      </c>
    </row>
    <row r="2395" s="34" customFormat="1" ht="14.25" customHeight="1" spans="1:45">
      <c r="A2395" s="238">
        <v>511416</v>
      </c>
      <c r="B2395" s="238">
        <v>1001</v>
      </c>
      <c r="C2395" s="238">
        <v>1</v>
      </c>
      <c r="D2395" s="238">
        <v>1001</v>
      </c>
      <c r="E2395" t="s">
        <v>6122</v>
      </c>
      <c r="F2395" t="s">
        <v>6122</v>
      </c>
      <c r="G2395" t="s">
        <v>6120</v>
      </c>
      <c r="H2395" t="s">
        <v>6123</v>
      </c>
      <c r="I2395">
        <v>1</v>
      </c>
      <c r="J2395">
        <v>5</v>
      </c>
      <c r="K2395" s="254">
        <v>1</v>
      </c>
      <c r="L2395" s="8">
        <v>999</v>
      </c>
      <c r="M2395" s="8">
        <v>0</v>
      </c>
      <c r="N2395" s="89"/>
      <c r="O2395" s="103"/>
      <c r="P2395" s="89"/>
      <c r="Q2395" s="89"/>
      <c r="R2395" s="89"/>
      <c r="S2395" s="89">
        <v>1</v>
      </c>
      <c r="T2395" s="8">
        <v>5</v>
      </c>
      <c r="U2395" s="89">
        <v>1</v>
      </c>
      <c r="V2395" s="87">
        <v>1</v>
      </c>
      <c r="W2395">
        <v>1</v>
      </c>
      <c r="X2395" s="8">
        <v>1</v>
      </c>
      <c r="Y2395" s="236">
        <v>0</v>
      </c>
      <c r="Z2395" s="33">
        <v>0</v>
      </c>
      <c r="AA2395">
        <v>5</v>
      </c>
      <c r="AB2395" s="34">
        <v>100</v>
      </c>
      <c r="AC2395" s="87">
        <v>900</v>
      </c>
      <c r="AD2395" s="62">
        <v>0</v>
      </c>
      <c r="AE2395" s="90">
        <v>4</v>
      </c>
      <c r="AF2395" s="90">
        <v>2</v>
      </c>
      <c r="AG2395" s="106"/>
      <c r="AH2395" s="106"/>
      <c r="AI2395" s="106"/>
      <c r="AJ2395" s="106"/>
      <c r="AK2395" s="106"/>
      <c r="AL2395" s="256">
        <v>1</v>
      </c>
      <c r="AM2395" s="440"/>
      <c r="AN2395" s="93"/>
      <c r="AO2395" s="92"/>
      <c r="AP2395" s="108"/>
      <c r="AQ2395" t="s">
        <v>6122</v>
      </c>
      <c r="AR2395">
        <v>1</v>
      </c>
      <c r="AS2395">
        <v>1</v>
      </c>
    </row>
    <row r="2396" ht="15.75" customHeight="1" spans="1:45">
      <c r="A2396" s="336">
        <v>511417</v>
      </c>
      <c r="B2396" s="336">
        <v>1001</v>
      </c>
      <c r="C2396" s="336">
        <v>1</v>
      </c>
      <c r="D2396" s="236">
        <v>1001</v>
      </c>
      <c r="E2396" s="34" t="s">
        <v>6124</v>
      </c>
      <c r="F2396" s="34" t="s">
        <v>6124</v>
      </c>
      <c r="G2396" s="34" t="s">
        <v>6125</v>
      </c>
      <c r="H2396" s="108" t="s">
        <v>90</v>
      </c>
      <c r="I2396" s="34">
        <v>1</v>
      </c>
      <c r="J2396" s="102">
        <v>5</v>
      </c>
      <c r="K2396" s="336">
        <v>1</v>
      </c>
      <c r="L2396" s="336">
        <v>999</v>
      </c>
      <c r="M2396" s="336">
        <v>0</v>
      </c>
      <c r="N2396" s="336"/>
      <c r="O2396" s="441"/>
      <c r="P2396" s="336"/>
      <c r="Q2396" s="336"/>
      <c r="R2396" s="336"/>
      <c r="S2396" s="336">
        <v>1</v>
      </c>
      <c r="T2396" s="336">
        <v>5</v>
      </c>
      <c r="U2396" s="336">
        <v>200</v>
      </c>
      <c r="V2396" s="336">
        <v>1</v>
      </c>
      <c r="W2396" s="34">
        <v>1</v>
      </c>
      <c r="X2396" s="336">
        <v>1</v>
      </c>
      <c r="Y2396" s="34">
        <v>0</v>
      </c>
      <c r="Z2396" s="34">
        <v>0</v>
      </c>
      <c r="AA2396" s="34">
        <v>5</v>
      </c>
      <c r="AB2396" s="34">
        <v>7600</v>
      </c>
      <c r="AC2396" s="336">
        <v>830</v>
      </c>
      <c r="AD2396" s="104"/>
      <c r="AE2396" s="442">
        <v>0</v>
      </c>
      <c r="AF2396" s="442">
        <v>0</v>
      </c>
      <c r="AG2396" s="443"/>
      <c r="AH2396" s="443">
        <v>1</v>
      </c>
      <c r="AI2396" s="443"/>
      <c r="AJ2396" s="443"/>
      <c r="AK2396" s="443"/>
      <c r="AL2396" s="444">
        <v>1</v>
      </c>
      <c r="AM2396" s="444"/>
      <c r="AN2396" s="338"/>
      <c r="AO2396" s="252"/>
      <c r="AP2396" s="108"/>
      <c r="AQ2396" s="34" t="s">
        <v>6124</v>
      </c>
      <c r="AS2396" s="34">
        <v>1</v>
      </c>
    </row>
    <row r="2397" spans="1:45">
      <c r="A2397">
        <v>511418</v>
      </c>
      <c r="B2397" s="238">
        <v>1001</v>
      </c>
      <c r="C2397">
        <v>6</v>
      </c>
      <c r="D2397" s="238">
        <v>1001</v>
      </c>
      <c r="E2397" t="s">
        <v>5749</v>
      </c>
      <c r="F2397" t="s">
        <v>5749</v>
      </c>
      <c r="G2397" s="439" t="s">
        <v>6126</v>
      </c>
      <c r="H2397" t="s">
        <v>204</v>
      </c>
      <c r="I2397">
        <v>1</v>
      </c>
      <c r="J2397">
        <v>5</v>
      </c>
      <c r="K2397" s="33">
        <v>2</v>
      </c>
      <c r="L2397">
        <v>999</v>
      </c>
      <c r="M2397">
        <v>0</v>
      </c>
      <c r="N2397">
        <v>1018</v>
      </c>
      <c r="O2397" s="2" t="s">
        <v>6127</v>
      </c>
      <c r="R2397" s="8"/>
      <c r="S2397" s="33">
        <v>1</v>
      </c>
      <c r="T2397">
        <v>5</v>
      </c>
      <c r="U2397">
        <v>1</v>
      </c>
      <c r="V2397" s="33">
        <v>1</v>
      </c>
      <c r="W2397">
        <v>1</v>
      </c>
      <c r="X2397" s="238">
        <v>1</v>
      </c>
      <c r="Y2397">
        <v>0</v>
      </c>
      <c r="Z2397" s="33">
        <v>0</v>
      </c>
      <c r="AA2397">
        <v>5</v>
      </c>
      <c r="AB2397">
        <v>100</v>
      </c>
      <c r="AC2397">
        <v>70</v>
      </c>
      <c r="AD2397" s="62">
        <v>0</v>
      </c>
      <c r="AE2397" s="62">
        <v>5</v>
      </c>
      <c r="AF2397" s="62">
        <v>2</v>
      </c>
      <c r="AS2397">
        <v>1</v>
      </c>
    </row>
    <row r="2398" spans="1:45">
      <c r="A2398">
        <v>511419</v>
      </c>
      <c r="B2398" s="236">
        <v>1001</v>
      </c>
      <c r="C2398" s="238">
        <v>6</v>
      </c>
      <c r="D2398" s="8">
        <v>1001</v>
      </c>
      <c r="E2398" t="s">
        <v>6128</v>
      </c>
      <c r="F2398" t="s">
        <v>6128</v>
      </c>
      <c r="G2398" t="s">
        <v>6129</v>
      </c>
      <c r="H2398" t="s">
        <v>5559</v>
      </c>
      <c r="I2398">
        <v>1</v>
      </c>
      <c r="J2398">
        <v>5</v>
      </c>
      <c r="K2398" s="254">
        <v>2</v>
      </c>
      <c r="L2398" s="238">
        <v>999</v>
      </c>
      <c r="M2398" s="238">
        <v>0</v>
      </c>
      <c r="N2398">
        <v>1018</v>
      </c>
      <c r="O2398" s="2" t="s">
        <v>6130</v>
      </c>
      <c r="R2398" s="236"/>
      <c r="S2398" s="254">
        <v>1</v>
      </c>
      <c r="T2398" s="238">
        <v>5</v>
      </c>
      <c r="U2398" s="238">
        <v>1</v>
      </c>
      <c r="V2398" s="87"/>
      <c r="W2398">
        <v>1</v>
      </c>
      <c r="X2398" s="8">
        <v>1</v>
      </c>
      <c r="Y2398">
        <v>0</v>
      </c>
      <c r="Z2398" s="33">
        <v>0</v>
      </c>
      <c r="AA2398">
        <v>5</v>
      </c>
      <c r="AB2398">
        <v>100</v>
      </c>
      <c r="AC2398" s="238">
        <v>70</v>
      </c>
      <c r="AD2398" s="62">
        <v>0</v>
      </c>
      <c r="AE2398" s="255">
        <v>5</v>
      </c>
      <c r="AF2398" s="255">
        <v>2</v>
      </c>
      <c r="AG2398" s="91"/>
      <c r="AH2398" s="91"/>
      <c r="AL2398" s="92"/>
      <c r="AS2398">
        <v>1</v>
      </c>
    </row>
    <row r="2399" spans="1:45">
      <c r="A2399">
        <v>511420</v>
      </c>
      <c r="B2399">
        <v>1001</v>
      </c>
      <c r="C2399" s="236">
        <v>1</v>
      </c>
      <c r="D2399" s="236">
        <v>1001</v>
      </c>
      <c r="E2399" t="s">
        <v>6131</v>
      </c>
      <c r="F2399" t="s">
        <v>6131</v>
      </c>
      <c r="G2399" t="s">
        <v>6132</v>
      </c>
      <c r="H2399" t="s">
        <v>6133</v>
      </c>
      <c r="I2399">
        <v>1</v>
      </c>
      <c r="J2399" s="69">
        <v>5</v>
      </c>
      <c r="K2399" s="248">
        <v>2</v>
      </c>
      <c r="L2399" s="236">
        <v>999</v>
      </c>
      <c r="M2399" s="236">
        <v>0</v>
      </c>
      <c r="N2399">
        <v>1017</v>
      </c>
      <c r="O2399" s="2">
        <v>10350</v>
      </c>
      <c r="S2399" s="336">
        <v>1</v>
      </c>
      <c r="T2399" s="236">
        <v>5</v>
      </c>
      <c r="U2399" s="336">
        <v>200</v>
      </c>
      <c r="V2399" s="248">
        <v>1</v>
      </c>
      <c r="W2399">
        <v>1</v>
      </c>
      <c r="X2399" s="236">
        <v>1</v>
      </c>
      <c r="Y2399">
        <v>0</v>
      </c>
      <c r="Z2399" s="33">
        <v>0</v>
      </c>
      <c r="AA2399">
        <v>5</v>
      </c>
      <c r="AB2399" s="34">
        <v>7600</v>
      </c>
      <c r="AC2399" s="248">
        <v>110</v>
      </c>
      <c r="AD2399" s="62">
        <v>0</v>
      </c>
      <c r="AE2399" s="250">
        <v>4</v>
      </c>
      <c r="AF2399" s="250">
        <v>2</v>
      </c>
      <c r="AG2399" s="251"/>
      <c r="AH2399" s="251">
        <v>1</v>
      </c>
      <c r="AL2399" s="252">
        <v>1</v>
      </c>
      <c r="AS2399">
        <v>1</v>
      </c>
    </row>
    <row r="2400" spans="1:45">
      <c r="A2400">
        <v>511421</v>
      </c>
      <c r="B2400">
        <v>1001</v>
      </c>
      <c r="C2400">
        <v>1</v>
      </c>
      <c r="D2400">
        <v>1001</v>
      </c>
      <c r="E2400" t="s">
        <v>6134</v>
      </c>
      <c r="F2400" t="s">
        <v>6134</v>
      </c>
      <c r="G2400" t="s">
        <v>6134</v>
      </c>
      <c r="H2400" t="s">
        <v>6135</v>
      </c>
      <c r="I2400">
        <v>1</v>
      </c>
      <c r="J2400">
        <v>5</v>
      </c>
      <c r="K2400" s="33">
        <v>2</v>
      </c>
      <c r="L2400">
        <v>999</v>
      </c>
      <c r="M2400">
        <v>0</v>
      </c>
      <c r="N2400">
        <v>1036</v>
      </c>
      <c r="S2400" s="254">
        <v>1</v>
      </c>
      <c r="T2400" s="238">
        <v>5</v>
      </c>
      <c r="U2400" s="238">
        <v>1</v>
      </c>
      <c r="V2400" s="254">
        <v>1</v>
      </c>
      <c r="W2400">
        <v>1</v>
      </c>
      <c r="X2400">
        <v>1</v>
      </c>
      <c r="Y2400">
        <v>0</v>
      </c>
      <c r="Z2400" s="33">
        <v>0</v>
      </c>
      <c r="AA2400">
        <v>5</v>
      </c>
      <c r="AB2400">
        <v>100</v>
      </c>
      <c r="AC2400">
        <v>0</v>
      </c>
      <c r="AE2400" s="62">
        <v>4</v>
      </c>
      <c r="AF2400" s="62">
        <v>1</v>
      </c>
      <c r="AH2400" s="63">
        <v>1</v>
      </c>
      <c r="AS2400">
        <v>1</v>
      </c>
    </row>
    <row r="2401" spans="1:45">
      <c r="A2401">
        <v>511422</v>
      </c>
      <c r="B2401">
        <v>1001</v>
      </c>
      <c r="C2401">
        <v>1</v>
      </c>
      <c r="D2401">
        <v>1001</v>
      </c>
      <c r="E2401" t="s">
        <v>6136</v>
      </c>
      <c r="F2401" t="s">
        <v>6136</v>
      </c>
      <c r="G2401" t="s">
        <v>6137</v>
      </c>
      <c r="H2401" t="s">
        <v>1760</v>
      </c>
      <c r="I2401">
        <v>1</v>
      </c>
      <c r="J2401">
        <v>5</v>
      </c>
      <c r="K2401" s="33">
        <v>2</v>
      </c>
      <c r="L2401">
        <v>999</v>
      </c>
      <c r="M2401">
        <v>0</v>
      </c>
      <c r="N2401">
        <v>1018</v>
      </c>
      <c r="O2401" s="2" t="s">
        <v>6138</v>
      </c>
      <c r="S2401" s="336">
        <v>1</v>
      </c>
      <c r="T2401" s="236">
        <v>5</v>
      </c>
      <c r="U2401" s="336">
        <v>1</v>
      </c>
      <c r="V2401" s="248">
        <v>1</v>
      </c>
      <c r="W2401">
        <v>1</v>
      </c>
      <c r="X2401">
        <v>1</v>
      </c>
      <c r="Y2401">
        <v>0</v>
      </c>
      <c r="Z2401" s="33">
        <v>0</v>
      </c>
      <c r="AA2401">
        <v>5</v>
      </c>
      <c r="AB2401">
        <v>100</v>
      </c>
      <c r="AC2401">
        <v>70</v>
      </c>
      <c r="AD2401" s="62">
        <v>0</v>
      </c>
      <c r="AE2401" s="62">
        <v>5</v>
      </c>
      <c r="AF2401" s="62">
        <v>2</v>
      </c>
      <c r="AS2401">
        <v>1</v>
      </c>
    </row>
    <row r="2402" ht="14.25" customHeight="1" spans="1:45">
      <c r="A2402" s="238">
        <v>511423</v>
      </c>
      <c r="B2402" s="238">
        <v>1001</v>
      </c>
      <c r="C2402" s="238">
        <v>1</v>
      </c>
      <c r="D2402" s="238">
        <v>1001</v>
      </c>
      <c r="E2402" t="s">
        <v>6139</v>
      </c>
      <c r="F2402" s="238" t="s">
        <v>6139</v>
      </c>
      <c r="G2402" t="s">
        <v>6140</v>
      </c>
      <c r="H2402" t="s">
        <v>1757</v>
      </c>
      <c r="I2402">
        <v>1</v>
      </c>
      <c r="J2402">
        <v>5</v>
      </c>
      <c r="K2402" s="254">
        <v>2</v>
      </c>
      <c r="L2402" s="238">
        <v>999</v>
      </c>
      <c r="M2402" s="238">
        <v>0</v>
      </c>
      <c r="N2402" s="238">
        <v>1018</v>
      </c>
      <c r="O2402" s="2" t="s">
        <v>6141</v>
      </c>
      <c r="S2402" s="254">
        <v>1</v>
      </c>
      <c r="T2402" s="238">
        <v>5</v>
      </c>
      <c r="U2402" s="238">
        <v>1</v>
      </c>
      <c r="V2402" s="254">
        <v>1</v>
      </c>
      <c r="W2402">
        <v>1</v>
      </c>
      <c r="X2402" s="238">
        <v>1</v>
      </c>
      <c r="Y2402">
        <v>0</v>
      </c>
      <c r="Z2402" s="33">
        <v>0</v>
      </c>
      <c r="AA2402">
        <v>5</v>
      </c>
      <c r="AB2402">
        <v>100</v>
      </c>
      <c r="AC2402" s="238">
        <v>70</v>
      </c>
      <c r="AD2402" s="62">
        <v>0</v>
      </c>
      <c r="AE2402" s="255">
        <v>5</v>
      </c>
      <c r="AF2402" s="255">
        <v>2</v>
      </c>
      <c r="AG2402" s="91"/>
      <c r="AH2402" s="91"/>
      <c r="AI2402" s="91"/>
      <c r="AJ2402" s="91"/>
      <c r="AK2402" s="91"/>
      <c r="AL2402" s="92"/>
      <c r="AM2402" s="92"/>
      <c r="AN2402" s="93"/>
      <c r="AO2402" s="92"/>
      <c r="AP2402" s="86"/>
      <c r="AS2402">
        <v>1</v>
      </c>
    </row>
    <row r="2403" ht="14.25" customHeight="1" spans="1:45">
      <c r="A2403" s="8">
        <v>511424</v>
      </c>
      <c r="B2403" s="8">
        <v>1001</v>
      </c>
      <c r="C2403" s="236">
        <v>6</v>
      </c>
      <c r="D2403" s="8">
        <v>1001</v>
      </c>
      <c r="E2403" s="238" t="s">
        <v>6142</v>
      </c>
      <c r="F2403" s="13" t="s">
        <v>1752</v>
      </c>
      <c r="G2403" s="238" t="s">
        <v>6143</v>
      </c>
      <c r="H2403" s="238" t="s">
        <v>1531</v>
      </c>
      <c r="I2403">
        <v>1</v>
      </c>
      <c r="J2403" s="69">
        <v>5</v>
      </c>
      <c r="K2403" s="248">
        <v>2</v>
      </c>
      <c r="L2403" s="236">
        <v>999</v>
      </c>
      <c r="M2403" s="236">
        <v>0</v>
      </c>
      <c r="N2403" s="236">
        <v>1017</v>
      </c>
      <c r="O2403" s="271" t="s">
        <v>6144</v>
      </c>
      <c r="S2403" s="336">
        <v>1</v>
      </c>
      <c r="T2403" s="236">
        <v>5</v>
      </c>
      <c r="U2403" s="336">
        <v>200</v>
      </c>
      <c r="V2403" s="248">
        <v>1</v>
      </c>
      <c r="W2403">
        <v>1</v>
      </c>
      <c r="X2403" s="8">
        <v>1</v>
      </c>
      <c r="Y2403">
        <v>0</v>
      </c>
      <c r="Z2403" s="33">
        <v>0</v>
      </c>
      <c r="AA2403">
        <v>5</v>
      </c>
      <c r="AB2403" s="34">
        <v>7600</v>
      </c>
      <c r="AC2403" s="248">
        <v>110</v>
      </c>
      <c r="AD2403" s="62">
        <v>0</v>
      </c>
      <c r="AE2403" s="250">
        <v>4</v>
      </c>
      <c r="AF2403" s="250">
        <v>2</v>
      </c>
      <c r="AG2403" s="251"/>
      <c r="AH2403" s="251">
        <v>1</v>
      </c>
      <c r="AI2403" s="251"/>
      <c r="AJ2403" s="251"/>
      <c r="AK2403" s="251"/>
      <c r="AL2403" s="252">
        <v>1</v>
      </c>
      <c r="AM2403" s="252"/>
      <c r="AN2403" s="338"/>
      <c r="AO2403" s="252"/>
      <c r="AP2403" s="86"/>
      <c r="AS2403">
        <v>1</v>
      </c>
    </row>
    <row r="2404" spans="1:45">
      <c r="A2404" s="8">
        <v>511425</v>
      </c>
      <c r="B2404" s="8">
        <v>1001</v>
      </c>
      <c r="C2404">
        <v>6</v>
      </c>
      <c r="D2404" s="8">
        <v>1001</v>
      </c>
      <c r="E2404" s="401" t="s">
        <v>6145</v>
      </c>
      <c r="F2404" s="401" t="s">
        <v>6145</v>
      </c>
      <c r="G2404" s="401" t="s">
        <v>6146</v>
      </c>
      <c r="H2404" s="402" t="s">
        <v>6147</v>
      </c>
      <c r="I2404">
        <v>40</v>
      </c>
      <c r="J2404">
        <v>5</v>
      </c>
      <c r="K2404" s="33">
        <v>2</v>
      </c>
      <c r="L2404">
        <v>999</v>
      </c>
      <c r="M2404">
        <v>0</v>
      </c>
      <c r="N2404">
        <v>1017</v>
      </c>
      <c r="O2404" s="249">
        <v>33066</v>
      </c>
      <c r="S2404" s="33">
        <v>1</v>
      </c>
      <c r="T2404">
        <v>5</v>
      </c>
      <c r="U2404">
        <v>1</v>
      </c>
      <c r="V2404" s="33">
        <v>1</v>
      </c>
      <c r="W2404">
        <v>1</v>
      </c>
      <c r="X2404" s="8">
        <v>1</v>
      </c>
      <c r="Y2404">
        <v>0</v>
      </c>
      <c r="Z2404" s="33">
        <v>0</v>
      </c>
      <c r="AA2404">
        <v>5</v>
      </c>
      <c r="AB2404">
        <v>100</v>
      </c>
      <c r="AC2404">
        <v>70</v>
      </c>
      <c r="AD2404" s="62">
        <v>0</v>
      </c>
      <c r="AE2404" s="62">
        <v>1</v>
      </c>
      <c r="AF2404" s="62">
        <v>2</v>
      </c>
      <c r="AS2404">
        <v>1</v>
      </c>
    </row>
    <row r="2405" spans="1:45">
      <c r="A2405" s="8">
        <v>511426</v>
      </c>
      <c r="B2405" s="8">
        <v>1001</v>
      </c>
      <c r="C2405">
        <v>6</v>
      </c>
      <c r="D2405" s="8">
        <v>1001</v>
      </c>
      <c r="E2405" s="401" t="s">
        <v>6148</v>
      </c>
      <c r="F2405" s="401" t="s">
        <v>6148</v>
      </c>
      <c r="G2405" s="401" t="s">
        <v>6149</v>
      </c>
      <c r="H2405" s="402" t="s">
        <v>6150</v>
      </c>
      <c r="I2405">
        <v>40</v>
      </c>
      <c r="J2405">
        <v>5</v>
      </c>
      <c r="K2405" s="33">
        <v>2</v>
      </c>
      <c r="L2405">
        <v>999</v>
      </c>
      <c r="M2405">
        <v>0</v>
      </c>
      <c r="N2405">
        <v>1017</v>
      </c>
      <c r="O2405" s="249">
        <v>33067</v>
      </c>
      <c r="S2405" s="33">
        <v>1</v>
      </c>
      <c r="T2405">
        <v>5</v>
      </c>
      <c r="U2405">
        <v>1</v>
      </c>
      <c r="V2405" s="33">
        <v>1</v>
      </c>
      <c r="W2405">
        <v>1</v>
      </c>
      <c r="X2405" s="8">
        <v>1</v>
      </c>
      <c r="Y2405">
        <v>0</v>
      </c>
      <c r="Z2405" s="33">
        <v>0</v>
      </c>
      <c r="AA2405">
        <v>5</v>
      </c>
      <c r="AB2405">
        <v>100</v>
      </c>
      <c r="AC2405">
        <v>70</v>
      </c>
      <c r="AD2405" s="62">
        <v>0</v>
      </c>
      <c r="AE2405" s="62">
        <v>1</v>
      </c>
      <c r="AF2405" s="62">
        <v>2</v>
      </c>
      <c r="AS2405">
        <v>1</v>
      </c>
    </row>
    <row r="2406" spans="1:45">
      <c r="A2406" s="8">
        <v>511427</v>
      </c>
      <c r="B2406" s="8">
        <v>1001</v>
      </c>
      <c r="C2406">
        <v>6</v>
      </c>
      <c r="D2406" s="8">
        <v>1001</v>
      </c>
      <c r="E2406" s="401" t="s">
        <v>6151</v>
      </c>
      <c r="F2406" s="401" t="s">
        <v>6151</v>
      </c>
      <c r="G2406" s="401" t="s">
        <v>6152</v>
      </c>
      <c r="H2406" s="402" t="s">
        <v>6153</v>
      </c>
      <c r="I2406">
        <v>40</v>
      </c>
      <c r="J2406">
        <v>5</v>
      </c>
      <c r="K2406" s="33">
        <v>2</v>
      </c>
      <c r="L2406">
        <v>999</v>
      </c>
      <c r="M2406">
        <v>0</v>
      </c>
      <c r="N2406">
        <v>1017</v>
      </c>
      <c r="O2406" s="249">
        <v>33068</v>
      </c>
      <c r="S2406" s="33">
        <v>1</v>
      </c>
      <c r="T2406">
        <v>5</v>
      </c>
      <c r="U2406">
        <v>1</v>
      </c>
      <c r="V2406" s="33">
        <v>1</v>
      </c>
      <c r="W2406">
        <v>1</v>
      </c>
      <c r="X2406" s="8">
        <v>1</v>
      </c>
      <c r="Y2406">
        <v>0</v>
      </c>
      <c r="Z2406" s="33">
        <v>0</v>
      </c>
      <c r="AA2406">
        <v>5</v>
      </c>
      <c r="AB2406">
        <v>100</v>
      </c>
      <c r="AC2406">
        <v>70</v>
      </c>
      <c r="AD2406" s="62">
        <v>0</v>
      </c>
      <c r="AE2406" s="62">
        <v>1</v>
      </c>
      <c r="AF2406" s="62">
        <v>2</v>
      </c>
      <c r="AS2406">
        <v>1</v>
      </c>
    </row>
    <row r="2407" spans="1:45">
      <c r="A2407" s="8">
        <v>511428</v>
      </c>
      <c r="B2407" s="8">
        <v>1001</v>
      </c>
      <c r="C2407">
        <v>6</v>
      </c>
      <c r="D2407" s="8">
        <v>1001</v>
      </c>
      <c r="E2407" s="401" t="s">
        <v>6154</v>
      </c>
      <c r="F2407" s="401" t="s">
        <v>6154</v>
      </c>
      <c r="G2407" s="401" t="s">
        <v>6155</v>
      </c>
      <c r="H2407" s="402" t="s">
        <v>6156</v>
      </c>
      <c r="I2407">
        <v>40</v>
      </c>
      <c r="J2407">
        <v>5</v>
      </c>
      <c r="K2407" s="33">
        <v>2</v>
      </c>
      <c r="L2407">
        <v>999</v>
      </c>
      <c r="M2407">
        <v>0</v>
      </c>
      <c r="N2407">
        <v>1017</v>
      </c>
      <c r="O2407" s="249">
        <v>33069</v>
      </c>
      <c r="S2407" s="33">
        <v>1</v>
      </c>
      <c r="T2407">
        <v>5</v>
      </c>
      <c r="U2407">
        <v>1</v>
      </c>
      <c r="V2407" s="33">
        <v>1</v>
      </c>
      <c r="W2407">
        <v>1</v>
      </c>
      <c r="X2407" s="8">
        <v>1</v>
      </c>
      <c r="Y2407">
        <v>0</v>
      </c>
      <c r="Z2407" s="33">
        <v>0</v>
      </c>
      <c r="AA2407">
        <v>5</v>
      </c>
      <c r="AB2407">
        <v>100</v>
      </c>
      <c r="AC2407">
        <v>70</v>
      </c>
      <c r="AD2407" s="62">
        <v>0</v>
      </c>
      <c r="AE2407" s="62">
        <v>1</v>
      </c>
      <c r="AF2407" s="62">
        <v>2</v>
      </c>
      <c r="AS2407">
        <v>1</v>
      </c>
    </row>
    <row r="2408" spans="1:45">
      <c r="A2408" s="8">
        <v>511429</v>
      </c>
      <c r="B2408" s="8">
        <v>1001</v>
      </c>
      <c r="C2408">
        <v>6</v>
      </c>
      <c r="D2408" s="8">
        <v>1001</v>
      </c>
      <c r="E2408" s="13" t="s">
        <v>6157</v>
      </c>
      <c r="F2408" s="13" t="s">
        <v>6157</v>
      </c>
      <c r="G2408" s="13" t="s">
        <v>6158</v>
      </c>
      <c r="H2408" s="402" t="s">
        <v>6159</v>
      </c>
      <c r="I2408">
        <v>40</v>
      </c>
      <c r="J2408">
        <v>5</v>
      </c>
      <c r="K2408" s="33">
        <v>2</v>
      </c>
      <c r="L2408">
        <v>999</v>
      </c>
      <c r="M2408">
        <v>0</v>
      </c>
      <c r="N2408">
        <v>1017</v>
      </c>
      <c r="O2408" s="249">
        <v>33070</v>
      </c>
      <c r="S2408" s="33">
        <v>1</v>
      </c>
      <c r="T2408">
        <v>5</v>
      </c>
      <c r="U2408">
        <v>1</v>
      </c>
      <c r="V2408" s="33">
        <v>1</v>
      </c>
      <c r="W2408">
        <v>1</v>
      </c>
      <c r="X2408" s="8">
        <v>1</v>
      </c>
      <c r="Y2408">
        <v>0</v>
      </c>
      <c r="Z2408" s="33">
        <v>0</v>
      </c>
      <c r="AA2408">
        <v>5</v>
      </c>
      <c r="AB2408">
        <v>100</v>
      </c>
      <c r="AC2408">
        <v>70</v>
      </c>
      <c r="AD2408" s="62">
        <v>0</v>
      </c>
      <c r="AE2408" s="62">
        <v>1</v>
      </c>
      <c r="AF2408" s="62">
        <v>2</v>
      </c>
      <c r="AS2408">
        <v>1</v>
      </c>
    </row>
    <row r="2409" spans="1:45">
      <c r="A2409" s="8">
        <v>511430</v>
      </c>
      <c r="B2409" s="8">
        <v>1001</v>
      </c>
      <c r="C2409">
        <v>6</v>
      </c>
      <c r="D2409" s="8">
        <v>1001</v>
      </c>
      <c r="E2409" s="13" t="s">
        <v>6160</v>
      </c>
      <c r="F2409" s="13" t="s">
        <v>6160</v>
      </c>
      <c r="G2409" s="13" t="s">
        <v>6161</v>
      </c>
      <c r="H2409" s="402" t="s">
        <v>6162</v>
      </c>
      <c r="I2409">
        <v>40</v>
      </c>
      <c r="J2409">
        <v>5</v>
      </c>
      <c r="K2409" s="33">
        <v>2</v>
      </c>
      <c r="L2409">
        <v>999</v>
      </c>
      <c r="M2409">
        <v>0</v>
      </c>
      <c r="N2409">
        <v>1017</v>
      </c>
      <c r="O2409" s="249">
        <v>33071</v>
      </c>
      <c r="S2409" s="33">
        <v>1</v>
      </c>
      <c r="T2409">
        <v>5</v>
      </c>
      <c r="U2409">
        <v>1</v>
      </c>
      <c r="V2409" s="33">
        <v>1</v>
      </c>
      <c r="W2409">
        <v>1</v>
      </c>
      <c r="X2409" s="8">
        <v>1</v>
      </c>
      <c r="Y2409">
        <v>0</v>
      </c>
      <c r="Z2409" s="33">
        <v>0</v>
      </c>
      <c r="AA2409">
        <v>5</v>
      </c>
      <c r="AB2409">
        <v>100</v>
      </c>
      <c r="AC2409">
        <v>70</v>
      </c>
      <c r="AD2409" s="62">
        <v>0</v>
      </c>
      <c r="AE2409" s="62">
        <v>1</v>
      </c>
      <c r="AF2409" s="62">
        <v>2</v>
      </c>
      <c r="AS2409">
        <v>1</v>
      </c>
    </row>
    <row r="2410" spans="1:45">
      <c r="A2410" s="8">
        <v>511431</v>
      </c>
      <c r="B2410" s="8">
        <v>1001</v>
      </c>
      <c r="C2410">
        <v>6</v>
      </c>
      <c r="D2410" s="8">
        <v>1001</v>
      </c>
      <c r="E2410" s="13" t="s">
        <v>6163</v>
      </c>
      <c r="F2410" s="13" t="s">
        <v>6163</v>
      </c>
      <c r="G2410" s="13" t="s">
        <v>6164</v>
      </c>
      <c r="H2410" s="402" t="s">
        <v>6165</v>
      </c>
      <c r="I2410">
        <v>40</v>
      </c>
      <c r="J2410">
        <v>5</v>
      </c>
      <c r="K2410" s="33">
        <v>2</v>
      </c>
      <c r="L2410">
        <v>999</v>
      </c>
      <c r="M2410">
        <v>0</v>
      </c>
      <c r="N2410">
        <v>1017</v>
      </c>
      <c r="O2410" s="249">
        <v>33072</v>
      </c>
      <c r="S2410" s="33">
        <v>1</v>
      </c>
      <c r="T2410">
        <v>5</v>
      </c>
      <c r="U2410">
        <v>1</v>
      </c>
      <c r="V2410" s="33">
        <v>1</v>
      </c>
      <c r="W2410">
        <v>1</v>
      </c>
      <c r="X2410" s="8">
        <v>1</v>
      </c>
      <c r="Y2410">
        <v>0</v>
      </c>
      <c r="Z2410" s="33">
        <v>0</v>
      </c>
      <c r="AA2410">
        <v>5</v>
      </c>
      <c r="AB2410">
        <v>100</v>
      </c>
      <c r="AC2410">
        <v>70</v>
      </c>
      <c r="AD2410" s="62">
        <v>0</v>
      </c>
      <c r="AE2410" s="62">
        <v>1</v>
      </c>
      <c r="AF2410" s="62">
        <v>2</v>
      </c>
      <c r="AS2410">
        <v>1</v>
      </c>
    </row>
    <row r="2411" spans="1:45">
      <c r="A2411" s="8">
        <v>511432</v>
      </c>
      <c r="B2411" s="8">
        <v>1001</v>
      </c>
      <c r="C2411">
        <v>6</v>
      </c>
      <c r="D2411" s="8">
        <v>1001</v>
      </c>
      <c r="E2411" s="13" t="s">
        <v>6166</v>
      </c>
      <c r="F2411" s="13" t="s">
        <v>6166</v>
      </c>
      <c r="G2411" s="13" t="s">
        <v>6167</v>
      </c>
      <c r="H2411" s="402" t="s">
        <v>6168</v>
      </c>
      <c r="I2411">
        <v>40</v>
      </c>
      <c r="J2411">
        <v>5</v>
      </c>
      <c r="K2411" s="33">
        <v>2</v>
      </c>
      <c r="L2411">
        <v>999</v>
      </c>
      <c r="M2411">
        <v>0</v>
      </c>
      <c r="N2411">
        <v>1017</v>
      </c>
      <c r="O2411" s="249">
        <v>33073</v>
      </c>
      <c r="S2411" s="33">
        <v>1</v>
      </c>
      <c r="T2411">
        <v>5</v>
      </c>
      <c r="U2411">
        <v>1</v>
      </c>
      <c r="V2411" s="33">
        <v>1</v>
      </c>
      <c r="W2411">
        <v>1</v>
      </c>
      <c r="X2411" s="8">
        <v>1</v>
      </c>
      <c r="Y2411">
        <v>0</v>
      </c>
      <c r="Z2411" s="33">
        <v>0</v>
      </c>
      <c r="AA2411">
        <v>5</v>
      </c>
      <c r="AB2411">
        <v>100</v>
      </c>
      <c r="AC2411">
        <v>70</v>
      </c>
      <c r="AD2411" s="62">
        <v>0</v>
      </c>
      <c r="AE2411" s="62">
        <v>1</v>
      </c>
      <c r="AF2411" s="62">
        <v>2</v>
      </c>
      <c r="AS2411">
        <v>1</v>
      </c>
    </row>
    <row r="2412" spans="1:45">
      <c r="A2412" s="8">
        <v>511433</v>
      </c>
      <c r="B2412" s="8">
        <v>1001</v>
      </c>
      <c r="C2412">
        <v>6</v>
      </c>
      <c r="D2412" s="8">
        <v>1001</v>
      </c>
      <c r="E2412" s="401" t="s">
        <v>6169</v>
      </c>
      <c r="F2412" s="401" t="s">
        <v>6169</v>
      </c>
      <c r="G2412" s="401" t="s">
        <v>6170</v>
      </c>
      <c r="H2412" s="402" t="s">
        <v>6171</v>
      </c>
      <c r="I2412">
        <v>40</v>
      </c>
      <c r="J2412">
        <v>5</v>
      </c>
      <c r="K2412" s="33">
        <v>2</v>
      </c>
      <c r="L2412">
        <v>999</v>
      </c>
      <c r="M2412">
        <v>0</v>
      </c>
      <c r="N2412">
        <v>1017</v>
      </c>
      <c r="O2412" s="249">
        <v>33074</v>
      </c>
      <c r="S2412" s="33">
        <v>1</v>
      </c>
      <c r="T2412">
        <v>5</v>
      </c>
      <c r="U2412">
        <v>1</v>
      </c>
      <c r="V2412" s="33">
        <v>1</v>
      </c>
      <c r="W2412">
        <v>1</v>
      </c>
      <c r="X2412" s="8">
        <v>1</v>
      </c>
      <c r="Y2412">
        <v>0</v>
      </c>
      <c r="Z2412" s="33">
        <v>0</v>
      </c>
      <c r="AA2412">
        <v>5</v>
      </c>
      <c r="AB2412">
        <v>100</v>
      </c>
      <c r="AC2412">
        <v>70</v>
      </c>
      <c r="AD2412" s="62">
        <v>0</v>
      </c>
      <c r="AE2412" s="62">
        <v>1</v>
      </c>
      <c r="AF2412" s="62">
        <v>2</v>
      </c>
      <c r="AS2412">
        <v>1</v>
      </c>
    </row>
    <row r="2413" spans="1:45">
      <c r="A2413" s="8">
        <v>511434</v>
      </c>
      <c r="B2413" s="8">
        <v>1001</v>
      </c>
      <c r="C2413">
        <v>6</v>
      </c>
      <c r="D2413" s="8">
        <v>1001</v>
      </c>
      <c r="E2413" s="401" t="s">
        <v>6172</v>
      </c>
      <c r="F2413" s="401" t="s">
        <v>6172</v>
      </c>
      <c r="G2413" s="401" t="s">
        <v>6173</v>
      </c>
      <c r="H2413" s="402" t="s">
        <v>6174</v>
      </c>
      <c r="I2413">
        <v>40</v>
      </c>
      <c r="J2413">
        <v>5</v>
      </c>
      <c r="K2413" s="33">
        <v>2</v>
      </c>
      <c r="L2413">
        <v>999</v>
      </c>
      <c r="M2413">
        <v>0</v>
      </c>
      <c r="N2413">
        <v>1017</v>
      </c>
      <c r="O2413" s="249">
        <v>33075</v>
      </c>
      <c r="S2413" s="33">
        <v>1</v>
      </c>
      <c r="T2413">
        <v>5</v>
      </c>
      <c r="U2413">
        <v>1</v>
      </c>
      <c r="V2413" s="33">
        <v>1</v>
      </c>
      <c r="W2413">
        <v>1</v>
      </c>
      <c r="X2413" s="8">
        <v>1</v>
      </c>
      <c r="Y2413">
        <v>0</v>
      </c>
      <c r="Z2413" s="33">
        <v>0</v>
      </c>
      <c r="AA2413">
        <v>5</v>
      </c>
      <c r="AB2413">
        <v>100</v>
      </c>
      <c r="AC2413">
        <v>70</v>
      </c>
      <c r="AD2413" s="62">
        <v>0</v>
      </c>
      <c r="AE2413" s="62">
        <v>1</v>
      </c>
      <c r="AF2413" s="62">
        <v>2</v>
      </c>
      <c r="AS2413">
        <v>1</v>
      </c>
    </row>
    <row r="2414" spans="1:45">
      <c r="A2414" s="8">
        <v>511435</v>
      </c>
      <c r="B2414" s="8">
        <v>1001</v>
      </c>
      <c r="C2414">
        <v>6</v>
      </c>
      <c r="D2414" s="8">
        <v>1001</v>
      </c>
      <c r="E2414" s="401" t="s">
        <v>6175</v>
      </c>
      <c r="F2414" s="401" t="s">
        <v>6175</v>
      </c>
      <c r="G2414" s="401" t="s">
        <v>6176</v>
      </c>
      <c r="H2414" s="402" t="s">
        <v>6177</v>
      </c>
      <c r="I2414">
        <v>40</v>
      </c>
      <c r="J2414">
        <v>5</v>
      </c>
      <c r="K2414" s="33">
        <v>2</v>
      </c>
      <c r="L2414">
        <v>999</v>
      </c>
      <c r="M2414">
        <v>0</v>
      </c>
      <c r="N2414">
        <v>1017</v>
      </c>
      <c r="O2414" s="249">
        <v>33076</v>
      </c>
      <c r="S2414" s="33">
        <v>1</v>
      </c>
      <c r="T2414">
        <v>5</v>
      </c>
      <c r="U2414">
        <v>1</v>
      </c>
      <c r="V2414" s="33">
        <v>1</v>
      </c>
      <c r="W2414">
        <v>1</v>
      </c>
      <c r="X2414" s="8">
        <v>1</v>
      </c>
      <c r="Y2414">
        <v>0</v>
      </c>
      <c r="Z2414" s="33">
        <v>0</v>
      </c>
      <c r="AA2414">
        <v>5</v>
      </c>
      <c r="AB2414">
        <v>100</v>
      </c>
      <c r="AC2414">
        <v>70</v>
      </c>
      <c r="AD2414" s="62">
        <v>0</v>
      </c>
      <c r="AE2414" s="62">
        <v>1</v>
      </c>
      <c r="AF2414" s="62">
        <v>2</v>
      </c>
      <c r="AS2414">
        <v>1</v>
      </c>
    </row>
    <row r="2415" spans="1:45">
      <c r="A2415" s="236">
        <v>511436</v>
      </c>
      <c r="B2415" s="236">
        <v>1001</v>
      </c>
      <c r="C2415">
        <v>6</v>
      </c>
      <c r="D2415" s="236">
        <v>1001</v>
      </c>
      <c r="E2415" s="437" t="s">
        <v>6178</v>
      </c>
      <c r="F2415" s="437" t="s">
        <v>6178</v>
      </c>
      <c r="G2415" s="437" t="s">
        <v>6179</v>
      </c>
      <c r="H2415" s="403" t="s">
        <v>6180</v>
      </c>
      <c r="I2415">
        <v>40</v>
      </c>
      <c r="J2415">
        <v>5</v>
      </c>
      <c r="K2415" s="33">
        <v>2</v>
      </c>
      <c r="L2415">
        <v>999</v>
      </c>
      <c r="M2415">
        <v>0</v>
      </c>
      <c r="N2415">
        <v>1017</v>
      </c>
      <c r="O2415" s="249">
        <v>33077</v>
      </c>
      <c r="S2415" s="33">
        <v>1</v>
      </c>
      <c r="T2415">
        <v>5</v>
      </c>
      <c r="U2415">
        <v>1</v>
      </c>
      <c r="V2415" s="33">
        <v>1</v>
      </c>
      <c r="W2415">
        <v>1</v>
      </c>
      <c r="X2415" s="236">
        <v>1</v>
      </c>
      <c r="Y2415">
        <v>0</v>
      </c>
      <c r="Z2415" s="33">
        <v>0</v>
      </c>
      <c r="AA2415">
        <v>5</v>
      </c>
      <c r="AB2415">
        <v>100</v>
      </c>
      <c r="AC2415">
        <v>70</v>
      </c>
      <c r="AD2415" s="62">
        <v>0</v>
      </c>
      <c r="AE2415" s="62">
        <v>1</v>
      </c>
      <c r="AF2415" s="62">
        <v>2</v>
      </c>
      <c r="AQ2415"/>
      <c r="AS2415">
        <v>1</v>
      </c>
    </row>
    <row r="2416" spans="1:45">
      <c r="A2416">
        <v>511500</v>
      </c>
      <c r="B2416">
        <v>1001</v>
      </c>
      <c r="C2416">
        <v>1</v>
      </c>
      <c r="D2416">
        <v>3</v>
      </c>
      <c r="E2416" t="s">
        <v>6181</v>
      </c>
      <c r="F2416" t="s">
        <v>6182</v>
      </c>
      <c r="G2416" t="s">
        <v>6183</v>
      </c>
      <c r="H2416" t="s">
        <v>1296</v>
      </c>
      <c r="I2416">
        <v>1</v>
      </c>
      <c r="J2416">
        <v>2</v>
      </c>
      <c r="K2416" s="33">
        <v>1</v>
      </c>
      <c r="L2416">
        <v>999</v>
      </c>
      <c r="M2416">
        <v>0</v>
      </c>
      <c r="S2416" s="33">
        <v>0</v>
      </c>
      <c r="T2416">
        <v>5</v>
      </c>
      <c r="U2416">
        <v>110</v>
      </c>
      <c r="V2416" s="33">
        <v>1</v>
      </c>
      <c r="W2416">
        <v>1</v>
      </c>
      <c r="X2416">
        <v>1</v>
      </c>
      <c r="Y2416">
        <v>0</v>
      </c>
      <c r="Z2416" s="33">
        <v>0</v>
      </c>
      <c r="AA2416">
        <v>5</v>
      </c>
      <c r="AB2416">
        <v>4180</v>
      </c>
      <c r="AC2416">
        <v>0</v>
      </c>
      <c r="AD2416" s="62">
        <v>0</v>
      </c>
      <c r="AE2416" s="62">
        <v>0</v>
      </c>
      <c r="AF2416" s="62">
        <v>0</v>
      </c>
      <c r="AH2416" s="63">
        <v>1</v>
      </c>
      <c r="AL2416" s="64">
        <v>1</v>
      </c>
      <c r="AM2416" s="65"/>
      <c r="AN2416" s="64"/>
      <c r="AQ2416" t="s">
        <v>5851</v>
      </c>
      <c r="AS2416">
        <v>1</v>
      </c>
    </row>
    <row r="2417" spans="1:45">
      <c r="A2417">
        <v>511501</v>
      </c>
      <c r="B2417">
        <v>1001</v>
      </c>
      <c r="C2417">
        <v>1</v>
      </c>
      <c r="D2417">
        <v>3</v>
      </c>
      <c r="E2417" t="s">
        <v>6184</v>
      </c>
      <c r="F2417" t="s">
        <v>6184</v>
      </c>
      <c r="G2417" t="s">
        <v>6185</v>
      </c>
      <c r="H2417" t="s">
        <v>1329</v>
      </c>
      <c r="I2417">
        <v>1</v>
      </c>
      <c r="J2417">
        <v>2</v>
      </c>
      <c r="K2417" s="33">
        <v>1</v>
      </c>
      <c r="L2417">
        <v>999</v>
      </c>
      <c r="M2417">
        <v>0</v>
      </c>
      <c r="N2417"/>
      <c r="S2417" s="33">
        <v>0</v>
      </c>
      <c r="T2417">
        <v>5</v>
      </c>
      <c r="U2417">
        <v>110</v>
      </c>
      <c r="V2417" s="33">
        <v>1</v>
      </c>
      <c r="W2417">
        <v>1</v>
      </c>
      <c r="X2417">
        <v>1</v>
      </c>
      <c r="Y2417">
        <v>0</v>
      </c>
      <c r="Z2417" s="33">
        <v>0</v>
      </c>
      <c r="AA2417">
        <v>5</v>
      </c>
      <c r="AB2417">
        <v>4180</v>
      </c>
      <c r="AC2417">
        <v>0</v>
      </c>
      <c r="AD2417" s="62">
        <v>0</v>
      </c>
      <c r="AE2417" s="62">
        <v>0</v>
      </c>
      <c r="AF2417" s="62">
        <v>0</v>
      </c>
      <c r="AH2417" s="63">
        <v>1</v>
      </c>
      <c r="AL2417" s="64">
        <v>1</v>
      </c>
      <c r="AM2417" s="65"/>
      <c r="AN2417" s="64"/>
      <c r="AQ2417" t="s">
        <v>5851</v>
      </c>
      <c r="AS2417">
        <v>1</v>
      </c>
    </row>
    <row r="2418" spans="1:45">
      <c r="A2418">
        <v>511502</v>
      </c>
      <c r="B2418" s="238">
        <v>1001</v>
      </c>
      <c r="C2418" s="238">
        <v>6</v>
      </c>
      <c r="D2418" s="238">
        <v>1001</v>
      </c>
      <c r="E2418" t="s">
        <v>6186</v>
      </c>
      <c r="F2418" t="s">
        <v>6186</v>
      </c>
      <c r="G2418" t="s">
        <v>6187</v>
      </c>
      <c r="H2418" t="s">
        <v>1818</v>
      </c>
      <c r="I2418">
        <v>1</v>
      </c>
      <c r="J2418">
        <v>5</v>
      </c>
      <c r="K2418" s="33">
        <v>2</v>
      </c>
      <c r="L2418">
        <v>999</v>
      </c>
      <c r="M2418">
        <v>0</v>
      </c>
      <c r="N2418" s="238">
        <v>1018</v>
      </c>
      <c r="O2418" s="2" t="s">
        <v>6188</v>
      </c>
      <c r="S2418" s="254">
        <v>1</v>
      </c>
      <c r="T2418" s="238">
        <v>5</v>
      </c>
      <c r="U2418" s="238">
        <v>1</v>
      </c>
      <c r="V2418" s="254">
        <v>1</v>
      </c>
      <c r="W2418" s="238">
        <v>1</v>
      </c>
      <c r="X2418" s="238">
        <v>1</v>
      </c>
      <c r="Y2418">
        <v>0</v>
      </c>
      <c r="Z2418" s="33">
        <v>0</v>
      </c>
      <c r="AA2418">
        <v>5</v>
      </c>
      <c r="AB2418">
        <v>100</v>
      </c>
      <c r="AC2418" s="238">
        <v>70</v>
      </c>
      <c r="AD2418" s="62">
        <v>0</v>
      </c>
      <c r="AE2418" s="255">
        <v>5</v>
      </c>
      <c r="AF2418" s="255">
        <v>2</v>
      </c>
      <c r="AS2418">
        <v>1</v>
      </c>
    </row>
    <row r="2419" spans="1:45">
      <c r="A2419">
        <v>511503</v>
      </c>
      <c r="B2419" s="425">
        <v>1001</v>
      </c>
      <c r="C2419" s="8">
        <v>6</v>
      </c>
      <c r="D2419" s="8">
        <v>1001</v>
      </c>
      <c r="E2419" t="s">
        <v>6189</v>
      </c>
      <c r="F2419" t="s">
        <v>6189</v>
      </c>
      <c r="G2419" t="s">
        <v>6116</v>
      </c>
      <c r="H2419" t="s">
        <v>1836</v>
      </c>
      <c r="I2419">
        <v>1</v>
      </c>
      <c r="J2419">
        <v>4</v>
      </c>
      <c r="K2419" s="33">
        <v>2</v>
      </c>
      <c r="L2419">
        <v>999</v>
      </c>
      <c r="M2419">
        <v>0</v>
      </c>
      <c r="N2419" s="8">
        <v>1017</v>
      </c>
      <c r="O2419" s="2">
        <v>15126</v>
      </c>
      <c r="S2419" s="89">
        <v>1</v>
      </c>
      <c r="T2419" s="8">
        <v>5</v>
      </c>
      <c r="U2419" s="89">
        <v>1</v>
      </c>
      <c r="V2419" s="87">
        <v>1</v>
      </c>
      <c r="W2419" s="8">
        <v>1</v>
      </c>
      <c r="X2419" s="8">
        <v>1</v>
      </c>
      <c r="Y2419">
        <v>0</v>
      </c>
      <c r="Z2419" s="33">
        <v>0</v>
      </c>
      <c r="AA2419">
        <v>5</v>
      </c>
      <c r="AB2419">
        <v>100</v>
      </c>
      <c r="AC2419" s="87">
        <v>0</v>
      </c>
      <c r="AD2419" s="62">
        <v>0</v>
      </c>
      <c r="AE2419" s="90">
        <v>4</v>
      </c>
      <c r="AF2419" s="90">
        <v>2</v>
      </c>
      <c r="AS2419">
        <v>1</v>
      </c>
    </row>
    <row r="2420" spans="1:45">
      <c r="A2420">
        <v>511504</v>
      </c>
      <c r="B2420" s="407">
        <v>1001</v>
      </c>
      <c r="C2420" s="236">
        <v>6</v>
      </c>
      <c r="D2420" s="236">
        <v>1001</v>
      </c>
      <c r="E2420" t="s">
        <v>6190</v>
      </c>
      <c r="F2420" t="s">
        <v>6190</v>
      </c>
      <c r="G2420" t="s">
        <v>6116</v>
      </c>
      <c r="H2420" t="s">
        <v>6191</v>
      </c>
      <c r="I2420">
        <v>1</v>
      </c>
      <c r="J2420">
        <v>4</v>
      </c>
      <c r="K2420" s="33">
        <v>2</v>
      </c>
      <c r="L2420">
        <v>999</v>
      </c>
      <c r="M2420">
        <v>0</v>
      </c>
      <c r="N2420" s="236">
        <v>1017</v>
      </c>
      <c r="O2420" s="2">
        <v>15127</v>
      </c>
      <c r="S2420" s="336">
        <v>1</v>
      </c>
      <c r="T2420" s="236">
        <v>5</v>
      </c>
      <c r="U2420" s="336">
        <v>1</v>
      </c>
      <c r="V2420" s="248">
        <v>1</v>
      </c>
      <c r="W2420" s="236">
        <v>1</v>
      </c>
      <c r="X2420" s="236">
        <v>1</v>
      </c>
      <c r="Y2420">
        <v>0</v>
      </c>
      <c r="Z2420" s="33">
        <v>0</v>
      </c>
      <c r="AA2420">
        <v>5</v>
      </c>
      <c r="AB2420">
        <v>100</v>
      </c>
      <c r="AC2420" s="248">
        <v>0</v>
      </c>
      <c r="AD2420" s="62">
        <v>0</v>
      </c>
      <c r="AE2420" s="250">
        <v>4</v>
      </c>
      <c r="AF2420" s="250">
        <v>2</v>
      </c>
      <c r="AS2420">
        <v>1</v>
      </c>
    </row>
    <row r="2421" spans="1:45">
      <c r="A2421">
        <v>511505</v>
      </c>
      <c r="B2421" s="238">
        <v>1001</v>
      </c>
      <c r="C2421" s="238">
        <v>6</v>
      </c>
      <c r="D2421" s="238">
        <v>1001</v>
      </c>
      <c r="E2421" t="s">
        <v>6192</v>
      </c>
      <c r="F2421" t="s">
        <v>6192</v>
      </c>
      <c r="G2421" t="s">
        <v>6193</v>
      </c>
      <c r="H2421" t="s">
        <v>204</v>
      </c>
      <c r="I2421">
        <v>1</v>
      </c>
      <c r="J2421">
        <v>5</v>
      </c>
      <c r="K2421" s="33">
        <v>2</v>
      </c>
      <c r="L2421">
        <v>999</v>
      </c>
      <c r="M2421">
        <v>0</v>
      </c>
      <c r="N2421" s="238">
        <v>1018</v>
      </c>
      <c r="O2421" s="2" t="s">
        <v>6194</v>
      </c>
      <c r="S2421" s="254">
        <v>1</v>
      </c>
      <c r="T2421" s="238">
        <v>5</v>
      </c>
      <c r="U2421" s="238">
        <v>1</v>
      </c>
      <c r="V2421" s="254">
        <v>1</v>
      </c>
      <c r="W2421" s="238">
        <v>1</v>
      </c>
      <c r="X2421" s="238">
        <v>1</v>
      </c>
      <c r="Y2421">
        <v>0</v>
      </c>
      <c r="Z2421" s="33">
        <v>0</v>
      </c>
      <c r="AA2421">
        <v>5</v>
      </c>
      <c r="AB2421">
        <v>100</v>
      </c>
      <c r="AC2421" s="238">
        <v>70</v>
      </c>
      <c r="AD2421" s="62">
        <v>0</v>
      </c>
      <c r="AE2421" s="255">
        <v>5</v>
      </c>
      <c r="AF2421" s="255">
        <v>2</v>
      </c>
      <c r="AG2421" s="91"/>
      <c r="AH2421" s="91"/>
      <c r="AI2421" s="91"/>
      <c r="AJ2421" s="91"/>
      <c r="AK2421" s="91"/>
      <c r="AL2421" s="92"/>
      <c r="AM2421" s="92"/>
      <c r="AN2421" s="93"/>
      <c r="AO2421" s="92"/>
      <c r="AS2421">
        <v>1</v>
      </c>
    </row>
    <row r="2422" spans="1:45">
      <c r="A2422">
        <v>511506</v>
      </c>
      <c r="B2422" s="407">
        <v>1001</v>
      </c>
      <c r="C2422" s="236">
        <v>6</v>
      </c>
      <c r="D2422" s="236">
        <v>1001</v>
      </c>
      <c r="E2422" t="s">
        <v>6195</v>
      </c>
      <c r="F2422" t="s">
        <v>6195</v>
      </c>
      <c r="G2422" t="s">
        <v>6116</v>
      </c>
      <c r="H2422" t="s">
        <v>5646</v>
      </c>
      <c r="I2422">
        <v>1</v>
      </c>
      <c r="J2422">
        <v>4</v>
      </c>
      <c r="K2422" s="33">
        <v>2</v>
      </c>
      <c r="L2422" s="238">
        <v>999</v>
      </c>
      <c r="M2422" s="238">
        <v>0</v>
      </c>
      <c r="N2422" s="236">
        <v>1017</v>
      </c>
      <c r="O2422" s="2" t="s">
        <v>6118</v>
      </c>
      <c r="S2422" s="89">
        <v>1</v>
      </c>
      <c r="T2422" s="8">
        <v>5</v>
      </c>
      <c r="U2422" s="89">
        <v>1</v>
      </c>
      <c r="V2422" s="87">
        <v>1</v>
      </c>
      <c r="W2422" s="236">
        <v>1</v>
      </c>
      <c r="X2422" s="8">
        <v>1</v>
      </c>
      <c r="Y2422" s="238">
        <v>0</v>
      </c>
      <c r="Z2422" s="33">
        <v>0</v>
      </c>
      <c r="AA2422">
        <v>5</v>
      </c>
      <c r="AB2422">
        <v>100</v>
      </c>
      <c r="AC2422" s="87">
        <v>0</v>
      </c>
      <c r="AD2422" s="62">
        <v>0</v>
      </c>
      <c r="AE2422" s="250">
        <v>4</v>
      </c>
      <c r="AF2422" s="250">
        <v>2</v>
      </c>
      <c r="AG2422" s="251"/>
      <c r="AH2422" s="251"/>
      <c r="AI2422" s="251"/>
      <c r="AJ2422" s="251"/>
      <c r="AK2422" s="251"/>
      <c r="AL2422" s="252"/>
      <c r="AM2422" s="252"/>
      <c r="AN2422" s="93"/>
      <c r="AO2422" s="92"/>
      <c r="AQ2422"/>
      <c r="AR2422"/>
      <c r="AS2422">
        <v>1</v>
      </c>
    </row>
    <row r="2423" spans="1:45">
      <c r="A2423">
        <v>511507</v>
      </c>
      <c r="B2423">
        <v>1001</v>
      </c>
      <c r="C2423">
        <v>1</v>
      </c>
      <c r="D2423">
        <v>1001</v>
      </c>
      <c r="E2423" t="s">
        <v>6196</v>
      </c>
      <c r="F2423" t="s">
        <v>6196</v>
      </c>
      <c r="G2423" t="s">
        <v>6197</v>
      </c>
      <c r="H2423" t="s">
        <v>5625</v>
      </c>
      <c r="I2423">
        <v>1</v>
      </c>
      <c r="J2423">
        <v>5</v>
      </c>
      <c r="K2423" s="33">
        <v>1</v>
      </c>
      <c r="L2423" s="8">
        <v>999</v>
      </c>
      <c r="M2423" s="8">
        <v>0</v>
      </c>
      <c r="S2423" s="89">
        <v>1</v>
      </c>
      <c r="T2423" s="8">
        <v>5</v>
      </c>
      <c r="U2423" s="89">
        <v>1</v>
      </c>
      <c r="V2423" s="87">
        <v>1</v>
      </c>
      <c r="W2423">
        <v>1</v>
      </c>
      <c r="X2423" s="8">
        <v>1</v>
      </c>
      <c r="Y2423" s="8">
        <v>0</v>
      </c>
      <c r="Z2423" s="33">
        <v>0</v>
      </c>
      <c r="AA2423">
        <v>5</v>
      </c>
      <c r="AB2423" s="34">
        <v>100</v>
      </c>
      <c r="AC2423" s="87">
        <v>900</v>
      </c>
      <c r="AD2423" s="62">
        <v>0</v>
      </c>
      <c r="AM2423" s="4"/>
      <c r="AN2423" s="93"/>
      <c r="AO2423" s="92"/>
      <c r="AQ2423" t="s">
        <v>6196</v>
      </c>
      <c r="AR2423">
        <v>1</v>
      </c>
      <c r="AS2423">
        <v>1</v>
      </c>
    </row>
    <row r="2424" spans="1:45">
      <c r="A2424">
        <v>511508</v>
      </c>
      <c r="B2424" s="238">
        <v>1001</v>
      </c>
      <c r="C2424" s="238">
        <v>1</v>
      </c>
      <c r="D2424" s="238">
        <v>1001</v>
      </c>
      <c r="E2424" t="s">
        <v>6198</v>
      </c>
      <c r="F2424" t="s">
        <v>6198</v>
      </c>
      <c r="G2424" t="s">
        <v>6199</v>
      </c>
      <c r="H2424" t="s">
        <v>6200</v>
      </c>
      <c r="I2424">
        <v>1</v>
      </c>
      <c r="J2424">
        <v>5</v>
      </c>
      <c r="K2424" s="33">
        <v>1</v>
      </c>
      <c r="L2424" s="236">
        <v>999</v>
      </c>
      <c r="M2424" s="236">
        <v>0</v>
      </c>
      <c r="N2424" s="8"/>
      <c r="S2424" s="89">
        <v>1</v>
      </c>
      <c r="T2424" s="8">
        <v>5</v>
      </c>
      <c r="U2424" s="89">
        <v>1</v>
      </c>
      <c r="V2424" s="87">
        <v>1</v>
      </c>
      <c r="W2424" s="238">
        <v>1</v>
      </c>
      <c r="X2424" s="8">
        <v>1</v>
      </c>
      <c r="Y2424" s="236">
        <v>0</v>
      </c>
      <c r="Z2424" s="33">
        <v>0</v>
      </c>
      <c r="AA2424">
        <v>5</v>
      </c>
      <c r="AB2424" s="34">
        <v>100</v>
      </c>
      <c r="AC2424" s="87">
        <v>900</v>
      </c>
      <c r="AD2424" s="62">
        <v>0</v>
      </c>
      <c r="AE2424" s="90"/>
      <c r="AF2424" s="90"/>
      <c r="AG2424" s="91"/>
      <c r="AH2424" s="91"/>
      <c r="AI2424" s="91"/>
      <c r="AJ2424" s="91"/>
      <c r="AK2424" s="91"/>
      <c r="AL2424" s="92"/>
      <c r="AM2424" s="440"/>
      <c r="AN2424" s="93"/>
      <c r="AO2424" s="92"/>
      <c r="AQ2424" t="s">
        <v>6198</v>
      </c>
      <c r="AR2424">
        <v>1</v>
      </c>
      <c r="AS2424">
        <v>1</v>
      </c>
    </row>
    <row r="2425" spans="1:45">
      <c r="A2425">
        <v>511509</v>
      </c>
      <c r="B2425" s="407">
        <v>1001</v>
      </c>
      <c r="C2425" s="236">
        <v>6</v>
      </c>
      <c r="D2425" s="236">
        <v>1001</v>
      </c>
      <c r="E2425" t="s">
        <v>6201</v>
      </c>
      <c r="F2425" t="s">
        <v>6201</v>
      </c>
      <c r="G2425" t="s">
        <v>6116</v>
      </c>
      <c r="H2425" t="s">
        <v>5623</v>
      </c>
      <c r="I2425">
        <v>1</v>
      </c>
      <c r="J2425">
        <v>4</v>
      </c>
      <c r="K2425" s="33">
        <v>2</v>
      </c>
      <c r="L2425">
        <v>999</v>
      </c>
      <c r="M2425">
        <v>0</v>
      </c>
      <c r="N2425" s="236">
        <v>1017</v>
      </c>
      <c r="O2425" s="2" t="s">
        <v>6118</v>
      </c>
      <c r="S2425" s="336">
        <v>1</v>
      </c>
      <c r="T2425" s="236">
        <v>5</v>
      </c>
      <c r="U2425" s="336">
        <v>1</v>
      </c>
      <c r="V2425" s="248">
        <v>1</v>
      </c>
      <c r="W2425" s="236">
        <v>1</v>
      </c>
      <c r="X2425" s="236">
        <v>1</v>
      </c>
      <c r="Y2425">
        <v>0</v>
      </c>
      <c r="Z2425" s="33">
        <v>0</v>
      </c>
      <c r="AA2425">
        <v>5</v>
      </c>
      <c r="AB2425">
        <v>100</v>
      </c>
      <c r="AC2425" s="248">
        <v>0</v>
      </c>
      <c r="AD2425" s="62">
        <v>0</v>
      </c>
      <c r="AE2425" s="250">
        <v>4</v>
      </c>
      <c r="AF2425" s="250">
        <v>2</v>
      </c>
      <c r="AG2425" s="251"/>
      <c r="AH2425" s="251"/>
      <c r="AI2425" s="251"/>
      <c r="AJ2425" s="251"/>
      <c r="AK2425" s="251"/>
      <c r="AL2425" s="252"/>
      <c r="AM2425" s="252"/>
      <c r="AN2425" s="338"/>
      <c r="AO2425" s="252"/>
      <c r="AQ2425"/>
      <c r="AS2425">
        <v>1</v>
      </c>
    </row>
    <row r="2426" spans="1:45">
      <c r="A2426">
        <v>511510</v>
      </c>
      <c r="B2426">
        <v>1001</v>
      </c>
      <c r="C2426">
        <v>1</v>
      </c>
      <c r="D2426">
        <v>1001</v>
      </c>
      <c r="E2426" t="s">
        <v>6202</v>
      </c>
      <c r="F2426" t="s">
        <v>6202</v>
      </c>
      <c r="G2426" t="s">
        <v>6202</v>
      </c>
      <c r="H2426" t="s">
        <v>6203</v>
      </c>
      <c r="I2426">
        <v>1</v>
      </c>
      <c r="J2426">
        <v>4</v>
      </c>
      <c r="K2426" s="33">
        <v>2</v>
      </c>
      <c r="L2426">
        <v>999</v>
      </c>
      <c r="M2426">
        <v>0</v>
      </c>
      <c r="N2426"/>
      <c r="O2426" s="231"/>
      <c r="S2426" s="33">
        <v>1</v>
      </c>
      <c r="T2426">
        <v>5</v>
      </c>
      <c r="U2426">
        <v>170</v>
      </c>
      <c r="V2426" s="33">
        <v>1</v>
      </c>
      <c r="W2426">
        <v>1</v>
      </c>
      <c r="X2426">
        <v>1</v>
      </c>
      <c r="Y2426">
        <v>0</v>
      </c>
      <c r="Z2426" s="33">
        <v>0</v>
      </c>
      <c r="AA2426">
        <v>5</v>
      </c>
      <c r="AB2426">
        <v>6460</v>
      </c>
      <c r="AC2426">
        <v>10000</v>
      </c>
      <c r="AE2426" s="62">
        <v>4</v>
      </c>
      <c r="AF2426" s="62">
        <v>1</v>
      </c>
      <c r="AL2426" s="64">
        <v>1</v>
      </c>
      <c r="AQ2426" t="s">
        <v>6202</v>
      </c>
      <c r="AS2426">
        <v>1</v>
      </c>
    </row>
    <row r="2427" spans="1:45">
      <c r="A2427">
        <v>511511</v>
      </c>
      <c r="B2427" s="238">
        <v>1001</v>
      </c>
      <c r="C2427" s="238">
        <v>6</v>
      </c>
      <c r="D2427" s="238">
        <v>1001</v>
      </c>
      <c r="E2427" t="s">
        <v>5752</v>
      </c>
      <c r="F2427" t="s">
        <v>5752</v>
      </c>
      <c r="G2427" s="3" t="s">
        <v>6204</v>
      </c>
      <c r="H2427" t="s">
        <v>204</v>
      </c>
      <c r="I2427">
        <v>1</v>
      </c>
      <c r="J2427">
        <v>5</v>
      </c>
      <c r="K2427" s="33">
        <v>2</v>
      </c>
      <c r="L2427">
        <v>999</v>
      </c>
      <c r="M2427">
        <v>0</v>
      </c>
      <c r="N2427" s="238">
        <v>1018</v>
      </c>
      <c r="O2427" s="231" t="s">
        <v>6205</v>
      </c>
      <c r="S2427" s="254">
        <v>1</v>
      </c>
      <c r="T2427" s="238">
        <v>5</v>
      </c>
      <c r="U2427" s="238">
        <v>1</v>
      </c>
      <c r="V2427" s="254">
        <v>1</v>
      </c>
      <c r="W2427" s="238">
        <v>1</v>
      </c>
      <c r="X2427" s="238">
        <v>1</v>
      </c>
      <c r="Y2427">
        <v>0</v>
      </c>
      <c r="Z2427" s="33">
        <v>0</v>
      </c>
      <c r="AA2427">
        <v>5</v>
      </c>
      <c r="AB2427">
        <v>100</v>
      </c>
      <c r="AC2427" s="238">
        <v>70</v>
      </c>
      <c r="AD2427" s="62">
        <v>0</v>
      </c>
      <c r="AE2427" s="255">
        <v>5</v>
      </c>
      <c r="AF2427" s="255">
        <v>2</v>
      </c>
      <c r="AS2427">
        <v>1</v>
      </c>
    </row>
    <row r="2428" spans="1:45">
      <c r="A2428">
        <v>511512</v>
      </c>
      <c r="B2428" s="425">
        <v>1001</v>
      </c>
      <c r="C2428" s="8">
        <v>6</v>
      </c>
      <c r="D2428" s="8">
        <v>1001</v>
      </c>
      <c r="E2428" t="s">
        <v>6206</v>
      </c>
      <c r="F2428" t="s">
        <v>6206</v>
      </c>
      <c r="G2428" t="s">
        <v>6116</v>
      </c>
      <c r="H2428" t="s">
        <v>1812</v>
      </c>
      <c r="I2428">
        <v>1</v>
      </c>
      <c r="J2428">
        <v>4</v>
      </c>
      <c r="K2428" s="33">
        <v>2</v>
      </c>
      <c r="L2428">
        <v>999</v>
      </c>
      <c r="M2428">
        <v>0</v>
      </c>
      <c r="N2428" s="8">
        <v>1017</v>
      </c>
      <c r="O2428" s="2">
        <v>15128</v>
      </c>
      <c r="S2428" s="89">
        <v>1</v>
      </c>
      <c r="T2428" s="8">
        <v>5</v>
      </c>
      <c r="U2428" s="89">
        <v>1</v>
      </c>
      <c r="V2428" s="87">
        <v>1</v>
      </c>
      <c r="W2428" s="8">
        <v>1</v>
      </c>
      <c r="X2428" s="8">
        <v>1</v>
      </c>
      <c r="Y2428">
        <v>0</v>
      </c>
      <c r="Z2428" s="33">
        <v>0</v>
      </c>
      <c r="AA2428">
        <v>5</v>
      </c>
      <c r="AB2428">
        <v>100</v>
      </c>
      <c r="AC2428" s="87">
        <v>0</v>
      </c>
      <c r="AD2428" s="62">
        <v>0</v>
      </c>
      <c r="AE2428" s="90">
        <v>4</v>
      </c>
      <c r="AF2428" s="90">
        <v>2</v>
      </c>
      <c r="AS2428">
        <v>1</v>
      </c>
    </row>
    <row r="2429" spans="1:45">
      <c r="A2429">
        <v>511513</v>
      </c>
      <c r="B2429" s="425">
        <v>1001</v>
      </c>
      <c r="C2429" s="8">
        <v>6</v>
      </c>
      <c r="D2429" s="8">
        <v>1001</v>
      </c>
      <c r="E2429" t="s">
        <v>6207</v>
      </c>
      <c r="F2429" t="s">
        <v>6207</v>
      </c>
      <c r="G2429" t="s">
        <v>6116</v>
      </c>
      <c r="H2429" t="s">
        <v>5477</v>
      </c>
      <c r="I2429">
        <v>1</v>
      </c>
      <c r="J2429">
        <v>4</v>
      </c>
      <c r="K2429" s="254">
        <v>2</v>
      </c>
      <c r="L2429" s="238">
        <v>999</v>
      </c>
      <c r="M2429" s="238">
        <v>0</v>
      </c>
      <c r="N2429" s="8">
        <v>1017</v>
      </c>
      <c r="O2429" s="2">
        <v>15129</v>
      </c>
      <c r="S2429" s="89">
        <v>1</v>
      </c>
      <c r="T2429" s="8">
        <v>5</v>
      </c>
      <c r="U2429" s="89">
        <v>1</v>
      </c>
      <c r="V2429" s="87">
        <v>1</v>
      </c>
      <c r="W2429" s="236">
        <v>1</v>
      </c>
      <c r="X2429" s="8">
        <v>1</v>
      </c>
      <c r="Y2429">
        <v>0</v>
      </c>
      <c r="Z2429" s="33">
        <v>0</v>
      </c>
      <c r="AA2429">
        <v>5</v>
      </c>
      <c r="AB2429">
        <v>100</v>
      </c>
      <c r="AC2429" s="87">
        <v>0</v>
      </c>
      <c r="AD2429" s="62">
        <v>0</v>
      </c>
      <c r="AE2429" s="90">
        <v>4</v>
      </c>
      <c r="AF2429" s="90">
        <v>2</v>
      </c>
      <c r="AG2429" s="91"/>
      <c r="AH2429" s="91"/>
      <c r="AI2429" s="91"/>
      <c r="AJ2429" s="91"/>
      <c r="AK2429" s="91"/>
      <c r="AL2429" s="92"/>
      <c r="AM2429" s="92"/>
      <c r="AN2429" s="93"/>
      <c r="AO2429" s="92"/>
      <c r="AS2429">
        <v>1</v>
      </c>
    </row>
    <row r="2430" spans="1:45">
      <c r="A2430">
        <v>511514</v>
      </c>
      <c r="B2430" s="236">
        <v>1001</v>
      </c>
      <c r="C2430" s="236">
        <v>1</v>
      </c>
      <c r="D2430" s="236">
        <v>1001</v>
      </c>
      <c r="E2430" t="s">
        <v>6208</v>
      </c>
      <c r="F2430" t="s">
        <v>6208</v>
      </c>
      <c r="G2430" t="s">
        <v>6209</v>
      </c>
      <c r="H2430" t="s">
        <v>1766</v>
      </c>
      <c r="I2430">
        <v>1</v>
      </c>
      <c r="J2430">
        <v>4</v>
      </c>
      <c r="K2430" s="248">
        <v>1</v>
      </c>
      <c r="L2430" s="277">
        <v>999</v>
      </c>
      <c r="M2430" s="236">
        <v>0</v>
      </c>
      <c r="N2430" s="236"/>
      <c r="O2430" s="231"/>
      <c r="S2430" s="336">
        <v>1</v>
      </c>
      <c r="T2430" s="236">
        <v>5</v>
      </c>
      <c r="U2430" s="336">
        <v>1</v>
      </c>
      <c r="V2430" s="248">
        <v>1</v>
      </c>
      <c r="W2430">
        <v>1</v>
      </c>
      <c r="X2430" s="236">
        <v>1</v>
      </c>
      <c r="Y2430">
        <v>0</v>
      </c>
      <c r="Z2430" s="33">
        <v>0</v>
      </c>
      <c r="AA2430">
        <v>5</v>
      </c>
      <c r="AB2430" s="34">
        <v>400</v>
      </c>
      <c r="AC2430" s="248">
        <v>110</v>
      </c>
      <c r="AE2430" s="250"/>
      <c r="AF2430" s="250"/>
      <c r="AG2430" s="251"/>
      <c r="AH2430" s="251"/>
      <c r="AI2430" s="251"/>
      <c r="AJ2430" s="251"/>
      <c r="AK2430" s="251"/>
      <c r="AL2430" s="252">
        <v>1</v>
      </c>
      <c r="AM2430" s="252"/>
      <c r="AN2430" s="338"/>
      <c r="AO2430" s="252"/>
      <c r="AS2430">
        <v>1</v>
      </c>
    </row>
    <row r="2431" spans="1:45">
      <c r="A2431">
        <v>511515</v>
      </c>
      <c r="B2431" s="238">
        <v>1001</v>
      </c>
      <c r="C2431" s="238">
        <v>6</v>
      </c>
      <c r="D2431" s="238">
        <v>1001</v>
      </c>
      <c r="E2431" t="s">
        <v>6210</v>
      </c>
      <c r="F2431" t="s">
        <v>6210</v>
      </c>
      <c r="G2431" s="3" t="s">
        <v>6211</v>
      </c>
      <c r="H2431" t="s">
        <v>204</v>
      </c>
      <c r="I2431">
        <v>1</v>
      </c>
      <c r="J2431">
        <v>5</v>
      </c>
      <c r="K2431" s="33">
        <v>2</v>
      </c>
      <c r="L2431">
        <v>999</v>
      </c>
      <c r="M2431">
        <v>0</v>
      </c>
      <c r="N2431">
        <v>1018</v>
      </c>
      <c r="O2431" s="231" t="s">
        <v>6212</v>
      </c>
      <c r="S2431" s="33">
        <v>1</v>
      </c>
      <c r="T2431">
        <v>5</v>
      </c>
      <c r="U2431">
        <v>1</v>
      </c>
      <c r="V2431" s="33">
        <v>1</v>
      </c>
      <c r="W2431">
        <v>1</v>
      </c>
      <c r="X2431" s="238">
        <v>1</v>
      </c>
      <c r="Y2431">
        <v>0</v>
      </c>
      <c r="Z2431" s="33">
        <v>0</v>
      </c>
      <c r="AA2431">
        <v>5</v>
      </c>
      <c r="AB2431">
        <v>100</v>
      </c>
      <c r="AC2431">
        <v>70</v>
      </c>
      <c r="AD2431" s="62">
        <v>0</v>
      </c>
      <c r="AE2431" s="62">
        <v>5</v>
      </c>
      <c r="AF2431" s="62">
        <v>2</v>
      </c>
      <c r="AS2431">
        <v>1</v>
      </c>
    </row>
    <row r="2432" spans="1:45">
      <c r="A2432">
        <v>511516</v>
      </c>
      <c r="B2432" s="236">
        <v>1001</v>
      </c>
      <c r="C2432" s="236">
        <v>6</v>
      </c>
      <c r="D2432" s="236">
        <v>1001</v>
      </c>
      <c r="E2432" s="238" t="s">
        <v>1802</v>
      </c>
      <c r="F2432" s="238" t="s">
        <v>1802</v>
      </c>
      <c r="G2432" t="s">
        <v>5725</v>
      </c>
      <c r="H2432" t="s">
        <v>1804</v>
      </c>
      <c r="I2432">
        <v>1</v>
      </c>
      <c r="J2432">
        <v>4</v>
      </c>
      <c r="K2432" s="33">
        <v>2</v>
      </c>
      <c r="L2432" s="238">
        <v>999</v>
      </c>
      <c r="M2432" s="238">
        <v>0</v>
      </c>
      <c r="N2432">
        <v>1017</v>
      </c>
      <c r="O2432" s="249">
        <v>15130</v>
      </c>
      <c r="S2432" s="254">
        <v>1</v>
      </c>
      <c r="T2432" s="238">
        <v>5</v>
      </c>
      <c r="U2432" s="238">
        <v>1</v>
      </c>
      <c r="V2432" s="254">
        <v>1</v>
      </c>
      <c r="W2432">
        <v>1</v>
      </c>
      <c r="X2432" s="8">
        <v>1</v>
      </c>
      <c r="Y2432" s="238">
        <v>0</v>
      </c>
      <c r="Z2432" s="33">
        <v>0</v>
      </c>
      <c r="AA2432">
        <v>5</v>
      </c>
      <c r="AB2432">
        <v>100</v>
      </c>
      <c r="AC2432" s="238">
        <v>56</v>
      </c>
      <c r="AD2432" s="62">
        <v>0</v>
      </c>
      <c r="AE2432" s="62">
        <v>4</v>
      </c>
      <c r="AF2432" s="62">
        <v>2</v>
      </c>
      <c r="AN2432" s="93"/>
      <c r="AO2432" s="92"/>
      <c r="AS2432">
        <v>1</v>
      </c>
    </row>
    <row r="2433" spans="1:45">
      <c r="A2433">
        <v>511517</v>
      </c>
      <c r="B2433">
        <v>1001</v>
      </c>
      <c r="C2433">
        <v>6</v>
      </c>
      <c r="D2433">
        <v>1001</v>
      </c>
      <c r="E2433" s="13" t="s">
        <v>6213</v>
      </c>
      <c r="F2433" s="13" t="s">
        <v>6213</v>
      </c>
      <c r="G2433" t="s">
        <v>6214</v>
      </c>
      <c r="H2433" t="s">
        <v>1787</v>
      </c>
      <c r="I2433">
        <v>1</v>
      </c>
      <c r="J2433">
        <v>4</v>
      </c>
      <c r="K2433" s="33">
        <v>2</v>
      </c>
      <c r="L2433" s="8">
        <v>999</v>
      </c>
      <c r="M2433" s="8">
        <v>0</v>
      </c>
      <c r="N2433">
        <v>1017</v>
      </c>
      <c r="O2433" s="2">
        <v>15131</v>
      </c>
      <c r="S2433" s="89">
        <v>1</v>
      </c>
      <c r="T2433" s="8">
        <v>5</v>
      </c>
      <c r="U2433" s="89">
        <v>1</v>
      </c>
      <c r="V2433" s="87">
        <v>1</v>
      </c>
      <c r="W2433">
        <v>1</v>
      </c>
      <c r="X2433" s="8">
        <v>1</v>
      </c>
      <c r="Y2433" s="8">
        <v>0</v>
      </c>
      <c r="Z2433" s="33">
        <v>0</v>
      </c>
      <c r="AA2433">
        <v>5</v>
      </c>
      <c r="AB2433" s="34">
        <v>100</v>
      </c>
      <c r="AC2433" s="87">
        <v>900</v>
      </c>
      <c r="AD2433" s="62">
        <v>0</v>
      </c>
      <c r="AE2433" s="62">
        <v>4</v>
      </c>
      <c r="AF2433" s="62">
        <v>2</v>
      </c>
      <c r="AN2433" s="93"/>
      <c r="AO2433" s="92"/>
      <c r="AS2433">
        <v>1</v>
      </c>
    </row>
    <row r="2434" spans="1:45">
      <c r="A2434">
        <v>511518</v>
      </c>
      <c r="B2434">
        <v>1001</v>
      </c>
      <c r="C2434">
        <v>6</v>
      </c>
      <c r="D2434">
        <v>1001</v>
      </c>
      <c r="E2434" s="253" t="s">
        <v>6215</v>
      </c>
      <c r="F2434" s="253" t="s">
        <v>6215</v>
      </c>
      <c r="G2434" t="s">
        <v>6216</v>
      </c>
      <c r="H2434" t="s">
        <v>1791</v>
      </c>
      <c r="I2434">
        <v>1</v>
      </c>
      <c r="J2434">
        <v>3</v>
      </c>
      <c r="K2434" s="33">
        <v>2</v>
      </c>
      <c r="L2434" s="236">
        <v>999</v>
      </c>
      <c r="M2434" s="236">
        <v>0</v>
      </c>
      <c r="N2434">
        <v>1017</v>
      </c>
      <c r="O2434" s="2">
        <v>15132</v>
      </c>
      <c r="S2434" s="336">
        <v>1</v>
      </c>
      <c r="T2434" s="236">
        <v>5</v>
      </c>
      <c r="U2434" s="336">
        <v>1</v>
      </c>
      <c r="V2434" s="248">
        <v>1</v>
      </c>
      <c r="W2434">
        <v>1</v>
      </c>
      <c r="X2434" s="236">
        <v>1</v>
      </c>
      <c r="Y2434" s="236">
        <v>0</v>
      </c>
      <c r="Z2434" s="33">
        <v>0</v>
      </c>
      <c r="AA2434">
        <v>5</v>
      </c>
      <c r="AB2434" s="34">
        <v>100</v>
      </c>
      <c r="AC2434" s="248">
        <v>900</v>
      </c>
      <c r="AD2434" s="62">
        <v>0</v>
      </c>
      <c r="AE2434" s="62">
        <v>4</v>
      </c>
      <c r="AF2434" s="62">
        <v>2</v>
      </c>
      <c r="AN2434" s="338"/>
      <c r="AO2434" s="252"/>
      <c r="AS2434">
        <v>1</v>
      </c>
    </row>
    <row r="2435" spans="1:45">
      <c r="A2435">
        <v>511519</v>
      </c>
      <c r="B2435" s="238">
        <v>1001</v>
      </c>
      <c r="C2435" s="238">
        <v>6</v>
      </c>
      <c r="D2435" s="238">
        <v>1001</v>
      </c>
      <c r="E2435" t="s">
        <v>6186</v>
      </c>
      <c r="F2435" t="s">
        <v>6186</v>
      </c>
      <c r="G2435" t="s">
        <v>6187</v>
      </c>
      <c r="H2435" t="s">
        <v>1818</v>
      </c>
      <c r="I2435">
        <v>1</v>
      </c>
      <c r="J2435">
        <v>5</v>
      </c>
      <c r="K2435" s="33">
        <v>2</v>
      </c>
      <c r="L2435">
        <v>999</v>
      </c>
      <c r="M2435">
        <v>0</v>
      </c>
      <c r="N2435">
        <v>1018</v>
      </c>
      <c r="O2435" s="2" t="s">
        <v>6217</v>
      </c>
      <c r="S2435" s="33">
        <v>1</v>
      </c>
      <c r="T2435">
        <v>5</v>
      </c>
      <c r="U2435">
        <v>1</v>
      </c>
      <c r="V2435" s="33">
        <v>1</v>
      </c>
      <c r="W2435">
        <v>1</v>
      </c>
      <c r="X2435" s="238">
        <v>1</v>
      </c>
      <c r="Y2435">
        <v>0</v>
      </c>
      <c r="Z2435" s="33">
        <v>0</v>
      </c>
      <c r="AA2435">
        <v>5</v>
      </c>
      <c r="AB2435">
        <v>100</v>
      </c>
      <c r="AC2435">
        <v>70</v>
      </c>
      <c r="AD2435" s="62">
        <v>0</v>
      </c>
      <c r="AE2435" s="62">
        <v>5</v>
      </c>
      <c r="AF2435" s="62">
        <v>2</v>
      </c>
      <c r="AS2435">
        <v>1</v>
      </c>
    </row>
    <row r="2436" spans="1:45">
      <c r="A2436">
        <v>511520</v>
      </c>
      <c r="B2436" s="236">
        <v>1001</v>
      </c>
      <c r="C2436" s="236">
        <v>6</v>
      </c>
      <c r="D2436" s="236">
        <v>1001</v>
      </c>
      <c r="E2436" t="s">
        <v>6218</v>
      </c>
      <c r="F2436" t="s">
        <v>6218</v>
      </c>
      <c r="G2436" t="s">
        <v>6219</v>
      </c>
      <c r="H2436" t="s">
        <v>6220</v>
      </c>
      <c r="I2436">
        <v>1</v>
      </c>
      <c r="J2436">
        <v>4</v>
      </c>
      <c r="K2436" s="33">
        <v>2</v>
      </c>
      <c r="L2436">
        <v>999</v>
      </c>
      <c r="M2436">
        <v>0</v>
      </c>
      <c r="N2436">
        <v>1017</v>
      </c>
      <c r="O2436" s="249">
        <v>15133</v>
      </c>
      <c r="S2436" s="33">
        <v>1</v>
      </c>
      <c r="T2436">
        <v>5</v>
      </c>
      <c r="U2436">
        <v>1</v>
      </c>
      <c r="V2436" s="33">
        <v>1</v>
      </c>
      <c r="W2436">
        <v>1</v>
      </c>
      <c r="X2436" s="236">
        <v>1</v>
      </c>
      <c r="Y2436">
        <v>0</v>
      </c>
      <c r="Z2436" s="33">
        <v>0</v>
      </c>
      <c r="AA2436">
        <v>5</v>
      </c>
      <c r="AB2436">
        <v>100</v>
      </c>
      <c r="AC2436">
        <v>56</v>
      </c>
      <c r="AD2436" s="62">
        <v>0</v>
      </c>
      <c r="AE2436" s="62">
        <v>4</v>
      </c>
      <c r="AF2436" s="62">
        <v>2</v>
      </c>
      <c r="AS2436">
        <v>1</v>
      </c>
    </row>
    <row r="2437" spans="1:45">
      <c r="A2437">
        <v>521001</v>
      </c>
      <c r="B2437">
        <v>1001</v>
      </c>
      <c r="C2437">
        <v>21</v>
      </c>
      <c r="D2437">
        <v>1001</v>
      </c>
      <c r="E2437" t="s">
        <v>6221</v>
      </c>
      <c r="F2437" t="s">
        <v>6221</v>
      </c>
      <c r="G2437" t="s">
        <v>6222</v>
      </c>
      <c r="H2437" t="s">
        <v>6223</v>
      </c>
      <c r="I2437">
        <v>1</v>
      </c>
      <c r="J2437">
        <v>4</v>
      </c>
      <c r="K2437" s="33">
        <v>1</v>
      </c>
      <c r="L2437">
        <v>999</v>
      </c>
      <c r="M2437">
        <v>0</v>
      </c>
      <c r="O2437" s="271" t="s">
        <v>6224</v>
      </c>
      <c r="S2437" s="33">
        <v>1</v>
      </c>
      <c r="T2437">
        <v>5</v>
      </c>
      <c r="U2437">
        <v>1</v>
      </c>
      <c r="V2437" s="33">
        <v>1</v>
      </c>
      <c r="W2437">
        <v>1</v>
      </c>
      <c r="X2437">
        <v>1</v>
      </c>
      <c r="Y2437">
        <v>0</v>
      </c>
      <c r="Z2437" s="33">
        <v>0</v>
      </c>
      <c r="AA2437">
        <v>5</v>
      </c>
      <c r="AB2437">
        <v>100</v>
      </c>
      <c r="AC2437">
        <v>70</v>
      </c>
      <c r="AS2437">
        <v>1</v>
      </c>
    </row>
    <row r="2438" spans="1:45">
      <c r="A2438">
        <v>521002</v>
      </c>
      <c r="B2438">
        <v>1001</v>
      </c>
      <c r="C2438">
        <v>21</v>
      </c>
      <c r="D2438">
        <v>1001</v>
      </c>
      <c r="E2438" t="s">
        <v>6225</v>
      </c>
      <c r="F2438" t="s">
        <v>6225</v>
      </c>
      <c r="G2438" t="s">
        <v>6226</v>
      </c>
      <c r="H2438" t="s">
        <v>6227</v>
      </c>
      <c r="I2438">
        <v>1</v>
      </c>
      <c r="J2438">
        <v>4</v>
      </c>
      <c r="K2438" s="33">
        <v>1</v>
      </c>
      <c r="L2438">
        <v>999</v>
      </c>
      <c r="M2438">
        <v>0</v>
      </c>
      <c r="O2438" s="271" t="s">
        <v>6228</v>
      </c>
      <c r="S2438" s="33">
        <v>1</v>
      </c>
      <c r="T2438">
        <v>5</v>
      </c>
      <c r="U2438">
        <v>1</v>
      </c>
      <c r="V2438" s="33">
        <v>1</v>
      </c>
      <c r="W2438">
        <v>1</v>
      </c>
      <c r="X2438">
        <v>1</v>
      </c>
      <c r="Y2438">
        <v>0</v>
      </c>
      <c r="Z2438" s="33">
        <v>0</v>
      </c>
      <c r="AA2438">
        <v>5</v>
      </c>
      <c r="AB2438">
        <v>100</v>
      </c>
      <c r="AC2438">
        <v>70</v>
      </c>
      <c r="AS2438">
        <v>1</v>
      </c>
    </row>
    <row r="2439" spans="1:45">
      <c r="A2439">
        <v>521003</v>
      </c>
      <c r="B2439">
        <v>1001</v>
      </c>
      <c r="C2439">
        <v>21</v>
      </c>
      <c r="D2439">
        <v>1001</v>
      </c>
      <c r="E2439" t="s">
        <v>6229</v>
      </c>
      <c r="F2439" t="s">
        <v>6229</v>
      </c>
      <c r="G2439" t="s">
        <v>6230</v>
      </c>
      <c r="H2439" t="s">
        <v>6231</v>
      </c>
      <c r="I2439">
        <v>1</v>
      </c>
      <c r="J2439">
        <v>5</v>
      </c>
      <c r="K2439" s="33">
        <v>1</v>
      </c>
      <c r="L2439">
        <v>999</v>
      </c>
      <c r="M2439">
        <v>0</v>
      </c>
      <c r="O2439" s="271" t="s">
        <v>6232</v>
      </c>
      <c r="S2439" s="33">
        <v>1</v>
      </c>
      <c r="T2439">
        <v>5</v>
      </c>
      <c r="U2439">
        <v>1</v>
      </c>
      <c r="V2439" s="33">
        <v>1</v>
      </c>
      <c r="W2439">
        <v>1</v>
      </c>
      <c r="X2439">
        <v>1</v>
      </c>
      <c r="Y2439">
        <v>0</v>
      </c>
      <c r="Z2439" s="33">
        <v>0</v>
      </c>
      <c r="AA2439">
        <v>5</v>
      </c>
      <c r="AB2439">
        <v>100</v>
      </c>
      <c r="AC2439">
        <v>70</v>
      </c>
      <c r="AS2439">
        <v>1</v>
      </c>
    </row>
    <row r="2440" spans="1:45">
      <c r="A2440">
        <v>521004</v>
      </c>
      <c r="B2440" s="238">
        <v>1001</v>
      </c>
      <c r="C2440" s="238">
        <v>0</v>
      </c>
      <c r="D2440" s="238">
        <v>1001</v>
      </c>
      <c r="E2440" t="s">
        <v>6233</v>
      </c>
      <c r="F2440" t="s">
        <v>6234</v>
      </c>
      <c r="G2440" t="s">
        <v>6234</v>
      </c>
      <c r="H2440" t="s">
        <v>5623</v>
      </c>
      <c r="I2440">
        <v>1</v>
      </c>
      <c r="J2440">
        <v>5</v>
      </c>
      <c r="K2440" s="33">
        <v>1</v>
      </c>
      <c r="L2440">
        <v>999</v>
      </c>
      <c r="M2440"/>
      <c r="N2440" s="8"/>
      <c r="O2440" s="271" t="s">
        <v>6235</v>
      </c>
      <c r="S2440" s="254">
        <v>1</v>
      </c>
      <c r="T2440" s="238">
        <v>5</v>
      </c>
      <c r="U2440" s="238">
        <v>1</v>
      </c>
      <c r="V2440" s="254">
        <v>1</v>
      </c>
      <c r="W2440" s="238">
        <v>1</v>
      </c>
      <c r="X2440" s="238">
        <v>1</v>
      </c>
      <c r="Y2440">
        <v>0</v>
      </c>
      <c r="Z2440" s="33">
        <v>0</v>
      </c>
      <c r="AA2440">
        <v>5</v>
      </c>
      <c r="AB2440">
        <v>100</v>
      </c>
      <c r="AC2440" s="238">
        <v>70</v>
      </c>
      <c r="AE2440" s="90"/>
      <c r="AF2440" s="90"/>
      <c r="AG2440" s="91"/>
      <c r="AH2440" s="91"/>
      <c r="AI2440" s="91"/>
      <c r="AJ2440" s="91"/>
      <c r="AK2440" s="91"/>
      <c r="AL2440" s="92"/>
      <c r="AM2440" s="92"/>
      <c r="AN2440" s="93"/>
      <c r="AO2440" s="92"/>
      <c r="AS2440">
        <v>1</v>
      </c>
    </row>
    <row r="2441" spans="1:45">
      <c r="A2441">
        <v>511521</v>
      </c>
      <c r="B2441" s="425">
        <v>1001</v>
      </c>
      <c r="C2441" s="236">
        <v>6</v>
      </c>
      <c r="D2441" s="8">
        <v>1001</v>
      </c>
      <c r="E2441" t="s">
        <v>6236</v>
      </c>
      <c r="F2441" t="s">
        <v>6236</v>
      </c>
      <c r="G2441" t="s">
        <v>6116</v>
      </c>
      <c r="H2441" t="s">
        <v>5740</v>
      </c>
      <c r="I2441">
        <v>1</v>
      </c>
      <c r="J2441">
        <v>4</v>
      </c>
      <c r="K2441" s="33">
        <v>2</v>
      </c>
      <c r="L2441">
        <v>999</v>
      </c>
      <c r="M2441">
        <v>0</v>
      </c>
      <c r="N2441" s="236">
        <v>1017</v>
      </c>
      <c r="O2441" s="2" t="s">
        <v>6118</v>
      </c>
      <c r="R2441" s="8"/>
      <c r="S2441" s="336">
        <v>1</v>
      </c>
      <c r="T2441" s="236">
        <v>5</v>
      </c>
      <c r="U2441" s="336">
        <v>1</v>
      </c>
      <c r="V2441" s="248">
        <v>1</v>
      </c>
      <c r="W2441" s="236">
        <v>1</v>
      </c>
      <c r="X2441" s="8">
        <v>1</v>
      </c>
      <c r="Y2441">
        <v>0</v>
      </c>
      <c r="Z2441" s="33">
        <v>0</v>
      </c>
      <c r="AA2441">
        <v>5</v>
      </c>
      <c r="AB2441">
        <v>100</v>
      </c>
      <c r="AC2441" s="248">
        <v>0</v>
      </c>
      <c r="AD2441" s="62">
        <v>0</v>
      </c>
      <c r="AE2441" s="250">
        <v>4</v>
      </c>
      <c r="AF2441" s="250">
        <v>2</v>
      </c>
      <c r="AG2441" s="251"/>
      <c r="AH2441" s="251"/>
      <c r="AI2441" s="251"/>
      <c r="AJ2441" s="251"/>
      <c r="AK2441" s="251"/>
      <c r="AL2441" s="252"/>
      <c r="AM2441" s="252"/>
      <c r="AN2441" s="338"/>
      <c r="AO2441" s="252"/>
      <c r="AS2441">
        <v>1</v>
      </c>
    </row>
    <row r="2442" spans="1:45">
      <c r="A2442">
        <v>511522</v>
      </c>
      <c r="B2442" s="8">
        <v>1001</v>
      </c>
      <c r="C2442">
        <v>6</v>
      </c>
      <c r="D2442" s="8">
        <v>1001</v>
      </c>
      <c r="E2442" t="s">
        <v>5499</v>
      </c>
      <c r="F2442" t="s">
        <v>5499</v>
      </c>
      <c r="G2442" t="s">
        <v>5592</v>
      </c>
      <c r="H2442" t="s">
        <v>5501</v>
      </c>
      <c r="I2442">
        <v>1</v>
      </c>
      <c r="J2442">
        <v>5</v>
      </c>
      <c r="K2442" s="33">
        <v>2</v>
      </c>
      <c r="L2442">
        <v>999</v>
      </c>
      <c r="M2442">
        <v>0</v>
      </c>
      <c r="N2442">
        <v>1017</v>
      </c>
      <c r="O2442" s="249">
        <v>50152</v>
      </c>
      <c r="R2442" s="8"/>
      <c r="S2442" s="33">
        <v>1</v>
      </c>
      <c r="T2442">
        <v>5</v>
      </c>
      <c r="U2442">
        <v>1</v>
      </c>
      <c r="V2442" s="33">
        <v>1</v>
      </c>
      <c r="W2442">
        <v>1</v>
      </c>
      <c r="X2442" s="8">
        <v>1</v>
      </c>
      <c r="Y2442">
        <v>0</v>
      </c>
      <c r="Z2442" s="33">
        <v>0</v>
      </c>
      <c r="AA2442">
        <v>5</v>
      </c>
      <c r="AB2442">
        <v>100</v>
      </c>
      <c r="AC2442">
        <v>70</v>
      </c>
      <c r="AD2442" s="62">
        <v>0</v>
      </c>
      <c r="AE2442" s="62">
        <v>4</v>
      </c>
      <c r="AF2442" s="62">
        <v>2</v>
      </c>
      <c r="AS2442">
        <v>1</v>
      </c>
    </row>
    <row r="2443" spans="1:45">
      <c r="A2443">
        <v>511523</v>
      </c>
      <c r="B2443" s="8">
        <v>1001</v>
      </c>
      <c r="C2443">
        <v>6</v>
      </c>
      <c r="D2443" s="8">
        <v>1001</v>
      </c>
      <c r="E2443" t="s">
        <v>6237</v>
      </c>
      <c r="F2443" t="s">
        <v>6238</v>
      </c>
      <c r="G2443" t="s">
        <v>5592</v>
      </c>
      <c r="H2443" t="s">
        <v>6239</v>
      </c>
      <c r="I2443">
        <v>1</v>
      </c>
      <c r="J2443">
        <v>5</v>
      </c>
      <c r="K2443" s="33">
        <v>2</v>
      </c>
      <c r="L2443">
        <v>999</v>
      </c>
      <c r="M2443">
        <v>0</v>
      </c>
      <c r="N2443">
        <v>1017</v>
      </c>
      <c r="O2443" s="249">
        <v>50153</v>
      </c>
      <c r="R2443" s="236"/>
      <c r="S2443" s="33">
        <v>1</v>
      </c>
      <c r="T2443">
        <v>5</v>
      </c>
      <c r="U2443">
        <v>1</v>
      </c>
      <c r="V2443" s="33">
        <v>1</v>
      </c>
      <c r="W2443">
        <v>1</v>
      </c>
      <c r="X2443" s="236">
        <v>1</v>
      </c>
      <c r="Y2443">
        <v>0</v>
      </c>
      <c r="Z2443" s="33">
        <v>0</v>
      </c>
      <c r="AA2443">
        <v>5</v>
      </c>
      <c r="AB2443">
        <v>100</v>
      </c>
      <c r="AC2443">
        <v>70</v>
      </c>
      <c r="AD2443" s="62">
        <v>0</v>
      </c>
      <c r="AE2443" s="62">
        <v>4</v>
      </c>
      <c r="AF2443" s="62">
        <v>2</v>
      </c>
      <c r="AS2443">
        <v>1</v>
      </c>
    </row>
    <row r="2444" spans="1:45">
      <c r="A2444">
        <v>511524</v>
      </c>
      <c r="B2444" s="236">
        <v>1001</v>
      </c>
      <c r="C2444">
        <v>6</v>
      </c>
      <c r="D2444" s="236">
        <v>1001</v>
      </c>
      <c r="E2444" t="s">
        <v>6240</v>
      </c>
      <c r="F2444" t="s">
        <v>6240</v>
      </c>
      <c r="G2444" t="s">
        <v>6241</v>
      </c>
      <c r="H2444" t="s">
        <v>1531</v>
      </c>
      <c r="I2444">
        <v>1</v>
      </c>
      <c r="J2444">
        <v>5</v>
      </c>
      <c r="K2444" s="33">
        <v>2</v>
      </c>
      <c r="L2444" s="238">
        <v>999</v>
      </c>
      <c r="M2444" s="238">
        <v>0</v>
      </c>
      <c r="N2444">
        <v>1035</v>
      </c>
      <c r="O2444" s="2">
        <v>56</v>
      </c>
      <c r="S2444" s="254">
        <v>0</v>
      </c>
      <c r="T2444" s="238">
        <v>5</v>
      </c>
      <c r="U2444" s="238">
        <v>1</v>
      </c>
      <c r="V2444" s="254">
        <v>1</v>
      </c>
      <c r="W2444">
        <v>1</v>
      </c>
      <c r="X2444" s="238">
        <v>1</v>
      </c>
      <c r="Y2444" s="238">
        <v>0</v>
      </c>
      <c r="Z2444" s="33">
        <v>0</v>
      </c>
      <c r="AA2444">
        <v>5</v>
      </c>
      <c r="AB2444">
        <v>100</v>
      </c>
      <c r="AC2444" s="238">
        <v>70</v>
      </c>
      <c r="AD2444" s="62">
        <v>0</v>
      </c>
      <c r="AE2444" s="62">
        <v>1</v>
      </c>
      <c r="AF2444" s="62">
        <v>1</v>
      </c>
      <c r="AM2444" s="4"/>
      <c r="AN2444" s="93"/>
      <c r="AO2444" s="92"/>
      <c r="AS2444">
        <v>1</v>
      </c>
    </row>
    <row r="2445" spans="1:45">
      <c r="A2445">
        <v>511525</v>
      </c>
      <c r="B2445">
        <v>1001</v>
      </c>
      <c r="C2445">
        <v>1</v>
      </c>
      <c r="D2445">
        <v>1001</v>
      </c>
      <c r="E2445" t="s">
        <v>6242</v>
      </c>
      <c r="F2445" t="s">
        <v>6242</v>
      </c>
      <c r="G2445" t="s">
        <v>6243</v>
      </c>
      <c r="H2445" t="s">
        <v>6244</v>
      </c>
      <c r="I2445">
        <v>1</v>
      </c>
      <c r="J2445">
        <v>5</v>
      </c>
      <c r="K2445" s="33">
        <v>1</v>
      </c>
      <c r="L2445" s="8">
        <v>999</v>
      </c>
      <c r="M2445" s="8">
        <v>0</v>
      </c>
      <c r="S2445" s="89">
        <v>1</v>
      </c>
      <c r="T2445" s="8">
        <v>5</v>
      </c>
      <c r="U2445" s="89">
        <v>100</v>
      </c>
      <c r="V2445" s="87">
        <v>1</v>
      </c>
      <c r="W2445">
        <v>1</v>
      </c>
      <c r="X2445" s="8">
        <v>1</v>
      </c>
      <c r="Y2445" s="8">
        <v>0</v>
      </c>
      <c r="Z2445" s="33">
        <v>0</v>
      </c>
      <c r="AA2445">
        <v>5</v>
      </c>
      <c r="AB2445" s="34">
        <v>2000</v>
      </c>
      <c r="AC2445" s="87">
        <v>70</v>
      </c>
      <c r="AD2445" s="62">
        <v>0</v>
      </c>
      <c r="AI2445" s="63" t="s">
        <v>6245</v>
      </c>
      <c r="AM2445" s="4"/>
      <c r="AN2445" s="93"/>
      <c r="AO2445" s="92"/>
      <c r="AS2445">
        <v>1</v>
      </c>
    </row>
    <row r="2446" spans="1:45">
      <c r="A2446">
        <v>511526</v>
      </c>
      <c r="B2446" s="238">
        <v>1001</v>
      </c>
      <c r="C2446" s="238">
        <v>1</v>
      </c>
      <c r="D2446" s="238">
        <v>1001</v>
      </c>
      <c r="E2446" t="s">
        <v>6246</v>
      </c>
      <c r="F2446" t="s">
        <v>6246</v>
      </c>
      <c r="G2446" t="s">
        <v>6247</v>
      </c>
      <c r="H2446" t="s">
        <v>6248</v>
      </c>
      <c r="I2446">
        <v>1</v>
      </c>
      <c r="J2446">
        <v>5</v>
      </c>
      <c r="K2446" s="33">
        <v>1</v>
      </c>
      <c r="L2446" s="236">
        <v>999</v>
      </c>
      <c r="M2446" s="236">
        <v>0</v>
      </c>
      <c r="N2446"/>
      <c r="O2446" s="249"/>
      <c r="S2446" s="336">
        <v>1</v>
      </c>
      <c r="T2446" s="236">
        <v>5</v>
      </c>
      <c r="U2446" s="336">
        <v>100</v>
      </c>
      <c r="V2446" s="248">
        <v>1</v>
      </c>
      <c r="W2446">
        <v>1</v>
      </c>
      <c r="X2446" s="8">
        <v>1</v>
      </c>
      <c r="Y2446" s="236">
        <v>0</v>
      </c>
      <c r="Z2446" s="33">
        <v>0</v>
      </c>
      <c r="AA2446">
        <v>5</v>
      </c>
      <c r="AB2446" s="34">
        <v>2000</v>
      </c>
      <c r="AC2446" s="248">
        <v>70</v>
      </c>
      <c r="AD2446" s="62">
        <v>0</v>
      </c>
      <c r="AI2446" s="63" t="s">
        <v>6245</v>
      </c>
      <c r="AM2446" s="4"/>
      <c r="AN2446" s="338"/>
      <c r="AO2446" s="252"/>
      <c r="AS2446">
        <v>1</v>
      </c>
    </row>
    <row r="2447" spans="1:45">
      <c r="A2447">
        <v>511527</v>
      </c>
      <c r="B2447" s="236">
        <v>1001</v>
      </c>
      <c r="C2447" s="236">
        <v>6</v>
      </c>
      <c r="D2447" s="236">
        <v>1001</v>
      </c>
      <c r="E2447" t="s">
        <v>5510</v>
      </c>
      <c r="F2447" t="s">
        <v>5510</v>
      </c>
      <c r="G2447" t="s">
        <v>6116</v>
      </c>
      <c r="H2447" t="s">
        <v>6249</v>
      </c>
      <c r="I2447">
        <v>1</v>
      </c>
      <c r="J2447">
        <v>5</v>
      </c>
      <c r="K2447" s="33">
        <v>2</v>
      </c>
      <c r="L2447">
        <v>999</v>
      </c>
      <c r="M2447">
        <v>0</v>
      </c>
      <c r="N2447">
        <v>1017</v>
      </c>
      <c r="O2447" s="249">
        <v>50154</v>
      </c>
      <c r="S2447" s="33">
        <v>1</v>
      </c>
      <c r="T2447">
        <v>5</v>
      </c>
      <c r="U2447">
        <v>1</v>
      </c>
      <c r="V2447" s="33">
        <v>1</v>
      </c>
      <c r="W2447">
        <v>1</v>
      </c>
      <c r="X2447" s="236">
        <v>1</v>
      </c>
      <c r="Y2447">
        <v>0</v>
      </c>
      <c r="Z2447" s="33">
        <v>0</v>
      </c>
      <c r="AA2447">
        <v>5</v>
      </c>
      <c r="AB2447">
        <v>100</v>
      </c>
      <c r="AC2447">
        <v>70</v>
      </c>
      <c r="AD2447" s="62">
        <v>0</v>
      </c>
      <c r="AE2447" s="62">
        <v>4</v>
      </c>
      <c r="AF2447" s="62">
        <v>2</v>
      </c>
      <c r="AS2447">
        <v>1</v>
      </c>
    </row>
    <row r="2448" spans="1:45">
      <c r="A2448">
        <v>511528</v>
      </c>
      <c r="B2448">
        <v>1001</v>
      </c>
      <c r="C2448">
        <v>6</v>
      </c>
      <c r="D2448">
        <v>1001</v>
      </c>
      <c r="E2448" t="s">
        <v>6186</v>
      </c>
      <c r="F2448" t="s">
        <v>6186</v>
      </c>
      <c r="G2448" t="s">
        <v>6187</v>
      </c>
      <c r="H2448" t="s">
        <v>1818</v>
      </c>
      <c r="I2448">
        <v>1</v>
      </c>
      <c r="J2448">
        <v>5</v>
      </c>
      <c r="K2448" s="33">
        <v>2</v>
      </c>
      <c r="L2448">
        <v>999</v>
      </c>
      <c r="M2448">
        <v>0</v>
      </c>
      <c r="N2448">
        <v>1018</v>
      </c>
      <c r="O2448" s="2" t="s">
        <v>6250</v>
      </c>
      <c r="S2448" s="33">
        <v>1</v>
      </c>
      <c r="T2448">
        <v>5</v>
      </c>
      <c r="U2448">
        <v>1</v>
      </c>
      <c r="V2448" s="33">
        <v>1</v>
      </c>
      <c r="W2448">
        <v>1</v>
      </c>
      <c r="X2448">
        <v>1</v>
      </c>
      <c r="Y2448">
        <v>0</v>
      </c>
      <c r="Z2448" s="33">
        <v>0</v>
      </c>
      <c r="AA2448">
        <v>5</v>
      </c>
      <c r="AB2448">
        <v>100</v>
      </c>
      <c r="AC2448">
        <v>70</v>
      </c>
      <c r="AD2448" s="62">
        <v>0</v>
      </c>
      <c r="AE2448" s="62">
        <v>5</v>
      </c>
      <c r="AF2448" s="62">
        <v>2</v>
      </c>
      <c r="AS2448">
        <v>1</v>
      </c>
    </row>
    <row r="2449" ht="12.95" customHeight="1" spans="1:45">
      <c r="A2449">
        <v>511529</v>
      </c>
      <c r="B2449">
        <v>1001</v>
      </c>
      <c r="C2449">
        <v>6</v>
      </c>
      <c r="D2449">
        <v>1001</v>
      </c>
      <c r="E2449" t="s">
        <v>5550</v>
      </c>
      <c r="F2449" t="s">
        <v>5550</v>
      </c>
      <c r="G2449" t="s">
        <v>6251</v>
      </c>
      <c r="H2449" t="s">
        <v>1822</v>
      </c>
      <c r="I2449">
        <v>1</v>
      </c>
      <c r="J2449">
        <v>5</v>
      </c>
      <c r="K2449" s="33">
        <v>2</v>
      </c>
      <c r="L2449">
        <v>999</v>
      </c>
      <c r="M2449">
        <v>0</v>
      </c>
      <c r="N2449">
        <v>1018</v>
      </c>
      <c r="O2449" s="2" t="s">
        <v>6252</v>
      </c>
      <c r="S2449" s="33">
        <v>1</v>
      </c>
      <c r="T2449">
        <v>5</v>
      </c>
      <c r="U2449">
        <v>1</v>
      </c>
      <c r="V2449" s="33">
        <v>1</v>
      </c>
      <c r="W2449">
        <v>1</v>
      </c>
      <c r="X2449">
        <v>1</v>
      </c>
      <c r="Y2449">
        <v>0</v>
      </c>
      <c r="Z2449" s="33">
        <v>0</v>
      </c>
      <c r="AA2449">
        <v>5</v>
      </c>
      <c r="AB2449">
        <v>100</v>
      </c>
      <c r="AC2449">
        <v>70</v>
      </c>
      <c r="AD2449" s="62">
        <v>0</v>
      </c>
      <c r="AE2449" s="62">
        <v>5</v>
      </c>
      <c r="AF2449" s="62">
        <v>2</v>
      </c>
      <c r="AQ2449"/>
      <c r="AS2449">
        <v>1</v>
      </c>
    </row>
    <row r="2450" spans="1:45">
      <c r="A2450">
        <v>511530</v>
      </c>
      <c r="B2450" s="238">
        <v>1001</v>
      </c>
      <c r="C2450" s="238">
        <v>1</v>
      </c>
      <c r="D2450" s="238">
        <v>1001</v>
      </c>
      <c r="E2450" t="s">
        <v>6253</v>
      </c>
      <c r="F2450" t="s">
        <v>6253</v>
      </c>
      <c r="G2450" t="s">
        <v>6254</v>
      </c>
      <c r="H2450" t="s">
        <v>6255</v>
      </c>
      <c r="I2450">
        <v>1</v>
      </c>
      <c r="J2450">
        <v>5</v>
      </c>
      <c r="K2450" s="254">
        <v>1</v>
      </c>
      <c r="L2450" s="238">
        <v>999</v>
      </c>
      <c r="M2450" s="238">
        <v>0</v>
      </c>
      <c r="N2450" s="8"/>
      <c r="S2450" s="254">
        <v>0</v>
      </c>
      <c r="T2450" s="238">
        <v>5</v>
      </c>
      <c r="U2450" s="238">
        <v>200</v>
      </c>
      <c r="V2450" s="254">
        <v>1</v>
      </c>
      <c r="W2450">
        <v>1</v>
      </c>
      <c r="X2450" s="238">
        <v>1</v>
      </c>
      <c r="Y2450">
        <v>0</v>
      </c>
      <c r="Z2450" s="33">
        <v>0</v>
      </c>
      <c r="AA2450">
        <v>5</v>
      </c>
      <c r="AB2450">
        <v>7600</v>
      </c>
      <c r="AC2450" s="238">
        <v>830</v>
      </c>
      <c r="AD2450" s="62">
        <v>0</v>
      </c>
      <c r="AE2450" s="255">
        <v>0</v>
      </c>
      <c r="AF2450" s="255">
        <v>0</v>
      </c>
      <c r="AG2450" s="91"/>
      <c r="AH2450" s="423">
        <v>1</v>
      </c>
      <c r="AI2450" s="91"/>
      <c r="AJ2450" s="91"/>
      <c r="AK2450" s="91"/>
      <c r="AL2450" s="256">
        <v>1</v>
      </c>
      <c r="AM2450" s="92"/>
      <c r="AN2450" s="93"/>
      <c r="AO2450" s="92"/>
      <c r="AQ2450" t="s">
        <v>6253</v>
      </c>
      <c r="AS2450">
        <v>1</v>
      </c>
    </row>
    <row r="2451" spans="1:45">
      <c r="A2451">
        <v>511531</v>
      </c>
      <c r="B2451" s="8">
        <v>1001</v>
      </c>
      <c r="C2451" s="8">
        <v>1</v>
      </c>
      <c r="D2451" s="8">
        <v>1001</v>
      </c>
      <c r="E2451" s="36" t="s">
        <v>6256</v>
      </c>
      <c r="F2451" t="s">
        <v>6256</v>
      </c>
      <c r="G2451" t="s">
        <v>6257</v>
      </c>
      <c r="H2451" t="s">
        <v>6258</v>
      </c>
      <c r="I2451">
        <v>1</v>
      </c>
      <c r="J2451">
        <v>4</v>
      </c>
      <c r="K2451" s="248">
        <v>1</v>
      </c>
      <c r="L2451" s="277">
        <v>999</v>
      </c>
      <c r="M2451" s="236">
        <v>0</v>
      </c>
      <c r="N2451" s="236"/>
      <c r="O2451" s="249"/>
      <c r="S2451" s="336">
        <v>1</v>
      </c>
      <c r="T2451" s="236">
        <v>5</v>
      </c>
      <c r="U2451" s="336">
        <v>1</v>
      </c>
      <c r="V2451" s="248">
        <v>1</v>
      </c>
      <c r="W2451">
        <v>1</v>
      </c>
      <c r="X2451" s="8">
        <v>1</v>
      </c>
      <c r="Y2451">
        <v>0</v>
      </c>
      <c r="Z2451" s="33">
        <v>0</v>
      </c>
      <c r="AA2451">
        <v>5</v>
      </c>
      <c r="AB2451" s="34">
        <v>400</v>
      </c>
      <c r="AC2451" s="248">
        <v>830</v>
      </c>
      <c r="AE2451" s="250"/>
      <c r="AF2451" s="250"/>
      <c r="AG2451" s="251"/>
      <c r="AH2451" s="251"/>
      <c r="AI2451" s="251"/>
      <c r="AJ2451" s="251"/>
      <c r="AK2451" s="251"/>
      <c r="AL2451" s="252">
        <v>1</v>
      </c>
      <c r="AM2451" s="252"/>
      <c r="AN2451" s="338"/>
      <c r="AO2451" s="252"/>
      <c r="AS2451">
        <v>1</v>
      </c>
    </row>
    <row r="2452" spans="1:45">
      <c r="A2452">
        <v>511532</v>
      </c>
      <c r="B2452" s="8">
        <v>1001</v>
      </c>
      <c r="C2452" s="8">
        <v>6</v>
      </c>
      <c r="D2452" s="8">
        <v>1001</v>
      </c>
      <c r="E2452" t="s">
        <v>6259</v>
      </c>
      <c r="F2452" t="s">
        <v>6259</v>
      </c>
      <c r="G2452" t="s">
        <v>6260</v>
      </c>
      <c r="H2452" t="s">
        <v>5498</v>
      </c>
      <c r="I2452">
        <v>1</v>
      </c>
      <c r="J2452">
        <v>5</v>
      </c>
      <c r="K2452" s="33">
        <v>2</v>
      </c>
      <c r="L2452">
        <v>999</v>
      </c>
      <c r="M2452">
        <v>0</v>
      </c>
      <c r="N2452">
        <v>1017</v>
      </c>
      <c r="O2452" s="249">
        <v>50155</v>
      </c>
      <c r="S2452" s="33">
        <v>1</v>
      </c>
      <c r="T2452">
        <v>5</v>
      </c>
      <c r="U2452">
        <v>1</v>
      </c>
      <c r="V2452" s="33">
        <v>1</v>
      </c>
      <c r="W2452">
        <v>1</v>
      </c>
      <c r="X2452" s="8">
        <v>1</v>
      </c>
      <c r="Y2452">
        <v>0</v>
      </c>
      <c r="Z2452" s="33">
        <v>0</v>
      </c>
      <c r="AA2452">
        <v>5</v>
      </c>
      <c r="AB2452">
        <v>100</v>
      </c>
      <c r="AC2452">
        <v>70</v>
      </c>
      <c r="AD2452" s="62">
        <v>0</v>
      </c>
      <c r="AE2452" s="62">
        <v>4</v>
      </c>
      <c r="AF2452" s="62">
        <v>2</v>
      </c>
      <c r="AS2452">
        <v>1</v>
      </c>
    </row>
    <row r="2453" spans="1:45">
      <c r="A2453">
        <v>511533</v>
      </c>
      <c r="B2453" s="8">
        <v>1001</v>
      </c>
      <c r="C2453" s="8">
        <v>6</v>
      </c>
      <c r="D2453" s="8">
        <v>1001</v>
      </c>
      <c r="E2453" t="s">
        <v>1802</v>
      </c>
      <c r="F2453" t="s">
        <v>1802</v>
      </c>
      <c r="G2453" t="s">
        <v>5725</v>
      </c>
      <c r="H2453" t="s">
        <v>1804</v>
      </c>
      <c r="I2453">
        <v>1</v>
      </c>
      <c r="J2453">
        <v>4</v>
      </c>
      <c r="K2453" s="33">
        <v>2</v>
      </c>
      <c r="L2453">
        <v>999</v>
      </c>
      <c r="M2453">
        <v>0</v>
      </c>
      <c r="N2453" s="238">
        <v>1017</v>
      </c>
      <c r="O2453" s="249">
        <v>15136</v>
      </c>
      <c r="S2453" s="254">
        <v>1</v>
      </c>
      <c r="T2453" s="238">
        <v>5</v>
      </c>
      <c r="U2453" s="238">
        <v>1</v>
      </c>
      <c r="V2453" s="254">
        <v>1</v>
      </c>
      <c r="W2453" s="238">
        <v>1</v>
      </c>
      <c r="X2453" s="8">
        <v>1</v>
      </c>
      <c r="Y2453">
        <v>0</v>
      </c>
      <c r="Z2453" s="33">
        <v>0</v>
      </c>
      <c r="AA2453">
        <v>5</v>
      </c>
      <c r="AB2453">
        <v>100</v>
      </c>
      <c r="AC2453" s="238">
        <v>56</v>
      </c>
      <c r="AD2453" s="62">
        <v>0</v>
      </c>
      <c r="AE2453" s="255">
        <v>4</v>
      </c>
      <c r="AF2453" s="255">
        <v>2</v>
      </c>
      <c r="AG2453" s="91"/>
      <c r="AH2453" s="91"/>
      <c r="AI2453" s="91"/>
      <c r="AJ2453" s="91"/>
      <c r="AK2453" s="91"/>
      <c r="AL2453" s="92"/>
      <c r="AM2453" s="92"/>
      <c r="AN2453" s="93"/>
      <c r="AO2453" s="92"/>
      <c r="AS2453">
        <v>1</v>
      </c>
    </row>
    <row r="2454" spans="1:45">
      <c r="A2454">
        <v>511534</v>
      </c>
      <c r="B2454" s="407">
        <v>1001</v>
      </c>
      <c r="C2454" s="236">
        <v>6</v>
      </c>
      <c r="D2454" s="236">
        <v>1001</v>
      </c>
      <c r="E2454" t="s">
        <v>6236</v>
      </c>
      <c r="F2454" t="s">
        <v>6236</v>
      </c>
      <c r="G2454" t="s">
        <v>6261</v>
      </c>
      <c r="H2454" t="s">
        <v>5740</v>
      </c>
      <c r="I2454">
        <v>1</v>
      </c>
      <c r="J2454">
        <v>4</v>
      </c>
      <c r="K2454" s="33">
        <v>2</v>
      </c>
      <c r="L2454">
        <v>999</v>
      </c>
      <c r="M2454">
        <v>0</v>
      </c>
      <c r="N2454" s="236">
        <v>1017</v>
      </c>
      <c r="O2454" s="249">
        <v>15137</v>
      </c>
      <c r="S2454" s="336">
        <v>1</v>
      </c>
      <c r="T2454" s="236">
        <v>5</v>
      </c>
      <c r="U2454" s="336">
        <v>1</v>
      </c>
      <c r="V2454" s="248">
        <v>1</v>
      </c>
      <c r="W2454" s="236">
        <v>1</v>
      </c>
      <c r="X2454" s="236">
        <v>1</v>
      </c>
      <c r="Y2454">
        <v>0</v>
      </c>
      <c r="Z2454" s="33">
        <v>0</v>
      </c>
      <c r="AA2454">
        <v>5</v>
      </c>
      <c r="AB2454">
        <v>100</v>
      </c>
      <c r="AC2454" s="248">
        <v>56</v>
      </c>
      <c r="AD2454" s="62">
        <v>0</v>
      </c>
      <c r="AE2454" s="250">
        <v>4</v>
      </c>
      <c r="AF2454" s="250">
        <v>2</v>
      </c>
      <c r="AG2454" s="251"/>
      <c r="AH2454" s="251"/>
      <c r="AI2454" s="251"/>
      <c r="AJ2454" s="251"/>
      <c r="AK2454" s="251"/>
      <c r="AL2454" s="252"/>
      <c r="AM2454" s="252"/>
      <c r="AN2454" s="338"/>
      <c r="AO2454" s="252"/>
      <c r="AS2454">
        <v>1</v>
      </c>
    </row>
    <row r="2455" spans="1:45">
      <c r="A2455">
        <v>511535</v>
      </c>
      <c r="B2455">
        <v>1001</v>
      </c>
      <c r="C2455">
        <v>6</v>
      </c>
      <c r="D2455">
        <v>1001</v>
      </c>
      <c r="E2455" t="s">
        <v>6262</v>
      </c>
      <c r="F2455" t="s">
        <v>5749</v>
      </c>
      <c r="G2455" s="439" t="s">
        <v>6263</v>
      </c>
      <c r="H2455" t="s">
        <v>204</v>
      </c>
      <c r="I2455">
        <v>1</v>
      </c>
      <c r="J2455">
        <v>5</v>
      </c>
      <c r="K2455" s="33">
        <v>2</v>
      </c>
      <c r="L2455" s="238">
        <v>999</v>
      </c>
      <c r="M2455" s="238">
        <v>0</v>
      </c>
      <c r="N2455">
        <v>1018</v>
      </c>
      <c r="O2455" s="2" t="s">
        <v>6264</v>
      </c>
      <c r="S2455" s="254">
        <v>1</v>
      </c>
      <c r="T2455" s="238">
        <v>5</v>
      </c>
      <c r="U2455" s="238">
        <v>1</v>
      </c>
      <c r="V2455" s="254">
        <v>1</v>
      </c>
      <c r="W2455">
        <v>1</v>
      </c>
      <c r="X2455" s="238">
        <v>1</v>
      </c>
      <c r="Y2455" s="238">
        <v>0</v>
      </c>
      <c r="Z2455" s="33">
        <v>0</v>
      </c>
      <c r="AA2455">
        <v>5</v>
      </c>
      <c r="AB2455">
        <v>100</v>
      </c>
      <c r="AC2455" s="238">
        <v>70</v>
      </c>
      <c r="AD2455" s="62">
        <v>0</v>
      </c>
      <c r="AE2455" s="62">
        <v>5</v>
      </c>
      <c r="AF2455" s="62">
        <v>2</v>
      </c>
      <c r="AM2455" s="4"/>
      <c r="AN2455" s="93"/>
      <c r="AO2455" s="92"/>
      <c r="AS2455">
        <v>1</v>
      </c>
    </row>
    <row r="2456" spans="1:45">
      <c r="A2456">
        <v>511536</v>
      </c>
      <c r="B2456">
        <v>1001</v>
      </c>
      <c r="C2456">
        <v>1</v>
      </c>
      <c r="D2456">
        <v>1001</v>
      </c>
      <c r="E2456" t="s">
        <v>5502</v>
      </c>
      <c r="F2456" t="s">
        <v>5502</v>
      </c>
      <c r="G2456" t="s">
        <v>6265</v>
      </c>
      <c r="H2456" t="s">
        <v>6266</v>
      </c>
      <c r="I2456">
        <v>1</v>
      </c>
      <c r="J2456">
        <v>5</v>
      </c>
      <c r="K2456" s="33">
        <v>1</v>
      </c>
      <c r="L2456" s="8">
        <v>999</v>
      </c>
      <c r="M2456" s="8">
        <v>0</v>
      </c>
      <c r="S2456" s="89">
        <v>1</v>
      </c>
      <c r="T2456" s="8">
        <v>5</v>
      </c>
      <c r="U2456" s="89">
        <v>100</v>
      </c>
      <c r="V2456" s="87">
        <v>1</v>
      </c>
      <c r="W2456">
        <v>1</v>
      </c>
      <c r="X2456" s="8">
        <v>1</v>
      </c>
      <c r="Y2456" s="8">
        <v>0</v>
      </c>
      <c r="Z2456" s="33">
        <v>0</v>
      </c>
      <c r="AA2456">
        <v>5</v>
      </c>
      <c r="AB2456" s="34">
        <v>2000</v>
      </c>
      <c r="AC2456" s="87">
        <v>70</v>
      </c>
      <c r="AD2456" s="62">
        <v>0</v>
      </c>
      <c r="AI2456" s="63" t="s">
        <v>6267</v>
      </c>
      <c r="AM2456" s="4"/>
      <c r="AN2456" s="93"/>
      <c r="AO2456" s="92"/>
      <c r="AS2456">
        <v>1</v>
      </c>
    </row>
    <row r="2457" spans="1:45">
      <c r="A2457">
        <v>511537</v>
      </c>
      <c r="B2457" s="238">
        <v>1001</v>
      </c>
      <c r="C2457" s="238">
        <v>1</v>
      </c>
      <c r="D2457" s="238">
        <v>1001</v>
      </c>
      <c r="E2457" t="s">
        <v>6268</v>
      </c>
      <c r="F2457" t="s">
        <v>6268</v>
      </c>
      <c r="G2457" t="s">
        <v>6269</v>
      </c>
      <c r="H2457" t="s">
        <v>6270</v>
      </c>
      <c r="I2457">
        <v>1</v>
      </c>
      <c r="J2457">
        <v>5</v>
      </c>
      <c r="K2457" s="33">
        <v>1</v>
      </c>
      <c r="L2457" s="236">
        <v>999</v>
      </c>
      <c r="M2457" s="236">
        <v>0</v>
      </c>
      <c r="N2457"/>
      <c r="O2457" s="249"/>
      <c r="S2457" s="336">
        <v>1</v>
      </c>
      <c r="T2457" s="236">
        <v>5</v>
      </c>
      <c r="U2457" s="336">
        <v>100</v>
      </c>
      <c r="V2457" s="248">
        <v>1</v>
      </c>
      <c r="W2457">
        <v>1</v>
      </c>
      <c r="X2457" s="8">
        <v>1</v>
      </c>
      <c r="Y2457" s="236">
        <v>0</v>
      </c>
      <c r="Z2457" s="33">
        <v>0</v>
      </c>
      <c r="AA2457">
        <v>5</v>
      </c>
      <c r="AB2457" s="34">
        <v>2000</v>
      </c>
      <c r="AC2457" s="248">
        <v>70</v>
      </c>
      <c r="AD2457" s="62">
        <v>0</v>
      </c>
      <c r="AI2457" s="63" t="s">
        <v>6267</v>
      </c>
      <c r="AM2457" s="4"/>
      <c r="AN2457" s="338"/>
      <c r="AO2457" s="252"/>
      <c r="AS2457">
        <v>1</v>
      </c>
    </row>
    <row r="2458" spans="1:45">
      <c r="A2458">
        <v>511538</v>
      </c>
      <c r="B2458" s="8">
        <v>1001</v>
      </c>
      <c r="C2458" s="8">
        <v>6</v>
      </c>
      <c r="D2458" s="8">
        <v>1001</v>
      </c>
      <c r="E2458" t="s">
        <v>6271</v>
      </c>
      <c r="F2458" t="s">
        <v>6271</v>
      </c>
      <c r="G2458" t="s">
        <v>6272</v>
      </c>
      <c r="H2458" t="s">
        <v>6273</v>
      </c>
      <c r="I2458">
        <v>1</v>
      </c>
      <c r="J2458">
        <v>5</v>
      </c>
      <c r="K2458" s="33">
        <v>2</v>
      </c>
      <c r="L2458">
        <v>999</v>
      </c>
      <c r="M2458">
        <v>0</v>
      </c>
      <c r="N2458">
        <v>1017</v>
      </c>
      <c r="O2458" s="249">
        <v>15138</v>
      </c>
      <c r="S2458" s="33">
        <v>1</v>
      </c>
      <c r="T2458">
        <v>5</v>
      </c>
      <c r="U2458">
        <v>1</v>
      </c>
      <c r="V2458" s="33">
        <v>1</v>
      </c>
      <c r="W2458">
        <v>1</v>
      </c>
      <c r="X2458" s="8">
        <v>1</v>
      </c>
      <c r="Y2458">
        <v>0</v>
      </c>
      <c r="Z2458" s="33">
        <v>0</v>
      </c>
      <c r="AA2458">
        <v>5</v>
      </c>
      <c r="AB2458">
        <v>100</v>
      </c>
      <c r="AC2458">
        <v>56</v>
      </c>
      <c r="AD2458" s="62">
        <v>0</v>
      </c>
      <c r="AE2458" s="62">
        <v>4</v>
      </c>
      <c r="AF2458" s="62">
        <v>2</v>
      </c>
      <c r="AS2458">
        <v>1</v>
      </c>
    </row>
    <row r="2459" spans="1:45">
      <c r="A2459">
        <v>511539</v>
      </c>
      <c r="B2459" s="8">
        <v>1001</v>
      </c>
      <c r="C2459" s="8">
        <v>6</v>
      </c>
      <c r="D2459" s="8">
        <v>1001</v>
      </c>
      <c r="E2459" t="s">
        <v>6274</v>
      </c>
      <c r="F2459" t="s">
        <v>6274</v>
      </c>
      <c r="G2459" t="s">
        <v>6275</v>
      </c>
      <c r="H2459" t="s">
        <v>6276</v>
      </c>
      <c r="I2459">
        <v>1</v>
      </c>
      <c r="J2459">
        <v>5</v>
      </c>
      <c r="K2459" s="33">
        <v>2</v>
      </c>
      <c r="L2459">
        <v>999</v>
      </c>
      <c r="M2459">
        <v>0</v>
      </c>
      <c r="N2459">
        <v>1017</v>
      </c>
      <c r="O2459" s="249">
        <v>15139</v>
      </c>
      <c r="S2459" s="33">
        <v>1</v>
      </c>
      <c r="T2459">
        <v>5</v>
      </c>
      <c r="U2459">
        <v>1</v>
      </c>
      <c r="V2459" s="33">
        <v>1</v>
      </c>
      <c r="W2459">
        <v>1</v>
      </c>
      <c r="X2459" s="8">
        <v>1</v>
      </c>
      <c r="Y2459">
        <v>0</v>
      </c>
      <c r="Z2459" s="33">
        <v>0</v>
      </c>
      <c r="AA2459">
        <v>5</v>
      </c>
      <c r="AB2459">
        <v>100</v>
      </c>
      <c r="AC2459">
        <v>56</v>
      </c>
      <c r="AD2459" s="62">
        <v>0</v>
      </c>
      <c r="AE2459" s="62">
        <v>4</v>
      </c>
      <c r="AF2459" s="62">
        <v>2</v>
      </c>
      <c r="AS2459">
        <v>1</v>
      </c>
    </row>
    <row r="2460" spans="1:45">
      <c r="A2460">
        <v>511540</v>
      </c>
      <c r="B2460" s="8">
        <v>1001</v>
      </c>
      <c r="C2460" s="8">
        <v>6</v>
      </c>
      <c r="D2460" s="8">
        <v>1001</v>
      </c>
      <c r="E2460" t="s">
        <v>5870</v>
      </c>
      <c r="F2460" t="s">
        <v>5870</v>
      </c>
      <c r="G2460" t="s">
        <v>6277</v>
      </c>
      <c r="H2460" t="s">
        <v>5871</v>
      </c>
      <c r="I2460">
        <v>1</v>
      </c>
      <c r="J2460">
        <v>5</v>
      </c>
      <c r="K2460" s="33">
        <v>2</v>
      </c>
      <c r="L2460">
        <v>999</v>
      </c>
      <c r="M2460">
        <v>0</v>
      </c>
      <c r="N2460">
        <v>1017</v>
      </c>
      <c r="O2460" s="249">
        <v>15140</v>
      </c>
      <c r="S2460" s="33">
        <v>1</v>
      </c>
      <c r="T2460">
        <v>5</v>
      </c>
      <c r="U2460">
        <v>1</v>
      </c>
      <c r="V2460" s="33">
        <v>1</v>
      </c>
      <c r="W2460">
        <v>1</v>
      </c>
      <c r="X2460" s="8">
        <v>1</v>
      </c>
      <c r="Y2460">
        <v>0</v>
      </c>
      <c r="Z2460" s="33">
        <v>0</v>
      </c>
      <c r="AA2460">
        <v>5</v>
      </c>
      <c r="AB2460">
        <v>100</v>
      </c>
      <c r="AC2460">
        <v>56</v>
      </c>
      <c r="AD2460" s="62">
        <v>0</v>
      </c>
      <c r="AE2460" s="62">
        <v>4</v>
      </c>
      <c r="AF2460" s="62">
        <v>2</v>
      </c>
      <c r="AS2460">
        <v>1</v>
      </c>
    </row>
    <row r="2461" spans="1:45">
      <c r="A2461">
        <v>511541</v>
      </c>
      <c r="B2461" s="236">
        <v>1001</v>
      </c>
      <c r="C2461" s="236">
        <v>6</v>
      </c>
      <c r="D2461" s="236">
        <v>1001</v>
      </c>
      <c r="E2461" t="s">
        <v>6278</v>
      </c>
      <c r="F2461" t="s">
        <v>6278</v>
      </c>
      <c r="G2461" t="s">
        <v>6279</v>
      </c>
      <c r="H2461" t="s">
        <v>1839</v>
      </c>
      <c r="I2461">
        <v>1</v>
      </c>
      <c r="J2461">
        <v>5</v>
      </c>
      <c r="K2461" s="33">
        <v>2</v>
      </c>
      <c r="L2461">
        <v>999</v>
      </c>
      <c r="M2461">
        <v>0</v>
      </c>
      <c r="N2461">
        <v>1017</v>
      </c>
      <c r="O2461" s="249">
        <v>15141</v>
      </c>
      <c r="S2461" s="33">
        <v>1</v>
      </c>
      <c r="T2461">
        <v>5</v>
      </c>
      <c r="U2461">
        <v>1</v>
      </c>
      <c r="V2461" s="33">
        <v>1</v>
      </c>
      <c r="W2461">
        <v>1</v>
      </c>
      <c r="X2461" s="236">
        <v>1</v>
      </c>
      <c r="Y2461">
        <v>0</v>
      </c>
      <c r="Z2461" s="33">
        <v>0</v>
      </c>
      <c r="AA2461">
        <v>5</v>
      </c>
      <c r="AB2461">
        <v>100</v>
      </c>
      <c r="AC2461">
        <v>56</v>
      </c>
      <c r="AD2461" s="62">
        <v>0</v>
      </c>
      <c r="AE2461" s="62">
        <v>4</v>
      </c>
      <c r="AF2461" s="62">
        <v>2</v>
      </c>
      <c r="AS2461">
        <v>1</v>
      </c>
    </row>
    <row r="2462" spans="1:45">
      <c r="A2462">
        <v>511542</v>
      </c>
      <c r="B2462" s="238">
        <v>1001</v>
      </c>
      <c r="C2462" s="238">
        <v>6</v>
      </c>
      <c r="D2462" s="238">
        <v>1001</v>
      </c>
      <c r="E2462" t="s">
        <v>6280</v>
      </c>
      <c r="F2462" t="s">
        <v>6280</v>
      </c>
      <c r="G2462" s="3" t="s">
        <v>6281</v>
      </c>
      <c r="H2462" t="s">
        <v>204</v>
      </c>
      <c r="I2462">
        <v>1</v>
      </c>
      <c r="J2462">
        <v>5</v>
      </c>
      <c r="K2462" s="33">
        <v>2</v>
      </c>
      <c r="L2462">
        <v>999</v>
      </c>
      <c r="M2462">
        <v>0</v>
      </c>
      <c r="N2462">
        <v>1018</v>
      </c>
      <c r="O2462" s="231" t="s">
        <v>6282</v>
      </c>
      <c r="S2462" s="33">
        <v>1</v>
      </c>
      <c r="T2462">
        <v>5</v>
      </c>
      <c r="U2462">
        <v>100</v>
      </c>
      <c r="V2462" s="33">
        <v>1</v>
      </c>
      <c r="W2462">
        <v>1</v>
      </c>
      <c r="X2462" s="238">
        <v>1</v>
      </c>
      <c r="Y2462">
        <v>0</v>
      </c>
      <c r="Z2462" s="33">
        <v>0</v>
      </c>
      <c r="AA2462">
        <v>5</v>
      </c>
      <c r="AB2462">
        <v>2000</v>
      </c>
      <c r="AC2462">
        <v>70</v>
      </c>
      <c r="AD2462" s="62">
        <v>0</v>
      </c>
      <c r="AE2462" s="62">
        <v>5</v>
      </c>
      <c r="AF2462" s="62">
        <v>2</v>
      </c>
      <c r="AS2462">
        <v>1</v>
      </c>
    </row>
    <row r="2463" spans="1:45">
      <c r="A2463">
        <v>511543</v>
      </c>
      <c r="B2463" s="236">
        <v>1001</v>
      </c>
      <c r="C2463" s="236">
        <v>6</v>
      </c>
      <c r="D2463" s="236">
        <v>1001</v>
      </c>
      <c r="E2463" t="s">
        <v>6283</v>
      </c>
      <c r="F2463" t="s">
        <v>6283</v>
      </c>
      <c r="G2463" t="s">
        <v>6284</v>
      </c>
      <c r="H2463" t="s">
        <v>1585</v>
      </c>
      <c r="I2463">
        <v>1</v>
      </c>
      <c r="J2463">
        <v>5</v>
      </c>
      <c r="K2463" s="33">
        <v>2</v>
      </c>
      <c r="L2463">
        <v>999</v>
      </c>
      <c r="M2463">
        <v>0</v>
      </c>
      <c r="N2463">
        <v>1017</v>
      </c>
      <c r="O2463" s="249">
        <v>15142</v>
      </c>
      <c r="S2463" s="33">
        <v>1</v>
      </c>
      <c r="T2463">
        <v>5</v>
      </c>
      <c r="U2463">
        <v>100</v>
      </c>
      <c r="V2463" s="33">
        <v>1</v>
      </c>
      <c r="W2463">
        <v>1</v>
      </c>
      <c r="X2463" s="236">
        <v>1</v>
      </c>
      <c r="Y2463">
        <v>0</v>
      </c>
      <c r="Z2463" s="33">
        <v>0</v>
      </c>
      <c r="AA2463">
        <v>5</v>
      </c>
      <c r="AB2463">
        <v>2000</v>
      </c>
      <c r="AC2463">
        <v>55</v>
      </c>
      <c r="AD2463" s="62">
        <v>0</v>
      </c>
      <c r="AE2463" s="62">
        <v>4</v>
      </c>
      <c r="AF2463" s="62">
        <v>2</v>
      </c>
      <c r="AS2463">
        <v>1</v>
      </c>
    </row>
    <row r="2464" spans="1:45">
      <c r="A2464">
        <v>511544</v>
      </c>
      <c r="B2464" s="238">
        <v>1001</v>
      </c>
      <c r="C2464" s="238">
        <v>6</v>
      </c>
      <c r="D2464" s="238">
        <v>1001</v>
      </c>
      <c r="E2464" t="s">
        <v>5550</v>
      </c>
      <c r="F2464" t="s">
        <v>5550</v>
      </c>
      <c r="G2464" s="3" t="s">
        <v>6285</v>
      </c>
      <c r="H2464" t="s">
        <v>1822</v>
      </c>
      <c r="I2464">
        <v>1</v>
      </c>
      <c r="J2464">
        <v>5</v>
      </c>
      <c r="K2464" s="33">
        <v>2</v>
      </c>
      <c r="L2464">
        <v>999</v>
      </c>
      <c r="M2464">
        <v>0</v>
      </c>
      <c r="N2464">
        <v>1018</v>
      </c>
      <c r="O2464" s="2" t="s">
        <v>6286</v>
      </c>
      <c r="S2464" s="33">
        <v>1</v>
      </c>
      <c r="T2464">
        <v>5</v>
      </c>
      <c r="U2464">
        <v>100</v>
      </c>
      <c r="V2464" s="33">
        <v>1</v>
      </c>
      <c r="W2464">
        <v>1</v>
      </c>
      <c r="X2464" s="238">
        <v>1</v>
      </c>
      <c r="Y2464">
        <v>0</v>
      </c>
      <c r="Z2464" s="33">
        <v>0</v>
      </c>
      <c r="AA2464">
        <v>5</v>
      </c>
      <c r="AB2464">
        <v>2000</v>
      </c>
      <c r="AC2464">
        <v>56</v>
      </c>
      <c r="AD2464" s="62">
        <v>0</v>
      </c>
      <c r="AE2464" s="62">
        <v>5</v>
      </c>
      <c r="AF2464" s="62">
        <v>2</v>
      </c>
      <c r="AS2464">
        <v>1</v>
      </c>
    </row>
    <row r="2465" spans="1:45">
      <c r="A2465">
        <v>511545</v>
      </c>
      <c r="B2465" s="8">
        <v>1001</v>
      </c>
      <c r="C2465" s="8">
        <v>6</v>
      </c>
      <c r="D2465" s="8">
        <v>1001</v>
      </c>
      <c r="E2465" t="s">
        <v>6259</v>
      </c>
      <c r="F2465" t="s">
        <v>6259</v>
      </c>
      <c r="G2465" t="s">
        <v>6287</v>
      </c>
      <c r="H2465" t="s">
        <v>5498</v>
      </c>
      <c r="I2465">
        <v>1</v>
      </c>
      <c r="J2465">
        <v>4</v>
      </c>
      <c r="K2465" s="33">
        <v>2</v>
      </c>
      <c r="L2465">
        <v>999</v>
      </c>
      <c r="M2465">
        <v>0</v>
      </c>
      <c r="N2465">
        <v>1017</v>
      </c>
      <c r="O2465" s="249">
        <v>50156</v>
      </c>
      <c r="S2465" s="33">
        <v>1</v>
      </c>
      <c r="T2465">
        <v>5</v>
      </c>
      <c r="U2465">
        <v>100</v>
      </c>
      <c r="V2465" s="33">
        <v>1</v>
      </c>
      <c r="W2465">
        <v>1</v>
      </c>
      <c r="X2465" s="8">
        <v>1</v>
      </c>
      <c r="Y2465">
        <v>0</v>
      </c>
      <c r="Z2465" s="33">
        <v>0</v>
      </c>
      <c r="AA2465">
        <v>5</v>
      </c>
      <c r="AB2465">
        <v>2000</v>
      </c>
      <c r="AC2465">
        <v>56</v>
      </c>
      <c r="AD2465" s="62">
        <v>0</v>
      </c>
      <c r="AE2465" s="62">
        <v>4</v>
      </c>
      <c r="AF2465" s="62">
        <v>2</v>
      </c>
      <c r="AS2465">
        <v>1</v>
      </c>
    </row>
    <row r="2466" spans="1:45">
      <c r="A2466">
        <v>511546</v>
      </c>
      <c r="B2466" s="236">
        <v>1001</v>
      </c>
      <c r="C2466" s="236">
        <v>6</v>
      </c>
      <c r="D2466" s="236">
        <v>1001</v>
      </c>
      <c r="E2466" t="s">
        <v>5510</v>
      </c>
      <c r="F2466" t="s">
        <v>5510</v>
      </c>
      <c r="G2466" t="s">
        <v>6288</v>
      </c>
      <c r="H2466" t="s">
        <v>6249</v>
      </c>
      <c r="I2466">
        <v>1</v>
      </c>
      <c r="J2466">
        <v>4</v>
      </c>
      <c r="K2466" s="33">
        <v>2</v>
      </c>
      <c r="L2466" s="238">
        <v>999</v>
      </c>
      <c r="M2466" s="238">
        <v>0</v>
      </c>
      <c r="N2466">
        <v>1017</v>
      </c>
      <c r="O2466" s="249">
        <v>50157</v>
      </c>
      <c r="R2466" s="8"/>
      <c r="S2466" s="254">
        <v>1</v>
      </c>
      <c r="T2466" s="238">
        <v>5</v>
      </c>
      <c r="U2466" s="238">
        <v>100</v>
      </c>
      <c r="V2466" s="254">
        <v>1</v>
      </c>
      <c r="W2466">
        <v>1</v>
      </c>
      <c r="X2466" s="8">
        <v>1</v>
      </c>
      <c r="Y2466" s="238">
        <v>0</v>
      </c>
      <c r="Z2466" s="33">
        <v>0</v>
      </c>
      <c r="AA2466">
        <v>5</v>
      </c>
      <c r="AB2466">
        <v>2000</v>
      </c>
      <c r="AC2466" s="238">
        <v>56</v>
      </c>
      <c r="AD2466" s="62">
        <v>0</v>
      </c>
      <c r="AE2466" s="62">
        <v>4</v>
      </c>
      <c r="AF2466" s="62">
        <v>2</v>
      </c>
      <c r="AM2466" s="4"/>
      <c r="AN2466" s="93"/>
      <c r="AO2466" s="92"/>
      <c r="AS2466">
        <v>1</v>
      </c>
    </row>
    <row r="2467" spans="1:45">
      <c r="A2467">
        <v>511547</v>
      </c>
      <c r="B2467">
        <v>1001</v>
      </c>
      <c r="C2467">
        <v>1</v>
      </c>
      <c r="D2467">
        <v>1001</v>
      </c>
      <c r="E2467" t="s">
        <v>6268</v>
      </c>
      <c r="F2467" t="s">
        <v>6268</v>
      </c>
      <c r="G2467" t="s">
        <v>6289</v>
      </c>
      <c r="H2467" t="s">
        <v>6270</v>
      </c>
      <c r="I2467">
        <v>1</v>
      </c>
      <c r="J2467">
        <v>5</v>
      </c>
      <c r="K2467" s="33">
        <v>2</v>
      </c>
      <c r="L2467" s="236">
        <v>999</v>
      </c>
      <c r="M2467" s="236">
        <v>0</v>
      </c>
      <c r="N2467">
        <v>1017</v>
      </c>
      <c r="O2467" s="249">
        <v>50158</v>
      </c>
      <c r="R2467" s="236"/>
      <c r="S2467" s="336">
        <v>1</v>
      </c>
      <c r="T2467" s="236">
        <v>5</v>
      </c>
      <c r="U2467" s="336">
        <v>100</v>
      </c>
      <c r="V2467" s="248">
        <v>1</v>
      </c>
      <c r="W2467">
        <v>1</v>
      </c>
      <c r="X2467" s="236">
        <v>1</v>
      </c>
      <c r="Y2467" s="236">
        <v>0</v>
      </c>
      <c r="Z2467" s="33">
        <v>0</v>
      </c>
      <c r="AA2467">
        <v>5</v>
      </c>
      <c r="AB2467" s="34">
        <v>2000</v>
      </c>
      <c r="AC2467" s="248">
        <v>56</v>
      </c>
      <c r="AD2467" s="62">
        <v>0</v>
      </c>
      <c r="AE2467" s="62">
        <v>4</v>
      </c>
      <c r="AF2467" s="62">
        <v>2</v>
      </c>
      <c r="AM2467" s="4"/>
      <c r="AN2467" s="338"/>
      <c r="AO2467" s="252"/>
      <c r="AS2467">
        <v>1</v>
      </c>
    </row>
    <row r="2468" spans="1:45">
      <c r="A2468">
        <v>511548</v>
      </c>
      <c r="B2468">
        <v>1001</v>
      </c>
      <c r="C2468">
        <v>6</v>
      </c>
      <c r="D2468">
        <v>1001</v>
      </c>
      <c r="E2468" t="s">
        <v>5550</v>
      </c>
      <c r="F2468" t="s">
        <v>5550</v>
      </c>
      <c r="G2468" t="s">
        <v>6290</v>
      </c>
      <c r="H2468" t="s">
        <v>1822</v>
      </c>
      <c r="I2468">
        <v>1</v>
      </c>
      <c r="J2468">
        <v>5</v>
      </c>
      <c r="K2468" s="33">
        <v>2</v>
      </c>
      <c r="L2468">
        <v>999</v>
      </c>
      <c r="M2468">
        <v>0</v>
      </c>
      <c r="N2468">
        <v>1018</v>
      </c>
      <c r="O2468" s="2" t="s">
        <v>6291</v>
      </c>
      <c r="S2468" s="33">
        <v>1</v>
      </c>
      <c r="T2468">
        <v>5</v>
      </c>
      <c r="U2468">
        <v>100</v>
      </c>
      <c r="V2468" s="33">
        <v>1</v>
      </c>
      <c r="W2468">
        <v>1</v>
      </c>
      <c r="X2468">
        <v>1</v>
      </c>
      <c r="Y2468">
        <v>0</v>
      </c>
      <c r="Z2468" s="33">
        <v>0</v>
      </c>
      <c r="AA2468">
        <v>5</v>
      </c>
      <c r="AB2468">
        <v>2000</v>
      </c>
      <c r="AC2468">
        <v>56</v>
      </c>
      <c r="AD2468" s="62">
        <v>0</v>
      </c>
      <c r="AE2468" s="62">
        <v>5</v>
      </c>
      <c r="AF2468" s="62">
        <v>2</v>
      </c>
      <c r="AS2468">
        <v>1</v>
      </c>
    </row>
    <row r="2469" spans="1:45">
      <c r="A2469">
        <v>511549</v>
      </c>
      <c r="B2469">
        <v>1001</v>
      </c>
      <c r="C2469">
        <v>6</v>
      </c>
      <c r="D2469">
        <v>1001</v>
      </c>
      <c r="E2469" t="s">
        <v>6292</v>
      </c>
      <c r="F2469" t="s">
        <v>6292</v>
      </c>
      <c r="G2469" t="s">
        <v>6293</v>
      </c>
      <c r="H2469" t="s">
        <v>4202</v>
      </c>
      <c r="I2469">
        <v>1</v>
      </c>
      <c r="J2469">
        <v>4</v>
      </c>
      <c r="K2469" s="33">
        <v>2</v>
      </c>
      <c r="L2469">
        <v>999</v>
      </c>
      <c r="M2469">
        <v>0</v>
      </c>
      <c r="N2469">
        <v>1018</v>
      </c>
      <c r="O2469" s="2" t="s">
        <v>6294</v>
      </c>
      <c r="S2469" s="33">
        <v>1</v>
      </c>
      <c r="T2469">
        <v>5</v>
      </c>
      <c r="U2469">
        <v>100</v>
      </c>
      <c r="V2469" s="33">
        <v>1</v>
      </c>
      <c r="W2469">
        <v>1</v>
      </c>
      <c r="X2469">
        <v>1</v>
      </c>
      <c r="Y2469">
        <v>0</v>
      </c>
      <c r="Z2469" s="33">
        <v>0</v>
      </c>
      <c r="AA2469">
        <v>5</v>
      </c>
      <c r="AB2469">
        <v>2000</v>
      </c>
      <c r="AC2469">
        <v>56</v>
      </c>
      <c r="AD2469" s="62">
        <v>0</v>
      </c>
      <c r="AE2469" s="62">
        <v>5</v>
      </c>
      <c r="AF2469" s="62">
        <v>2</v>
      </c>
      <c r="AM2469" s="64">
        <v>7</v>
      </c>
      <c r="AS2469">
        <v>1</v>
      </c>
    </row>
    <row r="2470" spans="1:45">
      <c r="A2470">
        <v>511550</v>
      </c>
      <c r="B2470">
        <v>1001</v>
      </c>
      <c r="C2470">
        <v>6</v>
      </c>
      <c r="D2470">
        <v>1001</v>
      </c>
      <c r="E2470" t="s">
        <v>5550</v>
      </c>
      <c r="F2470" t="s">
        <v>5550</v>
      </c>
      <c r="G2470" t="s">
        <v>6295</v>
      </c>
      <c r="H2470" t="s">
        <v>1822</v>
      </c>
      <c r="I2470">
        <v>1</v>
      </c>
      <c r="J2470">
        <v>5</v>
      </c>
      <c r="K2470" s="33">
        <v>2</v>
      </c>
      <c r="L2470">
        <v>999</v>
      </c>
      <c r="M2470">
        <v>0</v>
      </c>
      <c r="N2470">
        <v>1018</v>
      </c>
      <c r="O2470" s="2" t="s">
        <v>6296</v>
      </c>
      <c r="S2470" s="33">
        <v>1</v>
      </c>
      <c r="T2470">
        <v>5</v>
      </c>
      <c r="U2470">
        <v>100</v>
      </c>
      <c r="V2470" s="33">
        <v>1</v>
      </c>
      <c r="W2470">
        <v>1</v>
      </c>
      <c r="X2470">
        <v>1</v>
      </c>
      <c r="Y2470">
        <v>0</v>
      </c>
      <c r="Z2470" s="33">
        <v>0</v>
      </c>
      <c r="AA2470">
        <v>5</v>
      </c>
      <c r="AB2470">
        <v>2000</v>
      </c>
      <c r="AC2470">
        <v>56</v>
      </c>
      <c r="AD2470" s="62">
        <v>0</v>
      </c>
      <c r="AE2470" s="62">
        <v>5</v>
      </c>
      <c r="AF2470" s="62">
        <v>2</v>
      </c>
      <c r="AS2470">
        <v>1</v>
      </c>
    </row>
    <row r="2471" spans="1:45">
      <c r="A2471">
        <v>511551</v>
      </c>
      <c r="B2471">
        <v>1001</v>
      </c>
      <c r="C2471">
        <v>6</v>
      </c>
      <c r="D2471">
        <v>1001</v>
      </c>
      <c r="E2471" t="s">
        <v>6186</v>
      </c>
      <c r="F2471" t="s">
        <v>6186</v>
      </c>
      <c r="G2471" t="s">
        <v>6187</v>
      </c>
      <c r="H2471" t="s">
        <v>1818</v>
      </c>
      <c r="I2471">
        <v>1</v>
      </c>
      <c r="J2471">
        <v>5</v>
      </c>
      <c r="K2471" s="33">
        <v>2</v>
      </c>
      <c r="L2471">
        <v>999</v>
      </c>
      <c r="M2471">
        <v>0</v>
      </c>
      <c r="N2471">
        <v>1018</v>
      </c>
      <c r="O2471" s="2" t="s">
        <v>6297</v>
      </c>
      <c r="S2471" s="33">
        <v>1</v>
      </c>
      <c r="T2471">
        <v>5</v>
      </c>
      <c r="U2471">
        <v>100</v>
      </c>
      <c r="V2471" s="33">
        <v>1</v>
      </c>
      <c r="W2471">
        <v>1</v>
      </c>
      <c r="X2471">
        <v>1</v>
      </c>
      <c r="Y2471">
        <v>0</v>
      </c>
      <c r="Z2471" s="33">
        <v>0</v>
      </c>
      <c r="AA2471">
        <v>5</v>
      </c>
      <c r="AB2471">
        <v>2000</v>
      </c>
      <c r="AC2471">
        <v>56</v>
      </c>
      <c r="AD2471" s="62">
        <v>0</v>
      </c>
      <c r="AE2471" s="62">
        <v>5</v>
      </c>
      <c r="AF2471" s="62">
        <v>2</v>
      </c>
      <c r="AS2471">
        <v>1</v>
      </c>
    </row>
    <row r="2472" spans="1:45">
      <c r="A2472">
        <v>511552</v>
      </c>
      <c r="B2472" s="238">
        <v>1001</v>
      </c>
      <c r="C2472" s="238">
        <v>6</v>
      </c>
      <c r="D2472" s="238">
        <v>1001</v>
      </c>
      <c r="E2472" t="s">
        <v>6280</v>
      </c>
      <c r="F2472" t="s">
        <v>6280</v>
      </c>
      <c r="G2472" s="3" t="s">
        <v>6298</v>
      </c>
      <c r="H2472" t="s">
        <v>204</v>
      </c>
      <c r="I2472">
        <v>1</v>
      </c>
      <c r="J2472">
        <v>5</v>
      </c>
      <c r="K2472" s="33">
        <v>2</v>
      </c>
      <c r="L2472">
        <v>999</v>
      </c>
      <c r="M2472">
        <v>0</v>
      </c>
      <c r="N2472">
        <v>1018</v>
      </c>
      <c r="O2472" s="231" t="s">
        <v>6299</v>
      </c>
      <c r="S2472" s="33">
        <v>1</v>
      </c>
      <c r="T2472">
        <v>5</v>
      </c>
      <c r="U2472">
        <v>100</v>
      </c>
      <c r="V2472" s="33">
        <v>1</v>
      </c>
      <c r="W2472">
        <v>1</v>
      </c>
      <c r="X2472" s="238">
        <v>1</v>
      </c>
      <c r="Y2472">
        <v>0</v>
      </c>
      <c r="Z2472" s="33">
        <v>0</v>
      </c>
      <c r="AA2472">
        <v>5</v>
      </c>
      <c r="AB2472">
        <v>2000</v>
      </c>
      <c r="AC2472">
        <v>56</v>
      </c>
      <c r="AD2472" s="62">
        <v>0</v>
      </c>
      <c r="AE2472" s="62">
        <v>5</v>
      </c>
      <c r="AF2472" s="62">
        <v>2</v>
      </c>
      <c r="AS2472">
        <v>1</v>
      </c>
    </row>
    <row r="2473" spans="1:45">
      <c r="A2473">
        <v>511553</v>
      </c>
      <c r="B2473" s="8">
        <v>1001</v>
      </c>
      <c r="C2473" s="8">
        <v>1</v>
      </c>
      <c r="D2473" s="8">
        <v>1001</v>
      </c>
      <c r="E2473" t="s">
        <v>6259</v>
      </c>
      <c r="F2473" t="s">
        <v>6259</v>
      </c>
      <c r="G2473" t="s">
        <v>6300</v>
      </c>
      <c r="H2473" t="s">
        <v>5498</v>
      </c>
      <c r="I2473">
        <v>1</v>
      </c>
      <c r="J2473">
        <v>4</v>
      </c>
      <c r="K2473" s="33">
        <v>1</v>
      </c>
      <c r="L2473">
        <v>999</v>
      </c>
      <c r="M2473">
        <v>0</v>
      </c>
      <c r="N2473"/>
      <c r="O2473" s="249"/>
      <c r="S2473" s="33">
        <v>1</v>
      </c>
      <c r="T2473">
        <v>5</v>
      </c>
      <c r="U2473">
        <v>100</v>
      </c>
      <c r="V2473" s="33">
        <v>1</v>
      </c>
      <c r="W2473">
        <v>1</v>
      </c>
      <c r="X2473" s="8">
        <v>1</v>
      </c>
      <c r="Y2473">
        <v>0</v>
      </c>
      <c r="Z2473" s="33">
        <v>0</v>
      </c>
      <c r="AA2473">
        <v>5</v>
      </c>
      <c r="AB2473">
        <v>2000</v>
      </c>
      <c r="AC2473">
        <v>56</v>
      </c>
      <c r="AD2473" s="62">
        <v>0</v>
      </c>
      <c r="AE2473" s="62">
        <v>4</v>
      </c>
      <c r="AF2473" s="62">
        <v>2</v>
      </c>
      <c r="AI2473" s="63" t="s">
        <v>6301</v>
      </c>
      <c r="AS2473">
        <v>1</v>
      </c>
    </row>
    <row r="2474" spans="1:45">
      <c r="A2474">
        <v>511554</v>
      </c>
      <c r="B2474" s="236">
        <v>1001</v>
      </c>
      <c r="C2474" s="236">
        <v>6</v>
      </c>
      <c r="D2474" s="236">
        <v>1001</v>
      </c>
      <c r="E2474" t="s">
        <v>5510</v>
      </c>
      <c r="F2474" t="s">
        <v>5510</v>
      </c>
      <c r="G2474" t="s">
        <v>6302</v>
      </c>
      <c r="H2474" t="s">
        <v>6249</v>
      </c>
      <c r="I2474">
        <v>1</v>
      </c>
      <c r="J2474">
        <v>5</v>
      </c>
      <c r="K2474" s="33">
        <v>2</v>
      </c>
      <c r="L2474" s="238">
        <v>999</v>
      </c>
      <c r="M2474" s="238">
        <v>0</v>
      </c>
      <c r="N2474">
        <v>1017</v>
      </c>
      <c r="O2474" s="249">
        <v>50159</v>
      </c>
      <c r="R2474" s="8"/>
      <c r="S2474" s="254">
        <v>1</v>
      </c>
      <c r="T2474" s="238">
        <v>5</v>
      </c>
      <c r="U2474" s="238">
        <v>100</v>
      </c>
      <c r="V2474" s="254">
        <v>1</v>
      </c>
      <c r="W2474">
        <v>1</v>
      </c>
      <c r="X2474" s="8">
        <v>1</v>
      </c>
      <c r="Y2474" s="238">
        <v>0</v>
      </c>
      <c r="Z2474" s="33">
        <v>0</v>
      </c>
      <c r="AA2474">
        <v>5</v>
      </c>
      <c r="AB2474">
        <v>2000</v>
      </c>
      <c r="AC2474" s="238">
        <v>56</v>
      </c>
      <c r="AD2474" s="62">
        <v>0</v>
      </c>
      <c r="AE2474" s="62">
        <v>4</v>
      </c>
      <c r="AF2474" s="62">
        <v>2</v>
      </c>
      <c r="AM2474" s="4"/>
      <c r="AN2474" s="93"/>
      <c r="AO2474" s="92"/>
      <c r="AS2474">
        <v>1</v>
      </c>
    </row>
    <row r="2475" spans="1:45">
      <c r="A2475">
        <v>511555</v>
      </c>
      <c r="B2475">
        <v>1001</v>
      </c>
      <c r="C2475">
        <v>1</v>
      </c>
      <c r="D2475">
        <v>1001</v>
      </c>
      <c r="E2475" t="s">
        <v>6268</v>
      </c>
      <c r="F2475" t="s">
        <v>6268</v>
      </c>
      <c r="G2475" t="s">
        <v>6303</v>
      </c>
      <c r="H2475" t="s">
        <v>6270</v>
      </c>
      <c r="I2475">
        <v>1</v>
      </c>
      <c r="J2475">
        <v>4</v>
      </c>
      <c r="K2475" s="33">
        <v>1</v>
      </c>
      <c r="L2475" s="236">
        <v>999</v>
      </c>
      <c r="M2475" s="236">
        <v>0</v>
      </c>
      <c r="N2475"/>
      <c r="O2475" s="249"/>
      <c r="R2475" s="236"/>
      <c r="S2475" s="336">
        <v>1</v>
      </c>
      <c r="T2475" s="236">
        <v>5</v>
      </c>
      <c r="U2475" s="336">
        <v>100</v>
      </c>
      <c r="V2475" s="248">
        <v>1</v>
      </c>
      <c r="W2475">
        <v>1</v>
      </c>
      <c r="X2475" s="236">
        <v>1</v>
      </c>
      <c r="Y2475" s="236">
        <v>0</v>
      </c>
      <c r="Z2475" s="33">
        <v>0</v>
      </c>
      <c r="AA2475">
        <v>5</v>
      </c>
      <c r="AB2475" s="34">
        <v>2000</v>
      </c>
      <c r="AC2475" s="248">
        <v>56</v>
      </c>
      <c r="AD2475" s="62">
        <v>0</v>
      </c>
      <c r="AE2475" s="62">
        <v>4</v>
      </c>
      <c r="AF2475" s="62">
        <v>2</v>
      </c>
      <c r="AI2475" s="63" t="s">
        <v>6301</v>
      </c>
      <c r="AM2475" s="4"/>
      <c r="AN2475" s="338"/>
      <c r="AO2475" s="252"/>
      <c r="AS2475">
        <v>1</v>
      </c>
    </row>
    <row r="2476" spans="1:45">
      <c r="A2476">
        <v>511556</v>
      </c>
      <c r="B2476" s="238">
        <v>1001</v>
      </c>
      <c r="C2476" s="238">
        <v>6</v>
      </c>
      <c r="D2476" s="238">
        <v>1001</v>
      </c>
      <c r="E2476" t="s">
        <v>6304</v>
      </c>
      <c r="F2476" t="s">
        <v>6304</v>
      </c>
      <c r="G2476" t="s">
        <v>6305</v>
      </c>
      <c r="H2476" t="s">
        <v>1818</v>
      </c>
      <c r="I2476">
        <v>1</v>
      </c>
      <c r="J2476">
        <v>5</v>
      </c>
      <c r="K2476" s="33">
        <v>2</v>
      </c>
      <c r="L2476">
        <v>999</v>
      </c>
      <c r="M2476">
        <v>0</v>
      </c>
      <c r="N2476">
        <v>1018</v>
      </c>
      <c r="O2476" s="2" t="s">
        <v>6297</v>
      </c>
      <c r="S2476" s="33">
        <v>1</v>
      </c>
      <c r="T2476">
        <v>5</v>
      </c>
      <c r="U2476">
        <v>100</v>
      </c>
      <c r="V2476" s="33">
        <v>1</v>
      </c>
      <c r="W2476">
        <v>1</v>
      </c>
      <c r="X2476" s="238">
        <v>1</v>
      </c>
      <c r="Y2476">
        <v>0</v>
      </c>
      <c r="Z2476" s="33">
        <v>0</v>
      </c>
      <c r="AA2476">
        <v>5</v>
      </c>
      <c r="AB2476">
        <v>2000</v>
      </c>
      <c r="AC2476">
        <v>56</v>
      </c>
      <c r="AD2476" s="62">
        <v>0</v>
      </c>
      <c r="AE2476" s="62">
        <v>5</v>
      </c>
      <c r="AF2476" s="62">
        <v>2</v>
      </c>
      <c r="AS2476">
        <v>1</v>
      </c>
    </row>
    <row r="2477" spans="1:45">
      <c r="A2477">
        <v>511557</v>
      </c>
      <c r="B2477" s="8">
        <v>1001</v>
      </c>
      <c r="C2477" s="8">
        <v>1</v>
      </c>
      <c r="D2477" s="8">
        <v>1001</v>
      </c>
      <c r="E2477" t="s">
        <v>6306</v>
      </c>
      <c r="F2477" t="s">
        <v>6306</v>
      </c>
      <c r="G2477" t="s">
        <v>6307</v>
      </c>
      <c r="H2477" t="s">
        <v>6308</v>
      </c>
      <c r="I2477">
        <v>1</v>
      </c>
      <c r="J2477">
        <v>5</v>
      </c>
      <c r="K2477" s="33">
        <v>2</v>
      </c>
      <c r="L2477">
        <v>999</v>
      </c>
      <c r="M2477">
        <v>0</v>
      </c>
      <c r="N2477"/>
      <c r="O2477" s="249"/>
      <c r="S2477" s="33">
        <v>1</v>
      </c>
      <c r="T2477">
        <v>5</v>
      </c>
      <c r="U2477">
        <v>100</v>
      </c>
      <c r="V2477" s="33">
        <v>1</v>
      </c>
      <c r="W2477">
        <v>1</v>
      </c>
      <c r="X2477" s="8">
        <v>1</v>
      </c>
      <c r="Y2477">
        <v>0</v>
      </c>
      <c r="Z2477" s="33">
        <v>0</v>
      </c>
      <c r="AA2477">
        <v>5</v>
      </c>
      <c r="AB2477">
        <v>2000</v>
      </c>
      <c r="AC2477">
        <v>56</v>
      </c>
      <c r="AD2477" s="62">
        <v>0</v>
      </c>
      <c r="AE2477" s="62">
        <v>4</v>
      </c>
      <c r="AF2477" s="62">
        <v>2</v>
      </c>
      <c r="AS2477">
        <v>1</v>
      </c>
    </row>
    <row r="2478" spans="1:45">
      <c r="A2478">
        <v>511558</v>
      </c>
      <c r="B2478" s="8">
        <v>1001</v>
      </c>
      <c r="C2478" s="8">
        <v>6</v>
      </c>
      <c r="D2478" s="8">
        <v>1001</v>
      </c>
      <c r="E2478" t="s">
        <v>1802</v>
      </c>
      <c r="F2478" t="s">
        <v>1802</v>
      </c>
      <c r="G2478" t="s">
        <v>5725</v>
      </c>
      <c r="H2478" t="s">
        <v>1804</v>
      </c>
      <c r="I2478">
        <v>1</v>
      </c>
      <c r="J2478">
        <v>4</v>
      </c>
      <c r="K2478" s="33">
        <v>2</v>
      </c>
      <c r="L2478">
        <v>999</v>
      </c>
      <c r="M2478">
        <v>0</v>
      </c>
      <c r="N2478" s="238">
        <v>1017</v>
      </c>
      <c r="O2478" s="249">
        <v>50160</v>
      </c>
      <c r="R2478" s="8"/>
      <c r="S2478" s="254">
        <v>1</v>
      </c>
      <c r="T2478" s="238">
        <v>5</v>
      </c>
      <c r="U2478" s="238">
        <v>1</v>
      </c>
      <c r="V2478" s="254">
        <v>1</v>
      </c>
      <c r="W2478" s="238">
        <v>1</v>
      </c>
      <c r="X2478" s="8">
        <v>1</v>
      </c>
      <c r="Y2478">
        <v>0</v>
      </c>
      <c r="Z2478" s="33">
        <v>0</v>
      </c>
      <c r="AA2478">
        <v>5</v>
      </c>
      <c r="AB2478">
        <v>100</v>
      </c>
      <c r="AC2478" s="238">
        <v>56</v>
      </c>
      <c r="AD2478" s="62">
        <v>0</v>
      </c>
      <c r="AE2478" s="255">
        <v>4</v>
      </c>
      <c r="AF2478" s="255">
        <v>2</v>
      </c>
      <c r="AG2478" s="91"/>
      <c r="AH2478" s="91"/>
      <c r="AI2478" s="91"/>
      <c r="AJ2478" s="91"/>
      <c r="AK2478" s="91"/>
      <c r="AL2478" s="92"/>
      <c r="AM2478" s="92"/>
      <c r="AN2478" s="93"/>
      <c r="AO2478" s="92"/>
      <c r="AS2478">
        <v>1</v>
      </c>
    </row>
    <row r="2479" spans="1:45">
      <c r="A2479">
        <v>511559</v>
      </c>
      <c r="B2479" s="407">
        <v>1001</v>
      </c>
      <c r="C2479" s="236">
        <v>6</v>
      </c>
      <c r="D2479" s="236">
        <v>1001</v>
      </c>
      <c r="E2479" t="s">
        <v>6236</v>
      </c>
      <c r="F2479" t="s">
        <v>6236</v>
      </c>
      <c r="G2479" t="s">
        <v>6261</v>
      </c>
      <c r="H2479" t="s">
        <v>5740</v>
      </c>
      <c r="I2479">
        <v>1</v>
      </c>
      <c r="J2479">
        <v>4</v>
      </c>
      <c r="K2479" s="33">
        <v>2</v>
      </c>
      <c r="L2479">
        <v>999</v>
      </c>
      <c r="M2479">
        <v>0</v>
      </c>
      <c r="N2479" s="236">
        <v>1017</v>
      </c>
      <c r="O2479" s="249">
        <v>50161</v>
      </c>
      <c r="R2479" s="236"/>
      <c r="S2479" s="336">
        <v>1</v>
      </c>
      <c r="T2479" s="236">
        <v>5</v>
      </c>
      <c r="U2479" s="336">
        <v>1</v>
      </c>
      <c r="V2479" s="248">
        <v>1</v>
      </c>
      <c r="W2479" s="236">
        <v>1</v>
      </c>
      <c r="X2479" s="236">
        <v>1</v>
      </c>
      <c r="Y2479">
        <v>0</v>
      </c>
      <c r="Z2479" s="33">
        <v>0</v>
      </c>
      <c r="AA2479">
        <v>5</v>
      </c>
      <c r="AB2479">
        <v>100</v>
      </c>
      <c r="AC2479" s="248">
        <v>56</v>
      </c>
      <c r="AD2479" s="62">
        <v>0</v>
      </c>
      <c r="AE2479" s="250">
        <v>4</v>
      </c>
      <c r="AF2479" s="250">
        <v>2</v>
      </c>
      <c r="AG2479" s="251"/>
      <c r="AH2479" s="251"/>
      <c r="AI2479" s="251"/>
      <c r="AJ2479" s="251"/>
      <c r="AK2479" s="251"/>
      <c r="AL2479" s="252"/>
      <c r="AM2479" s="252"/>
      <c r="AN2479" s="338"/>
      <c r="AO2479" s="252"/>
      <c r="AS2479">
        <v>1</v>
      </c>
    </row>
    <row r="2480" spans="1:45">
      <c r="A2480">
        <v>511560</v>
      </c>
      <c r="B2480">
        <v>1001</v>
      </c>
      <c r="C2480">
        <v>6</v>
      </c>
      <c r="D2480">
        <v>1001</v>
      </c>
      <c r="E2480" t="s">
        <v>5550</v>
      </c>
      <c r="F2480" t="s">
        <v>5550</v>
      </c>
      <c r="G2480" t="s">
        <v>6309</v>
      </c>
      <c r="H2480" t="s">
        <v>1822</v>
      </c>
      <c r="I2480">
        <v>1</v>
      </c>
      <c r="J2480">
        <v>5</v>
      </c>
      <c r="K2480" s="33">
        <v>2</v>
      </c>
      <c r="L2480">
        <v>999</v>
      </c>
      <c r="M2480">
        <v>0</v>
      </c>
      <c r="N2480">
        <v>1018</v>
      </c>
      <c r="O2480" s="2" t="s">
        <v>6310</v>
      </c>
      <c r="S2480" s="33">
        <v>1</v>
      </c>
      <c r="T2480">
        <v>5</v>
      </c>
      <c r="U2480">
        <v>100</v>
      </c>
      <c r="V2480" s="33">
        <v>1</v>
      </c>
      <c r="W2480">
        <v>1</v>
      </c>
      <c r="X2480">
        <v>1</v>
      </c>
      <c r="Y2480">
        <v>0</v>
      </c>
      <c r="Z2480" s="33">
        <v>0</v>
      </c>
      <c r="AA2480">
        <v>5</v>
      </c>
      <c r="AB2480">
        <v>2000</v>
      </c>
      <c r="AC2480">
        <v>56</v>
      </c>
      <c r="AD2480" s="62">
        <v>0</v>
      </c>
      <c r="AE2480" s="62">
        <v>5</v>
      </c>
      <c r="AF2480" s="62">
        <v>2</v>
      </c>
      <c r="AS2480">
        <v>1</v>
      </c>
    </row>
    <row r="2481" spans="1:45">
      <c r="A2481">
        <v>511561</v>
      </c>
      <c r="B2481">
        <v>1001</v>
      </c>
      <c r="C2481">
        <v>6</v>
      </c>
      <c r="D2481">
        <v>1001</v>
      </c>
      <c r="E2481" t="s">
        <v>6280</v>
      </c>
      <c r="F2481" t="s">
        <v>6280</v>
      </c>
      <c r="G2481" s="3" t="s">
        <v>6311</v>
      </c>
      <c r="H2481" t="s">
        <v>204</v>
      </c>
      <c r="I2481">
        <v>1</v>
      </c>
      <c r="J2481">
        <v>5</v>
      </c>
      <c r="K2481" s="33">
        <v>2</v>
      </c>
      <c r="L2481" s="238">
        <v>999</v>
      </c>
      <c r="M2481" s="238">
        <v>0</v>
      </c>
      <c r="N2481">
        <v>1018</v>
      </c>
      <c r="O2481" s="231" t="s">
        <v>6312</v>
      </c>
      <c r="R2481" s="8"/>
      <c r="S2481" s="254">
        <v>1</v>
      </c>
      <c r="T2481" s="238">
        <v>5</v>
      </c>
      <c r="U2481" s="238">
        <v>100</v>
      </c>
      <c r="V2481" s="254">
        <v>1</v>
      </c>
      <c r="W2481">
        <v>1</v>
      </c>
      <c r="X2481" s="238">
        <v>1</v>
      </c>
      <c r="Y2481" s="238">
        <v>0</v>
      </c>
      <c r="Z2481" s="33">
        <v>0</v>
      </c>
      <c r="AA2481">
        <v>5</v>
      </c>
      <c r="AB2481">
        <v>2000</v>
      </c>
      <c r="AC2481" s="238">
        <v>56</v>
      </c>
      <c r="AD2481" s="62">
        <v>0</v>
      </c>
      <c r="AE2481" s="62">
        <v>5</v>
      </c>
      <c r="AF2481" s="62">
        <v>2</v>
      </c>
      <c r="AM2481" s="4"/>
      <c r="AN2481" s="93"/>
      <c r="AO2481" s="92"/>
      <c r="AQ2481"/>
      <c r="AR2481"/>
      <c r="AS2481">
        <v>1</v>
      </c>
    </row>
    <row r="2482" spans="1:45">
      <c r="A2482">
        <v>511562</v>
      </c>
      <c r="B2482">
        <v>1001</v>
      </c>
      <c r="C2482">
        <v>6</v>
      </c>
      <c r="D2482">
        <v>1001</v>
      </c>
      <c r="E2482" t="s">
        <v>5472</v>
      </c>
      <c r="F2482" t="s">
        <v>5472</v>
      </c>
      <c r="G2482" t="s">
        <v>6313</v>
      </c>
      <c r="H2482" t="s">
        <v>5474</v>
      </c>
      <c r="I2482">
        <v>1</v>
      </c>
      <c r="J2482">
        <v>5</v>
      </c>
      <c r="K2482" s="33">
        <v>2</v>
      </c>
      <c r="L2482" s="8">
        <v>999</v>
      </c>
      <c r="M2482" s="8">
        <v>0</v>
      </c>
      <c r="N2482">
        <v>1017</v>
      </c>
      <c r="O2482" s="249">
        <v>50162</v>
      </c>
      <c r="R2482" s="8"/>
      <c r="S2482" s="89">
        <v>1</v>
      </c>
      <c r="T2482" s="8">
        <v>5</v>
      </c>
      <c r="U2482" s="89">
        <v>100</v>
      </c>
      <c r="V2482" s="87">
        <v>1</v>
      </c>
      <c r="W2482">
        <v>1</v>
      </c>
      <c r="X2482" s="8">
        <v>1</v>
      </c>
      <c r="Y2482" s="8">
        <v>0</v>
      </c>
      <c r="Z2482" s="33">
        <v>0</v>
      </c>
      <c r="AA2482">
        <v>5</v>
      </c>
      <c r="AB2482" s="34">
        <v>2000</v>
      </c>
      <c r="AC2482" s="87">
        <v>56</v>
      </c>
      <c r="AD2482" s="62">
        <v>0</v>
      </c>
      <c r="AE2482" s="62">
        <v>4</v>
      </c>
      <c r="AF2482" s="62">
        <v>2</v>
      </c>
      <c r="AM2482" s="4"/>
      <c r="AN2482" s="93"/>
      <c r="AO2482" s="92"/>
      <c r="AQ2482" t="s">
        <v>5472</v>
      </c>
      <c r="AR2482">
        <v>1</v>
      </c>
      <c r="AS2482">
        <v>1</v>
      </c>
    </row>
    <row r="2483" spans="1:45">
      <c r="A2483">
        <v>511563</v>
      </c>
      <c r="B2483" s="238">
        <v>1001</v>
      </c>
      <c r="C2483">
        <v>1</v>
      </c>
      <c r="D2483" s="238">
        <v>1001</v>
      </c>
      <c r="E2483" t="s">
        <v>5502</v>
      </c>
      <c r="F2483" t="s">
        <v>5502</v>
      </c>
      <c r="G2483" t="s">
        <v>6314</v>
      </c>
      <c r="H2483" t="s">
        <v>6266</v>
      </c>
      <c r="I2483">
        <v>1</v>
      </c>
      <c r="J2483">
        <v>5</v>
      </c>
      <c r="K2483" s="33">
        <v>1</v>
      </c>
      <c r="L2483" s="236">
        <v>999</v>
      </c>
      <c r="M2483" s="236">
        <v>0</v>
      </c>
      <c r="O2483" s="249"/>
      <c r="Q2483" s="8"/>
      <c r="R2483" s="236"/>
      <c r="S2483" s="336">
        <v>1</v>
      </c>
      <c r="T2483" s="236">
        <v>5</v>
      </c>
      <c r="U2483" s="336">
        <v>50</v>
      </c>
      <c r="V2483" s="248">
        <v>1</v>
      </c>
      <c r="W2483">
        <v>1</v>
      </c>
      <c r="X2483" s="8">
        <v>1</v>
      </c>
      <c r="Y2483" s="236">
        <v>0</v>
      </c>
      <c r="Z2483" s="33">
        <v>0</v>
      </c>
      <c r="AA2483">
        <v>5</v>
      </c>
      <c r="AB2483" s="34">
        <v>1000</v>
      </c>
      <c r="AC2483" s="248">
        <v>56</v>
      </c>
      <c r="AD2483" s="62">
        <v>0</v>
      </c>
      <c r="AI2483" s="63" t="s">
        <v>6315</v>
      </c>
      <c r="AM2483" s="4"/>
      <c r="AN2483" s="338"/>
      <c r="AO2483" s="252"/>
      <c r="AS2483">
        <v>1</v>
      </c>
    </row>
    <row r="2484" spans="1:45">
      <c r="A2484">
        <v>511564</v>
      </c>
      <c r="B2484" s="8">
        <v>1001</v>
      </c>
      <c r="C2484" s="238">
        <v>1</v>
      </c>
      <c r="D2484" s="8">
        <v>1001</v>
      </c>
      <c r="E2484" t="s">
        <v>5499</v>
      </c>
      <c r="F2484" t="s">
        <v>5499</v>
      </c>
      <c r="G2484" t="s">
        <v>6316</v>
      </c>
      <c r="H2484" t="s">
        <v>5501</v>
      </c>
      <c r="I2484">
        <v>1</v>
      </c>
      <c r="J2484">
        <v>5</v>
      </c>
      <c r="K2484" s="33">
        <v>1</v>
      </c>
      <c r="L2484">
        <v>999</v>
      </c>
      <c r="M2484">
        <v>0</v>
      </c>
      <c r="N2484"/>
      <c r="O2484" s="249"/>
      <c r="Q2484" s="236"/>
      <c r="S2484" s="33">
        <v>1</v>
      </c>
      <c r="T2484">
        <v>5</v>
      </c>
      <c r="U2484">
        <v>50</v>
      </c>
      <c r="V2484" s="33">
        <v>1</v>
      </c>
      <c r="W2484">
        <v>1</v>
      </c>
      <c r="X2484" s="8">
        <v>1</v>
      </c>
      <c r="Y2484">
        <v>0</v>
      </c>
      <c r="Z2484" s="33">
        <v>0</v>
      </c>
      <c r="AA2484">
        <v>5</v>
      </c>
      <c r="AB2484">
        <v>1000</v>
      </c>
      <c r="AC2484">
        <v>56</v>
      </c>
      <c r="AD2484" s="62">
        <v>0</v>
      </c>
      <c r="AI2484" s="63" t="s">
        <v>6315</v>
      </c>
      <c r="AS2484">
        <v>1</v>
      </c>
    </row>
    <row r="2485" spans="1:45">
      <c r="A2485">
        <v>100234</v>
      </c>
      <c r="B2485" s="8">
        <v>1001</v>
      </c>
      <c r="C2485" s="8">
        <v>6</v>
      </c>
      <c r="D2485" s="8">
        <v>1001</v>
      </c>
      <c r="E2485" s="238" t="s">
        <v>6317</v>
      </c>
      <c r="F2485" s="238" t="s">
        <v>6317</v>
      </c>
      <c r="G2485" t="s">
        <v>6318</v>
      </c>
      <c r="H2485" t="s">
        <v>1588</v>
      </c>
      <c r="I2485">
        <v>1</v>
      </c>
      <c r="J2485">
        <v>5</v>
      </c>
      <c r="K2485" s="33">
        <v>2</v>
      </c>
      <c r="L2485" s="238">
        <v>999</v>
      </c>
      <c r="M2485" s="238">
        <v>0</v>
      </c>
      <c r="N2485" s="238">
        <v>1017</v>
      </c>
      <c r="O2485" s="249">
        <v>100234</v>
      </c>
      <c r="R2485" s="8"/>
      <c r="S2485" s="254">
        <v>1</v>
      </c>
      <c r="T2485" s="238">
        <v>5</v>
      </c>
      <c r="U2485" s="238">
        <v>100</v>
      </c>
      <c r="V2485" s="254">
        <v>1</v>
      </c>
      <c r="W2485">
        <v>1</v>
      </c>
      <c r="X2485" s="8">
        <v>1</v>
      </c>
      <c r="Y2485" s="238">
        <v>0</v>
      </c>
      <c r="Z2485" s="33">
        <v>0</v>
      </c>
      <c r="AA2485">
        <v>5</v>
      </c>
      <c r="AB2485">
        <v>2000</v>
      </c>
      <c r="AC2485" s="238">
        <v>56</v>
      </c>
      <c r="AD2485" s="62">
        <v>0</v>
      </c>
      <c r="AE2485" s="62">
        <v>4</v>
      </c>
      <c r="AF2485" s="62">
        <v>2</v>
      </c>
      <c r="AN2485" s="93"/>
      <c r="AO2485" s="92"/>
      <c r="AS2485">
        <v>1</v>
      </c>
    </row>
    <row r="2486" spans="1:45">
      <c r="A2486">
        <v>800010</v>
      </c>
      <c r="B2486" s="8">
        <v>1001</v>
      </c>
      <c r="C2486" s="8">
        <v>6</v>
      </c>
      <c r="D2486" s="8">
        <v>1001</v>
      </c>
      <c r="E2486" s="13" t="s">
        <v>6319</v>
      </c>
      <c r="F2486" s="13" t="s">
        <v>6319</v>
      </c>
      <c r="G2486" t="s">
        <v>6320</v>
      </c>
      <c r="H2486" t="s">
        <v>4202</v>
      </c>
      <c r="I2486">
        <v>1</v>
      </c>
      <c r="J2486">
        <v>4</v>
      </c>
      <c r="K2486" s="33">
        <v>2</v>
      </c>
      <c r="L2486" s="8">
        <v>999</v>
      </c>
      <c r="M2486" s="8">
        <v>0</v>
      </c>
      <c r="N2486" s="8">
        <v>1017</v>
      </c>
      <c r="O2486" s="2">
        <v>30363</v>
      </c>
      <c r="R2486" s="236"/>
      <c r="S2486" s="89">
        <v>1</v>
      </c>
      <c r="T2486" s="8">
        <v>5</v>
      </c>
      <c r="U2486" s="89">
        <v>170</v>
      </c>
      <c r="V2486" s="87">
        <v>1</v>
      </c>
      <c r="W2486">
        <v>1</v>
      </c>
      <c r="X2486" s="8">
        <v>1</v>
      </c>
      <c r="Y2486" s="8">
        <v>0</v>
      </c>
      <c r="Z2486" s="33">
        <v>0</v>
      </c>
      <c r="AA2486">
        <v>5</v>
      </c>
      <c r="AB2486" s="34">
        <v>6460</v>
      </c>
      <c r="AC2486" s="87">
        <v>70</v>
      </c>
      <c r="AD2486" s="62">
        <v>0</v>
      </c>
      <c r="AE2486" s="62">
        <v>4</v>
      </c>
      <c r="AF2486" s="62">
        <v>2</v>
      </c>
      <c r="AL2486" s="64">
        <v>1</v>
      </c>
      <c r="AN2486" s="93"/>
      <c r="AO2486" s="92"/>
      <c r="AS2486">
        <v>1</v>
      </c>
    </row>
    <row r="2487" spans="1:45">
      <c r="A2487">
        <v>800011</v>
      </c>
      <c r="B2487" s="8">
        <v>1001</v>
      </c>
      <c r="C2487" s="236">
        <v>6</v>
      </c>
      <c r="D2487" s="236">
        <v>1001</v>
      </c>
      <c r="E2487" s="253" t="s">
        <v>6321</v>
      </c>
      <c r="F2487" s="253" t="s">
        <v>6321</v>
      </c>
      <c r="G2487" t="s">
        <v>6322</v>
      </c>
      <c r="H2487" t="s">
        <v>1931</v>
      </c>
      <c r="I2487">
        <v>1</v>
      </c>
      <c r="J2487">
        <v>4</v>
      </c>
      <c r="K2487" s="33">
        <v>2</v>
      </c>
      <c r="L2487" s="236">
        <v>999</v>
      </c>
      <c r="M2487" s="236">
        <v>0</v>
      </c>
      <c r="N2487" s="236">
        <v>1017</v>
      </c>
      <c r="O2487" s="2">
        <v>30376</v>
      </c>
      <c r="S2487" s="336">
        <v>1</v>
      </c>
      <c r="T2487" s="236">
        <v>5</v>
      </c>
      <c r="U2487" s="336">
        <v>170</v>
      </c>
      <c r="V2487" s="248">
        <v>1</v>
      </c>
      <c r="W2487">
        <v>1</v>
      </c>
      <c r="X2487" s="236">
        <v>1</v>
      </c>
      <c r="Y2487" s="236">
        <v>0</v>
      </c>
      <c r="Z2487" s="33">
        <v>0</v>
      </c>
      <c r="AA2487">
        <v>5</v>
      </c>
      <c r="AB2487" s="34">
        <v>6460</v>
      </c>
      <c r="AC2487" s="248">
        <v>70</v>
      </c>
      <c r="AD2487" s="62">
        <v>0</v>
      </c>
      <c r="AE2487" s="62">
        <v>4</v>
      </c>
      <c r="AF2487" s="62">
        <v>2</v>
      </c>
      <c r="AL2487" s="64">
        <v>1</v>
      </c>
      <c r="AN2487" s="338"/>
      <c r="AO2487" s="252"/>
      <c r="AS2487">
        <v>1</v>
      </c>
    </row>
    <row r="2488" spans="1:45">
      <c r="A2488">
        <v>511565</v>
      </c>
      <c r="B2488" s="8">
        <v>1001</v>
      </c>
      <c r="C2488">
        <v>6</v>
      </c>
      <c r="D2488" s="238">
        <v>1001</v>
      </c>
      <c r="E2488" t="s">
        <v>6323</v>
      </c>
      <c r="F2488" t="s">
        <v>6323</v>
      </c>
      <c r="G2488" t="s">
        <v>6324</v>
      </c>
      <c r="H2488" t="s">
        <v>6325</v>
      </c>
      <c r="I2488">
        <v>1</v>
      </c>
      <c r="J2488">
        <v>5</v>
      </c>
      <c r="K2488" s="33">
        <v>2</v>
      </c>
      <c r="L2488">
        <v>999</v>
      </c>
      <c r="M2488">
        <v>0</v>
      </c>
      <c r="N2488">
        <v>1035</v>
      </c>
      <c r="O2488" s="2">
        <v>62</v>
      </c>
      <c r="S2488" s="33">
        <v>0</v>
      </c>
      <c r="T2488">
        <v>5</v>
      </c>
      <c r="U2488">
        <v>1</v>
      </c>
      <c r="V2488" s="33">
        <v>1</v>
      </c>
      <c r="W2488">
        <v>1</v>
      </c>
      <c r="X2488">
        <v>1</v>
      </c>
      <c r="Y2488">
        <v>0</v>
      </c>
      <c r="Z2488" s="33">
        <v>0</v>
      </c>
      <c r="AA2488">
        <v>5</v>
      </c>
      <c r="AB2488">
        <v>100</v>
      </c>
      <c r="AC2488">
        <v>70</v>
      </c>
      <c r="AD2488" s="62">
        <v>0</v>
      </c>
      <c r="AE2488" s="62">
        <v>1</v>
      </c>
      <c r="AF2488" s="62">
        <v>1</v>
      </c>
      <c r="AS2488">
        <v>1</v>
      </c>
    </row>
    <row r="2489" spans="1:45">
      <c r="A2489">
        <v>511566</v>
      </c>
      <c r="B2489" s="8">
        <v>1001</v>
      </c>
      <c r="C2489">
        <v>6</v>
      </c>
      <c r="D2489" s="236">
        <v>1001</v>
      </c>
      <c r="E2489" t="s">
        <v>6326</v>
      </c>
      <c r="F2489" t="s">
        <v>6326</v>
      </c>
      <c r="G2489" t="s">
        <v>6327</v>
      </c>
      <c r="H2489" t="s">
        <v>6325</v>
      </c>
      <c r="I2489">
        <v>1</v>
      </c>
      <c r="J2489">
        <v>5</v>
      </c>
      <c r="K2489" s="33">
        <v>2</v>
      </c>
      <c r="L2489">
        <v>999</v>
      </c>
      <c r="M2489">
        <v>0</v>
      </c>
      <c r="N2489">
        <v>1035</v>
      </c>
      <c r="O2489" s="2">
        <v>60</v>
      </c>
      <c r="S2489" s="33">
        <v>0</v>
      </c>
      <c r="T2489">
        <v>5</v>
      </c>
      <c r="U2489">
        <v>1</v>
      </c>
      <c r="V2489" s="33">
        <v>1</v>
      </c>
      <c r="W2489">
        <v>1</v>
      </c>
      <c r="X2489">
        <v>1</v>
      </c>
      <c r="Y2489">
        <v>0</v>
      </c>
      <c r="Z2489" s="33">
        <v>0</v>
      </c>
      <c r="AA2489">
        <v>5</v>
      </c>
      <c r="AB2489">
        <v>100</v>
      </c>
      <c r="AC2489">
        <v>70</v>
      </c>
      <c r="AD2489" s="62">
        <v>0</v>
      </c>
      <c r="AE2489" s="62">
        <v>1</v>
      </c>
      <c r="AF2489" s="62">
        <v>1</v>
      </c>
      <c r="AS2489">
        <v>1</v>
      </c>
    </row>
    <row r="2490" spans="1:45">
      <c r="A2490">
        <v>511567</v>
      </c>
      <c r="B2490" s="8">
        <v>1001</v>
      </c>
      <c r="C2490">
        <v>6</v>
      </c>
      <c r="D2490" s="238">
        <v>1001</v>
      </c>
      <c r="E2490" t="s">
        <v>6328</v>
      </c>
      <c r="F2490" t="s">
        <v>6328</v>
      </c>
      <c r="G2490" t="s">
        <v>6329</v>
      </c>
      <c r="H2490" t="s">
        <v>6325</v>
      </c>
      <c r="I2490">
        <v>1</v>
      </c>
      <c r="J2490">
        <v>5</v>
      </c>
      <c r="K2490" s="33">
        <v>2</v>
      </c>
      <c r="L2490">
        <v>999</v>
      </c>
      <c r="M2490">
        <v>0</v>
      </c>
      <c r="N2490">
        <v>1035</v>
      </c>
      <c r="O2490" s="2">
        <v>58</v>
      </c>
      <c r="S2490" s="33">
        <v>0</v>
      </c>
      <c r="T2490">
        <v>5</v>
      </c>
      <c r="U2490">
        <v>1</v>
      </c>
      <c r="V2490" s="33">
        <v>1</v>
      </c>
      <c r="W2490">
        <v>1</v>
      </c>
      <c r="X2490">
        <v>1</v>
      </c>
      <c r="Y2490">
        <v>0</v>
      </c>
      <c r="Z2490" s="33">
        <v>0</v>
      </c>
      <c r="AA2490">
        <v>5</v>
      </c>
      <c r="AB2490">
        <v>100</v>
      </c>
      <c r="AC2490">
        <v>70</v>
      </c>
      <c r="AD2490" s="62">
        <v>0</v>
      </c>
      <c r="AE2490" s="62">
        <v>1</v>
      </c>
      <c r="AF2490" s="62">
        <v>1</v>
      </c>
      <c r="AS2490">
        <v>1</v>
      </c>
    </row>
    <row r="2491" spans="1:45">
      <c r="A2491">
        <v>511568</v>
      </c>
      <c r="B2491" s="8">
        <v>1001</v>
      </c>
      <c r="C2491">
        <v>6</v>
      </c>
      <c r="D2491" s="236">
        <v>1001</v>
      </c>
      <c r="E2491" t="s">
        <v>6330</v>
      </c>
      <c r="F2491" t="s">
        <v>6330</v>
      </c>
      <c r="G2491" t="s">
        <v>6331</v>
      </c>
      <c r="H2491" t="s">
        <v>6325</v>
      </c>
      <c r="I2491">
        <v>1</v>
      </c>
      <c r="J2491">
        <v>5</v>
      </c>
      <c r="K2491" s="33">
        <v>2</v>
      </c>
      <c r="L2491">
        <v>999</v>
      </c>
      <c r="M2491">
        <v>0</v>
      </c>
      <c r="N2491">
        <v>1035</v>
      </c>
      <c r="O2491" s="2">
        <v>59</v>
      </c>
      <c r="S2491" s="33">
        <v>0</v>
      </c>
      <c r="T2491">
        <v>5</v>
      </c>
      <c r="U2491">
        <v>1</v>
      </c>
      <c r="V2491" s="33">
        <v>1</v>
      </c>
      <c r="W2491">
        <v>1</v>
      </c>
      <c r="X2491">
        <v>1</v>
      </c>
      <c r="Y2491">
        <v>0</v>
      </c>
      <c r="Z2491" s="33">
        <v>0</v>
      </c>
      <c r="AA2491">
        <v>5</v>
      </c>
      <c r="AB2491">
        <v>100</v>
      </c>
      <c r="AC2491">
        <v>70</v>
      </c>
      <c r="AD2491" s="62">
        <v>0</v>
      </c>
      <c r="AE2491" s="62">
        <v>1</v>
      </c>
      <c r="AF2491" s="62">
        <v>1</v>
      </c>
      <c r="AS2491">
        <v>1</v>
      </c>
    </row>
    <row r="2492" spans="1:45">
      <c r="A2492">
        <v>511569</v>
      </c>
      <c r="B2492" s="236">
        <v>1001</v>
      </c>
      <c r="C2492">
        <v>6</v>
      </c>
      <c r="D2492">
        <v>1001</v>
      </c>
      <c r="E2492" t="s">
        <v>6332</v>
      </c>
      <c r="F2492" t="s">
        <v>6332</v>
      </c>
      <c r="G2492" t="s">
        <v>6333</v>
      </c>
      <c r="H2492" t="s">
        <v>6325</v>
      </c>
      <c r="I2492">
        <v>1</v>
      </c>
      <c r="J2492">
        <v>5</v>
      </c>
      <c r="K2492" s="33">
        <v>2</v>
      </c>
      <c r="L2492">
        <v>999</v>
      </c>
      <c r="M2492">
        <v>0</v>
      </c>
      <c r="N2492">
        <v>1035</v>
      </c>
      <c r="O2492" s="2">
        <v>61</v>
      </c>
      <c r="S2492" s="33">
        <v>0</v>
      </c>
      <c r="T2492">
        <v>5</v>
      </c>
      <c r="U2492">
        <v>1</v>
      </c>
      <c r="V2492" s="33">
        <v>1</v>
      </c>
      <c r="W2492">
        <v>1</v>
      </c>
      <c r="X2492">
        <v>1</v>
      </c>
      <c r="Y2492">
        <v>0</v>
      </c>
      <c r="Z2492" s="33">
        <v>0</v>
      </c>
      <c r="AA2492">
        <v>5</v>
      </c>
      <c r="AB2492">
        <v>100</v>
      </c>
      <c r="AC2492">
        <v>70</v>
      </c>
      <c r="AD2492" s="62">
        <v>0</v>
      </c>
      <c r="AE2492" s="62">
        <v>1</v>
      </c>
      <c r="AF2492" s="62">
        <v>1</v>
      </c>
      <c r="AS2492">
        <v>1</v>
      </c>
    </row>
    <row r="2493" spans="1:45">
      <c r="A2493">
        <v>511570</v>
      </c>
      <c r="B2493" s="238">
        <v>1001</v>
      </c>
      <c r="C2493" s="238">
        <v>6</v>
      </c>
      <c r="D2493" s="238">
        <v>1001</v>
      </c>
      <c r="E2493" t="s">
        <v>6186</v>
      </c>
      <c r="F2493" t="s">
        <v>6186</v>
      </c>
      <c r="G2493" t="s">
        <v>6187</v>
      </c>
      <c r="H2493" t="s">
        <v>1818</v>
      </c>
      <c r="I2493">
        <v>1</v>
      </c>
      <c r="J2493">
        <v>5</v>
      </c>
      <c r="K2493" s="33">
        <v>2</v>
      </c>
      <c r="L2493">
        <v>999</v>
      </c>
      <c r="M2493">
        <v>0</v>
      </c>
      <c r="N2493">
        <v>1018</v>
      </c>
      <c r="O2493" s="2" t="s">
        <v>6334</v>
      </c>
      <c r="S2493" s="33">
        <v>1</v>
      </c>
      <c r="T2493">
        <v>5</v>
      </c>
      <c r="U2493">
        <v>100</v>
      </c>
      <c r="V2493" s="33">
        <v>1</v>
      </c>
      <c r="W2493">
        <v>1</v>
      </c>
      <c r="X2493" s="238">
        <v>1</v>
      </c>
      <c r="Y2493">
        <v>0</v>
      </c>
      <c r="Z2493" s="33">
        <v>0</v>
      </c>
      <c r="AA2493">
        <v>5</v>
      </c>
      <c r="AB2493">
        <v>2000</v>
      </c>
      <c r="AC2493">
        <v>56</v>
      </c>
      <c r="AD2493" s="62">
        <v>0</v>
      </c>
      <c r="AE2493" s="62">
        <v>5</v>
      </c>
      <c r="AF2493" s="62">
        <v>2</v>
      </c>
      <c r="AS2493">
        <v>1</v>
      </c>
    </row>
    <row r="2494" spans="1:45">
      <c r="A2494">
        <v>511571</v>
      </c>
      <c r="B2494" s="8">
        <v>1001</v>
      </c>
      <c r="C2494" s="8">
        <v>6</v>
      </c>
      <c r="D2494" s="8">
        <v>1001</v>
      </c>
      <c r="E2494" t="s">
        <v>6335</v>
      </c>
      <c r="F2494" t="s">
        <v>6335</v>
      </c>
      <c r="G2494" t="s">
        <v>6336</v>
      </c>
      <c r="H2494" t="s">
        <v>1812</v>
      </c>
      <c r="I2494">
        <v>1</v>
      </c>
      <c r="J2494">
        <v>5</v>
      </c>
      <c r="K2494" s="33">
        <v>2</v>
      </c>
      <c r="L2494">
        <v>999</v>
      </c>
      <c r="M2494">
        <v>0</v>
      </c>
      <c r="N2494">
        <v>1017</v>
      </c>
      <c r="O2494" s="249">
        <v>50163</v>
      </c>
      <c r="S2494" s="33">
        <v>1</v>
      </c>
      <c r="T2494">
        <v>5</v>
      </c>
      <c r="U2494">
        <v>100</v>
      </c>
      <c r="V2494" s="33">
        <v>1</v>
      </c>
      <c r="W2494">
        <v>1</v>
      </c>
      <c r="X2494" s="8">
        <v>1</v>
      </c>
      <c r="Y2494">
        <v>0</v>
      </c>
      <c r="Z2494" s="33">
        <v>0</v>
      </c>
      <c r="AA2494">
        <v>5</v>
      </c>
      <c r="AB2494">
        <v>2000</v>
      </c>
      <c r="AC2494">
        <v>56</v>
      </c>
      <c r="AD2494" s="62">
        <v>0</v>
      </c>
      <c r="AE2494" s="62">
        <v>4</v>
      </c>
      <c r="AF2494" s="62">
        <v>2</v>
      </c>
      <c r="AS2494">
        <v>1</v>
      </c>
    </row>
    <row r="2495" spans="1:45">
      <c r="A2495">
        <v>511572</v>
      </c>
      <c r="B2495" s="8">
        <v>1001</v>
      </c>
      <c r="C2495" s="8">
        <v>6</v>
      </c>
      <c r="D2495" s="8">
        <v>1001</v>
      </c>
      <c r="E2495" t="s">
        <v>6337</v>
      </c>
      <c r="F2495" t="s">
        <v>6337</v>
      </c>
      <c r="G2495" t="s">
        <v>6336</v>
      </c>
      <c r="H2495" t="s">
        <v>5477</v>
      </c>
      <c r="I2495">
        <v>1</v>
      </c>
      <c r="J2495">
        <v>5</v>
      </c>
      <c r="K2495" s="33">
        <v>2</v>
      </c>
      <c r="L2495">
        <v>999</v>
      </c>
      <c r="M2495">
        <v>0</v>
      </c>
      <c r="N2495">
        <v>1017</v>
      </c>
      <c r="O2495" s="249">
        <v>50164</v>
      </c>
      <c r="S2495" s="33">
        <v>1</v>
      </c>
      <c r="T2495">
        <v>5</v>
      </c>
      <c r="U2495">
        <v>100</v>
      </c>
      <c r="V2495" s="33">
        <v>1</v>
      </c>
      <c r="W2495">
        <v>1</v>
      </c>
      <c r="X2495" s="8">
        <v>1</v>
      </c>
      <c r="Y2495">
        <v>0</v>
      </c>
      <c r="Z2495" s="33">
        <v>0</v>
      </c>
      <c r="AA2495">
        <v>5</v>
      </c>
      <c r="AB2495">
        <v>2000</v>
      </c>
      <c r="AC2495">
        <v>56</v>
      </c>
      <c r="AD2495" s="62">
        <v>0</v>
      </c>
      <c r="AE2495" s="62">
        <v>4</v>
      </c>
      <c r="AF2495" s="62">
        <v>2</v>
      </c>
      <c r="AS2495">
        <v>1</v>
      </c>
    </row>
    <row r="2496" spans="1:45">
      <c r="A2496">
        <v>511573</v>
      </c>
      <c r="B2496" s="236">
        <v>1001</v>
      </c>
      <c r="C2496" s="236">
        <v>6</v>
      </c>
      <c r="D2496" s="236">
        <v>1001</v>
      </c>
      <c r="E2496" t="s">
        <v>6338</v>
      </c>
      <c r="F2496" t="s">
        <v>6338</v>
      </c>
      <c r="G2496" t="s">
        <v>6339</v>
      </c>
      <c r="H2496" t="s">
        <v>1564</v>
      </c>
      <c r="I2496">
        <v>1</v>
      </c>
      <c r="J2496">
        <v>4</v>
      </c>
      <c r="K2496" s="33">
        <v>2</v>
      </c>
      <c r="L2496">
        <v>999</v>
      </c>
      <c r="M2496">
        <v>0</v>
      </c>
      <c r="N2496">
        <v>1017</v>
      </c>
      <c r="O2496" s="249">
        <v>50165</v>
      </c>
      <c r="S2496" s="33">
        <v>1</v>
      </c>
      <c r="T2496">
        <v>5</v>
      </c>
      <c r="U2496">
        <v>10</v>
      </c>
      <c r="V2496" s="33">
        <v>1</v>
      </c>
      <c r="W2496">
        <v>1</v>
      </c>
      <c r="X2496" s="236">
        <v>1</v>
      </c>
      <c r="Y2496">
        <v>0</v>
      </c>
      <c r="Z2496" s="33">
        <v>0</v>
      </c>
      <c r="AA2496">
        <v>5</v>
      </c>
      <c r="AB2496">
        <v>100</v>
      </c>
      <c r="AC2496">
        <v>56</v>
      </c>
      <c r="AD2496" s="62">
        <v>0</v>
      </c>
      <c r="AE2496" s="62">
        <v>4</v>
      </c>
      <c r="AF2496" s="62">
        <v>2</v>
      </c>
      <c r="AS2496">
        <v>1</v>
      </c>
    </row>
    <row r="2497" spans="1:45">
      <c r="A2497">
        <v>511574</v>
      </c>
      <c r="B2497">
        <v>1001</v>
      </c>
      <c r="C2497">
        <v>6</v>
      </c>
      <c r="D2497">
        <v>1001</v>
      </c>
      <c r="E2497" t="s">
        <v>6340</v>
      </c>
      <c r="F2497" t="s">
        <v>6340</v>
      </c>
      <c r="G2497" t="s">
        <v>6341</v>
      </c>
      <c r="H2497" t="s">
        <v>1818</v>
      </c>
      <c r="I2497">
        <v>1</v>
      </c>
      <c r="J2497">
        <v>5</v>
      </c>
      <c r="K2497" s="33">
        <v>2</v>
      </c>
      <c r="L2497">
        <v>999</v>
      </c>
      <c r="M2497">
        <v>0</v>
      </c>
      <c r="N2497">
        <v>1</v>
      </c>
      <c r="O2497" s="2" t="s">
        <v>6342</v>
      </c>
      <c r="S2497" s="33">
        <v>0</v>
      </c>
      <c r="T2497">
        <v>5</v>
      </c>
      <c r="U2497">
        <v>1</v>
      </c>
      <c r="V2497" s="33">
        <v>1</v>
      </c>
      <c r="W2497">
        <v>1</v>
      </c>
      <c r="X2497">
        <v>1</v>
      </c>
      <c r="Y2497">
        <v>0</v>
      </c>
      <c r="Z2497" s="33">
        <v>0</v>
      </c>
      <c r="AA2497">
        <v>5</v>
      </c>
      <c r="AB2497">
        <v>100</v>
      </c>
      <c r="AC2497">
        <v>55</v>
      </c>
      <c r="AD2497" s="62">
        <v>0</v>
      </c>
      <c r="AE2497" s="62">
        <v>4</v>
      </c>
      <c r="AF2497" s="62">
        <v>2</v>
      </c>
      <c r="AS2497">
        <v>1</v>
      </c>
    </row>
    <row r="2498" spans="1:45">
      <c r="A2498">
        <v>511575</v>
      </c>
      <c r="B2498">
        <v>1001</v>
      </c>
      <c r="C2498">
        <v>6</v>
      </c>
      <c r="D2498">
        <v>1001</v>
      </c>
      <c r="E2498" t="s">
        <v>6262</v>
      </c>
      <c r="F2498" t="s">
        <v>5749</v>
      </c>
      <c r="G2498" s="439" t="s">
        <v>6343</v>
      </c>
      <c r="H2498" t="s">
        <v>204</v>
      </c>
      <c r="I2498">
        <v>1</v>
      </c>
      <c r="J2498">
        <v>5</v>
      </c>
      <c r="K2498" s="33">
        <v>2</v>
      </c>
      <c r="L2498">
        <v>999</v>
      </c>
      <c r="M2498">
        <v>0</v>
      </c>
      <c r="N2498">
        <v>1018</v>
      </c>
      <c r="O2498" s="2" t="s">
        <v>6344</v>
      </c>
      <c r="S2498" s="33">
        <v>1</v>
      </c>
      <c r="T2498">
        <v>5</v>
      </c>
      <c r="U2498">
        <v>100</v>
      </c>
      <c r="V2498" s="33">
        <v>1</v>
      </c>
      <c r="W2498">
        <v>1</v>
      </c>
      <c r="X2498">
        <v>1</v>
      </c>
      <c r="Y2498">
        <v>0</v>
      </c>
      <c r="Z2498" s="33">
        <v>0</v>
      </c>
      <c r="AA2498">
        <v>5</v>
      </c>
      <c r="AB2498">
        <v>2000</v>
      </c>
      <c r="AC2498">
        <v>56</v>
      </c>
      <c r="AD2498" s="62">
        <v>0</v>
      </c>
      <c r="AE2498" s="62">
        <v>5</v>
      </c>
      <c r="AF2498" s="62">
        <v>2</v>
      </c>
      <c r="AS2498">
        <v>1</v>
      </c>
    </row>
    <row r="2499" spans="1:45">
      <c r="A2499">
        <v>511576</v>
      </c>
      <c r="B2499">
        <v>1001</v>
      </c>
      <c r="C2499">
        <v>6</v>
      </c>
      <c r="D2499">
        <v>1001</v>
      </c>
      <c r="E2499" t="s">
        <v>5550</v>
      </c>
      <c r="F2499" t="s">
        <v>5550</v>
      </c>
      <c r="G2499" s="3" t="s">
        <v>6345</v>
      </c>
      <c r="H2499" t="s">
        <v>1822</v>
      </c>
      <c r="I2499">
        <v>1</v>
      </c>
      <c r="J2499">
        <v>5</v>
      </c>
      <c r="K2499" s="33">
        <v>2</v>
      </c>
      <c r="L2499">
        <v>999</v>
      </c>
      <c r="M2499">
        <v>0</v>
      </c>
      <c r="N2499">
        <v>1018</v>
      </c>
      <c r="O2499" s="2" t="s">
        <v>6346</v>
      </c>
      <c r="S2499" s="33">
        <v>1</v>
      </c>
      <c r="T2499">
        <v>5</v>
      </c>
      <c r="U2499">
        <v>100</v>
      </c>
      <c r="V2499" s="33">
        <v>1</v>
      </c>
      <c r="W2499">
        <v>1</v>
      </c>
      <c r="X2499">
        <v>1</v>
      </c>
      <c r="Y2499">
        <v>0</v>
      </c>
      <c r="Z2499" s="33">
        <v>0</v>
      </c>
      <c r="AA2499">
        <v>5</v>
      </c>
      <c r="AB2499">
        <v>2000</v>
      </c>
      <c r="AC2499">
        <v>56</v>
      </c>
      <c r="AD2499" s="62">
        <v>0</v>
      </c>
      <c r="AE2499" s="62">
        <v>5</v>
      </c>
      <c r="AF2499" s="62">
        <v>2</v>
      </c>
      <c r="AS2499">
        <v>1</v>
      </c>
    </row>
    <row r="2500" spans="1:45">
      <c r="A2500">
        <v>511577</v>
      </c>
      <c r="B2500" s="238">
        <v>1001</v>
      </c>
      <c r="C2500" s="238">
        <v>6</v>
      </c>
      <c r="D2500" s="238">
        <v>1001</v>
      </c>
      <c r="E2500" t="s">
        <v>6347</v>
      </c>
      <c r="F2500" t="s">
        <v>6347</v>
      </c>
      <c r="G2500" t="s">
        <v>6348</v>
      </c>
      <c r="H2500" t="s">
        <v>1818</v>
      </c>
      <c r="I2500">
        <v>1</v>
      </c>
      <c r="J2500">
        <v>5</v>
      </c>
      <c r="K2500" s="33">
        <v>2</v>
      </c>
      <c r="L2500">
        <v>999</v>
      </c>
      <c r="M2500">
        <v>0</v>
      </c>
      <c r="N2500">
        <v>1018</v>
      </c>
      <c r="O2500" s="2" t="s">
        <v>6349</v>
      </c>
      <c r="S2500" s="33">
        <v>1</v>
      </c>
      <c r="T2500">
        <v>5</v>
      </c>
      <c r="U2500">
        <v>100</v>
      </c>
      <c r="V2500" s="33">
        <v>1</v>
      </c>
      <c r="W2500">
        <v>1</v>
      </c>
      <c r="X2500" s="238">
        <v>1</v>
      </c>
      <c r="Y2500">
        <v>0</v>
      </c>
      <c r="Z2500" s="33">
        <v>0</v>
      </c>
      <c r="AA2500">
        <v>5</v>
      </c>
      <c r="AB2500">
        <v>2000</v>
      </c>
      <c r="AC2500">
        <v>56</v>
      </c>
      <c r="AD2500" s="62">
        <v>0</v>
      </c>
      <c r="AE2500" s="62">
        <v>5</v>
      </c>
      <c r="AF2500" s="62">
        <v>2</v>
      </c>
      <c r="AS2500">
        <v>1</v>
      </c>
    </row>
    <row r="2501" spans="1:45">
      <c r="A2501">
        <v>511578</v>
      </c>
      <c r="B2501" s="236">
        <v>1001</v>
      </c>
      <c r="C2501" s="236">
        <v>6</v>
      </c>
      <c r="D2501" s="236">
        <v>1001</v>
      </c>
      <c r="E2501" t="s">
        <v>5510</v>
      </c>
      <c r="F2501" t="s">
        <v>5510</v>
      </c>
      <c r="G2501" t="s">
        <v>6350</v>
      </c>
      <c r="H2501" t="s">
        <v>6249</v>
      </c>
      <c r="I2501">
        <v>1</v>
      </c>
      <c r="J2501">
        <v>5</v>
      </c>
      <c r="K2501" s="33">
        <v>2</v>
      </c>
      <c r="L2501" s="238">
        <v>999</v>
      </c>
      <c r="M2501" s="238">
        <v>0</v>
      </c>
      <c r="N2501">
        <v>1017</v>
      </c>
      <c r="O2501" s="249">
        <v>50166</v>
      </c>
      <c r="S2501" s="254">
        <v>1</v>
      </c>
      <c r="T2501" s="238">
        <v>5</v>
      </c>
      <c r="U2501" s="238">
        <v>100</v>
      </c>
      <c r="V2501" s="254">
        <v>1</v>
      </c>
      <c r="W2501">
        <v>1</v>
      </c>
      <c r="X2501" s="8">
        <v>1</v>
      </c>
      <c r="Y2501" s="238">
        <v>0</v>
      </c>
      <c r="Z2501" s="33">
        <v>0</v>
      </c>
      <c r="AA2501">
        <v>5</v>
      </c>
      <c r="AB2501">
        <v>2000</v>
      </c>
      <c r="AC2501" s="238">
        <v>56</v>
      </c>
      <c r="AD2501" s="62">
        <v>0</v>
      </c>
      <c r="AE2501" s="62">
        <v>4</v>
      </c>
      <c r="AF2501" s="62">
        <v>2</v>
      </c>
      <c r="AM2501" s="4"/>
      <c r="AN2501" s="93"/>
      <c r="AO2501" s="92"/>
      <c r="AS2501">
        <v>1</v>
      </c>
    </row>
    <row r="2502" spans="1:45">
      <c r="A2502">
        <v>511579</v>
      </c>
      <c r="B2502" s="238">
        <v>1001</v>
      </c>
      <c r="C2502">
        <v>1</v>
      </c>
      <c r="D2502" s="238">
        <v>1001</v>
      </c>
      <c r="E2502" t="s">
        <v>6351</v>
      </c>
      <c r="F2502" t="s">
        <v>6351</v>
      </c>
      <c r="G2502" t="s">
        <v>6314</v>
      </c>
      <c r="H2502" t="s">
        <v>6352</v>
      </c>
      <c r="I2502">
        <v>1</v>
      </c>
      <c r="J2502">
        <v>5</v>
      </c>
      <c r="K2502" s="33">
        <v>1</v>
      </c>
      <c r="L2502" s="236">
        <v>999</v>
      </c>
      <c r="M2502" s="236">
        <v>0</v>
      </c>
      <c r="O2502" s="249"/>
      <c r="Q2502" s="8"/>
      <c r="R2502" s="8"/>
      <c r="S2502" s="336">
        <v>1</v>
      </c>
      <c r="T2502" s="236">
        <v>5</v>
      </c>
      <c r="U2502" s="336">
        <v>50</v>
      </c>
      <c r="V2502" s="248">
        <v>1</v>
      </c>
      <c r="W2502">
        <v>1</v>
      </c>
      <c r="X2502" s="8">
        <v>1</v>
      </c>
      <c r="Y2502" s="236">
        <v>0</v>
      </c>
      <c r="Z2502" s="33">
        <v>0</v>
      </c>
      <c r="AA2502">
        <v>5</v>
      </c>
      <c r="AB2502" s="34">
        <v>1000</v>
      </c>
      <c r="AC2502" s="248">
        <v>56</v>
      </c>
      <c r="AD2502" s="62">
        <v>0</v>
      </c>
      <c r="AI2502" s="63" t="s">
        <v>6353</v>
      </c>
      <c r="AM2502" s="4"/>
      <c r="AN2502" s="338"/>
      <c r="AO2502" s="252"/>
      <c r="AS2502">
        <v>1</v>
      </c>
    </row>
    <row r="2503" spans="1:45">
      <c r="A2503">
        <v>511580</v>
      </c>
      <c r="B2503" s="236">
        <v>1001</v>
      </c>
      <c r="C2503">
        <v>1</v>
      </c>
      <c r="D2503" s="236">
        <v>1001</v>
      </c>
      <c r="E2503" t="s">
        <v>6354</v>
      </c>
      <c r="F2503" t="s">
        <v>6354</v>
      </c>
      <c r="G2503" t="s">
        <v>6316</v>
      </c>
      <c r="H2503" t="s">
        <v>6355</v>
      </c>
      <c r="I2503">
        <v>1</v>
      </c>
      <c r="J2503">
        <v>5</v>
      </c>
      <c r="K2503" s="33">
        <v>1</v>
      </c>
      <c r="L2503">
        <v>999</v>
      </c>
      <c r="M2503">
        <v>0</v>
      </c>
      <c r="O2503" s="249"/>
      <c r="Q2503" s="236"/>
      <c r="R2503" s="236"/>
      <c r="S2503" s="33">
        <v>1</v>
      </c>
      <c r="T2503">
        <v>5</v>
      </c>
      <c r="U2503">
        <v>50</v>
      </c>
      <c r="V2503" s="33">
        <v>1</v>
      </c>
      <c r="W2503">
        <v>1</v>
      </c>
      <c r="X2503" s="236">
        <v>1</v>
      </c>
      <c r="Y2503">
        <v>0</v>
      </c>
      <c r="Z2503" s="33">
        <v>0</v>
      </c>
      <c r="AA2503">
        <v>5</v>
      </c>
      <c r="AB2503">
        <v>1000</v>
      </c>
      <c r="AC2503">
        <v>56</v>
      </c>
      <c r="AD2503" s="62">
        <v>0</v>
      </c>
      <c r="AI2503" s="63" t="s">
        <v>6353</v>
      </c>
      <c r="AQ2503"/>
      <c r="AS2503">
        <v>1</v>
      </c>
    </row>
    <row r="2504" spans="1:45">
      <c r="A2504">
        <v>290900</v>
      </c>
      <c r="B2504">
        <v>1001</v>
      </c>
      <c r="C2504">
        <v>1</v>
      </c>
      <c r="D2504">
        <v>1001</v>
      </c>
      <c r="E2504" t="s">
        <v>6356</v>
      </c>
      <c r="F2504" t="s">
        <v>6356</v>
      </c>
      <c r="G2504" t="s">
        <v>6357</v>
      </c>
      <c r="H2504" t="s">
        <v>6358</v>
      </c>
      <c r="I2504">
        <v>1</v>
      </c>
      <c r="J2504">
        <v>5</v>
      </c>
      <c r="K2504" s="33">
        <v>1</v>
      </c>
      <c r="L2504" s="3">
        <v>9999</v>
      </c>
      <c r="M2504">
        <v>0</v>
      </c>
      <c r="S2504" s="33">
        <v>1</v>
      </c>
      <c r="T2504">
        <v>5</v>
      </c>
      <c r="U2504">
        <v>200</v>
      </c>
      <c r="V2504" s="33">
        <v>1</v>
      </c>
      <c r="W2504">
        <v>1</v>
      </c>
      <c r="X2504">
        <v>1</v>
      </c>
      <c r="Y2504">
        <v>0</v>
      </c>
      <c r="Z2504" s="33">
        <v>0</v>
      </c>
      <c r="AA2504">
        <v>5</v>
      </c>
      <c r="AB2504">
        <v>7600</v>
      </c>
      <c r="AC2504">
        <v>300</v>
      </c>
      <c r="AD2504" s="62">
        <v>0</v>
      </c>
      <c r="AE2504" s="62">
        <v>0</v>
      </c>
      <c r="AF2504" s="62">
        <v>0</v>
      </c>
      <c r="AH2504" s="63">
        <v>1</v>
      </c>
      <c r="AL2504" s="64">
        <v>1</v>
      </c>
      <c r="AM2504" s="64">
        <v>1</v>
      </c>
      <c r="AQ2504" t="s">
        <v>1249</v>
      </c>
      <c r="AS2504">
        <v>1</v>
      </c>
    </row>
    <row r="2505" spans="1:45">
      <c r="A2505">
        <v>290910</v>
      </c>
      <c r="B2505">
        <v>1001</v>
      </c>
      <c r="C2505">
        <v>1</v>
      </c>
      <c r="D2505">
        <v>1001</v>
      </c>
      <c r="E2505" t="s">
        <v>6359</v>
      </c>
      <c r="F2505" t="s">
        <v>6359</v>
      </c>
      <c r="G2505" t="s">
        <v>6360</v>
      </c>
      <c r="H2505" t="s">
        <v>6361</v>
      </c>
      <c r="I2505">
        <v>1</v>
      </c>
      <c r="J2505">
        <v>5</v>
      </c>
      <c r="K2505" s="33">
        <v>1</v>
      </c>
      <c r="L2505" s="3">
        <v>9999</v>
      </c>
      <c r="M2505">
        <v>0</v>
      </c>
      <c r="S2505" s="33">
        <v>1</v>
      </c>
      <c r="T2505">
        <v>5</v>
      </c>
      <c r="U2505">
        <v>200</v>
      </c>
      <c r="V2505" s="33">
        <v>1</v>
      </c>
      <c r="W2505">
        <v>1</v>
      </c>
      <c r="X2505">
        <v>1</v>
      </c>
      <c r="Y2505">
        <v>0</v>
      </c>
      <c r="Z2505" s="33">
        <v>0</v>
      </c>
      <c r="AA2505">
        <v>5</v>
      </c>
      <c r="AB2505">
        <v>7600</v>
      </c>
      <c r="AC2505">
        <v>300</v>
      </c>
      <c r="AD2505" s="62">
        <v>0</v>
      </c>
      <c r="AE2505" s="62">
        <v>0</v>
      </c>
      <c r="AF2505" s="62">
        <v>0</v>
      </c>
      <c r="AH2505" s="63">
        <v>1</v>
      </c>
      <c r="AL2505" s="64">
        <v>1</v>
      </c>
      <c r="AM2505" s="64">
        <v>2</v>
      </c>
      <c r="AQ2505" t="s">
        <v>1249</v>
      </c>
      <c r="AS2505">
        <v>1</v>
      </c>
    </row>
    <row r="2506" spans="1:45">
      <c r="A2506">
        <v>290920</v>
      </c>
      <c r="B2506">
        <v>1001</v>
      </c>
      <c r="C2506">
        <v>1</v>
      </c>
      <c r="D2506">
        <v>1001</v>
      </c>
      <c r="E2506" t="s">
        <v>6362</v>
      </c>
      <c r="F2506" t="s">
        <v>6362</v>
      </c>
      <c r="G2506" t="s">
        <v>6363</v>
      </c>
      <c r="H2506" t="s">
        <v>6364</v>
      </c>
      <c r="I2506">
        <v>1</v>
      </c>
      <c r="J2506">
        <v>5</v>
      </c>
      <c r="K2506" s="33">
        <v>1</v>
      </c>
      <c r="L2506" s="3">
        <v>9999</v>
      </c>
      <c r="M2506">
        <v>0</v>
      </c>
      <c r="S2506" s="33">
        <v>1</v>
      </c>
      <c r="T2506">
        <v>5</v>
      </c>
      <c r="U2506">
        <v>200</v>
      </c>
      <c r="V2506" s="33">
        <v>1</v>
      </c>
      <c r="W2506">
        <v>1</v>
      </c>
      <c r="X2506">
        <v>1</v>
      </c>
      <c r="Y2506">
        <v>0</v>
      </c>
      <c r="Z2506" s="33">
        <v>0</v>
      </c>
      <c r="AA2506">
        <v>5</v>
      </c>
      <c r="AB2506">
        <v>7600</v>
      </c>
      <c r="AC2506">
        <v>300</v>
      </c>
      <c r="AD2506" s="62">
        <v>0</v>
      </c>
      <c r="AE2506" s="62">
        <v>0</v>
      </c>
      <c r="AF2506" s="62">
        <v>0</v>
      </c>
      <c r="AH2506" s="63">
        <v>1</v>
      </c>
      <c r="AL2506" s="64">
        <v>1</v>
      </c>
      <c r="AM2506" s="64">
        <v>3</v>
      </c>
      <c r="AQ2506" t="s">
        <v>1249</v>
      </c>
      <c r="AS2506">
        <v>1</v>
      </c>
    </row>
    <row r="2507" spans="1:45">
      <c r="A2507">
        <v>290930</v>
      </c>
      <c r="B2507">
        <v>1001</v>
      </c>
      <c r="C2507">
        <v>1</v>
      </c>
      <c r="D2507">
        <v>1001</v>
      </c>
      <c r="E2507" t="s">
        <v>6365</v>
      </c>
      <c r="F2507" t="s">
        <v>6365</v>
      </c>
      <c r="G2507" t="s">
        <v>6366</v>
      </c>
      <c r="H2507" t="s">
        <v>6367</v>
      </c>
      <c r="I2507">
        <v>1</v>
      </c>
      <c r="J2507">
        <v>5</v>
      </c>
      <c r="K2507" s="33">
        <v>1</v>
      </c>
      <c r="L2507" s="3">
        <v>9999</v>
      </c>
      <c r="M2507">
        <v>0</v>
      </c>
      <c r="S2507" s="33">
        <v>1</v>
      </c>
      <c r="T2507">
        <v>5</v>
      </c>
      <c r="U2507">
        <v>200</v>
      </c>
      <c r="V2507" s="33">
        <v>1</v>
      </c>
      <c r="W2507">
        <v>1</v>
      </c>
      <c r="X2507">
        <v>1</v>
      </c>
      <c r="Y2507">
        <v>0</v>
      </c>
      <c r="Z2507" s="33">
        <v>0</v>
      </c>
      <c r="AA2507">
        <v>5</v>
      </c>
      <c r="AB2507">
        <v>7600</v>
      </c>
      <c r="AC2507">
        <v>300</v>
      </c>
      <c r="AD2507" s="62">
        <v>0</v>
      </c>
      <c r="AE2507" s="62">
        <v>0</v>
      </c>
      <c r="AF2507" s="62">
        <v>0</v>
      </c>
      <c r="AH2507" s="63">
        <v>1</v>
      </c>
      <c r="AL2507" s="64">
        <v>1</v>
      </c>
      <c r="AM2507" s="64">
        <v>4</v>
      </c>
      <c r="AQ2507" t="s">
        <v>1249</v>
      </c>
      <c r="AS2507">
        <v>1</v>
      </c>
    </row>
    <row r="2508" spans="1:45">
      <c r="A2508">
        <v>290940</v>
      </c>
      <c r="B2508">
        <v>1001</v>
      </c>
      <c r="C2508">
        <v>1</v>
      </c>
      <c r="D2508">
        <v>1001</v>
      </c>
      <c r="E2508" t="s">
        <v>6368</v>
      </c>
      <c r="F2508" t="s">
        <v>6368</v>
      </c>
      <c r="G2508" t="s">
        <v>6369</v>
      </c>
      <c r="H2508" t="s">
        <v>6370</v>
      </c>
      <c r="I2508">
        <v>1</v>
      </c>
      <c r="J2508">
        <v>5</v>
      </c>
      <c r="K2508" s="33">
        <v>1</v>
      </c>
      <c r="L2508" s="3">
        <v>9999</v>
      </c>
      <c r="M2508">
        <v>0</v>
      </c>
      <c r="S2508" s="33">
        <v>1</v>
      </c>
      <c r="T2508">
        <v>5</v>
      </c>
      <c r="U2508">
        <v>200</v>
      </c>
      <c r="V2508" s="33">
        <v>1</v>
      </c>
      <c r="W2508">
        <v>1</v>
      </c>
      <c r="X2508">
        <v>1</v>
      </c>
      <c r="Y2508">
        <v>0</v>
      </c>
      <c r="Z2508" s="33">
        <v>0</v>
      </c>
      <c r="AA2508">
        <v>5</v>
      </c>
      <c r="AB2508">
        <v>7600</v>
      </c>
      <c r="AC2508">
        <v>300</v>
      </c>
      <c r="AD2508" s="62">
        <v>0</v>
      </c>
      <c r="AE2508" s="62">
        <v>0</v>
      </c>
      <c r="AF2508" s="62">
        <v>0</v>
      </c>
      <c r="AH2508" s="63">
        <v>1</v>
      </c>
      <c r="AL2508" s="64">
        <v>1</v>
      </c>
      <c r="AM2508" s="64">
        <v>5</v>
      </c>
      <c r="AQ2508" t="s">
        <v>1249</v>
      </c>
      <c r="AS2508">
        <v>1</v>
      </c>
    </row>
    <row r="2509" spans="1:45">
      <c r="A2509">
        <v>290950</v>
      </c>
      <c r="B2509">
        <v>1001</v>
      </c>
      <c r="C2509">
        <v>1</v>
      </c>
      <c r="D2509">
        <v>1001</v>
      </c>
      <c r="E2509" t="s">
        <v>6371</v>
      </c>
      <c r="F2509" t="s">
        <v>6371</v>
      </c>
      <c r="G2509" t="s">
        <v>6372</v>
      </c>
      <c r="H2509" t="s">
        <v>6373</v>
      </c>
      <c r="I2509">
        <v>1</v>
      </c>
      <c r="J2509">
        <v>5</v>
      </c>
      <c r="K2509" s="33">
        <v>1</v>
      </c>
      <c r="L2509" s="3">
        <v>9999</v>
      </c>
      <c r="M2509">
        <v>0</v>
      </c>
      <c r="S2509" s="33">
        <v>1</v>
      </c>
      <c r="T2509">
        <v>5</v>
      </c>
      <c r="U2509">
        <v>200</v>
      </c>
      <c r="V2509" s="33">
        <v>1</v>
      </c>
      <c r="W2509">
        <v>1</v>
      </c>
      <c r="X2509">
        <v>1</v>
      </c>
      <c r="Y2509">
        <v>0</v>
      </c>
      <c r="Z2509" s="33">
        <v>0</v>
      </c>
      <c r="AA2509">
        <v>5</v>
      </c>
      <c r="AB2509">
        <v>7600</v>
      </c>
      <c r="AC2509">
        <v>300</v>
      </c>
      <c r="AD2509" s="62">
        <v>0</v>
      </c>
      <c r="AE2509" s="62">
        <v>0</v>
      </c>
      <c r="AF2509" s="62">
        <v>0</v>
      </c>
      <c r="AH2509" s="63">
        <v>1</v>
      </c>
      <c r="AL2509" s="64">
        <v>1</v>
      </c>
      <c r="AM2509" s="64">
        <v>6</v>
      </c>
      <c r="AQ2509" t="s">
        <v>1249</v>
      </c>
      <c r="AS2509">
        <v>1</v>
      </c>
    </row>
    <row r="2510" spans="1:45">
      <c r="A2510">
        <v>290960</v>
      </c>
      <c r="B2510">
        <v>1001</v>
      </c>
      <c r="C2510">
        <v>1</v>
      </c>
      <c r="D2510">
        <v>1001</v>
      </c>
      <c r="E2510" t="s">
        <v>6374</v>
      </c>
      <c r="F2510" t="s">
        <v>6374</v>
      </c>
      <c r="G2510" t="s">
        <v>6375</v>
      </c>
      <c r="H2510" t="s">
        <v>6376</v>
      </c>
      <c r="I2510">
        <v>1</v>
      </c>
      <c r="J2510">
        <v>5</v>
      </c>
      <c r="K2510" s="33">
        <v>1</v>
      </c>
      <c r="L2510" s="3">
        <v>9999</v>
      </c>
      <c r="M2510">
        <v>0</v>
      </c>
      <c r="S2510" s="33">
        <v>1</v>
      </c>
      <c r="T2510">
        <v>5</v>
      </c>
      <c r="U2510">
        <v>200</v>
      </c>
      <c r="V2510" s="33">
        <v>1</v>
      </c>
      <c r="W2510">
        <v>1</v>
      </c>
      <c r="X2510">
        <v>1</v>
      </c>
      <c r="Y2510">
        <v>0</v>
      </c>
      <c r="Z2510" s="33">
        <v>0</v>
      </c>
      <c r="AA2510">
        <v>5</v>
      </c>
      <c r="AB2510">
        <v>7600</v>
      </c>
      <c r="AC2510">
        <v>300</v>
      </c>
      <c r="AD2510" s="62">
        <v>0</v>
      </c>
      <c r="AE2510" s="62">
        <v>0</v>
      </c>
      <c r="AF2510" s="62">
        <v>0</v>
      </c>
      <c r="AH2510" s="63">
        <v>1</v>
      </c>
      <c r="AL2510" s="64">
        <v>1</v>
      </c>
      <c r="AM2510" s="64">
        <v>7</v>
      </c>
      <c r="AQ2510" t="s">
        <v>1249</v>
      </c>
      <c r="AS2510">
        <v>1</v>
      </c>
    </row>
    <row r="2511" spans="1:45">
      <c r="A2511">
        <v>290970</v>
      </c>
      <c r="B2511">
        <v>1001</v>
      </c>
      <c r="C2511">
        <v>1</v>
      </c>
      <c r="D2511">
        <v>1001</v>
      </c>
      <c r="E2511" t="s">
        <v>6377</v>
      </c>
      <c r="F2511" t="s">
        <v>6377</v>
      </c>
      <c r="G2511" t="s">
        <v>6378</v>
      </c>
      <c r="H2511" t="s">
        <v>6379</v>
      </c>
      <c r="I2511">
        <v>1</v>
      </c>
      <c r="J2511">
        <v>5</v>
      </c>
      <c r="K2511" s="33">
        <v>1</v>
      </c>
      <c r="L2511" s="3">
        <v>9999</v>
      </c>
      <c r="M2511">
        <v>0</v>
      </c>
      <c r="S2511" s="33">
        <v>1</v>
      </c>
      <c r="T2511">
        <v>5</v>
      </c>
      <c r="U2511">
        <v>200</v>
      </c>
      <c r="V2511" s="33">
        <v>1</v>
      </c>
      <c r="W2511">
        <v>1</v>
      </c>
      <c r="X2511">
        <v>1</v>
      </c>
      <c r="Y2511">
        <v>0</v>
      </c>
      <c r="Z2511" s="33">
        <v>0</v>
      </c>
      <c r="AA2511">
        <v>5</v>
      </c>
      <c r="AB2511">
        <v>7600</v>
      </c>
      <c r="AC2511">
        <v>300</v>
      </c>
      <c r="AD2511" s="62">
        <v>0</v>
      </c>
      <c r="AE2511" s="62">
        <v>0</v>
      </c>
      <c r="AF2511" s="62">
        <v>0</v>
      </c>
      <c r="AH2511" s="63">
        <v>1</v>
      </c>
      <c r="AL2511" s="64">
        <v>1</v>
      </c>
      <c r="AM2511" s="64">
        <v>8</v>
      </c>
      <c r="AQ2511" t="s">
        <v>1249</v>
      </c>
      <c r="AS2511">
        <v>1</v>
      </c>
    </row>
    <row r="2512" spans="1:45">
      <c r="A2512">
        <v>290980</v>
      </c>
      <c r="B2512">
        <v>1001</v>
      </c>
      <c r="C2512">
        <v>1</v>
      </c>
      <c r="D2512">
        <v>1001</v>
      </c>
      <c r="E2512" t="s">
        <v>6380</v>
      </c>
      <c r="F2512" t="s">
        <v>6380</v>
      </c>
      <c r="G2512" t="s">
        <v>6381</v>
      </c>
      <c r="H2512" t="s">
        <v>6382</v>
      </c>
      <c r="I2512">
        <v>1</v>
      </c>
      <c r="J2512">
        <v>5</v>
      </c>
      <c r="K2512" s="33">
        <v>1</v>
      </c>
      <c r="L2512" s="3">
        <v>9999</v>
      </c>
      <c r="M2512">
        <v>0</v>
      </c>
      <c r="S2512" s="33">
        <v>1</v>
      </c>
      <c r="T2512">
        <v>5</v>
      </c>
      <c r="U2512">
        <v>200</v>
      </c>
      <c r="V2512" s="33">
        <v>1</v>
      </c>
      <c r="W2512">
        <v>1</v>
      </c>
      <c r="X2512">
        <v>1</v>
      </c>
      <c r="Y2512">
        <v>0</v>
      </c>
      <c r="Z2512" s="33">
        <v>0</v>
      </c>
      <c r="AA2512">
        <v>5</v>
      </c>
      <c r="AB2512">
        <v>7600</v>
      </c>
      <c r="AC2512">
        <v>300</v>
      </c>
      <c r="AD2512" s="62">
        <v>0</v>
      </c>
      <c r="AE2512" s="62">
        <v>0</v>
      </c>
      <c r="AF2512" s="62">
        <v>0</v>
      </c>
      <c r="AH2512" s="63">
        <v>1</v>
      </c>
      <c r="AL2512" s="64">
        <v>1</v>
      </c>
      <c r="AM2512" s="64">
        <v>9</v>
      </c>
      <c r="AQ2512" t="s">
        <v>1249</v>
      </c>
      <c r="AS2512">
        <v>1</v>
      </c>
    </row>
    <row r="2513" spans="1:45">
      <c r="A2513">
        <v>290990</v>
      </c>
      <c r="B2513">
        <v>1001</v>
      </c>
      <c r="C2513">
        <v>1</v>
      </c>
      <c r="D2513">
        <v>1001</v>
      </c>
      <c r="E2513" t="s">
        <v>6383</v>
      </c>
      <c r="F2513" t="s">
        <v>6383</v>
      </c>
      <c r="G2513" t="s">
        <v>6384</v>
      </c>
      <c r="H2513" t="s">
        <v>6385</v>
      </c>
      <c r="I2513">
        <v>1</v>
      </c>
      <c r="J2513">
        <v>5</v>
      </c>
      <c r="K2513" s="33">
        <v>1</v>
      </c>
      <c r="L2513" s="3">
        <v>9999</v>
      </c>
      <c r="M2513">
        <v>0</v>
      </c>
      <c r="S2513" s="33">
        <v>1</v>
      </c>
      <c r="T2513">
        <v>5</v>
      </c>
      <c r="U2513">
        <v>200</v>
      </c>
      <c r="V2513" s="33">
        <v>1</v>
      </c>
      <c r="W2513">
        <v>1</v>
      </c>
      <c r="X2513">
        <v>1</v>
      </c>
      <c r="Y2513">
        <v>0</v>
      </c>
      <c r="Z2513" s="33">
        <v>0</v>
      </c>
      <c r="AA2513">
        <v>5</v>
      </c>
      <c r="AB2513">
        <v>7600</v>
      </c>
      <c r="AC2513">
        <v>300</v>
      </c>
      <c r="AD2513" s="62">
        <v>0</v>
      </c>
      <c r="AE2513" s="62">
        <v>0</v>
      </c>
      <c r="AF2513" s="62">
        <v>0</v>
      </c>
      <c r="AH2513" s="63">
        <v>1</v>
      </c>
      <c r="AL2513" s="64">
        <v>1</v>
      </c>
      <c r="AM2513" s="64">
        <v>10</v>
      </c>
      <c r="AQ2513" t="s">
        <v>1249</v>
      </c>
      <c r="AS2513">
        <v>1</v>
      </c>
    </row>
    <row r="2514" spans="1:45">
      <c r="A2514">
        <v>291000</v>
      </c>
      <c r="B2514">
        <v>1001</v>
      </c>
      <c r="C2514">
        <v>1</v>
      </c>
      <c r="D2514">
        <v>1001</v>
      </c>
      <c r="E2514" t="s">
        <v>6386</v>
      </c>
      <c r="F2514" t="s">
        <v>6386</v>
      </c>
      <c r="G2514" t="s">
        <v>6387</v>
      </c>
      <c r="H2514" t="s">
        <v>6388</v>
      </c>
      <c r="I2514">
        <v>1</v>
      </c>
      <c r="J2514">
        <v>5</v>
      </c>
      <c r="K2514" s="33">
        <v>1</v>
      </c>
      <c r="L2514" s="3">
        <v>9999</v>
      </c>
      <c r="M2514">
        <v>0</v>
      </c>
      <c r="S2514" s="33">
        <v>1</v>
      </c>
      <c r="T2514">
        <v>5</v>
      </c>
      <c r="U2514">
        <v>200</v>
      </c>
      <c r="V2514" s="33">
        <v>1</v>
      </c>
      <c r="W2514">
        <v>1</v>
      </c>
      <c r="X2514">
        <v>1</v>
      </c>
      <c r="Y2514">
        <v>0</v>
      </c>
      <c r="Z2514" s="33">
        <v>0</v>
      </c>
      <c r="AA2514">
        <v>5</v>
      </c>
      <c r="AB2514">
        <v>7600</v>
      </c>
      <c r="AC2514">
        <v>300</v>
      </c>
      <c r="AD2514" s="62">
        <v>0</v>
      </c>
      <c r="AE2514" s="62">
        <v>0</v>
      </c>
      <c r="AF2514" s="62">
        <v>0</v>
      </c>
      <c r="AH2514" s="63">
        <v>1</v>
      </c>
      <c r="AL2514" s="64">
        <v>1</v>
      </c>
      <c r="AM2514" s="64">
        <v>11</v>
      </c>
      <c r="AQ2514" t="s">
        <v>1249</v>
      </c>
      <c r="AS2514">
        <v>1</v>
      </c>
    </row>
    <row r="2515" spans="1:45">
      <c r="A2515">
        <v>291010</v>
      </c>
      <c r="B2515">
        <v>1001</v>
      </c>
      <c r="C2515">
        <v>1</v>
      </c>
      <c r="D2515">
        <v>1001</v>
      </c>
      <c r="E2515" t="s">
        <v>6389</v>
      </c>
      <c r="F2515" t="s">
        <v>6389</v>
      </c>
      <c r="G2515" t="s">
        <v>6390</v>
      </c>
      <c r="H2515" t="s">
        <v>6391</v>
      </c>
      <c r="I2515">
        <v>1</v>
      </c>
      <c r="J2515">
        <v>5</v>
      </c>
      <c r="K2515" s="33">
        <v>1</v>
      </c>
      <c r="L2515" s="3">
        <v>9999</v>
      </c>
      <c r="M2515">
        <v>0</v>
      </c>
      <c r="S2515" s="33">
        <v>1</v>
      </c>
      <c r="T2515">
        <v>5</v>
      </c>
      <c r="U2515">
        <v>200</v>
      </c>
      <c r="V2515" s="33">
        <v>1</v>
      </c>
      <c r="W2515">
        <v>1</v>
      </c>
      <c r="X2515">
        <v>1</v>
      </c>
      <c r="Y2515">
        <v>0</v>
      </c>
      <c r="Z2515" s="33">
        <v>0</v>
      </c>
      <c r="AA2515">
        <v>5</v>
      </c>
      <c r="AB2515">
        <v>7600</v>
      </c>
      <c r="AC2515">
        <v>300</v>
      </c>
      <c r="AD2515" s="62">
        <v>0</v>
      </c>
      <c r="AE2515" s="62">
        <v>0</v>
      </c>
      <c r="AF2515" s="62">
        <v>0</v>
      </c>
      <c r="AH2515" s="63">
        <v>1</v>
      </c>
      <c r="AL2515" s="64">
        <v>1</v>
      </c>
      <c r="AM2515" s="64">
        <v>12</v>
      </c>
      <c r="AQ2515" t="s">
        <v>1249</v>
      </c>
      <c r="AS2515">
        <v>1</v>
      </c>
    </row>
    <row r="2516" spans="1:45">
      <c r="A2516">
        <v>291020</v>
      </c>
      <c r="B2516">
        <v>1001</v>
      </c>
      <c r="C2516">
        <v>1</v>
      </c>
      <c r="D2516">
        <v>1001</v>
      </c>
      <c r="E2516" t="s">
        <v>6392</v>
      </c>
      <c r="F2516" t="s">
        <v>6392</v>
      </c>
      <c r="G2516" t="s">
        <v>6393</v>
      </c>
      <c r="H2516" t="s">
        <v>6394</v>
      </c>
      <c r="I2516">
        <v>1</v>
      </c>
      <c r="J2516">
        <v>5</v>
      </c>
      <c r="K2516" s="33">
        <v>1</v>
      </c>
      <c r="L2516" s="3">
        <v>9999</v>
      </c>
      <c r="M2516">
        <v>0</v>
      </c>
      <c r="S2516" s="33">
        <v>1</v>
      </c>
      <c r="T2516">
        <v>5</v>
      </c>
      <c r="U2516">
        <v>200</v>
      </c>
      <c r="V2516" s="33">
        <v>1</v>
      </c>
      <c r="W2516">
        <v>1</v>
      </c>
      <c r="X2516">
        <v>1</v>
      </c>
      <c r="Y2516">
        <v>0</v>
      </c>
      <c r="Z2516" s="33">
        <v>0</v>
      </c>
      <c r="AA2516">
        <v>5</v>
      </c>
      <c r="AB2516">
        <v>7600</v>
      </c>
      <c r="AC2516">
        <v>300</v>
      </c>
      <c r="AD2516" s="62">
        <v>0</v>
      </c>
      <c r="AE2516" s="62">
        <v>0</v>
      </c>
      <c r="AF2516" s="62">
        <v>0</v>
      </c>
      <c r="AH2516" s="63">
        <v>1</v>
      </c>
      <c r="AL2516" s="64">
        <v>1</v>
      </c>
      <c r="AM2516" s="64">
        <v>13</v>
      </c>
      <c r="AQ2516" t="s">
        <v>1249</v>
      </c>
      <c r="AS2516">
        <v>1</v>
      </c>
    </row>
    <row r="2517" spans="1:45">
      <c r="A2517">
        <v>291030</v>
      </c>
      <c r="B2517">
        <v>1001</v>
      </c>
      <c r="C2517">
        <v>1</v>
      </c>
      <c r="D2517">
        <v>1001</v>
      </c>
      <c r="E2517" t="s">
        <v>6395</v>
      </c>
      <c r="F2517" t="s">
        <v>6395</v>
      </c>
      <c r="G2517" t="s">
        <v>6396</v>
      </c>
      <c r="H2517" t="s">
        <v>6397</v>
      </c>
      <c r="I2517">
        <v>1</v>
      </c>
      <c r="J2517">
        <v>5</v>
      </c>
      <c r="K2517" s="33">
        <v>1</v>
      </c>
      <c r="L2517" s="3">
        <v>9999</v>
      </c>
      <c r="M2517">
        <v>0</v>
      </c>
      <c r="S2517" s="33">
        <v>1</v>
      </c>
      <c r="T2517">
        <v>5</v>
      </c>
      <c r="U2517">
        <v>200</v>
      </c>
      <c r="V2517" s="33">
        <v>1</v>
      </c>
      <c r="W2517">
        <v>1</v>
      </c>
      <c r="X2517">
        <v>1</v>
      </c>
      <c r="Y2517">
        <v>0</v>
      </c>
      <c r="Z2517" s="33">
        <v>0</v>
      </c>
      <c r="AA2517">
        <v>5</v>
      </c>
      <c r="AB2517">
        <v>7600</v>
      </c>
      <c r="AC2517">
        <v>300</v>
      </c>
      <c r="AD2517" s="62">
        <v>0</v>
      </c>
      <c r="AE2517" s="62">
        <v>0</v>
      </c>
      <c r="AF2517" s="62">
        <v>0</v>
      </c>
      <c r="AH2517" s="63">
        <v>1</v>
      </c>
      <c r="AL2517" s="64">
        <v>1</v>
      </c>
      <c r="AM2517" s="64">
        <v>14</v>
      </c>
      <c r="AQ2517" t="s">
        <v>1249</v>
      </c>
      <c r="AS2517">
        <v>1</v>
      </c>
    </row>
    <row r="2518" spans="1:45">
      <c r="A2518">
        <v>291040</v>
      </c>
      <c r="B2518">
        <v>1001</v>
      </c>
      <c r="C2518">
        <v>1</v>
      </c>
      <c r="D2518">
        <v>1001</v>
      </c>
      <c r="E2518" t="s">
        <v>6398</v>
      </c>
      <c r="F2518" t="s">
        <v>6398</v>
      </c>
      <c r="G2518" t="s">
        <v>6399</v>
      </c>
      <c r="H2518" t="s">
        <v>6400</v>
      </c>
      <c r="I2518">
        <v>1</v>
      </c>
      <c r="J2518">
        <v>5</v>
      </c>
      <c r="K2518" s="33">
        <v>1</v>
      </c>
      <c r="L2518" s="3">
        <v>9999</v>
      </c>
      <c r="M2518">
        <v>0</v>
      </c>
      <c r="N2518"/>
      <c r="S2518" s="33">
        <v>1</v>
      </c>
      <c r="T2518">
        <v>5</v>
      </c>
      <c r="U2518">
        <v>200</v>
      </c>
      <c r="V2518" s="33">
        <v>1</v>
      </c>
      <c r="W2518">
        <v>1</v>
      </c>
      <c r="X2518">
        <v>1</v>
      </c>
      <c r="Y2518">
        <v>0</v>
      </c>
      <c r="Z2518" s="33">
        <v>0</v>
      </c>
      <c r="AA2518">
        <v>5</v>
      </c>
      <c r="AB2518">
        <v>7600</v>
      </c>
      <c r="AC2518">
        <v>300</v>
      </c>
      <c r="AD2518" s="62">
        <v>0</v>
      </c>
      <c r="AE2518" s="62">
        <v>0</v>
      </c>
      <c r="AF2518" s="62">
        <v>0</v>
      </c>
      <c r="AH2518" s="63">
        <v>1</v>
      </c>
      <c r="AL2518" s="64">
        <v>1</v>
      </c>
      <c r="AM2518" s="64">
        <v>15</v>
      </c>
      <c r="AQ2518" t="s">
        <v>1249</v>
      </c>
      <c r="AS2518">
        <v>1</v>
      </c>
    </row>
    <row r="2519" spans="1:45">
      <c r="A2519">
        <v>511581</v>
      </c>
      <c r="B2519">
        <v>1001</v>
      </c>
      <c r="C2519">
        <v>6</v>
      </c>
      <c r="D2519">
        <v>1001</v>
      </c>
      <c r="E2519" t="s">
        <v>5532</v>
      </c>
      <c r="F2519" t="s">
        <v>5532</v>
      </c>
      <c r="G2519" t="s">
        <v>6401</v>
      </c>
      <c r="H2519" t="s">
        <v>5527</v>
      </c>
      <c r="I2519">
        <v>1</v>
      </c>
      <c r="J2519">
        <v>5</v>
      </c>
      <c r="K2519" s="33">
        <v>2</v>
      </c>
      <c r="L2519">
        <v>999</v>
      </c>
      <c r="M2519">
        <v>0</v>
      </c>
      <c r="N2519">
        <v>1017</v>
      </c>
      <c r="O2519" s="2">
        <v>100195</v>
      </c>
      <c r="S2519" s="33">
        <v>1</v>
      </c>
      <c r="T2519">
        <v>5</v>
      </c>
      <c r="U2519">
        <v>1</v>
      </c>
      <c r="V2519" s="33">
        <v>1</v>
      </c>
      <c r="W2519">
        <v>1</v>
      </c>
      <c r="X2519">
        <v>1</v>
      </c>
      <c r="Y2519">
        <v>0</v>
      </c>
      <c r="Z2519" s="33">
        <v>0</v>
      </c>
      <c r="AA2519">
        <v>5</v>
      </c>
      <c r="AB2519">
        <v>100</v>
      </c>
      <c r="AC2519">
        <v>70</v>
      </c>
      <c r="AD2519" s="62">
        <v>0</v>
      </c>
      <c r="AE2519" s="62">
        <v>4</v>
      </c>
      <c r="AF2519" s="62">
        <v>2</v>
      </c>
      <c r="AL2519" s="64">
        <v>1</v>
      </c>
      <c r="AQ2519" t="s">
        <v>5533</v>
      </c>
      <c r="AS2519">
        <v>1</v>
      </c>
    </row>
    <row r="2520" spans="1:45">
      <c r="A2520">
        <v>511582</v>
      </c>
      <c r="B2520">
        <v>1001</v>
      </c>
      <c r="C2520">
        <v>6</v>
      </c>
      <c r="D2520">
        <v>1001</v>
      </c>
      <c r="E2520" t="s">
        <v>5534</v>
      </c>
      <c r="F2520" t="s">
        <v>5534</v>
      </c>
      <c r="G2520" t="s">
        <v>6401</v>
      </c>
      <c r="H2520" t="s">
        <v>5527</v>
      </c>
      <c r="I2520">
        <v>1</v>
      </c>
      <c r="J2520">
        <v>5</v>
      </c>
      <c r="K2520" s="33">
        <v>2</v>
      </c>
      <c r="L2520">
        <v>999</v>
      </c>
      <c r="M2520">
        <v>0</v>
      </c>
      <c r="N2520">
        <v>1017</v>
      </c>
      <c r="O2520" s="2">
        <v>100203</v>
      </c>
      <c r="S2520" s="33">
        <v>1</v>
      </c>
      <c r="T2520">
        <v>5</v>
      </c>
      <c r="U2520">
        <v>1</v>
      </c>
      <c r="V2520" s="33">
        <v>1</v>
      </c>
      <c r="W2520">
        <v>1</v>
      </c>
      <c r="X2520">
        <v>1</v>
      </c>
      <c r="Y2520">
        <v>0</v>
      </c>
      <c r="Z2520" s="33">
        <v>0</v>
      </c>
      <c r="AA2520">
        <v>5</v>
      </c>
      <c r="AB2520">
        <v>100</v>
      </c>
      <c r="AC2520">
        <v>70</v>
      </c>
      <c r="AD2520" s="62">
        <v>0</v>
      </c>
      <c r="AE2520" s="62">
        <v>4</v>
      </c>
      <c r="AF2520" s="62">
        <v>2</v>
      </c>
      <c r="AL2520" s="64">
        <v>1</v>
      </c>
      <c r="AQ2520" t="s">
        <v>5535</v>
      </c>
      <c r="AS2520">
        <v>1</v>
      </c>
    </row>
    <row r="2521" spans="1:45">
      <c r="A2521">
        <v>511583</v>
      </c>
      <c r="B2521">
        <v>1001</v>
      </c>
      <c r="C2521">
        <v>6</v>
      </c>
      <c r="D2521">
        <v>1001</v>
      </c>
      <c r="E2521" t="s">
        <v>6402</v>
      </c>
      <c r="F2521" t="s">
        <v>6402</v>
      </c>
      <c r="G2521" t="s">
        <v>6401</v>
      </c>
      <c r="H2521" t="s">
        <v>5537</v>
      </c>
      <c r="I2521">
        <v>1</v>
      </c>
      <c r="J2521">
        <v>5</v>
      </c>
      <c r="K2521" s="33">
        <v>2</v>
      </c>
      <c r="L2521">
        <v>999</v>
      </c>
      <c r="M2521">
        <v>0</v>
      </c>
      <c r="N2521">
        <v>1017</v>
      </c>
      <c r="O2521" s="2">
        <v>100198</v>
      </c>
      <c r="S2521" s="33">
        <v>1</v>
      </c>
      <c r="T2521">
        <v>5</v>
      </c>
      <c r="U2521">
        <v>1</v>
      </c>
      <c r="V2521" s="33">
        <v>1</v>
      </c>
      <c r="W2521">
        <v>1</v>
      </c>
      <c r="X2521">
        <v>1</v>
      </c>
      <c r="Y2521">
        <v>0</v>
      </c>
      <c r="Z2521" s="33">
        <v>0</v>
      </c>
      <c r="AA2521">
        <v>5</v>
      </c>
      <c r="AB2521">
        <v>100</v>
      </c>
      <c r="AC2521">
        <v>70</v>
      </c>
      <c r="AD2521" s="62">
        <v>0</v>
      </c>
      <c r="AE2521" s="62">
        <v>4</v>
      </c>
      <c r="AF2521" s="62">
        <v>2</v>
      </c>
      <c r="AL2521" s="64">
        <v>1</v>
      </c>
      <c r="AQ2521" t="s">
        <v>5538</v>
      </c>
      <c r="AS2521">
        <v>1</v>
      </c>
    </row>
    <row r="2522" spans="1:45">
      <c r="A2522">
        <v>511584</v>
      </c>
      <c r="B2522">
        <v>1001</v>
      </c>
      <c r="C2522">
        <v>6</v>
      </c>
      <c r="D2522">
        <v>1001</v>
      </c>
      <c r="E2522" t="s">
        <v>6403</v>
      </c>
      <c r="F2522" t="s">
        <v>6403</v>
      </c>
      <c r="G2522" t="s">
        <v>6401</v>
      </c>
      <c r="H2522" t="s">
        <v>5537</v>
      </c>
      <c r="I2522">
        <v>1</v>
      </c>
      <c r="J2522">
        <v>5</v>
      </c>
      <c r="K2522" s="33">
        <v>2</v>
      </c>
      <c r="L2522">
        <v>999</v>
      </c>
      <c r="M2522">
        <v>0</v>
      </c>
      <c r="N2522">
        <v>1017</v>
      </c>
      <c r="O2522" s="2">
        <v>100205</v>
      </c>
      <c r="S2522" s="33">
        <v>1</v>
      </c>
      <c r="T2522">
        <v>5</v>
      </c>
      <c r="U2522">
        <v>1</v>
      </c>
      <c r="V2522" s="33">
        <v>1</v>
      </c>
      <c r="W2522">
        <v>1</v>
      </c>
      <c r="X2522">
        <v>1</v>
      </c>
      <c r="Y2522">
        <v>0</v>
      </c>
      <c r="Z2522" s="33">
        <v>0</v>
      </c>
      <c r="AA2522">
        <v>5</v>
      </c>
      <c r="AB2522">
        <v>100</v>
      </c>
      <c r="AC2522">
        <v>70</v>
      </c>
      <c r="AD2522" s="62">
        <v>0</v>
      </c>
      <c r="AE2522" s="62">
        <v>4</v>
      </c>
      <c r="AF2522" s="62">
        <v>2</v>
      </c>
      <c r="AL2522" s="64">
        <v>1</v>
      </c>
      <c r="AQ2522" t="s">
        <v>5540</v>
      </c>
      <c r="AS2522">
        <v>1</v>
      </c>
    </row>
    <row r="2523" spans="1:45">
      <c r="A2523">
        <v>511585</v>
      </c>
      <c r="B2523">
        <v>1001</v>
      </c>
      <c r="C2523">
        <v>6</v>
      </c>
      <c r="D2523">
        <v>1001</v>
      </c>
      <c r="E2523" t="s">
        <v>5541</v>
      </c>
      <c r="F2523" t="s">
        <v>5541</v>
      </c>
      <c r="G2523" t="s">
        <v>6401</v>
      </c>
      <c r="H2523" t="s">
        <v>5542</v>
      </c>
      <c r="I2523">
        <v>1</v>
      </c>
      <c r="J2523">
        <v>5</v>
      </c>
      <c r="K2523" s="33">
        <v>2</v>
      </c>
      <c r="L2523">
        <v>999</v>
      </c>
      <c r="M2523">
        <v>0</v>
      </c>
      <c r="N2523">
        <v>1017</v>
      </c>
      <c r="O2523" s="2">
        <v>100201</v>
      </c>
      <c r="S2523" s="33">
        <v>1</v>
      </c>
      <c r="T2523">
        <v>5</v>
      </c>
      <c r="U2523">
        <v>1</v>
      </c>
      <c r="V2523" s="33">
        <v>1</v>
      </c>
      <c r="W2523">
        <v>1</v>
      </c>
      <c r="X2523">
        <v>1</v>
      </c>
      <c r="Y2523">
        <v>0</v>
      </c>
      <c r="Z2523" s="33">
        <v>0</v>
      </c>
      <c r="AA2523">
        <v>5</v>
      </c>
      <c r="AB2523">
        <v>100</v>
      </c>
      <c r="AC2523">
        <v>70</v>
      </c>
      <c r="AD2523" s="62">
        <v>0</v>
      </c>
      <c r="AE2523" s="62">
        <v>4</v>
      </c>
      <c r="AF2523" s="62">
        <v>2</v>
      </c>
      <c r="AL2523" s="64">
        <v>1</v>
      </c>
      <c r="AQ2523" t="s">
        <v>5543</v>
      </c>
      <c r="AS2523">
        <v>1</v>
      </c>
    </row>
    <row r="2524" spans="1:45">
      <c r="A2524">
        <v>511586</v>
      </c>
      <c r="B2524">
        <v>1001</v>
      </c>
      <c r="C2524">
        <v>6</v>
      </c>
      <c r="D2524">
        <v>1001</v>
      </c>
      <c r="E2524" t="s">
        <v>5544</v>
      </c>
      <c r="F2524" t="s">
        <v>5544</v>
      </c>
      <c r="G2524" t="s">
        <v>6401</v>
      </c>
      <c r="H2524" t="s">
        <v>5542</v>
      </c>
      <c r="I2524">
        <v>1</v>
      </c>
      <c r="J2524">
        <v>5</v>
      </c>
      <c r="K2524" s="33">
        <v>2</v>
      </c>
      <c r="L2524">
        <v>999</v>
      </c>
      <c r="M2524">
        <v>0</v>
      </c>
      <c r="N2524">
        <v>1017</v>
      </c>
      <c r="O2524" s="2">
        <v>100207</v>
      </c>
      <c r="R2524"/>
      <c r="S2524" s="33">
        <v>1</v>
      </c>
      <c r="T2524">
        <v>5</v>
      </c>
      <c r="U2524">
        <v>1</v>
      </c>
      <c r="V2524" s="33">
        <v>1</v>
      </c>
      <c r="W2524">
        <v>1</v>
      </c>
      <c r="X2524">
        <v>1</v>
      </c>
      <c r="Y2524">
        <v>0</v>
      </c>
      <c r="Z2524" s="33">
        <v>0</v>
      </c>
      <c r="AA2524">
        <v>5</v>
      </c>
      <c r="AB2524">
        <v>100</v>
      </c>
      <c r="AC2524">
        <v>70</v>
      </c>
      <c r="AD2524" s="62">
        <v>0</v>
      </c>
      <c r="AE2524" s="62">
        <v>4</v>
      </c>
      <c r="AF2524" s="62">
        <v>2</v>
      </c>
      <c r="AL2524" s="64">
        <v>1</v>
      </c>
      <c r="AQ2524" t="s">
        <v>5545</v>
      </c>
      <c r="AS2524">
        <v>1</v>
      </c>
    </row>
    <row r="2525" spans="1:45">
      <c r="A2525">
        <v>511587</v>
      </c>
      <c r="B2525">
        <v>1001</v>
      </c>
      <c r="C2525">
        <v>6</v>
      </c>
      <c r="D2525">
        <v>1001</v>
      </c>
      <c r="E2525" t="s">
        <v>6404</v>
      </c>
      <c r="F2525" t="s">
        <v>6404</v>
      </c>
      <c r="G2525" t="s">
        <v>6405</v>
      </c>
      <c r="H2525" t="s">
        <v>4202</v>
      </c>
      <c r="I2525">
        <v>1</v>
      </c>
      <c r="J2525">
        <v>4</v>
      </c>
      <c r="K2525" s="33">
        <v>2</v>
      </c>
      <c r="L2525">
        <v>999</v>
      </c>
      <c r="M2525">
        <v>0</v>
      </c>
      <c r="N2525">
        <v>1018</v>
      </c>
      <c r="O2525" s="2" t="s">
        <v>6406</v>
      </c>
      <c r="R2525">
        <v>1</v>
      </c>
      <c r="S2525" s="33">
        <v>1</v>
      </c>
      <c r="T2525">
        <v>5</v>
      </c>
      <c r="U2525">
        <v>100</v>
      </c>
      <c r="V2525" s="33">
        <v>1</v>
      </c>
      <c r="W2525">
        <v>1</v>
      </c>
      <c r="X2525">
        <v>1</v>
      </c>
      <c r="Y2525">
        <v>0</v>
      </c>
      <c r="Z2525" s="33">
        <v>0</v>
      </c>
      <c r="AA2525">
        <v>5</v>
      </c>
      <c r="AB2525">
        <v>2000</v>
      </c>
      <c r="AC2525">
        <v>56</v>
      </c>
      <c r="AD2525" s="62">
        <v>0</v>
      </c>
      <c r="AE2525" s="62">
        <v>5</v>
      </c>
      <c r="AF2525" s="62">
        <v>2</v>
      </c>
      <c r="AM2525" s="64">
        <v>6</v>
      </c>
      <c r="AS2525">
        <v>1</v>
      </c>
    </row>
    <row r="2526" spans="1:45">
      <c r="A2526">
        <v>511588</v>
      </c>
      <c r="B2526">
        <v>1001</v>
      </c>
      <c r="C2526">
        <v>6</v>
      </c>
      <c r="D2526">
        <v>1001</v>
      </c>
      <c r="E2526" t="s">
        <v>6407</v>
      </c>
      <c r="F2526" t="s">
        <v>6407</v>
      </c>
      <c r="G2526" t="s">
        <v>6408</v>
      </c>
      <c r="H2526" t="s">
        <v>4202</v>
      </c>
      <c r="I2526">
        <v>1</v>
      </c>
      <c r="J2526">
        <v>4</v>
      </c>
      <c r="K2526" s="33">
        <v>2</v>
      </c>
      <c r="L2526">
        <v>999</v>
      </c>
      <c r="M2526">
        <v>0</v>
      </c>
      <c r="N2526">
        <v>1018</v>
      </c>
      <c r="O2526" s="2" t="s">
        <v>6409</v>
      </c>
      <c r="R2526">
        <v>1</v>
      </c>
      <c r="S2526" s="33">
        <v>1</v>
      </c>
      <c r="T2526">
        <v>5</v>
      </c>
      <c r="U2526">
        <v>100</v>
      </c>
      <c r="V2526" s="33">
        <v>1</v>
      </c>
      <c r="W2526">
        <v>1</v>
      </c>
      <c r="X2526">
        <v>1</v>
      </c>
      <c r="Y2526">
        <v>0</v>
      </c>
      <c r="Z2526" s="33">
        <v>0</v>
      </c>
      <c r="AA2526">
        <v>5</v>
      </c>
      <c r="AB2526">
        <v>2000</v>
      </c>
      <c r="AC2526">
        <v>56</v>
      </c>
      <c r="AD2526" s="62">
        <v>0</v>
      </c>
      <c r="AE2526" s="62">
        <v>5</v>
      </c>
      <c r="AF2526" s="62">
        <v>2</v>
      </c>
      <c r="AM2526" s="64">
        <v>8</v>
      </c>
      <c r="AS2526">
        <v>1</v>
      </c>
    </row>
    <row r="2527" spans="1:45">
      <c r="A2527">
        <v>511589</v>
      </c>
      <c r="B2527">
        <v>1001</v>
      </c>
      <c r="C2527">
        <v>6</v>
      </c>
      <c r="D2527">
        <v>1001</v>
      </c>
      <c r="E2527" t="s">
        <v>6410</v>
      </c>
      <c r="F2527" t="s">
        <v>6410</v>
      </c>
      <c r="G2527" s="3" t="s">
        <v>6411</v>
      </c>
      <c r="H2527" t="s">
        <v>1822</v>
      </c>
      <c r="I2527">
        <v>1</v>
      </c>
      <c r="J2527">
        <v>5</v>
      </c>
      <c r="K2527" s="33">
        <v>2</v>
      </c>
      <c r="L2527">
        <v>999</v>
      </c>
      <c r="M2527">
        <v>0</v>
      </c>
      <c r="N2527">
        <v>1018</v>
      </c>
      <c r="O2527" s="2" t="s">
        <v>6412</v>
      </c>
      <c r="R2527">
        <v>1</v>
      </c>
      <c r="S2527" s="33">
        <v>1</v>
      </c>
      <c r="T2527">
        <v>5</v>
      </c>
      <c r="U2527">
        <v>100</v>
      </c>
      <c r="V2527" s="33">
        <v>1</v>
      </c>
      <c r="W2527">
        <v>1</v>
      </c>
      <c r="X2527">
        <v>1</v>
      </c>
      <c r="Y2527">
        <v>0</v>
      </c>
      <c r="Z2527" s="33">
        <v>0</v>
      </c>
      <c r="AA2527">
        <v>5</v>
      </c>
      <c r="AB2527">
        <v>2000</v>
      </c>
      <c r="AC2527">
        <v>56</v>
      </c>
      <c r="AD2527" s="62">
        <v>0</v>
      </c>
      <c r="AE2527" s="62">
        <v>5</v>
      </c>
      <c r="AF2527" s="62">
        <v>2</v>
      </c>
      <c r="AS2527">
        <v>1</v>
      </c>
    </row>
    <row r="2528" spans="1:45">
      <c r="A2528">
        <v>511590</v>
      </c>
      <c r="B2528">
        <v>1001</v>
      </c>
      <c r="C2528">
        <v>6</v>
      </c>
      <c r="D2528">
        <v>1001</v>
      </c>
      <c r="E2528" t="s">
        <v>6413</v>
      </c>
      <c r="F2528" t="s">
        <v>6413</v>
      </c>
      <c r="G2528" t="s">
        <v>6414</v>
      </c>
      <c r="H2528" t="s">
        <v>1818</v>
      </c>
      <c r="I2528">
        <v>1</v>
      </c>
      <c r="J2528">
        <v>5</v>
      </c>
      <c r="K2528" s="33">
        <v>2</v>
      </c>
      <c r="L2528">
        <v>999</v>
      </c>
      <c r="M2528">
        <v>0</v>
      </c>
      <c r="N2528">
        <v>1018</v>
      </c>
      <c r="O2528" s="2" t="s">
        <v>6415</v>
      </c>
      <c r="R2528">
        <v>1</v>
      </c>
      <c r="S2528" s="33">
        <v>1</v>
      </c>
      <c r="T2528">
        <v>5</v>
      </c>
      <c r="U2528">
        <v>100</v>
      </c>
      <c r="V2528" s="33">
        <v>1</v>
      </c>
      <c r="W2528">
        <v>1</v>
      </c>
      <c r="X2528">
        <v>1</v>
      </c>
      <c r="Y2528">
        <v>0</v>
      </c>
      <c r="Z2528" s="33">
        <v>0</v>
      </c>
      <c r="AA2528">
        <v>5</v>
      </c>
      <c r="AB2528">
        <v>2000</v>
      </c>
      <c r="AC2528">
        <v>56</v>
      </c>
      <c r="AD2528" s="62">
        <v>0</v>
      </c>
      <c r="AE2528" s="62">
        <v>5</v>
      </c>
      <c r="AF2528" s="62">
        <v>2</v>
      </c>
      <c r="AS2528">
        <v>1</v>
      </c>
    </row>
    <row r="2529" spans="1:45">
      <c r="A2529">
        <v>511591</v>
      </c>
      <c r="B2529">
        <v>1001</v>
      </c>
      <c r="C2529">
        <v>6</v>
      </c>
      <c r="D2529">
        <v>1001</v>
      </c>
      <c r="E2529" t="s">
        <v>6416</v>
      </c>
      <c r="F2529" t="s">
        <v>6417</v>
      </c>
      <c r="G2529" t="s">
        <v>6418</v>
      </c>
      <c r="H2529" t="s">
        <v>1818</v>
      </c>
      <c r="I2529">
        <v>1</v>
      </c>
      <c r="J2529">
        <v>5</v>
      </c>
      <c r="K2529" s="33">
        <v>2</v>
      </c>
      <c r="L2529">
        <v>999</v>
      </c>
      <c r="M2529">
        <v>0</v>
      </c>
      <c r="N2529">
        <v>1018</v>
      </c>
      <c r="O2529" s="2" t="s">
        <v>6419</v>
      </c>
      <c r="R2529">
        <v>1</v>
      </c>
      <c r="S2529" s="33">
        <v>1</v>
      </c>
      <c r="T2529">
        <v>5</v>
      </c>
      <c r="U2529">
        <v>100</v>
      </c>
      <c r="V2529" s="33">
        <v>1</v>
      </c>
      <c r="W2529">
        <v>1</v>
      </c>
      <c r="X2529">
        <v>1</v>
      </c>
      <c r="Y2529">
        <v>0</v>
      </c>
      <c r="Z2529" s="33">
        <v>0</v>
      </c>
      <c r="AA2529">
        <v>5</v>
      </c>
      <c r="AB2529">
        <v>2000</v>
      </c>
      <c r="AC2529">
        <v>56</v>
      </c>
      <c r="AD2529" s="62">
        <v>0</v>
      </c>
      <c r="AE2529" s="62">
        <v>5</v>
      </c>
      <c r="AF2529" s="62">
        <v>2</v>
      </c>
      <c r="AS2529">
        <v>1</v>
      </c>
    </row>
    <row r="2530" spans="1:45">
      <c r="A2530">
        <v>511592</v>
      </c>
      <c r="B2530">
        <v>1001</v>
      </c>
      <c r="C2530">
        <v>6</v>
      </c>
      <c r="D2530">
        <v>1001</v>
      </c>
      <c r="E2530" t="s">
        <v>6420</v>
      </c>
      <c r="F2530" t="s">
        <v>6420</v>
      </c>
      <c r="G2530" t="s">
        <v>6421</v>
      </c>
      <c r="H2530" t="s">
        <v>1818</v>
      </c>
      <c r="I2530">
        <v>1</v>
      </c>
      <c r="J2530">
        <v>5</v>
      </c>
      <c r="K2530" s="33">
        <v>2</v>
      </c>
      <c r="L2530" s="238">
        <v>999</v>
      </c>
      <c r="M2530" s="238">
        <v>0</v>
      </c>
      <c r="N2530">
        <v>1018</v>
      </c>
      <c r="O2530" s="2" t="s">
        <v>6422</v>
      </c>
      <c r="R2530" s="238">
        <v>1</v>
      </c>
      <c r="S2530" s="254">
        <v>1</v>
      </c>
      <c r="T2530" s="238">
        <v>5</v>
      </c>
      <c r="U2530" s="238">
        <v>100</v>
      </c>
      <c r="V2530" s="254">
        <v>1</v>
      </c>
      <c r="W2530">
        <v>1</v>
      </c>
      <c r="X2530" s="238">
        <v>1</v>
      </c>
      <c r="Y2530" s="238">
        <v>0</v>
      </c>
      <c r="Z2530" s="33">
        <v>0</v>
      </c>
      <c r="AA2530">
        <v>5</v>
      </c>
      <c r="AB2530">
        <v>2000</v>
      </c>
      <c r="AC2530" s="238">
        <v>56</v>
      </c>
      <c r="AD2530" s="62">
        <v>0</v>
      </c>
      <c r="AE2530" s="62">
        <v>5</v>
      </c>
      <c r="AF2530" s="62">
        <v>2</v>
      </c>
      <c r="AM2530" s="4"/>
      <c r="AN2530" s="93"/>
      <c r="AO2530" s="92"/>
      <c r="AQ2530"/>
      <c r="AR2530"/>
      <c r="AS2530">
        <v>1</v>
      </c>
    </row>
    <row r="2531" spans="1:45">
      <c r="A2531">
        <v>511593</v>
      </c>
      <c r="B2531">
        <v>1001</v>
      </c>
      <c r="C2531">
        <v>1</v>
      </c>
      <c r="D2531">
        <v>1001</v>
      </c>
      <c r="E2531" t="s">
        <v>6119</v>
      </c>
      <c r="F2531" t="s">
        <v>6119</v>
      </c>
      <c r="G2531" t="s">
        <v>6423</v>
      </c>
      <c r="H2531" t="s">
        <v>6121</v>
      </c>
      <c r="I2531">
        <v>1</v>
      </c>
      <c r="J2531">
        <v>5</v>
      </c>
      <c r="K2531" s="33">
        <v>1</v>
      </c>
      <c r="L2531" s="8">
        <v>999</v>
      </c>
      <c r="M2531" s="8">
        <v>0</v>
      </c>
      <c r="R2531" s="8">
        <v>1</v>
      </c>
      <c r="S2531" s="89">
        <v>1</v>
      </c>
      <c r="T2531" s="8">
        <v>5</v>
      </c>
      <c r="U2531" s="89">
        <v>1</v>
      </c>
      <c r="V2531" s="87">
        <v>1</v>
      </c>
      <c r="W2531">
        <v>1</v>
      </c>
      <c r="X2531" s="8">
        <v>1</v>
      </c>
      <c r="Y2531" s="8">
        <v>0</v>
      </c>
      <c r="Z2531" s="33">
        <v>0</v>
      </c>
      <c r="AA2531">
        <v>5</v>
      </c>
      <c r="AB2531" s="34">
        <v>100</v>
      </c>
      <c r="AC2531" s="87">
        <v>56</v>
      </c>
      <c r="AD2531" s="62">
        <v>0</v>
      </c>
      <c r="AE2531" s="255">
        <v>4</v>
      </c>
      <c r="AF2531" s="255">
        <v>2</v>
      </c>
      <c r="AI2531" s="63" t="s">
        <v>6424</v>
      </c>
      <c r="AL2531" s="64">
        <v>1</v>
      </c>
      <c r="AM2531" s="4"/>
      <c r="AN2531" s="93"/>
      <c r="AO2531" s="92"/>
      <c r="AQ2531" t="s">
        <v>6119</v>
      </c>
      <c r="AR2531">
        <v>1</v>
      </c>
      <c r="AS2531">
        <v>1</v>
      </c>
    </row>
    <row r="2532" spans="1:45">
      <c r="A2532">
        <v>511594</v>
      </c>
      <c r="B2532" s="238">
        <v>1001</v>
      </c>
      <c r="C2532" s="238">
        <v>1</v>
      </c>
      <c r="D2532" s="238">
        <v>1001</v>
      </c>
      <c r="E2532" t="s">
        <v>6122</v>
      </c>
      <c r="F2532" t="s">
        <v>6122</v>
      </c>
      <c r="G2532" t="s">
        <v>6425</v>
      </c>
      <c r="H2532" t="s">
        <v>6123</v>
      </c>
      <c r="I2532">
        <v>1</v>
      </c>
      <c r="J2532">
        <v>5</v>
      </c>
      <c r="K2532" s="33">
        <v>1</v>
      </c>
      <c r="L2532" s="236">
        <v>999</v>
      </c>
      <c r="M2532" s="236">
        <v>0</v>
      </c>
      <c r="N2532"/>
      <c r="O2532" s="249"/>
      <c r="R2532" s="236">
        <v>1</v>
      </c>
      <c r="S2532" s="336">
        <v>1</v>
      </c>
      <c r="T2532" s="236">
        <v>5</v>
      </c>
      <c r="U2532" s="336">
        <v>1</v>
      </c>
      <c r="V2532" s="248">
        <v>1</v>
      </c>
      <c r="W2532">
        <v>1</v>
      </c>
      <c r="X2532" s="8">
        <v>1</v>
      </c>
      <c r="Y2532" s="236">
        <v>0</v>
      </c>
      <c r="Z2532" s="33">
        <v>0</v>
      </c>
      <c r="AA2532">
        <v>5</v>
      </c>
      <c r="AB2532" s="34">
        <v>100</v>
      </c>
      <c r="AC2532" s="248">
        <v>56</v>
      </c>
      <c r="AD2532" s="62">
        <v>0</v>
      </c>
      <c r="AE2532" s="250">
        <v>4</v>
      </c>
      <c r="AF2532" s="250">
        <v>2</v>
      </c>
      <c r="AI2532" s="63" t="s">
        <v>6424</v>
      </c>
      <c r="AL2532" s="64">
        <v>1</v>
      </c>
      <c r="AM2532" s="4"/>
      <c r="AN2532" s="338"/>
      <c r="AO2532" s="252"/>
      <c r="AQ2532" t="s">
        <v>6122</v>
      </c>
      <c r="AR2532">
        <v>1</v>
      </c>
      <c r="AS2532">
        <v>1</v>
      </c>
    </row>
    <row r="2533" spans="1:45">
      <c r="A2533">
        <v>511595</v>
      </c>
      <c r="B2533" s="236">
        <v>1001</v>
      </c>
      <c r="C2533" s="236">
        <v>6</v>
      </c>
      <c r="D2533" s="236">
        <v>1001</v>
      </c>
      <c r="E2533" t="s">
        <v>6271</v>
      </c>
      <c r="F2533" t="s">
        <v>6271</v>
      </c>
      <c r="G2533" t="s">
        <v>6426</v>
      </c>
      <c r="H2533" t="s">
        <v>6273</v>
      </c>
      <c r="I2533">
        <v>1</v>
      </c>
      <c r="J2533">
        <v>5</v>
      </c>
      <c r="K2533" s="33">
        <v>2</v>
      </c>
      <c r="L2533">
        <v>999</v>
      </c>
      <c r="M2533">
        <v>0</v>
      </c>
      <c r="N2533">
        <v>1017</v>
      </c>
      <c r="O2533" s="249">
        <v>50167</v>
      </c>
      <c r="R2533">
        <v>1</v>
      </c>
      <c r="S2533" s="33">
        <v>1</v>
      </c>
      <c r="T2533">
        <v>5</v>
      </c>
      <c r="U2533">
        <v>100</v>
      </c>
      <c r="V2533" s="33">
        <v>1</v>
      </c>
      <c r="W2533">
        <v>1</v>
      </c>
      <c r="X2533" s="236">
        <v>1</v>
      </c>
      <c r="Y2533">
        <v>0</v>
      </c>
      <c r="Z2533" s="33">
        <v>0</v>
      </c>
      <c r="AA2533">
        <v>5</v>
      </c>
      <c r="AB2533">
        <v>2000</v>
      </c>
      <c r="AC2533">
        <v>56</v>
      </c>
      <c r="AD2533" s="62">
        <v>0</v>
      </c>
      <c r="AE2533" s="62">
        <v>4</v>
      </c>
      <c r="AF2533" s="62">
        <v>2</v>
      </c>
      <c r="AS2533">
        <v>1</v>
      </c>
    </row>
    <row r="2534" spans="1:45">
      <c r="A2534">
        <v>511596</v>
      </c>
      <c r="B2534">
        <v>1001</v>
      </c>
      <c r="C2534">
        <v>6</v>
      </c>
      <c r="D2534">
        <v>1001</v>
      </c>
      <c r="E2534" t="s">
        <v>6427</v>
      </c>
      <c r="F2534" t="s">
        <v>6427</v>
      </c>
      <c r="G2534" s="3" t="s">
        <v>6428</v>
      </c>
      <c r="H2534" t="s">
        <v>1812</v>
      </c>
      <c r="I2534">
        <v>1</v>
      </c>
      <c r="J2534">
        <v>5</v>
      </c>
      <c r="K2534" s="33">
        <v>2</v>
      </c>
      <c r="L2534">
        <v>999</v>
      </c>
      <c r="M2534">
        <v>0</v>
      </c>
      <c r="N2534">
        <v>1018</v>
      </c>
      <c r="O2534" s="2" t="s">
        <v>6429</v>
      </c>
      <c r="R2534">
        <v>1</v>
      </c>
      <c r="S2534" s="33">
        <v>1</v>
      </c>
      <c r="T2534">
        <v>5</v>
      </c>
      <c r="U2534">
        <v>100</v>
      </c>
      <c r="V2534" s="33">
        <v>1</v>
      </c>
      <c r="W2534">
        <v>1</v>
      </c>
      <c r="X2534">
        <v>1</v>
      </c>
      <c r="Y2534">
        <v>0</v>
      </c>
      <c r="Z2534" s="33">
        <v>0</v>
      </c>
      <c r="AA2534">
        <v>5</v>
      </c>
      <c r="AB2534">
        <v>2000</v>
      </c>
      <c r="AC2534">
        <v>56</v>
      </c>
      <c r="AD2534" s="62">
        <v>0</v>
      </c>
      <c r="AE2534" s="62">
        <v>5</v>
      </c>
      <c r="AF2534" s="62">
        <v>2</v>
      </c>
      <c r="AS2534">
        <v>1</v>
      </c>
    </row>
    <row r="2535" spans="1:45">
      <c r="A2535">
        <v>511597</v>
      </c>
      <c r="B2535">
        <v>1001</v>
      </c>
      <c r="C2535">
        <v>6</v>
      </c>
      <c r="D2535">
        <v>1001</v>
      </c>
      <c r="E2535" t="s">
        <v>6186</v>
      </c>
      <c r="F2535" t="s">
        <v>6186</v>
      </c>
      <c r="G2535" t="s">
        <v>6187</v>
      </c>
      <c r="H2535" t="s">
        <v>1818</v>
      </c>
      <c r="I2535">
        <v>1</v>
      </c>
      <c r="J2535">
        <v>5</v>
      </c>
      <c r="K2535" s="33">
        <v>2</v>
      </c>
      <c r="L2535">
        <v>999</v>
      </c>
      <c r="M2535">
        <v>0</v>
      </c>
      <c r="N2535">
        <v>1018</v>
      </c>
      <c r="O2535" s="2" t="s">
        <v>6430</v>
      </c>
      <c r="R2535">
        <v>1</v>
      </c>
      <c r="S2535" s="33">
        <v>1</v>
      </c>
      <c r="T2535">
        <v>5</v>
      </c>
      <c r="U2535">
        <v>100</v>
      </c>
      <c r="V2535" s="33">
        <v>1</v>
      </c>
      <c r="W2535">
        <v>1</v>
      </c>
      <c r="X2535">
        <v>1</v>
      </c>
      <c r="Y2535">
        <v>0</v>
      </c>
      <c r="Z2535" s="33">
        <v>0</v>
      </c>
      <c r="AA2535">
        <v>5</v>
      </c>
      <c r="AB2535">
        <v>2000</v>
      </c>
      <c r="AC2535">
        <v>56</v>
      </c>
      <c r="AD2535" s="62">
        <v>0</v>
      </c>
      <c r="AE2535" s="62">
        <v>5</v>
      </c>
      <c r="AF2535" s="62">
        <v>2</v>
      </c>
      <c r="AS2535">
        <v>1</v>
      </c>
    </row>
    <row r="2536" spans="1:45">
      <c r="A2536">
        <v>511598</v>
      </c>
      <c r="B2536" s="238">
        <v>1001</v>
      </c>
      <c r="C2536">
        <v>6</v>
      </c>
      <c r="D2536" s="238">
        <v>1001</v>
      </c>
      <c r="E2536" t="s">
        <v>5550</v>
      </c>
      <c r="F2536" t="s">
        <v>5550</v>
      </c>
      <c r="G2536" s="3" t="s">
        <v>6431</v>
      </c>
      <c r="H2536" t="s">
        <v>1822</v>
      </c>
      <c r="I2536">
        <v>1</v>
      </c>
      <c r="J2536">
        <v>5</v>
      </c>
      <c r="K2536" s="33">
        <v>2</v>
      </c>
      <c r="L2536">
        <v>999</v>
      </c>
      <c r="M2536">
        <v>0</v>
      </c>
      <c r="N2536">
        <v>1018</v>
      </c>
      <c r="O2536" s="2" t="s">
        <v>6432</v>
      </c>
      <c r="Q2536" s="8"/>
      <c r="R2536">
        <v>1</v>
      </c>
      <c r="S2536" s="33">
        <v>1</v>
      </c>
      <c r="T2536">
        <v>5</v>
      </c>
      <c r="U2536">
        <v>100</v>
      </c>
      <c r="V2536" s="33">
        <v>1</v>
      </c>
      <c r="W2536">
        <v>1</v>
      </c>
      <c r="X2536" s="238">
        <v>1</v>
      </c>
      <c r="Y2536">
        <v>0</v>
      </c>
      <c r="Z2536" s="33">
        <v>0</v>
      </c>
      <c r="AA2536">
        <v>5</v>
      </c>
      <c r="AB2536">
        <v>2000</v>
      </c>
      <c r="AC2536">
        <v>56</v>
      </c>
      <c r="AD2536" s="62">
        <v>0</v>
      </c>
      <c r="AE2536" s="62">
        <v>5</v>
      </c>
      <c r="AF2536" s="62">
        <v>2</v>
      </c>
      <c r="AS2536">
        <v>1</v>
      </c>
    </row>
    <row r="2537" spans="1:45">
      <c r="A2537">
        <v>511599</v>
      </c>
      <c r="B2537" s="236">
        <v>1001</v>
      </c>
      <c r="C2537">
        <v>1</v>
      </c>
      <c r="D2537" s="236">
        <v>1001</v>
      </c>
      <c r="E2537" t="s">
        <v>6433</v>
      </c>
      <c r="F2537" t="s">
        <v>6433</v>
      </c>
      <c r="G2537" t="s">
        <v>6316</v>
      </c>
      <c r="H2537" t="s">
        <v>5501</v>
      </c>
      <c r="I2537">
        <v>1</v>
      </c>
      <c r="J2537">
        <v>5</v>
      </c>
      <c r="K2537" s="33">
        <v>1</v>
      </c>
      <c r="L2537" s="238">
        <v>999</v>
      </c>
      <c r="M2537" s="238">
        <v>0</v>
      </c>
      <c r="O2537" s="249"/>
      <c r="Q2537" s="236"/>
      <c r="R2537" s="238">
        <v>1</v>
      </c>
      <c r="S2537" s="254">
        <v>1</v>
      </c>
      <c r="T2537" s="238">
        <v>5</v>
      </c>
      <c r="U2537" s="238">
        <v>100</v>
      </c>
      <c r="V2537" s="254">
        <v>1</v>
      </c>
      <c r="W2537">
        <v>1</v>
      </c>
      <c r="X2537" s="8">
        <v>1</v>
      </c>
      <c r="Y2537" s="238">
        <v>0</v>
      </c>
      <c r="Z2537" s="33">
        <v>0</v>
      </c>
      <c r="AA2537">
        <v>5</v>
      </c>
      <c r="AB2537">
        <v>1000</v>
      </c>
      <c r="AC2537" s="238">
        <v>56</v>
      </c>
      <c r="AD2537" s="62">
        <v>0</v>
      </c>
      <c r="AI2537" s="63" t="s">
        <v>6434</v>
      </c>
      <c r="AM2537" s="4"/>
      <c r="AN2537" s="93"/>
      <c r="AO2537" s="92"/>
      <c r="AS2537">
        <v>1</v>
      </c>
    </row>
    <row r="2538" spans="1:45">
      <c r="A2538">
        <v>511600</v>
      </c>
      <c r="B2538">
        <v>1001</v>
      </c>
      <c r="C2538">
        <v>1</v>
      </c>
      <c r="D2538">
        <v>1001</v>
      </c>
      <c r="E2538" t="s">
        <v>6435</v>
      </c>
      <c r="F2538" t="s">
        <v>6435</v>
      </c>
      <c r="G2538" t="s">
        <v>6314</v>
      </c>
      <c r="H2538" t="s">
        <v>6266</v>
      </c>
      <c r="I2538">
        <v>1</v>
      </c>
      <c r="J2538">
        <v>5</v>
      </c>
      <c r="K2538" s="33">
        <v>1</v>
      </c>
      <c r="L2538" s="8">
        <v>999</v>
      </c>
      <c r="M2538" s="8">
        <v>0</v>
      </c>
      <c r="N2538"/>
      <c r="O2538" s="249"/>
      <c r="R2538" s="8">
        <v>1</v>
      </c>
      <c r="S2538" s="89">
        <v>1</v>
      </c>
      <c r="T2538" s="8">
        <v>5</v>
      </c>
      <c r="U2538" s="89">
        <v>100</v>
      </c>
      <c r="V2538" s="87">
        <v>1</v>
      </c>
      <c r="W2538">
        <v>1</v>
      </c>
      <c r="X2538" s="8">
        <v>1</v>
      </c>
      <c r="Y2538" s="8">
        <v>0</v>
      </c>
      <c r="Z2538" s="33">
        <v>0</v>
      </c>
      <c r="AA2538">
        <v>5</v>
      </c>
      <c r="AB2538" s="34">
        <v>1000</v>
      </c>
      <c r="AC2538" s="87">
        <v>56</v>
      </c>
      <c r="AD2538" s="62">
        <v>0</v>
      </c>
      <c r="AI2538" s="63" t="s">
        <v>6434</v>
      </c>
      <c r="AM2538" s="4"/>
      <c r="AN2538" s="93"/>
      <c r="AO2538" s="92"/>
      <c r="AQ2538"/>
      <c r="AR2538"/>
      <c r="AS2538">
        <v>1</v>
      </c>
    </row>
    <row r="2539" spans="1:45">
      <c r="A2539">
        <v>511601</v>
      </c>
      <c r="B2539">
        <v>1001</v>
      </c>
      <c r="C2539">
        <v>6</v>
      </c>
      <c r="D2539">
        <v>1001</v>
      </c>
      <c r="E2539" t="s">
        <v>6436</v>
      </c>
      <c r="F2539" t="s">
        <v>6436</v>
      </c>
      <c r="G2539" t="s">
        <v>6313</v>
      </c>
      <c r="H2539" t="s">
        <v>5474</v>
      </c>
      <c r="I2539">
        <v>1</v>
      </c>
      <c r="J2539">
        <v>5</v>
      </c>
      <c r="K2539" s="33">
        <v>2</v>
      </c>
      <c r="L2539" s="236">
        <v>999</v>
      </c>
      <c r="M2539" s="236">
        <v>0</v>
      </c>
      <c r="N2539">
        <v>1017</v>
      </c>
      <c r="O2539" s="249">
        <v>50162</v>
      </c>
      <c r="R2539" s="236">
        <v>1</v>
      </c>
      <c r="S2539" s="336">
        <v>1</v>
      </c>
      <c r="T2539" s="236">
        <v>5</v>
      </c>
      <c r="U2539" s="336">
        <v>200</v>
      </c>
      <c r="V2539" s="248">
        <v>1</v>
      </c>
      <c r="W2539">
        <v>1</v>
      </c>
      <c r="X2539" s="236">
        <v>1</v>
      </c>
      <c r="Y2539" s="236">
        <v>0</v>
      </c>
      <c r="Z2539" s="33">
        <v>0</v>
      </c>
      <c r="AA2539">
        <v>5</v>
      </c>
      <c r="AB2539" s="34">
        <v>2000</v>
      </c>
      <c r="AC2539" s="248">
        <v>56</v>
      </c>
      <c r="AD2539" s="62">
        <v>0</v>
      </c>
      <c r="AE2539" s="62">
        <v>4</v>
      </c>
      <c r="AF2539" s="62">
        <v>2</v>
      </c>
      <c r="AM2539" s="4"/>
      <c r="AN2539" s="338"/>
      <c r="AO2539" s="252"/>
      <c r="AQ2539" t="s">
        <v>5472</v>
      </c>
      <c r="AR2539">
        <v>1</v>
      </c>
      <c r="AS2539">
        <v>1</v>
      </c>
    </row>
    <row r="2540" spans="1:45">
      <c r="A2540">
        <v>511602</v>
      </c>
      <c r="B2540">
        <v>1001</v>
      </c>
      <c r="C2540">
        <v>6</v>
      </c>
      <c r="D2540">
        <v>1001</v>
      </c>
      <c r="E2540" t="s">
        <v>6437</v>
      </c>
      <c r="F2540" t="s">
        <v>6437</v>
      </c>
      <c r="G2540" t="s">
        <v>6438</v>
      </c>
      <c r="H2540" t="s">
        <v>1818</v>
      </c>
      <c r="I2540">
        <v>1</v>
      </c>
      <c r="J2540">
        <v>5</v>
      </c>
      <c r="K2540" s="33">
        <v>2</v>
      </c>
      <c r="L2540">
        <v>999</v>
      </c>
      <c r="M2540">
        <v>0</v>
      </c>
      <c r="N2540">
        <v>1018</v>
      </c>
      <c r="O2540" s="2" t="s">
        <v>6439</v>
      </c>
      <c r="R2540">
        <v>1</v>
      </c>
      <c r="S2540" s="33">
        <v>1</v>
      </c>
      <c r="T2540">
        <v>5</v>
      </c>
      <c r="U2540">
        <v>200</v>
      </c>
      <c r="V2540" s="33">
        <v>1</v>
      </c>
      <c r="W2540">
        <v>1</v>
      </c>
      <c r="X2540">
        <v>1</v>
      </c>
      <c r="Y2540">
        <v>0</v>
      </c>
      <c r="Z2540" s="33">
        <v>0</v>
      </c>
      <c r="AA2540">
        <v>5</v>
      </c>
      <c r="AB2540">
        <v>2000</v>
      </c>
      <c r="AC2540">
        <v>56</v>
      </c>
      <c r="AD2540" s="62">
        <v>0</v>
      </c>
      <c r="AE2540" s="62">
        <v>5</v>
      </c>
      <c r="AF2540" s="62">
        <v>2</v>
      </c>
      <c r="AS2540">
        <v>1</v>
      </c>
    </row>
    <row r="2541" spans="1:45">
      <c r="A2541">
        <v>511603</v>
      </c>
      <c r="B2541">
        <v>1001</v>
      </c>
      <c r="C2541">
        <v>6</v>
      </c>
      <c r="D2541">
        <v>1001</v>
      </c>
      <c r="E2541" t="s">
        <v>6440</v>
      </c>
      <c r="F2541" t="s">
        <v>6440</v>
      </c>
      <c r="G2541" t="s">
        <v>6441</v>
      </c>
      <c r="H2541" t="s">
        <v>6325</v>
      </c>
      <c r="I2541">
        <v>1</v>
      </c>
      <c r="J2541">
        <v>5</v>
      </c>
      <c r="K2541" s="33">
        <v>2</v>
      </c>
      <c r="L2541">
        <v>999</v>
      </c>
      <c r="M2541">
        <v>0</v>
      </c>
      <c r="N2541">
        <v>1035</v>
      </c>
      <c r="O2541" s="2">
        <v>63</v>
      </c>
      <c r="R2541" s="33"/>
      <c r="S2541" s="33">
        <v>0</v>
      </c>
      <c r="T2541">
        <v>5</v>
      </c>
      <c r="U2541">
        <v>1</v>
      </c>
      <c r="V2541" s="33">
        <v>1</v>
      </c>
      <c r="W2541">
        <v>1</v>
      </c>
      <c r="X2541">
        <v>1</v>
      </c>
      <c r="Y2541">
        <v>0</v>
      </c>
      <c r="Z2541" s="33">
        <v>0</v>
      </c>
      <c r="AA2541">
        <v>5</v>
      </c>
      <c r="AB2541">
        <v>100</v>
      </c>
      <c r="AC2541">
        <v>70</v>
      </c>
      <c r="AD2541" s="445">
        <v>0</v>
      </c>
      <c r="AE2541" s="62">
        <v>1</v>
      </c>
      <c r="AF2541" s="62">
        <v>1</v>
      </c>
      <c r="AS2541">
        <v>1</v>
      </c>
    </row>
    <row r="2542" spans="1:45">
      <c r="A2542">
        <v>511604</v>
      </c>
      <c r="B2542">
        <v>1001</v>
      </c>
      <c r="C2542">
        <v>6</v>
      </c>
      <c r="D2542">
        <v>1001</v>
      </c>
      <c r="E2542" t="s">
        <v>6442</v>
      </c>
      <c r="F2542" t="s">
        <v>6442</v>
      </c>
      <c r="G2542" t="s">
        <v>6443</v>
      </c>
      <c r="H2542" t="s">
        <v>1818</v>
      </c>
      <c r="I2542">
        <v>1</v>
      </c>
      <c r="J2542">
        <v>5</v>
      </c>
      <c r="K2542" s="33">
        <v>2</v>
      </c>
      <c r="L2542">
        <v>999</v>
      </c>
      <c r="M2542">
        <v>0</v>
      </c>
      <c r="N2542">
        <v>1018</v>
      </c>
      <c r="O2542" s="2" t="s">
        <v>6444</v>
      </c>
      <c r="R2542" s="33"/>
      <c r="S2542" s="33">
        <v>1</v>
      </c>
      <c r="T2542">
        <v>5</v>
      </c>
      <c r="U2542">
        <v>200</v>
      </c>
      <c r="V2542" s="33">
        <v>1</v>
      </c>
      <c r="W2542">
        <v>1</v>
      </c>
      <c r="X2542">
        <v>1</v>
      </c>
      <c r="Y2542">
        <v>0</v>
      </c>
      <c r="Z2542" s="33">
        <v>0</v>
      </c>
      <c r="AA2542">
        <v>5</v>
      </c>
      <c r="AB2542">
        <v>2000</v>
      </c>
      <c r="AC2542">
        <v>56</v>
      </c>
      <c r="AD2542" s="62">
        <v>0</v>
      </c>
      <c r="AE2542" s="62">
        <v>5</v>
      </c>
      <c r="AF2542" s="62">
        <v>2</v>
      </c>
      <c r="AS2542">
        <v>1</v>
      </c>
    </row>
    <row r="2543" spans="1:45">
      <c r="A2543">
        <v>511605</v>
      </c>
      <c r="B2543">
        <v>1001</v>
      </c>
      <c r="C2543">
        <v>6</v>
      </c>
      <c r="D2543">
        <v>1001</v>
      </c>
      <c r="E2543" t="s">
        <v>6445</v>
      </c>
      <c r="F2543" t="s">
        <v>6445</v>
      </c>
      <c r="G2543" t="s">
        <v>6445</v>
      </c>
      <c r="H2543" t="s">
        <v>204</v>
      </c>
      <c r="I2543">
        <v>1</v>
      </c>
      <c r="J2543">
        <v>4</v>
      </c>
      <c r="K2543" s="33">
        <v>2</v>
      </c>
      <c r="L2543">
        <v>999</v>
      </c>
      <c r="M2543">
        <v>0</v>
      </c>
      <c r="N2543">
        <v>1018</v>
      </c>
      <c r="O2543" s="2" t="s">
        <v>6446</v>
      </c>
      <c r="R2543" s="33"/>
      <c r="S2543" s="33">
        <v>1</v>
      </c>
      <c r="T2543">
        <v>5</v>
      </c>
      <c r="U2543">
        <v>100</v>
      </c>
      <c r="V2543" s="33">
        <v>1</v>
      </c>
      <c r="W2543">
        <v>1</v>
      </c>
      <c r="X2543">
        <v>1</v>
      </c>
      <c r="Y2543">
        <v>0</v>
      </c>
      <c r="Z2543" s="33">
        <v>0</v>
      </c>
      <c r="AA2543">
        <v>5</v>
      </c>
      <c r="AB2543">
        <v>2000</v>
      </c>
      <c r="AC2543">
        <v>56</v>
      </c>
      <c r="AD2543" s="445">
        <v>0</v>
      </c>
      <c r="AE2543" s="62">
        <v>5</v>
      </c>
      <c r="AF2543" s="62">
        <v>2</v>
      </c>
      <c r="AS2543">
        <v>1</v>
      </c>
    </row>
    <row r="2544" spans="1:45">
      <c r="A2544">
        <v>511606</v>
      </c>
      <c r="B2544">
        <v>1001</v>
      </c>
      <c r="C2544">
        <v>6</v>
      </c>
      <c r="D2544">
        <v>1001</v>
      </c>
      <c r="E2544" t="s">
        <v>6447</v>
      </c>
      <c r="F2544" t="s">
        <v>6447</v>
      </c>
      <c r="G2544" t="s">
        <v>6447</v>
      </c>
      <c r="H2544" t="s">
        <v>204</v>
      </c>
      <c r="I2544">
        <v>1</v>
      </c>
      <c r="J2544">
        <v>5</v>
      </c>
      <c r="K2544" s="33">
        <v>2</v>
      </c>
      <c r="L2544">
        <v>999</v>
      </c>
      <c r="M2544">
        <v>0</v>
      </c>
      <c r="N2544">
        <v>1018</v>
      </c>
      <c r="O2544" s="2" t="s">
        <v>6448</v>
      </c>
      <c r="R2544" s="33"/>
      <c r="S2544" s="33">
        <v>1</v>
      </c>
      <c r="T2544">
        <v>5</v>
      </c>
      <c r="U2544">
        <v>100</v>
      </c>
      <c r="V2544" s="33">
        <v>1</v>
      </c>
      <c r="W2544">
        <v>1</v>
      </c>
      <c r="X2544">
        <v>1</v>
      </c>
      <c r="Y2544">
        <v>0</v>
      </c>
      <c r="Z2544" s="33">
        <v>0</v>
      </c>
      <c r="AA2544">
        <v>5</v>
      </c>
      <c r="AB2544">
        <v>2000</v>
      </c>
      <c r="AC2544">
        <v>56</v>
      </c>
      <c r="AD2544" s="445">
        <v>0</v>
      </c>
      <c r="AE2544" s="62">
        <v>5</v>
      </c>
      <c r="AF2544" s="62">
        <v>2</v>
      </c>
      <c r="AS2544">
        <v>1</v>
      </c>
    </row>
    <row r="2545" spans="1:45">
      <c r="A2545">
        <v>511607</v>
      </c>
      <c r="B2545" s="238">
        <v>1001</v>
      </c>
      <c r="C2545" s="238">
        <v>6</v>
      </c>
      <c r="D2545" s="238">
        <v>1001</v>
      </c>
      <c r="E2545" t="s">
        <v>5550</v>
      </c>
      <c r="F2545" t="s">
        <v>5550</v>
      </c>
      <c r="G2545" s="3" t="s">
        <v>6449</v>
      </c>
      <c r="H2545" t="s">
        <v>1822</v>
      </c>
      <c r="I2545">
        <v>1</v>
      </c>
      <c r="J2545">
        <v>5</v>
      </c>
      <c r="K2545" s="33">
        <v>2</v>
      </c>
      <c r="L2545">
        <v>999</v>
      </c>
      <c r="M2545">
        <v>0</v>
      </c>
      <c r="N2545" s="238">
        <v>1018</v>
      </c>
      <c r="O2545" s="2" t="s">
        <v>6450</v>
      </c>
      <c r="R2545" s="254"/>
      <c r="S2545" s="254">
        <v>1</v>
      </c>
      <c r="T2545" s="238">
        <v>5</v>
      </c>
      <c r="U2545" s="238">
        <v>100</v>
      </c>
      <c r="V2545" s="254">
        <v>1</v>
      </c>
      <c r="W2545" s="238">
        <v>1</v>
      </c>
      <c r="X2545" s="238">
        <v>1</v>
      </c>
      <c r="Y2545">
        <v>0</v>
      </c>
      <c r="Z2545" s="33">
        <v>0</v>
      </c>
      <c r="AA2545">
        <v>5</v>
      </c>
      <c r="AB2545">
        <v>2000</v>
      </c>
      <c r="AC2545" s="238">
        <v>56</v>
      </c>
      <c r="AD2545" s="62">
        <v>0</v>
      </c>
      <c r="AE2545" s="255">
        <v>5</v>
      </c>
      <c r="AF2545" s="255">
        <v>2</v>
      </c>
      <c r="AG2545" s="91"/>
      <c r="AH2545" s="91"/>
      <c r="AI2545" s="91"/>
      <c r="AJ2545" s="91"/>
      <c r="AK2545" s="91"/>
      <c r="AL2545" s="92"/>
      <c r="AM2545" s="92"/>
      <c r="AN2545" s="93"/>
      <c r="AO2545" s="92"/>
      <c r="AS2545">
        <v>1</v>
      </c>
    </row>
    <row r="2546" spans="1:45">
      <c r="A2546">
        <v>511608</v>
      </c>
      <c r="B2546" s="425">
        <v>1001</v>
      </c>
      <c r="C2546" s="8">
        <v>6</v>
      </c>
      <c r="D2546" s="8">
        <v>1001</v>
      </c>
      <c r="E2546" t="s">
        <v>6451</v>
      </c>
      <c r="F2546" t="s">
        <v>6451</v>
      </c>
      <c r="G2546" t="s">
        <v>6452</v>
      </c>
      <c r="H2546" t="s">
        <v>6223</v>
      </c>
      <c r="I2546">
        <v>1</v>
      </c>
      <c r="J2546">
        <v>4</v>
      </c>
      <c r="K2546" s="33">
        <v>2</v>
      </c>
      <c r="L2546">
        <v>999</v>
      </c>
      <c r="M2546">
        <v>0</v>
      </c>
      <c r="N2546" s="236">
        <v>1017</v>
      </c>
      <c r="O2546" s="249">
        <v>50161</v>
      </c>
      <c r="R2546" s="336"/>
      <c r="S2546" s="336">
        <v>1</v>
      </c>
      <c r="T2546" s="236">
        <v>5</v>
      </c>
      <c r="U2546" s="336">
        <v>1</v>
      </c>
      <c r="V2546" s="248">
        <v>1</v>
      </c>
      <c r="W2546" s="236">
        <v>1</v>
      </c>
      <c r="X2546" s="8">
        <v>1</v>
      </c>
      <c r="Y2546">
        <v>0</v>
      </c>
      <c r="Z2546" s="33">
        <v>0</v>
      </c>
      <c r="AA2546">
        <v>5</v>
      </c>
      <c r="AB2546">
        <v>100</v>
      </c>
      <c r="AC2546" s="248">
        <v>56</v>
      </c>
      <c r="AD2546" s="62">
        <v>0</v>
      </c>
      <c r="AE2546" s="250">
        <v>4</v>
      </c>
      <c r="AF2546" s="250">
        <v>2</v>
      </c>
      <c r="AG2546" s="251"/>
      <c r="AH2546" s="251"/>
      <c r="AI2546" s="251"/>
      <c r="AJ2546" s="251"/>
      <c r="AK2546" s="251"/>
      <c r="AL2546" s="252"/>
      <c r="AM2546" s="252"/>
      <c r="AN2546" s="338"/>
      <c r="AO2546" s="252"/>
      <c r="AS2546">
        <v>1</v>
      </c>
    </row>
    <row r="2547" spans="1:45">
      <c r="A2547">
        <v>511609</v>
      </c>
      <c r="B2547" s="236">
        <v>1001</v>
      </c>
      <c r="C2547" s="236">
        <v>6</v>
      </c>
      <c r="D2547" s="236">
        <v>1001</v>
      </c>
      <c r="E2547" t="s">
        <v>6453</v>
      </c>
      <c r="F2547" t="s">
        <v>6453</v>
      </c>
      <c r="G2547" t="s">
        <v>6454</v>
      </c>
      <c r="H2547" t="s">
        <v>6231</v>
      </c>
      <c r="I2547">
        <v>1</v>
      </c>
      <c r="J2547">
        <v>4</v>
      </c>
      <c r="K2547" s="33">
        <v>2</v>
      </c>
      <c r="L2547">
        <v>999</v>
      </c>
      <c r="M2547">
        <v>0</v>
      </c>
      <c r="N2547">
        <v>1017</v>
      </c>
      <c r="O2547" s="249">
        <v>50160</v>
      </c>
      <c r="R2547" s="33"/>
      <c r="S2547" s="33">
        <v>1</v>
      </c>
      <c r="T2547">
        <v>5</v>
      </c>
      <c r="U2547">
        <v>1</v>
      </c>
      <c r="V2547" s="33">
        <v>1</v>
      </c>
      <c r="W2547">
        <v>1</v>
      </c>
      <c r="X2547" s="8">
        <v>1</v>
      </c>
      <c r="Y2547">
        <v>0</v>
      </c>
      <c r="Z2547" s="33">
        <v>0</v>
      </c>
      <c r="AA2547">
        <v>5</v>
      </c>
      <c r="AB2547">
        <v>100</v>
      </c>
      <c r="AC2547">
        <v>56</v>
      </c>
      <c r="AD2547" s="62">
        <v>0</v>
      </c>
      <c r="AE2547" s="62">
        <v>4</v>
      </c>
      <c r="AF2547" s="62">
        <v>2</v>
      </c>
      <c r="AS2547">
        <v>1</v>
      </c>
    </row>
    <row r="2548" spans="1:45">
      <c r="A2548">
        <v>100241</v>
      </c>
      <c r="B2548">
        <v>1001</v>
      </c>
      <c r="C2548">
        <v>6</v>
      </c>
      <c r="D2548">
        <v>1001</v>
      </c>
      <c r="E2548" t="s">
        <v>6455</v>
      </c>
      <c r="F2548" t="s">
        <v>6455</v>
      </c>
      <c r="G2548" t="s">
        <v>6456</v>
      </c>
      <c r="H2548" t="s">
        <v>1588</v>
      </c>
      <c r="I2548">
        <v>1</v>
      </c>
      <c r="J2548">
        <v>5</v>
      </c>
      <c r="K2548" s="33">
        <v>2</v>
      </c>
      <c r="L2548">
        <v>999</v>
      </c>
      <c r="M2548">
        <v>0</v>
      </c>
      <c r="N2548">
        <v>1017</v>
      </c>
      <c r="O2548" s="2">
        <v>100241</v>
      </c>
      <c r="R2548" s="33"/>
      <c r="S2548" s="33">
        <v>1</v>
      </c>
      <c r="T2548">
        <v>5</v>
      </c>
      <c r="U2548">
        <v>100</v>
      </c>
      <c r="V2548" s="33">
        <v>1</v>
      </c>
      <c r="W2548">
        <v>1</v>
      </c>
      <c r="X2548" s="236">
        <v>1</v>
      </c>
      <c r="Y2548">
        <v>0</v>
      </c>
      <c r="Z2548" s="33">
        <v>0</v>
      </c>
      <c r="AA2548">
        <v>5</v>
      </c>
      <c r="AB2548">
        <v>2000</v>
      </c>
      <c r="AC2548">
        <v>56</v>
      </c>
      <c r="AD2548" s="62">
        <v>0</v>
      </c>
      <c r="AE2548" s="62">
        <v>4</v>
      </c>
      <c r="AF2548" s="62">
        <v>2</v>
      </c>
      <c r="AS2548">
        <v>1</v>
      </c>
    </row>
    <row r="2549" spans="1:45">
      <c r="A2549">
        <v>511610</v>
      </c>
      <c r="B2549">
        <v>1001</v>
      </c>
      <c r="C2549">
        <v>6</v>
      </c>
      <c r="D2549">
        <v>1001</v>
      </c>
      <c r="E2549" t="s">
        <v>6280</v>
      </c>
      <c r="F2549" t="s">
        <v>6280</v>
      </c>
      <c r="G2549" s="3" t="s">
        <v>6457</v>
      </c>
      <c r="H2549" t="s">
        <v>204</v>
      </c>
      <c r="I2549">
        <v>1</v>
      </c>
      <c r="J2549">
        <v>5</v>
      </c>
      <c r="K2549" s="33">
        <v>2</v>
      </c>
      <c r="L2549">
        <v>999</v>
      </c>
      <c r="M2549">
        <v>0</v>
      </c>
      <c r="N2549">
        <v>1018</v>
      </c>
      <c r="O2549" s="231" t="s">
        <v>6458</v>
      </c>
      <c r="R2549" s="33"/>
      <c r="S2549" s="33">
        <v>1</v>
      </c>
      <c r="T2549">
        <v>5</v>
      </c>
      <c r="U2549">
        <v>100</v>
      </c>
      <c r="V2549" s="33">
        <v>1</v>
      </c>
      <c r="W2549">
        <v>1</v>
      </c>
      <c r="X2549">
        <v>1</v>
      </c>
      <c r="Y2549">
        <v>0</v>
      </c>
      <c r="Z2549" s="33">
        <v>0</v>
      </c>
      <c r="AA2549">
        <v>5</v>
      </c>
      <c r="AB2549">
        <v>2000</v>
      </c>
      <c r="AC2549">
        <v>56</v>
      </c>
      <c r="AD2549" s="62">
        <v>0</v>
      </c>
      <c r="AE2549" s="62">
        <v>5</v>
      </c>
      <c r="AF2549" s="62">
        <v>2</v>
      </c>
      <c r="AS2549">
        <v>1</v>
      </c>
    </row>
    <row r="2550" spans="1:45">
      <c r="A2550">
        <v>511611</v>
      </c>
      <c r="B2550" s="238">
        <v>1001</v>
      </c>
      <c r="C2550" s="238">
        <v>6</v>
      </c>
      <c r="D2550" s="238">
        <v>1001</v>
      </c>
      <c r="E2550" t="s">
        <v>5550</v>
      </c>
      <c r="F2550" t="s">
        <v>5550</v>
      </c>
      <c r="G2550" s="3" t="s">
        <v>6459</v>
      </c>
      <c r="H2550" t="s">
        <v>1822</v>
      </c>
      <c r="I2550">
        <v>1</v>
      </c>
      <c r="J2550">
        <v>5</v>
      </c>
      <c r="K2550" s="33">
        <v>2</v>
      </c>
      <c r="L2550">
        <v>999</v>
      </c>
      <c r="M2550">
        <v>0</v>
      </c>
      <c r="N2550">
        <v>1018</v>
      </c>
      <c r="O2550" s="2" t="s">
        <v>6460</v>
      </c>
      <c r="R2550" s="33"/>
      <c r="S2550" s="33">
        <v>1</v>
      </c>
      <c r="T2550">
        <v>5</v>
      </c>
      <c r="U2550">
        <v>100</v>
      </c>
      <c r="V2550" s="33">
        <v>1</v>
      </c>
      <c r="W2550">
        <v>1</v>
      </c>
      <c r="X2550" s="238">
        <v>1</v>
      </c>
      <c r="Y2550">
        <v>0</v>
      </c>
      <c r="Z2550" s="33">
        <v>0</v>
      </c>
      <c r="AA2550">
        <v>5</v>
      </c>
      <c r="AB2550">
        <v>2000</v>
      </c>
      <c r="AC2550">
        <v>56</v>
      </c>
      <c r="AD2550" s="62">
        <v>0</v>
      </c>
      <c r="AE2550" s="62">
        <v>5</v>
      </c>
      <c r="AF2550" s="62">
        <v>2</v>
      </c>
      <c r="AS2550">
        <v>1</v>
      </c>
    </row>
    <row r="2551" spans="1:45">
      <c r="A2551">
        <v>511612</v>
      </c>
      <c r="B2551" s="8">
        <v>1001</v>
      </c>
      <c r="C2551" s="8">
        <v>6</v>
      </c>
      <c r="D2551" s="8">
        <v>1001</v>
      </c>
      <c r="E2551" t="s">
        <v>6196</v>
      </c>
      <c r="F2551" t="s">
        <v>6196</v>
      </c>
      <c r="G2551" t="s">
        <v>6461</v>
      </c>
      <c r="H2551" t="s">
        <v>5625</v>
      </c>
      <c r="I2551">
        <v>1</v>
      </c>
      <c r="J2551">
        <v>5</v>
      </c>
      <c r="K2551" s="33">
        <v>2</v>
      </c>
      <c r="L2551">
        <v>999</v>
      </c>
      <c r="M2551">
        <v>0</v>
      </c>
      <c r="N2551">
        <v>1017</v>
      </c>
      <c r="O2551" s="249">
        <v>50163</v>
      </c>
      <c r="S2551" s="33">
        <v>1</v>
      </c>
      <c r="T2551">
        <v>5</v>
      </c>
      <c r="U2551">
        <v>200</v>
      </c>
      <c r="V2551" s="33">
        <v>1</v>
      </c>
      <c r="W2551">
        <v>1</v>
      </c>
      <c r="X2551" s="8">
        <v>1</v>
      </c>
      <c r="Y2551">
        <v>0</v>
      </c>
      <c r="Z2551" s="33">
        <v>0</v>
      </c>
      <c r="AA2551">
        <v>5</v>
      </c>
      <c r="AB2551">
        <v>2000</v>
      </c>
      <c r="AC2551">
        <v>56</v>
      </c>
      <c r="AD2551" s="62">
        <v>0</v>
      </c>
      <c r="AE2551" s="62">
        <v>4</v>
      </c>
      <c r="AF2551" s="62">
        <v>2</v>
      </c>
      <c r="AS2551">
        <v>1</v>
      </c>
    </row>
    <row r="2552" spans="1:45">
      <c r="A2552">
        <v>511613</v>
      </c>
      <c r="B2552" s="236">
        <v>1001</v>
      </c>
      <c r="C2552" s="236">
        <v>6</v>
      </c>
      <c r="D2552" s="236">
        <v>1001</v>
      </c>
      <c r="E2552" t="s">
        <v>6198</v>
      </c>
      <c r="F2552" t="s">
        <v>6198</v>
      </c>
      <c r="G2552" t="s">
        <v>6462</v>
      </c>
      <c r="H2552" t="s">
        <v>6200</v>
      </c>
      <c r="I2552">
        <v>1</v>
      </c>
      <c r="J2552">
        <v>5</v>
      </c>
      <c r="K2552" s="33">
        <v>2</v>
      </c>
      <c r="L2552">
        <v>999</v>
      </c>
      <c r="M2552">
        <v>0</v>
      </c>
      <c r="N2552">
        <v>1017</v>
      </c>
      <c r="O2552" s="249">
        <v>50164</v>
      </c>
      <c r="S2552" s="33">
        <v>1</v>
      </c>
      <c r="T2552">
        <v>5</v>
      </c>
      <c r="U2552">
        <v>100</v>
      </c>
      <c r="V2552" s="33">
        <v>1</v>
      </c>
      <c r="W2552">
        <v>1</v>
      </c>
      <c r="X2552" s="236">
        <v>1</v>
      </c>
      <c r="Y2552">
        <v>0</v>
      </c>
      <c r="Z2552" s="33">
        <v>0</v>
      </c>
      <c r="AA2552">
        <v>5</v>
      </c>
      <c r="AB2552">
        <v>1000</v>
      </c>
      <c r="AC2552">
        <v>56</v>
      </c>
      <c r="AD2552" s="62">
        <v>0</v>
      </c>
      <c r="AE2552" s="62">
        <v>4</v>
      </c>
      <c r="AF2552" s="62">
        <v>2</v>
      </c>
      <c r="AS2552">
        <v>1</v>
      </c>
    </row>
    <row r="2553" spans="1:45">
      <c r="A2553">
        <v>511614</v>
      </c>
      <c r="B2553">
        <v>1001</v>
      </c>
      <c r="C2553">
        <v>6</v>
      </c>
      <c r="D2553">
        <v>1001</v>
      </c>
      <c r="E2553" t="s">
        <v>5550</v>
      </c>
      <c r="F2553" t="s">
        <v>5550</v>
      </c>
      <c r="G2553" t="s">
        <v>6463</v>
      </c>
      <c r="H2553" t="s">
        <v>1822</v>
      </c>
      <c r="I2553">
        <v>1</v>
      </c>
      <c r="J2553">
        <v>5</v>
      </c>
      <c r="K2553" s="33">
        <v>2</v>
      </c>
      <c r="L2553">
        <v>999</v>
      </c>
      <c r="M2553">
        <v>0</v>
      </c>
      <c r="N2553">
        <v>1018</v>
      </c>
      <c r="O2553" s="2" t="s">
        <v>6464</v>
      </c>
      <c r="S2553" s="33">
        <v>1</v>
      </c>
      <c r="T2553">
        <v>5</v>
      </c>
      <c r="U2553">
        <v>100</v>
      </c>
      <c r="V2553" s="33">
        <v>1</v>
      </c>
      <c r="W2553">
        <v>1</v>
      </c>
      <c r="X2553">
        <v>1</v>
      </c>
      <c r="Y2553">
        <v>0</v>
      </c>
      <c r="Z2553" s="33">
        <v>0</v>
      </c>
      <c r="AA2553">
        <v>5</v>
      </c>
      <c r="AB2553">
        <v>2000</v>
      </c>
      <c r="AC2553">
        <v>56</v>
      </c>
      <c r="AD2553" s="62">
        <v>0</v>
      </c>
      <c r="AE2553" s="62">
        <v>5</v>
      </c>
      <c r="AF2553" s="62">
        <v>2</v>
      </c>
      <c r="AS2553">
        <v>1</v>
      </c>
    </row>
    <row r="2554" spans="1:45">
      <c r="A2554">
        <v>511615</v>
      </c>
      <c r="B2554">
        <v>1001</v>
      </c>
      <c r="C2554">
        <v>6</v>
      </c>
      <c r="D2554">
        <v>1001</v>
      </c>
      <c r="E2554" t="s">
        <v>5550</v>
      </c>
      <c r="F2554" t="s">
        <v>5550</v>
      </c>
      <c r="G2554" t="s">
        <v>6465</v>
      </c>
      <c r="H2554" t="s">
        <v>1822</v>
      </c>
      <c r="I2554">
        <v>1</v>
      </c>
      <c r="J2554">
        <v>5</v>
      </c>
      <c r="K2554" s="33">
        <v>2</v>
      </c>
      <c r="L2554">
        <v>999</v>
      </c>
      <c r="M2554">
        <v>0</v>
      </c>
      <c r="N2554">
        <v>1018</v>
      </c>
      <c r="O2554" s="2" t="s">
        <v>6466</v>
      </c>
      <c r="S2554" s="33">
        <v>1</v>
      </c>
      <c r="T2554">
        <v>5</v>
      </c>
      <c r="U2554">
        <v>100</v>
      </c>
      <c r="V2554" s="33">
        <v>1</v>
      </c>
      <c r="W2554">
        <v>1</v>
      </c>
      <c r="X2554">
        <v>1</v>
      </c>
      <c r="Y2554">
        <v>0</v>
      </c>
      <c r="Z2554" s="33">
        <v>0</v>
      </c>
      <c r="AA2554">
        <v>5</v>
      </c>
      <c r="AB2554">
        <v>2000</v>
      </c>
      <c r="AC2554">
        <v>56</v>
      </c>
      <c r="AD2554" s="62">
        <v>0</v>
      </c>
      <c r="AE2554" s="62">
        <v>5</v>
      </c>
      <c r="AF2554" s="62">
        <v>2</v>
      </c>
      <c r="AS2554">
        <v>1</v>
      </c>
    </row>
    <row r="2555" spans="1:45">
      <c r="A2555">
        <v>615005</v>
      </c>
      <c r="B2555">
        <v>1001</v>
      </c>
      <c r="C2555">
        <v>2</v>
      </c>
      <c r="D2555">
        <v>1001</v>
      </c>
      <c r="E2555" t="s">
        <v>6467</v>
      </c>
      <c r="F2555" t="s">
        <v>6468</v>
      </c>
      <c r="G2555" t="s">
        <v>6469</v>
      </c>
      <c r="H2555" t="s">
        <v>6470</v>
      </c>
      <c r="I2555">
        <v>1</v>
      </c>
      <c r="J2555">
        <v>5</v>
      </c>
      <c r="K2555" s="33">
        <v>1</v>
      </c>
      <c r="L2555">
        <v>999</v>
      </c>
      <c r="M2555">
        <v>0</v>
      </c>
      <c r="N2555"/>
      <c r="S2555" s="33">
        <v>1</v>
      </c>
      <c r="T2555">
        <v>5</v>
      </c>
      <c r="U2555">
        <v>1</v>
      </c>
      <c r="V2555" s="33">
        <v>1</v>
      </c>
      <c r="W2555">
        <v>1</v>
      </c>
      <c r="X2555">
        <v>1</v>
      </c>
      <c r="Y2555">
        <v>0</v>
      </c>
      <c r="Z2555" s="33">
        <v>0</v>
      </c>
      <c r="AA2555">
        <v>5</v>
      </c>
      <c r="AB2555">
        <v>100</v>
      </c>
      <c r="AC2555">
        <v>70</v>
      </c>
      <c r="AD2555" s="62">
        <v>0</v>
      </c>
      <c r="AE2555" s="62">
        <v>0</v>
      </c>
      <c r="AF2555" s="62">
        <v>0</v>
      </c>
      <c r="AS2555">
        <v>1</v>
      </c>
    </row>
    <row r="2556" spans="1:45">
      <c r="A2556">
        <v>616005</v>
      </c>
      <c r="B2556">
        <v>1001</v>
      </c>
      <c r="C2556">
        <v>1</v>
      </c>
      <c r="D2556">
        <v>1001</v>
      </c>
      <c r="E2556" t="s">
        <v>6471</v>
      </c>
      <c r="F2556" t="s">
        <v>6471</v>
      </c>
      <c r="G2556" t="s">
        <v>6472</v>
      </c>
      <c r="H2556" t="s">
        <v>6473</v>
      </c>
      <c r="I2556">
        <v>1</v>
      </c>
      <c r="J2556">
        <v>4</v>
      </c>
      <c r="K2556" s="33">
        <v>2</v>
      </c>
      <c r="L2556">
        <v>999</v>
      </c>
      <c r="M2556">
        <v>0</v>
      </c>
      <c r="N2556">
        <v>1021</v>
      </c>
      <c r="O2556" s="2">
        <v>1</v>
      </c>
      <c r="R2556" s="33"/>
      <c r="S2556" s="33">
        <v>1</v>
      </c>
      <c r="T2556">
        <v>5</v>
      </c>
      <c r="U2556">
        <v>170</v>
      </c>
      <c r="V2556" s="33">
        <v>1</v>
      </c>
      <c r="W2556">
        <v>1</v>
      </c>
      <c r="X2556">
        <v>1</v>
      </c>
      <c r="Y2556">
        <v>0</v>
      </c>
      <c r="Z2556" s="33">
        <v>0</v>
      </c>
      <c r="AA2556">
        <v>5</v>
      </c>
      <c r="AB2556">
        <v>600</v>
      </c>
      <c r="AC2556">
        <v>10000</v>
      </c>
      <c r="AD2556" s="445"/>
      <c r="AE2556" s="62">
        <v>4</v>
      </c>
      <c r="AF2556" s="62">
        <v>1</v>
      </c>
      <c r="AL2556" s="64">
        <v>1</v>
      </c>
      <c r="AS2556">
        <v>1</v>
      </c>
    </row>
    <row r="2557" spans="1:45">
      <c r="A2557">
        <v>511620</v>
      </c>
      <c r="B2557">
        <v>1001</v>
      </c>
      <c r="C2557">
        <v>6</v>
      </c>
      <c r="D2557">
        <v>1001</v>
      </c>
      <c r="E2557" t="s">
        <v>6474</v>
      </c>
      <c r="F2557" t="s">
        <v>6474</v>
      </c>
      <c r="G2557" t="s">
        <v>6475</v>
      </c>
      <c r="H2557" t="s">
        <v>1818</v>
      </c>
      <c r="I2557">
        <v>1</v>
      </c>
      <c r="J2557">
        <v>5</v>
      </c>
      <c r="K2557" s="33">
        <v>2</v>
      </c>
      <c r="L2557">
        <v>999</v>
      </c>
      <c r="M2557">
        <v>0</v>
      </c>
      <c r="N2557">
        <v>1018</v>
      </c>
      <c r="O2557" s="2" t="s">
        <v>6476</v>
      </c>
      <c r="R2557" s="33"/>
      <c r="S2557" s="33">
        <v>1</v>
      </c>
      <c r="T2557">
        <v>5</v>
      </c>
      <c r="U2557">
        <v>1000</v>
      </c>
      <c r="V2557" s="33">
        <v>1</v>
      </c>
      <c r="W2557">
        <v>1</v>
      </c>
      <c r="X2557">
        <v>1</v>
      </c>
      <c r="Y2557">
        <v>0</v>
      </c>
      <c r="Z2557" s="33">
        <v>0</v>
      </c>
      <c r="AA2557">
        <v>5</v>
      </c>
      <c r="AB2557">
        <v>10000</v>
      </c>
      <c r="AC2557">
        <v>56</v>
      </c>
      <c r="AD2557" s="445">
        <v>0</v>
      </c>
      <c r="AE2557" s="62">
        <v>5</v>
      </c>
      <c r="AF2557" s="62">
        <v>2</v>
      </c>
      <c r="AS2557">
        <v>1</v>
      </c>
    </row>
    <row r="2558" spans="1:45">
      <c r="A2558">
        <v>511621</v>
      </c>
      <c r="B2558">
        <v>1001</v>
      </c>
      <c r="C2558">
        <v>6</v>
      </c>
      <c r="D2558">
        <v>1001</v>
      </c>
      <c r="E2558" t="s">
        <v>6477</v>
      </c>
      <c r="F2558" t="s">
        <v>6477</v>
      </c>
      <c r="G2558" s="439" t="s">
        <v>6478</v>
      </c>
      <c r="H2558" t="s">
        <v>204</v>
      </c>
      <c r="I2558">
        <v>1</v>
      </c>
      <c r="J2558">
        <v>5</v>
      </c>
      <c r="K2558" s="33">
        <v>2</v>
      </c>
      <c r="L2558">
        <v>999</v>
      </c>
      <c r="M2558">
        <v>0</v>
      </c>
      <c r="N2558">
        <v>1018</v>
      </c>
      <c r="O2558" s="2" t="s">
        <v>6479</v>
      </c>
      <c r="S2558" s="33">
        <v>1</v>
      </c>
      <c r="T2558">
        <v>5</v>
      </c>
      <c r="U2558">
        <v>1</v>
      </c>
      <c r="V2558" s="33">
        <v>1</v>
      </c>
      <c r="W2558">
        <v>1</v>
      </c>
      <c r="X2558">
        <v>1</v>
      </c>
      <c r="Y2558">
        <v>0</v>
      </c>
      <c r="Z2558" s="33">
        <v>0</v>
      </c>
      <c r="AA2558">
        <v>5</v>
      </c>
      <c r="AB2558">
        <v>100</v>
      </c>
      <c r="AC2558">
        <v>70</v>
      </c>
      <c r="AD2558" s="62">
        <v>0</v>
      </c>
      <c r="AE2558" s="62">
        <v>5</v>
      </c>
      <c r="AF2558" s="62">
        <v>2</v>
      </c>
      <c r="AS2558">
        <v>1</v>
      </c>
    </row>
    <row r="2559" spans="1:45">
      <c r="A2559">
        <v>511622</v>
      </c>
      <c r="B2559">
        <v>1001</v>
      </c>
      <c r="C2559">
        <v>6</v>
      </c>
      <c r="D2559">
        <v>1001</v>
      </c>
      <c r="E2559" t="s">
        <v>6480</v>
      </c>
      <c r="F2559" t="s">
        <v>6480</v>
      </c>
      <c r="G2559" s="3" t="s">
        <v>6481</v>
      </c>
      <c r="H2559" t="s">
        <v>204</v>
      </c>
      <c r="I2559">
        <v>1</v>
      </c>
      <c r="J2559">
        <v>5</v>
      </c>
      <c r="K2559" s="33">
        <v>2</v>
      </c>
      <c r="L2559">
        <v>999</v>
      </c>
      <c r="M2559">
        <v>0</v>
      </c>
      <c r="N2559">
        <v>1018</v>
      </c>
      <c r="O2559" s="231" t="s">
        <v>6482</v>
      </c>
      <c r="R2559" s="33"/>
      <c r="S2559" s="33">
        <v>1</v>
      </c>
      <c r="T2559">
        <v>5</v>
      </c>
      <c r="U2559">
        <v>100</v>
      </c>
      <c r="V2559" s="33">
        <v>1</v>
      </c>
      <c r="W2559">
        <v>1</v>
      </c>
      <c r="X2559">
        <v>1</v>
      </c>
      <c r="Y2559">
        <v>0</v>
      </c>
      <c r="Z2559" s="33">
        <v>0</v>
      </c>
      <c r="AA2559">
        <v>5</v>
      </c>
      <c r="AB2559">
        <v>2000</v>
      </c>
      <c r="AC2559">
        <v>70</v>
      </c>
      <c r="AD2559" s="62">
        <v>0</v>
      </c>
      <c r="AE2559" s="62">
        <v>5</v>
      </c>
      <c r="AF2559" s="62">
        <v>2</v>
      </c>
      <c r="AS2559">
        <v>1</v>
      </c>
    </row>
    <row r="2560" spans="1:45">
      <c r="A2560">
        <v>511623</v>
      </c>
      <c r="B2560">
        <v>1001</v>
      </c>
      <c r="C2560">
        <v>6</v>
      </c>
      <c r="D2560">
        <v>1001</v>
      </c>
      <c r="E2560" t="s">
        <v>6483</v>
      </c>
      <c r="F2560" t="s">
        <v>6483</v>
      </c>
      <c r="G2560" t="s">
        <v>6484</v>
      </c>
      <c r="H2560" t="s">
        <v>6325</v>
      </c>
      <c r="I2560">
        <v>1</v>
      </c>
      <c r="J2560">
        <v>5</v>
      </c>
      <c r="K2560" s="33">
        <v>2</v>
      </c>
      <c r="L2560">
        <v>999</v>
      </c>
      <c r="M2560">
        <v>0</v>
      </c>
      <c r="N2560">
        <v>1035</v>
      </c>
      <c r="O2560" s="2">
        <v>69</v>
      </c>
      <c r="R2560" s="33"/>
      <c r="S2560" s="33">
        <v>0</v>
      </c>
      <c r="T2560">
        <v>5</v>
      </c>
      <c r="U2560">
        <v>1</v>
      </c>
      <c r="V2560" s="33">
        <v>1</v>
      </c>
      <c r="W2560">
        <v>1</v>
      </c>
      <c r="X2560">
        <v>1</v>
      </c>
      <c r="Y2560">
        <v>0</v>
      </c>
      <c r="Z2560" s="33">
        <v>0</v>
      </c>
      <c r="AA2560">
        <v>5</v>
      </c>
      <c r="AB2560">
        <v>100</v>
      </c>
      <c r="AC2560">
        <v>70</v>
      </c>
      <c r="AD2560" s="445">
        <v>0</v>
      </c>
      <c r="AE2560" s="62">
        <v>1</v>
      </c>
      <c r="AF2560" s="62">
        <v>1</v>
      </c>
      <c r="AS2560">
        <v>1</v>
      </c>
    </row>
    <row r="2561" spans="1:45">
      <c r="A2561">
        <v>511624</v>
      </c>
      <c r="B2561">
        <v>1001</v>
      </c>
      <c r="C2561">
        <v>6</v>
      </c>
      <c r="D2561">
        <v>1001</v>
      </c>
      <c r="E2561" t="s">
        <v>6485</v>
      </c>
      <c r="F2561" t="s">
        <v>6485</v>
      </c>
      <c r="G2561" t="s">
        <v>6486</v>
      </c>
      <c r="H2561" t="s">
        <v>6325</v>
      </c>
      <c r="I2561">
        <v>1</v>
      </c>
      <c r="J2561">
        <v>5</v>
      </c>
      <c r="K2561" s="33">
        <v>2</v>
      </c>
      <c r="L2561">
        <v>999</v>
      </c>
      <c r="M2561">
        <v>0</v>
      </c>
      <c r="N2561">
        <v>1035</v>
      </c>
      <c r="O2561" s="2">
        <v>70</v>
      </c>
      <c r="R2561" s="33"/>
      <c r="S2561" s="33">
        <v>0</v>
      </c>
      <c r="T2561">
        <v>5</v>
      </c>
      <c r="U2561">
        <v>1</v>
      </c>
      <c r="V2561" s="33">
        <v>1</v>
      </c>
      <c r="W2561">
        <v>1</v>
      </c>
      <c r="X2561">
        <v>1</v>
      </c>
      <c r="Y2561">
        <v>0</v>
      </c>
      <c r="Z2561" s="33">
        <v>0</v>
      </c>
      <c r="AA2561">
        <v>5</v>
      </c>
      <c r="AB2561">
        <v>100</v>
      </c>
      <c r="AC2561">
        <v>70</v>
      </c>
      <c r="AD2561" s="445">
        <v>0</v>
      </c>
      <c r="AE2561" s="62">
        <v>1</v>
      </c>
      <c r="AF2561" s="62">
        <v>1</v>
      </c>
      <c r="AS2561">
        <v>1</v>
      </c>
    </row>
    <row r="2562" ht="15" customHeight="1" spans="1:45">
      <c r="A2562">
        <v>511625</v>
      </c>
      <c r="B2562">
        <v>1001</v>
      </c>
      <c r="C2562">
        <v>6</v>
      </c>
      <c r="D2562">
        <v>1001</v>
      </c>
      <c r="E2562" t="s">
        <v>5550</v>
      </c>
      <c r="F2562" t="s">
        <v>5550</v>
      </c>
      <c r="G2562" s="3" t="s">
        <v>6487</v>
      </c>
      <c r="H2562" t="s">
        <v>1822</v>
      </c>
      <c r="I2562">
        <v>1</v>
      </c>
      <c r="J2562">
        <v>5</v>
      </c>
      <c r="K2562" s="33">
        <v>2</v>
      </c>
      <c r="L2562">
        <v>999</v>
      </c>
      <c r="M2562">
        <v>0</v>
      </c>
      <c r="N2562">
        <v>1018</v>
      </c>
      <c r="O2562" s="2" t="s">
        <v>6488</v>
      </c>
      <c r="R2562" s="33"/>
      <c r="S2562" s="33">
        <v>1</v>
      </c>
      <c r="T2562">
        <v>5</v>
      </c>
      <c r="U2562">
        <v>100</v>
      </c>
      <c r="V2562" s="33">
        <v>1</v>
      </c>
      <c r="W2562">
        <v>1</v>
      </c>
      <c r="X2562">
        <v>1</v>
      </c>
      <c r="Y2562">
        <v>0</v>
      </c>
      <c r="Z2562" s="33">
        <v>0</v>
      </c>
      <c r="AA2562">
        <v>5</v>
      </c>
      <c r="AB2562">
        <v>2000</v>
      </c>
      <c r="AC2562">
        <v>56</v>
      </c>
      <c r="AD2562" s="62">
        <v>0</v>
      </c>
      <c r="AE2562" s="62">
        <v>5</v>
      </c>
      <c r="AF2562" s="62">
        <v>2</v>
      </c>
      <c r="AS2562">
        <v>1</v>
      </c>
    </row>
    <row r="2563" spans="1:45">
      <c r="A2563">
        <v>511630</v>
      </c>
      <c r="B2563">
        <v>1001</v>
      </c>
      <c r="C2563">
        <v>6</v>
      </c>
      <c r="D2563">
        <v>1001</v>
      </c>
      <c r="E2563" t="s">
        <v>5550</v>
      </c>
      <c r="F2563" t="s">
        <v>5550</v>
      </c>
      <c r="G2563" s="3" t="s">
        <v>6489</v>
      </c>
      <c r="H2563" t="s">
        <v>1822</v>
      </c>
      <c r="I2563">
        <v>1</v>
      </c>
      <c r="J2563">
        <v>5</v>
      </c>
      <c r="K2563" s="33">
        <v>2</v>
      </c>
      <c r="L2563">
        <v>999</v>
      </c>
      <c r="M2563">
        <v>0</v>
      </c>
      <c r="N2563">
        <v>1018</v>
      </c>
      <c r="O2563" s="2" t="s">
        <v>6490</v>
      </c>
      <c r="S2563" s="33">
        <v>1</v>
      </c>
      <c r="T2563">
        <v>5</v>
      </c>
      <c r="U2563">
        <v>100</v>
      </c>
      <c r="V2563" s="33">
        <v>1</v>
      </c>
      <c r="W2563">
        <v>1</v>
      </c>
      <c r="X2563">
        <v>1</v>
      </c>
      <c r="Y2563">
        <v>0</v>
      </c>
      <c r="Z2563" s="33">
        <v>0</v>
      </c>
      <c r="AA2563">
        <v>5</v>
      </c>
      <c r="AB2563">
        <v>2000</v>
      </c>
      <c r="AC2563">
        <v>56</v>
      </c>
      <c r="AD2563" s="62">
        <v>0</v>
      </c>
      <c r="AE2563" s="62">
        <v>5</v>
      </c>
      <c r="AF2563" s="62">
        <v>2</v>
      </c>
      <c r="AS2563">
        <v>1</v>
      </c>
    </row>
    <row r="2564" spans="1:45">
      <c r="A2564">
        <v>511631</v>
      </c>
      <c r="B2564">
        <v>1001</v>
      </c>
      <c r="C2564">
        <v>6</v>
      </c>
      <c r="D2564">
        <v>1001</v>
      </c>
      <c r="E2564" t="s">
        <v>5746</v>
      </c>
      <c r="F2564" t="s">
        <v>5746</v>
      </c>
      <c r="G2564" t="s">
        <v>6491</v>
      </c>
      <c r="H2564" t="s">
        <v>1664</v>
      </c>
      <c r="I2564">
        <v>1</v>
      </c>
      <c r="J2564">
        <v>4</v>
      </c>
      <c r="K2564" s="33">
        <v>2</v>
      </c>
      <c r="L2564">
        <v>999</v>
      </c>
      <c r="M2564">
        <v>0</v>
      </c>
      <c r="N2564">
        <v>1018</v>
      </c>
      <c r="O2564" s="2" t="s">
        <v>6492</v>
      </c>
      <c r="S2564" s="33">
        <v>1</v>
      </c>
      <c r="T2564">
        <v>5</v>
      </c>
      <c r="U2564">
        <v>1</v>
      </c>
      <c r="V2564" s="33">
        <v>1</v>
      </c>
      <c r="W2564">
        <v>1</v>
      </c>
      <c r="X2564">
        <v>1</v>
      </c>
      <c r="Y2564">
        <v>0</v>
      </c>
      <c r="Z2564" s="33">
        <v>0</v>
      </c>
      <c r="AA2564">
        <v>5</v>
      </c>
      <c r="AB2564">
        <v>100</v>
      </c>
      <c r="AC2564">
        <v>70</v>
      </c>
      <c r="AD2564" s="62">
        <v>0</v>
      </c>
      <c r="AE2564" s="62">
        <v>5</v>
      </c>
      <c r="AF2564" s="62">
        <v>2</v>
      </c>
      <c r="AQ2564"/>
      <c r="AS2564">
        <v>1</v>
      </c>
    </row>
    <row r="2565" spans="1:45">
      <c r="A2565">
        <v>511632</v>
      </c>
      <c r="B2565">
        <v>1001</v>
      </c>
      <c r="C2565">
        <v>6</v>
      </c>
      <c r="D2565">
        <v>1001</v>
      </c>
      <c r="E2565" t="s">
        <v>6493</v>
      </c>
      <c r="F2565" t="s">
        <v>6494</v>
      </c>
      <c r="G2565" t="s">
        <v>6495</v>
      </c>
      <c r="H2565" t="s">
        <v>1825</v>
      </c>
      <c r="I2565">
        <v>1</v>
      </c>
      <c r="J2565">
        <v>5</v>
      </c>
      <c r="K2565" s="33">
        <v>2</v>
      </c>
      <c r="L2565">
        <v>999</v>
      </c>
      <c r="M2565">
        <v>0</v>
      </c>
      <c r="N2565">
        <v>1018</v>
      </c>
      <c r="O2565" s="2" t="s">
        <v>6496</v>
      </c>
      <c r="S2565" s="33">
        <v>1</v>
      </c>
      <c r="T2565">
        <v>5</v>
      </c>
      <c r="U2565">
        <v>1</v>
      </c>
      <c r="V2565" s="33">
        <v>1</v>
      </c>
      <c r="W2565">
        <v>1</v>
      </c>
      <c r="X2565">
        <v>1</v>
      </c>
      <c r="Y2565">
        <v>0</v>
      </c>
      <c r="Z2565" s="33">
        <v>0</v>
      </c>
      <c r="AA2565">
        <v>5</v>
      </c>
      <c r="AB2565">
        <v>100</v>
      </c>
      <c r="AC2565">
        <v>70</v>
      </c>
      <c r="AD2565" s="62">
        <v>0</v>
      </c>
      <c r="AE2565" s="62">
        <v>5</v>
      </c>
      <c r="AF2565" s="62">
        <v>2</v>
      </c>
      <c r="AQ2565" t="s">
        <v>5546</v>
      </c>
      <c r="AS2565">
        <v>1</v>
      </c>
    </row>
    <row r="2566" spans="1:45">
      <c r="A2566">
        <v>511633</v>
      </c>
      <c r="B2566" s="238">
        <v>1001</v>
      </c>
      <c r="C2566">
        <v>6</v>
      </c>
      <c r="D2566" s="238">
        <v>1001</v>
      </c>
      <c r="E2566" t="s">
        <v>6497</v>
      </c>
      <c r="F2566" t="s">
        <v>6494</v>
      </c>
      <c r="G2566" t="s">
        <v>6495</v>
      </c>
      <c r="H2566" t="s">
        <v>1825</v>
      </c>
      <c r="I2566">
        <v>1</v>
      </c>
      <c r="J2566">
        <v>5</v>
      </c>
      <c r="K2566" s="33">
        <v>2</v>
      </c>
      <c r="L2566">
        <v>999</v>
      </c>
      <c r="M2566">
        <v>0</v>
      </c>
      <c r="N2566">
        <v>1018</v>
      </c>
      <c r="O2566" s="2" t="s">
        <v>6498</v>
      </c>
      <c r="S2566" s="33">
        <v>1</v>
      </c>
      <c r="T2566">
        <v>5</v>
      </c>
      <c r="U2566">
        <v>1</v>
      </c>
      <c r="V2566" s="33">
        <v>1</v>
      </c>
      <c r="W2566">
        <v>1</v>
      </c>
      <c r="X2566">
        <v>1</v>
      </c>
      <c r="Y2566">
        <v>0</v>
      </c>
      <c r="Z2566" s="33">
        <v>0</v>
      </c>
      <c r="AA2566">
        <v>5</v>
      </c>
      <c r="AB2566">
        <v>100</v>
      </c>
      <c r="AC2566">
        <v>70</v>
      </c>
      <c r="AD2566" s="62">
        <v>0</v>
      </c>
      <c r="AE2566" s="62">
        <v>5</v>
      </c>
      <c r="AF2566" s="62">
        <v>2</v>
      </c>
      <c r="AQ2566" t="s">
        <v>5546</v>
      </c>
      <c r="AS2566">
        <v>1</v>
      </c>
    </row>
    <row r="2567" spans="1:45">
      <c r="A2567">
        <v>511626</v>
      </c>
      <c r="B2567" s="8">
        <v>1001</v>
      </c>
      <c r="C2567">
        <v>6</v>
      </c>
      <c r="D2567" s="8">
        <v>1001</v>
      </c>
      <c r="E2567" t="s">
        <v>6499</v>
      </c>
      <c r="F2567" t="s">
        <v>6499</v>
      </c>
      <c r="G2567" t="s">
        <v>6500</v>
      </c>
      <c r="H2567" t="s">
        <v>6325</v>
      </c>
      <c r="I2567">
        <v>1</v>
      </c>
      <c r="J2567">
        <v>5</v>
      </c>
      <c r="K2567" s="33">
        <v>2</v>
      </c>
      <c r="L2567">
        <v>999</v>
      </c>
      <c r="M2567">
        <v>0</v>
      </c>
      <c r="N2567">
        <v>1035</v>
      </c>
      <c r="O2567" s="2">
        <v>71</v>
      </c>
      <c r="S2567" s="33">
        <v>0</v>
      </c>
      <c r="T2567">
        <v>5</v>
      </c>
      <c r="U2567">
        <v>1</v>
      </c>
      <c r="V2567" s="33">
        <v>1</v>
      </c>
      <c r="W2567">
        <v>1</v>
      </c>
      <c r="X2567">
        <v>1</v>
      </c>
      <c r="Y2567">
        <v>0</v>
      </c>
      <c r="Z2567" s="33">
        <v>0</v>
      </c>
      <c r="AA2567">
        <v>5</v>
      </c>
      <c r="AB2567">
        <v>100</v>
      </c>
      <c r="AC2567">
        <v>70</v>
      </c>
      <c r="AD2567" s="62">
        <v>0</v>
      </c>
      <c r="AE2567" s="62">
        <v>1</v>
      </c>
      <c r="AF2567" s="62">
        <v>1</v>
      </c>
      <c r="AS2567">
        <v>1</v>
      </c>
    </row>
    <row r="2568" spans="1:45">
      <c r="A2568">
        <v>511627</v>
      </c>
      <c r="B2568" s="8">
        <v>1001</v>
      </c>
      <c r="C2568">
        <v>6</v>
      </c>
      <c r="D2568" s="8">
        <v>1001</v>
      </c>
      <c r="E2568" t="s">
        <v>6501</v>
      </c>
      <c r="F2568" t="s">
        <v>6501</v>
      </c>
      <c r="G2568" t="s">
        <v>6502</v>
      </c>
      <c r="H2568" t="s">
        <v>6325</v>
      </c>
      <c r="I2568">
        <v>1</v>
      </c>
      <c r="J2568">
        <v>5</v>
      </c>
      <c r="K2568" s="33">
        <v>2</v>
      </c>
      <c r="L2568">
        <v>999</v>
      </c>
      <c r="M2568">
        <v>0</v>
      </c>
      <c r="N2568">
        <v>1035</v>
      </c>
      <c r="O2568" s="2">
        <v>72</v>
      </c>
      <c r="S2568" s="33">
        <v>0</v>
      </c>
      <c r="T2568">
        <v>5</v>
      </c>
      <c r="U2568">
        <v>1</v>
      </c>
      <c r="V2568" s="33">
        <v>1</v>
      </c>
      <c r="W2568">
        <v>1</v>
      </c>
      <c r="X2568">
        <v>1</v>
      </c>
      <c r="Y2568">
        <v>0</v>
      </c>
      <c r="Z2568" s="33">
        <v>0</v>
      </c>
      <c r="AA2568">
        <v>5</v>
      </c>
      <c r="AB2568">
        <v>100</v>
      </c>
      <c r="AC2568">
        <v>70</v>
      </c>
      <c r="AD2568" s="62">
        <v>0</v>
      </c>
      <c r="AE2568" s="62">
        <v>1</v>
      </c>
      <c r="AF2568" s="62">
        <v>1</v>
      </c>
      <c r="AS2568">
        <v>1</v>
      </c>
    </row>
    <row r="2569" spans="1:45">
      <c r="A2569">
        <v>511628</v>
      </c>
      <c r="B2569" s="8">
        <v>1001</v>
      </c>
      <c r="C2569">
        <v>6</v>
      </c>
      <c r="D2569" s="8">
        <v>1001</v>
      </c>
      <c r="E2569" t="s">
        <v>6503</v>
      </c>
      <c r="F2569" t="s">
        <v>6503</v>
      </c>
      <c r="G2569" t="s">
        <v>6504</v>
      </c>
      <c r="H2569" t="s">
        <v>6325</v>
      </c>
      <c r="I2569">
        <v>1</v>
      </c>
      <c r="J2569">
        <v>5</v>
      </c>
      <c r="K2569" s="33">
        <v>2</v>
      </c>
      <c r="L2569">
        <v>999</v>
      </c>
      <c r="M2569">
        <v>0</v>
      </c>
      <c r="N2569">
        <v>1035</v>
      </c>
      <c r="O2569" s="2">
        <v>73</v>
      </c>
      <c r="S2569" s="33">
        <v>0</v>
      </c>
      <c r="T2569">
        <v>5</v>
      </c>
      <c r="U2569">
        <v>1</v>
      </c>
      <c r="V2569" s="33">
        <v>1</v>
      </c>
      <c r="W2569">
        <v>1</v>
      </c>
      <c r="X2569">
        <v>1</v>
      </c>
      <c r="Y2569">
        <v>0</v>
      </c>
      <c r="Z2569" s="33">
        <v>0</v>
      </c>
      <c r="AA2569">
        <v>5</v>
      </c>
      <c r="AB2569">
        <v>100</v>
      </c>
      <c r="AC2569">
        <v>70</v>
      </c>
      <c r="AD2569" s="62">
        <v>0</v>
      </c>
      <c r="AE2569" s="62">
        <v>1</v>
      </c>
      <c r="AF2569" s="62">
        <v>1</v>
      </c>
      <c r="AS2569">
        <v>1</v>
      </c>
    </row>
    <row r="2570" spans="1:45">
      <c r="A2570">
        <v>511629</v>
      </c>
      <c r="B2570" s="8">
        <v>1001</v>
      </c>
      <c r="C2570">
        <v>6</v>
      </c>
      <c r="D2570" s="8">
        <v>1001</v>
      </c>
      <c r="E2570" t="s">
        <v>6505</v>
      </c>
      <c r="F2570" t="s">
        <v>6505</v>
      </c>
      <c r="G2570" t="s">
        <v>6506</v>
      </c>
      <c r="H2570" t="s">
        <v>6325</v>
      </c>
      <c r="I2570">
        <v>1</v>
      </c>
      <c r="J2570">
        <v>5</v>
      </c>
      <c r="K2570" s="33">
        <v>2</v>
      </c>
      <c r="L2570">
        <v>999</v>
      </c>
      <c r="M2570">
        <v>0</v>
      </c>
      <c r="N2570">
        <v>1035</v>
      </c>
      <c r="O2570" s="2">
        <v>74</v>
      </c>
      <c r="S2570" s="33">
        <v>0</v>
      </c>
      <c r="T2570">
        <v>5</v>
      </c>
      <c r="U2570">
        <v>1</v>
      </c>
      <c r="V2570" s="33">
        <v>1</v>
      </c>
      <c r="W2570">
        <v>1</v>
      </c>
      <c r="X2570">
        <v>1</v>
      </c>
      <c r="Y2570">
        <v>0</v>
      </c>
      <c r="Z2570" s="33">
        <v>0</v>
      </c>
      <c r="AA2570">
        <v>5</v>
      </c>
      <c r="AB2570">
        <v>100</v>
      </c>
      <c r="AC2570">
        <v>70</v>
      </c>
      <c r="AD2570" s="445">
        <v>0</v>
      </c>
      <c r="AE2570" s="62">
        <v>1</v>
      </c>
      <c r="AF2570" s="62">
        <v>1</v>
      </c>
      <c r="AS2570">
        <v>1</v>
      </c>
    </row>
    <row r="2571" spans="1:45">
      <c r="A2571">
        <v>555001</v>
      </c>
      <c r="B2571" s="8">
        <v>1001</v>
      </c>
      <c r="C2571">
        <v>6</v>
      </c>
      <c r="D2571" s="8">
        <v>1001</v>
      </c>
      <c r="E2571" t="s">
        <v>6507</v>
      </c>
      <c r="F2571" t="s">
        <v>6508</v>
      </c>
      <c r="G2571" t="s">
        <v>6509</v>
      </c>
      <c r="H2571" s="446" t="s">
        <v>6510</v>
      </c>
      <c r="I2571">
        <v>1</v>
      </c>
      <c r="J2571">
        <v>5</v>
      </c>
      <c r="K2571" s="33">
        <v>2</v>
      </c>
      <c r="L2571">
        <v>999</v>
      </c>
      <c r="M2571">
        <v>0</v>
      </c>
      <c r="N2571">
        <v>1037</v>
      </c>
      <c r="O2571" s="2">
        <v>1</v>
      </c>
      <c r="S2571" s="33">
        <v>1</v>
      </c>
      <c r="T2571">
        <v>5</v>
      </c>
      <c r="U2571">
        <v>1</v>
      </c>
      <c r="V2571" s="33">
        <v>1</v>
      </c>
      <c r="W2571">
        <v>1</v>
      </c>
      <c r="X2571">
        <v>1</v>
      </c>
      <c r="Y2571">
        <v>0</v>
      </c>
      <c r="Z2571" s="33">
        <v>0</v>
      </c>
      <c r="AA2571">
        <v>5</v>
      </c>
      <c r="AB2571">
        <v>100</v>
      </c>
      <c r="AC2571">
        <v>70</v>
      </c>
      <c r="AD2571" s="445">
        <v>0</v>
      </c>
      <c r="AE2571" s="62">
        <v>1</v>
      </c>
      <c r="AF2571" s="62">
        <v>1</v>
      </c>
      <c r="AS2571">
        <v>1</v>
      </c>
    </row>
    <row r="2572" spans="1:45">
      <c r="A2572">
        <v>555002</v>
      </c>
      <c r="B2572" s="8">
        <v>1001</v>
      </c>
      <c r="C2572">
        <v>6</v>
      </c>
      <c r="D2572" s="8">
        <v>1001</v>
      </c>
      <c r="E2572" t="s">
        <v>6511</v>
      </c>
      <c r="F2572" t="s">
        <v>6512</v>
      </c>
      <c r="G2572" t="s">
        <v>6513</v>
      </c>
      <c r="H2572" s="446" t="s">
        <v>6514</v>
      </c>
      <c r="I2572">
        <v>1</v>
      </c>
      <c r="J2572">
        <v>5</v>
      </c>
      <c r="K2572" s="33">
        <v>2</v>
      </c>
      <c r="L2572">
        <v>999</v>
      </c>
      <c r="M2572">
        <v>0</v>
      </c>
      <c r="N2572">
        <v>1037</v>
      </c>
      <c r="O2572" s="2">
        <v>2</v>
      </c>
      <c r="S2572" s="33">
        <v>1</v>
      </c>
      <c r="T2572">
        <v>5</v>
      </c>
      <c r="U2572">
        <v>1</v>
      </c>
      <c r="V2572" s="33">
        <v>1</v>
      </c>
      <c r="W2572">
        <v>1</v>
      </c>
      <c r="X2572">
        <v>1</v>
      </c>
      <c r="Y2572">
        <v>0</v>
      </c>
      <c r="Z2572" s="33">
        <v>0</v>
      </c>
      <c r="AA2572">
        <v>5</v>
      </c>
      <c r="AB2572">
        <v>100</v>
      </c>
      <c r="AC2572">
        <v>70</v>
      </c>
      <c r="AD2572" s="445">
        <v>0</v>
      </c>
      <c r="AE2572" s="62">
        <v>1</v>
      </c>
      <c r="AF2572" s="62">
        <v>1</v>
      </c>
      <c r="AS2572">
        <v>1</v>
      </c>
    </row>
    <row r="2573" spans="1:45">
      <c r="A2573">
        <v>555003</v>
      </c>
      <c r="B2573" s="8">
        <v>1001</v>
      </c>
      <c r="C2573">
        <v>6</v>
      </c>
      <c r="D2573" s="8">
        <v>1001</v>
      </c>
      <c r="E2573" t="s">
        <v>6515</v>
      </c>
      <c r="F2573" t="s">
        <v>6516</v>
      </c>
      <c r="G2573" t="s">
        <v>6517</v>
      </c>
      <c r="H2573" s="446" t="s">
        <v>6518</v>
      </c>
      <c r="I2573">
        <v>1</v>
      </c>
      <c r="J2573">
        <v>5</v>
      </c>
      <c r="K2573" s="33">
        <v>2</v>
      </c>
      <c r="L2573">
        <v>999</v>
      </c>
      <c r="M2573">
        <v>0</v>
      </c>
      <c r="N2573">
        <v>1037</v>
      </c>
      <c r="O2573" s="2">
        <v>3</v>
      </c>
      <c r="S2573" s="33">
        <v>1</v>
      </c>
      <c r="T2573">
        <v>5</v>
      </c>
      <c r="U2573">
        <v>1</v>
      </c>
      <c r="V2573" s="33">
        <v>1</v>
      </c>
      <c r="W2573">
        <v>1</v>
      </c>
      <c r="X2573">
        <v>1</v>
      </c>
      <c r="Y2573">
        <v>0</v>
      </c>
      <c r="Z2573" s="33">
        <v>0</v>
      </c>
      <c r="AA2573">
        <v>5</v>
      </c>
      <c r="AB2573">
        <v>100</v>
      </c>
      <c r="AC2573">
        <v>70</v>
      </c>
      <c r="AD2573" s="445">
        <v>0</v>
      </c>
      <c r="AE2573" s="62">
        <v>1</v>
      </c>
      <c r="AF2573" s="62">
        <v>1</v>
      </c>
      <c r="AS2573">
        <v>1</v>
      </c>
    </row>
    <row r="2574" spans="1:45">
      <c r="A2574">
        <v>555004</v>
      </c>
      <c r="B2574" s="8">
        <v>1001</v>
      </c>
      <c r="C2574">
        <v>6</v>
      </c>
      <c r="D2574" s="8">
        <v>1001</v>
      </c>
      <c r="E2574" t="s">
        <v>6519</v>
      </c>
      <c r="F2574" t="s">
        <v>6520</v>
      </c>
      <c r="G2574" t="s">
        <v>6521</v>
      </c>
      <c r="H2574" s="446" t="s">
        <v>6522</v>
      </c>
      <c r="I2574">
        <v>1</v>
      </c>
      <c r="J2574">
        <v>5</v>
      </c>
      <c r="K2574" s="33">
        <v>2</v>
      </c>
      <c r="L2574">
        <v>999</v>
      </c>
      <c r="M2574">
        <v>0</v>
      </c>
      <c r="N2574">
        <v>1037</v>
      </c>
      <c r="O2574" s="2">
        <v>4</v>
      </c>
      <c r="S2574" s="33">
        <v>1</v>
      </c>
      <c r="T2574">
        <v>5</v>
      </c>
      <c r="U2574">
        <v>1</v>
      </c>
      <c r="V2574" s="33">
        <v>1</v>
      </c>
      <c r="W2574">
        <v>1</v>
      </c>
      <c r="X2574">
        <v>1</v>
      </c>
      <c r="Y2574">
        <v>0</v>
      </c>
      <c r="Z2574" s="33">
        <v>0</v>
      </c>
      <c r="AA2574">
        <v>5</v>
      </c>
      <c r="AB2574">
        <v>100</v>
      </c>
      <c r="AC2574">
        <v>70</v>
      </c>
      <c r="AD2574" s="445">
        <v>0</v>
      </c>
      <c r="AE2574" s="62">
        <v>1</v>
      </c>
      <c r="AF2574" s="62">
        <v>1</v>
      </c>
      <c r="AS2574">
        <v>1</v>
      </c>
    </row>
    <row r="2575" spans="1:45">
      <c r="A2575">
        <v>555005</v>
      </c>
      <c r="B2575" s="8">
        <v>1001</v>
      </c>
      <c r="C2575">
        <v>6</v>
      </c>
      <c r="D2575" s="8">
        <v>1001</v>
      </c>
      <c r="E2575" t="s">
        <v>6523</v>
      </c>
      <c r="F2575" t="s">
        <v>6524</v>
      </c>
      <c r="G2575" t="s">
        <v>6525</v>
      </c>
      <c r="H2575" s="446" t="s">
        <v>6526</v>
      </c>
      <c r="I2575">
        <v>1</v>
      </c>
      <c r="J2575">
        <v>5</v>
      </c>
      <c r="K2575" s="33">
        <v>2</v>
      </c>
      <c r="L2575">
        <v>999</v>
      </c>
      <c r="M2575">
        <v>0</v>
      </c>
      <c r="N2575">
        <v>1037</v>
      </c>
      <c r="O2575" s="2">
        <v>5</v>
      </c>
      <c r="S2575" s="33">
        <v>1</v>
      </c>
      <c r="T2575">
        <v>5</v>
      </c>
      <c r="U2575">
        <v>1</v>
      </c>
      <c r="V2575" s="33">
        <v>1</v>
      </c>
      <c r="W2575">
        <v>1</v>
      </c>
      <c r="X2575">
        <v>1</v>
      </c>
      <c r="Y2575">
        <v>0</v>
      </c>
      <c r="Z2575" s="33">
        <v>0</v>
      </c>
      <c r="AA2575">
        <v>5</v>
      </c>
      <c r="AB2575">
        <v>100</v>
      </c>
      <c r="AC2575">
        <v>70</v>
      </c>
      <c r="AD2575" s="62">
        <v>0</v>
      </c>
      <c r="AE2575" s="62">
        <v>1</v>
      </c>
      <c r="AF2575" s="62">
        <v>1</v>
      </c>
      <c r="AS2575">
        <v>1</v>
      </c>
    </row>
    <row r="2576" spans="1:45">
      <c r="A2576">
        <v>555006</v>
      </c>
      <c r="B2576" s="8">
        <v>1001</v>
      </c>
      <c r="C2576">
        <v>6</v>
      </c>
      <c r="D2576" s="8">
        <v>1001</v>
      </c>
      <c r="E2576" t="s">
        <v>6527</v>
      </c>
      <c r="F2576" t="s">
        <v>6528</v>
      </c>
      <c r="G2576" t="s">
        <v>6529</v>
      </c>
      <c r="H2576" s="446" t="s">
        <v>6530</v>
      </c>
      <c r="I2576">
        <v>1</v>
      </c>
      <c r="J2576">
        <v>5</v>
      </c>
      <c r="K2576" s="33">
        <v>2</v>
      </c>
      <c r="L2576">
        <v>999</v>
      </c>
      <c r="M2576">
        <v>0</v>
      </c>
      <c r="N2576">
        <v>1037</v>
      </c>
      <c r="O2576" s="2">
        <v>6</v>
      </c>
      <c r="S2576" s="33">
        <v>1</v>
      </c>
      <c r="T2576">
        <v>5</v>
      </c>
      <c r="U2576">
        <v>1</v>
      </c>
      <c r="V2576" s="33">
        <v>1</v>
      </c>
      <c r="W2576">
        <v>1</v>
      </c>
      <c r="X2576">
        <v>1</v>
      </c>
      <c r="Y2576">
        <v>0</v>
      </c>
      <c r="Z2576" s="33">
        <v>0</v>
      </c>
      <c r="AA2576">
        <v>5</v>
      </c>
      <c r="AB2576">
        <v>100</v>
      </c>
      <c r="AC2576">
        <v>70</v>
      </c>
      <c r="AD2576" s="62">
        <v>0</v>
      </c>
      <c r="AE2576" s="62">
        <v>1</v>
      </c>
      <c r="AF2576" s="62">
        <v>1</v>
      </c>
      <c r="AS2576">
        <v>1</v>
      </c>
    </row>
    <row r="2577" spans="1:45">
      <c r="A2577">
        <v>555007</v>
      </c>
      <c r="B2577" s="8">
        <v>1001</v>
      </c>
      <c r="C2577">
        <v>6</v>
      </c>
      <c r="D2577" s="8">
        <v>1001</v>
      </c>
      <c r="E2577" t="s">
        <v>6531</v>
      </c>
      <c r="F2577" t="s">
        <v>6532</v>
      </c>
      <c r="G2577" t="s">
        <v>6533</v>
      </c>
      <c r="H2577" s="446" t="s">
        <v>6534</v>
      </c>
      <c r="I2577">
        <v>1</v>
      </c>
      <c r="J2577">
        <v>5</v>
      </c>
      <c r="K2577" s="33">
        <v>2</v>
      </c>
      <c r="L2577">
        <v>999</v>
      </c>
      <c r="M2577">
        <v>0</v>
      </c>
      <c r="N2577">
        <v>1037</v>
      </c>
      <c r="O2577" s="2">
        <v>7</v>
      </c>
      <c r="S2577" s="33">
        <v>1</v>
      </c>
      <c r="T2577">
        <v>5</v>
      </c>
      <c r="U2577">
        <v>1</v>
      </c>
      <c r="V2577" s="33">
        <v>1</v>
      </c>
      <c r="W2577">
        <v>1</v>
      </c>
      <c r="X2577">
        <v>1</v>
      </c>
      <c r="Y2577">
        <v>0</v>
      </c>
      <c r="Z2577" s="33">
        <v>0</v>
      </c>
      <c r="AA2577">
        <v>5</v>
      </c>
      <c r="AB2577">
        <v>100</v>
      </c>
      <c r="AC2577">
        <v>70</v>
      </c>
      <c r="AD2577" s="62">
        <v>0</v>
      </c>
      <c r="AE2577" s="62">
        <v>1</v>
      </c>
      <c r="AF2577" s="62">
        <v>1</v>
      </c>
      <c r="AS2577">
        <v>1</v>
      </c>
    </row>
    <row r="2578" spans="1:45">
      <c r="A2578">
        <v>555008</v>
      </c>
      <c r="B2578" s="8">
        <v>1001</v>
      </c>
      <c r="C2578">
        <v>6</v>
      </c>
      <c r="D2578" s="8">
        <v>1001</v>
      </c>
      <c r="E2578" t="s">
        <v>6535</v>
      </c>
      <c r="F2578" t="s">
        <v>6536</v>
      </c>
      <c r="G2578" t="s">
        <v>6537</v>
      </c>
      <c r="H2578" s="446" t="s">
        <v>6538</v>
      </c>
      <c r="I2578">
        <v>1</v>
      </c>
      <c r="J2578">
        <v>5</v>
      </c>
      <c r="K2578" s="33">
        <v>2</v>
      </c>
      <c r="L2578">
        <v>999</v>
      </c>
      <c r="M2578">
        <v>0</v>
      </c>
      <c r="N2578">
        <v>1037</v>
      </c>
      <c r="O2578" s="2">
        <v>8</v>
      </c>
      <c r="S2578" s="33">
        <v>1</v>
      </c>
      <c r="T2578">
        <v>5</v>
      </c>
      <c r="U2578">
        <v>1</v>
      </c>
      <c r="V2578" s="33">
        <v>1</v>
      </c>
      <c r="W2578">
        <v>1</v>
      </c>
      <c r="X2578">
        <v>1</v>
      </c>
      <c r="Y2578">
        <v>0</v>
      </c>
      <c r="Z2578" s="33">
        <v>0</v>
      </c>
      <c r="AA2578">
        <v>5</v>
      </c>
      <c r="AB2578">
        <v>100</v>
      </c>
      <c r="AC2578">
        <v>70</v>
      </c>
      <c r="AD2578" s="62">
        <v>0</v>
      </c>
      <c r="AE2578" s="62">
        <v>1</v>
      </c>
      <c r="AF2578" s="62">
        <v>1</v>
      </c>
      <c r="AS2578">
        <v>1</v>
      </c>
    </row>
    <row r="2579" spans="1:45">
      <c r="A2579">
        <v>555009</v>
      </c>
      <c r="B2579" s="8">
        <v>1001</v>
      </c>
      <c r="C2579">
        <v>6</v>
      </c>
      <c r="D2579" s="8">
        <v>1001</v>
      </c>
      <c r="E2579" t="s">
        <v>6539</v>
      </c>
      <c r="F2579" t="s">
        <v>6540</v>
      </c>
      <c r="G2579" t="s">
        <v>6541</v>
      </c>
      <c r="H2579" s="446" t="s">
        <v>6542</v>
      </c>
      <c r="I2579">
        <v>1</v>
      </c>
      <c r="J2579">
        <v>5</v>
      </c>
      <c r="K2579" s="33">
        <v>2</v>
      </c>
      <c r="L2579">
        <v>999</v>
      </c>
      <c r="M2579">
        <v>0</v>
      </c>
      <c r="N2579">
        <v>1037</v>
      </c>
      <c r="O2579" s="2">
        <v>9</v>
      </c>
      <c r="S2579" s="33">
        <v>1</v>
      </c>
      <c r="T2579">
        <v>5</v>
      </c>
      <c r="U2579">
        <v>1</v>
      </c>
      <c r="V2579" s="33">
        <v>1</v>
      </c>
      <c r="W2579">
        <v>1</v>
      </c>
      <c r="X2579">
        <v>1</v>
      </c>
      <c r="Y2579">
        <v>0</v>
      </c>
      <c r="Z2579" s="33">
        <v>0</v>
      </c>
      <c r="AA2579">
        <v>5</v>
      </c>
      <c r="AB2579">
        <v>100</v>
      </c>
      <c r="AC2579">
        <v>70</v>
      </c>
      <c r="AD2579" s="62">
        <v>0</v>
      </c>
      <c r="AE2579" s="62">
        <v>1</v>
      </c>
      <c r="AF2579" s="62">
        <v>1</v>
      </c>
      <c r="AS2579">
        <v>1</v>
      </c>
    </row>
    <row r="2580" spans="1:45">
      <c r="A2580">
        <v>555010</v>
      </c>
      <c r="B2580" s="8">
        <v>1001</v>
      </c>
      <c r="C2580">
        <v>6</v>
      </c>
      <c r="D2580" s="8">
        <v>1001</v>
      </c>
      <c r="E2580" t="s">
        <v>6543</v>
      </c>
      <c r="F2580" t="s">
        <v>6544</v>
      </c>
      <c r="G2580" t="s">
        <v>6545</v>
      </c>
      <c r="H2580" s="446" t="s">
        <v>6546</v>
      </c>
      <c r="I2580">
        <v>1</v>
      </c>
      <c r="J2580">
        <v>5</v>
      </c>
      <c r="K2580" s="33">
        <v>2</v>
      </c>
      <c r="L2580">
        <v>999</v>
      </c>
      <c r="M2580">
        <v>0</v>
      </c>
      <c r="N2580">
        <v>1037</v>
      </c>
      <c r="O2580" s="2">
        <v>10</v>
      </c>
      <c r="S2580" s="33">
        <v>1</v>
      </c>
      <c r="T2580">
        <v>5</v>
      </c>
      <c r="U2580">
        <v>1</v>
      </c>
      <c r="V2580" s="33">
        <v>1</v>
      </c>
      <c r="W2580">
        <v>1</v>
      </c>
      <c r="X2580">
        <v>1</v>
      </c>
      <c r="Y2580">
        <v>0</v>
      </c>
      <c r="Z2580" s="33">
        <v>0</v>
      </c>
      <c r="AA2580">
        <v>5</v>
      </c>
      <c r="AB2580">
        <v>100</v>
      </c>
      <c r="AC2580">
        <v>70</v>
      </c>
      <c r="AD2580" s="62">
        <v>0</v>
      </c>
      <c r="AE2580" s="62">
        <v>1</v>
      </c>
      <c r="AF2580" s="62">
        <v>1</v>
      </c>
      <c r="AS2580">
        <v>1</v>
      </c>
    </row>
    <row r="2581" spans="1:45">
      <c r="A2581">
        <v>555011</v>
      </c>
      <c r="B2581" s="8">
        <v>1001</v>
      </c>
      <c r="C2581">
        <v>6</v>
      </c>
      <c r="D2581" s="8">
        <v>1001</v>
      </c>
      <c r="E2581" t="s">
        <v>6547</v>
      </c>
      <c r="F2581" t="s">
        <v>6548</v>
      </c>
      <c r="G2581" t="s">
        <v>6549</v>
      </c>
      <c r="H2581" s="446" t="s">
        <v>6550</v>
      </c>
      <c r="I2581">
        <v>1</v>
      </c>
      <c r="J2581">
        <v>5</v>
      </c>
      <c r="K2581" s="33">
        <v>2</v>
      </c>
      <c r="L2581">
        <v>999</v>
      </c>
      <c r="M2581">
        <v>0</v>
      </c>
      <c r="N2581">
        <v>1037</v>
      </c>
      <c r="O2581" s="2">
        <v>11</v>
      </c>
      <c r="S2581" s="33">
        <v>1</v>
      </c>
      <c r="T2581">
        <v>5</v>
      </c>
      <c r="U2581">
        <v>1</v>
      </c>
      <c r="V2581" s="33">
        <v>1</v>
      </c>
      <c r="W2581">
        <v>1</v>
      </c>
      <c r="X2581">
        <v>1</v>
      </c>
      <c r="Y2581">
        <v>0</v>
      </c>
      <c r="Z2581" s="33">
        <v>0</v>
      </c>
      <c r="AA2581">
        <v>5</v>
      </c>
      <c r="AB2581">
        <v>100</v>
      </c>
      <c r="AC2581">
        <v>70</v>
      </c>
      <c r="AD2581" s="62">
        <v>0</v>
      </c>
      <c r="AE2581" s="62">
        <v>1</v>
      </c>
      <c r="AF2581" s="62">
        <v>1</v>
      </c>
      <c r="AS2581">
        <v>1</v>
      </c>
    </row>
    <row r="2582" spans="1:45">
      <c r="A2582">
        <v>555012</v>
      </c>
      <c r="B2582" s="8">
        <v>1001</v>
      </c>
      <c r="C2582">
        <v>6</v>
      </c>
      <c r="D2582" s="8">
        <v>1001</v>
      </c>
      <c r="E2582" t="s">
        <v>6551</v>
      </c>
      <c r="F2582" t="s">
        <v>6552</v>
      </c>
      <c r="G2582" t="s">
        <v>6553</v>
      </c>
      <c r="H2582" s="446" t="s">
        <v>6554</v>
      </c>
      <c r="I2582">
        <v>1</v>
      </c>
      <c r="J2582">
        <v>5</v>
      </c>
      <c r="K2582" s="33">
        <v>2</v>
      </c>
      <c r="L2582">
        <v>999</v>
      </c>
      <c r="M2582">
        <v>0</v>
      </c>
      <c r="N2582">
        <v>1037</v>
      </c>
      <c r="O2582" s="2">
        <v>12</v>
      </c>
      <c r="S2582" s="33">
        <v>1</v>
      </c>
      <c r="T2582">
        <v>5</v>
      </c>
      <c r="U2582">
        <v>1</v>
      </c>
      <c r="V2582" s="33">
        <v>1</v>
      </c>
      <c r="W2582">
        <v>1</v>
      </c>
      <c r="X2582">
        <v>1</v>
      </c>
      <c r="Y2582">
        <v>0</v>
      </c>
      <c r="Z2582" s="33">
        <v>0</v>
      </c>
      <c r="AA2582">
        <v>5</v>
      </c>
      <c r="AB2582">
        <v>100</v>
      </c>
      <c r="AC2582">
        <v>70</v>
      </c>
      <c r="AD2582" s="62">
        <v>0</v>
      </c>
      <c r="AE2582" s="62">
        <v>1</v>
      </c>
      <c r="AF2582" s="62">
        <v>1</v>
      </c>
      <c r="AS2582">
        <v>1</v>
      </c>
    </row>
    <row r="2583" spans="1:45">
      <c r="A2583">
        <v>555013</v>
      </c>
      <c r="B2583" s="8">
        <v>1001</v>
      </c>
      <c r="C2583">
        <v>6</v>
      </c>
      <c r="D2583" s="8">
        <v>1001</v>
      </c>
      <c r="E2583" t="s">
        <v>6555</v>
      </c>
      <c r="F2583" t="s">
        <v>6556</v>
      </c>
      <c r="G2583" t="s">
        <v>6557</v>
      </c>
      <c r="H2583" s="446" t="s">
        <v>6558</v>
      </c>
      <c r="I2583">
        <v>1</v>
      </c>
      <c r="J2583">
        <v>5</v>
      </c>
      <c r="K2583" s="33">
        <v>2</v>
      </c>
      <c r="L2583">
        <v>999</v>
      </c>
      <c r="M2583">
        <v>0</v>
      </c>
      <c r="N2583">
        <v>1037</v>
      </c>
      <c r="O2583" s="2">
        <v>13</v>
      </c>
      <c r="S2583" s="33">
        <v>1</v>
      </c>
      <c r="T2583">
        <v>5</v>
      </c>
      <c r="U2583">
        <v>1</v>
      </c>
      <c r="V2583" s="33">
        <v>1</v>
      </c>
      <c r="W2583">
        <v>1</v>
      </c>
      <c r="X2583">
        <v>1</v>
      </c>
      <c r="Y2583">
        <v>0</v>
      </c>
      <c r="Z2583" s="33">
        <v>0</v>
      </c>
      <c r="AA2583">
        <v>5</v>
      </c>
      <c r="AB2583">
        <v>100</v>
      </c>
      <c r="AC2583">
        <v>70</v>
      </c>
      <c r="AD2583" s="62">
        <v>0</v>
      </c>
      <c r="AE2583" s="62">
        <v>1</v>
      </c>
      <c r="AF2583" s="62">
        <v>1</v>
      </c>
      <c r="AS2583">
        <v>1</v>
      </c>
    </row>
    <row r="2584" spans="1:45">
      <c r="A2584">
        <v>555014</v>
      </c>
      <c r="B2584" s="8">
        <v>1001</v>
      </c>
      <c r="C2584">
        <v>6</v>
      </c>
      <c r="D2584" s="8">
        <v>1001</v>
      </c>
      <c r="E2584" t="s">
        <v>6559</v>
      </c>
      <c r="F2584" t="s">
        <v>6560</v>
      </c>
      <c r="G2584" t="s">
        <v>6561</v>
      </c>
      <c r="H2584" s="446" t="s">
        <v>6562</v>
      </c>
      <c r="I2584">
        <v>1</v>
      </c>
      <c r="J2584">
        <v>5</v>
      </c>
      <c r="K2584" s="33">
        <v>2</v>
      </c>
      <c r="L2584">
        <v>999</v>
      </c>
      <c r="M2584">
        <v>0</v>
      </c>
      <c r="N2584">
        <v>1037</v>
      </c>
      <c r="O2584" s="2">
        <v>14</v>
      </c>
      <c r="S2584" s="33">
        <v>1</v>
      </c>
      <c r="T2584">
        <v>5</v>
      </c>
      <c r="U2584">
        <v>1</v>
      </c>
      <c r="V2584" s="33">
        <v>1</v>
      </c>
      <c r="W2584">
        <v>1</v>
      </c>
      <c r="X2584">
        <v>1</v>
      </c>
      <c r="Y2584">
        <v>0</v>
      </c>
      <c r="Z2584" s="33">
        <v>0</v>
      </c>
      <c r="AA2584">
        <v>5</v>
      </c>
      <c r="AB2584">
        <v>100</v>
      </c>
      <c r="AC2584">
        <v>70</v>
      </c>
      <c r="AD2584" s="62">
        <v>0</v>
      </c>
      <c r="AE2584" s="62">
        <v>1</v>
      </c>
      <c r="AF2584" s="62">
        <v>1</v>
      </c>
      <c r="AS2584">
        <v>1</v>
      </c>
    </row>
    <row r="2585" spans="1:45">
      <c r="A2585">
        <v>555015</v>
      </c>
      <c r="B2585" s="8">
        <v>1001</v>
      </c>
      <c r="C2585">
        <v>6</v>
      </c>
      <c r="D2585" s="8">
        <v>1001</v>
      </c>
      <c r="E2585" t="s">
        <v>6563</v>
      </c>
      <c r="F2585" t="s">
        <v>6563</v>
      </c>
      <c r="G2585" t="s">
        <v>6564</v>
      </c>
      <c r="H2585" s="446" t="s">
        <v>6565</v>
      </c>
      <c r="I2585">
        <v>1</v>
      </c>
      <c r="J2585">
        <v>5</v>
      </c>
      <c r="K2585" s="33">
        <v>2</v>
      </c>
      <c r="L2585">
        <v>999</v>
      </c>
      <c r="M2585">
        <v>0</v>
      </c>
      <c r="N2585">
        <v>1037</v>
      </c>
      <c r="O2585" s="2">
        <v>15</v>
      </c>
      <c r="S2585" s="33">
        <v>1</v>
      </c>
      <c r="T2585">
        <v>5</v>
      </c>
      <c r="U2585">
        <v>1</v>
      </c>
      <c r="V2585" s="33">
        <v>1</v>
      </c>
      <c r="W2585">
        <v>1</v>
      </c>
      <c r="X2585">
        <v>1</v>
      </c>
      <c r="Y2585">
        <v>0</v>
      </c>
      <c r="Z2585" s="33">
        <v>0</v>
      </c>
      <c r="AA2585">
        <v>5</v>
      </c>
      <c r="AB2585">
        <v>100</v>
      </c>
      <c r="AC2585">
        <v>70</v>
      </c>
      <c r="AD2585" s="62">
        <v>0</v>
      </c>
      <c r="AE2585" s="62">
        <v>1</v>
      </c>
      <c r="AF2585" s="62">
        <v>1</v>
      </c>
      <c r="AS2585">
        <v>1</v>
      </c>
    </row>
    <row r="2586" spans="1:45">
      <c r="A2586">
        <v>555016</v>
      </c>
      <c r="B2586" s="8">
        <v>1001</v>
      </c>
      <c r="C2586">
        <v>6</v>
      </c>
      <c r="D2586" s="8">
        <v>1001</v>
      </c>
      <c r="E2586" t="s">
        <v>6566</v>
      </c>
      <c r="F2586" t="s">
        <v>6566</v>
      </c>
      <c r="G2586" t="s">
        <v>6567</v>
      </c>
      <c r="H2586" s="446" t="s">
        <v>6568</v>
      </c>
      <c r="I2586">
        <v>1</v>
      </c>
      <c r="J2586">
        <v>5</v>
      </c>
      <c r="K2586" s="33">
        <v>2</v>
      </c>
      <c r="L2586">
        <v>999</v>
      </c>
      <c r="M2586">
        <v>0</v>
      </c>
      <c r="N2586">
        <v>1037</v>
      </c>
      <c r="O2586" s="2">
        <v>16</v>
      </c>
      <c r="S2586" s="33">
        <v>1</v>
      </c>
      <c r="T2586">
        <v>5</v>
      </c>
      <c r="U2586">
        <v>1</v>
      </c>
      <c r="V2586" s="33">
        <v>1</v>
      </c>
      <c r="W2586">
        <v>1</v>
      </c>
      <c r="X2586">
        <v>1</v>
      </c>
      <c r="Y2586">
        <v>0</v>
      </c>
      <c r="Z2586" s="33">
        <v>0</v>
      </c>
      <c r="AA2586">
        <v>5</v>
      </c>
      <c r="AB2586">
        <v>100</v>
      </c>
      <c r="AC2586">
        <v>70</v>
      </c>
      <c r="AD2586" s="62">
        <v>0</v>
      </c>
      <c r="AE2586" s="62">
        <v>1</v>
      </c>
      <c r="AF2586" s="62">
        <v>1</v>
      </c>
      <c r="AS2586">
        <v>1</v>
      </c>
    </row>
    <row r="2587" s="51" customFormat="1" spans="1:45">
      <c r="A2587">
        <v>555017</v>
      </c>
      <c r="B2587" s="8">
        <v>1001</v>
      </c>
      <c r="C2587">
        <v>6</v>
      </c>
      <c r="D2587" s="8">
        <v>1001</v>
      </c>
      <c r="E2587" t="s">
        <v>6569</v>
      </c>
      <c r="F2587" t="s">
        <v>6569</v>
      </c>
      <c r="G2587" t="s">
        <v>6570</v>
      </c>
      <c r="H2587" s="446" t="s">
        <v>6571</v>
      </c>
      <c r="I2587">
        <v>1</v>
      </c>
      <c r="J2587">
        <v>5</v>
      </c>
      <c r="K2587" s="33">
        <v>2</v>
      </c>
      <c r="L2587">
        <v>999</v>
      </c>
      <c r="M2587">
        <v>0</v>
      </c>
      <c r="N2587">
        <v>1037</v>
      </c>
      <c r="O2587" s="2">
        <v>17</v>
      </c>
      <c r="S2587" s="254">
        <v>1</v>
      </c>
      <c r="T2587" s="238">
        <v>5</v>
      </c>
      <c r="U2587" s="238">
        <v>1</v>
      </c>
      <c r="V2587" s="254">
        <v>1</v>
      </c>
      <c r="W2587" s="238">
        <v>1</v>
      </c>
      <c r="X2587" s="238">
        <v>1</v>
      </c>
      <c r="Y2587">
        <v>0</v>
      </c>
      <c r="Z2587" s="33">
        <v>0</v>
      </c>
      <c r="AA2587">
        <v>5</v>
      </c>
      <c r="AB2587">
        <v>100</v>
      </c>
      <c r="AC2587" s="238">
        <v>70</v>
      </c>
      <c r="AD2587" s="62">
        <v>0</v>
      </c>
      <c r="AE2587" s="255">
        <v>1</v>
      </c>
      <c r="AF2587" s="255">
        <v>1</v>
      </c>
      <c r="AG2587" s="405"/>
      <c r="AH2587" s="405"/>
      <c r="AI2587" s="405"/>
      <c r="AJ2587" s="405"/>
      <c r="AK2587" s="405"/>
      <c r="AL2587" s="406"/>
      <c r="AM2587" s="447"/>
      <c r="AN2587" s="448"/>
      <c r="AO2587" s="447"/>
      <c r="AP2587" s="447"/>
      <c r="AQ2587" s="51"/>
      <c r="AR2587" s="51"/>
      <c r="AS2587">
        <v>1</v>
      </c>
    </row>
    <row r="2588" s="51" customFormat="1" spans="1:45">
      <c r="A2588" s="51">
        <v>555018</v>
      </c>
      <c r="B2588" s="422">
        <v>1001</v>
      </c>
      <c r="C2588" s="51">
        <v>1</v>
      </c>
      <c r="D2588" s="422">
        <v>1001</v>
      </c>
      <c r="E2588" s="449" t="s">
        <v>5499</v>
      </c>
      <c r="F2588" s="51" t="s">
        <v>5499</v>
      </c>
      <c r="G2588" s="51" t="s">
        <v>6572</v>
      </c>
      <c r="H2588" s="51" t="s">
        <v>5501</v>
      </c>
      <c r="I2588" s="51">
        <v>1</v>
      </c>
      <c r="J2588" s="51">
        <v>4</v>
      </c>
      <c r="K2588" s="414">
        <v>1</v>
      </c>
      <c r="L2588" s="51">
        <v>999</v>
      </c>
      <c r="M2588" s="51">
        <v>0</v>
      </c>
      <c r="O2588" s="412"/>
      <c r="S2588" s="450">
        <v>1</v>
      </c>
      <c r="T2588" s="450">
        <v>5</v>
      </c>
      <c r="U2588" s="450">
        <v>1</v>
      </c>
      <c r="V2588" s="427">
        <v>1</v>
      </c>
      <c r="W2588" s="422">
        <v>1</v>
      </c>
      <c r="X2588" s="422">
        <v>1</v>
      </c>
      <c r="Y2588" s="51">
        <v>0</v>
      </c>
      <c r="Z2588" s="414">
        <v>0</v>
      </c>
      <c r="AA2588" s="51">
        <v>5</v>
      </c>
      <c r="AB2588" s="51">
        <v>100</v>
      </c>
      <c r="AC2588" s="427">
        <v>900</v>
      </c>
      <c r="AD2588" s="416">
        <v>0</v>
      </c>
      <c r="AE2588" s="404"/>
      <c r="AF2588" s="404"/>
      <c r="AG2588" s="405"/>
      <c r="AH2588" s="405"/>
      <c r="AI2588" s="405"/>
      <c r="AJ2588" s="405"/>
      <c r="AK2588" s="405"/>
      <c r="AL2588" s="406"/>
      <c r="AM2588" s="447"/>
      <c r="AN2588" s="448"/>
      <c r="AO2588" s="447"/>
      <c r="AP2588" s="447"/>
      <c r="AQ2588" s="51" t="s">
        <v>5499</v>
      </c>
      <c r="AR2588" s="51">
        <v>1</v>
      </c>
      <c r="AS2588" s="51">
        <v>1</v>
      </c>
    </row>
    <row r="2589" s="51" customFormat="1" spans="1:45">
      <c r="A2589" s="51">
        <v>555019</v>
      </c>
      <c r="B2589" s="411">
        <v>1001</v>
      </c>
      <c r="C2589" s="51">
        <v>1</v>
      </c>
      <c r="D2589" s="411">
        <v>1001</v>
      </c>
      <c r="E2589" s="449" t="s">
        <v>6573</v>
      </c>
      <c r="F2589" s="449" t="s">
        <v>6573</v>
      </c>
      <c r="G2589" s="51" t="s">
        <v>6574</v>
      </c>
      <c r="H2589" s="51" t="s">
        <v>5474</v>
      </c>
      <c r="I2589" s="51">
        <v>1</v>
      </c>
      <c r="J2589" s="51">
        <v>5</v>
      </c>
      <c r="K2589" s="414">
        <v>1</v>
      </c>
      <c r="L2589" s="51">
        <v>999</v>
      </c>
      <c r="M2589" s="51">
        <v>0</v>
      </c>
      <c r="N2589" s="51"/>
      <c r="O2589" s="412"/>
      <c r="S2589" s="451">
        <v>1</v>
      </c>
      <c r="T2589" s="451">
        <v>5</v>
      </c>
      <c r="U2589" s="451">
        <v>1</v>
      </c>
      <c r="V2589" s="410">
        <v>1</v>
      </c>
      <c r="W2589" s="411">
        <v>1</v>
      </c>
      <c r="X2589" s="411">
        <v>1</v>
      </c>
      <c r="Y2589" s="51">
        <v>0</v>
      </c>
      <c r="Z2589" s="414">
        <v>0</v>
      </c>
      <c r="AA2589" s="51">
        <v>5</v>
      </c>
      <c r="AB2589" s="51">
        <v>100</v>
      </c>
      <c r="AC2589" s="410">
        <v>900</v>
      </c>
      <c r="AD2589" s="416">
        <v>0</v>
      </c>
      <c r="AE2589" s="417"/>
      <c r="AF2589" s="417"/>
      <c r="AG2589" s="418"/>
      <c r="AH2589" s="418"/>
      <c r="AI2589" s="418"/>
      <c r="AJ2589" s="418"/>
      <c r="AK2589" s="418"/>
      <c r="AL2589" s="419"/>
      <c r="AM2589" s="447"/>
      <c r="AN2589" s="448"/>
      <c r="AO2589" s="447"/>
      <c r="AP2589" s="447"/>
      <c r="AQ2589" s="51" t="s">
        <v>5502</v>
      </c>
      <c r="AR2589" s="51">
        <v>1</v>
      </c>
      <c r="AS2589" s="51">
        <v>1</v>
      </c>
    </row>
    <row r="2590" s="51" customFormat="1" spans="1:45">
      <c r="A2590" s="51">
        <v>555020</v>
      </c>
      <c r="B2590" s="428">
        <v>1001</v>
      </c>
      <c r="C2590" s="51">
        <v>1</v>
      </c>
      <c r="D2590" s="428">
        <v>1001</v>
      </c>
      <c r="E2590" s="51" t="s">
        <v>6575</v>
      </c>
      <c r="F2590" s="51" t="s">
        <v>6575</v>
      </c>
      <c r="G2590" s="51" t="s">
        <v>6576</v>
      </c>
      <c r="H2590" s="51" t="s">
        <v>6577</v>
      </c>
      <c r="I2590" s="51">
        <v>1</v>
      </c>
      <c r="J2590" s="51">
        <v>5</v>
      </c>
      <c r="K2590" s="414">
        <v>2</v>
      </c>
      <c r="L2590" s="51">
        <v>999</v>
      </c>
      <c r="M2590" s="51">
        <v>0</v>
      </c>
      <c r="N2590" s="51">
        <v>1017</v>
      </c>
      <c r="O2590" s="412">
        <v>300088</v>
      </c>
      <c r="S2590" s="452">
        <v>1</v>
      </c>
      <c r="T2590" s="428">
        <v>5</v>
      </c>
      <c r="U2590" s="428">
        <v>1</v>
      </c>
      <c r="V2590" s="452">
        <v>1</v>
      </c>
      <c r="W2590" s="428">
        <v>1</v>
      </c>
      <c r="X2590" s="428">
        <v>1</v>
      </c>
      <c r="Y2590" s="51">
        <v>0</v>
      </c>
      <c r="Z2590" s="414">
        <v>0</v>
      </c>
      <c r="AA2590" s="51">
        <v>5</v>
      </c>
      <c r="AB2590" s="51">
        <v>100</v>
      </c>
      <c r="AC2590" s="428">
        <v>70</v>
      </c>
      <c r="AD2590" s="416">
        <v>0</v>
      </c>
      <c r="AE2590" s="453">
        <v>4</v>
      </c>
      <c r="AF2590" s="453">
        <v>2</v>
      </c>
      <c r="AG2590" s="454"/>
      <c r="AH2590" s="454"/>
      <c r="AI2590" s="454"/>
      <c r="AJ2590" s="454"/>
      <c r="AK2590" s="454"/>
      <c r="AL2590" s="455"/>
      <c r="AM2590" s="447"/>
      <c r="AN2590" s="448"/>
      <c r="AO2590" s="447"/>
      <c r="AP2590" s="447"/>
      <c r="AQ2590" s="51"/>
      <c r="AR2590" s="51"/>
      <c r="AS2590" s="51">
        <v>1</v>
      </c>
    </row>
    <row r="2591" spans="1:45">
      <c r="A2591" s="51">
        <v>555021</v>
      </c>
      <c r="B2591" s="411">
        <v>1001</v>
      </c>
      <c r="C2591" s="51">
        <v>1</v>
      </c>
      <c r="D2591" s="411">
        <v>1001</v>
      </c>
      <c r="E2591" s="449" t="s">
        <v>6578</v>
      </c>
      <c r="F2591" s="449" t="s">
        <v>6578</v>
      </c>
      <c r="G2591" s="51" t="s">
        <v>6579</v>
      </c>
      <c r="H2591" s="51" t="s">
        <v>1812</v>
      </c>
      <c r="I2591" s="51">
        <v>1</v>
      </c>
      <c r="J2591" s="51">
        <v>5</v>
      </c>
      <c r="K2591" s="414">
        <v>1</v>
      </c>
      <c r="L2591" s="51">
        <v>999</v>
      </c>
      <c r="M2591" s="51">
        <v>0</v>
      </c>
      <c r="O2591" s="412"/>
      <c r="S2591" s="451">
        <v>1</v>
      </c>
      <c r="T2591" s="451">
        <v>5</v>
      </c>
      <c r="U2591" s="451">
        <v>1</v>
      </c>
      <c r="V2591" s="410">
        <v>1</v>
      </c>
      <c r="W2591" s="411">
        <v>1</v>
      </c>
      <c r="X2591" s="411">
        <v>1</v>
      </c>
      <c r="Y2591" s="51">
        <v>0</v>
      </c>
      <c r="Z2591" s="414">
        <v>0</v>
      </c>
      <c r="AA2591" s="51">
        <v>5</v>
      </c>
      <c r="AB2591" s="51">
        <v>100</v>
      </c>
      <c r="AC2591" s="410">
        <v>900</v>
      </c>
      <c r="AD2591" s="416">
        <v>0</v>
      </c>
      <c r="AE2591" s="417"/>
      <c r="AF2591" s="417"/>
      <c r="AG2591" s="418"/>
      <c r="AH2591" s="418"/>
      <c r="AI2591" s="418"/>
      <c r="AJ2591" s="418"/>
      <c r="AK2591" s="418"/>
      <c r="AL2591" s="419"/>
      <c r="AM2591" s="447"/>
      <c r="AN2591" s="448"/>
      <c r="AO2591" s="447"/>
      <c r="AP2591" s="447"/>
      <c r="AQ2591" s="51" t="s">
        <v>5499</v>
      </c>
      <c r="AR2591" s="51">
        <v>1</v>
      </c>
      <c r="AS2591" s="51">
        <v>1</v>
      </c>
    </row>
    <row r="2592" spans="1:45">
      <c r="A2592" s="238">
        <v>615006</v>
      </c>
      <c r="B2592" s="238">
        <v>1001</v>
      </c>
      <c r="C2592" s="238">
        <v>2</v>
      </c>
      <c r="D2592" s="238">
        <v>1001</v>
      </c>
      <c r="E2592" s="238" t="s">
        <v>6580</v>
      </c>
      <c r="F2592" s="238" t="s">
        <v>6580</v>
      </c>
      <c r="G2592" s="238" t="s">
        <v>6581</v>
      </c>
      <c r="H2592" s="238" t="s">
        <v>6582</v>
      </c>
      <c r="I2592" s="238">
        <v>1</v>
      </c>
      <c r="J2592" s="238">
        <v>5</v>
      </c>
      <c r="K2592" s="254">
        <v>1</v>
      </c>
      <c r="L2592" s="238">
        <v>999</v>
      </c>
      <c r="M2592" s="238">
        <v>0</v>
      </c>
      <c r="N2592" s="8"/>
      <c r="O2592" s="8"/>
      <c r="P2592" s="8"/>
      <c r="Q2592" s="8"/>
      <c r="R2592" s="8"/>
      <c r="S2592" s="254">
        <v>1</v>
      </c>
      <c r="T2592" s="238">
        <v>5</v>
      </c>
      <c r="U2592" s="238">
        <v>1</v>
      </c>
      <c r="V2592" s="254">
        <v>1</v>
      </c>
      <c r="W2592" s="238">
        <v>1</v>
      </c>
      <c r="X2592" s="238">
        <v>1</v>
      </c>
      <c r="Y2592" s="238">
        <v>0</v>
      </c>
      <c r="Z2592" s="254">
        <v>0</v>
      </c>
      <c r="AA2592" s="238">
        <v>5</v>
      </c>
      <c r="AB2592" s="238">
        <v>100</v>
      </c>
      <c r="AC2592" s="238">
        <v>70</v>
      </c>
      <c r="AD2592" s="255">
        <v>0</v>
      </c>
      <c r="AE2592" s="255">
        <v>0</v>
      </c>
      <c r="AF2592" s="255">
        <v>0</v>
      </c>
      <c r="AG2592" s="159"/>
      <c r="AH2592" s="159"/>
      <c r="AI2592" s="159"/>
      <c r="AJ2592" s="159"/>
      <c r="AK2592" s="159"/>
      <c r="AL2592" s="8"/>
      <c r="AM2592" s="8"/>
      <c r="AN2592" s="8"/>
      <c r="AO2592" s="8"/>
      <c r="AP2592" s="8"/>
      <c r="AQ2592" s="8"/>
      <c r="AR2592" s="8"/>
      <c r="AS2592">
        <v>1</v>
      </c>
    </row>
    <row r="2593" spans="1:45">
      <c r="A2593" s="236">
        <v>615007</v>
      </c>
      <c r="B2593" s="236">
        <v>1001</v>
      </c>
      <c r="C2593" s="236">
        <v>2</v>
      </c>
      <c r="D2593" s="236">
        <v>1001</v>
      </c>
      <c r="E2593" s="236" t="s">
        <v>6583</v>
      </c>
      <c r="F2593" s="236" t="s">
        <v>6583</v>
      </c>
      <c r="G2593" s="236" t="s">
        <v>6584</v>
      </c>
      <c r="H2593" s="236" t="s">
        <v>6585</v>
      </c>
      <c r="I2593" s="236">
        <v>1</v>
      </c>
      <c r="J2593" s="236">
        <v>5</v>
      </c>
      <c r="K2593" s="236">
        <v>1</v>
      </c>
      <c r="L2593" s="236">
        <v>999</v>
      </c>
      <c r="M2593" s="236">
        <v>0</v>
      </c>
      <c r="N2593" s="236"/>
      <c r="O2593" s="236"/>
      <c r="P2593" s="236"/>
      <c r="Q2593" s="236"/>
      <c r="R2593" s="236"/>
      <c r="S2593" s="236">
        <v>1</v>
      </c>
      <c r="T2593" s="236">
        <v>5</v>
      </c>
      <c r="U2593" s="236">
        <v>1</v>
      </c>
      <c r="V2593" s="236">
        <v>1</v>
      </c>
      <c r="W2593" s="236">
        <v>1</v>
      </c>
      <c r="X2593" s="236">
        <v>1</v>
      </c>
      <c r="Y2593" s="236">
        <v>0</v>
      </c>
      <c r="Z2593" s="236">
        <v>0</v>
      </c>
      <c r="AA2593" s="236">
        <v>5</v>
      </c>
      <c r="AB2593" s="236">
        <v>100</v>
      </c>
      <c r="AC2593" s="236">
        <v>70</v>
      </c>
      <c r="AD2593" s="456">
        <v>0</v>
      </c>
      <c r="AE2593" s="456">
        <v>0</v>
      </c>
      <c r="AF2593" s="456">
        <v>0</v>
      </c>
      <c r="AG2593" s="456"/>
      <c r="AH2593" s="456"/>
      <c r="AI2593" s="456"/>
      <c r="AJ2593" s="456"/>
      <c r="AK2593" s="456"/>
      <c r="AL2593" s="236"/>
      <c r="AM2593" s="236"/>
      <c r="AN2593" s="236"/>
      <c r="AO2593" s="236"/>
      <c r="AP2593" s="236"/>
      <c r="AQ2593" s="236"/>
      <c r="AR2593" s="236"/>
      <c r="AS2593">
        <v>1</v>
      </c>
    </row>
    <row r="2594" spans="1:45">
      <c r="A2594" s="238">
        <v>615008</v>
      </c>
      <c r="B2594" s="238">
        <v>1001</v>
      </c>
      <c r="C2594" s="238">
        <v>2</v>
      </c>
      <c r="D2594" s="238">
        <v>1001</v>
      </c>
      <c r="E2594" s="238" t="s">
        <v>6586</v>
      </c>
      <c r="F2594" s="238" t="s">
        <v>6586</v>
      </c>
      <c r="G2594" s="238" t="s">
        <v>6587</v>
      </c>
      <c r="H2594" s="238" t="s">
        <v>6588</v>
      </c>
      <c r="I2594" s="238">
        <v>1</v>
      </c>
      <c r="J2594" s="238">
        <v>5</v>
      </c>
      <c r="K2594" s="254">
        <v>1</v>
      </c>
      <c r="L2594" s="238">
        <v>999</v>
      </c>
      <c r="M2594" s="238">
        <v>0</v>
      </c>
      <c r="N2594" s="8"/>
      <c r="O2594" s="8"/>
      <c r="P2594" s="8"/>
      <c r="Q2594" s="8"/>
      <c r="R2594" s="8"/>
      <c r="S2594" s="254">
        <v>1</v>
      </c>
      <c r="T2594" s="238">
        <v>5</v>
      </c>
      <c r="U2594" s="238">
        <v>1</v>
      </c>
      <c r="V2594" s="254">
        <v>1</v>
      </c>
      <c r="W2594" s="238">
        <v>1</v>
      </c>
      <c r="X2594" s="238">
        <v>1</v>
      </c>
      <c r="Y2594" s="238">
        <v>0</v>
      </c>
      <c r="Z2594" s="254">
        <v>0</v>
      </c>
      <c r="AA2594" s="238">
        <v>5</v>
      </c>
      <c r="AB2594" s="238">
        <v>100</v>
      </c>
      <c r="AC2594" s="238">
        <v>70</v>
      </c>
      <c r="AD2594" s="255">
        <v>0</v>
      </c>
      <c r="AE2594" s="255">
        <v>0</v>
      </c>
      <c r="AF2594" s="255">
        <v>0</v>
      </c>
      <c r="AG2594" s="159"/>
      <c r="AH2594" s="159"/>
      <c r="AI2594" s="159"/>
      <c r="AJ2594" s="159"/>
      <c r="AK2594" s="159"/>
      <c r="AL2594" s="8"/>
      <c r="AM2594" s="8"/>
      <c r="AN2594" s="8"/>
      <c r="AO2594" s="8"/>
      <c r="AP2594" s="8"/>
      <c r="AQ2594" s="8"/>
      <c r="AR2594" s="8"/>
      <c r="AS2594">
        <v>1</v>
      </c>
    </row>
    <row r="2595" spans="1:45">
      <c r="A2595" s="236">
        <v>615009</v>
      </c>
      <c r="B2595" s="236">
        <v>1001</v>
      </c>
      <c r="C2595" s="236">
        <v>2</v>
      </c>
      <c r="D2595" s="236">
        <v>1001</v>
      </c>
      <c r="E2595" s="236" t="s">
        <v>6589</v>
      </c>
      <c r="F2595" s="236" t="s">
        <v>6589</v>
      </c>
      <c r="G2595" s="236" t="s">
        <v>6590</v>
      </c>
      <c r="H2595" s="236" t="s">
        <v>6591</v>
      </c>
      <c r="I2595" s="236">
        <v>1</v>
      </c>
      <c r="J2595" s="236">
        <v>5</v>
      </c>
      <c r="K2595" s="236">
        <v>1</v>
      </c>
      <c r="L2595" s="236">
        <v>999</v>
      </c>
      <c r="M2595" s="236">
        <v>0</v>
      </c>
      <c r="N2595" s="236"/>
      <c r="O2595" s="236"/>
      <c r="P2595" s="236"/>
      <c r="Q2595" s="236"/>
      <c r="R2595" s="236"/>
      <c r="S2595" s="236">
        <v>1</v>
      </c>
      <c r="T2595" s="236">
        <v>5</v>
      </c>
      <c r="U2595" s="236">
        <v>1</v>
      </c>
      <c r="V2595" s="236">
        <v>1</v>
      </c>
      <c r="W2595" s="236">
        <v>1</v>
      </c>
      <c r="X2595" s="236">
        <v>1</v>
      </c>
      <c r="Y2595" s="236">
        <v>0</v>
      </c>
      <c r="Z2595" s="236">
        <v>0</v>
      </c>
      <c r="AA2595" s="236">
        <v>5</v>
      </c>
      <c r="AB2595" s="8">
        <v>100</v>
      </c>
      <c r="AC2595" s="236">
        <v>70</v>
      </c>
      <c r="AD2595" s="456">
        <v>0</v>
      </c>
      <c r="AE2595" s="456">
        <v>0</v>
      </c>
      <c r="AF2595" s="456">
        <v>0</v>
      </c>
      <c r="AG2595" s="456"/>
      <c r="AH2595" s="456"/>
      <c r="AI2595" s="456"/>
      <c r="AJ2595" s="456"/>
      <c r="AK2595" s="456"/>
      <c r="AL2595" s="236"/>
      <c r="AM2595" s="236"/>
      <c r="AN2595" s="236"/>
      <c r="AO2595" s="236"/>
      <c r="AP2595" s="236"/>
      <c r="AQ2595" s="236"/>
      <c r="AR2595" s="236"/>
      <c r="AS2595">
        <v>1</v>
      </c>
    </row>
    <row r="2596" spans="1:45">
      <c r="A2596">
        <v>615010</v>
      </c>
      <c r="B2596">
        <v>1001</v>
      </c>
      <c r="C2596">
        <v>2</v>
      </c>
      <c r="D2596">
        <v>1001</v>
      </c>
      <c r="E2596" t="s">
        <v>6592</v>
      </c>
      <c r="F2596" t="s">
        <v>6592</v>
      </c>
      <c r="G2596" t="s">
        <v>6593</v>
      </c>
      <c r="H2596" t="s">
        <v>6594</v>
      </c>
      <c r="I2596">
        <v>1</v>
      </c>
      <c r="J2596">
        <v>5</v>
      </c>
      <c r="K2596" s="33">
        <v>1</v>
      </c>
      <c r="L2596">
        <v>999</v>
      </c>
      <c r="M2596">
        <v>0</v>
      </c>
      <c r="S2596" s="33">
        <v>1</v>
      </c>
      <c r="T2596">
        <v>5</v>
      </c>
      <c r="U2596">
        <v>1</v>
      </c>
      <c r="V2596" s="33">
        <v>1</v>
      </c>
      <c r="W2596">
        <v>1</v>
      </c>
      <c r="X2596">
        <v>1</v>
      </c>
      <c r="Y2596">
        <v>0</v>
      </c>
      <c r="Z2596" s="33">
        <v>0</v>
      </c>
      <c r="AA2596">
        <v>5</v>
      </c>
      <c r="AB2596" s="128">
        <v>1000</v>
      </c>
      <c r="AC2596">
        <v>70</v>
      </c>
      <c r="AD2596" s="62">
        <v>0</v>
      </c>
      <c r="AE2596" s="62">
        <v>0</v>
      </c>
      <c r="AF2596" s="62">
        <v>0</v>
      </c>
      <c r="AS2596">
        <v>1</v>
      </c>
    </row>
    <row r="2597" spans="1:45">
      <c r="A2597">
        <v>615011</v>
      </c>
      <c r="B2597">
        <v>1001</v>
      </c>
      <c r="C2597">
        <v>2</v>
      </c>
      <c r="D2597">
        <v>1001</v>
      </c>
      <c r="E2597" t="s">
        <v>6595</v>
      </c>
      <c r="F2597" t="s">
        <v>6595</v>
      </c>
      <c r="G2597" t="s">
        <v>6596</v>
      </c>
      <c r="H2597" t="s">
        <v>6597</v>
      </c>
      <c r="I2597">
        <v>1</v>
      </c>
      <c r="J2597">
        <v>5</v>
      </c>
      <c r="K2597" s="33">
        <v>1</v>
      </c>
      <c r="L2597">
        <v>999</v>
      </c>
      <c r="M2597">
        <v>0</v>
      </c>
      <c r="S2597" s="33">
        <v>1</v>
      </c>
      <c r="T2597">
        <v>5</v>
      </c>
      <c r="U2597">
        <v>1</v>
      </c>
      <c r="V2597" s="33">
        <v>1</v>
      </c>
      <c r="W2597">
        <v>1</v>
      </c>
      <c r="X2597">
        <v>1</v>
      </c>
      <c r="Y2597">
        <v>0</v>
      </c>
      <c r="Z2597" s="33">
        <v>0</v>
      </c>
      <c r="AA2597">
        <v>5</v>
      </c>
      <c r="AB2597" s="128">
        <v>1000</v>
      </c>
      <c r="AC2597">
        <v>70</v>
      </c>
      <c r="AD2597" s="62">
        <v>0</v>
      </c>
      <c r="AE2597" s="62">
        <v>0</v>
      </c>
      <c r="AF2597" s="62">
        <v>0</v>
      </c>
      <c r="AS2597">
        <v>1</v>
      </c>
    </row>
    <row r="2598" spans="1:45">
      <c r="A2598">
        <v>615012</v>
      </c>
      <c r="B2598">
        <v>1001</v>
      </c>
      <c r="C2598">
        <v>2</v>
      </c>
      <c r="D2598">
        <v>1001</v>
      </c>
      <c r="E2598" t="s">
        <v>6598</v>
      </c>
      <c r="F2598" t="s">
        <v>6598</v>
      </c>
      <c r="G2598" t="s">
        <v>6599</v>
      </c>
      <c r="H2598" t="s">
        <v>6600</v>
      </c>
      <c r="I2598">
        <v>1</v>
      </c>
      <c r="J2598">
        <v>5</v>
      </c>
      <c r="K2598" s="33">
        <v>1</v>
      </c>
      <c r="L2598">
        <v>999</v>
      </c>
      <c r="M2598">
        <v>0</v>
      </c>
      <c r="S2598" s="33">
        <v>1</v>
      </c>
      <c r="T2598">
        <v>5</v>
      </c>
      <c r="U2598">
        <v>1</v>
      </c>
      <c r="V2598" s="33">
        <v>1</v>
      </c>
      <c r="W2598">
        <v>1</v>
      </c>
      <c r="X2598">
        <v>1</v>
      </c>
      <c r="Y2598">
        <v>0</v>
      </c>
      <c r="Z2598" s="33">
        <v>0</v>
      </c>
      <c r="AA2598">
        <v>5</v>
      </c>
      <c r="AB2598" s="128">
        <v>1000</v>
      </c>
      <c r="AC2598">
        <v>70</v>
      </c>
      <c r="AD2598" s="62">
        <v>0</v>
      </c>
      <c r="AE2598" s="62">
        <v>0</v>
      </c>
      <c r="AF2598" s="62">
        <v>0</v>
      </c>
      <c r="AS2598">
        <v>1</v>
      </c>
    </row>
    <row r="2599" spans="1:45">
      <c r="A2599">
        <v>615013</v>
      </c>
      <c r="B2599">
        <v>1001</v>
      </c>
      <c r="C2599">
        <v>2</v>
      </c>
      <c r="D2599">
        <v>1001</v>
      </c>
      <c r="E2599" t="s">
        <v>6601</v>
      </c>
      <c r="F2599" t="s">
        <v>6601</v>
      </c>
      <c r="G2599" t="s">
        <v>6602</v>
      </c>
      <c r="H2599" t="s">
        <v>6603</v>
      </c>
      <c r="I2599">
        <v>1</v>
      </c>
      <c r="J2599">
        <v>5</v>
      </c>
      <c r="K2599" s="33">
        <v>1</v>
      </c>
      <c r="L2599">
        <v>999</v>
      </c>
      <c r="M2599">
        <v>0</v>
      </c>
      <c r="S2599" s="33">
        <v>1</v>
      </c>
      <c r="T2599">
        <v>5</v>
      </c>
      <c r="U2599">
        <v>1</v>
      </c>
      <c r="V2599" s="33">
        <v>1</v>
      </c>
      <c r="W2599">
        <v>1</v>
      </c>
      <c r="X2599">
        <v>1</v>
      </c>
      <c r="Y2599">
        <v>0</v>
      </c>
      <c r="Z2599" s="33">
        <v>0</v>
      </c>
      <c r="AA2599">
        <v>5</v>
      </c>
      <c r="AB2599" s="128">
        <v>1000</v>
      </c>
      <c r="AC2599">
        <v>70</v>
      </c>
      <c r="AD2599" s="62">
        <v>0</v>
      </c>
      <c r="AE2599" s="62">
        <v>0</v>
      </c>
      <c r="AF2599" s="62">
        <v>0</v>
      </c>
      <c r="AS2599">
        <v>1</v>
      </c>
    </row>
    <row r="2600" spans="1:45">
      <c r="A2600">
        <v>615014</v>
      </c>
      <c r="B2600">
        <v>1001</v>
      </c>
      <c r="C2600">
        <v>2</v>
      </c>
      <c r="D2600">
        <v>1001</v>
      </c>
      <c r="E2600" t="s">
        <v>6604</v>
      </c>
      <c r="F2600" t="s">
        <v>6604</v>
      </c>
      <c r="G2600" t="s">
        <v>6605</v>
      </c>
      <c r="H2600" t="s">
        <v>6606</v>
      </c>
      <c r="I2600">
        <v>1</v>
      </c>
      <c r="J2600">
        <v>5</v>
      </c>
      <c r="K2600" s="33">
        <v>1</v>
      </c>
      <c r="L2600">
        <v>999</v>
      </c>
      <c r="M2600">
        <v>0</v>
      </c>
      <c r="S2600" s="33">
        <v>1</v>
      </c>
      <c r="T2600">
        <v>5</v>
      </c>
      <c r="U2600">
        <v>1</v>
      </c>
      <c r="V2600" s="33">
        <v>1</v>
      </c>
      <c r="W2600">
        <v>1</v>
      </c>
      <c r="X2600">
        <v>1</v>
      </c>
      <c r="Y2600">
        <v>0</v>
      </c>
      <c r="Z2600" s="33">
        <v>0</v>
      </c>
      <c r="AA2600">
        <v>5</v>
      </c>
      <c r="AB2600" s="128">
        <v>1000</v>
      </c>
      <c r="AC2600">
        <v>70</v>
      </c>
      <c r="AD2600" s="62">
        <v>0</v>
      </c>
      <c r="AE2600" s="62">
        <v>0</v>
      </c>
      <c r="AF2600" s="62">
        <v>0</v>
      </c>
      <c r="AS2600">
        <v>1</v>
      </c>
    </row>
    <row r="2601" spans="1:45">
      <c r="A2601">
        <v>615015</v>
      </c>
      <c r="B2601">
        <v>1001</v>
      </c>
      <c r="C2601">
        <v>2</v>
      </c>
      <c r="D2601">
        <v>1001</v>
      </c>
      <c r="E2601" t="s">
        <v>6607</v>
      </c>
      <c r="F2601" t="s">
        <v>6607</v>
      </c>
      <c r="G2601" t="s">
        <v>6608</v>
      </c>
      <c r="H2601" t="s">
        <v>6609</v>
      </c>
      <c r="I2601">
        <v>1</v>
      </c>
      <c r="J2601">
        <v>5</v>
      </c>
      <c r="K2601" s="33">
        <v>1</v>
      </c>
      <c r="L2601">
        <v>999</v>
      </c>
      <c r="M2601">
        <v>0</v>
      </c>
      <c r="S2601" s="33">
        <v>1</v>
      </c>
      <c r="T2601">
        <v>5</v>
      </c>
      <c r="U2601">
        <v>1</v>
      </c>
      <c r="V2601" s="33">
        <v>1</v>
      </c>
      <c r="W2601">
        <v>1</v>
      </c>
      <c r="X2601">
        <v>1</v>
      </c>
      <c r="Y2601">
        <v>0</v>
      </c>
      <c r="Z2601" s="33">
        <v>0</v>
      </c>
      <c r="AA2601">
        <v>5</v>
      </c>
      <c r="AB2601" s="128">
        <v>1000</v>
      </c>
      <c r="AC2601">
        <v>70</v>
      </c>
      <c r="AD2601" s="62">
        <v>0</v>
      </c>
      <c r="AE2601" s="62">
        <v>0</v>
      </c>
      <c r="AF2601" s="62">
        <v>0</v>
      </c>
      <c r="AS2601">
        <v>1</v>
      </c>
    </row>
    <row r="2602" spans="1:45">
      <c r="A2602">
        <v>615016</v>
      </c>
      <c r="B2602">
        <v>1001</v>
      </c>
      <c r="C2602">
        <v>2</v>
      </c>
      <c r="D2602">
        <v>1001</v>
      </c>
      <c r="E2602" t="s">
        <v>6610</v>
      </c>
      <c r="F2602" t="s">
        <v>6610</v>
      </c>
      <c r="G2602" t="s">
        <v>6611</v>
      </c>
      <c r="H2602" t="s">
        <v>6612</v>
      </c>
      <c r="I2602">
        <v>1</v>
      </c>
      <c r="J2602">
        <v>5</v>
      </c>
      <c r="K2602" s="33">
        <v>1</v>
      </c>
      <c r="L2602">
        <v>999</v>
      </c>
      <c r="M2602">
        <v>0</v>
      </c>
      <c r="S2602" s="33">
        <v>1</v>
      </c>
      <c r="T2602">
        <v>5</v>
      </c>
      <c r="U2602">
        <v>1</v>
      </c>
      <c r="V2602" s="33">
        <v>1</v>
      </c>
      <c r="W2602">
        <v>1</v>
      </c>
      <c r="X2602">
        <v>1</v>
      </c>
      <c r="Y2602">
        <v>0</v>
      </c>
      <c r="Z2602" s="33">
        <v>0</v>
      </c>
      <c r="AA2602">
        <v>5</v>
      </c>
      <c r="AB2602" s="128">
        <v>1000</v>
      </c>
      <c r="AC2602">
        <v>70</v>
      </c>
      <c r="AD2602" s="62">
        <v>0</v>
      </c>
      <c r="AE2602" s="62">
        <v>0</v>
      </c>
      <c r="AF2602" s="62">
        <v>0</v>
      </c>
      <c r="AS2602">
        <v>1</v>
      </c>
    </row>
    <row r="2603" spans="1:45">
      <c r="A2603">
        <v>615017</v>
      </c>
      <c r="B2603">
        <v>1001</v>
      </c>
      <c r="C2603">
        <v>2</v>
      </c>
      <c r="D2603">
        <v>1001</v>
      </c>
      <c r="E2603" t="s">
        <v>6613</v>
      </c>
      <c r="F2603" t="s">
        <v>6613</v>
      </c>
      <c r="G2603" t="s">
        <v>6614</v>
      </c>
      <c r="H2603" t="s">
        <v>6615</v>
      </c>
      <c r="I2603">
        <v>1</v>
      </c>
      <c r="J2603">
        <v>5</v>
      </c>
      <c r="K2603" s="33">
        <v>1</v>
      </c>
      <c r="L2603">
        <v>999</v>
      </c>
      <c r="M2603">
        <v>0</v>
      </c>
      <c r="S2603" s="33">
        <v>1</v>
      </c>
      <c r="T2603">
        <v>5</v>
      </c>
      <c r="U2603">
        <v>1</v>
      </c>
      <c r="V2603" s="33">
        <v>1</v>
      </c>
      <c r="W2603">
        <v>1</v>
      </c>
      <c r="X2603">
        <v>1</v>
      </c>
      <c r="Y2603">
        <v>0</v>
      </c>
      <c r="Z2603" s="33">
        <v>0</v>
      </c>
      <c r="AA2603">
        <v>5</v>
      </c>
      <c r="AB2603" s="128">
        <v>1000</v>
      </c>
      <c r="AC2603">
        <v>70</v>
      </c>
      <c r="AD2603" s="62">
        <v>0</v>
      </c>
      <c r="AE2603" s="62">
        <v>0</v>
      </c>
      <c r="AF2603" s="62">
        <v>0</v>
      </c>
      <c r="AS2603">
        <v>1</v>
      </c>
    </row>
    <row r="2604" s="52" customFormat="1" spans="1:45">
      <c r="A2604">
        <v>615018</v>
      </c>
      <c r="B2604">
        <v>1001</v>
      </c>
      <c r="C2604">
        <v>2</v>
      </c>
      <c r="D2604">
        <v>1001</v>
      </c>
      <c r="E2604" t="s">
        <v>6616</v>
      </c>
      <c r="F2604" t="s">
        <v>6616</v>
      </c>
      <c r="G2604" t="s">
        <v>6617</v>
      </c>
      <c r="H2604" t="s">
        <v>6618</v>
      </c>
      <c r="I2604">
        <v>1</v>
      </c>
      <c r="J2604">
        <v>5</v>
      </c>
      <c r="K2604" s="33">
        <v>1</v>
      </c>
      <c r="L2604">
        <v>999</v>
      </c>
      <c r="M2604">
        <v>0</v>
      </c>
      <c r="S2604" s="33">
        <v>1</v>
      </c>
      <c r="T2604">
        <v>5</v>
      </c>
      <c r="U2604">
        <v>1</v>
      </c>
      <c r="V2604" s="33">
        <v>1</v>
      </c>
      <c r="W2604">
        <v>1</v>
      </c>
      <c r="X2604">
        <v>1</v>
      </c>
      <c r="Y2604">
        <v>0</v>
      </c>
      <c r="Z2604" s="33">
        <v>0</v>
      </c>
      <c r="AA2604">
        <v>5</v>
      </c>
      <c r="AB2604" s="395">
        <v>1000</v>
      </c>
      <c r="AC2604">
        <v>70</v>
      </c>
      <c r="AD2604" s="62">
        <v>0</v>
      </c>
      <c r="AE2604" s="62">
        <v>0</v>
      </c>
      <c r="AF2604" s="62">
        <v>0</v>
      </c>
      <c r="AS2604">
        <v>1</v>
      </c>
    </row>
    <row r="2605" s="52" customFormat="1" spans="1:45">
      <c r="A2605" s="52">
        <v>615019</v>
      </c>
      <c r="B2605" s="52">
        <v>1001</v>
      </c>
      <c r="C2605" s="52">
        <v>2</v>
      </c>
      <c r="D2605" s="52">
        <v>1001</v>
      </c>
      <c r="E2605" s="52" t="s">
        <v>6619</v>
      </c>
      <c r="F2605" s="52" t="s">
        <v>6619</v>
      </c>
      <c r="G2605" s="52" t="s">
        <v>6620</v>
      </c>
      <c r="H2605" s="52" t="s">
        <v>6621</v>
      </c>
      <c r="I2605" s="52">
        <v>1</v>
      </c>
      <c r="J2605" s="52">
        <v>5</v>
      </c>
      <c r="K2605" s="52">
        <v>1</v>
      </c>
      <c r="L2605" s="52">
        <v>999</v>
      </c>
      <c r="M2605" s="52">
        <v>0</v>
      </c>
      <c r="O2605" s="457"/>
      <c r="S2605" s="52">
        <v>1</v>
      </c>
      <c r="T2605" s="52">
        <v>5</v>
      </c>
      <c r="U2605" s="52">
        <v>1</v>
      </c>
      <c r="V2605" s="52">
        <v>1</v>
      </c>
      <c r="W2605" s="52">
        <v>1</v>
      </c>
      <c r="X2605" s="52">
        <v>1</v>
      </c>
      <c r="Y2605" s="52">
        <v>0</v>
      </c>
      <c r="Z2605" s="52">
        <v>0</v>
      </c>
      <c r="AA2605" s="52">
        <v>5</v>
      </c>
      <c r="AB2605" s="458">
        <v>1000</v>
      </c>
      <c r="AC2605" s="52">
        <v>70</v>
      </c>
      <c r="AD2605" s="52">
        <v>0</v>
      </c>
      <c r="AE2605" s="52">
        <v>0</v>
      </c>
      <c r="AF2605" s="52">
        <v>0</v>
      </c>
      <c r="AG2605" s="459"/>
      <c r="AH2605" s="459"/>
      <c r="AI2605" s="459"/>
      <c r="AJ2605" s="459"/>
      <c r="AK2605" s="459"/>
      <c r="AL2605" s="460"/>
      <c r="AM2605" s="460"/>
      <c r="AN2605" s="461"/>
      <c r="AO2605" s="460"/>
      <c r="AP2605" s="460"/>
      <c r="AS2605" s="52">
        <v>1</v>
      </c>
    </row>
    <row r="2606" s="52" customFormat="1" spans="1:45">
      <c r="A2606" s="52">
        <v>615020</v>
      </c>
      <c r="B2606" s="52">
        <v>1001</v>
      </c>
      <c r="C2606" s="52">
        <v>2</v>
      </c>
      <c r="D2606" s="52">
        <v>1001</v>
      </c>
      <c r="E2606" s="52" t="s">
        <v>6622</v>
      </c>
      <c r="F2606" s="52" t="s">
        <v>6622</v>
      </c>
      <c r="G2606" s="52" t="s">
        <v>6623</v>
      </c>
      <c r="H2606" s="52" t="s">
        <v>6624</v>
      </c>
      <c r="I2606" s="52">
        <v>1</v>
      </c>
      <c r="J2606" s="52">
        <v>5</v>
      </c>
      <c r="K2606" s="462">
        <v>1</v>
      </c>
      <c r="L2606" s="52">
        <v>999</v>
      </c>
      <c r="M2606" s="52">
        <v>0</v>
      </c>
      <c r="O2606" s="457"/>
      <c r="S2606" s="462">
        <v>1</v>
      </c>
      <c r="T2606" s="52">
        <v>5</v>
      </c>
      <c r="U2606" s="52">
        <v>1</v>
      </c>
      <c r="V2606" s="462">
        <v>1</v>
      </c>
      <c r="W2606" s="52">
        <v>1</v>
      </c>
      <c r="X2606" s="52">
        <v>1</v>
      </c>
      <c r="Y2606" s="52">
        <v>0</v>
      </c>
      <c r="Z2606" s="462">
        <v>0</v>
      </c>
      <c r="AA2606" s="52">
        <v>5</v>
      </c>
      <c r="AB2606" s="463">
        <v>1000</v>
      </c>
      <c r="AC2606" s="52">
        <v>70</v>
      </c>
      <c r="AD2606" s="464">
        <v>0</v>
      </c>
      <c r="AE2606" s="464">
        <v>0</v>
      </c>
      <c r="AF2606" s="464">
        <v>0</v>
      </c>
      <c r="AG2606" s="459"/>
      <c r="AH2606" s="459"/>
      <c r="AI2606" s="459"/>
      <c r="AJ2606" s="459"/>
      <c r="AK2606" s="459"/>
      <c r="AL2606" s="460"/>
      <c r="AM2606" s="460"/>
      <c r="AN2606" s="461"/>
      <c r="AO2606" s="460"/>
      <c r="AP2606" s="460"/>
      <c r="AS2606" s="52">
        <v>1</v>
      </c>
    </row>
    <row r="2607" s="52" customFormat="1" spans="1:45">
      <c r="A2607" s="52">
        <v>615021</v>
      </c>
      <c r="B2607" s="52">
        <v>1001</v>
      </c>
      <c r="C2607" s="52">
        <v>2</v>
      </c>
      <c r="D2607" s="52">
        <v>1001</v>
      </c>
      <c r="E2607" s="52" t="s">
        <v>6625</v>
      </c>
      <c r="F2607" s="52" t="s">
        <v>6625</v>
      </c>
      <c r="G2607" s="52" t="s">
        <v>6626</v>
      </c>
      <c r="H2607" s="52" t="s">
        <v>6627</v>
      </c>
      <c r="I2607" s="52">
        <v>1</v>
      </c>
      <c r="J2607" s="52">
        <v>5</v>
      </c>
      <c r="K2607" s="462">
        <v>1</v>
      </c>
      <c r="L2607" s="52">
        <v>999</v>
      </c>
      <c r="M2607" s="52">
        <v>0</v>
      </c>
      <c r="O2607" s="457"/>
      <c r="S2607" s="462">
        <v>1</v>
      </c>
      <c r="T2607" s="52">
        <v>5</v>
      </c>
      <c r="U2607" s="52">
        <v>1</v>
      </c>
      <c r="V2607" s="462">
        <v>1</v>
      </c>
      <c r="W2607" s="52">
        <v>1</v>
      </c>
      <c r="X2607" s="52">
        <v>1</v>
      </c>
      <c r="Y2607" s="52">
        <v>0</v>
      </c>
      <c r="Z2607" s="462">
        <v>0</v>
      </c>
      <c r="AA2607" s="52">
        <v>5</v>
      </c>
      <c r="AB2607" s="463">
        <v>1000</v>
      </c>
      <c r="AC2607" s="52">
        <v>70</v>
      </c>
      <c r="AD2607" s="464">
        <v>0</v>
      </c>
      <c r="AE2607" s="464">
        <v>0</v>
      </c>
      <c r="AF2607" s="464">
        <v>0</v>
      </c>
      <c r="AG2607" s="459"/>
      <c r="AH2607" s="459"/>
      <c r="AI2607" s="459"/>
      <c r="AJ2607" s="459"/>
      <c r="AK2607" s="459"/>
      <c r="AL2607" s="460"/>
      <c r="AM2607" s="460"/>
      <c r="AN2607" s="461"/>
      <c r="AO2607" s="460"/>
      <c r="AP2607" s="460"/>
      <c r="AS2607" s="52">
        <v>1</v>
      </c>
    </row>
    <row r="2608" s="52" customFormat="1" spans="1:45">
      <c r="A2608" s="52">
        <v>615022</v>
      </c>
      <c r="B2608" s="52">
        <v>1001</v>
      </c>
      <c r="C2608" s="52">
        <v>2</v>
      </c>
      <c r="D2608" s="52">
        <v>1001</v>
      </c>
      <c r="E2608" s="52" t="s">
        <v>6628</v>
      </c>
      <c r="F2608" s="52" t="s">
        <v>6628</v>
      </c>
      <c r="G2608" s="52" t="s">
        <v>6629</v>
      </c>
      <c r="H2608" s="52" t="s">
        <v>6630</v>
      </c>
      <c r="I2608" s="52">
        <v>1</v>
      </c>
      <c r="J2608" s="52">
        <v>5</v>
      </c>
      <c r="K2608" s="462">
        <v>1</v>
      </c>
      <c r="L2608" s="52">
        <v>999</v>
      </c>
      <c r="M2608" s="52">
        <v>0</v>
      </c>
      <c r="O2608" s="457"/>
      <c r="S2608" s="462">
        <v>1</v>
      </c>
      <c r="T2608" s="52">
        <v>5</v>
      </c>
      <c r="U2608" s="52">
        <v>1</v>
      </c>
      <c r="V2608" s="462">
        <v>1</v>
      </c>
      <c r="W2608" s="52">
        <v>1</v>
      </c>
      <c r="X2608" s="52">
        <v>1</v>
      </c>
      <c r="Y2608" s="52">
        <v>0</v>
      </c>
      <c r="Z2608" s="462">
        <v>0</v>
      </c>
      <c r="AA2608" s="52">
        <v>5</v>
      </c>
      <c r="AB2608" s="463">
        <v>1000</v>
      </c>
      <c r="AC2608" s="52">
        <v>70</v>
      </c>
      <c r="AD2608" s="464">
        <v>0</v>
      </c>
      <c r="AE2608" s="464">
        <v>0</v>
      </c>
      <c r="AF2608" s="464">
        <v>0</v>
      </c>
      <c r="AG2608" s="459"/>
      <c r="AH2608" s="459"/>
      <c r="AI2608" s="459"/>
      <c r="AJ2608" s="459"/>
      <c r="AK2608" s="459"/>
      <c r="AL2608" s="460"/>
      <c r="AM2608" s="460"/>
      <c r="AN2608" s="461"/>
      <c r="AO2608" s="460"/>
      <c r="AP2608" s="460"/>
      <c r="AS2608" s="52">
        <v>1</v>
      </c>
    </row>
    <row r="2609" s="52" customFormat="1" spans="1:45">
      <c r="A2609" s="52">
        <v>615023</v>
      </c>
      <c r="B2609" s="52">
        <v>1001</v>
      </c>
      <c r="C2609" s="52">
        <v>2</v>
      </c>
      <c r="D2609" s="52">
        <v>1001</v>
      </c>
      <c r="E2609" s="52" t="s">
        <v>6631</v>
      </c>
      <c r="F2609" s="52" t="s">
        <v>6631</v>
      </c>
      <c r="G2609" s="52" t="s">
        <v>6632</v>
      </c>
      <c r="H2609" s="52" t="s">
        <v>6633</v>
      </c>
      <c r="I2609" s="52">
        <v>1</v>
      </c>
      <c r="J2609" s="52">
        <v>5</v>
      </c>
      <c r="K2609" s="462">
        <v>1</v>
      </c>
      <c r="L2609" s="52">
        <v>999</v>
      </c>
      <c r="M2609" s="52">
        <v>0</v>
      </c>
      <c r="O2609" s="457"/>
      <c r="S2609" s="462">
        <v>1</v>
      </c>
      <c r="T2609" s="52">
        <v>5</v>
      </c>
      <c r="U2609" s="52">
        <v>1</v>
      </c>
      <c r="V2609" s="462">
        <v>1</v>
      </c>
      <c r="W2609" s="52">
        <v>1</v>
      </c>
      <c r="X2609" s="52">
        <v>1</v>
      </c>
      <c r="Y2609" s="52">
        <v>0</v>
      </c>
      <c r="Z2609" s="462">
        <v>0</v>
      </c>
      <c r="AA2609" s="52">
        <v>5</v>
      </c>
      <c r="AB2609" s="463">
        <v>1000</v>
      </c>
      <c r="AC2609" s="52">
        <v>70</v>
      </c>
      <c r="AD2609" s="464">
        <v>0</v>
      </c>
      <c r="AE2609" s="464">
        <v>0</v>
      </c>
      <c r="AF2609" s="464">
        <v>0</v>
      </c>
      <c r="AG2609" s="459"/>
      <c r="AH2609" s="459"/>
      <c r="AI2609" s="459"/>
      <c r="AJ2609" s="459"/>
      <c r="AK2609" s="459"/>
      <c r="AL2609" s="460"/>
      <c r="AM2609" s="460"/>
      <c r="AN2609" s="461"/>
      <c r="AO2609" s="460"/>
      <c r="AP2609" s="460"/>
      <c r="AS2609" s="52">
        <v>1</v>
      </c>
    </row>
    <row r="2610" s="52" customFormat="1" spans="1:45">
      <c r="A2610" s="52">
        <v>615024</v>
      </c>
      <c r="B2610" s="52">
        <v>1001</v>
      </c>
      <c r="C2610" s="52">
        <v>2</v>
      </c>
      <c r="D2610" s="52">
        <v>1001</v>
      </c>
      <c r="E2610" s="52" t="s">
        <v>6634</v>
      </c>
      <c r="F2610" s="52" t="s">
        <v>6634</v>
      </c>
      <c r="G2610" s="52" t="s">
        <v>6635</v>
      </c>
      <c r="H2610" s="52" t="s">
        <v>6636</v>
      </c>
      <c r="I2610" s="52">
        <v>1</v>
      </c>
      <c r="J2610" s="52">
        <v>5</v>
      </c>
      <c r="K2610" s="462">
        <v>1</v>
      </c>
      <c r="L2610" s="52">
        <v>999</v>
      </c>
      <c r="M2610" s="52">
        <v>0</v>
      </c>
      <c r="O2610" s="457"/>
      <c r="S2610" s="462">
        <v>1</v>
      </c>
      <c r="T2610" s="52">
        <v>5</v>
      </c>
      <c r="U2610" s="52">
        <v>1</v>
      </c>
      <c r="V2610" s="462">
        <v>1</v>
      </c>
      <c r="W2610" s="52">
        <v>1</v>
      </c>
      <c r="X2610" s="52">
        <v>1</v>
      </c>
      <c r="Y2610" s="52">
        <v>0</v>
      </c>
      <c r="Z2610" s="462">
        <v>0</v>
      </c>
      <c r="AA2610" s="52">
        <v>5</v>
      </c>
      <c r="AB2610" s="463">
        <v>1000</v>
      </c>
      <c r="AC2610" s="52">
        <v>70</v>
      </c>
      <c r="AD2610" s="464">
        <v>0</v>
      </c>
      <c r="AE2610" s="464">
        <v>0</v>
      </c>
      <c r="AF2610" s="464">
        <v>0</v>
      </c>
      <c r="AG2610" s="459"/>
      <c r="AH2610" s="459"/>
      <c r="AI2610" s="459"/>
      <c r="AJ2610" s="459"/>
      <c r="AK2610" s="459"/>
      <c r="AL2610" s="460"/>
      <c r="AM2610" s="460"/>
      <c r="AN2610" s="461"/>
      <c r="AO2610" s="460"/>
      <c r="AP2610" s="460"/>
      <c r="AS2610" s="52">
        <v>1</v>
      </c>
    </row>
    <row r="2611" s="52" customFormat="1" spans="1:45">
      <c r="A2611" s="52">
        <v>615025</v>
      </c>
      <c r="B2611" s="52">
        <v>1001</v>
      </c>
      <c r="C2611" s="52">
        <v>2</v>
      </c>
      <c r="D2611" s="52">
        <v>1001</v>
      </c>
      <c r="E2611" s="52" t="s">
        <v>6637</v>
      </c>
      <c r="F2611" s="52" t="s">
        <v>6637</v>
      </c>
      <c r="G2611" s="52" t="s">
        <v>6638</v>
      </c>
      <c r="H2611" s="52" t="s">
        <v>6639</v>
      </c>
      <c r="I2611" s="52">
        <v>1</v>
      </c>
      <c r="J2611" s="52">
        <v>5</v>
      </c>
      <c r="K2611" s="462">
        <v>1</v>
      </c>
      <c r="L2611" s="52">
        <v>999</v>
      </c>
      <c r="M2611" s="52">
        <v>0</v>
      </c>
      <c r="O2611" s="457"/>
      <c r="S2611" s="462">
        <v>1</v>
      </c>
      <c r="T2611" s="52">
        <v>5</v>
      </c>
      <c r="U2611" s="52">
        <v>1</v>
      </c>
      <c r="V2611" s="462">
        <v>1</v>
      </c>
      <c r="W2611" s="52">
        <v>1</v>
      </c>
      <c r="X2611" s="52">
        <v>1</v>
      </c>
      <c r="Y2611" s="52">
        <v>0</v>
      </c>
      <c r="Z2611" s="462">
        <v>0</v>
      </c>
      <c r="AA2611" s="52">
        <v>5</v>
      </c>
      <c r="AB2611" s="463">
        <v>1000</v>
      </c>
      <c r="AC2611" s="52">
        <v>70</v>
      </c>
      <c r="AD2611" s="464">
        <v>0</v>
      </c>
      <c r="AE2611" s="464">
        <v>0</v>
      </c>
      <c r="AF2611" s="464">
        <v>0</v>
      </c>
      <c r="AG2611" s="459"/>
      <c r="AH2611" s="459"/>
      <c r="AI2611" s="459"/>
      <c r="AJ2611" s="459"/>
      <c r="AK2611" s="459"/>
      <c r="AL2611" s="460"/>
      <c r="AM2611" s="460"/>
      <c r="AN2611" s="461"/>
      <c r="AO2611" s="460"/>
      <c r="AP2611" s="460"/>
      <c r="AS2611" s="52">
        <v>1</v>
      </c>
    </row>
    <row r="2612" s="52" customFormat="1" spans="1:45">
      <c r="A2612" s="52">
        <v>615026</v>
      </c>
      <c r="B2612" s="52">
        <v>1001</v>
      </c>
      <c r="C2612" s="52">
        <v>2</v>
      </c>
      <c r="D2612" s="52">
        <v>1001</v>
      </c>
      <c r="E2612" s="52" t="s">
        <v>6640</v>
      </c>
      <c r="F2612" s="52" t="s">
        <v>6640</v>
      </c>
      <c r="G2612" s="52" t="s">
        <v>6641</v>
      </c>
      <c r="H2612" s="52" t="s">
        <v>6642</v>
      </c>
      <c r="I2612" s="52">
        <v>1</v>
      </c>
      <c r="J2612" s="52">
        <v>5</v>
      </c>
      <c r="K2612" s="462">
        <v>1</v>
      </c>
      <c r="L2612" s="52">
        <v>999</v>
      </c>
      <c r="M2612" s="52">
        <v>0</v>
      </c>
      <c r="O2612" s="457"/>
      <c r="S2612" s="33">
        <v>0</v>
      </c>
      <c r="T2612" s="52">
        <v>5</v>
      </c>
      <c r="U2612" s="52">
        <v>1</v>
      </c>
      <c r="V2612" s="462">
        <v>1</v>
      </c>
      <c r="W2612" s="52">
        <v>1</v>
      </c>
      <c r="X2612" s="52">
        <v>1</v>
      </c>
      <c r="Y2612" s="52">
        <v>0</v>
      </c>
      <c r="Z2612" s="462">
        <v>0</v>
      </c>
      <c r="AA2612" s="52">
        <v>5</v>
      </c>
      <c r="AB2612" s="463">
        <v>1000</v>
      </c>
      <c r="AC2612" s="52">
        <v>70</v>
      </c>
      <c r="AD2612" s="464">
        <v>0</v>
      </c>
      <c r="AE2612" s="464">
        <v>0</v>
      </c>
      <c r="AF2612" s="464">
        <v>0</v>
      </c>
      <c r="AG2612" s="459"/>
      <c r="AH2612" s="459"/>
      <c r="AI2612" s="459"/>
      <c r="AJ2612" s="459"/>
      <c r="AK2612" s="459"/>
      <c r="AL2612" s="460"/>
      <c r="AM2612" s="460"/>
      <c r="AN2612" s="461"/>
      <c r="AO2612" s="460"/>
      <c r="AP2612" s="460"/>
      <c r="AS2612" s="52">
        <v>1</v>
      </c>
    </row>
    <row r="2613" s="52" customFormat="1" spans="1:45">
      <c r="A2613" s="52">
        <v>615027</v>
      </c>
      <c r="B2613" s="52">
        <v>1001</v>
      </c>
      <c r="C2613" s="52">
        <v>2</v>
      </c>
      <c r="D2613" s="52">
        <v>1001</v>
      </c>
      <c r="E2613" s="52" t="s">
        <v>6643</v>
      </c>
      <c r="F2613" s="52" t="s">
        <v>6643</v>
      </c>
      <c r="G2613" s="52" t="s">
        <v>6644</v>
      </c>
      <c r="H2613" s="52" t="s">
        <v>6645</v>
      </c>
      <c r="I2613" s="52">
        <v>1</v>
      </c>
      <c r="J2613" s="52">
        <v>5</v>
      </c>
      <c r="K2613" s="462">
        <v>1</v>
      </c>
      <c r="L2613" s="52">
        <v>999</v>
      </c>
      <c r="M2613" s="52">
        <v>0</v>
      </c>
      <c r="O2613" s="457"/>
      <c r="S2613" s="462">
        <v>1</v>
      </c>
      <c r="T2613" s="52">
        <v>5</v>
      </c>
      <c r="U2613" s="52">
        <v>1</v>
      </c>
      <c r="V2613" s="462">
        <v>1</v>
      </c>
      <c r="W2613" s="52">
        <v>1</v>
      </c>
      <c r="X2613" s="52">
        <v>1</v>
      </c>
      <c r="Y2613" s="52">
        <v>0</v>
      </c>
      <c r="Z2613" s="462">
        <v>0</v>
      </c>
      <c r="AA2613" s="52">
        <v>5</v>
      </c>
      <c r="AB2613" s="463">
        <v>1000</v>
      </c>
      <c r="AC2613" s="52">
        <v>70</v>
      </c>
      <c r="AD2613" s="464">
        <v>0</v>
      </c>
      <c r="AE2613" s="464">
        <v>0</v>
      </c>
      <c r="AF2613" s="464">
        <v>0</v>
      </c>
      <c r="AG2613" s="459"/>
      <c r="AH2613" s="459"/>
      <c r="AI2613" s="459"/>
      <c r="AJ2613" s="459"/>
      <c r="AK2613" s="459"/>
      <c r="AL2613" s="460"/>
      <c r="AM2613" s="460"/>
      <c r="AN2613" s="461"/>
      <c r="AO2613" s="460"/>
      <c r="AP2613" s="460"/>
      <c r="AS2613" s="52">
        <v>1</v>
      </c>
    </row>
    <row r="2614" spans="1:45">
      <c r="A2614" s="52">
        <v>615028</v>
      </c>
      <c r="B2614" s="52">
        <v>1001</v>
      </c>
      <c r="C2614" s="52">
        <v>2</v>
      </c>
      <c r="D2614" s="52">
        <v>1001</v>
      </c>
      <c r="E2614" s="52" t="s">
        <v>6646</v>
      </c>
      <c r="F2614" s="52" t="s">
        <v>6646</v>
      </c>
      <c r="G2614" s="52" t="s">
        <v>6647</v>
      </c>
      <c r="H2614" s="52" t="s">
        <v>6648</v>
      </c>
      <c r="I2614" s="52">
        <v>1</v>
      </c>
      <c r="J2614" s="52">
        <v>5</v>
      </c>
      <c r="K2614" s="462">
        <v>1</v>
      </c>
      <c r="L2614" s="52">
        <v>999</v>
      </c>
      <c r="M2614" s="52">
        <v>0</v>
      </c>
      <c r="N2614"/>
      <c r="O2614" s="457"/>
      <c r="S2614" s="462">
        <v>1</v>
      </c>
      <c r="T2614" s="52">
        <v>5</v>
      </c>
      <c r="U2614" s="52">
        <v>1</v>
      </c>
      <c r="V2614" s="462">
        <v>1</v>
      </c>
      <c r="W2614" s="52">
        <v>1</v>
      </c>
      <c r="X2614" s="52">
        <v>1</v>
      </c>
      <c r="Y2614" s="52">
        <v>0</v>
      </c>
      <c r="Z2614" s="462">
        <v>0</v>
      </c>
      <c r="AA2614" s="52">
        <v>5</v>
      </c>
      <c r="AB2614" s="465">
        <v>1000</v>
      </c>
      <c r="AC2614" s="52">
        <v>70</v>
      </c>
      <c r="AD2614" s="464">
        <v>0</v>
      </c>
      <c r="AE2614" s="464">
        <v>0</v>
      </c>
      <c r="AF2614" s="464">
        <v>0</v>
      </c>
      <c r="AG2614" s="459"/>
      <c r="AH2614" s="459"/>
      <c r="AI2614" s="459"/>
      <c r="AJ2614" s="459"/>
      <c r="AK2614" s="459"/>
      <c r="AL2614" s="460"/>
      <c r="AM2614" s="460"/>
      <c r="AN2614" s="461"/>
      <c r="AO2614" s="460"/>
      <c r="AP2614" s="460"/>
      <c r="AS2614" s="52">
        <v>1</v>
      </c>
    </row>
    <row r="2615" spans="1:45">
      <c r="A2615">
        <v>616006</v>
      </c>
      <c r="B2615" s="238">
        <v>1001</v>
      </c>
      <c r="C2615" s="238">
        <v>6</v>
      </c>
      <c r="D2615" s="238">
        <v>1001</v>
      </c>
      <c r="E2615" t="s">
        <v>6649</v>
      </c>
      <c r="F2615" s="238" t="s">
        <v>6649</v>
      </c>
      <c r="G2615" t="s">
        <v>6650</v>
      </c>
      <c r="H2615" t="s">
        <v>1818</v>
      </c>
      <c r="I2615">
        <v>1</v>
      </c>
      <c r="J2615">
        <v>5</v>
      </c>
      <c r="K2615" s="33">
        <v>2</v>
      </c>
      <c r="L2615">
        <v>999</v>
      </c>
      <c r="M2615">
        <v>0</v>
      </c>
      <c r="N2615">
        <v>1017</v>
      </c>
      <c r="O2615" s="2">
        <v>220003</v>
      </c>
      <c r="S2615" s="33">
        <v>1</v>
      </c>
      <c r="T2615">
        <v>5</v>
      </c>
      <c r="U2615">
        <v>100</v>
      </c>
      <c r="V2615" s="33">
        <v>1</v>
      </c>
      <c r="W2615">
        <v>1</v>
      </c>
      <c r="X2615">
        <v>1</v>
      </c>
      <c r="Y2615">
        <v>0</v>
      </c>
      <c r="Z2615" s="33">
        <v>0</v>
      </c>
      <c r="AA2615">
        <v>5</v>
      </c>
      <c r="AB2615">
        <v>100</v>
      </c>
      <c r="AC2615">
        <v>110</v>
      </c>
      <c r="AD2615" s="62">
        <v>0</v>
      </c>
      <c r="AE2615" s="62">
        <v>4</v>
      </c>
      <c r="AF2615" s="62">
        <v>2</v>
      </c>
      <c r="AH2615" s="63">
        <v>1</v>
      </c>
      <c r="AL2615" s="64">
        <v>1</v>
      </c>
      <c r="AS2615">
        <v>1</v>
      </c>
    </row>
    <row r="2616" spans="1:45">
      <c r="A2616">
        <v>616007</v>
      </c>
      <c r="B2616" s="236">
        <v>1001</v>
      </c>
      <c r="C2616" s="236">
        <v>6</v>
      </c>
      <c r="D2616" s="236">
        <v>1001</v>
      </c>
      <c r="E2616" t="s">
        <v>1662</v>
      </c>
      <c r="F2616" s="253" t="s">
        <v>1662</v>
      </c>
      <c r="G2616" t="s">
        <v>6651</v>
      </c>
      <c r="H2616" t="s">
        <v>1664</v>
      </c>
      <c r="I2616">
        <v>1</v>
      </c>
      <c r="J2616">
        <v>4</v>
      </c>
      <c r="K2616" s="33">
        <v>2</v>
      </c>
      <c r="L2616">
        <v>999</v>
      </c>
      <c r="M2616">
        <v>0</v>
      </c>
      <c r="N2616">
        <v>1017</v>
      </c>
      <c r="O2616" s="2">
        <v>220002</v>
      </c>
      <c r="S2616" s="33">
        <v>1</v>
      </c>
      <c r="T2616">
        <v>5</v>
      </c>
      <c r="U2616">
        <v>100</v>
      </c>
      <c r="V2616" s="33">
        <v>1</v>
      </c>
      <c r="W2616">
        <v>1</v>
      </c>
      <c r="X2616">
        <v>1</v>
      </c>
      <c r="Y2616">
        <v>0</v>
      </c>
      <c r="Z2616" s="33">
        <v>0</v>
      </c>
      <c r="AA2616">
        <v>5</v>
      </c>
      <c r="AB2616">
        <v>100</v>
      </c>
      <c r="AC2616">
        <v>110</v>
      </c>
      <c r="AD2616" s="62">
        <v>0</v>
      </c>
      <c r="AE2616" s="62">
        <v>4</v>
      </c>
      <c r="AF2616" s="62">
        <v>2</v>
      </c>
      <c r="AH2616" s="63">
        <v>1</v>
      </c>
      <c r="AL2616" s="64">
        <v>1</v>
      </c>
      <c r="AS2616">
        <v>1</v>
      </c>
    </row>
    <row r="2617" spans="1:45">
      <c r="A2617">
        <v>616008</v>
      </c>
      <c r="B2617">
        <v>1001</v>
      </c>
      <c r="C2617">
        <v>1</v>
      </c>
      <c r="D2617">
        <v>1001</v>
      </c>
      <c r="E2617" t="s">
        <v>6652</v>
      </c>
      <c r="F2617" t="s">
        <v>6652</v>
      </c>
      <c r="G2617" t="s">
        <v>6653</v>
      </c>
      <c r="H2617" t="s">
        <v>6654</v>
      </c>
      <c r="I2617">
        <v>1</v>
      </c>
      <c r="J2617">
        <v>4</v>
      </c>
      <c r="K2617" s="33">
        <v>1</v>
      </c>
      <c r="L2617">
        <v>999</v>
      </c>
      <c r="M2617"/>
      <c r="N2617"/>
      <c r="R2617" s="33"/>
      <c r="S2617" s="33">
        <v>0</v>
      </c>
      <c r="T2617">
        <v>5</v>
      </c>
      <c r="U2617">
        <v>10</v>
      </c>
      <c r="V2617" s="33">
        <v>1</v>
      </c>
      <c r="W2617">
        <v>0</v>
      </c>
      <c r="X2617">
        <v>0</v>
      </c>
      <c r="Y2617">
        <v>0</v>
      </c>
      <c r="Z2617" s="33">
        <v>0</v>
      </c>
      <c r="AA2617">
        <v>5</v>
      </c>
      <c r="AB2617">
        <v>20</v>
      </c>
      <c r="AC2617">
        <v>999</v>
      </c>
      <c r="AS2617">
        <v>1</v>
      </c>
    </row>
    <row r="2618" spans="1:45">
      <c r="A2618">
        <v>616009</v>
      </c>
      <c r="B2618">
        <v>1001</v>
      </c>
      <c r="C2618">
        <v>6</v>
      </c>
      <c r="D2618">
        <v>1001</v>
      </c>
      <c r="E2618" t="s">
        <v>6655</v>
      </c>
      <c r="F2618" t="s">
        <v>6655</v>
      </c>
      <c r="G2618" t="s">
        <v>6656</v>
      </c>
      <c r="H2618" t="s">
        <v>6325</v>
      </c>
      <c r="I2618">
        <v>1</v>
      </c>
      <c r="J2618">
        <v>5</v>
      </c>
      <c r="K2618" s="33">
        <v>2</v>
      </c>
      <c r="L2618">
        <v>999</v>
      </c>
      <c r="M2618">
        <v>0</v>
      </c>
      <c r="N2618">
        <v>1035</v>
      </c>
      <c r="O2618" s="2">
        <v>64</v>
      </c>
      <c r="R2618" s="33"/>
      <c r="S2618" s="33">
        <v>0</v>
      </c>
      <c r="T2618">
        <v>5</v>
      </c>
      <c r="U2618">
        <v>1</v>
      </c>
      <c r="V2618" s="33">
        <v>1</v>
      </c>
      <c r="W2618">
        <v>1</v>
      </c>
      <c r="X2618">
        <v>1</v>
      </c>
      <c r="Y2618">
        <v>0</v>
      </c>
      <c r="Z2618" s="33">
        <v>0</v>
      </c>
      <c r="AA2618">
        <v>5</v>
      </c>
      <c r="AB2618">
        <v>100</v>
      </c>
      <c r="AC2618">
        <v>70</v>
      </c>
      <c r="AD2618" s="62">
        <v>0</v>
      </c>
      <c r="AE2618" s="62">
        <v>1</v>
      </c>
      <c r="AF2618" s="62">
        <v>1</v>
      </c>
      <c r="AS2618">
        <v>1</v>
      </c>
    </row>
    <row r="2619" spans="1:45">
      <c r="A2619">
        <v>616010</v>
      </c>
      <c r="B2619">
        <v>1001</v>
      </c>
      <c r="C2619">
        <v>6</v>
      </c>
      <c r="D2619">
        <v>1001</v>
      </c>
      <c r="E2619" t="s">
        <v>6657</v>
      </c>
      <c r="F2619" t="s">
        <v>6494</v>
      </c>
      <c r="G2619" t="s">
        <v>6658</v>
      </c>
      <c r="H2619" t="s">
        <v>204</v>
      </c>
      <c r="I2619">
        <v>1</v>
      </c>
      <c r="J2619">
        <v>5</v>
      </c>
      <c r="K2619" s="33">
        <v>2</v>
      </c>
      <c r="L2619">
        <v>999</v>
      </c>
      <c r="M2619">
        <v>0</v>
      </c>
      <c r="N2619">
        <v>1018</v>
      </c>
      <c r="O2619" s="2" t="s">
        <v>6659</v>
      </c>
      <c r="S2619" s="33">
        <v>0</v>
      </c>
      <c r="T2619">
        <v>5</v>
      </c>
      <c r="U2619">
        <v>1</v>
      </c>
      <c r="V2619" s="33">
        <v>1</v>
      </c>
      <c r="W2619">
        <v>1</v>
      </c>
      <c r="X2619">
        <v>1</v>
      </c>
      <c r="Y2619">
        <v>0</v>
      </c>
      <c r="Z2619" s="33">
        <v>0</v>
      </c>
      <c r="AA2619">
        <v>5</v>
      </c>
      <c r="AB2619">
        <v>100</v>
      </c>
      <c r="AC2619">
        <v>50</v>
      </c>
      <c r="AD2619" s="62">
        <v>0</v>
      </c>
      <c r="AE2619" s="62">
        <v>5</v>
      </c>
      <c r="AF2619" s="62">
        <v>2</v>
      </c>
      <c r="AS2619">
        <v>1</v>
      </c>
    </row>
    <row r="2620" spans="1:45">
      <c r="A2620">
        <v>616011</v>
      </c>
      <c r="B2620">
        <v>1001</v>
      </c>
      <c r="C2620">
        <v>6</v>
      </c>
      <c r="D2620">
        <v>1001</v>
      </c>
      <c r="E2620" t="s">
        <v>6660</v>
      </c>
      <c r="F2620" t="s">
        <v>6661</v>
      </c>
      <c r="G2620" t="s">
        <v>6662</v>
      </c>
      <c r="H2620" t="s">
        <v>204</v>
      </c>
      <c r="I2620">
        <v>1</v>
      </c>
      <c r="J2620">
        <v>5</v>
      </c>
      <c r="K2620" s="33">
        <v>2</v>
      </c>
      <c r="L2620">
        <v>999</v>
      </c>
      <c r="M2620">
        <v>0</v>
      </c>
      <c r="N2620">
        <v>1018</v>
      </c>
      <c r="O2620" s="2" t="s">
        <v>6663</v>
      </c>
      <c r="S2620" s="33">
        <v>0</v>
      </c>
      <c r="T2620">
        <v>5</v>
      </c>
      <c r="U2620">
        <v>1</v>
      </c>
      <c r="V2620" s="33">
        <v>1</v>
      </c>
      <c r="W2620">
        <v>1</v>
      </c>
      <c r="X2620">
        <v>1</v>
      </c>
      <c r="Y2620">
        <v>0</v>
      </c>
      <c r="Z2620" s="33">
        <v>0</v>
      </c>
      <c r="AA2620">
        <v>5</v>
      </c>
      <c r="AB2620">
        <v>100</v>
      </c>
      <c r="AC2620">
        <v>50</v>
      </c>
      <c r="AD2620" s="62">
        <v>0</v>
      </c>
      <c r="AE2620" s="62">
        <v>5</v>
      </c>
      <c r="AF2620" s="62">
        <v>2</v>
      </c>
      <c r="AS2620">
        <v>1</v>
      </c>
    </row>
    <row r="2621" spans="1:45">
      <c r="A2621">
        <v>616012</v>
      </c>
      <c r="B2621">
        <v>1001</v>
      </c>
      <c r="C2621">
        <v>6</v>
      </c>
      <c r="D2621">
        <v>1001</v>
      </c>
      <c r="E2621" t="s">
        <v>6664</v>
      </c>
      <c r="F2621" t="s">
        <v>6665</v>
      </c>
      <c r="G2621" t="s">
        <v>6666</v>
      </c>
      <c r="H2621" t="s">
        <v>204</v>
      </c>
      <c r="I2621">
        <v>1</v>
      </c>
      <c r="J2621">
        <v>5</v>
      </c>
      <c r="K2621" s="33">
        <v>2</v>
      </c>
      <c r="L2621">
        <v>999</v>
      </c>
      <c r="M2621">
        <v>0</v>
      </c>
      <c r="N2621">
        <v>1018</v>
      </c>
      <c r="O2621" s="2" t="s">
        <v>6667</v>
      </c>
      <c r="R2621" s="33"/>
      <c r="S2621" s="33">
        <v>0</v>
      </c>
      <c r="T2621">
        <v>5</v>
      </c>
      <c r="U2621">
        <v>1</v>
      </c>
      <c r="V2621" s="33">
        <v>1</v>
      </c>
      <c r="W2621">
        <v>1</v>
      </c>
      <c r="X2621">
        <v>1</v>
      </c>
      <c r="Y2621">
        <v>0</v>
      </c>
      <c r="Z2621" s="33">
        <v>0</v>
      </c>
      <c r="AA2621">
        <v>5</v>
      </c>
      <c r="AB2621">
        <v>100</v>
      </c>
      <c r="AC2621">
        <v>50</v>
      </c>
      <c r="AD2621" s="62">
        <v>0</v>
      </c>
      <c r="AE2621" s="62">
        <v>5</v>
      </c>
      <c r="AF2621" s="62">
        <v>2</v>
      </c>
      <c r="AS2621">
        <v>1</v>
      </c>
    </row>
    <row r="2622" spans="1:45">
      <c r="A2622">
        <v>616013</v>
      </c>
      <c r="B2622" s="238">
        <v>1001</v>
      </c>
      <c r="C2622" s="238">
        <v>6</v>
      </c>
      <c r="D2622" s="238">
        <v>1001</v>
      </c>
      <c r="E2622" t="s">
        <v>6668</v>
      </c>
      <c r="F2622" t="s">
        <v>6668</v>
      </c>
      <c r="G2622" t="s">
        <v>6669</v>
      </c>
      <c r="H2622" t="s">
        <v>6325</v>
      </c>
      <c r="I2622">
        <v>1</v>
      </c>
      <c r="J2622">
        <v>5</v>
      </c>
      <c r="K2622" s="33">
        <v>2</v>
      </c>
      <c r="L2622">
        <v>999</v>
      </c>
      <c r="M2622">
        <v>0</v>
      </c>
      <c r="N2622">
        <v>1035</v>
      </c>
      <c r="O2622" s="2">
        <v>65</v>
      </c>
      <c r="R2622" s="33"/>
      <c r="S2622" s="33">
        <v>0</v>
      </c>
      <c r="T2622">
        <v>5</v>
      </c>
      <c r="U2622">
        <v>1</v>
      </c>
      <c r="V2622" s="33">
        <v>1</v>
      </c>
      <c r="W2622">
        <v>1</v>
      </c>
      <c r="X2622" s="238">
        <v>1</v>
      </c>
      <c r="Y2622">
        <v>0</v>
      </c>
      <c r="Z2622" s="33">
        <v>0</v>
      </c>
      <c r="AA2622">
        <v>5</v>
      </c>
      <c r="AB2622">
        <v>100</v>
      </c>
      <c r="AC2622">
        <v>70</v>
      </c>
      <c r="AD2622" s="62">
        <v>0</v>
      </c>
      <c r="AE2622" s="62">
        <v>1</v>
      </c>
      <c r="AF2622" s="62">
        <v>1</v>
      </c>
      <c r="AS2622">
        <v>1</v>
      </c>
    </row>
    <row r="2623" spans="1:45">
      <c r="A2623">
        <v>616014</v>
      </c>
      <c r="B2623" s="8">
        <v>1001</v>
      </c>
      <c r="C2623" s="8">
        <v>6</v>
      </c>
      <c r="D2623" s="8">
        <v>1001</v>
      </c>
      <c r="E2623" t="s">
        <v>6670</v>
      </c>
      <c r="F2623" t="s">
        <v>6670</v>
      </c>
      <c r="G2623" t="s">
        <v>6671</v>
      </c>
      <c r="H2623" t="s">
        <v>2567</v>
      </c>
      <c r="I2623">
        <v>1</v>
      </c>
      <c r="J2623">
        <v>4</v>
      </c>
      <c r="K2623" s="33">
        <v>2</v>
      </c>
      <c r="L2623">
        <v>999</v>
      </c>
      <c r="M2623">
        <v>0</v>
      </c>
      <c r="N2623">
        <v>1</v>
      </c>
      <c r="O2623" s="249" t="s">
        <v>6672</v>
      </c>
      <c r="S2623" s="33">
        <v>1</v>
      </c>
      <c r="T2623">
        <v>5</v>
      </c>
      <c r="U2623">
        <v>10</v>
      </c>
      <c r="V2623" s="33">
        <v>1</v>
      </c>
      <c r="W2623">
        <v>1</v>
      </c>
      <c r="X2623" s="8">
        <v>1</v>
      </c>
      <c r="Y2623">
        <v>0</v>
      </c>
      <c r="Z2623" s="33">
        <v>0</v>
      </c>
      <c r="AA2623">
        <v>5</v>
      </c>
      <c r="AB2623">
        <v>100</v>
      </c>
      <c r="AC2623">
        <v>56</v>
      </c>
      <c r="AD2623" s="62">
        <v>0</v>
      </c>
      <c r="AE2623" s="62">
        <v>4</v>
      </c>
      <c r="AF2623" s="62">
        <v>2</v>
      </c>
      <c r="AS2623">
        <v>1</v>
      </c>
    </row>
    <row r="2624" spans="1:45">
      <c r="A2624">
        <v>616015</v>
      </c>
      <c r="B2624" s="8">
        <v>1001</v>
      </c>
      <c r="C2624" s="8">
        <v>6</v>
      </c>
      <c r="D2624" s="8">
        <v>1001</v>
      </c>
      <c r="E2624" t="s">
        <v>6673</v>
      </c>
      <c r="F2624" t="s">
        <v>6673</v>
      </c>
      <c r="G2624" t="s">
        <v>6674</v>
      </c>
      <c r="H2624" t="s">
        <v>5848</v>
      </c>
      <c r="I2624">
        <v>1</v>
      </c>
      <c r="J2624">
        <v>5</v>
      </c>
      <c r="K2624" s="33">
        <v>2</v>
      </c>
      <c r="L2624">
        <v>999</v>
      </c>
      <c r="M2624">
        <v>0</v>
      </c>
      <c r="N2624">
        <v>1</v>
      </c>
      <c r="O2624" s="249" t="s">
        <v>6675</v>
      </c>
      <c r="S2624" s="33">
        <v>1</v>
      </c>
      <c r="T2624">
        <v>5</v>
      </c>
      <c r="U2624">
        <v>10</v>
      </c>
      <c r="V2624" s="33">
        <v>1</v>
      </c>
      <c r="W2624">
        <v>1</v>
      </c>
      <c r="X2624" s="8">
        <v>1</v>
      </c>
      <c r="Y2624">
        <v>0</v>
      </c>
      <c r="Z2624" s="33">
        <v>0</v>
      </c>
      <c r="AA2624">
        <v>5</v>
      </c>
      <c r="AB2624">
        <v>100</v>
      </c>
      <c r="AC2624">
        <v>56</v>
      </c>
      <c r="AD2624" s="62">
        <v>0</v>
      </c>
      <c r="AE2624" s="62">
        <v>4</v>
      </c>
      <c r="AF2624" s="62">
        <v>2</v>
      </c>
      <c r="AS2624">
        <v>1</v>
      </c>
    </row>
    <row r="2625" spans="1:45">
      <c r="A2625">
        <v>616016</v>
      </c>
      <c r="B2625" s="236">
        <v>1001</v>
      </c>
      <c r="C2625" s="236">
        <v>6</v>
      </c>
      <c r="D2625" s="236">
        <v>1001</v>
      </c>
      <c r="E2625" t="s">
        <v>6676</v>
      </c>
      <c r="F2625" t="s">
        <v>6676</v>
      </c>
      <c r="G2625" t="s">
        <v>6677</v>
      </c>
      <c r="H2625" t="s">
        <v>5848</v>
      </c>
      <c r="I2625">
        <v>1</v>
      </c>
      <c r="J2625">
        <v>5</v>
      </c>
      <c r="K2625" s="33">
        <v>2</v>
      </c>
      <c r="L2625">
        <v>999</v>
      </c>
      <c r="M2625">
        <v>0</v>
      </c>
      <c r="N2625">
        <v>1</v>
      </c>
      <c r="O2625" s="249" t="s">
        <v>6678</v>
      </c>
      <c r="S2625" s="33">
        <v>1</v>
      </c>
      <c r="T2625">
        <v>5</v>
      </c>
      <c r="U2625">
        <v>10</v>
      </c>
      <c r="V2625" s="33">
        <v>1</v>
      </c>
      <c r="W2625">
        <v>1</v>
      </c>
      <c r="X2625" s="236">
        <v>1</v>
      </c>
      <c r="Y2625">
        <v>0</v>
      </c>
      <c r="Z2625" s="33">
        <v>0</v>
      </c>
      <c r="AA2625">
        <v>5</v>
      </c>
      <c r="AB2625">
        <v>100</v>
      </c>
      <c r="AC2625">
        <v>56</v>
      </c>
      <c r="AD2625" s="62">
        <v>0</v>
      </c>
      <c r="AE2625" s="62">
        <v>4</v>
      </c>
      <c r="AF2625" s="62">
        <v>2</v>
      </c>
      <c r="AQ2625"/>
      <c r="AS2625">
        <v>1</v>
      </c>
    </row>
    <row r="2626" spans="1:45">
      <c r="A2626">
        <v>617001</v>
      </c>
      <c r="B2626">
        <v>1001</v>
      </c>
      <c r="C2626">
        <v>2</v>
      </c>
      <c r="D2626">
        <v>1004</v>
      </c>
      <c r="E2626" t="s">
        <v>6679</v>
      </c>
      <c r="F2626" t="s">
        <v>6679</v>
      </c>
      <c r="G2626" t="s">
        <v>6680</v>
      </c>
      <c r="H2626" t="s">
        <v>5771</v>
      </c>
      <c r="I2626">
        <v>1</v>
      </c>
      <c r="J2626">
        <v>3</v>
      </c>
      <c r="K2626" s="33">
        <v>1</v>
      </c>
      <c r="L2626">
        <v>999</v>
      </c>
      <c r="M2626">
        <v>0</v>
      </c>
      <c r="N2626"/>
      <c r="O2626" s="231"/>
      <c r="R2626" s="33"/>
      <c r="S2626" s="33">
        <v>1</v>
      </c>
      <c r="T2626">
        <v>5</v>
      </c>
      <c r="U2626">
        <v>5</v>
      </c>
      <c r="V2626" s="33">
        <v>1</v>
      </c>
      <c r="W2626">
        <v>1</v>
      </c>
      <c r="X2626">
        <v>1</v>
      </c>
      <c r="Y2626">
        <v>0</v>
      </c>
      <c r="Z2626" s="33">
        <v>0</v>
      </c>
      <c r="AA2626">
        <v>5</v>
      </c>
      <c r="AB2626">
        <v>100</v>
      </c>
      <c r="AC2626">
        <v>888</v>
      </c>
      <c r="AL2626" s="64">
        <v>1</v>
      </c>
      <c r="AQ2626" t="s">
        <v>6679</v>
      </c>
      <c r="AS2626">
        <v>1</v>
      </c>
    </row>
    <row r="2627" spans="1:45">
      <c r="A2627">
        <v>617002</v>
      </c>
      <c r="B2627">
        <v>1001</v>
      </c>
      <c r="C2627">
        <v>6</v>
      </c>
      <c r="D2627">
        <v>1001</v>
      </c>
      <c r="E2627" t="s">
        <v>6280</v>
      </c>
      <c r="F2627" t="s">
        <v>6280</v>
      </c>
      <c r="G2627" s="3" t="s">
        <v>6681</v>
      </c>
      <c r="H2627" t="s">
        <v>204</v>
      </c>
      <c r="I2627">
        <v>1</v>
      </c>
      <c r="J2627">
        <v>5</v>
      </c>
      <c r="K2627" s="33">
        <v>2</v>
      </c>
      <c r="L2627" s="238">
        <v>999</v>
      </c>
      <c r="M2627" s="238">
        <v>0</v>
      </c>
      <c r="N2627" s="238">
        <v>1018</v>
      </c>
      <c r="O2627" s="231" t="s">
        <v>6682</v>
      </c>
      <c r="R2627" s="33"/>
      <c r="S2627" s="254">
        <v>1</v>
      </c>
      <c r="T2627" s="238">
        <v>5</v>
      </c>
      <c r="U2627" s="238">
        <v>100</v>
      </c>
      <c r="V2627" s="254">
        <v>1</v>
      </c>
      <c r="W2627">
        <v>1</v>
      </c>
      <c r="X2627" s="238">
        <v>1</v>
      </c>
      <c r="Y2627" s="238">
        <v>0</v>
      </c>
      <c r="Z2627" s="33">
        <v>0</v>
      </c>
      <c r="AA2627">
        <v>5</v>
      </c>
      <c r="AB2627">
        <v>2000</v>
      </c>
      <c r="AC2627" s="238">
        <v>56</v>
      </c>
      <c r="AD2627" s="62">
        <v>0</v>
      </c>
      <c r="AE2627" s="62">
        <v>5</v>
      </c>
      <c r="AF2627" s="62">
        <v>2</v>
      </c>
      <c r="AN2627" s="93"/>
      <c r="AO2627" s="92"/>
      <c r="AQ2627"/>
      <c r="AS2627">
        <v>1</v>
      </c>
    </row>
    <row r="2628" spans="1:45">
      <c r="A2628">
        <v>617003</v>
      </c>
      <c r="B2628">
        <v>1001</v>
      </c>
      <c r="C2628">
        <v>6</v>
      </c>
      <c r="D2628">
        <v>1001</v>
      </c>
      <c r="E2628" t="s">
        <v>6683</v>
      </c>
      <c r="F2628" t="s">
        <v>6683</v>
      </c>
      <c r="G2628" t="s">
        <v>6684</v>
      </c>
      <c r="H2628" t="s">
        <v>1574</v>
      </c>
      <c r="I2628">
        <v>1</v>
      </c>
      <c r="J2628">
        <v>4</v>
      </c>
      <c r="K2628" s="33">
        <v>2</v>
      </c>
      <c r="L2628" s="236">
        <v>999</v>
      </c>
      <c r="M2628" s="236">
        <v>0</v>
      </c>
      <c r="N2628" s="236">
        <v>1017</v>
      </c>
      <c r="O2628" s="2">
        <v>50168</v>
      </c>
      <c r="S2628" s="336">
        <v>1</v>
      </c>
      <c r="T2628" s="236">
        <v>5</v>
      </c>
      <c r="U2628" s="336">
        <v>100</v>
      </c>
      <c r="V2628" s="248">
        <v>1</v>
      </c>
      <c r="W2628">
        <v>1</v>
      </c>
      <c r="X2628" s="236">
        <v>1</v>
      </c>
      <c r="Y2628" s="236">
        <v>0</v>
      </c>
      <c r="Z2628" s="33">
        <v>0</v>
      </c>
      <c r="AA2628">
        <v>5</v>
      </c>
      <c r="AB2628" s="34">
        <v>2000</v>
      </c>
      <c r="AC2628" s="248">
        <v>70</v>
      </c>
      <c r="AD2628" s="62">
        <v>0</v>
      </c>
      <c r="AE2628" s="62">
        <v>4</v>
      </c>
      <c r="AF2628" s="62">
        <v>2</v>
      </c>
      <c r="AL2628" s="64">
        <v>1</v>
      </c>
      <c r="AN2628" s="338"/>
      <c r="AO2628" s="252"/>
      <c r="AQ2628" t="s">
        <v>6033</v>
      </c>
      <c r="AS2628">
        <v>1</v>
      </c>
    </row>
    <row r="2629" spans="1:45">
      <c r="A2629">
        <v>617004</v>
      </c>
      <c r="B2629">
        <v>1001</v>
      </c>
      <c r="C2629">
        <v>6</v>
      </c>
      <c r="D2629">
        <v>1001</v>
      </c>
      <c r="E2629" t="s">
        <v>6685</v>
      </c>
      <c r="F2629" t="s">
        <v>6685</v>
      </c>
      <c r="G2629" s="3" t="s">
        <v>6686</v>
      </c>
      <c r="H2629" t="s">
        <v>1579</v>
      </c>
      <c r="I2629">
        <v>1</v>
      </c>
      <c r="J2629">
        <v>2</v>
      </c>
      <c r="K2629" s="33">
        <v>2</v>
      </c>
      <c r="L2629">
        <v>999</v>
      </c>
      <c r="M2629">
        <v>0</v>
      </c>
      <c r="N2629">
        <v>1018</v>
      </c>
      <c r="O2629" s="2" t="s">
        <v>6687</v>
      </c>
      <c r="S2629" s="33">
        <v>1</v>
      </c>
      <c r="T2629">
        <v>5</v>
      </c>
      <c r="U2629">
        <v>50</v>
      </c>
      <c r="V2629" s="33">
        <v>1</v>
      </c>
      <c r="W2629">
        <v>1</v>
      </c>
      <c r="X2629">
        <v>1</v>
      </c>
      <c r="Y2629">
        <v>0</v>
      </c>
      <c r="Z2629" s="33">
        <v>0</v>
      </c>
      <c r="AA2629">
        <v>5</v>
      </c>
      <c r="AB2629">
        <f>U2628*10</f>
        <v>1000</v>
      </c>
      <c r="AC2629">
        <v>56</v>
      </c>
      <c r="AD2629" s="62">
        <v>0</v>
      </c>
      <c r="AE2629" s="62">
        <v>5</v>
      </c>
      <c r="AF2629" s="62">
        <v>2</v>
      </c>
      <c r="AL2629" s="64">
        <v>1</v>
      </c>
      <c r="AS2629">
        <v>1</v>
      </c>
    </row>
    <row r="2630" spans="1:45">
      <c r="A2630">
        <v>617005</v>
      </c>
      <c r="B2630">
        <v>1001</v>
      </c>
      <c r="C2630">
        <v>6</v>
      </c>
      <c r="D2630">
        <v>1001</v>
      </c>
      <c r="E2630" t="s">
        <v>6688</v>
      </c>
      <c r="F2630" t="s">
        <v>6688</v>
      </c>
      <c r="G2630" s="3" t="s">
        <v>6689</v>
      </c>
      <c r="H2630" t="s">
        <v>1581</v>
      </c>
      <c r="I2630">
        <v>1</v>
      </c>
      <c r="J2630">
        <v>3</v>
      </c>
      <c r="K2630" s="33">
        <v>2</v>
      </c>
      <c r="L2630">
        <v>999</v>
      </c>
      <c r="M2630">
        <v>0</v>
      </c>
      <c r="N2630">
        <v>1018</v>
      </c>
      <c r="O2630" s="2" t="s">
        <v>6690</v>
      </c>
      <c r="S2630" s="33">
        <v>1</v>
      </c>
      <c r="T2630">
        <v>5</v>
      </c>
      <c r="U2630">
        <v>100</v>
      </c>
      <c r="V2630" s="33">
        <v>1</v>
      </c>
      <c r="W2630">
        <v>1</v>
      </c>
      <c r="X2630">
        <v>1</v>
      </c>
      <c r="Y2630">
        <v>0</v>
      </c>
      <c r="Z2630" s="33">
        <v>0</v>
      </c>
      <c r="AA2630">
        <v>5</v>
      </c>
      <c r="AB2630">
        <f>U2629*10</f>
        <v>500</v>
      </c>
      <c r="AC2630">
        <v>56</v>
      </c>
      <c r="AD2630" s="62">
        <v>0</v>
      </c>
      <c r="AE2630" s="62">
        <v>5</v>
      </c>
      <c r="AF2630" s="62">
        <v>2</v>
      </c>
      <c r="AL2630" s="64">
        <v>1</v>
      </c>
      <c r="AS2630">
        <v>1</v>
      </c>
    </row>
    <row r="2631" spans="1:45">
      <c r="A2631">
        <v>617006</v>
      </c>
      <c r="B2631">
        <v>1001</v>
      </c>
      <c r="C2631">
        <v>6</v>
      </c>
      <c r="D2631">
        <v>1001</v>
      </c>
      <c r="E2631" t="s">
        <v>6445</v>
      </c>
      <c r="F2631" t="s">
        <v>6445</v>
      </c>
      <c r="G2631" s="3" t="s">
        <v>6691</v>
      </c>
      <c r="H2631" t="s">
        <v>1583</v>
      </c>
      <c r="I2631">
        <v>1</v>
      </c>
      <c r="J2631">
        <v>4</v>
      </c>
      <c r="K2631" s="33">
        <v>2</v>
      </c>
      <c r="L2631">
        <v>999</v>
      </c>
      <c r="M2631">
        <v>0</v>
      </c>
      <c r="N2631">
        <v>1018</v>
      </c>
      <c r="O2631" s="2" t="s">
        <v>6692</v>
      </c>
      <c r="R2631" s="33"/>
      <c r="S2631" s="33">
        <v>1</v>
      </c>
      <c r="T2631">
        <v>5</v>
      </c>
      <c r="U2631">
        <v>200</v>
      </c>
      <c r="V2631" s="33">
        <v>1</v>
      </c>
      <c r="W2631">
        <v>1</v>
      </c>
      <c r="X2631">
        <v>1</v>
      </c>
      <c r="Y2631">
        <v>0</v>
      </c>
      <c r="Z2631" s="33">
        <v>0</v>
      </c>
      <c r="AA2631">
        <v>5</v>
      </c>
      <c r="AB2631">
        <f>U2630*10</f>
        <v>1000</v>
      </c>
      <c r="AC2631">
        <v>56</v>
      </c>
      <c r="AD2631" s="62">
        <v>0</v>
      </c>
      <c r="AE2631" s="62">
        <v>5</v>
      </c>
      <c r="AF2631" s="62">
        <v>2</v>
      </c>
      <c r="AL2631" s="64">
        <v>1</v>
      </c>
      <c r="AS2631">
        <v>1</v>
      </c>
    </row>
    <row r="2632" spans="1:45">
      <c r="A2632">
        <v>617007</v>
      </c>
      <c r="B2632">
        <v>1001</v>
      </c>
      <c r="C2632">
        <v>6</v>
      </c>
      <c r="D2632">
        <v>1001</v>
      </c>
      <c r="E2632" t="s">
        <v>5550</v>
      </c>
      <c r="F2632" t="s">
        <v>5550</v>
      </c>
      <c r="G2632" s="3" t="s">
        <v>6693</v>
      </c>
      <c r="H2632" t="s">
        <v>1822</v>
      </c>
      <c r="I2632">
        <v>1</v>
      </c>
      <c r="J2632">
        <v>5</v>
      </c>
      <c r="K2632" s="33">
        <v>2</v>
      </c>
      <c r="L2632" s="238">
        <v>999</v>
      </c>
      <c r="M2632" s="238">
        <v>0</v>
      </c>
      <c r="N2632">
        <v>1018</v>
      </c>
      <c r="O2632" s="2" t="s">
        <v>6694</v>
      </c>
      <c r="R2632" s="33"/>
      <c r="S2632" s="254">
        <v>1</v>
      </c>
      <c r="T2632" s="238">
        <v>5</v>
      </c>
      <c r="U2632" s="238">
        <v>100</v>
      </c>
      <c r="V2632" s="254">
        <v>1</v>
      </c>
      <c r="W2632">
        <v>1</v>
      </c>
      <c r="X2632" s="238">
        <v>1</v>
      </c>
      <c r="Y2632" s="238">
        <v>0</v>
      </c>
      <c r="Z2632" s="33">
        <v>0</v>
      </c>
      <c r="AA2632">
        <v>5</v>
      </c>
      <c r="AB2632">
        <v>2000</v>
      </c>
      <c r="AC2632" s="238">
        <v>56</v>
      </c>
      <c r="AD2632" s="62">
        <v>0</v>
      </c>
      <c r="AE2632" s="62">
        <v>5</v>
      </c>
      <c r="AF2632" s="62">
        <v>2</v>
      </c>
      <c r="AM2632" s="4"/>
      <c r="AN2632" s="93"/>
      <c r="AO2632" s="92"/>
      <c r="AS2632">
        <v>1</v>
      </c>
    </row>
    <row r="2633" spans="1:45">
      <c r="A2633">
        <v>617008</v>
      </c>
      <c r="B2633">
        <v>1001</v>
      </c>
      <c r="C2633">
        <v>1</v>
      </c>
      <c r="D2633">
        <v>1001</v>
      </c>
      <c r="E2633" t="s">
        <v>6242</v>
      </c>
      <c r="F2633" t="s">
        <v>6242</v>
      </c>
      <c r="G2633" t="s">
        <v>6243</v>
      </c>
      <c r="H2633" t="s">
        <v>6244</v>
      </c>
      <c r="I2633">
        <v>1</v>
      </c>
      <c r="J2633">
        <v>5</v>
      </c>
      <c r="K2633" s="33">
        <v>1</v>
      </c>
      <c r="L2633" s="8">
        <v>999</v>
      </c>
      <c r="M2633" s="8">
        <v>0</v>
      </c>
      <c r="S2633" s="89">
        <v>1</v>
      </c>
      <c r="T2633" s="8">
        <v>5</v>
      </c>
      <c r="U2633" s="89">
        <v>200</v>
      </c>
      <c r="V2633" s="87">
        <v>1</v>
      </c>
      <c r="W2633">
        <v>1</v>
      </c>
      <c r="X2633" s="8">
        <v>1</v>
      </c>
      <c r="Y2633" s="8">
        <v>0</v>
      </c>
      <c r="Z2633" s="33">
        <v>0</v>
      </c>
      <c r="AA2633">
        <v>5</v>
      </c>
      <c r="AB2633" s="34">
        <v>2000</v>
      </c>
      <c r="AC2633" s="87">
        <v>70</v>
      </c>
      <c r="AD2633" s="62">
        <v>0</v>
      </c>
      <c r="AI2633" s="63" t="s">
        <v>6695</v>
      </c>
      <c r="AM2633" s="4"/>
      <c r="AN2633" s="93"/>
      <c r="AO2633" s="92"/>
      <c r="AS2633">
        <v>1</v>
      </c>
    </row>
    <row r="2634" spans="1:45">
      <c r="A2634">
        <v>617009</v>
      </c>
      <c r="B2634" s="238">
        <v>1001</v>
      </c>
      <c r="C2634" s="238">
        <v>1</v>
      </c>
      <c r="D2634" s="238">
        <v>1001</v>
      </c>
      <c r="E2634" t="s">
        <v>6246</v>
      </c>
      <c r="F2634" t="s">
        <v>6246</v>
      </c>
      <c r="G2634" t="s">
        <v>6247</v>
      </c>
      <c r="H2634" t="s">
        <v>6248</v>
      </c>
      <c r="I2634">
        <v>1</v>
      </c>
      <c r="J2634">
        <v>5</v>
      </c>
      <c r="K2634" s="33">
        <v>1</v>
      </c>
      <c r="L2634" s="236">
        <v>999</v>
      </c>
      <c r="M2634" s="236">
        <v>0</v>
      </c>
      <c r="N2634"/>
      <c r="O2634" s="249"/>
      <c r="S2634" s="336">
        <v>1</v>
      </c>
      <c r="T2634" s="236">
        <v>5</v>
      </c>
      <c r="U2634" s="336">
        <v>100</v>
      </c>
      <c r="V2634" s="248">
        <v>1</v>
      </c>
      <c r="W2634">
        <v>1</v>
      </c>
      <c r="X2634" s="8">
        <v>1</v>
      </c>
      <c r="Y2634" s="236">
        <v>0</v>
      </c>
      <c r="Z2634" s="33">
        <v>0</v>
      </c>
      <c r="AA2634">
        <v>5</v>
      </c>
      <c r="AB2634" s="34">
        <v>1000</v>
      </c>
      <c r="AC2634" s="248">
        <v>70</v>
      </c>
      <c r="AD2634" s="62">
        <v>0</v>
      </c>
      <c r="AI2634" s="63" t="s">
        <v>6695</v>
      </c>
      <c r="AM2634" s="4"/>
      <c r="AN2634" s="338"/>
      <c r="AO2634" s="252"/>
      <c r="AS2634">
        <v>1</v>
      </c>
    </row>
    <row r="2635" spans="1:45">
      <c r="A2635">
        <v>617010</v>
      </c>
      <c r="B2635" s="236">
        <v>1001</v>
      </c>
      <c r="C2635" s="236">
        <v>6</v>
      </c>
      <c r="D2635" s="236">
        <v>1001</v>
      </c>
      <c r="E2635" t="s">
        <v>6338</v>
      </c>
      <c r="F2635" t="s">
        <v>6338</v>
      </c>
      <c r="G2635" t="s">
        <v>6696</v>
      </c>
      <c r="H2635" t="s">
        <v>1564</v>
      </c>
      <c r="I2635">
        <v>1</v>
      </c>
      <c r="J2635">
        <v>4</v>
      </c>
      <c r="K2635" s="33">
        <v>2</v>
      </c>
      <c r="L2635">
        <v>999</v>
      </c>
      <c r="M2635">
        <v>0</v>
      </c>
      <c r="N2635">
        <v>1017</v>
      </c>
      <c r="O2635" s="249">
        <v>50159</v>
      </c>
      <c r="S2635" s="33">
        <v>1</v>
      </c>
      <c r="T2635">
        <v>5</v>
      </c>
      <c r="U2635">
        <v>10</v>
      </c>
      <c r="V2635" s="33">
        <v>1</v>
      </c>
      <c r="W2635">
        <v>1</v>
      </c>
      <c r="X2635" s="236">
        <v>1</v>
      </c>
      <c r="Y2635">
        <v>0</v>
      </c>
      <c r="Z2635" s="33">
        <v>0</v>
      </c>
      <c r="AA2635">
        <v>5</v>
      </c>
      <c r="AB2635">
        <v>100</v>
      </c>
      <c r="AC2635">
        <v>56</v>
      </c>
      <c r="AD2635" s="62">
        <v>0</v>
      </c>
      <c r="AE2635" s="62">
        <v>4</v>
      </c>
      <c r="AF2635" s="62">
        <v>2</v>
      </c>
      <c r="AS2635">
        <v>1</v>
      </c>
    </row>
    <row r="2636" spans="1:45">
      <c r="A2636">
        <v>617011</v>
      </c>
      <c r="B2636">
        <v>1001</v>
      </c>
      <c r="C2636">
        <v>6</v>
      </c>
      <c r="D2636">
        <v>1001</v>
      </c>
      <c r="E2636" t="s">
        <v>6445</v>
      </c>
      <c r="F2636" t="s">
        <v>6445</v>
      </c>
      <c r="G2636" s="3" t="s">
        <v>6697</v>
      </c>
      <c r="H2636" t="s">
        <v>1583</v>
      </c>
      <c r="I2636">
        <v>1</v>
      </c>
      <c r="J2636">
        <v>4</v>
      </c>
      <c r="K2636" s="33">
        <v>2</v>
      </c>
      <c r="L2636">
        <v>999</v>
      </c>
      <c r="M2636">
        <v>0</v>
      </c>
      <c r="N2636">
        <v>1018</v>
      </c>
      <c r="O2636" s="2" t="s">
        <v>6698</v>
      </c>
      <c r="S2636" s="33">
        <v>1</v>
      </c>
      <c r="T2636">
        <v>5</v>
      </c>
      <c r="U2636">
        <v>200</v>
      </c>
      <c r="V2636" s="33">
        <v>1</v>
      </c>
      <c r="W2636">
        <v>1</v>
      </c>
      <c r="X2636">
        <v>1</v>
      </c>
      <c r="Y2636">
        <v>0</v>
      </c>
      <c r="Z2636" s="33">
        <v>0</v>
      </c>
      <c r="AA2636">
        <v>5</v>
      </c>
      <c r="AB2636">
        <f>U2635*10</f>
        <v>100</v>
      </c>
      <c r="AC2636">
        <v>56</v>
      </c>
      <c r="AD2636" s="62">
        <v>0</v>
      </c>
      <c r="AE2636" s="62">
        <v>5</v>
      </c>
      <c r="AF2636" s="62">
        <v>2</v>
      </c>
      <c r="AL2636" s="64">
        <v>1</v>
      </c>
      <c r="AS2636">
        <v>1</v>
      </c>
    </row>
    <row r="2637" spans="1:45">
      <c r="A2637">
        <v>617012</v>
      </c>
      <c r="B2637">
        <v>1001</v>
      </c>
      <c r="C2637">
        <v>6</v>
      </c>
      <c r="D2637">
        <v>1001</v>
      </c>
      <c r="E2637" t="s">
        <v>6447</v>
      </c>
      <c r="F2637" t="s">
        <v>6447</v>
      </c>
      <c r="G2637" s="3" t="s">
        <v>6699</v>
      </c>
      <c r="H2637" t="s">
        <v>1585</v>
      </c>
      <c r="I2637">
        <v>1</v>
      </c>
      <c r="J2637">
        <v>5</v>
      </c>
      <c r="K2637" s="33">
        <v>2</v>
      </c>
      <c r="L2637">
        <v>999</v>
      </c>
      <c r="M2637">
        <v>0</v>
      </c>
      <c r="N2637">
        <v>1018</v>
      </c>
      <c r="O2637" s="2" t="s">
        <v>6700</v>
      </c>
      <c r="R2637" s="33"/>
      <c r="S2637" s="33">
        <v>1</v>
      </c>
      <c r="T2637">
        <v>5</v>
      </c>
      <c r="U2637">
        <v>400</v>
      </c>
      <c r="V2637" s="33">
        <v>1</v>
      </c>
      <c r="W2637">
        <v>1</v>
      </c>
      <c r="X2637">
        <v>1</v>
      </c>
      <c r="Y2637">
        <v>0</v>
      </c>
      <c r="Z2637" s="33">
        <v>0</v>
      </c>
      <c r="AA2637">
        <v>5</v>
      </c>
      <c r="AB2637">
        <f>U2636*10</f>
        <v>2000</v>
      </c>
      <c r="AC2637">
        <v>56</v>
      </c>
      <c r="AD2637" s="62">
        <v>0</v>
      </c>
      <c r="AE2637" s="62">
        <v>5</v>
      </c>
      <c r="AF2637" s="62">
        <v>2</v>
      </c>
      <c r="AL2637" s="64">
        <v>1</v>
      </c>
      <c r="AS2637">
        <v>1</v>
      </c>
    </row>
    <row r="2638" spans="1:45">
      <c r="A2638">
        <v>617013</v>
      </c>
      <c r="B2638">
        <v>1001</v>
      </c>
      <c r="C2638">
        <v>6</v>
      </c>
      <c r="D2638">
        <v>1001</v>
      </c>
      <c r="E2638" t="s">
        <v>6701</v>
      </c>
      <c r="F2638" t="s">
        <v>6701</v>
      </c>
      <c r="G2638" s="3" t="s">
        <v>6702</v>
      </c>
      <c r="H2638" t="s">
        <v>1822</v>
      </c>
      <c r="I2638">
        <v>1</v>
      </c>
      <c r="J2638">
        <v>5</v>
      </c>
      <c r="K2638" s="33">
        <v>2</v>
      </c>
      <c r="L2638">
        <v>999</v>
      </c>
      <c r="M2638">
        <v>0</v>
      </c>
      <c r="N2638">
        <v>1018</v>
      </c>
      <c r="O2638" s="2" t="s">
        <v>6703</v>
      </c>
      <c r="R2638" s="33"/>
      <c r="S2638" s="33">
        <v>1</v>
      </c>
      <c r="T2638">
        <v>5</v>
      </c>
      <c r="U2638">
        <v>1000</v>
      </c>
      <c r="V2638" s="33">
        <v>1</v>
      </c>
      <c r="W2638">
        <v>1</v>
      </c>
      <c r="X2638">
        <v>1</v>
      </c>
      <c r="Y2638">
        <v>0</v>
      </c>
      <c r="Z2638" s="33">
        <v>0</v>
      </c>
      <c r="AA2638">
        <v>5</v>
      </c>
      <c r="AB2638">
        <v>10000</v>
      </c>
      <c r="AC2638">
        <v>56</v>
      </c>
      <c r="AD2638" s="62">
        <v>0</v>
      </c>
      <c r="AE2638" s="62">
        <v>5</v>
      </c>
      <c r="AF2638" s="62">
        <v>2</v>
      </c>
      <c r="AL2638" s="64">
        <v>1</v>
      </c>
      <c r="AS2638">
        <v>1</v>
      </c>
    </row>
    <row r="2639" spans="1:45">
      <c r="A2639">
        <v>617014</v>
      </c>
      <c r="B2639">
        <v>1001</v>
      </c>
      <c r="C2639">
        <v>6</v>
      </c>
      <c r="D2639">
        <v>1001</v>
      </c>
      <c r="E2639" t="s">
        <v>6704</v>
      </c>
      <c r="F2639" t="s">
        <v>6704</v>
      </c>
      <c r="G2639" s="3" t="s">
        <v>6705</v>
      </c>
      <c r="H2639" t="s">
        <v>204</v>
      </c>
      <c r="I2639">
        <v>1</v>
      </c>
      <c r="J2639">
        <v>5</v>
      </c>
      <c r="K2639" s="33">
        <v>2</v>
      </c>
      <c r="L2639">
        <v>999</v>
      </c>
      <c r="M2639">
        <v>0</v>
      </c>
      <c r="N2639">
        <v>1017</v>
      </c>
      <c r="O2639" s="2">
        <v>52107</v>
      </c>
      <c r="R2639" s="33"/>
      <c r="S2639" s="33">
        <v>0</v>
      </c>
      <c r="T2639">
        <v>5</v>
      </c>
      <c r="U2639">
        <v>1000</v>
      </c>
      <c r="V2639" s="33">
        <v>1</v>
      </c>
      <c r="W2639">
        <v>1</v>
      </c>
      <c r="X2639">
        <v>1</v>
      </c>
      <c r="Y2639">
        <v>0</v>
      </c>
      <c r="Z2639" s="33">
        <v>0</v>
      </c>
      <c r="AA2639">
        <v>5</v>
      </c>
      <c r="AB2639">
        <v>10000</v>
      </c>
      <c r="AC2639">
        <v>56</v>
      </c>
      <c r="AD2639" s="62">
        <v>0</v>
      </c>
      <c r="AE2639" s="62">
        <v>1</v>
      </c>
      <c r="AF2639" s="62">
        <v>2</v>
      </c>
      <c r="AL2639" s="64">
        <v>1</v>
      </c>
      <c r="AS2639">
        <v>1</v>
      </c>
    </row>
    <row r="2640" spans="1:45">
      <c r="A2640">
        <v>617015</v>
      </c>
      <c r="B2640">
        <v>1001</v>
      </c>
      <c r="C2640">
        <v>6</v>
      </c>
      <c r="D2640">
        <v>1001</v>
      </c>
      <c r="E2640" t="s">
        <v>6706</v>
      </c>
      <c r="F2640" t="s">
        <v>202</v>
      </c>
      <c r="G2640" s="3" t="s">
        <v>6707</v>
      </c>
      <c r="H2640" t="s">
        <v>204</v>
      </c>
      <c r="I2640">
        <v>1</v>
      </c>
      <c r="J2640">
        <v>5</v>
      </c>
      <c r="K2640" s="33">
        <v>2</v>
      </c>
      <c r="L2640">
        <v>999</v>
      </c>
      <c r="M2640">
        <v>0</v>
      </c>
      <c r="N2640">
        <v>1018</v>
      </c>
      <c r="O2640" s="2" t="s">
        <v>6708</v>
      </c>
      <c r="R2640" s="33"/>
      <c r="S2640" s="33">
        <v>0</v>
      </c>
      <c r="T2640">
        <v>5</v>
      </c>
      <c r="U2640">
        <v>1000</v>
      </c>
      <c r="V2640" s="33">
        <v>1</v>
      </c>
      <c r="W2640">
        <v>1</v>
      </c>
      <c r="X2640">
        <v>1</v>
      </c>
      <c r="Y2640">
        <v>0</v>
      </c>
      <c r="Z2640" s="33">
        <v>0</v>
      </c>
      <c r="AA2640">
        <v>5</v>
      </c>
      <c r="AB2640">
        <v>10000</v>
      </c>
      <c r="AC2640">
        <v>56</v>
      </c>
      <c r="AD2640" s="62">
        <v>0</v>
      </c>
      <c r="AE2640" s="62">
        <v>5</v>
      </c>
      <c r="AF2640" s="62">
        <v>2</v>
      </c>
      <c r="AL2640" s="64">
        <v>1</v>
      </c>
      <c r="AS2640">
        <v>1</v>
      </c>
    </row>
    <row r="2641" spans="1:45">
      <c r="A2641">
        <v>617016</v>
      </c>
      <c r="B2641">
        <v>1001</v>
      </c>
      <c r="C2641">
        <v>6</v>
      </c>
      <c r="D2641">
        <v>1001</v>
      </c>
      <c r="E2641" t="s">
        <v>6709</v>
      </c>
      <c r="F2641" t="s">
        <v>6710</v>
      </c>
      <c r="G2641" s="3" t="s">
        <v>6711</v>
      </c>
      <c r="H2641" t="s">
        <v>204</v>
      </c>
      <c r="I2641">
        <v>1</v>
      </c>
      <c r="J2641">
        <v>5</v>
      </c>
      <c r="K2641" s="33">
        <v>2</v>
      </c>
      <c r="L2641">
        <v>999</v>
      </c>
      <c r="M2641">
        <v>0</v>
      </c>
      <c r="N2641">
        <v>1018</v>
      </c>
      <c r="O2641" s="2" t="s">
        <v>6712</v>
      </c>
      <c r="R2641" s="33"/>
      <c r="S2641" s="33">
        <v>0</v>
      </c>
      <c r="T2641">
        <v>5</v>
      </c>
      <c r="U2641">
        <v>1000</v>
      </c>
      <c r="V2641" s="33">
        <v>1</v>
      </c>
      <c r="W2641">
        <v>1</v>
      </c>
      <c r="X2641">
        <v>1</v>
      </c>
      <c r="Y2641">
        <v>0</v>
      </c>
      <c r="Z2641" s="33">
        <v>0</v>
      </c>
      <c r="AA2641">
        <v>5</v>
      </c>
      <c r="AB2641">
        <v>10000</v>
      </c>
      <c r="AC2641">
        <v>56</v>
      </c>
      <c r="AD2641" s="62">
        <v>0</v>
      </c>
      <c r="AE2641" s="62">
        <v>5</v>
      </c>
      <c r="AF2641" s="62">
        <v>2</v>
      </c>
      <c r="AL2641" s="64">
        <v>1</v>
      </c>
      <c r="AM2641" s="64">
        <v>80</v>
      </c>
      <c r="AS2641">
        <v>1</v>
      </c>
    </row>
    <row r="2642" spans="1:45">
      <c r="A2642">
        <v>617017</v>
      </c>
      <c r="B2642">
        <v>1001</v>
      </c>
      <c r="C2642">
        <v>6</v>
      </c>
      <c r="D2642">
        <v>1001</v>
      </c>
      <c r="E2642" t="s">
        <v>6713</v>
      </c>
      <c r="F2642" t="s">
        <v>6713</v>
      </c>
      <c r="G2642" s="3" t="s">
        <v>6714</v>
      </c>
      <c r="H2642" t="s">
        <v>1431</v>
      </c>
      <c r="I2642">
        <v>1</v>
      </c>
      <c r="J2642">
        <v>5</v>
      </c>
      <c r="K2642" s="33">
        <v>2</v>
      </c>
      <c r="L2642">
        <v>999</v>
      </c>
      <c r="M2642">
        <v>0</v>
      </c>
      <c r="N2642">
        <v>1017</v>
      </c>
      <c r="O2642" s="2">
        <v>52108</v>
      </c>
      <c r="R2642" s="33"/>
      <c r="S2642" s="33">
        <v>0</v>
      </c>
      <c r="T2642">
        <v>5</v>
      </c>
      <c r="U2642">
        <v>1000</v>
      </c>
      <c r="V2642" s="33">
        <v>1</v>
      </c>
      <c r="W2642">
        <v>1</v>
      </c>
      <c r="X2642">
        <v>1</v>
      </c>
      <c r="Y2642">
        <v>0</v>
      </c>
      <c r="Z2642" s="33">
        <v>0</v>
      </c>
      <c r="AA2642">
        <v>5</v>
      </c>
      <c r="AB2642">
        <v>10000</v>
      </c>
      <c r="AC2642">
        <v>56</v>
      </c>
      <c r="AD2642" s="62">
        <v>0</v>
      </c>
      <c r="AE2642" s="62">
        <v>1</v>
      </c>
      <c r="AF2642" s="62">
        <v>2</v>
      </c>
      <c r="AL2642" s="64">
        <v>1</v>
      </c>
      <c r="AM2642" s="64">
        <v>80</v>
      </c>
      <c r="AS2642">
        <v>1</v>
      </c>
    </row>
    <row r="2643" spans="1:45">
      <c r="A2643">
        <v>617018</v>
      </c>
      <c r="B2643">
        <v>1001</v>
      </c>
      <c r="C2643">
        <v>6</v>
      </c>
      <c r="D2643">
        <v>1001</v>
      </c>
      <c r="E2643" t="s">
        <v>6715</v>
      </c>
      <c r="F2643" t="s">
        <v>6715</v>
      </c>
      <c r="G2643" s="3" t="s">
        <v>6716</v>
      </c>
      <c r="H2643" t="s">
        <v>1431</v>
      </c>
      <c r="I2643">
        <v>1</v>
      </c>
      <c r="J2643">
        <v>5</v>
      </c>
      <c r="K2643" s="33">
        <v>2</v>
      </c>
      <c r="L2643">
        <v>999</v>
      </c>
      <c r="M2643">
        <v>0</v>
      </c>
      <c r="N2643">
        <v>1017</v>
      </c>
      <c r="O2643" s="2">
        <v>52109</v>
      </c>
      <c r="R2643" s="33"/>
      <c r="S2643" s="33">
        <v>0</v>
      </c>
      <c r="T2643">
        <v>5</v>
      </c>
      <c r="U2643">
        <v>1000</v>
      </c>
      <c r="V2643" s="33">
        <v>1</v>
      </c>
      <c r="W2643">
        <v>1</v>
      </c>
      <c r="X2643">
        <v>1</v>
      </c>
      <c r="Y2643">
        <v>0</v>
      </c>
      <c r="Z2643" s="33">
        <v>0</v>
      </c>
      <c r="AA2643">
        <v>5</v>
      </c>
      <c r="AB2643">
        <v>10000</v>
      </c>
      <c r="AC2643">
        <v>56</v>
      </c>
      <c r="AD2643" s="62">
        <v>0</v>
      </c>
      <c r="AE2643" s="62">
        <v>1</v>
      </c>
      <c r="AF2643" s="62">
        <v>2</v>
      </c>
      <c r="AL2643" s="64">
        <v>1</v>
      </c>
      <c r="AM2643" s="64">
        <v>80</v>
      </c>
      <c r="AS2643">
        <v>1</v>
      </c>
    </row>
    <row r="2644" spans="1:45">
      <c r="A2644">
        <v>617019</v>
      </c>
      <c r="B2644">
        <v>1001</v>
      </c>
      <c r="C2644">
        <v>6</v>
      </c>
      <c r="D2644">
        <v>1001</v>
      </c>
      <c r="E2644" t="s">
        <v>6717</v>
      </c>
      <c r="F2644" t="s">
        <v>6717</v>
      </c>
      <c r="G2644" s="3" t="s">
        <v>6718</v>
      </c>
      <c r="H2644" t="s">
        <v>1431</v>
      </c>
      <c r="I2644">
        <v>1</v>
      </c>
      <c r="J2644">
        <v>5</v>
      </c>
      <c r="K2644" s="33">
        <v>2</v>
      </c>
      <c r="L2644">
        <v>999</v>
      </c>
      <c r="M2644">
        <v>0</v>
      </c>
      <c r="N2644">
        <v>1017</v>
      </c>
      <c r="O2644" s="2">
        <v>52110</v>
      </c>
      <c r="R2644" s="33"/>
      <c r="S2644" s="33">
        <v>0</v>
      </c>
      <c r="T2644">
        <v>5</v>
      </c>
      <c r="U2644">
        <v>1000</v>
      </c>
      <c r="V2644" s="33">
        <v>1</v>
      </c>
      <c r="W2644">
        <v>1</v>
      </c>
      <c r="X2644">
        <v>1</v>
      </c>
      <c r="Y2644">
        <v>0</v>
      </c>
      <c r="Z2644" s="33">
        <v>0</v>
      </c>
      <c r="AA2644">
        <v>5</v>
      </c>
      <c r="AB2644">
        <v>10000</v>
      </c>
      <c r="AC2644">
        <v>56</v>
      </c>
      <c r="AD2644" s="62">
        <v>0</v>
      </c>
      <c r="AE2644" s="62">
        <v>1</v>
      </c>
      <c r="AF2644" s="62">
        <v>2</v>
      </c>
      <c r="AL2644" s="64">
        <v>1</v>
      </c>
      <c r="AM2644" s="64">
        <v>80</v>
      </c>
      <c r="AS2644">
        <v>1</v>
      </c>
    </row>
    <row r="2645" spans="1:45">
      <c r="A2645">
        <v>617020</v>
      </c>
      <c r="B2645">
        <v>1001</v>
      </c>
      <c r="C2645">
        <v>1</v>
      </c>
      <c r="D2645">
        <v>3</v>
      </c>
      <c r="E2645" t="s">
        <v>6719</v>
      </c>
      <c r="F2645" t="s">
        <v>6719</v>
      </c>
      <c r="G2645" t="s">
        <v>6720</v>
      </c>
      <c r="H2645" t="s">
        <v>6721</v>
      </c>
      <c r="I2645">
        <v>1</v>
      </c>
      <c r="J2645">
        <v>2</v>
      </c>
      <c r="K2645" s="33">
        <v>1</v>
      </c>
      <c r="L2645">
        <v>999</v>
      </c>
      <c r="M2645">
        <v>0</v>
      </c>
      <c r="S2645" s="33">
        <v>0</v>
      </c>
      <c r="T2645">
        <v>5</v>
      </c>
      <c r="U2645">
        <v>0</v>
      </c>
      <c r="V2645" s="33">
        <v>1</v>
      </c>
      <c r="W2645">
        <v>1</v>
      </c>
      <c r="X2645">
        <v>1</v>
      </c>
      <c r="Y2645">
        <v>0</v>
      </c>
      <c r="Z2645" s="33">
        <v>0</v>
      </c>
      <c r="AA2645">
        <v>5</v>
      </c>
      <c r="AB2645">
        <v>0</v>
      </c>
      <c r="AC2645">
        <v>0</v>
      </c>
      <c r="AD2645" s="62">
        <v>0</v>
      </c>
      <c r="AE2645" s="62">
        <v>0</v>
      </c>
      <c r="AF2645" s="62">
        <v>0</v>
      </c>
      <c r="AH2645" s="63">
        <v>1</v>
      </c>
      <c r="AL2645" s="64">
        <v>1</v>
      </c>
      <c r="AS2645">
        <v>1</v>
      </c>
    </row>
    <row r="2646" spans="1:45">
      <c r="A2646">
        <v>617021</v>
      </c>
      <c r="B2646">
        <v>1001</v>
      </c>
      <c r="C2646">
        <v>1</v>
      </c>
      <c r="D2646">
        <v>3</v>
      </c>
      <c r="E2646" t="s">
        <v>6722</v>
      </c>
      <c r="F2646" t="s">
        <v>6722</v>
      </c>
      <c r="G2646" t="s">
        <v>6723</v>
      </c>
      <c r="H2646" t="s">
        <v>6724</v>
      </c>
      <c r="I2646">
        <v>1</v>
      </c>
      <c r="J2646">
        <v>2</v>
      </c>
      <c r="K2646" s="33">
        <v>1</v>
      </c>
      <c r="L2646">
        <v>999</v>
      </c>
      <c r="M2646">
        <v>0</v>
      </c>
      <c r="S2646" s="33">
        <v>0</v>
      </c>
      <c r="T2646">
        <v>5</v>
      </c>
      <c r="U2646">
        <v>0</v>
      </c>
      <c r="V2646" s="33">
        <v>1</v>
      </c>
      <c r="W2646">
        <v>1</v>
      </c>
      <c r="X2646">
        <v>1</v>
      </c>
      <c r="Y2646">
        <v>0</v>
      </c>
      <c r="Z2646" s="33">
        <v>0</v>
      </c>
      <c r="AA2646">
        <v>5</v>
      </c>
      <c r="AB2646">
        <v>0</v>
      </c>
      <c r="AC2646">
        <v>0</v>
      </c>
      <c r="AD2646" s="62">
        <v>0</v>
      </c>
      <c r="AE2646" s="62">
        <v>0</v>
      </c>
      <c r="AF2646" s="62">
        <v>0</v>
      </c>
      <c r="AH2646" s="63">
        <v>1</v>
      </c>
      <c r="AL2646" s="64">
        <v>1</v>
      </c>
      <c r="AS2646">
        <v>1</v>
      </c>
    </row>
    <row r="2647" spans="1:45">
      <c r="A2647">
        <v>617022</v>
      </c>
      <c r="B2647">
        <v>1001</v>
      </c>
      <c r="C2647">
        <v>1</v>
      </c>
      <c r="D2647">
        <v>3</v>
      </c>
      <c r="E2647" t="s">
        <v>6725</v>
      </c>
      <c r="F2647" t="s">
        <v>6725</v>
      </c>
      <c r="G2647" t="s">
        <v>6726</v>
      </c>
      <c r="H2647" t="s">
        <v>418</v>
      </c>
      <c r="I2647">
        <v>1</v>
      </c>
      <c r="J2647">
        <v>2</v>
      </c>
      <c r="K2647" s="33">
        <v>1</v>
      </c>
      <c r="L2647">
        <v>999</v>
      </c>
      <c r="M2647">
        <v>0</v>
      </c>
      <c r="S2647" s="33">
        <v>0</v>
      </c>
      <c r="T2647">
        <v>5</v>
      </c>
      <c r="U2647">
        <v>0</v>
      </c>
      <c r="V2647" s="33">
        <v>1</v>
      </c>
      <c r="W2647">
        <v>1</v>
      </c>
      <c r="X2647">
        <v>1</v>
      </c>
      <c r="Y2647">
        <v>0</v>
      </c>
      <c r="Z2647" s="33">
        <v>0</v>
      </c>
      <c r="AA2647">
        <v>5</v>
      </c>
      <c r="AB2647">
        <v>0</v>
      </c>
      <c r="AC2647">
        <v>0</v>
      </c>
      <c r="AD2647" s="62">
        <v>0</v>
      </c>
      <c r="AE2647" s="62">
        <v>0</v>
      </c>
      <c r="AF2647" s="62">
        <v>0</v>
      </c>
      <c r="AH2647" s="63">
        <v>1</v>
      </c>
      <c r="AL2647" s="64">
        <v>1</v>
      </c>
      <c r="AS2647">
        <v>1</v>
      </c>
    </row>
    <row r="2648" spans="1:45">
      <c r="A2648">
        <v>617023</v>
      </c>
      <c r="B2648">
        <v>1001</v>
      </c>
      <c r="C2648">
        <v>1</v>
      </c>
      <c r="D2648">
        <v>3</v>
      </c>
      <c r="E2648" t="s">
        <v>6727</v>
      </c>
      <c r="F2648" t="s">
        <v>6727</v>
      </c>
      <c r="G2648" t="s">
        <v>6728</v>
      </c>
      <c r="H2648" t="s">
        <v>1585</v>
      </c>
      <c r="I2648">
        <v>1</v>
      </c>
      <c r="J2648">
        <v>2</v>
      </c>
      <c r="K2648" s="33">
        <v>1</v>
      </c>
      <c r="L2648">
        <v>999</v>
      </c>
      <c r="M2648">
        <v>0</v>
      </c>
      <c r="S2648" s="33">
        <v>0</v>
      </c>
      <c r="T2648">
        <v>5</v>
      </c>
      <c r="U2648">
        <v>0</v>
      </c>
      <c r="V2648" s="33">
        <v>1</v>
      </c>
      <c r="W2648">
        <v>1</v>
      </c>
      <c r="X2648">
        <v>1</v>
      </c>
      <c r="Y2648">
        <v>0</v>
      </c>
      <c r="Z2648" s="33">
        <v>0</v>
      </c>
      <c r="AA2648">
        <v>5</v>
      </c>
      <c r="AB2648">
        <v>0</v>
      </c>
      <c r="AC2648">
        <v>0</v>
      </c>
      <c r="AD2648" s="62">
        <v>0</v>
      </c>
      <c r="AE2648" s="62">
        <v>0</v>
      </c>
      <c r="AF2648" s="62">
        <v>0</v>
      </c>
      <c r="AH2648" s="63">
        <v>1</v>
      </c>
      <c r="AL2648" s="64">
        <v>1</v>
      </c>
      <c r="AS2648">
        <v>1</v>
      </c>
    </row>
    <row r="2649" spans="1:45">
      <c r="A2649">
        <v>617024</v>
      </c>
      <c r="B2649">
        <v>1001</v>
      </c>
      <c r="C2649">
        <v>1</v>
      </c>
      <c r="D2649">
        <v>3</v>
      </c>
      <c r="E2649" t="s">
        <v>6729</v>
      </c>
      <c r="F2649" t="s">
        <v>6729</v>
      </c>
      <c r="G2649" t="s">
        <v>6730</v>
      </c>
      <c r="H2649" t="s">
        <v>1585</v>
      </c>
      <c r="I2649">
        <v>1</v>
      </c>
      <c r="J2649">
        <v>2</v>
      </c>
      <c r="K2649" s="33">
        <v>1</v>
      </c>
      <c r="L2649">
        <v>999</v>
      </c>
      <c r="M2649">
        <v>0</v>
      </c>
      <c r="S2649" s="33">
        <v>0</v>
      </c>
      <c r="T2649">
        <v>5</v>
      </c>
      <c r="U2649">
        <v>0</v>
      </c>
      <c r="V2649" s="33">
        <v>1</v>
      </c>
      <c r="W2649">
        <v>1</v>
      </c>
      <c r="X2649">
        <v>1</v>
      </c>
      <c r="Y2649">
        <v>0</v>
      </c>
      <c r="Z2649" s="33">
        <v>0</v>
      </c>
      <c r="AA2649">
        <v>5</v>
      </c>
      <c r="AB2649">
        <v>0</v>
      </c>
      <c r="AC2649">
        <v>0</v>
      </c>
      <c r="AD2649" s="62">
        <v>0</v>
      </c>
      <c r="AE2649" s="62">
        <v>0</v>
      </c>
      <c r="AF2649" s="62">
        <v>0</v>
      </c>
      <c r="AH2649" s="63">
        <v>1</v>
      </c>
      <c r="AL2649" s="64">
        <v>1</v>
      </c>
      <c r="AS2649">
        <v>1</v>
      </c>
    </row>
    <row r="2650" spans="1:45">
      <c r="A2650">
        <v>617025</v>
      </c>
      <c r="B2650">
        <v>1001</v>
      </c>
      <c r="C2650">
        <v>1</v>
      </c>
      <c r="D2650">
        <v>3</v>
      </c>
      <c r="E2650" t="s">
        <v>6731</v>
      </c>
      <c r="F2650" t="s">
        <v>6731</v>
      </c>
      <c r="G2650" t="s">
        <v>6732</v>
      </c>
      <c r="H2650" t="s">
        <v>418</v>
      </c>
      <c r="I2650">
        <v>1</v>
      </c>
      <c r="J2650">
        <v>2</v>
      </c>
      <c r="K2650" s="33">
        <v>1</v>
      </c>
      <c r="L2650">
        <v>999</v>
      </c>
      <c r="M2650">
        <v>0</v>
      </c>
      <c r="S2650" s="33">
        <v>0</v>
      </c>
      <c r="T2650">
        <v>5</v>
      </c>
      <c r="U2650">
        <v>0</v>
      </c>
      <c r="V2650" s="33">
        <v>1</v>
      </c>
      <c r="W2650">
        <v>1</v>
      </c>
      <c r="X2650">
        <v>1</v>
      </c>
      <c r="Y2650">
        <v>0</v>
      </c>
      <c r="Z2650" s="33">
        <v>0</v>
      </c>
      <c r="AA2650">
        <v>5</v>
      </c>
      <c r="AB2650">
        <v>0</v>
      </c>
      <c r="AC2650">
        <v>0</v>
      </c>
      <c r="AD2650" s="62">
        <v>0</v>
      </c>
      <c r="AE2650" s="62">
        <v>0</v>
      </c>
      <c r="AF2650" s="62">
        <v>0</v>
      </c>
      <c r="AH2650" s="63">
        <v>1</v>
      </c>
      <c r="AL2650" s="64">
        <v>1</v>
      </c>
      <c r="AS2650">
        <v>1</v>
      </c>
    </row>
    <row r="2651" spans="1:45">
      <c r="A2651">
        <v>617026</v>
      </c>
      <c r="B2651">
        <v>1001</v>
      </c>
      <c r="C2651">
        <v>1</v>
      </c>
      <c r="D2651">
        <v>3</v>
      </c>
      <c r="E2651" t="s">
        <v>6733</v>
      </c>
      <c r="F2651" t="s">
        <v>6733</v>
      </c>
      <c r="G2651" t="s">
        <v>6734</v>
      </c>
      <c r="H2651" t="s">
        <v>2354</v>
      </c>
      <c r="I2651">
        <v>1</v>
      </c>
      <c r="J2651">
        <v>2</v>
      </c>
      <c r="K2651" s="33">
        <v>1</v>
      </c>
      <c r="L2651">
        <v>999</v>
      </c>
      <c r="M2651">
        <v>0</v>
      </c>
      <c r="S2651" s="33">
        <v>0</v>
      </c>
      <c r="T2651">
        <v>5</v>
      </c>
      <c r="U2651">
        <v>0</v>
      </c>
      <c r="V2651" s="33">
        <v>1</v>
      </c>
      <c r="W2651">
        <v>1</v>
      </c>
      <c r="X2651">
        <v>1</v>
      </c>
      <c r="Y2651">
        <v>0</v>
      </c>
      <c r="Z2651" s="33">
        <v>0</v>
      </c>
      <c r="AA2651">
        <v>5</v>
      </c>
      <c r="AB2651">
        <v>0</v>
      </c>
      <c r="AC2651">
        <v>0</v>
      </c>
      <c r="AD2651" s="62">
        <v>0</v>
      </c>
      <c r="AE2651" s="62">
        <v>0</v>
      </c>
      <c r="AF2651" s="62">
        <v>0</v>
      </c>
      <c r="AH2651" s="63">
        <v>1</v>
      </c>
      <c r="AL2651" s="64">
        <v>1</v>
      </c>
      <c r="AS2651">
        <v>1</v>
      </c>
    </row>
    <row r="2652" spans="1:45">
      <c r="A2652">
        <v>617027</v>
      </c>
      <c r="B2652">
        <v>1001</v>
      </c>
      <c r="C2652">
        <v>1</v>
      </c>
      <c r="D2652">
        <v>3</v>
      </c>
      <c r="E2652" t="s">
        <v>6735</v>
      </c>
      <c r="F2652" t="s">
        <v>6735</v>
      </c>
      <c r="G2652" t="s">
        <v>6736</v>
      </c>
      <c r="H2652" t="s">
        <v>6220</v>
      </c>
      <c r="I2652">
        <v>1</v>
      </c>
      <c r="J2652">
        <v>2</v>
      </c>
      <c r="K2652" s="33">
        <v>1</v>
      </c>
      <c r="L2652">
        <v>999</v>
      </c>
      <c r="M2652">
        <v>0</v>
      </c>
      <c r="S2652" s="33">
        <v>0</v>
      </c>
      <c r="T2652">
        <v>5</v>
      </c>
      <c r="U2652">
        <v>0</v>
      </c>
      <c r="V2652" s="33">
        <v>1</v>
      </c>
      <c r="W2652">
        <v>1</v>
      </c>
      <c r="X2652">
        <v>1</v>
      </c>
      <c r="Y2652">
        <v>0</v>
      </c>
      <c r="Z2652" s="33">
        <v>0</v>
      </c>
      <c r="AA2652">
        <v>5</v>
      </c>
      <c r="AB2652">
        <v>0</v>
      </c>
      <c r="AC2652">
        <v>0</v>
      </c>
      <c r="AD2652" s="62">
        <v>0</v>
      </c>
      <c r="AE2652" s="62">
        <v>0</v>
      </c>
      <c r="AF2652" s="62">
        <v>0</v>
      </c>
      <c r="AH2652" s="63">
        <v>1</v>
      </c>
      <c r="AL2652" s="64">
        <v>1</v>
      </c>
      <c r="AS2652">
        <v>1</v>
      </c>
    </row>
    <row r="2653" spans="1:45">
      <c r="A2653">
        <v>617028</v>
      </c>
      <c r="B2653">
        <v>1001</v>
      </c>
      <c r="C2653">
        <v>1</v>
      </c>
      <c r="D2653">
        <v>3</v>
      </c>
      <c r="E2653" t="s">
        <v>6737</v>
      </c>
      <c r="F2653" t="s">
        <v>6737</v>
      </c>
      <c r="G2653" t="s">
        <v>6738</v>
      </c>
      <c r="H2653" t="s">
        <v>1585</v>
      </c>
      <c r="I2653">
        <v>1</v>
      </c>
      <c r="J2653">
        <v>2</v>
      </c>
      <c r="K2653" s="33">
        <v>1</v>
      </c>
      <c r="L2653">
        <v>999</v>
      </c>
      <c r="M2653">
        <v>0</v>
      </c>
      <c r="S2653" s="33">
        <v>0</v>
      </c>
      <c r="T2653">
        <v>5</v>
      </c>
      <c r="U2653">
        <v>0</v>
      </c>
      <c r="V2653" s="33">
        <v>1</v>
      </c>
      <c r="W2653">
        <v>1</v>
      </c>
      <c r="X2653">
        <v>1</v>
      </c>
      <c r="Y2653">
        <v>0</v>
      </c>
      <c r="Z2653" s="33">
        <v>0</v>
      </c>
      <c r="AA2653">
        <v>5</v>
      </c>
      <c r="AB2653">
        <v>0</v>
      </c>
      <c r="AC2653">
        <v>0</v>
      </c>
      <c r="AD2653" s="62">
        <v>0</v>
      </c>
      <c r="AE2653" s="62">
        <v>0</v>
      </c>
      <c r="AF2653" s="62">
        <v>0</v>
      </c>
      <c r="AH2653" s="63">
        <v>1</v>
      </c>
      <c r="AL2653" s="64">
        <v>1</v>
      </c>
      <c r="AS2653">
        <v>1</v>
      </c>
    </row>
    <row r="2654" spans="1:45">
      <c r="A2654">
        <v>617029</v>
      </c>
      <c r="B2654">
        <v>1001</v>
      </c>
      <c r="C2654">
        <v>1</v>
      </c>
      <c r="D2654">
        <v>3</v>
      </c>
      <c r="E2654" t="s">
        <v>6739</v>
      </c>
      <c r="F2654" t="s">
        <v>6739</v>
      </c>
      <c r="G2654" t="s">
        <v>6740</v>
      </c>
      <c r="H2654" t="s">
        <v>1585</v>
      </c>
      <c r="I2654">
        <v>1</v>
      </c>
      <c r="J2654">
        <v>2</v>
      </c>
      <c r="K2654" s="33">
        <v>1</v>
      </c>
      <c r="L2654">
        <v>999</v>
      </c>
      <c r="M2654">
        <v>0</v>
      </c>
      <c r="S2654" s="33">
        <v>0</v>
      </c>
      <c r="T2654">
        <v>5</v>
      </c>
      <c r="U2654">
        <v>0</v>
      </c>
      <c r="V2654" s="33">
        <v>1</v>
      </c>
      <c r="W2654">
        <v>1</v>
      </c>
      <c r="X2654">
        <v>1</v>
      </c>
      <c r="Y2654">
        <v>0</v>
      </c>
      <c r="Z2654" s="33">
        <v>0</v>
      </c>
      <c r="AA2654">
        <v>5</v>
      </c>
      <c r="AB2654">
        <v>0</v>
      </c>
      <c r="AC2654">
        <v>0</v>
      </c>
      <c r="AD2654" s="62">
        <v>0</v>
      </c>
      <c r="AE2654" s="62">
        <v>0</v>
      </c>
      <c r="AF2654" s="62">
        <v>0</v>
      </c>
      <c r="AH2654" s="63">
        <v>1</v>
      </c>
      <c r="AL2654" s="64">
        <v>1</v>
      </c>
      <c r="AS2654">
        <v>1</v>
      </c>
    </row>
    <row r="2655" spans="1:45">
      <c r="A2655">
        <v>617030</v>
      </c>
      <c r="B2655">
        <v>1001</v>
      </c>
      <c r="C2655">
        <v>1</v>
      </c>
      <c r="D2655">
        <v>3</v>
      </c>
      <c r="E2655" t="s">
        <v>6741</v>
      </c>
      <c r="F2655" t="s">
        <v>6741</v>
      </c>
      <c r="G2655" t="s">
        <v>6742</v>
      </c>
      <c r="H2655" t="s">
        <v>6743</v>
      </c>
      <c r="I2655">
        <v>1</v>
      </c>
      <c r="J2655">
        <v>2</v>
      </c>
      <c r="K2655" s="33">
        <v>1</v>
      </c>
      <c r="L2655">
        <v>999</v>
      </c>
      <c r="M2655">
        <v>0</v>
      </c>
      <c r="S2655" s="33">
        <v>0</v>
      </c>
      <c r="T2655">
        <v>5</v>
      </c>
      <c r="U2655">
        <v>0</v>
      </c>
      <c r="V2655" s="33">
        <v>1</v>
      </c>
      <c r="W2655">
        <v>1</v>
      </c>
      <c r="X2655">
        <v>1</v>
      </c>
      <c r="Y2655">
        <v>0</v>
      </c>
      <c r="Z2655" s="33">
        <v>0</v>
      </c>
      <c r="AA2655">
        <v>5</v>
      </c>
      <c r="AB2655">
        <v>0</v>
      </c>
      <c r="AC2655">
        <v>0</v>
      </c>
      <c r="AD2655" s="62">
        <v>0</v>
      </c>
      <c r="AE2655" s="62">
        <v>0</v>
      </c>
      <c r="AF2655" s="62">
        <v>0</v>
      </c>
      <c r="AH2655" s="63">
        <v>1</v>
      </c>
      <c r="AL2655" s="64">
        <v>1</v>
      </c>
      <c r="AS2655">
        <v>1</v>
      </c>
    </row>
    <row r="2656" spans="1:45">
      <c r="A2656">
        <v>617031</v>
      </c>
      <c r="B2656">
        <v>1001</v>
      </c>
      <c r="C2656">
        <v>1</v>
      </c>
      <c r="D2656">
        <v>3</v>
      </c>
      <c r="E2656" t="s">
        <v>6744</v>
      </c>
      <c r="F2656" t="s">
        <v>6744</v>
      </c>
      <c r="G2656" t="s">
        <v>6745</v>
      </c>
      <c r="H2656" t="s">
        <v>1585</v>
      </c>
      <c r="I2656">
        <v>1</v>
      </c>
      <c r="J2656">
        <v>2</v>
      </c>
      <c r="K2656" s="33">
        <v>1</v>
      </c>
      <c r="L2656">
        <v>999</v>
      </c>
      <c r="M2656">
        <v>0</v>
      </c>
      <c r="S2656" s="33">
        <v>0</v>
      </c>
      <c r="T2656">
        <v>5</v>
      </c>
      <c r="U2656">
        <v>0</v>
      </c>
      <c r="V2656" s="33">
        <v>1</v>
      </c>
      <c r="W2656">
        <v>1</v>
      </c>
      <c r="X2656">
        <v>1</v>
      </c>
      <c r="Y2656">
        <v>0</v>
      </c>
      <c r="Z2656" s="33">
        <v>0</v>
      </c>
      <c r="AA2656">
        <v>5</v>
      </c>
      <c r="AB2656">
        <v>0</v>
      </c>
      <c r="AC2656">
        <v>0</v>
      </c>
      <c r="AD2656" s="62">
        <v>0</v>
      </c>
      <c r="AE2656" s="62">
        <v>0</v>
      </c>
      <c r="AF2656" s="62">
        <v>0</v>
      </c>
      <c r="AH2656" s="63">
        <v>1</v>
      </c>
      <c r="AL2656" s="64">
        <v>1</v>
      </c>
      <c r="AS2656">
        <v>1</v>
      </c>
    </row>
    <row r="2657" spans="1:45">
      <c r="A2657">
        <v>617032</v>
      </c>
      <c r="B2657">
        <v>1001</v>
      </c>
      <c r="C2657">
        <v>1</v>
      </c>
      <c r="D2657">
        <v>3</v>
      </c>
      <c r="E2657" t="s">
        <v>6746</v>
      </c>
      <c r="F2657" t="s">
        <v>6746</v>
      </c>
      <c r="G2657" t="s">
        <v>6747</v>
      </c>
      <c r="H2657" t="s">
        <v>6748</v>
      </c>
      <c r="I2657">
        <v>1</v>
      </c>
      <c r="J2657">
        <v>2</v>
      </c>
      <c r="K2657" s="33">
        <v>1</v>
      </c>
      <c r="L2657">
        <v>999</v>
      </c>
      <c r="M2657">
        <v>0</v>
      </c>
      <c r="S2657" s="33">
        <v>0</v>
      </c>
      <c r="T2657">
        <v>5</v>
      </c>
      <c r="U2657">
        <v>0</v>
      </c>
      <c r="V2657" s="33">
        <v>1</v>
      </c>
      <c r="W2657">
        <v>1</v>
      </c>
      <c r="X2657">
        <v>1</v>
      </c>
      <c r="Y2657">
        <v>0</v>
      </c>
      <c r="Z2657" s="33">
        <v>0</v>
      </c>
      <c r="AA2657">
        <v>5</v>
      </c>
      <c r="AB2657">
        <v>0</v>
      </c>
      <c r="AC2657">
        <v>0</v>
      </c>
      <c r="AD2657" s="62">
        <v>0</v>
      </c>
      <c r="AE2657" s="62">
        <v>0</v>
      </c>
      <c r="AF2657" s="62">
        <v>0</v>
      </c>
      <c r="AH2657" s="63">
        <v>1</v>
      </c>
      <c r="AL2657" s="64">
        <v>1</v>
      </c>
      <c r="AS2657">
        <v>1</v>
      </c>
    </row>
    <row r="2658" spans="1:45">
      <c r="A2658">
        <v>617033</v>
      </c>
      <c r="B2658">
        <v>1001</v>
      </c>
      <c r="C2658">
        <v>1</v>
      </c>
      <c r="D2658">
        <v>3</v>
      </c>
      <c r="E2658" t="s">
        <v>6749</v>
      </c>
      <c r="F2658" t="s">
        <v>6749</v>
      </c>
      <c r="G2658" t="s">
        <v>6750</v>
      </c>
      <c r="H2658" t="s">
        <v>2994</v>
      </c>
      <c r="I2658">
        <v>1</v>
      </c>
      <c r="J2658">
        <v>2</v>
      </c>
      <c r="K2658" s="33">
        <v>1</v>
      </c>
      <c r="L2658">
        <v>999</v>
      </c>
      <c r="M2658">
        <v>0</v>
      </c>
      <c r="S2658" s="33">
        <v>0</v>
      </c>
      <c r="T2658">
        <v>5</v>
      </c>
      <c r="U2658">
        <v>0</v>
      </c>
      <c r="V2658" s="33">
        <v>1</v>
      </c>
      <c r="W2658">
        <v>1</v>
      </c>
      <c r="X2658">
        <v>1</v>
      </c>
      <c r="Y2658">
        <v>0</v>
      </c>
      <c r="Z2658" s="33">
        <v>0</v>
      </c>
      <c r="AA2658">
        <v>5</v>
      </c>
      <c r="AB2658">
        <v>0</v>
      </c>
      <c r="AC2658">
        <v>0</v>
      </c>
      <c r="AD2658" s="445">
        <v>0</v>
      </c>
      <c r="AE2658" s="62">
        <v>0</v>
      </c>
      <c r="AF2658" s="62">
        <v>0</v>
      </c>
      <c r="AH2658" s="63">
        <v>1</v>
      </c>
      <c r="AL2658" s="64">
        <v>1</v>
      </c>
      <c r="AS2658">
        <v>1</v>
      </c>
    </row>
    <row r="2659" spans="1:45">
      <c r="A2659">
        <v>617034</v>
      </c>
      <c r="B2659">
        <v>1001</v>
      </c>
      <c r="C2659">
        <v>1</v>
      </c>
      <c r="D2659">
        <v>3</v>
      </c>
      <c r="E2659" t="s">
        <v>6751</v>
      </c>
      <c r="F2659" t="s">
        <v>6751</v>
      </c>
      <c r="G2659" t="s">
        <v>6752</v>
      </c>
      <c r="H2659" t="s">
        <v>290</v>
      </c>
      <c r="I2659">
        <v>1</v>
      </c>
      <c r="J2659">
        <v>2</v>
      </c>
      <c r="K2659" s="33">
        <v>1</v>
      </c>
      <c r="L2659">
        <v>999</v>
      </c>
      <c r="M2659">
        <v>0</v>
      </c>
      <c r="N2659"/>
      <c r="R2659" s="33"/>
      <c r="S2659" s="33">
        <v>0</v>
      </c>
      <c r="T2659">
        <v>5</v>
      </c>
      <c r="U2659">
        <v>0</v>
      </c>
      <c r="V2659" s="33">
        <v>1</v>
      </c>
      <c r="W2659">
        <v>1</v>
      </c>
      <c r="X2659">
        <v>1</v>
      </c>
      <c r="Y2659">
        <v>0</v>
      </c>
      <c r="Z2659" s="33">
        <v>0</v>
      </c>
      <c r="AA2659">
        <v>5</v>
      </c>
      <c r="AB2659">
        <v>0</v>
      </c>
      <c r="AC2659">
        <v>0</v>
      </c>
      <c r="AD2659" s="445">
        <v>0</v>
      </c>
      <c r="AE2659" s="62">
        <v>0</v>
      </c>
      <c r="AF2659" s="62">
        <v>0</v>
      </c>
      <c r="AH2659" s="63">
        <v>1</v>
      </c>
      <c r="AL2659" s="64">
        <v>1</v>
      </c>
      <c r="AS2659">
        <v>1</v>
      </c>
    </row>
    <row r="2660" ht="14.25" customHeight="1" spans="1:45">
      <c r="A2660">
        <v>617035</v>
      </c>
      <c r="B2660" s="238">
        <v>1001</v>
      </c>
      <c r="C2660" s="238">
        <v>6</v>
      </c>
      <c r="D2660" s="339">
        <v>1001</v>
      </c>
      <c r="E2660" t="s">
        <v>6753</v>
      </c>
      <c r="F2660" t="s">
        <v>6754</v>
      </c>
      <c r="G2660" s="3" t="s">
        <v>6755</v>
      </c>
      <c r="H2660" t="s">
        <v>1822</v>
      </c>
      <c r="I2660">
        <v>1</v>
      </c>
      <c r="J2660">
        <v>5</v>
      </c>
      <c r="K2660" s="254">
        <v>2</v>
      </c>
      <c r="L2660" s="238">
        <v>999</v>
      </c>
      <c r="M2660" s="238">
        <v>0</v>
      </c>
      <c r="N2660" s="238">
        <v>1018</v>
      </c>
      <c r="O2660" s="2" t="s">
        <v>6756</v>
      </c>
      <c r="R2660" s="254"/>
      <c r="S2660" s="254">
        <v>1</v>
      </c>
      <c r="T2660" s="238">
        <v>5</v>
      </c>
      <c r="U2660" s="238">
        <v>1000</v>
      </c>
      <c r="V2660" s="254">
        <v>1</v>
      </c>
      <c r="W2660">
        <v>1</v>
      </c>
      <c r="X2660" s="238">
        <v>1</v>
      </c>
      <c r="Y2660">
        <v>0</v>
      </c>
      <c r="Z2660" s="33">
        <v>0</v>
      </c>
      <c r="AA2660">
        <v>5</v>
      </c>
      <c r="AB2660">
        <v>10000</v>
      </c>
      <c r="AC2660" s="238">
        <v>56</v>
      </c>
      <c r="AD2660" s="445">
        <v>0</v>
      </c>
      <c r="AE2660" s="255">
        <v>5</v>
      </c>
      <c r="AF2660" s="255">
        <v>2</v>
      </c>
      <c r="AG2660" s="92"/>
      <c r="AH2660" s="92"/>
      <c r="AI2660" s="91"/>
      <c r="AJ2660" s="92"/>
      <c r="AK2660" s="92"/>
      <c r="AL2660" s="256">
        <v>1</v>
      </c>
      <c r="AM2660" s="92"/>
      <c r="AN2660" s="93"/>
      <c r="AO2660" s="92"/>
      <c r="AP2660" s="86"/>
      <c r="AS2660">
        <v>1</v>
      </c>
    </row>
    <row r="2661" ht="14.25" customHeight="1" spans="1:45">
      <c r="A2661">
        <v>617036</v>
      </c>
      <c r="B2661" s="8">
        <v>1001</v>
      </c>
      <c r="C2661" s="8">
        <v>6</v>
      </c>
      <c r="D2661" s="8">
        <v>1001</v>
      </c>
      <c r="E2661" t="s">
        <v>6757</v>
      </c>
      <c r="F2661" t="s">
        <v>6758</v>
      </c>
      <c r="G2661" s="3" t="s">
        <v>6759</v>
      </c>
      <c r="H2661" t="s">
        <v>204</v>
      </c>
      <c r="I2661">
        <v>1</v>
      </c>
      <c r="J2661" s="69">
        <v>5</v>
      </c>
      <c r="K2661" s="87">
        <v>2</v>
      </c>
      <c r="L2661" s="8">
        <v>999</v>
      </c>
      <c r="M2661" s="8">
        <v>0</v>
      </c>
      <c r="N2661" s="8">
        <v>1018</v>
      </c>
      <c r="O2661" s="2" t="s">
        <v>6760</v>
      </c>
      <c r="R2661" s="8"/>
      <c r="S2661" s="89">
        <v>0</v>
      </c>
      <c r="T2661" s="8">
        <v>5</v>
      </c>
      <c r="U2661" s="89">
        <v>10</v>
      </c>
      <c r="V2661" s="87">
        <v>1</v>
      </c>
      <c r="W2661">
        <v>1</v>
      </c>
      <c r="X2661" s="8">
        <v>1</v>
      </c>
      <c r="Y2661">
        <v>0</v>
      </c>
      <c r="Z2661" s="33">
        <v>0</v>
      </c>
      <c r="AA2661">
        <v>5</v>
      </c>
      <c r="AB2661" s="34">
        <v>200</v>
      </c>
      <c r="AC2661" s="87">
        <v>56</v>
      </c>
      <c r="AD2661" s="445">
        <v>0</v>
      </c>
      <c r="AE2661" s="466">
        <v>5</v>
      </c>
      <c r="AF2661" s="90">
        <v>2</v>
      </c>
      <c r="AG2661" s="92"/>
      <c r="AH2661" s="92"/>
      <c r="AI2661" s="91"/>
      <c r="AJ2661" s="92"/>
      <c r="AK2661" s="92"/>
      <c r="AL2661" s="92"/>
      <c r="AM2661" s="92"/>
      <c r="AN2661" s="93"/>
      <c r="AO2661" s="92"/>
      <c r="AP2661" s="86"/>
      <c r="AS2661">
        <v>1</v>
      </c>
    </row>
    <row r="2662" s="3" customFormat="1" ht="14.25" customHeight="1" spans="1:45">
      <c r="A2662">
        <v>617037</v>
      </c>
      <c r="B2662" s="8">
        <v>1001</v>
      </c>
      <c r="C2662" s="8">
        <v>6</v>
      </c>
      <c r="D2662" s="8">
        <v>1001</v>
      </c>
      <c r="E2662" t="s">
        <v>6761</v>
      </c>
      <c r="F2662" t="s">
        <v>5550</v>
      </c>
      <c r="G2662" s="3" t="s">
        <v>6762</v>
      </c>
      <c r="H2662" t="s">
        <v>1822</v>
      </c>
      <c r="I2662">
        <v>1</v>
      </c>
      <c r="J2662" s="69">
        <v>5</v>
      </c>
      <c r="K2662" s="87">
        <v>2</v>
      </c>
      <c r="L2662" s="8">
        <v>999</v>
      </c>
      <c r="M2662" s="8">
        <v>0</v>
      </c>
      <c r="N2662" s="8">
        <v>1018</v>
      </c>
      <c r="O2662" s="2" t="s">
        <v>6763</v>
      </c>
      <c r="R2662" s="8"/>
      <c r="S2662" s="89">
        <v>1</v>
      </c>
      <c r="T2662" s="8">
        <v>5</v>
      </c>
      <c r="U2662" s="89">
        <v>1000</v>
      </c>
      <c r="V2662" s="87">
        <v>1</v>
      </c>
      <c r="W2662">
        <v>1</v>
      </c>
      <c r="X2662" s="8">
        <v>1</v>
      </c>
      <c r="Y2662">
        <v>0</v>
      </c>
      <c r="Z2662" s="33">
        <v>0</v>
      </c>
      <c r="AA2662">
        <v>5</v>
      </c>
      <c r="AB2662" s="34">
        <v>10000</v>
      </c>
      <c r="AC2662" s="87">
        <v>56</v>
      </c>
      <c r="AD2662" s="62">
        <v>0</v>
      </c>
      <c r="AE2662" s="90">
        <v>5</v>
      </c>
      <c r="AF2662" s="90">
        <v>2</v>
      </c>
      <c r="AG2662" s="91"/>
      <c r="AH2662" s="91"/>
      <c r="AI2662" s="91"/>
      <c r="AJ2662" s="91"/>
      <c r="AK2662" s="91"/>
      <c r="AL2662" s="92">
        <v>1</v>
      </c>
      <c r="AM2662" s="92"/>
      <c r="AN2662" s="93"/>
      <c r="AO2662" s="92"/>
      <c r="AP2662" s="86"/>
      <c r="AS2662">
        <v>1</v>
      </c>
    </row>
    <row r="2663" s="3" customFormat="1" ht="14.25" customHeight="1" spans="1:45">
      <c r="A2663" s="339">
        <v>617038</v>
      </c>
      <c r="B2663" s="236">
        <v>1001</v>
      </c>
      <c r="C2663" s="8">
        <v>6</v>
      </c>
      <c r="D2663" s="8">
        <v>1001</v>
      </c>
      <c r="E2663" s="3" t="s">
        <v>6764</v>
      </c>
      <c r="F2663" s="339" t="s">
        <v>6764</v>
      </c>
      <c r="G2663" s="339" t="s">
        <v>6765</v>
      </c>
      <c r="H2663" s="3" t="s">
        <v>204</v>
      </c>
      <c r="I2663" s="339">
        <v>1</v>
      </c>
      <c r="J2663" s="467">
        <v>5</v>
      </c>
      <c r="K2663" s="248">
        <v>2</v>
      </c>
      <c r="L2663" s="8">
        <v>999</v>
      </c>
      <c r="M2663" s="8">
        <v>0</v>
      </c>
      <c r="N2663" s="236">
        <v>1018</v>
      </c>
      <c r="O2663" s="258" t="s">
        <v>6766</v>
      </c>
      <c r="P2663" s="8"/>
      <c r="R2663" s="8"/>
      <c r="S2663" s="89">
        <v>1</v>
      </c>
      <c r="T2663" s="236">
        <v>5</v>
      </c>
      <c r="U2663" s="89">
        <v>10</v>
      </c>
      <c r="V2663" s="87">
        <v>1</v>
      </c>
      <c r="W2663" s="3">
        <v>1</v>
      </c>
      <c r="X2663" s="8">
        <v>1</v>
      </c>
      <c r="Y2663" s="339">
        <v>0</v>
      </c>
      <c r="Z2663" s="33">
        <v>0</v>
      </c>
      <c r="AA2663" s="339">
        <v>5</v>
      </c>
      <c r="AB2663" s="340">
        <v>10000</v>
      </c>
      <c r="AC2663" s="248">
        <v>55</v>
      </c>
      <c r="AD2663" s="468">
        <v>0</v>
      </c>
      <c r="AE2663" s="466">
        <v>5</v>
      </c>
      <c r="AF2663" s="469">
        <v>2</v>
      </c>
      <c r="AG2663" s="92"/>
      <c r="AH2663" s="92"/>
      <c r="AI2663" s="252"/>
      <c r="AJ2663" s="92"/>
      <c r="AK2663" s="92"/>
      <c r="AL2663" s="92">
        <v>1</v>
      </c>
      <c r="AM2663" s="252"/>
      <c r="AN2663" s="93"/>
      <c r="AO2663" s="92"/>
      <c r="AP2663" s="86"/>
      <c r="AQ2663" s="8"/>
      <c r="AR2663" s="8"/>
      <c r="AS2663" s="3">
        <v>1</v>
      </c>
    </row>
    <row r="2664" s="3" customFormat="1" spans="1:45">
      <c r="A2664" s="236">
        <v>617039</v>
      </c>
      <c r="B2664" s="3">
        <v>1001</v>
      </c>
      <c r="C2664" s="236">
        <v>6</v>
      </c>
      <c r="D2664" s="236">
        <v>1001</v>
      </c>
      <c r="E2664" s="3" t="s">
        <v>6767</v>
      </c>
      <c r="F2664" s="236" t="s">
        <v>5550</v>
      </c>
      <c r="G2664" s="236" t="s">
        <v>6768</v>
      </c>
      <c r="H2664" s="3" t="s">
        <v>1822</v>
      </c>
      <c r="I2664" s="236">
        <v>1</v>
      </c>
      <c r="J2664" s="236">
        <v>5</v>
      </c>
      <c r="K2664" s="33">
        <v>2</v>
      </c>
      <c r="L2664" s="236">
        <v>999</v>
      </c>
      <c r="M2664" s="236">
        <v>0</v>
      </c>
      <c r="N2664" s="3">
        <v>1018</v>
      </c>
      <c r="O2664" s="236" t="s">
        <v>6769</v>
      </c>
      <c r="P2664" s="236"/>
      <c r="R2664" s="236"/>
      <c r="S2664" s="236">
        <v>1</v>
      </c>
      <c r="T2664" s="3">
        <v>5</v>
      </c>
      <c r="U2664" s="236">
        <v>100</v>
      </c>
      <c r="V2664" s="236">
        <v>1</v>
      </c>
      <c r="W2664" s="3">
        <v>1</v>
      </c>
      <c r="X2664" s="236">
        <v>1</v>
      </c>
      <c r="Y2664" s="236">
        <v>0</v>
      </c>
      <c r="Z2664" s="33">
        <v>0</v>
      </c>
      <c r="AA2664" s="236">
        <v>5</v>
      </c>
      <c r="AB2664" s="236">
        <v>2000</v>
      </c>
      <c r="AC2664" s="3">
        <v>56</v>
      </c>
      <c r="AD2664" s="236">
        <v>0</v>
      </c>
      <c r="AE2664" s="236">
        <v>5</v>
      </c>
      <c r="AF2664" s="445">
        <v>2</v>
      </c>
      <c r="AG2664" s="236"/>
      <c r="AH2664" s="236"/>
      <c r="AI2664" s="64"/>
      <c r="AJ2664" s="236"/>
      <c r="AK2664" s="236"/>
      <c r="AL2664" s="236"/>
      <c r="AM2664" s="64"/>
      <c r="AN2664" s="236"/>
      <c r="AO2664" s="236"/>
      <c r="AP2664" s="64"/>
      <c r="AQ2664" s="236"/>
      <c r="AR2664" s="236"/>
      <c r="AS2664" s="3">
        <v>1</v>
      </c>
    </row>
    <row r="2665" s="3" customFormat="1" spans="1:45">
      <c r="A2665" s="339">
        <v>617040</v>
      </c>
      <c r="B2665" s="339">
        <v>1001</v>
      </c>
      <c r="C2665" s="339">
        <v>6</v>
      </c>
      <c r="D2665" s="339">
        <v>1001</v>
      </c>
      <c r="E2665" s="339" t="s">
        <v>6770</v>
      </c>
      <c r="F2665" s="339" t="s">
        <v>5550</v>
      </c>
      <c r="G2665" s="339" t="s">
        <v>6771</v>
      </c>
      <c r="H2665" s="339" t="s">
        <v>1822</v>
      </c>
      <c r="I2665" s="339">
        <v>1</v>
      </c>
      <c r="J2665" s="339">
        <v>5</v>
      </c>
      <c r="K2665" s="254">
        <v>2</v>
      </c>
      <c r="L2665" s="339">
        <v>999</v>
      </c>
      <c r="M2665" s="339">
        <v>0</v>
      </c>
      <c r="N2665" s="339">
        <v>1018</v>
      </c>
      <c r="O2665" s="258" t="s">
        <v>6772</v>
      </c>
      <c r="P2665" s="8"/>
      <c r="Q2665" s="8"/>
      <c r="R2665" s="8"/>
      <c r="S2665" s="254">
        <v>1</v>
      </c>
      <c r="T2665" s="339">
        <v>5</v>
      </c>
      <c r="U2665" s="339">
        <v>100</v>
      </c>
      <c r="V2665" s="254">
        <v>1</v>
      </c>
      <c r="W2665" s="339">
        <v>1</v>
      </c>
      <c r="X2665" s="339">
        <v>1</v>
      </c>
      <c r="Y2665" s="339">
        <v>0</v>
      </c>
      <c r="Z2665" s="254">
        <v>0</v>
      </c>
      <c r="AA2665" s="339">
        <v>5</v>
      </c>
      <c r="AB2665" s="339">
        <v>2000</v>
      </c>
      <c r="AC2665" s="339">
        <v>56</v>
      </c>
      <c r="AD2665" s="468">
        <v>0</v>
      </c>
      <c r="AE2665" s="468">
        <v>5</v>
      </c>
      <c r="AF2665" s="468">
        <v>2</v>
      </c>
      <c r="AG2665" s="256"/>
      <c r="AH2665" s="256"/>
      <c r="AI2665" s="256"/>
      <c r="AJ2665" s="256"/>
      <c r="AK2665" s="256"/>
      <c r="AL2665" s="256"/>
      <c r="AM2665" s="256"/>
      <c r="AN2665" s="424"/>
      <c r="AO2665" s="256"/>
      <c r="AP2665" s="256"/>
      <c r="AQ2665" s="8"/>
      <c r="AR2665" s="8"/>
      <c r="AS2665" s="3">
        <v>1</v>
      </c>
    </row>
    <row r="2666" s="3" customFormat="1" spans="1:45">
      <c r="A2666" s="8">
        <v>617041</v>
      </c>
      <c r="B2666" s="8">
        <v>1001</v>
      </c>
      <c r="C2666" s="8">
        <v>6</v>
      </c>
      <c r="D2666" s="8">
        <v>1001</v>
      </c>
      <c r="E2666" s="8" t="s">
        <v>6773</v>
      </c>
      <c r="F2666" s="8" t="s">
        <v>5550</v>
      </c>
      <c r="G2666" s="8" t="s">
        <v>6774</v>
      </c>
      <c r="H2666" s="8" t="s">
        <v>1822</v>
      </c>
      <c r="I2666" s="8">
        <v>1</v>
      </c>
      <c r="J2666" s="8">
        <v>5</v>
      </c>
      <c r="K2666" s="8">
        <v>2</v>
      </c>
      <c r="L2666" s="8">
        <v>999</v>
      </c>
      <c r="M2666" s="8">
        <v>0</v>
      </c>
      <c r="N2666" s="8">
        <v>1018</v>
      </c>
      <c r="O2666" s="8" t="s">
        <v>6775</v>
      </c>
      <c r="P2666" s="8"/>
      <c r="Q2666" s="8"/>
      <c r="R2666" s="8"/>
      <c r="S2666" s="8">
        <v>0</v>
      </c>
      <c r="T2666" s="8">
        <v>5</v>
      </c>
      <c r="U2666" s="8">
        <v>100</v>
      </c>
      <c r="V2666" s="8">
        <v>1</v>
      </c>
      <c r="W2666" s="8">
        <v>1</v>
      </c>
      <c r="X2666" s="8">
        <v>1</v>
      </c>
      <c r="Y2666" s="8">
        <v>0</v>
      </c>
      <c r="Z2666" s="8">
        <v>0</v>
      </c>
      <c r="AA2666" s="8">
        <v>5</v>
      </c>
      <c r="AB2666" s="8">
        <v>2000</v>
      </c>
      <c r="AC2666" s="8">
        <v>56</v>
      </c>
      <c r="AD2666" s="8">
        <v>0</v>
      </c>
      <c r="AE2666" s="8">
        <v>5</v>
      </c>
      <c r="AF2666" s="8">
        <v>2</v>
      </c>
      <c r="AG2666" s="8"/>
      <c r="AH2666" s="8"/>
      <c r="AI2666" s="8"/>
      <c r="AJ2666" s="8"/>
      <c r="AK2666" s="8"/>
      <c r="AL2666" s="8"/>
      <c r="AM2666" s="8"/>
      <c r="AN2666" s="8"/>
      <c r="AO2666" s="8"/>
      <c r="AP2666" s="8"/>
      <c r="AQ2666" s="8"/>
      <c r="AR2666" s="8"/>
      <c r="AS2666" s="3">
        <v>1</v>
      </c>
    </row>
    <row r="2667" s="3" customFormat="1" spans="1:45">
      <c r="A2667" s="8">
        <v>617042</v>
      </c>
      <c r="B2667" s="8">
        <v>1001</v>
      </c>
      <c r="C2667" s="8">
        <v>6</v>
      </c>
      <c r="D2667" s="8">
        <v>1001</v>
      </c>
      <c r="E2667" s="8" t="s">
        <v>6776</v>
      </c>
      <c r="F2667" s="8" t="s">
        <v>6777</v>
      </c>
      <c r="G2667" s="8" t="s">
        <v>6778</v>
      </c>
      <c r="H2667" s="8" t="s">
        <v>1812</v>
      </c>
      <c r="I2667" s="8">
        <v>1</v>
      </c>
      <c r="J2667" s="8">
        <v>5</v>
      </c>
      <c r="K2667" s="8">
        <v>2</v>
      </c>
      <c r="L2667" s="8">
        <v>999</v>
      </c>
      <c r="M2667" s="8">
        <v>0</v>
      </c>
      <c r="N2667" s="8">
        <v>1017</v>
      </c>
      <c r="O2667" s="8">
        <v>50162</v>
      </c>
      <c r="P2667" s="8"/>
      <c r="Q2667" s="8"/>
      <c r="R2667" s="8"/>
      <c r="S2667" s="8">
        <v>1</v>
      </c>
      <c r="T2667" s="8">
        <v>5</v>
      </c>
      <c r="U2667" s="8">
        <v>100</v>
      </c>
      <c r="V2667" s="8">
        <v>1</v>
      </c>
      <c r="W2667" s="8">
        <v>1</v>
      </c>
      <c r="X2667" s="8">
        <v>1</v>
      </c>
      <c r="Y2667" s="8">
        <v>0</v>
      </c>
      <c r="Z2667" s="8">
        <v>0</v>
      </c>
      <c r="AA2667" s="8">
        <v>5</v>
      </c>
      <c r="AB2667" s="8">
        <v>2000</v>
      </c>
      <c r="AC2667" s="8">
        <v>56</v>
      </c>
      <c r="AD2667" s="8">
        <v>0</v>
      </c>
      <c r="AE2667" s="8">
        <v>4</v>
      </c>
      <c r="AF2667" s="8">
        <v>2</v>
      </c>
      <c r="AG2667" s="8"/>
      <c r="AH2667" s="8"/>
      <c r="AI2667" s="8"/>
      <c r="AJ2667" s="8"/>
      <c r="AK2667" s="8"/>
      <c r="AL2667" s="8"/>
      <c r="AM2667" s="8"/>
      <c r="AN2667" s="8"/>
      <c r="AO2667" s="8"/>
      <c r="AP2667" s="8"/>
      <c r="AQ2667" s="8"/>
      <c r="AR2667" s="8"/>
      <c r="AS2667" s="3">
        <v>1</v>
      </c>
    </row>
    <row r="2668" s="3" customFormat="1" spans="1:45">
      <c r="A2668" s="8">
        <v>617043</v>
      </c>
      <c r="B2668" s="8">
        <v>1001</v>
      </c>
      <c r="C2668" s="8">
        <v>6</v>
      </c>
      <c r="D2668" s="8">
        <v>1001</v>
      </c>
      <c r="E2668" s="8" t="s">
        <v>6779</v>
      </c>
      <c r="F2668" s="8" t="s">
        <v>5475</v>
      </c>
      <c r="G2668" s="8" t="s">
        <v>6780</v>
      </c>
      <c r="H2668" s="8" t="s">
        <v>5477</v>
      </c>
      <c r="I2668" s="8">
        <v>1</v>
      </c>
      <c r="J2668" s="8">
        <v>5</v>
      </c>
      <c r="K2668" s="8">
        <v>2</v>
      </c>
      <c r="L2668" s="8">
        <v>999</v>
      </c>
      <c r="M2668" s="8">
        <v>0</v>
      </c>
      <c r="N2668" s="8">
        <v>1017</v>
      </c>
      <c r="O2668" s="8">
        <v>50163</v>
      </c>
      <c r="P2668" s="8"/>
      <c r="Q2668" s="8"/>
      <c r="R2668" s="8"/>
      <c r="S2668" s="8">
        <v>1</v>
      </c>
      <c r="T2668" s="8">
        <v>5</v>
      </c>
      <c r="U2668" s="8">
        <v>100</v>
      </c>
      <c r="V2668" s="8">
        <v>1</v>
      </c>
      <c r="W2668" s="8">
        <v>1</v>
      </c>
      <c r="X2668" s="8">
        <v>1</v>
      </c>
      <c r="Y2668" s="8">
        <v>0</v>
      </c>
      <c r="Z2668" s="8">
        <v>0</v>
      </c>
      <c r="AA2668" s="8">
        <v>5</v>
      </c>
      <c r="AB2668" s="8">
        <v>2000</v>
      </c>
      <c r="AC2668" s="8">
        <v>56</v>
      </c>
      <c r="AD2668" s="8">
        <v>0</v>
      </c>
      <c r="AE2668" s="8">
        <v>4</v>
      </c>
      <c r="AF2668" s="8">
        <v>2</v>
      </c>
      <c r="AG2668" s="8"/>
      <c r="AH2668" s="8"/>
      <c r="AI2668" s="8"/>
      <c r="AJ2668" s="8"/>
      <c r="AK2668" s="8"/>
      <c r="AL2668" s="8"/>
      <c r="AM2668" s="8"/>
      <c r="AN2668" s="8"/>
      <c r="AO2668" s="8"/>
      <c r="AP2668" s="8"/>
      <c r="AQ2668" s="8"/>
      <c r="AR2668" s="8"/>
      <c r="AS2668" s="3">
        <v>1</v>
      </c>
    </row>
    <row r="2669" s="3" customFormat="1" spans="1:45">
      <c r="A2669" s="8">
        <v>617044</v>
      </c>
      <c r="B2669" s="8">
        <v>1001</v>
      </c>
      <c r="C2669" s="8">
        <v>1</v>
      </c>
      <c r="D2669" s="8">
        <v>1001</v>
      </c>
      <c r="E2669" s="118" t="s">
        <v>6781</v>
      </c>
      <c r="F2669" s="8" t="s">
        <v>6781</v>
      </c>
      <c r="G2669" s="8" t="s">
        <v>6782</v>
      </c>
      <c r="H2669" s="8" t="s">
        <v>5474</v>
      </c>
      <c r="I2669" s="8">
        <v>1</v>
      </c>
      <c r="J2669" s="8">
        <v>2</v>
      </c>
      <c r="K2669" s="8">
        <v>1</v>
      </c>
      <c r="L2669" s="8">
        <v>999</v>
      </c>
      <c r="M2669" s="8">
        <v>0</v>
      </c>
      <c r="N2669" s="8"/>
      <c r="O2669" s="8"/>
      <c r="P2669" s="8"/>
      <c r="Q2669" s="8"/>
      <c r="R2669" s="8"/>
      <c r="S2669" s="8">
        <v>1</v>
      </c>
      <c r="T2669" s="8">
        <v>5</v>
      </c>
      <c r="U2669" s="8">
        <v>50</v>
      </c>
      <c r="V2669" s="8">
        <v>1</v>
      </c>
      <c r="W2669" s="8">
        <v>1</v>
      </c>
      <c r="X2669" s="8">
        <v>1</v>
      </c>
      <c r="Y2669" s="8">
        <v>0</v>
      </c>
      <c r="Z2669" s="8">
        <v>0</v>
      </c>
      <c r="AA2669" s="8">
        <v>5</v>
      </c>
      <c r="AB2669" s="8">
        <f>U2668*10</f>
        <v>1000</v>
      </c>
      <c r="AC2669" s="8">
        <v>56</v>
      </c>
      <c r="AD2669" s="8"/>
      <c r="AE2669" s="8"/>
      <c r="AF2669" s="8"/>
      <c r="AG2669" s="8"/>
      <c r="AH2669" s="8"/>
      <c r="AI2669" s="8" t="s">
        <v>6783</v>
      </c>
      <c r="AJ2669" s="8"/>
      <c r="AK2669" s="8"/>
      <c r="AL2669" s="8">
        <v>1</v>
      </c>
      <c r="AM2669" s="8"/>
      <c r="AN2669" s="8"/>
      <c r="AO2669" s="8"/>
      <c r="AP2669" s="8"/>
      <c r="AQ2669" s="8"/>
      <c r="AR2669" s="8"/>
      <c r="AS2669" s="3">
        <v>1</v>
      </c>
    </row>
    <row r="2670" s="3" customFormat="1" spans="1:45">
      <c r="A2670" s="8">
        <v>617045</v>
      </c>
      <c r="B2670" s="8">
        <v>1001</v>
      </c>
      <c r="C2670" s="8">
        <v>1</v>
      </c>
      <c r="D2670" s="8">
        <v>1001</v>
      </c>
      <c r="E2670" s="118" t="s">
        <v>6784</v>
      </c>
      <c r="F2670" s="8" t="s">
        <v>6784</v>
      </c>
      <c r="G2670" s="8" t="s">
        <v>6785</v>
      </c>
      <c r="H2670" s="8" t="s">
        <v>6266</v>
      </c>
      <c r="I2670" s="8">
        <v>1</v>
      </c>
      <c r="J2670" s="8">
        <v>3</v>
      </c>
      <c r="K2670" s="8">
        <v>1</v>
      </c>
      <c r="L2670" s="8">
        <v>999</v>
      </c>
      <c r="M2670" s="8">
        <v>0</v>
      </c>
      <c r="N2670" s="8"/>
      <c r="O2670" s="8"/>
      <c r="P2670" s="8"/>
      <c r="Q2670" s="8"/>
      <c r="R2670" s="8"/>
      <c r="S2670" s="8">
        <v>1</v>
      </c>
      <c r="T2670" s="8">
        <v>5</v>
      </c>
      <c r="U2670" s="8">
        <v>100</v>
      </c>
      <c r="V2670" s="8">
        <v>1</v>
      </c>
      <c r="W2670" s="8">
        <v>1</v>
      </c>
      <c r="X2670" s="8">
        <v>1</v>
      </c>
      <c r="Y2670" s="8">
        <v>0</v>
      </c>
      <c r="Z2670" s="8">
        <v>0</v>
      </c>
      <c r="AA2670" s="8">
        <v>5</v>
      </c>
      <c r="AB2670" s="8">
        <f>U2669*10</f>
        <v>500</v>
      </c>
      <c r="AC2670" s="8">
        <v>56</v>
      </c>
      <c r="AD2670" s="8"/>
      <c r="AE2670" s="8"/>
      <c r="AF2670" s="8"/>
      <c r="AG2670" s="8"/>
      <c r="AH2670" s="8"/>
      <c r="AI2670" s="8" t="s">
        <v>6783</v>
      </c>
      <c r="AJ2670" s="8"/>
      <c r="AK2670" s="8"/>
      <c r="AL2670" s="8">
        <v>1</v>
      </c>
      <c r="AM2670" s="8"/>
      <c r="AN2670" s="8"/>
      <c r="AO2670" s="8"/>
      <c r="AP2670" s="8"/>
      <c r="AQ2670" s="8"/>
      <c r="AR2670" s="8"/>
      <c r="AS2670" s="3">
        <v>1</v>
      </c>
    </row>
    <row r="2671" s="3" customFormat="1" spans="1:45">
      <c r="A2671" s="8">
        <v>617046</v>
      </c>
      <c r="B2671" s="8">
        <v>1001</v>
      </c>
      <c r="C2671" s="8">
        <v>6</v>
      </c>
      <c r="D2671" s="8">
        <v>1001</v>
      </c>
      <c r="E2671" s="8" t="s">
        <v>6786</v>
      </c>
      <c r="F2671" s="8" t="s">
        <v>6786</v>
      </c>
      <c r="G2671" s="8" t="s">
        <v>6787</v>
      </c>
      <c r="H2671" s="8" t="s">
        <v>1583</v>
      </c>
      <c r="I2671" s="8">
        <v>1</v>
      </c>
      <c r="J2671" s="8">
        <v>4</v>
      </c>
      <c r="K2671" s="8">
        <v>2</v>
      </c>
      <c r="L2671" s="8">
        <v>999</v>
      </c>
      <c r="M2671" s="8">
        <v>0</v>
      </c>
      <c r="N2671" s="8">
        <v>1017</v>
      </c>
      <c r="O2671" s="8">
        <v>50170</v>
      </c>
      <c r="P2671" s="8"/>
      <c r="Q2671" s="8"/>
      <c r="R2671" s="8"/>
      <c r="S2671" s="8">
        <v>1</v>
      </c>
      <c r="T2671" s="8">
        <v>5</v>
      </c>
      <c r="U2671" s="8">
        <v>200</v>
      </c>
      <c r="V2671" s="8">
        <v>1</v>
      </c>
      <c r="W2671" s="8">
        <v>1</v>
      </c>
      <c r="X2671" s="8">
        <v>1</v>
      </c>
      <c r="Y2671" s="8">
        <v>0</v>
      </c>
      <c r="Z2671" s="8">
        <v>0</v>
      </c>
      <c r="AA2671" s="8">
        <v>5</v>
      </c>
      <c r="AB2671" s="8">
        <f>U2670*10</f>
        <v>1000</v>
      </c>
      <c r="AC2671" s="8">
        <v>56</v>
      </c>
      <c r="AD2671" s="8">
        <v>0</v>
      </c>
      <c r="AE2671" s="8">
        <v>4</v>
      </c>
      <c r="AF2671" s="8">
        <v>2</v>
      </c>
      <c r="AG2671" s="8"/>
      <c r="AH2671" s="8"/>
      <c r="AI2671" s="8" t="s">
        <v>6783</v>
      </c>
      <c r="AJ2671" s="8"/>
      <c r="AK2671" s="8"/>
      <c r="AL2671" s="8">
        <v>1</v>
      </c>
      <c r="AM2671" s="8"/>
      <c r="AN2671" s="8"/>
      <c r="AO2671" s="8"/>
      <c r="AP2671" s="8"/>
      <c r="AQ2671" s="8"/>
      <c r="AR2671" s="8"/>
      <c r="AS2671" s="3">
        <v>1</v>
      </c>
    </row>
    <row r="2672" s="3" customFormat="1" spans="1:45">
      <c r="A2672" s="8">
        <v>617047</v>
      </c>
      <c r="B2672" s="8">
        <v>1001</v>
      </c>
      <c r="C2672" s="8">
        <v>2</v>
      </c>
      <c r="D2672" s="8">
        <v>1001</v>
      </c>
      <c r="E2672" s="8" t="s">
        <v>6788</v>
      </c>
      <c r="F2672" s="8" t="s">
        <v>6788</v>
      </c>
      <c r="G2672" s="8" t="s">
        <v>6789</v>
      </c>
      <c r="H2672" s="8" t="s">
        <v>6790</v>
      </c>
      <c r="I2672" s="8">
        <v>1</v>
      </c>
      <c r="J2672" s="8">
        <v>5</v>
      </c>
      <c r="K2672" s="8">
        <v>1</v>
      </c>
      <c r="L2672" s="8">
        <v>999</v>
      </c>
      <c r="M2672" s="8">
        <v>0</v>
      </c>
      <c r="N2672" s="8"/>
      <c r="O2672" s="8"/>
      <c r="P2672" s="8"/>
      <c r="Q2672" s="8"/>
      <c r="R2672" s="8"/>
      <c r="S2672" s="8">
        <v>1</v>
      </c>
      <c r="T2672" s="8">
        <v>5</v>
      </c>
      <c r="U2672" s="8">
        <v>1000</v>
      </c>
      <c r="V2672" s="8">
        <v>1</v>
      </c>
      <c r="W2672" s="8">
        <v>1</v>
      </c>
      <c r="X2672" s="8">
        <v>1</v>
      </c>
      <c r="Y2672" s="8">
        <v>0</v>
      </c>
      <c r="Z2672" s="8">
        <v>0</v>
      </c>
      <c r="AA2672" s="8">
        <v>5</v>
      </c>
      <c r="AB2672" s="8">
        <v>8000</v>
      </c>
      <c r="AC2672" s="8">
        <v>831</v>
      </c>
      <c r="AD2672" s="8">
        <v>0</v>
      </c>
      <c r="AE2672" s="8">
        <v>0</v>
      </c>
      <c r="AF2672" s="8">
        <v>0</v>
      </c>
      <c r="AG2672" s="8"/>
      <c r="AH2672" s="8">
        <v>1</v>
      </c>
      <c r="AI2672" s="8"/>
      <c r="AJ2672" s="8"/>
      <c r="AK2672" s="8"/>
      <c r="AL2672" s="8">
        <v>1</v>
      </c>
      <c r="AM2672" s="8"/>
      <c r="AN2672" s="8"/>
      <c r="AO2672" s="8"/>
      <c r="AP2672" s="8"/>
      <c r="AQ2672" s="8" t="s">
        <v>6788</v>
      </c>
      <c r="AR2672" s="8"/>
      <c r="AS2672" s="3">
        <v>1</v>
      </c>
    </row>
    <row r="2673" s="3" customFormat="1" spans="1:45">
      <c r="A2673" s="8">
        <v>617048</v>
      </c>
      <c r="B2673" s="8">
        <v>1001</v>
      </c>
      <c r="C2673" s="8">
        <v>6</v>
      </c>
      <c r="D2673" s="8">
        <v>1001</v>
      </c>
      <c r="E2673" s="8" t="s">
        <v>6280</v>
      </c>
      <c r="F2673" s="8" t="s">
        <v>6280</v>
      </c>
      <c r="G2673" s="8" t="s">
        <v>6791</v>
      </c>
      <c r="H2673" s="8" t="s">
        <v>204</v>
      </c>
      <c r="I2673" s="8">
        <v>1</v>
      </c>
      <c r="J2673" s="8">
        <v>5</v>
      </c>
      <c r="K2673" s="8">
        <v>2</v>
      </c>
      <c r="L2673" s="8">
        <v>999</v>
      </c>
      <c r="M2673" s="8">
        <v>0</v>
      </c>
      <c r="N2673" s="8">
        <v>1018</v>
      </c>
      <c r="O2673" s="8" t="s">
        <v>6792</v>
      </c>
      <c r="P2673" s="8"/>
      <c r="Q2673" s="8"/>
      <c r="R2673" s="8"/>
      <c r="S2673" s="8">
        <v>1</v>
      </c>
      <c r="T2673" s="8">
        <v>5</v>
      </c>
      <c r="U2673" s="8">
        <v>1</v>
      </c>
      <c r="V2673" s="8">
        <v>1</v>
      </c>
      <c r="W2673" s="8">
        <v>1</v>
      </c>
      <c r="X2673" s="8">
        <v>1</v>
      </c>
      <c r="Y2673" s="8">
        <v>0</v>
      </c>
      <c r="Z2673" s="8">
        <v>0</v>
      </c>
      <c r="AA2673" s="8">
        <v>5</v>
      </c>
      <c r="AB2673" s="8">
        <v>100</v>
      </c>
      <c r="AC2673" s="8">
        <v>70</v>
      </c>
      <c r="AD2673" s="8">
        <v>0</v>
      </c>
      <c r="AE2673" s="8">
        <v>5</v>
      </c>
      <c r="AF2673" s="8">
        <v>2</v>
      </c>
      <c r="AG2673" s="8"/>
      <c r="AH2673" s="8"/>
      <c r="AI2673" s="8"/>
      <c r="AJ2673" s="8"/>
      <c r="AK2673" s="8"/>
      <c r="AL2673" s="8"/>
      <c r="AM2673" s="8"/>
      <c r="AN2673" s="8"/>
      <c r="AO2673" s="8"/>
      <c r="AP2673" s="8"/>
      <c r="AQ2673" s="8"/>
      <c r="AR2673" s="8"/>
      <c r="AS2673" s="3">
        <v>1</v>
      </c>
    </row>
    <row r="2674" s="3" customFormat="1" spans="1:45">
      <c r="A2674" s="8">
        <v>617049</v>
      </c>
      <c r="B2674" s="8">
        <v>1001</v>
      </c>
      <c r="C2674" s="8">
        <v>6</v>
      </c>
      <c r="D2674" s="8">
        <v>1001</v>
      </c>
      <c r="E2674" s="8" t="s">
        <v>6793</v>
      </c>
      <c r="F2674" s="8" t="s">
        <v>6793</v>
      </c>
      <c r="G2674" s="8" t="s">
        <v>6794</v>
      </c>
      <c r="H2674" s="8" t="s">
        <v>5542</v>
      </c>
      <c r="I2674" s="8">
        <v>1</v>
      </c>
      <c r="J2674" s="8">
        <v>4</v>
      </c>
      <c r="K2674" s="8">
        <v>2</v>
      </c>
      <c r="L2674" s="8">
        <v>999</v>
      </c>
      <c r="M2674" s="8">
        <v>0</v>
      </c>
      <c r="N2674" s="8">
        <v>1017</v>
      </c>
      <c r="O2674" s="8">
        <v>100244</v>
      </c>
      <c r="P2674" s="8"/>
      <c r="Q2674" s="8"/>
      <c r="R2674" s="8"/>
      <c r="S2674" s="8">
        <v>1</v>
      </c>
      <c r="T2674" s="8">
        <v>5</v>
      </c>
      <c r="U2674" s="8">
        <v>200</v>
      </c>
      <c r="V2674" s="8">
        <v>1</v>
      </c>
      <c r="W2674" s="8">
        <v>1</v>
      </c>
      <c r="X2674" s="8">
        <v>1</v>
      </c>
      <c r="Y2674" s="8">
        <v>0</v>
      </c>
      <c r="Z2674" s="8">
        <v>0</v>
      </c>
      <c r="AA2674" s="8">
        <v>5</v>
      </c>
      <c r="AB2674" s="8">
        <f>U2673*10</f>
        <v>10</v>
      </c>
      <c r="AC2674" s="8">
        <v>56</v>
      </c>
      <c r="AD2674" s="8">
        <v>0</v>
      </c>
      <c r="AE2674" s="8">
        <v>4</v>
      </c>
      <c r="AF2674" s="8">
        <v>2</v>
      </c>
      <c r="AG2674" s="8"/>
      <c r="AH2674" s="8"/>
      <c r="AI2674" s="8"/>
      <c r="AJ2674" s="8"/>
      <c r="AK2674" s="8"/>
      <c r="AL2674" s="8">
        <v>1</v>
      </c>
      <c r="AM2674" s="8"/>
      <c r="AN2674" s="8"/>
      <c r="AO2674" s="8"/>
      <c r="AP2674" s="8"/>
      <c r="AQ2674" s="8"/>
      <c r="AR2674" s="8"/>
      <c r="AS2674" s="3">
        <v>1</v>
      </c>
    </row>
    <row r="2675" s="3" customFormat="1" spans="1:45">
      <c r="A2675" s="8">
        <v>617050</v>
      </c>
      <c r="B2675" s="8">
        <v>1001</v>
      </c>
      <c r="C2675" s="8">
        <v>6</v>
      </c>
      <c r="D2675" s="8">
        <v>1001</v>
      </c>
      <c r="E2675" s="8" t="s">
        <v>6795</v>
      </c>
      <c r="F2675" s="8" t="s">
        <v>6795</v>
      </c>
      <c r="G2675" s="8" t="s">
        <v>6796</v>
      </c>
      <c r="H2675" s="8" t="s">
        <v>1931</v>
      </c>
      <c r="I2675" s="8">
        <v>1</v>
      </c>
      <c r="J2675" s="8">
        <v>4</v>
      </c>
      <c r="K2675" s="8">
        <v>2</v>
      </c>
      <c r="L2675" s="8">
        <v>999</v>
      </c>
      <c r="M2675" s="8">
        <v>0</v>
      </c>
      <c r="N2675" s="8">
        <v>1017</v>
      </c>
      <c r="O2675" s="8">
        <v>100245</v>
      </c>
      <c r="P2675" s="8"/>
      <c r="Q2675" s="8"/>
      <c r="R2675" s="8"/>
      <c r="S2675" s="8">
        <v>1</v>
      </c>
      <c r="T2675" s="8">
        <v>5</v>
      </c>
      <c r="U2675" s="8">
        <v>200</v>
      </c>
      <c r="V2675" s="8">
        <v>1</v>
      </c>
      <c r="W2675" s="8">
        <v>1</v>
      </c>
      <c r="X2675" s="8">
        <v>1</v>
      </c>
      <c r="Y2675" s="8">
        <v>0</v>
      </c>
      <c r="Z2675" s="8">
        <v>0</v>
      </c>
      <c r="AA2675" s="8">
        <v>5</v>
      </c>
      <c r="AB2675" s="8">
        <f>U2674*10</f>
        <v>2000</v>
      </c>
      <c r="AC2675" s="8">
        <v>56</v>
      </c>
      <c r="AD2675" s="8">
        <v>0</v>
      </c>
      <c r="AE2675" s="8">
        <v>4</v>
      </c>
      <c r="AF2675" s="8">
        <v>2</v>
      </c>
      <c r="AG2675" s="8"/>
      <c r="AH2675" s="8"/>
      <c r="AI2675" s="8"/>
      <c r="AJ2675" s="8"/>
      <c r="AK2675" s="8"/>
      <c r="AL2675" s="8">
        <v>1</v>
      </c>
      <c r="AM2675" s="8"/>
      <c r="AN2675" s="8"/>
      <c r="AO2675" s="8"/>
      <c r="AP2675" s="8"/>
      <c r="AQ2675" s="8"/>
      <c r="AR2675" s="8"/>
      <c r="AS2675" s="3">
        <v>1</v>
      </c>
    </row>
    <row r="2676" s="3" customFormat="1" spans="1:45">
      <c r="A2676" s="8">
        <v>617051</v>
      </c>
      <c r="B2676" s="8">
        <v>1001</v>
      </c>
      <c r="C2676" s="8">
        <v>6</v>
      </c>
      <c r="D2676" s="8">
        <v>1001</v>
      </c>
      <c r="E2676" s="8" t="s">
        <v>6797</v>
      </c>
      <c r="F2676" s="8" t="s">
        <v>5550</v>
      </c>
      <c r="G2676" s="8" t="s">
        <v>6798</v>
      </c>
      <c r="H2676" s="8" t="s">
        <v>1822</v>
      </c>
      <c r="I2676" s="8">
        <v>1</v>
      </c>
      <c r="J2676" s="8">
        <v>5</v>
      </c>
      <c r="K2676" s="8">
        <v>2</v>
      </c>
      <c r="L2676" s="8">
        <v>999</v>
      </c>
      <c r="M2676" s="8">
        <v>0</v>
      </c>
      <c r="N2676" s="8">
        <v>1018</v>
      </c>
      <c r="O2676" s="8" t="s">
        <v>6799</v>
      </c>
      <c r="P2676" s="8"/>
      <c r="Q2676" s="8"/>
      <c r="R2676" s="8"/>
      <c r="S2676" s="8">
        <v>1</v>
      </c>
      <c r="T2676" s="8">
        <v>5</v>
      </c>
      <c r="U2676" s="8">
        <v>100</v>
      </c>
      <c r="V2676" s="8">
        <v>1</v>
      </c>
      <c r="W2676" s="8">
        <v>1</v>
      </c>
      <c r="X2676" s="8">
        <v>1</v>
      </c>
      <c r="Y2676" s="8">
        <v>0</v>
      </c>
      <c r="Z2676" s="8">
        <v>0</v>
      </c>
      <c r="AA2676" s="8">
        <v>5</v>
      </c>
      <c r="AB2676" s="8">
        <v>2000</v>
      </c>
      <c r="AC2676" s="8">
        <v>56</v>
      </c>
      <c r="AD2676" s="8">
        <v>0</v>
      </c>
      <c r="AE2676" s="8">
        <v>5</v>
      </c>
      <c r="AF2676" s="8">
        <v>2</v>
      </c>
      <c r="AG2676" s="8"/>
      <c r="AH2676" s="8"/>
      <c r="AI2676" s="8"/>
      <c r="AJ2676" s="8"/>
      <c r="AK2676" s="8"/>
      <c r="AL2676" s="8"/>
      <c r="AM2676" s="8"/>
      <c r="AN2676" s="8"/>
      <c r="AO2676" s="8"/>
      <c r="AP2676" s="8"/>
      <c r="AQ2676" s="8"/>
      <c r="AR2676" s="8"/>
      <c r="AS2676" s="3">
        <v>1</v>
      </c>
    </row>
    <row r="2677" s="3" customFormat="1" spans="1:45">
      <c r="A2677" s="8">
        <v>617052</v>
      </c>
      <c r="B2677" s="8">
        <v>1001</v>
      </c>
      <c r="C2677" s="8">
        <v>6</v>
      </c>
      <c r="D2677" s="8">
        <v>1001</v>
      </c>
      <c r="E2677" s="8" t="s">
        <v>6280</v>
      </c>
      <c r="F2677" s="8" t="s">
        <v>6280</v>
      </c>
      <c r="G2677" s="8" t="s">
        <v>6800</v>
      </c>
      <c r="H2677" s="8" t="s">
        <v>204</v>
      </c>
      <c r="I2677" s="8">
        <v>1</v>
      </c>
      <c r="J2677" s="8">
        <v>5</v>
      </c>
      <c r="K2677" s="8">
        <v>2</v>
      </c>
      <c r="L2677" s="8">
        <v>999</v>
      </c>
      <c r="M2677" s="8">
        <v>0</v>
      </c>
      <c r="N2677" s="8">
        <v>1018</v>
      </c>
      <c r="O2677" s="8" t="s">
        <v>6801</v>
      </c>
      <c r="P2677" s="8"/>
      <c r="Q2677" s="8"/>
      <c r="R2677" s="8"/>
      <c r="S2677" s="8">
        <v>1</v>
      </c>
      <c r="T2677" s="8">
        <v>5</v>
      </c>
      <c r="U2677" s="8">
        <v>1</v>
      </c>
      <c r="V2677" s="8">
        <v>1</v>
      </c>
      <c r="W2677" s="8">
        <v>1</v>
      </c>
      <c r="X2677" s="8">
        <v>1</v>
      </c>
      <c r="Y2677" s="8">
        <v>0</v>
      </c>
      <c r="Z2677" s="8">
        <v>0</v>
      </c>
      <c r="AA2677" s="8">
        <v>5</v>
      </c>
      <c r="AB2677" s="8">
        <v>100</v>
      </c>
      <c r="AC2677" s="8">
        <v>70</v>
      </c>
      <c r="AD2677" s="8">
        <v>0</v>
      </c>
      <c r="AE2677" s="8">
        <v>5</v>
      </c>
      <c r="AF2677" s="8">
        <v>2</v>
      </c>
      <c r="AG2677" s="8"/>
      <c r="AH2677" s="8"/>
      <c r="AI2677" s="8"/>
      <c r="AJ2677" s="8"/>
      <c r="AK2677" s="8"/>
      <c r="AL2677" s="8"/>
      <c r="AM2677" s="8"/>
      <c r="AN2677" s="8"/>
      <c r="AO2677" s="8"/>
      <c r="AP2677" s="8"/>
      <c r="AQ2677" s="8"/>
      <c r="AR2677" s="8"/>
      <c r="AS2677" s="3">
        <v>1</v>
      </c>
    </row>
    <row r="2678" s="3" customFormat="1" spans="1:45">
      <c r="A2678" s="8">
        <v>617053</v>
      </c>
      <c r="B2678" s="8">
        <v>1001</v>
      </c>
      <c r="C2678" s="8">
        <v>6</v>
      </c>
      <c r="D2678" s="8">
        <v>1001</v>
      </c>
      <c r="E2678" s="8" t="s">
        <v>6280</v>
      </c>
      <c r="F2678" s="8" t="s">
        <v>6280</v>
      </c>
      <c r="G2678" s="8" t="s">
        <v>6802</v>
      </c>
      <c r="H2678" s="8" t="s">
        <v>204</v>
      </c>
      <c r="I2678" s="8">
        <v>1</v>
      </c>
      <c r="J2678" s="8">
        <v>5</v>
      </c>
      <c r="K2678" s="8">
        <v>2</v>
      </c>
      <c r="L2678" s="8">
        <v>999</v>
      </c>
      <c r="M2678" s="8">
        <v>0</v>
      </c>
      <c r="N2678" s="8">
        <v>1018</v>
      </c>
      <c r="O2678" s="8" t="s">
        <v>6803</v>
      </c>
      <c r="P2678" s="8"/>
      <c r="Q2678" s="8"/>
      <c r="R2678" s="8"/>
      <c r="S2678" s="8">
        <v>1</v>
      </c>
      <c r="T2678" s="8">
        <v>5</v>
      </c>
      <c r="U2678" s="8">
        <v>1</v>
      </c>
      <c r="V2678" s="8">
        <v>1</v>
      </c>
      <c r="W2678" s="8">
        <v>1</v>
      </c>
      <c r="X2678" s="8">
        <v>1</v>
      </c>
      <c r="Y2678" s="8">
        <v>0</v>
      </c>
      <c r="Z2678" s="8">
        <v>0</v>
      </c>
      <c r="AA2678" s="8">
        <v>5</v>
      </c>
      <c r="AB2678" s="8">
        <v>100</v>
      </c>
      <c r="AC2678" s="8">
        <v>70</v>
      </c>
      <c r="AD2678" s="8">
        <v>0</v>
      </c>
      <c r="AE2678" s="8">
        <v>5</v>
      </c>
      <c r="AF2678" s="8">
        <v>2</v>
      </c>
      <c r="AG2678" s="8"/>
      <c r="AH2678" s="8"/>
      <c r="AI2678" s="8"/>
      <c r="AJ2678" s="8"/>
      <c r="AK2678" s="8"/>
      <c r="AL2678" s="8"/>
      <c r="AM2678" s="8"/>
      <c r="AN2678" s="8"/>
      <c r="AO2678" s="8"/>
      <c r="AP2678" s="8"/>
      <c r="AQ2678" s="8"/>
      <c r="AR2678" s="8"/>
      <c r="AS2678" s="3">
        <v>1</v>
      </c>
    </row>
    <row r="2679" s="3" customFormat="1" spans="1:45">
      <c r="A2679" s="8">
        <v>617054</v>
      </c>
      <c r="B2679" s="8">
        <v>1001</v>
      </c>
      <c r="C2679" s="8">
        <v>6</v>
      </c>
      <c r="D2679" s="8">
        <v>1001</v>
      </c>
      <c r="E2679" s="8" t="s">
        <v>6804</v>
      </c>
      <c r="F2679" s="8" t="s">
        <v>5550</v>
      </c>
      <c r="G2679" s="8" t="s">
        <v>6805</v>
      </c>
      <c r="H2679" s="8" t="s">
        <v>1822</v>
      </c>
      <c r="I2679" s="8">
        <v>1</v>
      </c>
      <c r="J2679" s="8">
        <v>5</v>
      </c>
      <c r="K2679" s="8">
        <v>2</v>
      </c>
      <c r="L2679" s="8">
        <v>999</v>
      </c>
      <c r="M2679" s="8">
        <v>0</v>
      </c>
      <c r="N2679" s="8">
        <v>1018</v>
      </c>
      <c r="O2679" s="8" t="s">
        <v>6806</v>
      </c>
      <c r="P2679" s="8"/>
      <c r="Q2679" s="8"/>
      <c r="R2679" s="8"/>
      <c r="S2679" s="8">
        <v>1</v>
      </c>
      <c r="T2679" s="8">
        <v>5</v>
      </c>
      <c r="U2679" s="8">
        <v>100</v>
      </c>
      <c r="V2679" s="8">
        <v>1</v>
      </c>
      <c r="W2679" s="8">
        <v>1</v>
      </c>
      <c r="X2679" s="8">
        <v>1</v>
      </c>
      <c r="Y2679" s="8">
        <v>0</v>
      </c>
      <c r="Z2679" s="8">
        <v>0</v>
      </c>
      <c r="AA2679" s="8">
        <v>5</v>
      </c>
      <c r="AB2679" s="8">
        <v>2000</v>
      </c>
      <c r="AC2679" s="8">
        <v>56</v>
      </c>
      <c r="AD2679" s="8">
        <v>0</v>
      </c>
      <c r="AE2679" s="8">
        <v>5</v>
      </c>
      <c r="AF2679" s="8">
        <v>2</v>
      </c>
      <c r="AG2679" s="8"/>
      <c r="AH2679" s="8"/>
      <c r="AI2679" s="8"/>
      <c r="AJ2679" s="8"/>
      <c r="AK2679" s="8"/>
      <c r="AL2679" s="8"/>
      <c r="AM2679" s="8"/>
      <c r="AN2679" s="8"/>
      <c r="AO2679" s="8"/>
      <c r="AP2679" s="8"/>
      <c r="AQ2679" s="8"/>
      <c r="AR2679" s="8"/>
      <c r="AS2679" s="3">
        <v>1</v>
      </c>
    </row>
    <row r="2680" s="3" customFormat="1" ht="14.25" customHeight="1" spans="1:45">
      <c r="A2680" s="236">
        <v>617055</v>
      </c>
      <c r="B2680" s="8">
        <v>1001</v>
      </c>
      <c r="C2680" s="8">
        <v>6</v>
      </c>
      <c r="D2680" s="8">
        <v>1001</v>
      </c>
      <c r="E2680" s="236" t="s">
        <v>6807</v>
      </c>
      <c r="F2680" s="8" t="s">
        <v>6280</v>
      </c>
      <c r="G2680" s="236" t="s">
        <v>6808</v>
      </c>
      <c r="H2680" s="236" t="s">
        <v>204</v>
      </c>
      <c r="I2680" s="236">
        <v>1</v>
      </c>
      <c r="J2680" s="236">
        <v>5</v>
      </c>
      <c r="K2680" s="8">
        <v>2</v>
      </c>
      <c r="L2680" s="8">
        <v>999</v>
      </c>
      <c r="M2680" s="8">
        <v>0</v>
      </c>
      <c r="N2680" s="8">
        <v>1018</v>
      </c>
      <c r="O2680" s="236" t="s">
        <v>6809</v>
      </c>
      <c r="P2680" s="236"/>
      <c r="Q2680" s="236"/>
      <c r="R2680" s="236"/>
      <c r="S2680" s="8">
        <v>1</v>
      </c>
      <c r="T2680" s="8">
        <v>5</v>
      </c>
      <c r="U2680" s="8">
        <v>1</v>
      </c>
      <c r="V2680" s="8">
        <v>1</v>
      </c>
      <c r="W2680" s="236">
        <v>1</v>
      </c>
      <c r="X2680" s="8">
        <v>1</v>
      </c>
      <c r="Y2680" s="236">
        <v>0</v>
      </c>
      <c r="Z2680" s="236">
        <v>0</v>
      </c>
      <c r="AA2680" s="236">
        <v>5</v>
      </c>
      <c r="AB2680" s="236">
        <v>100</v>
      </c>
      <c r="AC2680" s="8">
        <v>70</v>
      </c>
      <c r="AD2680" s="236">
        <v>0</v>
      </c>
      <c r="AE2680" s="8">
        <v>5</v>
      </c>
      <c r="AF2680" s="8">
        <v>2</v>
      </c>
      <c r="AG2680" s="8"/>
      <c r="AH2680" s="8"/>
      <c r="AI2680" s="8"/>
      <c r="AJ2680" s="8"/>
      <c r="AK2680" s="8"/>
      <c r="AL2680" s="8"/>
      <c r="AM2680" s="8"/>
      <c r="AN2680" s="8"/>
      <c r="AO2680" s="8"/>
      <c r="AP2680" s="236"/>
      <c r="AQ2680" s="236"/>
      <c r="AR2680" s="236"/>
      <c r="AS2680" s="3">
        <v>1</v>
      </c>
    </row>
    <row r="2681" s="3" customFormat="1" ht="14.25" customHeight="1" spans="1:45">
      <c r="A2681" s="3">
        <v>618001</v>
      </c>
      <c r="B2681" s="8">
        <v>1001</v>
      </c>
      <c r="C2681" s="8">
        <v>1</v>
      </c>
      <c r="D2681" s="8">
        <v>1001</v>
      </c>
      <c r="E2681" s="3" t="s">
        <v>1796</v>
      </c>
      <c r="F2681" s="13" t="s">
        <v>6810</v>
      </c>
      <c r="G2681" s="3" t="s">
        <v>1797</v>
      </c>
      <c r="H2681" s="3" t="s">
        <v>1798</v>
      </c>
      <c r="I2681" s="3">
        <v>1</v>
      </c>
      <c r="J2681" s="69">
        <v>4</v>
      </c>
      <c r="K2681" s="87">
        <v>1</v>
      </c>
      <c r="L2681" s="8">
        <v>999</v>
      </c>
      <c r="M2681" s="8">
        <v>0</v>
      </c>
      <c r="N2681" s="8"/>
      <c r="O2681" s="271"/>
      <c r="S2681" s="89">
        <v>1</v>
      </c>
      <c r="T2681" s="8">
        <v>5</v>
      </c>
      <c r="U2681" s="89">
        <v>1</v>
      </c>
      <c r="V2681" s="87">
        <v>1</v>
      </c>
      <c r="W2681" s="3">
        <v>1</v>
      </c>
      <c r="X2681" s="8">
        <v>1</v>
      </c>
      <c r="Y2681" s="3">
        <v>0</v>
      </c>
      <c r="Z2681" s="33">
        <v>0</v>
      </c>
      <c r="AA2681" s="3">
        <v>5</v>
      </c>
      <c r="AB2681" s="34">
        <v>200</v>
      </c>
      <c r="AC2681" s="87">
        <v>100</v>
      </c>
      <c r="AD2681" s="445"/>
      <c r="AE2681" s="466"/>
      <c r="AF2681" s="466"/>
      <c r="AG2681" s="92"/>
      <c r="AH2681" s="92"/>
      <c r="AI2681" s="92" t="s">
        <v>1767</v>
      </c>
      <c r="AJ2681" s="92"/>
      <c r="AK2681" s="92"/>
      <c r="AL2681" s="92">
        <v>1</v>
      </c>
      <c r="AM2681" s="92"/>
      <c r="AN2681" s="93"/>
      <c r="AO2681" s="92"/>
      <c r="AP2681" s="86"/>
      <c r="AS2681" s="3">
        <v>1</v>
      </c>
    </row>
    <row r="2682" s="3" customFormat="1" ht="14.25" customHeight="1" spans="1:45">
      <c r="A2682" s="3">
        <v>618002</v>
      </c>
      <c r="B2682" s="8">
        <v>1001</v>
      </c>
      <c r="C2682" s="236">
        <v>1</v>
      </c>
      <c r="D2682" s="8">
        <v>1001</v>
      </c>
      <c r="E2682" s="3" t="s">
        <v>1799</v>
      </c>
      <c r="F2682" s="253" t="s">
        <v>6811</v>
      </c>
      <c r="G2682" s="3" t="s">
        <v>1800</v>
      </c>
      <c r="H2682" s="3" t="s">
        <v>1801</v>
      </c>
      <c r="I2682" s="3">
        <v>1</v>
      </c>
      <c r="J2682" s="69">
        <v>5</v>
      </c>
      <c r="K2682" s="248">
        <v>1</v>
      </c>
      <c r="L2682" s="236">
        <v>999</v>
      </c>
      <c r="M2682" s="236">
        <v>0</v>
      </c>
      <c r="N2682" s="236"/>
      <c r="O2682" s="271"/>
      <c r="R2682" s="8"/>
      <c r="S2682" s="336">
        <v>1</v>
      </c>
      <c r="T2682" s="236">
        <v>5</v>
      </c>
      <c r="U2682" s="336">
        <v>1</v>
      </c>
      <c r="V2682" s="248">
        <v>1</v>
      </c>
      <c r="W2682" s="3">
        <v>1</v>
      </c>
      <c r="X2682" s="8">
        <v>1</v>
      </c>
      <c r="Y2682" s="3">
        <v>0</v>
      </c>
      <c r="Z2682" s="33">
        <v>0</v>
      </c>
      <c r="AA2682" s="3">
        <v>5</v>
      </c>
      <c r="AB2682" s="34">
        <v>200</v>
      </c>
      <c r="AC2682" s="248">
        <v>100</v>
      </c>
      <c r="AD2682" s="445"/>
      <c r="AE2682" s="469"/>
      <c r="AF2682" s="469"/>
      <c r="AG2682" s="252"/>
      <c r="AH2682" s="252"/>
      <c r="AI2682" s="252" t="s">
        <v>1767</v>
      </c>
      <c r="AJ2682" s="252"/>
      <c r="AK2682" s="252"/>
      <c r="AL2682" s="252">
        <v>1</v>
      </c>
      <c r="AM2682" s="252"/>
      <c r="AN2682" s="338"/>
      <c r="AO2682" s="252"/>
      <c r="AP2682" s="86"/>
      <c r="AS2682" s="3">
        <v>1</v>
      </c>
    </row>
    <row r="2683" s="3" customFormat="1" spans="1:45">
      <c r="A2683" s="3">
        <v>618003</v>
      </c>
      <c r="B2683" s="8">
        <v>1001</v>
      </c>
      <c r="C2683" s="3">
        <v>6</v>
      </c>
      <c r="D2683" s="8">
        <v>1001</v>
      </c>
      <c r="E2683" s="3" t="s">
        <v>6812</v>
      </c>
      <c r="F2683" s="3" t="s">
        <v>6812</v>
      </c>
      <c r="G2683" s="3" t="s">
        <v>6813</v>
      </c>
      <c r="H2683" s="3" t="s">
        <v>1564</v>
      </c>
      <c r="I2683" s="3">
        <v>1</v>
      </c>
      <c r="J2683" s="3">
        <v>2</v>
      </c>
      <c r="K2683" s="33">
        <v>2</v>
      </c>
      <c r="L2683" s="3">
        <v>999</v>
      </c>
      <c r="M2683" s="3">
        <v>0</v>
      </c>
      <c r="N2683" s="3">
        <v>1018</v>
      </c>
      <c r="O2683" s="2" t="s">
        <v>6814</v>
      </c>
      <c r="R2683" s="8"/>
      <c r="S2683" s="33">
        <v>1</v>
      </c>
      <c r="T2683" s="3">
        <v>5</v>
      </c>
      <c r="U2683" s="3">
        <v>20</v>
      </c>
      <c r="V2683" s="33"/>
      <c r="W2683" s="3">
        <v>1</v>
      </c>
      <c r="X2683" s="8">
        <v>1</v>
      </c>
      <c r="Y2683" s="3">
        <v>0</v>
      </c>
      <c r="Z2683" s="33">
        <v>0</v>
      </c>
      <c r="AA2683" s="3">
        <v>5</v>
      </c>
      <c r="AB2683" s="3">
        <v>200</v>
      </c>
      <c r="AC2683" s="3">
        <v>60</v>
      </c>
      <c r="AD2683" s="445">
        <v>0</v>
      </c>
      <c r="AE2683" s="445">
        <v>5</v>
      </c>
      <c r="AF2683" s="445">
        <v>2</v>
      </c>
      <c r="AG2683" s="64"/>
      <c r="AH2683" s="64"/>
      <c r="AI2683" s="64"/>
      <c r="AJ2683" s="64"/>
      <c r="AK2683" s="64"/>
      <c r="AL2683" s="64"/>
      <c r="AM2683" s="64"/>
      <c r="AN2683" s="65"/>
      <c r="AO2683" s="64"/>
      <c r="AP2683" s="64"/>
      <c r="AS2683" s="3">
        <v>1</v>
      </c>
    </row>
    <row r="2684" s="3" customFormat="1" spans="1:45">
      <c r="A2684" s="3">
        <v>618004</v>
      </c>
      <c r="B2684" s="8">
        <v>1001</v>
      </c>
      <c r="C2684" s="3">
        <v>6</v>
      </c>
      <c r="D2684" s="8">
        <v>1001</v>
      </c>
      <c r="E2684" s="3" t="s">
        <v>6815</v>
      </c>
      <c r="F2684" s="3" t="s">
        <v>6815</v>
      </c>
      <c r="G2684" s="3" t="s">
        <v>6816</v>
      </c>
      <c r="H2684" s="3" t="s">
        <v>1564</v>
      </c>
      <c r="I2684" s="3">
        <v>1</v>
      </c>
      <c r="J2684" s="3">
        <v>2</v>
      </c>
      <c r="K2684" s="33">
        <v>2</v>
      </c>
      <c r="L2684" s="3">
        <v>999</v>
      </c>
      <c r="M2684" s="3">
        <v>0</v>
      </c>
      <c r="N2684" s="3">
        <v>1018</v>
      </c>
      <c r="O2684" s="2" t="s">
        <v>6817</v>
      </c>
      <c r="R2684" s="8"/>
      <c r="S2684" s="33">
        <v>1</v>
      </c>
      <c r="T2684" s="3">
        <v>5</v>
      </c>
      <c r="U2684" s="3">
        <v>30</v>
      </c>
      <c r="V2684" s="33"/>
      <c r="W2684" s="3">
        <v>1</v>
      </c>
      <c r="X2684" s="8">
        <v>1</v>
      </c>
      <c r="Y2684" s="3">
        <v>0</v>
      </c>
      <c r="Z2684" s="33">
        <v>0</v>
      </c>
      <c r="AA2684" s="3">
        <v>5</v>
      </c>
      <c r="AB2684" s="3">
        <v>300</v>
      </c>
      <c r="AC2684" s="3">
        <v>60</v>
      </c>
      <c r="AD2684" s="445">
        <v>0</v>
      </c>
      <c r="AE2684" s="445">
        <v>5</v>
      </c>
      <c r="AF2684" s="445">
        <v>2</v>
      </c>
      <c r="AG2684" s="64"/>
      <c r="AH2684" s="64"/>
      <c r="AI2684" s="64"/>
      <c r="AJ2684" s="64"/>
      <c r="AK2684" s="64"/>
      <c r="AL2684" s="64"/>
      <c r="AM2684" s="64"/>
      <c r="AN2684" s="65"/>
      <c r="AO2684" s="64"/>
      <c r="AP2684" s="64"/>
      <c r="AS2684" s="3">
        <v>1</v>
      </c>
    </row>
    <row r="2685" s="3" customFormat="1" spans="1:45">
      <c r="A2685" s="3">
        <v>618005</v>
      </c>
      <c r="B2685" s="8">
        <v>1001</v>
      </c>
      <c r="C2685" s="3">
        <v>6</v>
      </c>
      <c r="D2685" s="8">
        <v>1001</v>
      </c>
      <c r="E2685" s="3" t="s">
        <v>6818</v>
      </c>
      <c r="F2685" s="3" t="s">
        <v>6818</v>
      </c>
      <c r="G2685" s="3" t="s">
        <v>6819</v>
      </c>
      <c r="H2685" s="3" t="s">
        <v>1564</v>
      </c>
      <c r="I2685" s="3">
        <v>1</v>
      </c>
      <c r="J2685" s="3">
        <v>3</v>
      </c>
      <c r="K2685" s="33">
        <v>2</v>
      </c>
      <c r="L2685" s="3">
        <v>999</v>
      </c>
      <c r="M2685" s="3">
        <v>0</v>
      </c>
      <c r="N2685" s="3">
        <v>1018</v>
      </c>
      <c r="O2685" s="2" t="s">
        <v>6820</v>
      </c>
      <c r="R2685" s="8"/>
      <c r="S2685" s="33">
        <v>1</v>
      </c>
      <c r="T2685" s="3">
        <v>5</v>
      </c>
      <c r="U2685" s="3">
        <v>40</v>
      </c>
      <c r="V2685" s="33"/>
      <c r="W2685" s="3">
        <v>1</v>
      </c>
      <c r="X2685" s="8">
        <v>1</v>
      </c>
      <c r="Y2685" s="3">
        <v>0</v>
      </c>
      <c r="Z2685" s="33">
        <v>0</v>
      </c>
      <c r="AA2685" s="3">
        <v>5</v>
      </c>
      <c r="AB2685" s="3">
        <v>400</v>
      </c>
      <c r="AC2685" s="3">
        <v>60</v>
      </c>
      <c r="AD2685" s="445">
        <v>0</v>
      </c>
      <c r="AE2685" s="445">
        <v>5</v>
      </c>
      <c r="AF2685" s="445">
        <v>2</v>
      </c>
      <c r="AG2685" s="64"/>
      <c r="AH2685" s="64"/>
      <c r="AI2685" s="64"/>
      <c r="AJ2685" s="64"/>
      <c r="AK2685" s="64"/>
      <c r="AL2685" s="64"/>
      <c r="AM2685" s="64"/>
      <c r="AN2685" s="65"/>
      <c r="AO2685" s="64"/>
      <c r="AP2685" s="64"/>
      <c r="AS2685" s="3">
        <v>1</v>
      </c>
    </row>
    <row r="2686" s="3" customFormat="1" spans="1:45">
      <c r="A2686" s="3">
        <v>618006</v>
      </c>
      <c r="B2686" s="236">
        <v>1001</v>
      </c>
      <c r="C2686" s="3">
        <v>6</v>
      </c>
      <c r="D2686" s="236">
        <v>1001</v>
      </c>
      <c r="E2686" s="3" t="s">
        <v>6821</v>
      </c>
      <c r="F2686" s="3" t="s">
        <v>6821</v>
      </c>
      <c r="G2686" s="3" t="s">
        <v>6822</v>
      </c>
      <c r="H2686" s="3" t="s">
        <v>1564</v>
      </c>
      <c r="I2686" s="3">
        <v>1</v>
      </c>
      <c r="J2686" s="3">
        <v>3</v>
      </c>
      <c r="K2686" s="33">
        <v>2</v>
      </c>
      <c r="L2686" s="3">
        <v>999</v>
      </c>
      <c r="M2686" s="3">
        <v>0</v>
      </c>
      <c r="N2686" s="3">
        <v>1018</v>
      </c>
      <c r="O2686" s="2" t="s">
        <v>6823</v>
      </c>
      <c r="R2686" s="236"/>
      <c r="S2686" s="33">
        <v>1</v>
      </c>
      <c r="T2686" s="3">
        <v>5</v>
      </c>
      <c r="U2686" s="3">
        <v>50</v>
      </c>
      <c r="V2686" s="33"/>
      <c r="W2686" s="3">
        <v>1</v>
      </c>
      <c r="X2686" s="236">
        <v>1</v>
      </c>
      <c r="Y2686" s="3">
        <v>0</v>
      </c>
      <c r="Z2686" s="33">
        <v>0</v>
      </c>
      <c r="AA2686" s="3">
        <v>5</v>
      </c>
      <c r="AB2686" s="3">
        <v>500</v>
      </c>
      <c r="AC2686" s="3">
        <v>60</v>
      </c>
      <c r="AD2686" s="445">
        <v>0</v>
      </c>
      <c r="AE2686" s="445">
        <v>5</v>
      </c>
      <c r="AF2686" s="445">
        <v>2</v>
      </c>
      <c r="AG2686" s="64"/>
      <c r="AH2686" s="64"/>
      <c r="AI2686" s="64"/>
      <c r="AJ2686" s="64"/>
      <c r="AK2686" s="64"/>
      <c r="AL2686" s="64"/>
      <c r="AM2686" s="64"/>
      <c r="AN2686" s="65"/>
      <c r="AO2686" s="64"/>
      <c r="AP2686" s="64"/>
      <c r="AS2686" s="3">
        <v>1</v>
      </c>
    </row>
    <row r="2687" s="3" customFormat="1" spans="1:45">
      <c r="A2687" s="3">
        <v>619001</v>
      </c>
      <c r="B2687" s="339">
        <v>1001</v>
      </c>
      <c r="C2687" s="3">
        <v>6</v>
      </c>
      <c r="D2687" s="339">
        <v>1001</v>
      </c>
      <c r="E2687" s="3" t="s">
        <v>6824</v>
      </c>
      <c r="F2687" s="3" t="s">
        <v>6824</v>
      </c>
      <c r="G2687" s="3" t="s">
        <v>6825</v>
      </c>
      <c r="H2687" s="3" t="s">
        <v>1818</v>
      </c>
      <c r="I2687" s="3">
        <v>1</v>
      </c>
      <c r="J2687" s="3">
        <v>5</v>
      </c>
      <c r="K2687" s="33">
        <v>2</v>
      </c>
      <c r="L2687" s="3">
        <v>999</v>
      </c>
      <c r="M2687" s="3">
        <v>0</v>
      </c>
      <c r="N2687" s="3">
        <v>1017</v>
      </c>
      <c r="O2687" s="2">
        <v>220006</v>
      </c>
      <c r="R2687" s="33"/>
      <c r="S2687" s="33">
        <v>1</v>
      </c>
      <c r="T2687" s="3">
        <v>5</v>
      </c>
      <c r="U2687" s="3">
        <v>100</v>
      </c>
      <c r="V2687" s="33">
        <v>1</v>
      </c>
      <c r="W2687" s="3">
        <v>1</v>
      </c>
      <c r="X2687" s="3">
        <v>1</v>
      </c>
      <c r="Y2687" s="3">
        <v>0</v>
      </c>
      <c r="Z2687" s="33">
        <v>0</v>
      </c>
      <c r="AA2687" s="3">
        <v>5</v>
      </c>
      <c r="AB2687" s="3">
        <v>100</v>
      </c>
      <c r="AC2687" s="3">
        <v>110</v>
      </c>
      <c r="AD2687" s="445">
        <v>0</v>
      </c>
      <c r="AE2687" s="445">
        <v>4</v>
      </c>
      <c r="AF2687" s="445">
        <v>2</v>
      </c>
      <c r="AG2687" s="64"/>
      <c r="AH2687" s="64">
        <v>1</v>
      </c>
      <c r="AI2687" s="64"/>
      <c r="AJ2687" s="64"/>
      <c r="AK2687" s="64"/>
      <c r="AL2687" s="64">
        <v>1</v>
      </c>
      <c r="AM2687" s="64"/>
      <c r="AN2687" s="65"/>
      <c r="AO2687" s="64"/>
      <c r="AP2687" s="64"/>
      <c r="AS2687" s="3">
        <v>1</v>
      </c>
    </row>
    <row r="2688" s="3" customFormat="1" spans="1:45">
      <c r="A2688" s="3">
        <v>619002</v>
      </c>
      <c r="B2688" s="236">
        <v>1001</v>
      </c>
      <c r="C2688" s="3">
        <v>6</v>
      </c>
      <c r="D2688" s="236">
        <v>1001</v>
      </c>
      <c r="E2688" s="3" t="s">
        <v>6826</v>
      </c>
      <c r="F2688" s="3" t="s">
        <v>6826</v>
      </c>
      <c r="G2688" s="3" t="s">
        <v>6827</v>
      </c>
      <c r="H2688" s="3" t="s">
        <v>6325</v>
      </c>
      <c r="I2688" s="3">
        <v>1</v>
      </c>
      <c r="J2688" s="3">
        <v>5</v>
      </c>
      <c r="K2688" s="33">
        <v>2</v>
      </c>
      <c r="L2688" s="3">
        <v>999</v>
      </c>
      <c r="M2688" s="3">
        <v>0</v>
      </c>
      <c r="N2688" s="3">
        <v>1035</v>
      </c>
      <c r="O2688" s="2">
        <v>66</v>
      </c>
      <c r="R2688" s="33"/>
      <c r="S2688" s="33">
        <v>0</v>
      </c>
      <c r="T2688" s="3">
        <v>5</v>
      </c>
      <c r="U2688" s="3">
        <v>1</v>
      </c>
      <c r="V2688" s="33">
        <v>1</v>
      </c>
      <c r="W2688" s="3">
        <v>1</v>
      </c>
      <c r="X2688" s="3">
        <v>1</v>
      </c>
      <c r="Y2688" s="3">
        <v>0</v>
      </c>
      <c r="Z2688" s="33">
        <v>0</v>
      </c>
      <c r="AA2688" s="3">
        <v>5</v>
      </c>
      <c r="AB2688" s="3">
        <v>100</v>
      </c>
      <c r="AC2688" s="3">
        <v>70</v>
      </c>
      <c r="AD2688" s="445">
        <v>0</v>
      </c>
      <c r="AE2688" s="445">
        <v>1</v>
      </c>
      <c r="AF2688" s="445">
        <v>1</v>
      </c>
      <c r="AG2688" s="64"/>
      <c r="AH2688" s="64"/>
      <c r="AI2688" s="64"/>
      <c r="AJ2688" s="64"/>
      <c r="AK2688" s="64"/>
      <c r="AL2688" s="64"/>
      <c r="AM2688" s="64"/>
      <c r="AN2688" s="65"/>
      <c r="AO2688" s="64"/>
      <c r="AP2688" s="64"/>
      <c r="AS2688" s="3">
        <v>1</v>
      </c>
    </row>
    <row r="2689" s="3" customFormat="1" spans="1:45">
      <c r="A2689" s="3">
        <v>619003</v>
      </c>
      <c r="B2689" s="339">
        <v>1001</v>
      </c>
      <c r="C2689" s="3">
        <v>6</v>
      </c>
      <c r="D2689" s="339">
        <v>1001</v>
      </c>
      <c r="E2689" s="3" t="s">
        <v>6828</v>
      </c>
      <c r="F2689" s="3" t="s">
        <v>6828</v>
      </c>
      <c r="G2689" s="3" t="s">
        <v>6829</v>
      </c>
      <c r="H2689" s="3" t="s">
        <v>6325</v>
      </c>
      <c r="I2689" s="3">
        <v>1</v>
      </c>
      <c r="J2689" s="3">
        <v>5</v>
      </c>
      <c r="K2689" s="33">
        <v>2</v>
      </c>
      <c r="L2689" s="3">
        <v>999</v>
      </c>
      <c r="M2689" s="3">
        <v>0</v>
      </c>
      <c r="N2689" s="3">
        <v>1035</v>
      </c>
      <c r="O2689" s="2">
        <v>67</v>
      </c>
      <c r="R2689" s="33"/>
      <c r="S2689" s="33">
        <v>0</v>
      </c>
      <c r="T2689" s="3">
        <v>5</v>
      </c>
      <c r="U2689" s="3">
        <v>1</v>
      </c>
      <c r="V2689" s="33">
        <v>1</v>
      </c>
      <c r="W2689" s="3">
        <v>1</v>
      </c>
      <c r="X2689" s="3">
        <v>1</v>
      </c>
      <c r="Y2689" s="3">
        <v>0</v>
      </c>
      <c r="Z2689" s="33">
        <v>0</v>
      </c>
      <c r="AA2689" s="3">
        <v>5</v>
      </c>
      <c r="AB2689" s="3">
        <v>100</v>
      </c>
      <c r="AC2689" s="3">
        <v>70</v>
      </c>
      <c r="AD2689" s="445">
        <v>0</v>
      </c>
      <c r="AE2689" s="445">
        <v>1</v>
      </c>
      <c r="AF2689" s="445">
        <v>1</v>
      </c>
      <c r="AG2689" s="64"/>
      <c r="AH2689" s="64"/>
      <c r="AI2689" s="64"/>
      <c r="AJ2689" s="64"/>
      <c r="AK2689" s="64"/>
      <c r="AL2689" s="64"/>
      <c r="AM2689" s="64"/>
      <c r="AN2689" s="65"/>
      <c r="AO2689" s="64"/>
      <c r="AP2689" s="64"/>
      <c r="AS2689" s="3">
        <v>1</v>
      </c>
    </row>
    <row r="2690" s="3" customFormat="1" spans="1:45">
      <c r="A2690" s="339">
        <v>619004</v>
      </c>
      <c r="B2690" s="8">
        <v>1001</v>
      </c>
      <c r="C2690" s="339">
        <v>6</v>
      </c>
      <c r="D2690" s="8">
        <v>1001</v>
      </c>
      <c r="E2690" s="339" t="s">
        <v>6830</v>
      </c>
      <c r="F2690" s="339" t="s">
        <v>6830</v>
      </c>
      <c r="G2690" s="339" t="s">
        <v>6831</v>
      </c>
      <c r="H2690" s="339" t="s">
        <v>6325</v>
      </c>
      <c r="I2690" s="339">
        <v>1</v>
      </c>
      <c r="J2690" s="339">
        <v>5</v>
      </c>
      <c r="K2690" s="254">
        <v>2</v>
      </c>
      <c r="L2690" s="339">
        <v>999</v>
      </c>
      <c r="M2690" s="339">
        <v>0</v>
      </c>
      <c r="N2690" s="339">
        <v>1035</v>
      </c>
      <c r="O2690" s="258">
        <v>68</v>
      </c>
      <c r="P2690" s="8"/>
      <c r="Q2690" s="8"/>
      <c r="R2690" s="254"/>
      <c r="S2690" s="254">
        <v>0</v>
      </c>
      <c r="T2690" s="339">
        <v>5</v>
      </c>
      <c r="U2690" s="339">
        <v>1</v>
      </c>
      <c r="V2690" s="254">
        <v>1</v>
      </c>
      <c r="W2690" s="339">
        <v>1</v>
      </c>
      <c r="X2690" s="339">
        <v>1</v>
      </c>
      <c r="Y2690" s="339">
        <v>0</v>
      </c>
      <c r="Z2690" s="254">
        <v>0</v>
      </c>
      <c r="AA2690" s="339">
        <v>5</v>
      </c>
      <c r="AB2690" s="339">
        <v>100</v>
      </c>
      <c r="AC2690" s="339">
        <v>70</v>
      </c>
      <c r="AD2690" s="468">
        <v>0</v>
      </c>
      <c r="AE2690" s="468">
        <v>1</v>
      </c>
      <c r="AF2690" s="468">
        <v>1</v>
      </c>
      <c r="AG2690" s="256"/>
      <c r="AH2690" s="256"/>
      <c r="AI2690" s="256"/>
      <c r="AJ2690" s="256"/>
      <c r="AK2690" s="256"/>
      <c r="AL2690" s="256"/>
      <c r="AM2690" s="256"/>
      <c r="AN2690" s="424"/>
      <c r="AO2690" s="256"/>
      <c r="AP2690" s="256"/>
      <c r="AQ2690" s="8"/>
      <c r="AR2690" s="8"/>
      <c r="AS2690" s="3">
        <v>1</v>
      </c>
    </row>
    <row r="2691" s="3" customFormat="1" spans="1:45">
      <c r="A2691" s="8">
        <v>619005</v>
      </c>
      <c r="B2691" s="8">
        <v>1001</v>
      </c>
      <c r="C2691" s="8">
        <v>6</v>
      </c>
      <c r="D2691" s="8">
        <v>1001</v>
      </c>
      <c r="E2691" s="8" t="s">
        <v>6832</v>
      </c>
      <c r="F2691" s="8" t="s">
        <v>6832</v>
      </c>
      <c r="G2691" s="8" t="s">
        <v>6833</v>
      </c>
      <c r="H2691" s="8" t="s">
        <v>1818</v>
      </c>
      <c r="I2691" s="8">
        <v>1</v>
      </c>
      <c r="J2691" s="8">
        <v>5</v>
      </c>
      <c r="K2691" s="8">
        <v>2</v>
      </c>
      <c r="L2691" s="8">
        <v>999</v>
      </c>
      <c r="M2691" s="8">
        <v>0</v>
      </c>
      <c r="N2691" s="8">
        <v>1017</v>
      </c>
      <c r="O2691" s="8">
        <v>220007</v>
      </c>
      <c r="P2691" s="8"/>
      <c r="Q2691" s="8"/>
      <c r="R2691" s="8"/>
      <c r="S2691" s="8">
        <v>1</v>
      </c>
      <c r="T2691" s="8">
        <v>5</v>
      </c>
      <c r="U2691" s="8">
        <v>100</v>
      </c>
      <c r="V2691" s="8">
        <v>1</v>
      </c>
      <c r="W2691" s="8">
        <v>1</v>
      </c>
      <c r="X2691" s="8">
        <v>1</v>
      </c>
      <c r="Y2691" s="8">
        <v>0</v>
      </c>
      <c r="Z2691" s="8">
        <v>0</v>
      </c>
      <c r="AA2691" s="8">
        <v>5</v>
      </c>
      <c r="AB2691" s="8">
        <v>100</v>
      </c>
      <c r="AC2691" s="8">
        <v>110</v>
      </c>
      <c r="AD2691" s="8">
        <v>0</v>
      </c>
      <c r="AE2691" s="8">
        <v>4</v>
      </c>
      <c r="AF2691" s="8">
        <v>2</v>
      </c>
      <c r="AG2691" s="8"/>
      <c r="AH2691" s="8">
        <v>1</v>
      </c>
      <c r="AI2691" s="8"/>
      <c r="AJ2691" s="8"/>
      <c r="AK2691" s="8"/>
      <c r="AL2691" s="8">
        <v>1</v>
      </c>
      <c r="AM2691" s="8"/>
      <c r="AN2691" s="8"/>
      <c r="AO2691" s="8"/>
      <c r="AP2691" s="8"/>
      <c r="AQ2691" s="8"/>
      <c r="AR2691" s="8"/>
      <c r="AS2691" s="3">
        <v>1</v>
      </c>
    </row>
    <row r="2692" s="3" customFormat="1" spans="1:45">
      <c r="A2692" s="8">
        <v>619006</v>
      </c>
      <c r="B2692" s="8">
        <v>1001</v>
      </c>
      <c r="C2692" s="8">
        <v>6</v>
      </c>
      <c r="D2692" s="8">
        <v>1001</v>
      </c>
      <c r="E2692" s="8" t="s">
        <v>6834</v>
      </c>
      <c r="F2692" s="8" t="s">
        <v>6834</v>
      </c>
      <c r="G2692" s="8" t="s">
        <v>6835</v>
      </c>
      <c r="H2692" s="8" t="s">
        <v>1531</v>
      </c>
      <c r="I2692" s="8">
        <v>1</v>
      </c>
      <c r="J2692" s="8">
        <v>5</v>
      </c>
      <c r="K2692" s="8">
        <v>2</v>
      </c>
      <c r="L2692" s="8">
        <v>999</v>
      </c>
      <c r="M2692" s="8">
        <v>0</v>
      </c>
      <c r="N2692" s="8">
        <v>1035</v>
      </c>
      <c r="O2692" s="8">
        <v>46</v>
      </c>
      <c r="P2692" s="8"/>
      <c r="Q2692" s="8"/>
      <c r="R2692" s="8"/>
      <c r="S2692" s="8">
        <v>0</v>
      </c>
      <c r="T2692" s="8">
        <v>5</v>
      </c>
      <c r="U2692" s="8">
        <v>1</v>
      </c>
      <c r="V2692" s="8">
        <v>1</v>
      </c>
      <c r="W2692" s="8">
        <v>1</v>
      </c>
      <c r="X2692" s="8">
        <v>1</v>
      </c>
      <c r="Y2692" s="8">
        <v>0</v>
      </c>
      <c r="Z2692" s="8">
        <v>0</v>
      </c>
      <c r="AA2692" s="8">
        <v>5</v>
      </c>
      <c r="AB2692" s="8">
        <v>100</v>
      </c>
      <c r="AC2692" s="8">
        <v>70</v>
      </c>
      <c r="AD2692" s="8">
        <v>0</v>
      </c>
      <c r="AE2692" s="8">
        <v>1</v>
      </c>
      <c r="AF2692" s="8">
        <v>1</v>
      </c>
      <c r="AG2692" s="8"/>
      <c r="AH2692" s="8"/>
      <c r="AI2692" s="8"/>
      <c r="AJ2692" s="8"/>
      <c r="AK2692" s="8"/>
      <c r="AL2692" s="8"/>
      <c r="AM2692" s="8"/>
      <c r="AN2692" s="8"/>
      <c r="AO2692" s="8"/>
      <c r="AP2692" s="8"/>
      <c r="AQ2692" s="8"/>
      <c r="AR2692" s="8"/>
      <c r="AS2692" s="3">
        <v>1</v>
      </c>
    </row>
    <row r="2693" s="3" customFormat="1" spans="1:45">
      <c r="A2693" s="8">
        <v>619007</v>
      </c>
      <c r="B2693" s="8">
        <v>1001</v>
      </c>
      <c r="C2693" s="8">
        <v>6</v>
      </c>
      <c r="D2693" s="8">
        <v>1001</v>
      </c>
      <c r="E2693" s="8" t="s">
        <v>6836</v>
      </c>
      <c r="F2693" s="8" t="s">
        <v>6836</v>
      </c>
      <c r="G2693" s="8" t="s">
        <v>6837</v>
      </c>
      <c r="H2693" s="8" t="s">
        <v>204</v>
      </c>
      <c r="I2693" s="8">
        <v>1</v>
      </c>
      <c r="J2693" s="8">
        <v>5</v>
      </c>
      <c r="K2693" s="8">
        <v>2</v>
      </c>
      <c r="L2693" s="8">
        <v>999</v>
      </c>
      <c r="M2693" s="8">
        <v>0</v>
      </c>
      <c r="N2693" s="8">
        <v>1017</v>
      </c>
      <c r="O2693" s="8">
        <v>220008</v>
      </c>
      <c r="P2693" s="8"/>
      <c r="Q2693" s="8"/>
      <c r="R2693" s="8"/>
      <c r="S2693" s="8">
        <v>1</v>
      </c>
      <c r="T2693" s="8">
        <v>5</v>
      </c>
      <c r="U2693" s="8">
        <v>1</v>
      </c>
      <c r="V2693" s="8">
        <v>1</v>
      </c>
      <c r="W2693" s="8">
        <v>1</v>
      </c>
      <c r="X2693" s="8">
        <v>1</v>
      </c>
      <c r="Y2693" s="8">
        <v>0</v>
      </c>
      <c r="Z2693" s="8">
        <v>0</v>
      </c>
      <c r="AA2693" s="8">
        <v>5</v>
      </c>
      <c r="AB2693" s="8">
        <v>100</v>
      </c>
      <c r="AC2693" s="8">
        <v>70</v>
      </c>
      <c r="AD2693" s="8">
        <v>0</v>
      </c>
      <c r="AE2693" s="8">
        <v>1</v>
      </c>
      <c r="AF2693" s="8">
        <v>2</v>
      </c>
      <c r="AG2693" s="8"/>
      <c r="AH2693" s="8"/>
      <c r="AI2693" s="8"/>
      <c r="AJ2693" s="8"/>
      <c r="AK2693" s="8"/>
      <c r="AL2693" s="8"/>
      <c r="AM2693" s="8"/>
      <c r="AN2693" s="8"/>
      <c r="AO2693" s="8"/>
      <c r="AP2693" s="8"/>
      <c r="AQ2693" s="8"/>
      <c r="AR2693" s="8"/>
      <c r="AS2693" s="3">
        <v>1</v>
      </c>
    </row>
    <row r="2694" s="3" customFormat="1" spans="1:45">
      <c r="A2694" s="8">
        <v>619008</v>
      </c>
      <c r="B2694" s="8">
        <v>1001</v>
      </c>
      <c r="C2694" s="8">
        <v>1</v>
      </c>
      <c r="D2694" s="8">
        <v>1001</v>
      </c>
      <c r="E2694" s="118" t="s">
        <v>6838</v>
      </c>
      <c r="F2694" s="8" t="s">
        <v>6838</v>
      </c>
      <c r="G2694" s="8" t="s">
        <v>6839</v>
      </c>
      <c r="H2694" s="8" t="s">
        <v>1369</v>
      </c>
      <c r="I2694" s="8">
        <v>1</v>
      </c>
      <c r="J2694" s="8">
        <v>2</v>
      </c>
      <c r="K2694" s="8">
        <v>1</v>
      </c>
      <c r="L2694" s="8">
        <v>999</v>
      </c>
      <c r="M2694" s="8">
        <v>0</v>
      </c>
      <c r="N2694" s="8"/>
      <c r="O2694" s="8"/>
      <c r="P2694" s="8"/>
      <c r="Q2694" s="8"/>
      <c r="R2694" s="8"/>
      <c r="S2694" s="8">
        <v>1</v>
      </c>
      <c r="T2694" s="8">
        <v>5</v>
      </c>
      <c r="U2694" s="8">
        <v>50</v>
      </c>
      <c r="V2694" s="8">
        <v>1</v>
      </c>
      <c r="W2694" s="8">
        <v>1</v>
      </c>
      <c r="X2694" s="8">
        <v>1</v>
      </c>
      <c r="Y2694" s="8">
        <v>0</v>
      </c>
      <c r="Z2694" s="8">
        <v>0</v>
      </c>
      <c r="AA2694" s="8">
        <v>5</v>
      </c>
      <c r="AB2694" s="8">
        <v>500</v>
      </c>
      <c r="AC2694" s="8">
        <v>56</v>
      </c>
      <c r="AD2694" s="8"/>
      <c r="AE2694" s="8"/>
      <c r="AF2694" s="8"/>
      <c r="AG2694" s="8"/>
      <c r="AH2694" s="8"/>
      <c r="AI2694" s="8"/>
      <c r="AJ2694" s="8"/>
      <c r="AK2694" s="8"/>
      <c r="AL2694" s="8">
        <v>1</v>
      </c>
      <c r="AM2694" s="8"/>
      <c r="AN2694" s="8"/>
      <c r="AO2694" s="8"/>
      <c r="AP2694" s="8"/>
      <c r="AQ2694" s="8"/>
      <c r="AR2694" s="8"/>
      <c r="AS2694" s="3">
        <v>1</v>
      </c>
    </row>
    <row r="2695" s="3" customFormat="1" spans="1:45">
      <c r="A2695" s="8">
        <v>619009</v>
      </c>
      <c r="B2695" s="8">
        <v>1001</v>
      </c>
      <c r="C2695" s="8">
        <v>1</v>
      </c>
      <c r="D2695" s="8">
        <v>1001</v>
      </c>
      <c r="E2695" s="118" t="s">
        <v>6840</v>
      </c>
      <c r="F2695" s="8" t="s">
        <v>6840</v>
      </c>
      <c r="G2695" s="8" t="s">
        <v>6841</v>
      </c>
      <c r="H2695" s="8" t="s">
        <v>2189</v>
      </c>
      <c r="I2695" s="8">
        <v>1</v>
      </c>
      <c r="J2695" s="8">
        <v>3</v>
      </c>
      <c r="K2695" s="8">
        <v>1</v>
      </c>
      <c r="L2695" s="8">
        <v>999</v>
      </c>
      <c r="M2695" s="8">
        <v>0</v>
      </c>
      <c r="N2695" s="8"/>
      <c r="O2695" s="8"/>
      <c r="P2695" s="8"/>
      <c r="Q2695" s="8"/>
      <c r="R2695" s="8"/>
      <c r="S2695" s="8">
        <v>1</v>
      </c>
      <c r="T2695" s="8">
        <v>5</v>
      </c>
      <c r="U2695" s="8">
        <v>100</v>
      </c>
      <c r="V2695" s="8">
        <v>1</v>
      </c>
      <c r="W2695" s="8">
        <v>1</v>
      </c>
      <c r="X2695" s="8">
        <v>1</v>
      </c>
      <c r="Y2695" s="8">
        <v>0</v>
      </c>
      <c r="Z2695" s="8">
        <v>0</v>
      </c>
      <c r="AA2695" s="8">
        <v>5</v>
      </c>
      <c r="AB2695" s="8">
        <v>1000</v>
      </c>
      <c r="AC2695" s="8">
        <v>56</v>
      </c>
      <c r="AD2695" s="8"/>
      <c r="AE2695" s="8"/>
      <c r="AF2695" s="8"/>
      <c r="AG2695" s="8"/>
      <c r="AH2695" s="8"/>
      <c r="AI2695" s="8"/>
      <c r="AJ2695" s="8"/>
      <c r="AK2695" s="8"/>
      <c r="AL2695" s="8">
        <v>1</v>
      </c>
      <c r="AM2695" s="8"/>
      <c r="AN2695" s="8"/>
      <c r="AO2695" s="8"/>
      <c r="AP2695" s="8"/>
      <c r="AQ2695" s="8"/>
      <c r="AR2695" s="8"/>
      <c r="AS2695" s="3">
        <v>1</v>
      </c>
    </row>
    <row r="2696" s="3" customFormat="1" spans="1:45">
      <c r="A2696" s="236">
        <v>619010</v>
      </c>
      <c r="B2696" s="236">
        <v>1001</v>
      </c>
      <c r="C2696" s="236">
        <v>6</v>
      </c>
      <c r="D2696" s="236">
        <v>1001</v>
      </c>
      <c r="E2696" s="236" t="s">
        <v>6842</v>
      </c>
      <c r="F2696" s="236" t="s">
        <v>6842</v>
      </c>
      <c r="G2696" s="236" t="s">
        <v>6843</v>
      </c>
      <c r="H2696" s="236" t="s">
        <v>6844</v>
      </c>
      <c r="I2696" s="236">
        <v>1</v>
      </c>
      <c r="J2696" s="236">
        <v>4</v>
      </c>
      <c r="K2696" s="236">
        <v>2</v>
      </c>
      <c r="L2696" s="236">
        <v>999</v>
      </c>
      <c r="M2696" s="236">
        <v>0</v>
      </c>
      <c r="N2696" s="236">
        <v>1017</v>
      </c>
      <c r="O2696" s="236">
        <v>100246</v>
      </c>
      <c r="P2696" s="236"/>
      <c r="Q2696" s="236"/>
      <c r="R2696" s="236"/>
      <c r="S2696" s="236">
        <v>1</v>
      </c>
      <c r="T2696" s="236">
        <v>5</v>
      </c>
      <c r="U2696" s="236">
        <v>200</v>
      </c>
      <c r="V2696" s="236">
        <v>1</v>
      </c>
      <c r="W2696" s="236">
        <v>1</v>
      </c>
      <c r="X2696" s="236">
        <v>1</v>
      </c>
      <c r="Y2696" s="236">
        <v>0</v>
      </c>
      <c r="Z2696" s="236">
        <v>0</v>
      </c>
      <c r="AA2696" s="236">
        <v>5</v>
      </c>
      <c r="AB2696" s="236">
        <v>2000</v>
      </c>
      <c r="AC2696" s="236">
        <v>56</v>
      </c>
      <c r="AD2696" s="236">
        <v>0</v>
      </c>
      <c r="AE2696" s="236">
        <v>4</v>
      </c>
      <c r="AF2696" s="236">
        <v>2</v>
      </c>
      <c r="AG2696" s="236"/>
      <c r="AH2696" s="236"/>
      <c r="AI2696" s="236"/>
      <c r="AJ2696" s="236"/>
      <c r="AK2696" s="236"/>
      <c r="AL2696" s="236">
        <v>1</v>
      </c>
      <c r="AM2696" s="236"/>
      <c r="AN2696" s="236"/>
      <c r="AO2696" s="236"/>
      <c r="AP2696" s="236"/>
      <c r="AQ2696" s="236"/>
      <c r="AR2696" s="236"/>
      <c r="AS2696" s="3">
        <v>1</v>
      </c>
    </row>
    <row r="2697" s="3" customFormat="1" spans="1:45">
      <c r="A2697" s="3">
        <v>619011</v>
      </c>
      <c r="B2697" s="339">
        <v>1001</v>
      </c>
      <c r="C2697" s="3">
        <v>6</v>
      </c>
      <c r="D2697" s="339">
        <v>1001</v>
      </c>
      <c r="E2697" s="3" t="s">
        <v>6845</v>
      </c>
      <c r="F2697" s="3" t="s">
        <v>6845</v>
      </c>
      <c r="G2697" s="3" t="s">
        <v>6846</v>
      </c>
      <c r="H2697" s="3" t="s">
        <v>1818</v>
      </c>
      <c r="I2697" s="3">
        <v>1</v>
      </c>
      <c r="J2697" s="3">
        <v>5</v>
      </c>
      <c r="K2697" s="33">
        <v>2</v>
      </c>
      <c r="L2697" s="3">
        <v>999</v>
      </c>
      <c r="M2697" s="3">
        <v>0</v>
      </c>
      <c r="N2697" s="3">
        <v>1017</v>
      </c>
      <c r="O2697" s="470">
        <v>220009</v>
      </c>
      <c r="R2697" s="33"/>
      <c r="S2697" s="33">
        <v>1</v>
      </c>
      <c r="T2697" s="3">
        <v>5</v>
      </c>
      <c r="U2697" s="3">
        <v>100</v>
      </c>
      <c r="V2697" s="33">
        <v>1</v>
      </c>
      <c r="W2697" s="3">
        <v>1</v>
      </c>
      <c r="X2697" s="3">
        <v>1</v>
      </c>
      <c r="Y2697" s="3">
        <v>0</v>
      </c>
      <c r="Z2697" s="33">
        <v>0</v>
      </c>
      <c r="AA2697" s="3">
        <v>5</v>
      </c>
      <c r="AB2697" s="3">
        <v>100</v>
      </c>
      <c r="AC2697" s="3">
        <v>110</v>
      </c>
      <c r="AD2697" s="445">
        <v>0</v>
      </c>
      <c r="AE2697" s="445">
        <v>4</v>
      </c>
      <c r="AF2697" s="445">
        <v>2</v>
      </c>
      <c r="AG2697" s="64"/>
      <c r="AH2697" s="64">
        <v>1</v>
      </c>
      <c r="AI2697" s="64"/>
      <c r="AJ2697" s="64"/>
      <c r="AK2697" s="64"/>
      <c r="AL2697" s="64">
        <v>1</v>
      </c>
      <c r="AM2697" s="64"/>
      <c r="AN2697" s="65"/>
      <c r="AO2697" s="64"/>
      <c r="AP2697" s="64"/>
      <c r="AS2697" s="3">
        <v>1</v>
      </c>
    </row>
    <row r="2698" s="3" customFormat="1" spans="1:45">
      <c r="A2698" s="3">
        <v>619012</v>
      </c>
      <c r="B2698" s="236">
        <v>1001</v>
      </c>
      <c r="C2698" s="3">
        <v>6</v>
      </c>
      <c r="D2698" s="236">
        <v>1001</v>
      </c>
      <c r="E2698" s="3" t="s">
        <v>6847</v>
      </c>
      <c r="F2698" s="3" t="s">
        <v>6848</v>
      </c>
      <c r="G2698" s="3" t="s">
        <v>6849</v>
      </c>
      <c r="H2698" s="3" t="s">
        <v>6325</v>
      </c>
      <c r="I2698" s="3">
        <v>1</v>
      </c>
      <c r="J2698" s="3">
        <v>5</v>
      </c>
      <c r="K2698" s="33">
        <v>2</v>
      </c>
      <c r="L2698" s="3">
        <v>999</v>
      </c>
      <c r="M2698" s="3">
        <v>0</v>
      </c>
      <c r="N2698" s="3">
        <v>1035</v>
      </c>
      <c r="O2698" s="2">
        <v>32</v>
      </c>
      <c r="R2698" s="33"/>
      <c r="S2698" s="33">
        <v>0</v>
      </c>
      <c r="T2698" s="3">
        <v>5</v>
      </c>
      <c r="U2698" s="3">
        <v>1</v>
      </c>
      <c r="V2698" s="33">
        <v>1</v>
      </c>
      <c r="W2698" s="3">
        <v>1</v>
      </c>
      <c r="X2698" s="3">
        <v>1</v>
      </c>
      <c r="Y2698" s="3">
        <v>0</v>
      </c>
      <c r="Z2698" s="33">
        <v>0</v>
      </c>
      <c r="AA2698" s="3">
        <v>5</v>
      </c>
      <c r="AB2698" s="3">
        <v>100</v>
      </c>
      <c r="AC2698" s="3">
        <v>70</v>
      </c>
      <c r="AD2698" s="445">
        <v>0</v>
      </c>
      <c r="AE2698" s="445">
        <v>1</v>
      </c>
      <c r="AF2698" s="445">
        <v>1</v>
      </c>
      <c r="AG2698" s="64"/>
      <c r="AH2698" s="64"/>
      <c r="AI2698" s="64"/>
      <c r="AJ2698" s="64"/>
      <c r="AK2698" s="64"/>
      <c r="AL2698" s="64"/>
      <c r="AM2698" s="64"/>
      <c r="AN2698" s="65"/>
      <c r="AO2698" s="64"/>
      <c r="AP2698" s="64"/>
      <c r="AS2698" s="3">
        <v>1</v>
      </c>
    </row>
    <row r="2699" s="3" customFormat="1" spans="1:45">
      <c r="A2699" s="339">
        <v>619013</v>
      </c>
      <c r="B2699" s="339">
        <v>1001</v>
      </c>
      <c r="C2699" s="339">
        <v>6</v>
      </c>
      <c r="D2699" s="339">
        <v>1001</v>
      </c>
      <c r="E2699" s="339" t="s">
        <v>6850</v>
      </c>
      <c r="F2699" s="339" t="s">
        <v>6850</v>
      </c>
      <c r="G2699" s="339" t="s">
        <v>6851</v>
      </c>
      <c r="H2699" s="339" t="s">
        <v>6325</v>
      </c>
      <c r="I2699" s="339">
        <v>1</v>
      </c>
      <c r="J2699" s="339">
        <v>5</v>
      </c>
      <c r="K2699" s="254">
        <v>2</v>
      </c>
      <c r="L2699" s="339">
        <v>999</v>
      </c>
      <c r="M2699" s="339">
        <v>0</v>
      </c>
      <c r="N2699" s="339">
        <v>1035</v>
      </c>
      <c r="O2699" s="258">
        <v>33</v>
      </c>
      <c r="P2699" s="8"/>
      <c r="Q2699" s="8"/>
      <c r="R2699" s="254"/>
      <c r="S2699" s="254">
        <v>0</v>
      </c>
      <c r="T2699" s="339">
        <v>5</v>
      </c>
      <c r="U2699" s="339">
        <v>1</v>
      </c>
      <c r="V2699" s="254">
        <v>1</v>
      </c>
      <c r="W2699" s="339">
        <v>1</v>
      </c>
      <c r="X2699" s="339">
        <v>1</v>
      </c>
      <c r="Y2699" s="339">
        <v>0</v>
      </c>
      <c r="Z2699" s="254">
        <v>0</v>
      </c>
      <c r="AA2699" s="339">
        <v>5</v>
      </c>
      <c r="AB2699" s="339">
        <v>100</v>
      </c>
      <c r="AC2699" s="339">
        <v>70</v>
      </c>
      <c r="AD2699" s="468">
        <v>0</v>
      </c>
      <c r="AE2699" s="468">
        <v>1</v>
      </c>
      <c r="AF2699" s="468">
        <v>1</v>
      </c>
      <c r="AG2699" s="256"/>
      <c r="AH2699" s="256"/>
      <c r="AI2699" s="256"/>
      <c r="AJ2699" s="256"/>
      <c r="AK2699" s="256"/>
      <c r="AL2699" s="256"/>
      <c r="AM2699" s="256"/>
      <c r="AN2699" s="424"/>
      <c r="AO2699" s="256"/>
      <c r="AP2699" s="256"/>
      <c r="AQ2699" s="8"/>
      <c r="AR2699" s="8"/>
      <c r="AS2699" s="3">
        <v>1</v>
      </c>
    </row>
    <row r="2700" s="3" customFormat="1" spans="1:45">
      <c r="A2700" s="8">
        <v>619014</v>
      </c>
      <c r="B2700" s="8">
        <v>1001</v>
      </c>
      <c r="C2700" s="8">
        <v>6</v>
      </c>
      <c r="D2700" s="8">
        <v>1001</v>
      </c>
      <c r="E2700" s="8" t="s">
        <v>6852</v>
      </c>
      <c r="F2700" s="8" t="s">
        <v>6852</v>
      </c>
      <c r="G2700" s="8" t="s">
        <v>6853</v>
      </c>
      <c r="H2700" s="8" t="s">
        <v>6325</v>
      </c>
      <c r="I2700" s="8">
        <v>1</v>
      </c>
      <c r="J2700" s="8">
        <v>5</v>
      </c>
      <c r="K2700" s="8">
        <v>2</v>
      </c>
      <c r="L2700" s="8">
        <v>999</v>
      </c>
      <c r="M2700" s="8">
        <v>0</v>
      </c>
      <c r="N2700" s="8">
        <v>1035</v>
      </c>
      <c r="O2700" s="8">
        <v>34</v>
      </c>
      <c r="P2700" s="8"/>
      <c r="Q2700" s="8"/>
      <c r="R2700" s="8"/>
      <c r="S2700" s="8">
        <v>0</v>
      </c>
      <c r="T2700" s="8">
        <v>5</v>
      </c>
      <c r="U2700" s="8">
        <v>1</v>
      </c>
      <c r="V2700" s="8">
        <v>1</v>
      </c>
      <c r="W2700" s="8">
        <v>1</v>
      </c>
      <c r="X2700" s="8">
        <v>1</v>
      </c>
      <c r="Y2700" s="8">
        <v>0</v>
      </c>
      <c r="Z2700" s="8">
        <v>0</v>
      </c>
      <c r="AA2700" s="8">
        <v>5</v>
      </c>
      <c r="AB2700" s="8">
        <v>100</v>
      </c>
      <c r="AC2700" s="8">
        <v>70</v>
      </c>
      <c r="AD2700" s="8">
        <v>0</v>
      </c>
      <c r="AE2700" s="8">
        <v>1</v>
      </c>
      <c r="AF2700" s="8">
        <v>1</v>
      </c>
      <c r="AG2700" s="8"/>
      <c r="AH2700" s="8"/>
      <c r="AI2700" s="8"/>
      <c r="AJ2700" s="8"/>
      <c r="AK2700" s="8"/>
      <c r="AL2700" s="8"/>
      <c r="AM2700" s="8"/>
      <c r="AN2700" s="8"/>
      <c r="AO2700" s="8"/>
      <c r="AP2700" s="8"/>
      <c r="AQ2700" s="8"/>
      <c r="AR2700" s="8"/>
      <c r="AS2700" s="3">
        <v>1</v>
      </c>
    </row>
    <row r="2701" s="3" customFormat="1" spans="1:45">
      <c r="A2701" s="8">
        <v>619015</v>
      </c>
      <c r="B2701" s="8">
        <v>1001</v>
      </c>
      <c r="C2701" s="8">
        <v>6</v>
      </c>
      <c r="D2701" s="8">
        <v>1001</v>
      </c>
      <c r="E2701" s="8" t="s">
        <v>6854</v>
      </c>
      <c r="F2701" s="8" t="s">
        <v>6854</v>
      </c>
      <c r="G2701" s="8" t="s">
        <v>6855</v>
      </c>
      <c r="H2701" s="8" t="s">
        <v>6325</v>
      </c>
      <c r="I2701" s="8">
        <v>1</v>
      </c>
      <c r="J2701" s="8">
        <v>5</v>
      </c>
      <c r="K2701" s="8">
        <v>2</v>
      </c>
      <c r="L2701" s="8">
        <v>999</v>
      </c>
      <c r="M2701" s="8">
        <v>0</v>
      </c>
      <c r="N2701" s="8">
        <v>1035</v>
      </c>
      <c r="O2701" s="8">
        <v>35</v>
      </c>
      <c r="P2701" s="8"/>
      <c r="Q2701" s="8"/>
      <c r="R2701" s="8"/>
      <c r="S2701" s="8">
        <v>0</v>
      </c>
      <c r="T2701" s="8">
        <v>5</v>
      </c>
      <c r="U2701" s="8">
        <v>1</v>
      </c>
      <c r="V2701" s="8">
        <v>1</v>
      </c>
      <c r="W2701" s="8">
        <v>1</v>
      </c>
      <c r="X2701" s="8">
        <v>1</v>
      </c>
      <c r="Y2701" s="8">
        <v>0</v>
      </c>
      <c r="Z2701" s="8">
        <v>0</v>
      </c>
      <c r="AA2701" s="8">
        <v>5</v>
      </c>
      <c r="AB2701" s="8">
        <v>100</v>
      </c>
      <c r="AC2701" s="8">
        <v>70</v>
      </c>
      <c r="AD2701" s="8">
        <v>0</v>
      </c>
      <c r="AE2701" s="8">
        <v>1</v>
      </c>
      <c r="AF2701" s="8">
        <v>1</v>
      </c>
      <c r="AG2701" s="8"/>
      <c r="AH2701" s="8"/>
      <c r="AI2701" s="8"/>
      <c r="AJ2701" s="8"/>
      <c r="AK2701" s="8"/>
      <c r="AL2701" s="8"/>
      <c r="AM2701" s="8"/>
      <c r="AN2701" s="8"/>
      <c r="AO2701" s="8"/>
      <c r="AP2701" s="8"/>
      <c r="AQ2701" s="8"/>
      <c r="AR2701" s="8"/>
      <c r="AS2701" s="3">
        <v>1</v>
      </c>
    </row>
    <row r="2702" spans="1:45">
      <c r="A2702" s="8">
        <v>619016</v>
      </c>
      <c r="B2702" s="8">
        <v>1001</v>
      </c>
      <c r="C2702" s="8">
        <v>6</v>
      </c>
      <c r="D2702" s="8">
        <v>1001</v>
      </c>
      <c r="E2702" s="8" t="s">
        <v>6856</v>
      </c>
      <c r="F2702" s="8" t="s">
        <v>6280</v>
      </c>
      <c r="G2702" s="8" t="s">
        <v>6857</v>
      </c>
      <c r="H2702" s="8" t="s">
        <v>204</v>
      </c>
      <c r="I2702" s="8">
        <v>1</v>
      </c>
      <c r="J2702" s="8">
        <v>5</v>
      </c>
      <c r="K2702" s="8">
        <v>2</v>
      </c>
      <c r="L2702" s="8">
        <v>999</v>
      </c>
      <c r="M2702" s="8">
        <v>0</v>
      </c>
      <c r="N2702" s="8">
        <v>1018</v>
      </c>
      <c r="O2702" s="8" t="s">
        <v>6858</v>
      </c>
      <c r="P2702" s="8"/>
      <c r="Q2702" s="8"/>
      <c r="R2702" s="8"/>
      <c r="S2702" s="8">
        <v>1</v>
      </c>
      <c r="T2702" s="8">
        <v>5</v>
      </c>
      <c r="U2702" s="8">
        <v>200</v>
      </c>
      <c r="V2702" s="8">
        <v>1</v>
      </c>
      <c r="W2702" s="8">
        <v>1</v>
      </c>
      <c r="X2702" s="8">
        <v>1</v>
      </c>
      <c r="Y2702" s="8">
        <v>0</v>
      </c>
      <c r="Z2702" s="8">
        <v>0</v>
      </c>
      <c r="AA2702" s="8">
        <v>5</v>
      </c>
      <c r="AB2702" s="8">
        <v>2000</v>
      </c>
      <c r="AC2702" s="8">
        <v>56</v>
      </c>
      <c r="AD2702" s="8">
        <v>0</v>
      </c>
      <c r="AE2702" s="8">
        <v>5</v>
      </c>
      <c r="AF2702" s="8">
        <v>2</v>
      </c>
      <c r="AG2702" s="8"/>
      <c r="AH2702" s="8"/>
      <c r="AI2702" s="8"/>
      <c r="AJ2702" s="8"/>
      <c r="AK2702" s="8"/>
      <c r="AL2702" s="8"/>
      <c r="AM2702" s="8"/>
      <c r="AN2702" s="8"/>
      <c r="AO2702" s="8"/>
      <c r="AP2702" s="8"/>
      <c r="AQ2702" s="8"/>
      <c r="AR2702" s="8"/>
      <c r="AS2702" s="3">
        <v>1</v>
      </c>
    </row>
    <row r="2703" s="3" customFormat="1" spans="1:45">
      <c r="A2703" s="8">
        <v>619017</v>
      </c>
      <c r="B2703" s="8">
        <v>1001</v>
      </c>
      <c r="C2703" s="8">
        <v>6</v>
      </c>
      <c r="D2703" s="8">
        <v>1001</v>
      </c>
      <c r="E2703" s="8" t="s">
        <v>6859</v>
      </c>
      <c r="F2703" s="8" t="s">
        <v>5749</v>
      </c>
      <c r="G2703" s="8" t="s">
        <v>6860</v>
      </c>
      <c r="H2703" s="8" t="s">
        <v>204</v>
      </c>
      <c r="I2703" s="8">
        <v>1</v>
      </c>
      <c r="J2703" s="8">
        <v>5</v>
      </c>
      <c r="K2703" s="8">
        <v>2</v>
      </c>
      <c r="L2703" s="8">
        <v>999</v>
      </c>
      <c r="M2703" s="8">
        <v>0</v>
      </c>
      <c r="N2703" s="8">
        <v>1018</v>
      </c>
      <c r="O2703" s="8" t="s">
        <v>6861</v>
      </c>
      <c r="P2703" s="8"/>
      <c r="Q2703" s="8"/>
      <c r="R2703" s="8"/>
      <c r="S2703" s="8">
        <v>1</v>
      </c>
      <c r="T2703" s="8">
        <v>5</v>
      </c>
      <c r="U2703" s="8">
        <v>200</v>
      </c>
      <c r="V2703" s="8">
        <v>1</v>
      </c>
      <c r="W2703" s="8">
        <v>1</v>
      </c>
      <c r="X2703" s="8">
        <v>1</v>
      </c>
      <c r="Y2703" s="8">
        <v>0</v>
      </c>
      <c r="Z2703" s="8">
        <v>0</v>
      </c>
      <c r="AA2703" s="8">
        <v>5</v>
      </c>
      <c r="AB2703" s="8">
        <v>2000</v>
      </c>
      <c r="AC2703" s="8">
        <v>56</v>
      </c>
      <c r="AD2703" s="159">
        <v>0</v>
      </c>
      <c r="AE2703" s="159">
        <v>5</v>
      </c>
      <c r="AF2703" s="159">
        <v>2</v>
      </c>
      <c r="AG2703" s="159"/>
      <c r="AH2703" s="159"/>
      <c r="AI2703" s="159"/>
      <c r="AJ2703" s="159"/>
      <c r="AK2703" s="159"/>
      <c r="AL2703" s="8"/>
      <c r="AM2703" s="8"/>
      <c r="AN2703" s="8"/>
      <c r="AO2703" s="8"/>
      <c r="AP2703" s="8"/>
      <c r="AQ2703" s="8"/>
      <c r="AR2703" s="8"/>
      <c r="AS2703">
        <v>1</v>
      </c>
    </row>
    <row r="2704" s="3" customFormat="1" spans="1:45">
      <c r="A2704" s="8">
        <v>619018</v>
      </c>
      <c r="B2704" s="8">
        <v>1001</v>
      </c>
      <c r="C2704" s="8">
        <v>6</v>
      </c>
      <c r="D2704" s="8">
        <v>1001</v>
      </c>
      <c r="E2704" s="8" t="s">
        <v>6862</v>
      </c>
      <c r="F2704" s="8" t="s">
        <v>6442</v>
      </c>
      <c r="G2704" s="8" t="s">
        <v>6863</v>
      </c>
      <c r="H2704" s="8" t="s">
        <v>1818</v>
      </c>
      <c r="I2704" s="8">
        <v>1</v>
      </c>
      <c r="J2704" s="8">
        <v>5</v>
      </c>
      <c r="K2704" s="8">
        <v>2</v>
      </c>
      <c r="L2704" s="8">
        <v>999</v>
      </c>
      <c r="M2704" s="8">
        <v>0</v>
      </c>
      <c r="N2704" s="8">
        <v>1018</v>
      </c>
      <c r="O2704" s="8" t="s">
        <v>6864</v>
      </c>
      <c r="P2704" s="8"/>
      <c r="Q2704" s="8"/>
      <c r="R2704" s="8"/>
      <c r="S2704" s="8">
        <v>1</v>
      </c>
      <c r="T2704" s="8">
        <v>5</v>
      </c>
      <c r="U2704" s="8">
        <v>200</v>
      </c>
      <c r="V2704" s="8">
        <v>1</v>
      </c>
      <c r="W2704" s="8">
        <v>1</v>
      </c>
      <c r="X2704" s="8">
        <v>1</v>
      </c>
      <c r="Y2704" s="8">
        <v>0</v>
      </c>
      <c r="Z2704" s="8">
        <v>0</v>
      </c>
      <c r="AA2704" s="8">
        <v>5</v>
      </c>
      <c r="AB2704" s="8">
        <v>2000</v>
      </c>
      <c r="AC2704" s="8">
        <v>56</v>
      </c>
      <c r="AD2704" s="159">
        <v>0</v>
      </c>
      <c r="AE2704" s="159">
        <v>5</v>
      </c>
      <c r="AF2704" s="159">
        <v>2</v>
      </c>
      <c r="AG2704" s="159"/>
      <c r="AH2704" s="159"/>
      <c r="AI2704" s="159"/>
      <c r="AJ2704" s="159"/>
      <c r="AK2704" s="159"/>
      <c r="AL2704" s="8"/>
      <c r="AM2704" s="8"/>
      <c r="AN2704" s="8"/>
      <c r="AO2704" s="8"/>
      <c r="AP2704" s="8"/>
      <c r="AQ2704" s="8"/>
      <c r="AR2704" s="8"/>
      <c r="AS2704" s="3">
        <v>1</v>
      </c>
    </row>
    <row r="2705" s="3" customFormat="1" spans="1:45">
      <c r="A2705" s="8">
        <v>619019</v>
      </c>
      <c r="B2705" s="8">
        <v>1001</v>
      </c>
      <c r="C2705" s="8">
        <v>1</v>
      </c>
      <c r="D2705" s="8">
        <v>1001</v>
      </c>
      <c r="E2705" s="8" t="s">
        <v>6865</v>
      </c>
      <c r="F2705" s="8" t="s">
        <v>6865</v>
      </c>
      <c r="G2705" s="8" t="s">
        <v>6866</v>
      </c>
      <c r="H2705" s="8" t="s">
        <v>6867</v>
      </c>
      <c r="I2705" s="8">
        <v>1</v>
      </c>
      <c r="J2705" s="8">
        <v>2</v>
      </c>
      <c r="K2705" s="8">
        <v>1</v>
      </c>
      <c r="L2705" s="8">
        <v>999</v>
      </c>
      <c r="M2705" s="8">
        <v>0</v>
      </c>
      <c r="N2705" s="8"/>
      <c r="O2705" s="8"/>
      <c r="P2705" s="8"/>
      <c r="Q2705" s="8"/>
      <c r="R2705" s="8"/>
      <c r="S2705" s="8">
        <v>1</v>
      </c>
      <c r="T2705" s="8">
        <v>5</v>
      </c>
      <c r="U2705" s="8">
        <v>1</v>
      </c>
      <c r="V2705" s="8">
        <v>1</v>
      </c>
      <c r="W2705" s="8">
        <v>1</v>
      </c>
      <c r="X2705" s="8">
        <v>1</v>
      </c>
      <c r="Y2705" s="8">
        <v>0</v>
      </c>
      <c r="Z2705" s="8">
        <v>0</v>
      </c>
      <c r="AA2705" s="8">
        <v>5</v>
      </c>
      <c r="AB2705" s="8">
        <v>2</v>
      </c>
      <c r="AC2705" s="8">
        <v>0</v>
      </c>
      <c r="AD2705" s="159">
        <v>0</v>
      </c>
      <c r="AE2705" s="159">
        <v>0</v>
      </c>
      <c r="AF2705" s="159">
        <v>0</v>
      </c>
      <c r="AG2705" s="159"/>
      <c r="AH2705" s="159">
        <v>1</v>
      </c>
      <c r="AI2705" s="159"/>
      <c r="AJ2705" s="159"/>
      <c r="AK2705" s="159"/>
      <c r="AL2705" s="8">
        <v>1</v>
      </c>
      <c r="AM2705" s="8"/>
      <c r="AN2705" s="8"/>
      <c r="AO2705" s="8"/>
      <c r="AP2705" s="8"/>
      <c r="AQ2705" s="8" t="s">
        <v>6865</v>
      </c>
      <c r="AR2705" s="8"/>
      <c r="AS2705" s="3">
        <v>1</v>
      </c>
    </row>
    <row r="2706" s="3" customFormat="1" spans="1:45">
      <c r="A2706" s="8">
        <v>619020</v>
      </c>
      <c r="B2706" s="8">
        <v>1001</v>
      </c>
      <c r="C2706" s="8">
        <v>6</v>
      </c>
      <c r="D2706" s="8">
        <v>1001</v>
      </c>
      <c r="E2706" s="8" t="s">
        <v>6868</v>
      </c>
      <c r="F2706" s="8" t="s">
        <v>6868</v>
      </c>
      <c r="G2706" s="8" t="s">
        <v>6869</v>
      </c>
      <c r="H2706" s="8" t="s">
        <v>1825</v>
      </c>
      <c r="I2706" s="8">
        <v>1</v>
      </c>
      <c r="J2706" s="8">
        <v>5</v>
      </c>
      <c r="K2706" s="8">
        <v>2</v>
      </c>
      <c r="L2706" s="8">
        <v>999</v>
      </c>
      <c r="M2706" s="8">
        <v>0</v>
      </c>
      <c r="N2706" s="8">
        <v>1</v>
      </c>
      <c r="O2706" s="8" t="s">
        <v>6870</v>
      </c>
      <c r="P2706" s="8"/>
      <c r="Q2706" s="8"/>
      <c r="R2706" s="8"/>
      <c r="S2706" s="8">
        <v>0</v>
      </c>
      <c r="T2706" s="8">
        <v>5</v>
      </c>
      <c r="U2706" s="8">
        <v>1</v>
      </c>
      <c r="V2706" s="8">
        <v>1</v>
      </c>
      <c r="W2706" s="8">
        <v>1</v>
      </c>
      <c r="X2706" s="8">
        <v>1</v>
      </c>
      <c r="Y2706" s="8">
        <v>0</v>
      </c>
      <c r="Z2706" s="8">
        <v>0</v>
      </c>
      <c r="AA2706" s="8">
        <v>5</v>
      </c>
      <c r="AB2706" s="8">
        <v>100</v>
      </c>
      <c r="AC2706" s="8">
        <v>55</v>
      </c>
      <c r="AD2706" s="159">
        <v>0</v>
      </c>
      <c r="AE2706" s="159">
        <v>4</v>
      </c>
      <c r="AF2706" s="159">
        <v>2</v>
      </c>
      <c r="AG2706" s="159"/>
      <c r="AH2706" s="159"/>
      <c r="AI2706" s="159"/>
      <c r="AJ2706" s="159"/>
      <c r="AK2706" s="159"/>
      <c r="AL2706" s="8"/>
      <c r="AM2706" s="8"/>
      <c r="AN2706" s="8"/>
      <c r="AO2706" s="8"/>
      <c r="AP2706" s="8"/>
      <c r="AQ2706" s="8"/>
      <c r="AR2706" s="8"/>
      <c r="AS2706" s="3">
        <v>1</v>
      </c>
    </row>
    <row r="2707" s="3" customFormat="1" spans="1:45">
      <c r="A2707" s="8">
        <v>619021</v>
      </c>
      <c r="B2707" s="8">
        <v>1001</v>
      </c>
      <c r="C2707" s="8">
        <v>6</v>
      </c>
      <c r="D2707" s="8">
        <v>1001</v>
      </c>
      <c r="E2707" s="8" t="s">
        <v>6871</v>
      </c>
      <c r="F2707" s="8" t="s">
        <v>6871</v>
      </c>
      <c r="G2707" s="8" t="s">
        <v>6872</v>
      </c>
      <c r="H2707" s="8" t="s">
        <v>1818</v>
      </c>
      <c r="I2707" s="8">
        <v>1</v>
      </c>
      <c r="J2707" s="8">
        <v>5</v>
      </c>
      <c r="K2707" s="8">
        <v>2</v>
      </c>
      <c r="L2707" s="8">
        <v>999</v>
      </c>
      <c r="M2707" s="8">
        <v>0</v>
      </c>
      <c r="N2707" s="8">
        <v>1017</v>
      </c>
      <c r="O2707" s="8">
        <v>220010</v>
      </c>
      <c r="P2707" s="8"/>
      <c r="Q2707" s="8"/>
      <c r="R2707" s="8"/>
      <c r="S2707" s="8">
        <v>1</v>
      </c>
      <c r="T2707" s="8">
        <v>5</v>
      </c>
      <c r="U2707" s="8">
        <v>100</v>
      </c>
      <c r="V2707" s="8">
        <v>1</v>
      </c>
      <c r="W2707" s="8">
        <v>1</v>
      </c>
      <c r="X2707" s="8">
        <v>1</v>
      </c>
      <c r="Y2707" s="8">
        <v>0</v>
      </c>
      <c r="Z2707" s="8">
        <v>0</v>
      </c>
      <c r="AA2707" s="8">
        <v>5</v>
      </c>
      <c r="AB2707" s="8">
        <v>100</v>
      </c>
      <c r="AC2707" s="8">
        <v>110</v>
      </c>
      <c r="AD2707" s="159">
        <v>0</v>
      </c>
      <c r="AE2707" s="159">
        <v>4</v>
      </c>
      <c r="AF2707" s="159">
        <v>2</v>
      </c>
      <c r="AG2707" s="159"/>
      <c r="AH2707" s="159">
        <v>1</v>
      </c>
      <c r="AI2707" s="159"/>
      <c r="AJ2707" s="159"/>
      <c r="AK2707" s="159"/>
      <c r="AL2707" s="8">
        <v>1</v>
      </c>
      <c r="AM2707" s="8"/>
      <c r="AN2707" s="8"/>
      <c r="AO2707" s="8"/>
      <c r="AP2707" s="8"/>
      <c r="AQ2707" s="8"/>
      <c r="AR2707" s="8"/>
      <c r="AS2707" s="3">
        <v>1</v>
      </c>
    </row>
    <row r="2708" s="3" customFormat="1" spans="1:45">
      <c r="A2708" s="8">
        <v>619022</v>
      </c>
      <c r="B2708" s="8">
        <v>1001</v>
      </c>
      <c r="C2708" s="8">
        <v>1</v>
      </c>
      <c r="D2708" s="8">
        <v>1001</v>
      </c>
      <c r="E2708" s="8" t="s">
        <v>6873</v>
      </c>
      <c r="F2708" s="8" t="s">
        <v>6873</v>
      </c>
      <c r="G2708" s="8" t="s">
        <v>6873</v>
      </c>
      <c r="H2708" s="8" t="s">
        <v>6874</v>
      </c>
      <c r="I2708" s="8">
        <v>1</v>
      </c>
      <c r="J2708" s="8">
        <v>5</v>
      </c>
      <c r="K2708" s="8">
        <v>1</v>
      </c>
      <c r="L2708" s="8">
        <v>999</v>
      </c>
      <c r="M2708" s="8">
        <v>0</v>
      </c>
      <c r="N2708" s="8"/>
      <c r="O2708" s="8"/>
      <c r="P2708" s="8"/>
      <c r="Q2708" s="8"/>
      <c r="R2708" s="8"/>
      <c r="S2708" s="8">
        <v>0</v>
      </c>
      <c r="T2708" s="8">
        <v>5</v>
      </c>
      <c r="U2708" s="8">
        <v>0</v>
      </c>
      <c r="V2708" s="8">
        <v>1</v>
      </c>
      <c r="W2708" s="8">
        <v>1</v>
      </c>
      <c r="X2708" s="8">
        <v>1</v>
      </c>
      <c r="Y2708" s="8">
        <v>0</v>
      </c>
      <c r="Z2708" s="8">
        <v>0</v>
      </c>
      <c r="AA2708" s="8">
        <v>5</v>
      </c>
      <c r="AB2708" s="8">
        <v>0</v>
      </c>
      <c r="AC2708" s="8">
        <v>0</v>
      </c>
      <c r="AD2708" s="159">
        <v>0</v>
      </c>
      <c r="AE2708" s="159">
        <v>0</v>
      </c>
      <c r="AF2708" s="159">
        <v>0</v>
      </c>
      <c r="AG2708" s="159"/>
      <c r="AH2708" s="159">
        <v>1</v>
      </c>
      <c r="AI2708" s="159"/>
      <c r="AJ2708" s="159"/>
      <c r="AK2708" s="159"/>
      <c r="AL2708" s="8">
        <v>1</v>
      </c>
      <c r="AM2708" s="8"/>
      <c r="AN2708" s="8"/>
      <c r="AO2708" s="8"/>
      <c r="AP2708" s="8"/>
      <c r="AQ2708" s="8"/>
      <c r="AR2708" s="8"/>
      <c r="AS2708" s="3">
        <v>1</v>
      </c>
    </row>
    <row r="2709" s="3" customFormat="1" spans="1:45">
      <c r="A2709" s="8">
        <v>619023</v>
      </c>
      <c r="B2709" s="8">
        <v>1001</v>
      </c>
      <c r="C2709" s="8">
        <v>6</v>
      </c>
      <c r="D2709" s="8">
        <v>1001</v>
      </c>
      <c r="E2709" s="8" t="s">
        <v>6875</v>
      </c>
      <c r="F2709" s="8" t="s">
        <v>6876</v>
      </c>
      <c r="G2709" s="8" t="s">
        <v>6877</v>
      </c>
      <c r="H2709" s="8" t="s">
        <v>1583</v>
      </c>
      <c r="I2709" s="8">
        <v>1</v>
      </c>
      <c r="J2709" s="8">
        <v>4</v>
      </c>
      <c r="K2709" s="8">
        <v>2</v>
      </c>
      <c r="L2709" s="8">
        <v>999</v>
      </c>
      <c r="M2709" s="8">
        <v>0</v>
      </c>
      <c r="N2709" s="8">
        <v>1018</v>
      </c>
      <c r="O2709" s="8" t="s">
        <v>6878</v>
      </c>
      <c r="P2709" s="8"/>
      <c r="Q2709" s="8"/>
      <c r="R2709" s="8"/>
      <c r="S2709" s="8">
        <v>1</v>
      </c>
      <c r="T2709" s="8">
        <v>5</v>
      </c>
      <c r="U2709" s="8">
        <v>200</v>
      </c>
      <c r="V2709" s="8">
        <v>1</v>
      </c>
      <c r="W2709" s="8">
        <v>1</v>
      </c>
      <c r="X2709" s="8">
        <v>1</v>
      </c>
      <c r="Y2709" s="8">
        <v>0</v>
      </c>
      <c r="Z2709" s="8">
        <v>0</v>
      </c>
      <c r="AA2709" s="8">
        <v>5</v>
      </c>
      <c r="AB2709" s="8">
        <v>1000</v>
      </c>
      <c r="AC2709" s="8">
        <v>56</v>
      </c>
      <c r="AD2709" s="159">
        <v>0</v>
      </c>
      <c r="AE2709" s="159">
        <v>5</v>
      </c>
      <c r="AF2709" s="159">
        <v>2</v>
      </c>
      <c r="AG2709" s="159"/>
      <c r="AH2709" s="159"/>
      <c r="AI2709" s="159"/>
      <c r="AJ2709" s="159"/>
      <c r="AK2709" s="159"/>
      <c r="AL2709" s="8"/>
      <c r="AM2709" s="8"/>
      <c r="AN2709" s="8"/>
      <c r="AO2709" s="8"/>
      <c r="AP2709" s="8"/>
      <c r="AQ2709" s="8"/>
      <c r="AR2709" s="8"/>
      <c r="AS2709" s="3">
        <v>1</v>
      </c>
    </row>
    <row r="2710" s="3" customFormat="1" ht="16.5" customHeight="1" spans="1:45">
      <c r="A2710" s="236">
        <v>619024</v>
      </c>
      <c r="B2710" s="236">
        <v>1001</v>
      </c>
      <c r="C2710" s="236">
        <v>1</v>
      </c>
      <c r="D2710" s="236">
        <v>1001</v>
      </c>
      <c r="E2710" s="236" t="s">
        <v>6879</v>
      </c>
      <c r="F2710" s="236" t="s">
        <v>6879</v>
      </c>
      <c r="G2710" s="236" t="s">
        <v>6880</v>
      </c>
      <c r="H2710" s="236" t="s">
        <v>6881</v>
      </c>
      <c r="I2710" s="236">
        <v>1</v>
      </c>
      <c r="J2710" s="236">
        <v>3</v>
      </c>
      <c r="K2710" s="236">
        <v>1</v>
      </c>
      <c r="L2710" s="236">
        <v>999</v>
      </c>
      <c r="M2710" s="236">
        <v>0</v>
      </c>
      <c r="N2710" s="236"/>
      <c r="O2710" s="8"/>
      <c r="P2710" s="236"/>
      <c r="Q2710" s="236"/>
      <c r="R2710" s="236"/>
      <c r="S2710" s="236">
        <v>0</v>
      </c>
      <c r="T2710" s="236">
        <v>5</v>
      </c>
      <c r="U2710" s="236">
        <v>100</v>
      </c>
      <c r="V2710" s="236">
        <v>1</v>
      </c>
      <c r="W2710" s="236">
        <v>1</v>
      </c>
      <c r="X2710" s="236">
        <v>1</v>
      </c>
      <c r="Y2710" s="236">
        <v>0</v>
      </c>
      <c r="Z2710" s="236">
        <v>0</v>
      </c>
      <c r="AA2710" s="236">
        <v>5</v>
      </c>
      <c r="AB2710" s="8">
        <v>1000</v>
      </c>
      <c r="AC2710" s="236">
        <v>60</v>
      </c>
      <c r="AD2710" s="456"/>
      <c r="AE2710" s="456"/>
      <c r="AF2710" s="456"/>
      <c r="AG2710" s="456"/>
      <c r="AH2710" s="456"/>
      <c r="AI2710" s="456"/>
      <c r="AJ2710" s="456"/>
      <c r="AK2710" s="456"/>
      <c r="AL2710" s="236"/>
      <c r="AM2710" s="236"/>
      <c r="AN2710" s="236"/>
      <c r="AO2710" s="236"/>
      <c r="AP2710" s="236"/>
      <c r="AQ2710" s="236"/>
      <c r="AR2710" s="236"/>
      <c r="AS2710" s="3">
        <v>1</v>
      </c>
    </row>
    <row r="2711" s="3" customFormat="1" ht="16.5" customHeight="1" spans="1:45">
      <c r="A2711" s="3">
        <v>619025</v>
      </c>
      <c r="B2711" s="3">
        <v>1001</v>
      </c>
      <c r="C2711" s="3">
        <v>1</v>
      </c>
      <c r="D2711" s="3">
        <v>1001</v>
      </c>
      <c r="E2711" s="3" t="s">
        <v>6882</v>
      </c>
      <c r="F2711" s="3" t="s">
        <v>6882</v>
      </c>
      <c r="G2711" s="3" t="s">
        <v>6883</v>
      </c>
      <c r="H2711" s="348" t="s">
        <v>6884</v>
      </c>
      <c r="I2711" s="3">
        <v>1</v>
      </c>
      <c r="J2711" s="3">
        <v>4</v>
      </c>
      <c r="K2711" s="33">
        <v>1</v>
      </c>
      <c r="L2711" s="3">
        <v>999</v>
      </c>
      <c r="M2711" s="3">
        <v>0</v>
      </c>
      <c r="O2711" s="8"/>
      <c r="P2711" s="471"/>
      <c r="S2711" s="33">
        <v>0</v>
      </c>
      <c r="T2711" s="3">
        <v>5</v>
      </c>
      <c r="U2711" s="3">
        <v>100</v>
      </c>
      <c r="V2711" s="33">
        <v>1</v>
      </c>
      <c r="W2711" s="3">
        <v>1</v>
      </c>
      <c r="X2711" s="3">
        <v>1</v>
      </c>
      <c r="Y2711" s="3">
        <v>0</v>
      </c>
      <c r="Z2711" s="33">
        <v>0</v>
      </c>
      <c r="AA2711" s="3">
        <v>5</v>
      </c>
      <c r="AB2711" s="128">
        <v>1000</v>
      </c>
      <c r="AC2711" s="3">
        <v>60</v>
      </c>
      <c r="AD2711" s="62"/>
      <c r="AE2711" s="62"/>
      <c r="AF2711" s="62"/>
      <c r="AG2711" s="63"/>
      <c r="AH2711" s="63"/>
      <c r="AI2711" s="63"/>
      <c r="AJ2711" s="63"/>
      <c r="AK2711" s="63"/>
      <c r="AL2711" s="64"/>
      <c r="AM2711" s="64"/>
      <c r="AN2711" s="65"/>
      <c r="AO2711" s="64"/>
      <c r="AP2711" s="64"/>
      <c r="AS2711" s="3">
        <v>1</v>
      </c>
    </row>
    <row r="2712" s="3" customFormat="1" ht="16.5" customHeight="1" spans="1:45">
      <c r="A2712" s="3">
        <v>619026</v>
      </c>
      <c r="B2712" s="339">
        <v>1001</v>
      </c>
      <c r="C2712" s="339">
        <v>1</v>
      </c>
      <c r="D2712" s="339">
        <v>1001</v>
      </c>
      <c r="E2712" s="339" t="s">
        <v>6885</v>
      </c>
      <c r="F2712" s="339" t="s">
        <v>6885</v>
      </c>
      <c r="G2712" s="339" t="s">
        <v>6886</v>
      </c>
      <c r="H2712" s="472" t="s">
        <v>6887</v>
      </c>
      <c r="I2712" s="339">
        <v>1</v>
      </c>
      <c r="J2712" s="339">
        <v>5</v>
      </c>
      <c r="K2712" s="254">
        <v>1</v>
      </c>
      <c r="L2712" s="339">
        <v>999</v>
      </c>
      <c r="M2712" s="339">
        <v>0</v>
      </c>
      <c r="N2712" s="8"/>
      <c r="O2712" s="8"/>
      <c r="P2712" s="473"/>
      <c r="Q2712" s="8"/>
      <c r="R2712" s="8"/>
      <c r="S2712" s="254">
        <v>0</v>
      </c>
      <c r="T2712" s="339">
        <v>5</v>
      </c>
      <c r="U2712" s="339">
        <v>100</v>
      </c>
      <c r="V2712" s="254">
        <v>1</v>
      </c>
      <c r="W2712" s="339">
        <v>1</v>
      </c>
      <c r="X2712" s="339">
        <v>1</v>
      </c>
      <c r="Y2712" s="339">
        <v>0</v>
      </c>
      <c r="Z2712" s="254">
        <v>0</v>
      </c>
      <c r="AA2712" s="339">
        <v>5</v>
      </c>
      <c r="AB2712" s="128">
        <v>1000</v>
      </c>
      <c r="AC2712" s="339">
        <v>60</v>
      </c>
      <c r="AD2712" s="255"/>
      <c r="AE2712" s="255"/>
      <c r="AF2712" s="255"/>
      <c r="AG2712" s="423"/>
      <c r="AH2712" s="423"/>
      <c r="AI2712" s="423"/>
      <c r="AJ2712" s="423"/>
      <c r="AK2712" s="423"/>
      <c r="AL2712" s="256"/>
      <c r="AM2712" s="256"/>
      <c r="AN2712" s="424"/>
      <c r="AO2712" s="256"/>
      <c r="AP2712" s="256"/>
      <c r="AQ2712" s="8"/>
      <c r="AR2712" s="8"/>
      <c r="AS2712" s="3">
        <v>1</v>
      </c>
    </row>
    <row r="2713" s="3" customFormat="1" spans="1:45">
      <c r="A2713" s="3">
        <v>619027</v>
      </c>
      <c r="B2713" s="8">
        <v>1001</v>
      </c>
      <c r="C2713" s="8">
        <v>6</v>
      </c>
      <c r="D2713" s="8">
        <v>1001</v>
      </c>
      <c r="E2713" s="8" t="s">
        <v>6888</v>
      </c>
      <c r="F2713" s="8" t="s">
        <v>6888</v>
      </c>
      <c r="G2713" s="8" t="s">
        <v>6889</v>
      </c>
      <c r="H2713" s="8" t="s">
        <v>1431</v>
      </c>
      <c r="I2713" s="8">
        <v>1</v>
      </c>
      <c r="J2713" s="8">
        <v>5</v>
      </c>
      <c r="K2713" s="8">
        <v>2</v>
      </c>
      <c r="L2713" s="8">
        <v>999</v>
      </c>
      <c r="M2713" s="8">
        <v>0</v>
      </c>
      <c r="N2713" s="8">
        <v>1018</v>
      </c>
      <c r="O2713" s="8" t="s">
        <v>6890</v>
      </c>
      <c r="P2713" s="8"/>
      <c r="Q2713" s="8"/>
      <c r="R2713" s="8"/>
      <c r="S2713" s="8">
        <v>1</v>
      </c>
      <c r="T2713" s="8">
        <v>5</v>
      </c>
      <c r="U2713" s="8">
        <v>200</v>
      </c>
      <c r="V2713" s="8">
        <v>1</v>
      </c>
      <c r="W2713" s="8">
        <v>1</v>
      </c>
      <c r="X2713" s="8">
        <v>1</v>
      </c>
      <c r="Y2713" s="8">
        <v>0</v>
      </c>
      <c r="Z2713" s="8">
        <v>0</v>
      </c>
      <c r="AA2713" s="8">
        <v>5</v>
      </c>
      <c r="AB2713" s="128">
        <v>1000</v>
      </c>
      <c r="AC2713" s="8">
        <v>56</v>
      </c>
      <c r="AD2713" s="159">
        <v>0</v>
      </c>
      <c r="AE2713" s="159">
        <v>5</v>
      </c>
      <c r="AF2713" s="159">
        <v>2</v>
      </c>
      <c r="AG2713" s="159"/>
      <c r="AH2713" s="159"/>
      <c r="AI2713" s="159"/>
      <c r="AJ2713" s="159"/>
      <c r="AK2713" s="159"/>
      <c r="AL2713" s="8"/>
      <c r="AM2713" s="8"/>
      <c r="AN2713" s="8"/>
      <c r="AO2713" s="8"/>
      <c r="AP2713" s="8"/>
      <c r="AQ2713" s="8"/>
      <c r="AR2713" s="8"/>
      <c r="AS2713" s="3">
        <v>1</v>
      </c>
    </row>
    <row r="2714" s="3" customFormat="1" spans="1:45">
      <c r="A2714" s="3">
        <v>619028</v>
      </c>
      <c r="B2714" s="8">
        <v>1001</v>
      </c>
      <c r="C2714" s="8">
        <v>6</v>
      </c>
      <c r="D2714" s="8">
        <v>1001</v>
      </c>
      <c r="E2714" s="8" t="s">
        <v>6891</v>
      </c>
      <c r="F2714" s="8" t="s">
        <v>6891</v>
      </c>
      <c r="G2714" s="8" t="s">
        <v>6892</v>
      </c>
      <c r="H2714" s="8" t="s">
        <v>1431</v>
      </c>
      <c r="I2714" s="8">
        <v>1</v>
      </c>
      <c r="J2714" s="8">
        <v>5</v>
      </c>
      <c r="K2714" s="8">
        <v>2</v>
      </c>
      <c r="L2714" s="8">
        <v>999</v>
      </c>
      <c r="M2714" s="8">
        <v>0</v>
      </c>
      <c r="N2714" s="8">
        <v>1018</v>
      </c>
      <c r="O2714" s="8" t="s">
        <v>6893</v>
      </c>
      <c r="P2714" s="8"/>
      <c r="Q2714" s="8"/>
      <c r="R2714" s="8"/>
      <c r="S2714" s="8">
        <v>1</v>
      </c>
      <c r="T2714" s="8">
        <v>5</v>
      </c>
      <c r="U2714" s="8">
        <v>200</v>
      </c>
      <c r="V2714" s="8">
        <v>1</v>
      </c>
      <c r="W2714" s="8">
        <v>1</v>
      </c>
      <c r="X2714" s="8">
        <v>1</v>
      </c>
      <c r="Y2714" s="8">
        <v>0</v>
      </c>
      <c r="Z2714" s="8">
        <v>0</v>
      </c>
      <c r="AA2714" s="8">
        <v>5</v>
      </c>
      <c r="AB2714" s="128">
        <v>1000</v>
      </c>
      <c r="AC2714" s="8">
        <v>56</v>
      </c>
      <c r="AD2714" s="159">
        <v>0</v>
      </c>
      <c r="AE2714" s="159">
        <v>5</v>
      </c>
      <c r="AF2714" s="159">
        <v>2</v>
      </c>
      <c r="AG2714" s="159"/>
      <c r="AH2714" s="159"/>
      <c r="AI2714" s="159"/>
      <c r="AJ2714" s="159"/>
      <c r="AK2714" s="159"/>
      <c r="AL2714" s="8"/>
      <c r="AM2714" s="8"/>
      <c r="AN2714" s="8"/>
      <c r="AO2714" s="8"/>
      <c r="AP2714" s="8"/>
      <c r="AQ2714" s="8"/>
      <c r="AR2714" s="8"/>
      <c r="AS2714" s="3">
        <v>1</v>
      </c>
    </row>
    <row r="2715" s="3" customFormat="1" spans="1:45">
      <c r="A2715" s="3">
        <v>619029</v>
      </c>
      <c r="B2715" s="8">
        <v>1001</v>
      </c>
      <c r="C2715" s="8">
        <v>6</v>
      </c>
      <c r="D2715" s="8">
        <v>1001</v>
      </c>
      <c r="E2715" s="8" t="s">
        <v>6894</v>
      </c>
      <c r="F2715" s="8" t="s">
        <v>6894</v>
      </c>
      <c r="G2715" s="8" t="s">
        <v>6895</v>
      </c>
      <c r="H2715" s="8" t="s">
        <v>1431</v>
      </c>
      <c r="I2715" s="8">
        <v>1</v>
      </c>
      <c r="J2715" s="8">
        <v>5</v>
      </c>
      <c r="K2715" s="8">
        <v>2</v>
      </c>
      <c r="L2715" s="8">
        <v>999</v>
      </c>
      <c r="M2715" s="8">
        <v>0</v>
      </c>
      <c r="N2715" s="8">
        <v>1018</v>
      </c>
      <c r="O2715" s="8" t="s">
        <v>6896</v>
      </c>
      <c r="P2715" s="8"/>
      <c r="Q2715" s="8"/>
      <c r="R2715" s="8"/>
      <c r="S2715" s="8">
        <v>1</v>
      </c>
      <c r="T2715" s="8">
        <v>5</v>
      </c>
      <c r="U2715" s="8">
        <v>200</v>
      </c>
      <c r="V2715" s="8">
        <v>1</v>
      </c>
      <c r="W2715" s="8">
        <v>1</v>
      </c>
      <c r="X2715" s="8">
        <v>1</v>
      </c>
      <c r="Y2715" s="8">
        <v>0</v>
      </c>
      <c r="Z2715" s="8">
        <v>0</v>
      </c>
      <c r="AA2715" s="8">
        <v>5</v>
      </c>
      <c r="AB2715" s="128">
        <v>1000</v>
      </c>
      <c r="AC2715" s="8">
        <v>56</v>
      </c>
      <c r="AD2715" s="159">
        <v>0</v>
      </c>
      <c r="AE2715" s="159">
        <v>5</v>
      </c>
      <c r="AF2715" s="159">
        <v>2</v>
      </c>
      <c r="AG2715" s="159"/>
      <c r="AH2715" s="159"/>
      <c r="AI2715" s="159"/>
      <c r="AJ2715" s="159"/>
      <c r="AK2715" s="159"/>
      <c r="AL2715" s="8"/>
      <c r="AM2715" s="8"/>
      <c r="AN2715" s="8"/>
      <c r="AO2715" s="8"/>
      <c r="AP2715" s="8"/>
      <c r="AQ2715" s="8"/>
      <c r="AR2715" s="8"/>
      <c r="AS2715" s="3">
        <v>1</v>
      </c>
    </row>
    <row r="2716" s="3" customFormat="1" spans="1:45">
      <c r="A2716" s="3">
        <v>619030</v>
      </c>
      <c r="B2716" s="8">
        <v>1001</v>
      </c>
      <c r="C2716" s="8">
        <v>6</v>
      </c>
      <c r="D2716" s="8">
        <v>1001</v>
      </c>
      <c r="E2716" s="8" t="s">
        <v>6897</v>
      </c>
      <c r="F2716" s="8" t="s">
        <v>6897</v>
      </c>
      <c r="G2716" s="8" t="s">
        <v>6898</v>
      </c>
      <c r="H2716" s="8" t="s">
        <v>1431</v>
      </c>
      <c r="I2716" s="8">
        <v>1</v>
      </c>
      <c r="J2716" s="8">
        <v>5</v>
      </c>
      <c r="K2716" s="8">
        <v>2</v>
      </c>
      <c r="L2716" s="8">
        <v>999</v>
      </c>
      <c r="M2716" s="8">
        <v>0</v>
      </c>
      <c r="N2716" s="8">
        <v>1018</v>
      </c>
      <c r="O2716" s="8" t="s">
        <v>6899</v>
      </c>
      <c r="P2716" s="8"/>
      <c r="Q2716" s="8"/>
      <c r="R2716" s="8"/>
      <c r="S2716" s="8">
        <v>1</v>
      </c>
      <c r="T2716" s="8">
        <v>5</v>
      </c>
      <c r="U2716" s="8">
        <v>200</v>
      </c>
      <c r="V2716" s="8">
        <v>1</v>
      </c>
      <c r="W2716" s="8">
        <v>1</v>
      </c>
      <c r="X2716" s="8">
        <v>1</v>
      </c>
      <c r="Y2716" s="8">
        <v>0</v>
      </c>
      <c r="Z2716" s="8">
        <v>0</v>
      </c>
      <c r="AA2716" s="8">
        <v>5</v>
      </c>
      <c r="AB2716" s="128">
        <v>1000</v>
      </c>
      <c r="AC2716" s="8">
        <v>56</v>
      </c>
      <c r="AD2716" s="159">
        <v>0</v>
      </c>
      <c r="AE2716" s="159">
        <v>5</v>
      </c>
      <c r="AF2716" s="159">
        <v>2</v>
      </c>
      <c r="AG2716" s="159"/>
      <c r="AH2716" s="159"/>
      <c r="AI2716" s="159"/>
      <c r="AJ2716" s="159"/>
      <c r="AK2716" s="159"/>
      <c r="AL2716" s="8"/>
      <c r="AM2716" s="8"/>
      <c r="AN2716" s="8"/>
      <c r="AO2716" s="8"/>
      <c r="AP2716" s="8"/>
      <c r="AQ2716" s="8"/>
      <c r="AR2716" s="8"/>
      <c r="AS2716" s="3">
        <v>1</v>
      </c>
    </row>
    <row r="2717" s="3" customFormat="1" spans="1:45">
      <c r="A2717" s="3">
        <v>619031</v>
      </c>
      <c r="B2717" s="236">
        <v>1001</v>
      </c>
      <c r="C2717" s="236">
        <v>6</v>
      </c>
      <c r="D2717" s="236">
        <v>1001</v>
      </c>
      <c r="E2717" s="236" t="s">
        <v>6900</v>
      </c>
      <c r="F2717" s="236" t="s">
        <v>6900</v>
      </c>
      <c r="G2717" s="236" t="s">
        <v>6901</v>
      </c>
      <c r="H2717" s="236" t="s">
        <v>1431</v>
      </c>
      <c r="I2717" s="236">
        <v>1</v>
      </c>
      <c r="J2717" s="236">
        <v>5</v>
      </c>
      <c r="K2717" s="236">
        <v>2</v>
      </c>
      <c r="L2717" s="236">
        <v>999</v>
      </c>
      <c r="M2717" s="236">
        <v>0</v>
      </c>
      <c r="N2717" s="236">
        <v>1018</v>
      </c>
      <c r="O2717" s="236" t="s">
        <v>6902</v>
      </c>
      <c r="P2717" s="236"/>
      <c r="Q2717" s="236"/>
      <c r="R2717" s="236"/>
      <c r="S2717" s="236">
        <v>1</v>
      </c>
      <c r="T2717" s="236">
        <v>5</v>
      </c>
      <c r="U2717" s="236">
        <v>200</v>
      </c>
      <c r="V2717" s="236">
        <v>1</v>
      </c>
      <c r="W2717" s="236">
        <v>1</v>
      </c>
      <c r="X2717" s="236">
        <v>1</v>
      </c>
      <c r="Y2717" s="236">
        <v>0</v>
      </c>
      <c r="Z2717" s="236">
        <v>0</v>
      </c>
      <c r="AA2717" s="236">
        <v>5</v>
      </c>
      <c r="AB2717" s="128">
        <v>1000</v>
      </c>
      <c r="AC2717" s="236">
        <v>56</v>
      </c>
      <c r="AD2717" s="456">
        <v>0</v>
      </c>
      <c r="AE2717" s="456">
        <v>5</v>
      </c>
      <c r="AF2717" s="456">
        <v>2</v>
      </c>
      <c r="AG2717" s="456"/>
      <c r="AH2717" s="456"/>
      <c r="AI2717" s="456"/>
      <c r="AJ2717" s="456"/>
      <c r="AK2717" s="456"/>
      <c r="AL2717" s="236"/>
      <c r="AM2717" s="236"/>
      <c r="AN2717" s="236"/>
      <c r="AO2717" s="236"/>
      <c r="AP2717" s="236"/>
      <c r="AQ2717" s="236"/>
      <c r="AR2717" s="236"/>
      <c r="AS2717" s="3">
        <v>1</v>
      </c>
    </row>
    <row r="2718" s="3" customFormat="1" spans="1:45">
      <c r="A2718" s="3">
        <v>619032</v>
      </c>
      <c r="B2718" s="339">
        <v>1001</v>
      </c>
      <c r="C2718" s="339">
        <v>6</v>
      </c>
      <c r="D2718" s="339">
        <v>1001</v>
      </c>
      <c r="E2718" s="3" t="s">
        <v>6903</v>
      </c>
      <c r="F2718" s="3" t="s">
        <v>6903</v>
      </c>
      <c r="G2718" s="3" t="s">
        <v>6904</v>
      </c>
      <c r="H2718" s="3" t="s">
        <v>1818</v>
      </c>
      <c r="I2718" s="3">
        <v>1</v>
      </c>
      <c r="J2718" s="3">
        <v>5</v>
      </c>
      <c r="K2718" s="254">
        <v>2</v>
      </c>
      <c r="L2718" s="339">
        <v>999</v>
      </c>
      <c r="M2718" s="339">
        <v>0</v>
      </c>
      <c r="N2718" s="339">
        <v>1017</v>
      </c>
      <c r="O2718" s="470">
        <v>220011</v>
      </c>
      <c r="S2718" s="254">
        <v>1</v>
      </c>
      <c r="T2718" s="339">
        <v>5</v>
      </c>
      <c r="U2718" s="339">
        <v>100</v>
      </c>
      <c r="V2718" s="254">
        <v>1</v>
      </c>
      <c r="W2718" s="339">
        <v>1</v>
      </c>
      <c r="X2718" s="339">
        <v>1</v>
      </c>
      <c r="Y2718" s="3">
        <v>0</v>
      </c>
      <c r="Z2718" s="33">
        <v>0</v>
      </c>
      <c r="AA2718" s="3">
        <v>5</v>
      </c>
      <c r="AB2718" s="128">
        <v>1000</v>
      </c>
      <c r="AC2718" s="339">
        <v>110</v>
      </c>
      <c r="AD2718" s="62">
        <v>0</v>
      </c>
      <c r="AE2718" s="255">
        <v>4</v>
      </c>
      <c r="AF2718" s="255">
        <v>2</v>
      </c>
      <c r="AG2718" s="423"/>
      <c r="AH2718" s="423">
        <v>1</v>
      </c>
      <c r="AI2718" s="423"/>
      <c r="AJ2718" s="423"/>
      <c r="AK2718" s="423"/>
      <c r="AL2718" s="256">
        <v>1</v>
      </c>
      <c r="AM2718" s="256"/>
      <c r="AN2718" s="424"/>
      <c r="AO2718" s="256"/>
      <c r="AP2718" s="64"/>
      <c r="AQ2718"/>
      <c r="AS2718" s="3">
        <v>1</v>
      </c>
    </row>
    <row r="2719" s="3" customFormat="1" spans="1:45">
      <c r="A2719" s="3">
        <v>619033</v>
      </c>
      <c r="B2719" s="8">
        <v>1001</v>
      </c>
      <c r="C2719" s="8">
        <v>1</v>
      </c>
      <c r="D2719" s="8">
        <v>1001</v>
      </c>
      <c r="E2719" t="s">
        <v>6905</v>
      </c>
      <c r="F2719" t="s">
        <v>6905</v>
      </c>
      <c r="G2719" s="3" t="s">
        <v>6906</v>
      </c>
      <c r="H2719" s="3" t="s">
        <v>6907</v>
      </c>
      <c r="I2719" s="3">
        <v>1</v>
      </c>
      <c r="J2719" s="69">
        <v>4</v>
      </c>
      <c r="K2719" s="87">
        <v>1</v>
      </c>
      <c r="L2719" s="8">
        <v>999</v>
      </c>
      <c r="M2719" s="8">
        <v>0</v>
      </c>
      <c r="N2719" s="8"/>
      <c r="O2719" s="2"/>
      <c r="S2719" s="89">
        <v>1</v>
      </c>
      <c r="T2719" s="8">
        <v>5</v>
      </c>
      <c r="U2719" s="89">
        <v>100</v>
      </c>
      <c r="V2719" s="87">
        <v>1</v>
      </c>
      <c r="W2719" s="8">
        <v>1</v>
      </c>
      <c r="X2719" s="8">
        <v>1</v>
      </c>
      <c r="Y2719" s="3">
        <v>0</v>
      </c>
      <c r="Z2719" s="33">
        <v>0</v>
      </c>
      <c r="AA2719" s="3">
        <v>5</v>
      </c>
      <c r="AB2719" s="128">
        <v>1000</v>
      </c>
      <c r="AC2719" s="87">
        <v>0</v>
      </c>
      <c r="AD2719" s="62">
        <v>0</v>
      </c>
      <c r="AE2719" s="90">
        <v>0</v>
      </c>
      <c r="AF2719" s="90">
        <v>0</v>
      </c>
      <c r="AG2719" s="91"/>
      <c r="AH2719" s="91">
        <v>1</v>
      </c>
      <c r="AI2719" s="91"/>
      <c r="AJ2719" s="91"/>
      <c r="AK2719" s="91"/>
      <c r="AL2719" s="92">
        <v>1</v>
      </c>
      <c r="AM2719" s="92"/>
      <c r="AN2719" s="93"/>
      <c r="AO2719" s="92"/>
      <c r="AP2719" s="64"/>
      <c r="AQ2719" t="s">
        <v>6908</v>
      </c>
      <c r="AS2719" s="3">
        <v>1</v>
      </c>
    </row>
    <row r="2720" s="3" customFormat="1" spans="1:45">
      <c r="A2720" s="3">
        <v>619034</v>
      </c>
      <c r="B2720" s="236">
        <v>1001</v>
      </c>
      <c r="C2720" s="236">
        <v>1</v>
      </c>
      <c r="D2720" s="236">
        <v>1001</v>
      </c>
      <c r="E2720" t="s">
        <v>6909</v>
      </c>
      <c r="F2720" t="s">
        <v>6909</v>
      </c>
      <c r="G2720" s="3" t="s">
        <v>6910</v>
      </c>
      <c r="H2720" s="3" t="s">
        <v>6911</v>
      </c>
      <c r="I2720" s="3">
        <v>1</v>
      </c>
      <c r="J2720" s="69">
        <v>3</v>
      </c>
      <c r="K2720" s="248">
        <v>1</v>
      </c>
      <c r="L2720" s="236">
        <v>999</v>
      </c>
      <c r="M2720" s="236">
        <v>0</v>
      </c>
      <c r="N2720" s="236"/>
      <c r="O2720" s="2"/>
      <c r="S2720" s="336">
        <v>1</v>
      </c>
      <c r="T2720" s="236">
        <v>5</v>
      </c>
      <c r="U2720" s="336">
        <v>100</v>
      </c>
      <c r="V2720" s="248">
        <v>1</v>
      </c>
      <c r="W2720" s="236">
        <v>1</v>
      </c>
      <c r="X2720" s="236">
        <v>1</v>
      </c>
      <c r="Y2720" s="3">
        <v>0</v>
      </c>
      <c r="Z2720" s="33">
        <v>0</v>
      </c>
      <c r="AA2720" s="3">
        <v>5</v>
      </c>
      <c r="AB2720" s="128">
        <v>1000</v>
      </c>
      <c r="AC2720" s="248">
        <v>0</v>
      </c>
      <c r="AD2720" s="62">
        <v>0</v>
      </c>
      <c r="AE2720" s="250">
        <v>0</v>
      </c>
      <c r="AF2720" s="250">
        <v>0</v>
      </c>
      <c r="AG2720" s="251"/>
      <c r="AH2720" s="251">
        <v>1</v>
      </c>
      <c r="AI2720" s="251"/>
      <c r="AJ2720" s="251"/>
      <c r="AK2720" s="251"/>
      <c r="AL2720" s="252">
        <v>1</v>
      </c>
      <c r="AM2720" s="252"/>
      <c r="AN2720" s="338"/>
      <c r="AO2720" s="252"/>
      <c r="AP2720" s="64"/>
      <c r="AQ2720" t="s">
        <v>6912</v>
      </c>
      <c r="AS2720" s="3">
        <v>1</v>
      </c>
    </row>
    <row r="2721" s="3" customFormat="1" spans="1:45">
      <c r="A2721" s="3">
        <v>619035</v>
      </c>
      <c r="B2721" s="3">
        <v>1001</v>
      </c>
      <c r="C2721" s="3">
        <v>6</v>
      </c>
      <c r="D2721" s="3">
        <v>1001</v>
      </c>
      <c r="E2721" s="3" t="s">
        <v>6913</v>
      </c>
      <c r="F2721" s="3" t="s">
        <v>6186</v>
      </c>
      <c r="G2721" s="3" t="s">
        <v>6187</v>
      </c>
      <c r="H2721" s="3" t="s">
        <v>1818</v>
      </c>
      <c r="I2721" s="3">
        <v>1</v>
      </c>
      <c r="J2721" s="3">
        <v>5</v>
      </c>
      <c r="K2721" s="33">
        <v>2</v>
      </c>
      <c r="L2721" s="3">
        <v>999</v>
      </c>
      <c r="M2721" s="3">
        <v>0</v>
      </c>
      <c r="N2721" s="3">
        <v>1018</v>
      </c>
      <c r="O2721" s="2" t="s">
        <v>6914</v>
      </c>
      <c r="S2721" s="33">
        <v>1</v>
      </c>
      <c r="T2721" s="3">
        <v>5</v>
      </c>
      <c r="U2721" s="3">
        <v>1</v>
      </c>
      <c r="V2721" s="33">
        <v>1</v>
      </c>
      <c r="W2721" s="3">
        <v>1</v>
      </c>
      <c r="X2721" s="3">
        <v>1</v>
      </c>
      <c r="Y2721" s="3">
        <v>0</v>
      </c>
      <c r="Z2721" s="33">
        <v>0</v>
      </c>
      <c r="AA2721" s="3">
        <v>5</v>
      </c>
      <c r="AB2721" s="128">
        <v>1000</v>
      </c>
      <c r="AC2721" s="3">
        <v>56</v>
      </c>
      <c r="AD2721" s="62">
        <v>0</v>
      </c>
      <c r="AE2721" s="62">
        <v>5</v>
      </c>
      <c r="AF2721" s="62">
        <v>2</v>
      </c>
      <c r="AG2721" s="63"/>
      <c r="AH2721" s="63"/>
      <c r="AI2721" s="63"/>
      <c r="AJ2721" s="63"/>
      <c r="AK2721" s="63"/>
      <c r="AL2721" s="64"/>
      <c r="AM2721" s="64"/>
      <c r="AN2721" s="65"/>
      <c r="AO2721" s="64"/>
      <c r="AP2721" s="64"/>
      <c r="AS2721" s="3">
        <v>1</v>
      </c>
    </row>
    <row r="2722" s="3" customFormat="1" spans="1:45">
      <c r="A2722" s="3">
        <v>619036</v>
      </c>
      <c r="B2722" s="3">
        <v>1001</v>
      </c>
      <c r="C2722" s="3">
        <v>1</v>
      </c>
      <c r="D2722" s="3">
        <v>1001</v>
      </c>
      <c r="E2722" s="3" t="s">
        <v>6915</v>
      </c>
      <c r="F2722" s="3" t="s">
        <v>6915</v>
      </c>
      <c r="G2722" s="3" t="s">
        <v>6916</v>
      </c>
      <c r="H2722" s="3" t="s">
        <v>2182</v>
      </c>
      <c r="I2722" s="3">
        <v>1</v>
      </c>
      <c r="J2722" s="3">
        <v>5</v>
      </c>
      <c r="K2722" s="33">
        <v>2</v>
      </c>
      <c r="L2722" s="3">
        <v>999</v>
      </c>
      <c r="M2722" s="3">
        <v>0</v>
      </c>
      <c r="N2722" s="3">
        <v>1038</v>
      </c>
      <c r="O2722" s="258"/>
      <c r="S2722" s="33">
        <v>1</v>
      </c>
      <c r="T2722" s="3">
        <v>5</v>
      </c>
      <c r="U2722" s="3">
        <v>200</v>
      </c>
      <c r="V2722" s="33">
        <v>1</v>
      </c>
      <c r="W2722" s="3">
        <v>1</v>
      </c>
      <c r="X2722" s="3">
        <v>1</v>
      </c>
      <c r="Y2722" s="3">
        <v>0</v>
      </c>
      <c r="Z2722" s="33">
        <v>0</v>
      </c>
      <c r="AA2722" s="3">
        <v>5</v>
      </c>
      <c r="AB2722" s="128">
        <v>1000</v>
      </c>
      <c r="AC2722" s="3">
        <v>56</v>
      </c>
      <c r="AD2722" s="62">
        <v>0</v>
      </c>
      <c r="AE2722" s="62">
        <v>1</v>
      </c>
      <c r="AF2722" s="62">
        <v>1</v>
      </c>
      <c r="AG2722" s="63"/>
      <c r="AH2722" s="63"/>
      <c r="AI2722" s="63"/>
      <c r="AJ2722" s="63"/>
      <c r="AK2722" s="63"/>
      <c r="AL2722" s="64"/>
      <c r="AM2722" s="64"/>
      <c r="AN2722" s="65"/>
      <c r="AO2722" s="64"/>
      <c r="AP2722" s="64"/>
      <c r="AS2722" s="3">
        <v>1</v>
      </c>
    </row>
    <row r="2723" s="3" customFormat="1" spans="1:45">
      <c r="A2723" s="3">
        <v>619037</v>
      </c>
      <c r="B2723" s="3">
        <v>1001</v>
      </c>
      <c r="C2723" s="3">
        <v>6</v>
      </c>
      <c r="D2723" s="3">
        <v>1001</v>
      </c>
      <c r="E2723" s="3" t="s">
        <v>6917</v>
      </c>
      <c r="F2723" s="3" t="s">
        <v>6917</v>
      </c>
      <c r="G2723" s="3" t="s">
        <v>6918</v>
      </c>
      <c r="H2723" s="3" t="s">
        <v>1590</v>
      </c>
      <c r="I2723" s="3">
        <v>1</v>
      </c>
      <c r="J2723" s="3">
        <v>5</v>
      </c>
      <c r="K2723" s="33">
        <v>2</v>
      </c>
      <c r="L2723" s="3">
        <v>999</v>
      </c>
      <c r="M2723" s="3">
        <v>0</v>
      </c>
      <c r="N2723" s="3">
        <v>1018</v>
      </c>
      <c r="O2723" s="8" t="s">
        <v>6919</v>
      </c>
      <c r="S2723" s="33">
        <v>1</v>
      </c>
      <c r="T2723" s="3">
        <v>5</v>
      </c>
      <c r="U2723" s="3">
        <v>100</v>
      </c>
      <c r="V2723" s="33">
        <v>1</v>
      </c>
      <c r="W2723" s="3">
        <v>1</v>
      </c>
      <c r="X2723" s="3">
        <v>1</v>
      </c>
      <c r="Y2723" s="3">
        <v>0</v>
      </c>
      <c r="Z2723" s="33">
        <v>0</v>
      </c>
      <c r="AA2723" s="3">
        <v>5</v>
      </c>
      <c r="AB2723" s="128">
        <v>1000</v>
      </c>
      <c r="AC2723" s="3">
        <v>56</v>
      </c>
      <c r="AD2723" s="62">
        <v>0</v>
      </c>
      <c r="AE2723" s="62">
        <v>5</v>
      </c>
      <c r="AF2723" s="62">
        <v>2</v>
      </c>
      <c r="AG2723" s="63"/>
      <c r="AH2723" s="63"/>
      <c r="AI2723" s="63"/>
      <c r="AJ2723" s="63"/>
      <c r="AK2723" s="63"/>
      <c r="AL2723" s="64"/>
      <c r="AM2723" s="64"/>
      <c r="AN2723" s="65"/>
      <c r="AO2723" s="64"/>
      <c r="AP2723" s="64"/>
      <c r="AS2723" s="3">
        <v>1</v>
      </c>
    </row>
    <row r="2724" s="3" customFormat="1" spans="1:45">
      <c r="A2724" s="3">
        <v>619038</v>
      </c>
      <c r="B2724" s="3">
        <v>1001</v>
      </c>
      <c r="C2724" s="3">
        <v>6</v>
      </c>
      <c r="D2724" s="3">
        <v>1001</v>
      </c>
      <c r="E2724" s="3" t="s">
        <v>6920</v>
      </c>
      <c r="F2724" s="3" t="s">
        <v>6920</v>
      </c>
      <c r="G2724" s="3" t="s">
        <v>6921</v>
      </c>
      <c r="H2724" s="3" t="s">
        <v>204</v>
      </c>
      <c r="I2724" s="3">
        <v>1</v>
      </c>
      <c r="J2724" s="3">
        <v>5</v>
      </c>
      <c r="K2724" s="33">
        <v>2</v>
      </c>
      <c r="L2724" s="3">
        <v>999</v>
      </c>
      <c r="M2724" s="3">
        <v>0</v>
      </c>
      <c r="N2724" s="3">
        <v>1018</v>
      </c>
      <c r="O2724" s="236" t="s">
        <v>6922</v>
      </c>
      <c r="S2724" s="33">
        <v>1</v>
      </c>
      <c r="T2724" s="3">
        <v>5</v>
      </c>
      <c r="U2724" s="3">
        <v>100</v>
      </c>
      <c r="V2724" s="33">
        <v>1</v>
      </c>
      <c r="W2724" s="3">
        <v>1</v>
      </c>
      <c r="X2724" s="3">
        <v>1</v>
      </c>
      <c r="Y2724" s="3">
        <v>0</v>
      </c>
      <c r="Z2724" s="33">
        <v>0</v>
      </c>
      <c r="AA2724" s="3">
        <v>5</v>
      </c>
      <c r="AB2724" s="128">
        <v>1000</v>
      </c>
      <c r="AC2724" s="3">
        <v>56</v>
      </c>
      <c r="AD2724" s="62">
        <v>0</v>
      </c>
      <c r="AE2724" s="62">
        <v>5</v>
      </c>
      <c r="AF2724" s="62">
        <v>2</v>
      </c>
      <c r="AG2724" s="63"/>
      <c r="AH2724" s="63"/>
      <c r="AI2724" s="63"/>
      <c r="AJ2724" s="63"/>
      <c r="AK2724" s="63"/>
      <c r="AL2724" s="64"/>
      <c r="AM2724" s="64"/>
      <c r="AN2724" s="65"/>
      <c r="AO2724" s="64"/>
      <c r="AP2724" s="64"/>
      <c r="AS2724" s="3">
        <v>1</v>
      </c>
    </row>
    <row r="2725" s="3" customFormat="1" spans="1:45">
      <c r="A2725" s="3">
        <v>619039</v>
      </c>
      <c r="B2725" s="339">
        <v>1001</v>
      </c>
      <c r="C2725" s="339">
        <v>6</v>
      </c>
      <c r="D2725" s="339">
        <v>1001</v>
      </c>
      <c r="E2725" s="339" t="s">
        <v>6923</v>
      </c>
      <c r="F2725" s="339" t="s">
        <v>6923</v>
      </c>
      <c r="G2725" s="339" t="s">
        <v>6924</v>
      </c>
      <c r="H2725" s="3" t="s">
        <v>1818</v>
      </c>
      <c r="I2725" s="339">
        <v>1</v>
      </c>
      <c r="J2725" s="339">
        <v>5</v>
      </c>
      <c r="K2725" s="254">
        <v>2</v>
      </c>
      <c r="L2725" s="339">
        <v>999</v>
      </c>
      <c r="M2725" s="339">
        <v>0</v>
      </c>
      <c r="N2725" s="339">
        <v>1017</v>
      </c>
      <c r="O2725" s="470">
        <v>220012</v>
      </c>
      <c r="P2725" s="8"/>
      <c r="Q2725" s="8"/>
      <c r="R2725" s="8"/>
      <c r="S2725" s="254">
        <v>1</v>
      </c>
      <c r="T2725" s="339">
        <v>5</v>
      </c>
      <c r="U2725" s="339">
        <v>100</v>
      </c>
      <c r="V2725" s="254">
        <v>1</v>
      </c>
      <c r="W2725" s="339">
        <v>1</v>
      </c>
      <c r="X2725" s="339">
        <v>1</v>
      </c>
      <c r="Y2725" s="339">
        <v>0</v>
      </c>
      <c r="Z2725" s="254">
        <v>0</v>
      </c>
      <c r="AA2725" s="339">
        <v>5</v>
      </c>
      <c r="AB2725" s="128">
        <v>1000</v>
      </c>
      <c r="AC2725" s="339">
        <v>110</v>
      </c>
      <c r="AD2725" s="468">
        <v>0</v>
      </c>
      <c r="AE2725" s="468">
        <v>4</v>
      </c>
      <c r="AF2725" s="468">
        <v>2</v>
      </c>
      <c r="AG2725" s="256"/>
      <c r="AH2725" s="256">
        <v>1</v>
      </c>
      <c r="AI2725" s="256"/>
      <c r="AJ2725" s="256"/>
      <c r="AK2725" s="256"/>
      <c r="AL2725" s="256">
        <v>1</v>
      </c>
      <c r="AM2725" s="256"/>
      <c r="AN2725" s="424"/>
      <c r="AO2725" s="256"/>
      <c r="AP2725" s="256"/>
      <c r="AQ2725" s="8"/>
      <c r="AR2725" s="8"/>
      <c r="AS2725" s="3">
        <v>1</v>
      </c>
    </row>
    <row r="2726" s="3" customFormat="1" spans="1:45">
      <c r="A2726" s="3">
        <v>619040</v>
      </c>
      <c r="B2726" s="8">
        <v>1001</v>
      </c>
      <c r="C2726" s="8">
        <v>6</v>
      </c>
      <c r="D2726" s="8">
        <v>1001</v>
      </c>
      <c r="E2726" s="8" t="s">
        <v>6925</v>
      </c>
      <c r="F2726" s="8" t="s">
        <v>6925</v>
      </c>
      <c r="G2726" s="8" t="s">
        <v>6926</v>
      </c>
      <c r="H2726" s="339" t="s">
        <v>204</v>
      </c>
      <c r="I2726" s="8">
        <v>1</v>
      </c>
      <c r="J2726" s="8">
        <v>5</v>
      </c>
      <c r="K2726" s="8">
        <v>2</v>
      </c>
      <c r="L2726" s="8">
        <v>999</v>
      </c>
      <c r="M2726" s="8">
        <v>0</v>
      </c>
      <c r="N2726" s="8">
        <v>1018</v>
      </c>
      <c r="O2726" t="s">
        <v>6927</v>
      </c>
      <c r="P2726" s="8"/>
      <c r="Q2726" s="8"/>
      <c r="R2726" s="8"/>
      <c r="S2726" s="8">
        <v>1</v>
      </c>
      <c r="T2726" s="8">
        <v>5</v>
      </c>
      <c r="U2726" s="8">
        <v>200</v>
      </c>
      <c r="V2726" s="8">
        <v>1</v>
      </c>
      <c r="W2726" s="8">
        <v>1</v>
      </c>
      <c r="X2726" s="8">
        <v>1</v>
      </c>
      <c r="Y2726" s="8">
        <v>0</v>
      </c>
      <c r="Z2726" s="8">
        <v>0</v>
      </c>
      <c r="AA2726" s="8">
        <v>5</v>
      </c>
      <c r="AB2726" s="128">
        <v>1000</v>
      </c>
      <c r="AC2726" s="8">
        <v>56</v>
      </c>
      <c r="AD2726" s="159">
        <v>0</v>
      </c>
      <c r="AE2726" s="159">
        <v>5</v>
      </c>
      <c r="AF2726" s="159">
        <v>2</v>
      </c>
      <c r="AG2726" s="159"/>
      <c r="AH2726" s="159"/>
      <c r="AI2726" s="159"/>
      <c r="AJ2726" s="159"/>
      <c r="AK2726" s="159"/>
      <c r="AL2726" s="8"/>
      <c r="AM2726" s="8"/>
      <c r="AN2726" s="8"/>
      <c r="AO2726" s="8"/>
      <c r="AP2726" s="8"/>
      <c r="AQ2726" s="8"/>
      <c r="AR2726" s="8"/>
      <c r="AS2726" s="3">
        <v>1</v>
      </c>
    </row>
    <row r="2727" s="3" customFormat="1" spans="1:45">
      <c r="A2727" s="3">
        <v>619041</v>
      </c>
      <c r="B2727" s="8">
        <v>1001</v>
      </c>
      <c r="C2727" s="8">
        <v>6</v>
      </c>
      <c r="D2727" s="8">
        <v>1001</v>
      </c>
      <c r="E2727" s="8" t="s">
        <v>6928</v>
      </c>
      <c r="F2727" s="8" t="s">
        <v>6928</v>
      </c>
      <c r="G2727" s="8" t="s">
        <v>6929</v>
      </c>
      <c r="H2727" s="8" t="s">
        <v>1431</v>
      </c>
      <c r="I2727" s="8">
        <v>1</v>
      </c>
      <c r="J2727" s="8">
        <v>5</v>
      </c>
      <c r="K2727" s="8">
        <v>2</v>
      </c>
      <c r="L2727" s="8">
        <v>999</v>
      </c>
      <c r="M2727" s="8">
        <v>0</v>
      </c>
      <c r="N2727" s="8">
        <v>1018</v>
      </c>
      <c r="O2727" t="s">
        <v>6930</v>
      </c>
      <c r="P2727" s="236"/>
      <c r="Q2727" s="8"/>
      <c r="R2727" s="8"/>
      <c r="S2727" s="8">
        <v>1</v>
      </c>
      <c r="T2727" s="8">
        <v>5</v>
      </c>
      <c r="U2727" s="8">
        <v>200</v>
      </c>
      <c r="V2727" s="8">
        <v>1</v>
      </c>
      <c r="W2727" s="8">
        <v>1</v>
      </c>
      <c r="X2727" s="8">
        <v>1</v>
      </c>
      <c r="Y2727" s="8">
        <v>0</v>
      </c>
      <c r="Z2727" s="8">
        <v>0</v>
      </c>
      <c r="AA2727" s="8">
        <v>5</v>
      </c>
      <c r="AB2727" s="128">
        <v>1000</v>
      </c>
      <c r="AC2727" s="8">
        <v>56</v>
      </c>
      <c r="AD2727" s="159">
        <v>0</v>
      </c>
      <c r="AE2727" s="159">
        <v>5</v>
      </c>
      <c r="AF2727" s="159">
        <v>2</v>
      </c>
      <c r="AG2727" s="159"/>
      <c r="AH2727" s="159"/>
      <c r="AI2727" s="159"/>
      <c r="AJ2727" s="159"/>
      <c r="AK2727" s="159"/>
      <c r="AL2727" s="8"/>
      <c r="AM2727" s="8"/>
      <c r="AN2727" s="8"/>
      <c r="AO2727" s="8"/>
      <c r="AP2727" s="8"/>
      <c r="AQ2727" s="8"/>
      <c r="AR2727" s="8"/>
      <c r="AS2727" s="3">
        <v>1</v>
      </c>
    </row>
    <row r="2728" s="3" customFormat="1" spans="1:45">
      <c r="A2728" s="3">
        <v>619042</v>
      </c>
      <c r="B2728" s="8">
        <v>1001</v>
      </c>
      <c r="C2728" s="8">
        <v>6</v>
      </c>
      <c r="D2728" s="8">
        <v>1001</v>
      </c>
      <c r="E2728" s="8" t="s">
        <v>6931</v>
      </c>
      <c r="F2728" s="8" t="s">
        <v>6931</v>
      </c>
      <c r="G2728" s="8" t="s">
        <v>6932</v>
      </c>
      <c r="H2728" s="8" t="s">
        <v>1431</v>
      </c>
      <c r="I2728" s="8">
        <v>1</v>
      </c>
      <c r="J2728" s="8">
        <v>5</v>
      </c>
      <c r="K2728" s="8">
        <v>2</v>
      </c>
      <c r="L2728" s="8">
        <v>999</v>
      </c>
      <c r="M2728" s="8">
        <v>0</v>
      </c>
      <c r="N2728" s="8">
        <v>1018</v>
      </c>
      <c r="O2728" t="s">
        <v>6933</v>
      </c>
      <c r="P2728" s="8"/>
      <c r="Q2728" s="8"/>
      <c r="R2728" s="8"/>
      <c r="S2728" s="8">
        <v>1</v>
      </c>
      <c r="T2728" s="8">
        <v>5</v>
      </c>
      <c r="U2728" s="8">
        <v>200</v>
      </c>
      <c r="V2728" s="8">
        <v>1</v>
      </c>
      <c r="W2728" s="8">
        <v>1</v>
      </c>
      <c r="X2728" s="8">
        <v>1</v>
      </c>
      <c r="Y2728" s="8">
        <v>0</v>
      </c>
      <c r="Z2728" s="8">
        <v>0</v>
      </c>
      <c r="AA2728" s="8">
        <v>5</v>
      </c>
      <c r="AB2728" s="128">
        <v>1000</v>
      </c>
      <c r="AC2728" s="8">
        <v>56</v>
      </c>
      <c r="AD2728" s="159">
        <v>0</v>
      </c>
      <c r="AE2728" s="159">
        <v>5</v>
      </c>
      <c r="AF2728" s="159">
        <v>2</v>
      </c>
      <c r="AG2728" s="159"/>
      <c r="AH2728" s="159"/>
      <c r="AI2728" s="159"/>
      <c r="AJ2728" s="159"/>
      <c r="AK2728" s="159"/>
      <c r="AL2728" s="8"/>
      <c r="AM2728" s="8"/>
      <c r="AN2728" s="8"/>
      <c r="AO2728" s="8"/>
      <c r="AP2728" s="8"/>
      <c r="AQ2728" s="8"/>
      <c r="AR2728" s="8"/>
      <c r="AS2728" s="3">
        <v>1</v>
      </c>
    </row>
    <row r="2729" s="3" customFormat="1" spans="1:45">
      <c r="A2729" s="3">
        <v>619043</v>
      </c>
      <c r="B2729" s="8">
        <v>1001</v>
      </c>
      <c r="C2729" s="8">
        <v>6</v>
      </c>
      <c r="D2729" s="8">
        <v>1001</v>
      </c>
      <c r="E2729" s="8" t="s">
        <v>6934</v>
      </c>
      <c r="F2729" s="8" t="s">
        <v>6934</v>
      </c>
      <c r="G2729" s="8" t="s">
        <v>6935</v>
      </c>
      <c r="H2729" s="236" t="s">
        <v>1431</v>
      </c>
      <c r="I2729" s="8">
        <v>1</v>
      </c>
      <c r="J2729" s="8">
        <v>5</v>
      </c>
      <c r="K2729" s="8">
        <v>2</v>
      </c>
      <c r="L2729" s="8">
        <v>999</v>
      </c>
      <c r="M2729" s="8">
        <v>0</v>
      </c>
      <c r="N2729" s="8">
        <v>1018</v>
      </c>
      <c r="O2729" t="s">
        <v>6936</v>
      </c>
      <c r="P2729" s="8"/>
      <c r="Q2729" s="8"/>
      <c r="R2729" s="8"/>
      <c r="S2729" s="8">
        <v>1</v>
      </c>
      <c r="T2729" s="8">
        <v>5</v>
      </c>
      <c r="U2729" s="8">
        <v>200</v>
      </c>
      <c r="V2729" s="8">
        <v>1</v>
      </c>
      <c r="W2729" s="8">
        <v>1</v>
      </c>
      <c r="X2729" s="8">
        <v>1</v>
      </c>
      <c r="Y2729" s="8">
        <v>0</v>
      </c>
      <c r="Z2729" s="8">
        <v>0</v>
      </c>
      <c r="AA2729" s="8">
        <v>5</v>
      </c>
      <c r="AB2729" s="128">
        <v>1000</v>
      </c>
      <c r="AC2729" s="8">
        <v>56</v>
      </c>
      <c r="AD2729" s="159">
        <v>0</v>
      </c>
      <c r="AE2729" s="159">
        <v>5</v>
      </c>
      <c r="AF2729" s="159">
        <v>2</v>
      </c>
      <c r="AG2729" s="159"/>
      <c r="AH2729" s="159"/>
      <c r="AI2729" s="159"/>
      <c r="AJ2729" s="159"/>
      <c r="AK2729" s="159"/>
      <c r="AL2729" s="8"/>
      <c r="AM2729" s="8"/>
      <c r="AN2729" s="8"/>
      <c r="AO2729" s="8"/>
      <c r="AP2729" s="8"/>
      <c r="AQ2729" s="8"/>
      <c r="AR2729" s="8"/>
      <c r="AS2729" s="3">
        <v>1</v>
      </c>
    </row>
    <row r="2730" s="3" customFormat="1" spans="1:45">
      <c r="A2730" s="3">
        <v>619044</v>
      </c>
      <c r="B2730" s="8">
        <v>1001</v>
      </c>
      <c r="C2730" s="8">
        <v>6</v>
      </c>
      <c r="D2730" s="8">
        <v>1001</v>
      </c>
      <c r="E2730" s="8" t="s">
        <v>6937</v>
      </c>
      <c r="F2730" s="8" t="s">
        <v>6937</v>
      </c>
      <c r="G2730" s="8" t="s">
        <v>6938</v>
      </c>
      <c r="H2730" s="339" t="s">
        <v>1585</v>
      </c>
      <c r="I2730" s="8">
        <v>1</v>
      </c>
      <c r="J2730" s="8">
        <v>5</v>
      </c>
      <c r="K2730" s="8">
        <v>2</v>
      </c>
      <c r="L2730" s="8">
        <v>999</v>
      </c>
      <c r="M2730" s="8">
        <v>0</v>
      </c>
      <c r="N2730" s="8">
        <v>1018</v>
      </c>
      <c r="O2730" t="s">
        <v>6939</v>
      </c>
      <c r="P2730" s="8"/>
      <c r="Q2730" s="8"/>
      <c r="R2730" s="8"/>
      <c r="S2730" s="8">
        <v>1</v>
      </c>
      <c r="T2730" s="8">
        <v>5</v>
      </c>
      <c r="U2730" s="8">
        <v>200</v>
      </c>
      <c r="V2730" s="8">
        <v>1</v>
      </c>
      <c r="W2730" s="8">
        <v>1</v>
      </c>
      <c r="X2730" s="8">
        <v>1</v>
      </c>
      <c r="Y2730" s="8">
        <v>0</v>
      </c>
      <c r="Z2730" s="8">
        <v>0</v>
      </c>
      <c r="AA2730" s="8">
        <v>5</v>
      </c>
      <c r="AB2730" s="128">
        <v>1000</v>
      </c>
      <c r="AC2730" s="8">
        <v>56</v>
      </c>
      <c r="AD2730" s="159">
        <v>0</v>
      </c>
      <c r="AE2730" s="159">
        <v>5</v>
      </c>
      <c r="AF2730" s="159">
        <v>2</v>
      </c>
      <c r="AG2730" s="159"/>
      <c r="AH2730" s="159"/>
      <c r="AI2730" s="159"/>
      <c r="AJ2730" s="159"/>
      <c r="AK2730" s="159"/>
      <c r="AL2730" s="8"/>
      <c r="AM2730" s="8"/>
      <c r="AN2730" s="8"/>
      <c r="AO2730" s="8"/>
      <c r="AP2730" s="8"/>
      <c r="AQ2730" s="8"/>
      <c r="AR2730" s="8"/>
      <c r="AS2730" s="3">
        <v>1</v>
      </c>
    </row>
    <row r="2731" s="3" customFormat="1" spans="1:45">
      <c r="A2731" s="3">
        <v>619045</v>
      </c>
      <c r="B2731" s="8">
        <v>1001</v>
      </c>
      <c r="C2731" s="8">
        <v>6</v>
      </c>
      <c r="D2731" s="8">
        <v>1001</v>
      </c>
      <c r="E2731" s="8" t="s">
        <v>6900</v>
      </c>
      <c r="F2731" s="8" t="s">
        <v>6900</v>
      </c>
      <c r="G2731" s="8" t="s">
        <v>6901</v>
      </c>
      <c r="H2731" s="8" t="s">
        <v>1431</v>
      </c>
      <c r="I2731" s="8">
        <v>1</v>
      </c>
      <c r="J2731" s="8">
        <v>5</v>
      </c>
      <c r="K2731" s="8">
        <v>2</v>
      </c>
      <c r="L2731" s="8">
        <v>999</v>
      </c>
      <c r="M2731" s="8">
        <v>0</v>
      </c>
      <c r="N2731" s="8">
        <v>1018</v>
      </c>
      <c r="O2731" t="s">
        <v>6902</v>
      </c>
      <c r="P2731" s="236"/>
      <c r="Q2731" s="8"/>
      <c r="R2731" s="8"/>
      <c r="S2731" s="8">
        <v>1</v>
      </c>
      <c r="T2731" s="8">
        <v>5</v>
      </c>
      <c r="U2731" s="8">
        <v>200</v>
      </c>
      <c r="V2731" s="8">
        <v>1</v>
      </c>
      <c r="W2731" s="8">
        <v>1</v>
      </c>
      <c r="X2731" s="8">
        <v>1</v>
      </c>
      <c r="Y2731" s="8">
        <v>0</v>
      </c>
      <c r="Z2731" s="8">
        <v>0</v>
      </c>
      <c r="AA2731" s="8">
        <v>5</v>
      </c>
      <c r="AB2731" s="128">
        <v>1000</v>
      </c>
      <c r="AC2731" s="8">
        <v>56</v>
      </c>
      <c r="AD2731" s="159">
        <v>0</v>
      </c>
      <c r="AE2731" s="159">
        <v>5</v>
      </c>
      <c r="AF2731" s="159">
        <v>2</v>
      </c>
      <c r="AG2731" s="159"/>
      <c r="AH2731" s="159"/>
      <c r="AI2731" s="159"/>
      <c r="AJ2731" s="159"/>
      <c r="AK2731" s="159"/>
      <c r="AL2731" s="8"/>
      <c r="AM2731" s="8"/>
      <c r="AN2731" s="8"/>
      <c r="AO2731" s="8"/>
      <c r="AP2731" s="8"/>
      <c r="AQ2731" s="8"/>
      <c r="AR2731" s="8"/>
      <c r="AS2731" s="3">
        <v>1</v>
      </c>
    </row>
    <row r="2732" s="3" customFormat="1" spans="1:45">
      <c r="A2732" s="3">
        <v>619046</v>
      </c>
      <c r="B2732" s="8">
        <v>1001</v>
      </c>
      <c r="C2732" s="8">
        <v>6</v>
      </c>
      <c r="D2732" s="8">
        <v>1001</v>
      </c>
      <c r="E2732" s="8" t="s">
        <v>6940</v>
      </c>
      <c r="F2732" s="8" t="s">
        <v>6940</v>
      </c>
      <c r="G2732" s="8" t="s">
        <v>6941</v>
      </c>
      <c r="H2732" s="8" t="s">
        <v>1431</v>
      </c>
      <c r="I2732" s="8">
        <v>1</v>
      </c>
      <c r="J2732" s="8">
        <v>5</v>
      </c>
      <c r="K2732" s="8">
        <v>2</v>
      </c>
      <c r="L2732" s="8">
        <v>999</v>
      </c>
      <c r="M2732" s="8">
        <v>0</v>
      </c>
      <c r="N2732" s="8">
        <v>1018</v>
      </c>
      <c r="O2732" t="s">
        <v>6942</v>
      </c>
      <c r="P2732" s="8"/>
      <c r="Q2732" s="8"/>
      <c r="R2732" s="8"/>
      <c r="S2732" s="8">
        <v>1</v>
      </c>
      <c r="T2732" s="8">
        <v>5</v>
      </c>
      <c r="U2732" s="8">
        <v>200</v>
      </c>
      <c r="V2732" s="8">
        <v>1</v>
      </c>
      <c r="W2732" s="8">
        <v>1</v>
      </c>
      <c r="X2732" s="8">
        <v>1</v>
      </c>
      <c r="Y2732" s="8">
        <v>0</v>
      </c>
      <c r="Z2732" s="8">
        <v>0</v>
      </c>
      <c r="AA2732" s="8">
        <v>5</v>
      </c>
      <c r="AB2732" s="128">
        <v>1000</v>
      </c>
      <c r="AC2732" s="8">
        <v>56</v>
      </c>
      <c r="AD2732" s="159">
        <v>0</v>
      </c>
      <c r="AE2732" s="159">
        <v>5</v>
      </c>
      <c r="AF2732" s="159">
        <v>2</v>
      </c>
      <c r="AG2732" s="159"/>
      <c r="AH2732" s="159"/>
      <c r="AI2732" s="159"/>
      <c r="AJ2732" s="159"/>
      <c r="AK2732" s="159"/>
      <c r="AL2732" s="8"/>
      <c r="AM2732" s="8"/>
      <c r="AN2732" s="8"/>
      <c r="AO2732" s="8"/>
      <c r="AP2732" s="8"/>
      <c r="AQ2732" s="8"/>
      <c r="AR2732" s="8"/>
      <c r="AS2732" s="3">
        <v>1</v>
      </c>
    </row>
    <row r="2733" s="3" customFormat="1" spans="1:45">
      <c r="A2733" s="3">
        <v>619047</v>
      </c>
      <c r="B2733" s="236">
        <v>1001</v>
      </c>
      <c r="C2733" s="236">
        <v>6</v>
      </c>
      <c r="D2733" s="236">
        <v>1001</v>
      </c>
      <c r="E2733" s="236" t="s">
        <v>6943</v>
      </c>
      <c r="F2733" s="236" t="s">
        <v>6943</v>
      </c>
      <c r="G2733" s="236" t="s">
        <v>6944</v>
      </c>
      <c r="H2733" s="236" t="s">
        <v>1431</v>
      </c>
      <c r="I2733" s="236">
        <v>1</v>
      </c>
      <c r="J2733" s="236">
        <v>5</v>
      </c>
      <c r="K2733" s="236">
        <v>2</v>
      </c>
      <c r="L2733" s="236">
        <v>999</v>
      </c>
      <c r="M2733" s="236">
        <v>0</v>
      </c>
      <c r="N2733" s="236">
        <v>1018</v>
      </c>
      <c r="O2733" s="238" t="s">
        <v>6945</v>
      </c>
      <c r="P2733" s="236"/>
      <c r="Q2733" s="236"/>
      <c r="R2733" s="236"/>
      <c r="S2733" s="236">
        <v>1</v>
      </c>
      <c r="T2733" s="236">
        <v>5</v>
      </c>
      <c r="U2733" s="236">
        <v>200</v>
      </c>
      <c r="V2733" s="236">
        <v>1</v>
      </c>
      <c r="W2733" s="236">
        <v>1</v>
      </c>
      <c r="X2733" s="236">
        <v>1</v>
      </c>
      <c r="Y2733" s="236">
        <v>0</v>
      </c>
      <c r="Z2733" s="236">
        <v>0</v>
      </c>
      <c r="AA2733" s="236">
        <v>5</v>
      </c>
      <c r="AB2733" s="128">
        <v>1000</v>
      </c>
      <c r="AC2733" s="236">
        <v>56</v>
      </c>
      <c r="AD2733" s="456">
        <v>0</v>
      </c>
      <c r="AE2733" s="456">
        <v>5</v>
      </c>
      <c r="AF2733" s="456">
        <v>2</v>
      </c>
      <c r="AG2733" s="456"/>
      <c r="AH2733" s="456"/>
      <c r="AI2733" s="456"/>
      <c r="AJ2733" s="456"/>
      <c r="AK2733" s="456"/>
      <c r="AL2733" s="236"/>
      <c r="AM2733" s="236"/>
      <c r="AN2733" s="236"/>
      <c r="AO2733" s="236"/>
      <c r="AP2733" s="236"/>
      <c r="AQ2733" s="236"/>
      <c r="AR2733" s="236"/>
      <c r="AS2733" s="3">
        <v>1</v>
      </c>
    </row>
    <row r="2734" s="3" customFormat="1" spans="1:45">
      <c r="A2734" s="3">
        <v>619048</v>
      </c>
      <c r="B2734" s="3">
        <v>1001</v>
      </c>
      <c r="C2734" s="3">
        <v>6</v>
      </c>
      <c r="D2734" s="3">
        <v>1001</v>
      </c>
      <c r="E2734" s="3" t="s">
        <v>6920</v>
      </c>
      <c r="F2734" s="3" t="s">
        <v>6920</v>
      </c>
      <c r="G2734" s="3" t="s">
        <v>6946</v>
      </c>
      <c r="H2734" s="3" t="s">
        <v>204</v>
      </c>
      <c r="I2734" s="3">
        <v>1</v>
      </c>
      <c r="J2734" s="3">
        <v>5</v>
      </c>
      <c r="K2734" s="33">
        <v>2</v>
      </c>
      <c r="L2734" s="3">
        <v>999</v>
      </c>
      <c r="M2734" s="3">
        <v>0</v>
      </c>
      <c r="N2734" s="3">
        <v>1018</v>
      </c>
      <c r="O2734" s="8" t="s">
        <v>6947</v>
      </c>
      <c r="S2734" s="33">
        <v>1</v>
      </c>
      <c r="T2734" s="3">
        <v>5</v>
      </c>
      <c r="U2734" s="3">
        <v>100</v>
      </c>
      <c r="V2734" s="33">
        <v>1</v>
      </c>
      <c r="W2734" s="3">
        <v>1</v>
      </c>
      <c r="X2734" s="3">
        <v>1</v>
      </c>
      <c r="Y2734" s="3">
        <v>0</v>
      </c>
      <c r="Z2734" s="33">
        <v>0</v>
      </c>
      <c r="AA2734" s="3">
        <v>5</v>
      </c>
      <c r="AB2734" s="128">
        <v>1000</v>
      </c>
      <c r="AC2734" s="3">
        <v>56</v>
      </c>
      <c r="AD2734" s="62">
        <v>0</v>
      </c>
      <c r="AE2734" s="62">
        <v>5</v>
      </c>
      <c r="AF2734" s="62">
        <v>2</v>
      </c>
      <c r="AG2734" s="63"/>
      <c r="AH2734" s="63"/>
      <c r="AI2734" s="63"/>
      <c r="AJ2734" s="63"/>
      <c r="AK2734" s="63"/>
      <c r="AL2734" s="64"/>
      <c r="AM2734" s="64"/>
      <c r="AN2734" s="65"/>
      <c r="AO2734" s="64"/>
      <c r="AP2734" s="64"/>
      <c r="AS2734" s="3">
        <v>1</v>
      </c>
    </row>
    <row r="2735" s="3" customFormat="1" spans="1:45">
      <c r="A2735" s="3">
        <v>619049</v>
      </c>
      <c r="B2735" s="3">
        <v>1001</v>
      </c>
      <c r="C2735" s="3">
        <v>6</v>
      </c>
      <c r="D2735" s="3">
        <v>1001</v>
      </c>
      <c r="E2735" s="3" t="s">
        <v>6920</v>
      </c>
      <c r="F2735" s="3" t="s">
        <v>6920</v>
      </c>
      <c r="G2735" s="3" t="s">
        <v>6948</v>
      </c>
      <c r="H2735" s="3" t="s">
        <v>204</v>
      </c>
      <c r="I2735" s="3">
        <v>1</v>
      </c>
      <c r="J2735" s="3">
        <v>5</v>
      </c>
      <c r="K2735" s="33">
        <v>2</v>
      </c>
      <c r="L2735" s="3">
        <v>999</v>
      </c>
      <c r="M2735" s="3">
        <v>0</v>
      </c>
      <c r="N2735" s="3">
        <v>1018</v>
      </c>
      <c r="O2735" s="236" t="s">
        <v>6949</v>
      </c>
      <c r="S2735" s="33">
        <v>1</v>
      </c>
      <c r="T2735" s="3">
        <v>5</v>
      </c>
      <c r="U2735" s="3">
        <v>100</v>
      </c>
      <c r="V2735" s="33">
        <v>1</v>
      </c>
      <c r="W2735" s="3">
        <v>1</v>
      </c>
      <c r="X2735" s="3">
        <v>1</v>
      </c>
      <c r="Y2735" s="3">
        <v>0</v>
      </c>
      <c r="Z2735" s="33">
        <v>0</v>
      </c>
      <c r="AA2735" s="3">
        <v>5</v>
      </c>
      <c r="AB2735" s="128">
        <v>1000</v>
      </c>
      <c r="AC2735" s="3">
        <v>56</v>
      </c>
      <c r="AD2735" s="62">
        <v>0</v>
      </c>
      <c r="AE2735" s="62">
        <v>5</v>
      </c>
      <c r="AF2735" s="62">
        <v>2</v>
      </c>
      <c r="AG2735" s="63"/>
      <c r="AH2735" s="63"/>
      <c r="AI2735" s="63"/>
      <c r="AJ2735" s="63"/>
      <c r="AK2735" s="63"/>
      <c r="AL2735" s="64"/>
      <c r="AM2735" s="64"/>
      <c r="AN2735" s="65"/>
      <c r="AO2735" s="64"/>
      <c r="AP2735" s="64"/>
      <c r="AS2735" s="3">
        <v>1</v>
      </c>
    </row>
    <row r="2736" s="3" customFormat="1" spans="1:45">
      <c r="A2736" s="3">
        <v>619050</v>
      </c>
      <c r="B2736" s="3">
        <v>1001</v>
      </c>
      <c r="C2736" s="3">
        <v>6</v>
      </c>
      <c r="D2736" s="3">
        <v>1001</v>
      </c>
      <c r="E2736" s="3" t="s">
        <v>6950</v>
      </c>
      <c r="F2736" s="3" t="s">
        <v>6950</v>
      </c>
      <c r="G2736" s="3" t="s">
        <v>6951</v>
      </c>
      <c r="H2736" s="3" t="s">
        <v>1818</v>
      </c>
      <c r="I2736" s="3">
        <v>1</v>
      </c>
      <c r="J2736" s="3">
        <v>5</v>
      </c>
      <c r="K2736" s="33">
        <v>2</v>
      </c>
      <c r="L2736" s="3">
        <v>999</v>
      </c>
      <c r="M2736" s="3">
        <v>0</v>
      </c>
      <c r="N2736" s="3">
        <v>1017</v>
      </c>
      <c r="O2736" s="470">
        <v>220013</v>
      </c>
      <c r="S2736" s="33">
        <v>1</v>
      </c>
      <c r="T2736" s="3">
        <v>5</v>
      </c>
      <c r="U2736" s="3">
        <v>100</v>
      </c>
      <c r="V2736" s="33">
        <v>1</v>
      </c>
      <c r="W2736" s="3">
        <v>1</v>
      </c>
      <c r="X2736" s="3">
        <v>1</v>
      </c>
      <c r="Y2736" s="3">
        <v>0</v>
      </c>
      <c r="Z2736" s="33">
        <v>0</v>
      </c>
      <c r="AA2736" s="3">
        <v>5</v>
      </c>
      <c r="AB2736" s="395">
        <v>1000</v>
      </c>
      <c r="AC2736" s="3">
        <v>110</v>
      </c>
      <c r="AD2736" s="62">
        <v>0</v>
      </c>
      <c r="AE2736" s="62">
        <v>4</v>
      </c>
      <c r="AF2736" s="62">
        <v>2</v>
      </c>
      <c r="AG2736" s="63"/>
      <c r="AH2736" s="63">
        <v>1</v>
      </c>
      <c r="AI2736" s="63"/>
      <c r="AJ2736" s="63"/>
      <c r="AK2736" s="63"/>
      <c r="AL2736" s="64">
        <v>1</v>
      </c>
      <c r="AM2736" s="64"/>
      <c r="AN2736" s="65"/>
      <c r="AO2736" s="64"/>
      <c r="AP2736" s="64"/>
      <c r="AS2736" s="3">
        <v>1</v>
      </c>
    </row>
    <row r="2737" s="3" customFormat="1" spans="1:45">
      <c r="A2737" s="3">
        <v>619051</v>
      </c>
      <c r="B2737" s="3">
        <v>1001</v>
      </c>
      <c r="C2737" s="3">
        <v>1</v>
      </c>
      <c r="D2737" s="3">
        <v>1001</v>
      </c>
      <c r="E2737" s="3" t="s">
        <v>6952</v>
      </c>
      <c r="F2737" s="3" t="s">
        <v>6952</v>
      </c>
      <c r="G2737" s="3" t="s">
        <v>6953</v>
      </c>
      <c r="H2737" s="3" t="s">
        <v>1431</v>
      </c>
      <c r="I2737" s="3">
        <v>1</v>
      </c>
      <c r="J2737" s="3">
        <v>5</v>
      </c>
      <c r="K2737" s="33">
        <v>2</v>
      </c>
      <c r="L2737" s="3">
        <v>999</v>
      </c>
      <c r="M2737" s="3">
        <v>0</v>
      </c>
      <c r="N2737" s="3">
        <v>1</v>
      </c>
      <c r="O2737" s="2" t="s">
        <v>6954</v>
      </c>
      <c r="S2737" s="33">
        <v>1</v>
      </c>
      <c r="T2737" s="3">
        <v>5</v>
      </c>
      <c r="U2737" s="3">
        <v>140</v>
      </c>
      <c r="V2737" s="33">
        <v>1</v>
      </c>
      <c r="W2737" s="3">
        <v>1</v>
      </c>
      <c r="X2737" s="3">
        <v>1</v>
      </c>
      <c r="Y2737" s="3">
        <v>0</v>
      </c>
      <c r="Z2737" s="33">
        <v>0</v>
      </c>
      <c r="AA2737" s="3">
        <v>5</v>
      </c>
      <c r="AB2737" s="3">
        <v>5320</v>
      </c>
      <c r="AC2737" s="3">
        <v>300</v>
      </c>
      <c r="AD2737" s="62">
        <v>0</v>
      </c>
      <c r="AE2737" s="62">
        <v>4</v>
      </c>
      <c r="AF2737" s="62">
        <v>2</v>
      </c>
      <c r="AG2737" s="63"/>
      <c r="AH2737" s="63">
        <v>1</v>
      </c>
      <c r="AI2737" s="63"/>
      <c r="AJ2737" s="63"/>
      <c r="AK2737" s="63"/>
      <c r="AL2737" s="64">
        <v>1</v>
      </c>
      <c r="AM2737" s="64"/>
      <c r="AN2737" s="65"/>
      <c r="AO2737" s="64"/>
      <c r="AP2737" s="64"/>
      <c r="AS2737" s="3">
        <v>1</v>
      </c>
    </row>
    <row r="2738" s="3" customFormat="1" spans="1:45">
      <c r="A2738" s="3">
        <v>619052</v>
      </c>
      <c r="B2738" s="3">
        <v>1001</v>
      </c>
      <c r="C2738" s="3">
        <v>1</v>
      </c>
      <c r="D2738" s="3">
        <v>1001</v>
      </c>
      <c r="E2738" s="3" t="s">
        <v>6955</v>
      </c>
      <c r="F2738" s="3" t="s">
        <v>6955</v>
      </c>
      <c r="G2738" s="3" t="s">
        <v>6953</v>
      </c>
      <c r="H2738" s="3" t="s">
        <v>1431</v>
      </c>
      <c r="I2738" s="3">
        <v>1</v>
      </c>
      <c r="J2738" s="3">
        <v>5</v>
      </c>
      <c r="K2738" s="33">
        <v>2</v>
      </c>
      <c r="L2738" s="3">
        <v>999</v>
      </c>
      <c r="M2738" s="3">
        <v>0</v>
      </c>
      <c r="N2738" s="3">
        <v>1</v>
      </c>
      <c r="O2738" s="2" t="s">
        <v>6954</v>
      </c>
      <c r="S2738" s="33">
        <v>1</v>
      </c>
      <c r="T2738" s="3">
        <v>5</v>
      </c>
      <c r="U2738" s="3">
        <v>140</v>
      </c>
      <c r="V2738" s="33">
        <v>1</v>
      </c>
      <c r="W2738" s="3">
        <v>1</v>
      </c>
      <c r="X2738" s="3">
        <v>1</v>
      </c>
      <c r="Y2738" s="3">
        <v>0</v>
      </c>
      <c r="Z2738" s="33">
        <v>0</v>
      </c>
      <c r="AA2738" s="3">
        <v>5</v>
      </c>
      <c r="AB2738" s="339">
        <v>5320</v>
      </c>
      <c r="AC2738" s="3">
        <v>300</v>
      </c>
      <c r="AD2738" s="62">
        <v>0</v>
      </c>
      <c r="AE2738" s="62">
        <v>4</v>
      </c>
      <c r="AF2738" s="62">
        <v>2</v>
      </c>
      <c r="AG2738" s="63"/>
      <c r="AH2738" s="63">
        <v>1</v>
      </c>
      <c r="AI2738" s="63"/>
      <c r="AJ2738" s="63"/>
      <c r="AK2738" s="63"/>
      <c r="AL2738" s="64">
        <v>1</v>
      </c>
      <c r="AM2738" s="64"/>
      <c r="AN2738" s="65"/>
      <c r="AO2738" s="64"/>
      <c r="AP2738" s="64"/>
      <c r="AS2738" s="3">
        <v>1</v>
      </c>
    </row>
    <row r="2739" s="3" customFormat="1" spans="1:45">
      <c r="A2739" s="3">
        <v>619053</v>
      </c>
      <c r="B2739" s="3">
        <v>1001</v>
      </c>
      <c r="C2739" s="3">
        <v>6</v>
      </c>
      <c r="D2739" s="3">
        <v>1001</v>
      </c>
      <c r="E2739" s="3" t="s">
        <v>6956</v>
      </c>
      <c r="F2739" s="3" t="s">
        <v>6956</v>
      </c>
      <c r="G2739" s="3" t="s">
        <v>6957</v>
      </c>
      <c r="H2739" s="3" t="s">
        <v>1818</v>
      </c>
      <c r="I2739" s="3">
        <v>1</v>
      </c>
      <c r="J2739" s="3">
        <v>5</v>
      </c>
      <c r="K2739" s="33">
        <v>2</v>
      </c>
      <c r="L2739" s="3">
        <v>999</v>
      </c>
      <c r="M2739" s="3">
        <v>0</v>
      </c>
      <c r="N2739" s="3">
        <v>1017</v>
      </c>
      <c r="O2739" s="474">
        <v>220014</v>
      </c>
      <c r="S2739" s="33">
        <v>1</v>
      </c>
      <c r="T2739" s="3">
        <v>5</v>
      </c>
      <c r="U2739" s="3">
        <v>100</v>
      </c>
      <c r="V2739" s="33">
        <v>1</v>
      </c>
      <c r="W2739" s="3">
        <v>1</v>
      </c>
      <c r="X2739" s="3">
        <v>1</v>
      </c>
      <c r="Y2739" s="3">
        <v>0</v>
      </c>
      <c r="Z2739" s="33">
        <v>0</v>
      </c>
      <c r="AA2739" s="3">
        <v>5</v>
      </c>
      <c r="AB2739" s="128">
        <v>1000</v>
      </c>
      <c r="AC2739" s="3">
        <v>110</v>
      </c>
      <c r="AD2739" s="62">
        <v>0</v>
      </c>
      <c r="AE2739" s="62">
        <v>4</v>
      </c>
      <c r="AF2739" s="62">
        <v>2</v>
      </c>
      <c r="AG2739" s="63"/>
      <c r="AH2739" s="63">
        <v>1</v>
      </c>
      <c r="AI2739" s="63"/>
      <c r="AJ2739" s="63"/>
      <c r="AK2739" s="63"/>
      <c r="AL2739" s="64">
        <v>1</v>
      </c>
      <c r="AM2739" s="64"/>
      <c r="AN2739" s="65"/>
      <c r="AO2739" s="64"/>
      <c r="AP2739" s="64"/>
      <c r="AS2739" s="3">
        <v>1</v>
      </c>
    </row>
    <row r="2740" s="3" customFormat="1" spans="1:45">
      <c r="A2740" s="3">
        <v>619054</v>
      </c>
      <c r="B2740" s="3">
        <v>1001</v>
      </c>
      <c r="C2740" s="3">
        <v>6</v>
      </c>
      <c r="D2740" s="3">
        <v>1001</v>
      </c>
      <c r="E2740" s="3" t="s">
        <v>6958</v>
      </c>
      <c r="F2740" s="3" t="s">
        <v>6920</v>
      </c>
      <c r="G2740" s="3" t="s">
        <v>6959</v>
      </c>
      <c r="H2740" s="3" t="s">
        <v>204</v>
      </c>
      <c r="I2740" s="3">
        <v>1</v>
      </c>
      <c r="J2740" s="3">
        <v>5</v>
      </c>
      <c r="K2740" s="33">
        <v>2</v>
      </c>
      <c r="L2740" s="3">
        <v>999</v>
      </c>
      <c r="M2740" s="3">
        <v>0</v>
      </c>
      <c r="N2740" s="3">
        <v>1018</v>
      </c>
      <c r="O2740" s="236" t="s">
        <v>6960</v>
      </c>
      <c r="S2740" s="33">
        <v>1</v>
      </c>
      <c r="T2740" s="3">
        <v>5</v>
      </c>
      <c r="U2740" s="3">
        <v>100</v>
      </c>
      <c r="V2740" s="33">
        <v>1</v>
      </c>
      <c r="W2740" s="3">
        <v>1</v>
      </c>
      <c r="X2740" s="3">
        <v>1</v>
      </c>
      <c r="Y2740" s="3">
        <v>0</v>
      </c>
      <c r="Z2740" s="33">
        <v>0</v>
      </c>
      <c r="AA2740" s="3">
        <v>5</v>
      </c>
      <c r="AB2740" s="395">
        <v>1000</v>
      </c>
      <c r="AC2740" s="3">
        <v>56</v>
      </c>
      <c r="AD2740" s="62">
        <v>0</v>
      </c>
      <c r="AE2740" s="62">
        <v>5</v>
      </c>
      <c r="AF2740" s="62">
        <v>2</v>
      </c>
      <c r="AG2740" s="63"/>
      <c r="AH2740" s="63"/>
      <c r="AI2740" s="63"/>
      <c r="AJ2740" s="63"/>
      <c r="AK2740" s="63"/>
      <c r="AL2740" s="64"/>
      <c r="AM2740" s="64"/>
      <c r="AN2740" s="65"/>
      <c r="AO2740" s="64"/>
      <c r="AP2740" s="64"/>
      <c r="AS2740" s="3">
        <v>1</v>
      </c>
    </row>
    <row r="2741" s="3" customFormat="1" spans="1:45">
      <c r="A2741" s="3">
        <v>619055</v>
      </c>
      <c r="B2741" s="3">
        <v>1001</v>
      </c>
      <c r="C2741" s="3">
        <v>23</v>
      </c>
      <c r="D2741" s="3">
        <v>0</v>
      </c>
      <c r="E2741" s="51" t="s">
        <v>6961</v>
      </c>
      <c r="F2741" s="3" t="s">
        <v>6961</v>
      </c>
      <c r="G2741" s="3" t="s">
        <v>1765</v>
      </c>
      <c r="H2741" s="3" t="s">
        <v>1766</v>
      </c>
      <c r="I2741" s="3">
        <v>1</v>
      </c>
      <c r="J2741" s="3">
        <v>4</v>
      </c>
      <c r="K2741" s="33">
        <v>1</v>
      </c>
      <c r="L2741" s="3">
        <v>999</v>
      </c>
      <c r="M2741" s="3">
        <v>0</v>
      </c>
      <c r="O2741" s="2">
        <v>0</v>
      </c>
      <c r="S2741" s="33"/>
      <c r="V2741" s="33"/>
      <c r="Z2741" s="33"/>
      <c r="AD2741" s="62"/>
      <c r="AE2741" s="62"/>
      <c r="AF2741" s="62"/>
      <c r="AG2741" s="63"/>
      <c r="AH2741" s="63"/>
      <c r="AI2741" s="63"/>
      <c r="AJ2741" s="63"/>
      <c r="AK2741" s="63"/>
      <c r="AL2741" s="64"/>
      <c r="AM2741" s="64"/>
      <c r="AN2741" s="65"/>
      <c r="AO2741" s="64"/>
      <c r="AP2741" s="64"/>
      <c r="AS2741" s="3">
        <v>1</v>
      </c>
    </row>
    <row r="2742" s="3" customFormat="1" ht="14.25" customHeight="1" spans="1:45">
      <c r="A2742" s="3">
        <v>619056</v>
      </c>
      <c r="B2742" s="339">
        <v>1001</v>
      </c>
      <c r="C2742" s="339">
        <v>23</v>
      </c>
      <c r="D2742" s="339">
        <v>0</v>
      </c>
      <c r="E2742" s="51" t="s">
        <v>6962</v>
      </c>
      <c r="F2742" s="339" t="s">
        <v>6963</v>
      </c>
      <c r="G2742" s="3" t="s">
        <v>1765</v>
      </c>
      <c r="H2742" s="3" t="s">
        <v>1766</v>
      </c>
      <c r="I2742" s="3">
        <v>1</v>
      </c>
      <c r="J2742" s="3">
        <v>4</v>
      </c>
      <c r="K2742" s="254">
        <v>1</v>
      </c>
      <c r="L2742" s="339">
        <v>999</v>
      </c>
      <c r="M2742" s="339">
        <v>0</v>
      </c>
      <c r="N2742" s="8"/>
      <c r="O2742" s="2">
        <v>1</v>
      </c>
      <c r="P2742" s="8"/>
      <c r="Q2742" s="8"/>
      <c r="S2742" s="254"/>
      <c r="T2742" s="8"/>
      <c r="U2742" s="89"/>
      <c r="V2742" s="254"/>
      <c r="W2742" s="8"/>
      <c r="X2742" s="8"/>
      <c r="Y2742" s="3"/>
      <c r="Z2742" s="33"/>
      <c r="AA2742" s="3"/>
      <c r="AB2742" s="34"/>
      <c r="AC2742" s="87"/>
      <c r="AD2742" s="62"/>
      <c r="AE2742" s="255"/>
      <c r="AF2742" s="255"/>
      <c r="AG2742" s="423"/>
      <c r="AH2742" s="423"/>
      <c r="AI2742" s="423"/>
      <c r="AJ2742" s="423"/>
      <c r="AK2742" s="423"/>
      <c r="AL2742" s="256"/>
      <c r="AM2742" s="256"/>
      <c r="AN2742" s="424"/>
      <c r="AO2742" s="256"/>
      <c r="AP2742" s="64"/>
      <c r="AQ2742" s="3"/>
      <c r="AS2742" s="3">
        <v>1</v>
      </c>
    </row>
    <row r="2743" s="3" customFormat="1" ht="14.25" customHeight="1" spans="1:45">
      <c r="A2743" s="3">
        <v>619057</v>
      </c>
      <c r="B2743" s="236">
        <v>1001</v>
      </c>
      <c r="C2743" s="236">
        <v>1</v>
      </c>
      <c r="D2743" s="236">
        <v>1001</v>
      </c>
      <c r="E2743" s="3" t="s">
        <v>6964</v>
      </c>
      <c r="F2743" s="253" t="s">
        <v>6964</v>
      </c>
      <c r="G2743" s="3" t="s">
        <v>6965</v>
      </c>
      <c r="H2743" s="117" t="s">
        <v>6966</v>
      </c>
      <c r="I2743" s="3">
        <v>1</v>
      </c>
      <c r="J2743" s="69">
        <v>5</v>
      </c>
      <c r="K2743" s="248">
        <v>1</v>
      </c>
      <c r="L2743" s="236">
        <v>999</v>
      </c>
      <c r="M2743" s="236">
        <v>0</v>
      </c>
      <c r="N2743" s="236"/>
      <c r="O2743" s="2"/>
      <c r="P2743" s="236"/>
      <c r="Q2743" s="236" t="s">
        <v>6967</v>
      </c>
      <c r="S2743" s="336">
        <v>0</v>
      </c>
      <c r="T2743" s="236">
        <v>5</v>
      </c>
      <c r="U2743" s="336">
        <v>200</v>
      </c>
      <c r="V2743" s="248">
        <v>1</v>
      </c>
      <c r="W2743" s="236">
        <v>1</v>
      </c>
      <c r="X2743" s="236">
        <v>1</v>
      </c>
      <c r="Y2743" s="3">
        <v>0</v>
      </c>
      <c r="Z2743" s="33">
        <v>0</v>
      </c>
      <c r="AA2743" s="3">
        <v>5</v>
      </c>
      <c r="AB2743" s="340">
        <v>7600</v>
      </c>
      <c r="AC2743" s="248">
        <v>830</v>
      </c>
      <c r="AD2743" s="62">
        <v>0</v>
      </c>
      <c r="AE2743" s="250">
        <v>0</v>
      </c>
      <c r="AF2743" s="250">
        <v>0</v>
      </c>
      <c r="AG2743" s="251"/>
      <c r="AH2743" s="251">
        <v>1</v>
      </c>
      <c r="AI2743" s="251"/>
      <c r="AJ2743" s="251"/>
      <c r="AK2743" s="251"/>
      <c r="AL2743" s="252">
        <v>1</v>
      </c>
      <c r="AM2743" s="252"/>
      <c r="AN2743" s="338" t="s">
        <v>6968</v>
      </c>
      <c r="AO2743" s="252"/>
      <c r="AP2743" s="86"/>
      <c r="AQ2743" s="3" t="s">
        <v>363</v>
      </c>
      <c r="AS2743" s="3">
        <v>1</v>
      </c>
    </row>
    <row r="2744" s="3" customFormat="1" spans="1:45">
      <c r="A2744" s="3">
        <v>619058</v>
      </c>
      <c r="B2744" s="339">
        <v>1001</v>
      </c>
      <c r="C2744" s="339">
        <v>6</v>
      </c>
      <c r="D2744" s="339">
        <v>1001</v>
      </c>
      <c r="E2744" s="339" t="s">
        <v>6969</v>
      </c>
      <c r="F2744" s="339" t="s">
        <v>6969</v>
      </c>
      <c r="G2744" s="339" t="s">
        <v>6970</v>
      </c>
      <c r="H2744" s="339" t="s">
        <v>1818</v>
      </c>
      <c r="I2744" s="339">
        <v>1</v>
      </c>
      <c r="J2744" s="339">
        <v>5</v>
      </c>
      <c r="K2744" s="254">
        <v>2</v>
      </c>
      <c r="L2744" s="339">
        <v>999</v>
      </c>
      <c r="M2744" s="339">
        <v>0</v>
      </c>
      <c r="N2744" s="339">
        <v>1017</v>
      </c>
      <c r="O2744" s="470">
        <v>220015</v>
      </c>
      <c r="Q2744" s="128"/>
      <c r="R2744" s="128"/>
      <c r="S2744" s="254">
        <v>1</v>
      </c>
      <c r="T2744" s="339">
        <v>5</v>
      </c>
      <c r="U2744" s="339">
        <v>100</v>
      </c>
      <c r="V2744" s="254">
        <v>1</v>
      </c>
      <c r="W2744" s="339">
        <v>1</v>
      </c>
      <c r="X2744" s="339">
        <v>1</v>
      </c>
      <c r="Y2744" s="339">
        <v>0</v>
      </c>
      <c r="Z2744" s="254">
        <v>0</v>
      </c>
      <c r="AA2744" s="339">
        <v>5</v>
      </c>
      <c r="AB2744" s="128">
        <v>1000</v>
      </c>
      <c r="AC2744" s="339">
        <v>110</v>
      </c>
      <c r="AD2744" s="255">
        <v>0</v>
      </c>
      <c r="AE2744" s="255">
        <v>4</v>
      </c>
      <c r="AF2744" s="255">
        <v>2</v>
      </c>
      <c r="AG2744" s="423"/>
      <c r="AH2744" s="423">
        <v>1</v>
      </c>
      <c r="AI2744" s="423"/>
      <c r="AJ2744" s="423"/>
      <c r="AK2744" s="423"/>
      <c r="AL2744" s="256">
        <v>1</v>
      </c>
      <c r="AM2744" s="256"/>
      <c r="AN2744" s="424"/>
      <c r="AO2744" s="256"/>
      <c r="AP2744" s="256"/>
      <c r="AQ2744" s="128"/>
      <c r="AR2744" s="128"/>
      <c r="AS2744" s="3">
        <v>1</v>
      </c>
    </row>
    <row r="2745" s="3" customFormat="1" spans="1:45">
      <c r="A2745" s="3">
        <v>619059</v>
      </c>
      <c r="B2745" s="128">
        <v>1001</v>
      </c>
      <c r="C2745" s="128">
        <v>6</v>
      </c>
      <c r="D2745" s="128">
        <v>1001</v>
      </c>
      <c r="E2745" s="128" t="s">
        <v>6971</v>
      </c>
      <c r="F2745" s="128" t="s">
        <v>6971</v>
      </c>
      <c r="G2745" s="128" t="s">
        <v>6972</v>
      </c>
      <c r="H2745" s="128" t="s">
        <v>1431</v>
      </c>
      <c r="I2745" s="128">
        <v>1</v>
      </c>
      <c r="J2745" s="128">
        <v>5</v>
      </c>
      <c r="K2745" s="128">
        <v>2</v>
      </c>
      <c r="L2745" s="128">
        <v>999</v>
      </c>
      <c r="M2745" s="128">
        <v>0</v>
      </c>
      <c r="N2745" s="128">
        <v>1018</v>
      </c>
      <c r="O2745" s="343" t="s">
        <v>6973</v>
      </c>
      <c r="Q2745" s="128"/>
      <c r="R2745" s="128"/>
      <c r="S2745" s="128">
        <v>1</v>
      </c>
      <c r="T2745" s="128">
        <v>5</v>
      </c>
      <c r="U2745" s="128">
        <v>200</v>
      </c>
      <c r="V2745" s="128">
        <v>1</v>
      </c>
      <c r="W2745" s="128">
        <v>1</v>
      </c>
      <c r="X2745" s="128">
        <v>1</v>
      </c>
      <c r="Y2745" s="128">
        <v>0</v>
      </c>
      <c r="Z2745" s="128">
        <v>0</v>
      </c>
      <c r="AA2745" s="128">
        <v>5</v>
      </c>
      <c r="AB2745" s="128">
        <v>1000</v>
      </c>
      <c r="AC2745" s="128">
        <v>56</v>
      </c>
      <c r="AD2745" s="154">
        <v>0</v>
      </c>
      <c r="AE2745" s="154">
        <v>5</v>
      </c>
      <c r="AF2745" s="154">
        <v>2</v>
      </c>
      <c r="AG2745" s="154"/>
      <c r="AH2745" s="154"/>
      <c r="AI2745" s="154"/>
      <c r="AJ2745" s="154"/>
      <c r="AK2745" s="154"/>
      <c r="AL2745" s="128"/>
      <c r="AM2745" s="128"/>
      <c r="AN2745" s="128"/>
      <c r="AO2745" s="128"/>
      <c r="AP2745" s="128"/>
      <c r="AQ2745" s="128"/>
      <c r="AR2745" s="128"/>
      <c r="AS2745" s="3">
        <v>1</v>
      </c>
    </row>
    <row r="2746" s="3" customFormat="1" spans="1:45">
      <c r="A2746" s="3">
        <v>619060</v>
      </c>
      <c r="B2746" s="128">
        <v>1001</v>
      </c>
      <c r="C2746" s="128">
        <v>6</v>
      </c>
      <c r="D2746" s="128">
        <v>1001</v>
      </c>
      <c r="E2746" s="128" t="s">
        <v>6974</v>
      </c>
      <c r="F2746" s="128" t="s">
        <v>6974</v>
      </c>
      <c r="G2746" s="128" t="s">
        <v>6975</v>
      </c>
      <c r="H2746" s="128" t="s">
        <v>1431</v>
      </c>
      <c r="I2746" s="128">
        <v>1</v>
      </c>
      <c r="J2746" s="128">
        <v>5</v>
      </c>
      <c r="K2746" s="128">
        <v>2</v>
      </c>
      <c r="L2746" s="128">
        <v>999</v>
      </c>
      <c r="M2746" s="128">
        <v>0</v>
      </c>
      <c r="N2746" s="128">
        <v>1018</v>
      </c>
      <c r="O2746" s="343" t="s">
        <v>6976</v>
      </c>
      <c r="Q2746" s="128"/>
      <c r="R2746" s="128"/>
      <c r="S2746" s="128">
        <v>1</v>
      </c>
      <c r="T2746" s="128">
        <v>5</v>
      </c>
      <c r="U2746" s="128">
        <v>200</v>
      </c>
      <c r="V2746" s="128">
        <v>1</v>
      </c>
      <c r="W2746" s="128">
        <v>1</v>
      </c>
      <c r="X2746" s="128">
        <v>1</v>
      </c>
      <c r="Y2746" s="128">
        <v>0</v>
      </c>
      <c r="Z2746" s="128">
        <v>0</v>
      </c>
      <c r="AA2746" s="128">
        <v>5</v>
      </c>
      <c r="AB2746" s="128">
        <v>1000</v>
      </c>
      <c r="AC2746" s="128">
        <v>56</v>
      </c>
      <c r="AD2746" s="154">
        <v>0</v>
      </c>
      <c r="AE2746" s="154">
        <v>5</v>
      </c>
      <c r="AF2746" s="154">
        <v>2</v>
      </c>
      <c r="AG2746" s="154"/>
      <c r="AH2746" s="154"/>
      <c r="AI2746" s="154"/>
      <c r="AJ2746" s="154"/>
      <c r="AK2746" s="154"/>
      <c r="AL2746" s="128"/>
      <c r="AM2746" s="128"/>
      <c r="AN2746" s="128"/>
      <c r="AO2746" s="128"/>
      <c r="AP2746" s="128"/>
      <c r="AQ2746" s="128"/>
      <c r="AR2746" s="128"/>
      <c r="AS2746" s="3">
        <v>1</v>
      </c>
    </row>
    <row r="2747" s="3" customFormat="1" spans="1:45">
      <c r="A2747" s="3">
        <v>619061</v>
      </c>
      <c r="B2747" s="395">
        <v>1001</v>
      </c>
      <c r="C2747" s="395">
        <v>6</v>
      </c>
      <c r="D2747" s="395">
        <v>1001</v>
      </c>
      <c r="E2747" s="395" t="s">
        <v>6977</v>
      </c>
      <c r="F2747" s="395" t="s">
        <v>6977</v>
      </c>
      <c r="G2747" s="395" t="s">
        <v>6978</v>
      </c>
      <c r="H2747" s="395" t="s">
        <v>1431</v>
      </c>
      <c r="I2747" s="395">
        <v>1</v>
      </c>
      <c r="J2747" s="395">
        <v>5</v>
      </c>
      <c r="K2747" s="395">
        <v>2</v>
      </c>
      <c r="L2747" s="395">
        <v>999</v>
      </c>
      <c r="M2747" s="395">
        <v>0</v>
      </c>
      <c r="N2747" s="395">
        <v>1018</v>
      </c>
      <c r="O2747" s="394" t="s">
        <v>6979</v>
      </c>
      <c r="Q2747" s="395"/>
      <c r="R2747" s="395"/>
      <c r="S2747" s="395">
        <v>1</v>
      </c>
      <c r="T2747" s="395">
        <v>5</v>
      </c>
      <c r="U2747" s="395">
        <v>200</v>
      </c>
      <c r="V2747" s="395">
        <v>1</v>
      </c>
      <c r="W2747" s="395">
        <v>1</v>
      </c>
      <c r="X2747" s="395">
        <v>1</v>
      </c>
      <c r="Y2747" s="395">
        <v>0</v>
      </c>
      <c r="Z2747" s="395">
        <v>0</v>
      </c>
      <c r="AA2747" s="395">
        <v>5</v>
      </c>
      <c r="AB2747" s="128">
        <v>1000</v>
      </c>
      <c r="AC2747" s="395">
        <v>56</v>
      </c>
      <c r="AD2747" s="475">
        <v>0</v>
      </c>
      <c r="AE2747" s="475">
        <v>5</v>
      </c>
      <c r="AF2747" s="475">
        <v>2</v>
      </c>
      <c r="AG2747" s="475"/>
      <c r="AH2747" s="475"/>
      <c r="AI2747" s="475"/>
      <c r="AJ2747" s="475"/>
      <c r="AK2747" s="475"/>
      <c r="AL2747" s="395"/>
      <c r="AM2747" s="395"/>
      <c r="AN2747" s="395"/>
      <c r="AO2747" s="395"/>
      <c r="AP2747" s="395"/>
      <c r="AQ2747" s="395"/>
      <c r="AR2747" s="395"/>
      <c r="AS2747" s="3">
        <v>1</v>
      </c>
    </row>
    <row r="2748" s="3" customFormat="1" spans="1:45">
      <c r="A2748" s="3">
        <v>619062</v>
      </c>
      <c r="B2748" s="3">
        <v>1001</v>
      </c>
      <c r="C2748" s="3">
        <v>6</v>
      </c>
      <c r="D2748" s="3">
        <v>1001</v>
      </c>
      <c r="E2748" s="3" t="s">
        <v>6980</v>
      </c>
      <c r="F2748" s="3" t="s">
        <v>6981</v>
      </c>
      <c r="G2748" s="3" t="s">
        <v>6982</v>
      </c>
      <c r="H2748" s="3" t="s">
        <v>204</v>
      </c>
      <c r="I2748" s="3">
        <v>1</v>
      </c>
      <c r="J2748" s="3">
        <v>5</v>
      </c>
      <c r="K2748" s="3">
        <v>2</v>
      </c>
      <c r="L2748" s="3">
        <v>999</v>
      </c>
      <c r="M2748" s="3">
        <v>0</v>
      </c>
      <c r="N2748" s="3">
        <v>1018</v>
      </c>
      <c r="O2748" s="128" t="s">
        <v>6983</v>
      </c>
      <c r="S2748" s="3">
        <v>1</v>
      </c>
      <c r="T2748" s="3">
        <v>5</v>
      </c>
      <c r="U2748" s="3">
        <v>100</v>
      </c>
      <c r="V2748" s="3">
        <v>1</v>
      </c>
      <c r="W2748" s="3">
        <v>1</v>
      </c>
      <c r="X2748" s="3">
        <v>1</v>
      </c>
      <c r="Y2748" s="3">
        <v>0</v>
      </c>
      <c r="Z2748" s="3">
        <v>0</v>
      </c>
      <c r="AA2748" s="3">
        <v>5</v>
      </c>
      <c r="AB2748" s="128">
        <v>1000</v>
      </c>
      <c r="AC2748" s="3">
        <v>56</v>
      </c>
      <c r="AD2748" s="153">
        <v>0</v>
      </c>
      <c r="AE2748" s="153">
        <v>5</v>
      </c>
      <c r="AF2748" s="153">
        <v>2</v>
      </c>
      <c r="AG2748" s="337"/>
      <c r="AH2748" s="337"/>
      <c r="AI2748" s="337"/>
      <c r="AJ2748" s="337"/>
      <c r="AK2748" s="337"/>
      <c r="AL2748" s="234"/>
      <c r="AM2748" s="234"/>
      <c r="AN2748" s="476"/>
      <c r="AO2748" s="234"/>
      <c r="AP2748" s="234"/>
      <c r="AS2748" s="3">
        <v>1</v>
      </c>
    </row>
    <row r="2749" s="3" customFormat="1" spans="1:45">
      <c r="A2749" s="3">
        <v>619063</v>
      </c>
      <c r="B2749" s="3">
        <v>1001</v>
      </c>
      <c r="C2749" s="3">
        <v>6</v>
      </c>
      <c r="D2749" s="3">
        <v>1001</v>
      </c>
      <c r="E2749" s="3" t="s">
        <v>6984</v>
      </c>
      <c r="F2749" s="3" t="s">
        <v>6985</v>
      </c>
      <c r="G2749" s="339" t="s">
        <v>6986</v>
      </c>
      <c r="H2749" s="339" t="s">
        <v>204</v>
      </c>
      <c r="I2749" s="3">
        <v>1</v>
      </c>
      <c r="J2749" s="3">
        <v>5</v>
      </c>
      <c r="K2749" s="3">
        <v>2</v>
      </c>
      <c r="L2749" s="3">
        <v>999</v>
      </c>
      <c r="M2749" s="3">
        <v>0</v>
      </c>
      <c r="N2749" s="3">
        <v>1018</v>
      </c>
      <c r="O2749" s="395" t="s">
        <v>6987</v>
      </c>
      <c r="S2749" s="3">
        <v>1</v>
      </c>
      <c r="T2749" s="3">
        <v>5</v>
      </c>
      <c r="U2749" s="3">
        <v>100</v>
      </c>
      <c r="V2749" s="3">
        <v>1</v>
      </c>
      <c r="W2749" s="3">
        <v>1</v>
      </c>
      <c r="X2749" s="3">
        <v>1</v>
      </c>
      <c r="Y2749" s="3">
        <v>0</v>
      </c>
      <c r="Z2749" s="3">
        <v>0</v>
      </c>
      <c r="AA2749" s="3">
        <v>5</v>
      </c>
      <c r="AB2749" s="128">
        <v>1000</v>
      </c>
      <c r="AC2749" s="3">
        <v>56</v>
      </c>
      <c r="AD2749" s="153">
        <v>0</v>
      </c>
      <c r="AE2749" s="153">
        <v>5</v>
      </c>
      <c r="AF2749" s="153">
        <v>2</v>
      </c>
      <c r="AG2749" s="337"/>
      <c r="AH2749" s="337"/>
      <c r="AI2749" s="337"/>
      <c r="AJ2749" s="337"/>
      <c r="AK2749" s="337"/>
      <c r="AL2749" s="234"/>
      <c r="AM2749" s="234"/>
      <c r="AN2749" s="476"/>
      <c r="AO2749" s="234"/>
      <c r="AP2749" s="234"/>
      <c r="AS2749" s="3">
        <v>1</v>
      </c>
    </row>
    <row r="2750" s="3" customFormat="1" spans="1:45">
      <c r="A2750" s="3">
        <v>619064</v>
      </c>
      <c r="B2750" s="3">
        <v>1001</v>
      </c>
      <c r="C2750" s="3">
        <v>6</v>
      </c>
      <c r="D2750" s="3">
        <v>1001</v>
      </c>
      <c r="E2750" s="3" t="s">
        <v>6988</v>
      </c>
      <c r="F2750" s="3" t="s">
        <v>6989</v>
      </c>
      <c r="G2750" s="8" t="s">
        <v>6990</v>
      </c>
      <c r="H2750" s="8" t="s">
        <v>1431</v>
      </c>
      <c r="I2750" s="3">
        <v>1</v>
      </c>
      <c r="J2750" s="3">
        <v>5</v>
      </c>
      <c r="K2750" s="3">
        <v>2</v>
      </c>
      <c r="L2750" s="3">
        <v>999</v>
      </c>
      <c r="M2750" s="3">
        <v>0</v>
      </c>
      <c r="N2750" s="3">
        <v>1018</v>
      </c>
      <c r="O2750" t="s">
        <v>6991</v>
      </c>
      <c r="S2750" s="3">
        <v>1</v>
      </c>
      <c r="T2750" s="3">
        <v>5</v>
      </c>
      <c r="U2750" s="3">
        <v>100</v>
      </c>
      <c r="V2750" s="3">
        <v>1</v>
      </c>
      <c r="W2750" s="3">
        <v>1</v>
      </c>
      <c r="X2750" s="3">
        <v>1</v>
      </c>
      <c r="Y2750" s="3">
        <v>0</v>
      </c>
      <c r="Z2750" s="3">
        <v>0</v>
      </c>
      <c r="AA2750" s="3">
        <v>5</v>
      </c>
      <c r="AB2750" s="128">
        <v>1000</v>
      </c>
      <c r="AC2750" s="3">
        <v>56</v>
      </c>
      <c r="AD2750" s="153">
        <v>0</v>
      </c>
      <c r="AE2750" s="153">
        <v>5</v>
      </c>
      <c r="AF2750" s="153">
        <v>2</v>
      </c>
      <c r="AG2750" s="337"/>
      <c r="AH2750" s="337"/>
      <c r="AI2750" s="337"/>
      <c r="AJ2750" s="337"/>
      <c r="AK2750" s="337"/>
      <c r="AL2750" s="234"/>
      <c r="AM2750" s="234"/>
      <c r="AN2750" s="476"/>
      <c r="AO2750" s="234"/>
      <c r="AP2750" s="234"/>
      <c r="AS2750" s="3">
        <v>1</v>
      </c>
    </row>
    <row r="2751" s="3" customFormat="1" spans="1:45">
      <c r="A2751" s="339">
        <v>619065</v>
      </c>
      <c r="B2751" s="339">
        <v>1001</v>
      </c>
      <c r="C2751" s="339">
        <v>6</v>
      </c>
      <c r="D2751" s="339">
        <v>1001</v>
      </c>
      <c r="E2751" s="339" t="s">
        <v>6992</v>
      </c>
      <c r="F2751" s="339" t="s">
        <v>6989</v>
      </c>
      <c r="G2751" s="8" t="s">
        <v>6993</v>
      </c>
      <c r="H2751" s="8" t="s">
        <v>1431</v>
      </c>
      <c r="I2751" s="339">
        <v>1</v>
      </c>
      <c r="J2751" s="339">
        <v>5</v>
      </c>
      <c r="K2751" s="339">
        <v>2</v>
      </c>
      <c r="L2751" s="339">
        <v>999</v>
      </c>
      <c r="M2751" s="339">
        <v>0</v>
      </c>
      <c r="N2751" s="339">
        <v>1018</v>
      </c>
      <c r="O2751" s="238" t="s">
        <v>6994</v>
      </c>
      <c r="P2751" s="8"/>
      <c r="Q2751" s="8"/>
      <c r="R2751" s="8"/>
      <c r="S2751" s="339">
        <v>1</v>
      </c>
      <c r="T2751" s="339">
        <v>5</v>
      </c>
      <c r="U2751" s="339">
        <v>100</v>
      </c>
      <c r="V2751" s="339">
        <v>1</v>
      </c>
      <c r="W2751" s="339">
        <v>1</v>
      </c>
      <c r="X2751" s="339">
        <v>1</v>
      </c>
      <c r="Y2751" s="339">
        <v>0</v>
      </c>
      <c r="Z2751" s="339">
        <v>0</v>
      </c>
      <c r="AA2751" s="339">
        <v>5</v>
      </c>
      <c r="AB2751" s="128">
        <v>1000</v>
      </c>
      <c r="AC2751" s="339">
        <v>56</v>
      </c>
      <c r="AD2751" s="477">
        <v>0</v>
      </c>
      <c r="AE2751" s="477">
        <v>5</v>
      </c>
      <c r="AF2751" s="477">
        <v>2</v>
      </c>
      <c r="AG2751" s="478"/>
      <c r="AH2751" s="478"/>
      <c r="AI2751" s="478"/>
      <c r="AJ2751" s="478"/>
      <c r="AK2751" s="478"/>
      <c r="AL2751" s="341"/>
      <c r="AM2751" s="341"/>
      <c r="AN2751" s="479"/>
      <c r="AO2751" s="341"/>
      <c r="AP2751" s="341"/>
      <c r="AQ2751" s="8"/>
      <c r="AR2751" s="8"/>
      <c r="AS2751" s="3">
        <v>1</v>
      </c>
    </row>
    <row r="2752" s="3" customFormat="1" spans="1:45">
      <c r="A2752" s="236">
        <v>619066</v>
      </c>
      <c r="B2752" s="236">
        <v>1001</v>
      </c>
      <c r="C2752" s="236">
        <v>1</v>
      </c>
      <c r="D2752" s="236">
        <v>1001</v>
      </c>
      <c r="E2752" s="436" t="s">
        <v>6995</v>
      </c>
      <c r="F2752" s="236" t="s">
        <v>6995</v>
      </c>
      <c r="G2752" s="236" t="s">
        <v>6996</v>
      </c>
      <c r="H2752" s="236" t="s">
        <v>6997</v>
      </c>
      <c r="I2752" s="236">
        <v>1</v>
      </c>
      <c r="J2752" s="236">
        <v>2</v>
      </c>
      <c r="K2752" s="236">
        <v>1</v>
      </c>
      <c r="L2752" s="236">
        <v>999</v>
      </c>
      <c r="M2752" s="236">
        <v>0</v>
      </c>
      <c r="N2752" s="236"/>
      <c r="O2752" s="236"/>
      <c r="P2752" s="236"/>
      <c r="Q2752" s="236"/>
      <c r="R2752" s="236"/>
      <c r="S2752" s="395">
        <v>1</v>
      </c>
      <c r="T2752" s="395">
        <v>5</v>
      </c>
      <c r="U2752" s="395">
        <v>10</v>
      </c>
      <c r="V2752" s="236">
        <v>1</v>
      </c>
      <c r="W2752" s="236">
        <v>1</v>
      </c>
      <c r="X2752" s="236">
        <v>1</v>
      </c>
      <c r="Y2752" s="236">
        <v>0</v>
      </c>
      <c r="Z2752" s="236">
        <v>0</v>
      </c>
      <c r="AA2752" s="236">
        <v>5</v>
      </c>
      <c r="AB2752" s="8">
        <v>1000</v>
      </c>
      <c r="AC2752" s="236">
        <v>0</v>
      </c>
      <c r="AD2752" s="456">
        <v>0</v>
      </c>
      <c r="AE2752" s="456">
        <v>0</v>
      </c>
      <c r="AF2752" s="456">
        <v>0</v>
      </c>
      <c r="AG2752" s="456"/>
      <c r="AH2752" s="456">
        <v>1</v>
      </c>
      <c r="AI2752" s="456"/>
      <c r="AJ2752" s="456"/>
      <c r="AK2752" s="456"/>
      <c r="AL2752" s="236">
        <v>1</v>
      </c>
      <c r="AM2752" s="236"/>
      <c r="AN2752" s="236"/>
      <c r="AO2752" s="236"/>
      <c r="AP2752" s="236"/>
      <c r="AQ2752" s="236" t="s">
        <v>6995</v>
      </c>
      <c r="AR2752" s="236"/>
      <c r="AS2752" s="3">
        <v>1</v>
      </c>
    </row>
    <row r="2753" s="3" customFormat="1" spans="1:45">
      <c r="A2753" s="3">
        <v>619067</v>
      </c>
      <c r="B2753" s="3">
        <v>1001</v>
      </c>
      <c r="C2753" s="3">
        <v>6</v>
      </c>
      <c r="D2753" s="3">
        <v>1001</v>
      </c>
      <c r="E2753" s="3" t="s">
        <v>6998</v>
      </c>
      <c r="F2753" s="3" t="s">
        <v>6998</v>
      </c>
      <c r="G2753" s="3" t="s">
        <v>6999</v>
      </c>
      <c r="H2753" s="3" t="s">
        <v>1818</v>
      </c>
      <c r="I2753" s="3">
        <v>1</v>
      </c>
      <c r="J2753" s="3">
        <v>5</v>
      </c>
      <c r="K2753" s="33">
        <v>2</v>
      </c>
      <c r="L2753" s="3">
        <v>999</v>
      </c>
      <c r="M2753" s="3">
        <v>0</v>
      </c>
      <c r="N2753" s="3">
        <v>1017</v>
      </c>
      <c r="O2753" s="470">
        <v>220016</v>
      </c>
      <c r="S2753" s="33">
        <v>1</v>
      </c>
      <c r="T2753" s="3">
        <v>5</v>
      </c>
      <c r="U2753" s="3">
        <v>100</v>
      </c>
      <c r="V2753" s="33">
        <v>1</v>
      </c>
      <c r="W2753" s="3">
        <v>1</v>
      </c>
      <c r="X2753" s="3">
        <v>1</v>
      </c>
      <c r="Y2753" s="3">
        <v>0</v>
      </c>
      <c r="Z2753" s="33">
        <v>0</v>
      </c>
      <c r="AA2753" s="3">
        <v>5</v>
      </c>
      <c r="AB2753" s="395">
        <v>1000</v>
      </c>
      <c r="AC2753" s="3">
        <v>110</v>
      </c>
      <c r="AD2753" s="62">
        <v>0</v>
      </c>
      <c r="AE2753" s="62">
        <v>4</v>
      </c>
      <c r="AF2753" s="62">
        <v>2</v>
      </c>
      <c r="AG2753" s="63"/>
      <c r="AH2753" s="63">
        <v>1</v>
      </c>
      <c r="AI2753" s="63"/>
      <c r="AJ2753" s="63"/>
      <c r="AK2753" s="63"/>
      <c r="AL2753" s="64">
        <v>1</v>
      </c>
      <c r="AM2753" s="64"/>
      <c r="AN2753" s="65"/>
      <c r="AO2753" s="64"/>
      <c r="AP2753" s="64"/>
      <c r="AS2753" s="3">
        <v>1</v>
      </c>
    </row>
    <row r="2754" s="3" customFormat="1" spans="1:45">
      <c r="A2754" s="3">
        <v>619068</v>
      </c>
      <c r="B2754" s="3">
        <v>1001</v>
      </c>
      <c r="C2754" s="3">
        <v>23</v>
      </c>
      <c r="D2754" s="3">
        <v>0</v>
      </c>
      <c r="E2754" s="51" t="s">
        <v>7000</v>
      </c>
      <c r="F2754" s="3" t="s">
        <v>6963</v>
      </c>
      <c r="G2754" s="3" t="s">
        <v>1765</v>
      </c>
      <c r="H2754" s="3" t="s">
        <v>1766</v>
      </c>
      <c r="I2754" s="3">
        <v>1</v>
      </c>
      <c r="J2754" s="3">
        <v>4</v>
      </c>
      <c r="K2754" s="33">
        <v>1</v>
      </c>
      <c r="L2754" s="3">
        <v>999</v>
      </c>
      <c r="M2754" s="3">
        <v>0</v>
      </c>
      <c r="O2754" s="2">
        <v>1</v>
      </c>
      <c r="S2754" s="33"/>
      <c r="V2754" s="33"/>
      <c r="Z2754" s="33"/>
      <c r="AD2754" s="62"/>
      <c r="AE2754" s="62"/>
      <c r="AF2754" s="62"/>
      <c r="AG2754" s="63"/>
      <c r="AH2754" s="63"/>
      <c r="AI2754" s="63"/>
      <c r="AJ2754" s="63"/>
      <c r="AK2754" s="63"/>
      <c r="AL2754" s="64"/>
      <c r="AM2754" s="64"/>
      <c r="AN2754" s="65"/>
      <c r="AO2754" s="64"/>
      <c r="AP2754" s="64"/>
      <c r="AS2754" s="3">
        <v>1</v>
      </c>
    </row>
    <row r="2755" s="3" customFormat="1" spans="1:45">
      <c r="A2755" s="3">
        <v>619069</v>
      </c>
      <c r="B2755" s="3">
        <v>1001</v>
      </c>
      <c r="C2755" s="3">
        <v>23</v>
      </c>
      <c r="D2755" s="3">
        <v>0</v>
      </c>
      <c r="E2755" s="51" t="s">
        <v>7001</v>
      </c>
      <c r="F2755" s="3" t="s">
        <v>6963</v>
      </c>
      <c r="G2755" s="3" t="s">
        <v>1765</v>
      </c>
      <c r="H2755" s="3" t="s">
        <v>1766</v>
      </c>
      <c r="I2755" s="3">
        <v>1</v>
      </c>
      <c r="J2755" s="3">
        <v>4</v>
      </c>
      <c r="K2755" s="33">
        <v>1</v>
      </c>
      <c r="L2755" s="3">
        <v>999</v>
      </c>
      <c r="M2755" s="3">
        <v>0</v>
      </c>
      <c r="O2755" s="2">
        <v>1</v>
      </c>
      <c r="S2755" s="33"/>
      <c r="V2755" s="33"/>
      <c r="Z2755" s="33"/>
      <c r="AD2755" s="62"/>
      <c r="AE2755" s="62"/>
      <c r="AF2755" s="62"/>
      <c r="AG2755" s="63"/>
      <c r="AH2755" s="63"/>
      <c r="AI2755" s="63"/>
      <c r="AJ2755" s="63"/>
      <c r="AK2755" s="63"/>
      <c r="AL2755" s="64"/>
      <c r="AM2755" s="64"/>
      <c r="AN2755" s="65"/>
      <c r="AO2755" s="64"/>
      <c r="AP2755" s="64"/>
      <c r="AS2755" s="3">
        <v>1</v>
      </c>
    </row>
    <row r="2756" s="3" customFormat="1" spans="1:45">
      <c r="A2756" s="3">
        <v>619070</v>
      </c>
      <c r="B2756" s="3">
        <v>1001</v>
      </c>
      <c r="C2756" s="3">
        <v>23</v>
      </c>
      <c r="D2756" s="3">
        <v>0</v>
      </c>
      <c r="E2756" s="51" t="s">
        <v>7002</v>
      </c>
      <c r="F2756" s="3" t="s">
        <v>6963</v>
      </c>
      <c r="G2756" s="3" t="s">
        <v>1765</v>
      </c>
      <c r="H2756" s="3" t="s">
        <v>1766</v>
      </c>
      <c r="I2756" s="3">
        <v>1</v>
      </c>
      <c r="J2756" s="3">
        <v>4</v>
      </c>
      <c r="K2756" s="33">
        <v>1</v>
      </c>
      <c r="L2756" s="3">
        <v>999</v>
      </c>
      <c r="M2756" s="3">
        <v>0</v>
      </c>
      <c r="O2756" s="2">
        <v>1</v>
      </c>
      <c r="S2756" s="33"/>
      <c r="V2756" s="33"/>
      <c r="Z2756" s="33"/>
      <c r="AD2756" s="62"/>
      <c r="AE2756" s="62"/>
      <c r="AF2756" s="62"/>
      <c r="AG2756" s="63"/>
      <c r="AH2756" s="63"/>
      <c r="AI2756" s="63"/>
      <c r="AJ2756" s="63"/>
      <c r="AK2756" s="63"/>
      <c r="AL2756" s="64"/>
      <c r="AM2756" s="64"/>
      <c r="AN2756" s="65"/>
      <c r="AO2756" s="64"/>
      <c r="AP2756" s="64"/>
      <c r="AS2756" s="3">
        <v>1</v>
      </c>
    </row>
    <row r="2757" s="3" customFormat="1" spans="1:45">
      <c r="A2757" s="3">
        <v>619071</v>
      </c>
      <c r="B2757" s="3">
        <v>1001</v>
      </c>
      <c r="C2757" s="3">
        <v>23</v>
      </c>
      <c r="D2757" s="3">
        <v>0</v>
      </c>
      <c r="E2757" s="51" t="s">
        <v>7003</v>
      </c>
      <c r="F2757" s="3" t="s">
        <v>6963</v>
      </c>
      <c r="G2757" s="3" t="s">
        <v>1765</v>
      </c>
      <c r="H2757" s="3" t="s">
        <v>1766</v>
      </c>
      <c r="I2757" s="3">
        <v>1</v>
      </c>
      <c r="J2757" s="3">
        <v>4</v>
      </c>
      <c r="K2757" s="33">
        <v>1</v>
      </c>
      <c r="L2757" s="3">
        <v>999</v>
      </c>
      <c r="M2757" s="3">
        <v>0</v>
      </c>
      <c r="N2757" s="3"/>
      <c r="O2757" s="258">
        <v>1</v>
      </c>
      <c r="S2757" s="33"/>
      <c r="T2757" s="3"/>
      <c r="U2757" s="3"/>
      <c r="V2757" s="33"/>
      <c r="W2757" s="3"/>
      <c r="X2757" s="3"/>
      <c r="Y2757" s="3"/>
      <c r="Z2757" s="33"/>
      <c r="AA2757" s="3"/>
      <c r="AB2757" s="8"/>
      <c r="AC2757" s="3"/>
      <c r="AD2757" s="62"/>
      <c r="AE2757" s="62"/>
      <c r="AF2757" s="62"/>
      <c r="AG2757" s="63"/>
      <c r="AH2757" s="63"/>
      <c r="AI2757" s="63"/>
      <c r="AJ2757" s="63"/>
      <c r="AK2757" s="63"/>
      <c r="AL2757" s="64"/>
      <c r="AM2757" s="64"/>
      <c r="AN2757" s="65"/>
      <c r="AO2757" s="64"/>
      <c r="AP2757" s="64"/>
      <c r="AS2757" s="3">
        <v>1</v>
      </c>
    </row>
    <row r="2758" s="3" customFormat="1" spans="1:45">
      <c r="A2758" s="3">
        <v>619072</v>
      </c>
      <c r="B2758" s="3">
        <v>1001</v>
      </c>
      <c r="C2758" s="3">
        <v>6</v>
      </c>
      <c r="D2758" s="3">
        <v>1001</v>
      </c>
      <c r="E2758" s="3" t="s">
        <v>7004</v>
      </c>
      <c r="F2758" s="3" t="s">
        <v>7004</v>
      </c>
      <c r="G2758" s="3" t="s">
        <v>7005</v>
      </c>
      <c r="H2758" s="3" t="s">
        <v>204</v>
      </c>
      <c r="I2758" s="3">
        <v>1</v>
      </c>
      <c r="J2758" s="3">
        <v>5</v>
      </c>
      <c r="K2758" s="33">
        <v>2</v>
      </c>
      <c r="L2758" s="3">
        <v>999</v>
      </c>
      <c r="M2758" s="3">
        <v>0</v>
      </c>
      <c r="N2758" s="3">
        <v>1018</v>
      </c>
      <c r="O2758" s="8" t="s">
        <v>7006</v>
      </c>
      <c r="S2758" s="33">
        <v>1</v>
      </c>
      <c r="T2758" s="3">
        <v>5</v>
      </c>
      <c r="U2758" s="3">
        <v>100</v>
      </c>
      <c r="V2758" s="33">
        <v>1</v>
      </c>
      <c r="W2758" s="3">
        <v>1</v>
      </c>
      <c r="X2758" s="3">
        <v>1</v>
      </c>
      <c r="Y2758" s="3">
        <v>0</v>
      </c>
      <c r="Z2758" s="33">
        <v>0</v>
      </c>
      <c r="AA2758" s="3">
        <v>5</v>
      </c>
      <c r="AB2758" s="8">
        <v>100</v>
      </c>
      <c r="AC2758" s="3">
        <v>56</v>
      </c>
      <c r="AD2758" s="12">
        <v>0</v>
      </c>
      <c r="AE2758" s="12">
        <v>5</v>
      </c>
      <c r="AF2758" s="12">
        <v>2</v>
      </c>
      <c r="AG2758" s="430"/>
      <c r="AH2758" s="430"/>
      <c r="AI2758" s="430"/>
      <c r="AJ2758" s="430"/>
      <c r="AK2758" s="430"/>
      <c r="AL2758" s="214"/>
      <c r="AM2758" s="214"/>
      <c r="AN2758" s="431"/>
      <c r="AO2758" s="214"/>
      <c r="AP2758" s="214"/>
      <c r="AS2758" s="3">
        <v>1</v>
      </c>
    </row>
    <row r="2759" s="3" customFormat="1" spans="1:45">
      <c r="A2759" s="3">
        <v>619073</v>
      </c>
      <c r="B2759" s="3">
        <v>1001</v>
      </c>
      <c r="C2759" s="3">
        <v>6</v>
      </c>
      <c r="D2759" s="3">
        <v>1001</v>
      </c>
      <c r="E2759" s="3" t="s">
        <v>7007</v>
      </c>
      <c r="F2759" s="3" t="s">
        <v>6981</v>
      </c>
      <c r="G2759" s="3" t="s">
        <v>7008</v>
      </c>
      <c r="H2759" s="3" t="s">
        <v>204</v>
      </c>
      <c r="I2759" s="3">
        <v>1</v>
      </c>
      <c r="J2759" s="3">
        <v>5</v>
      </c>
      <c r="K2759" s="33">
        <v>2</v>
      </c>
      <c r="L2759" s="3">
        <v>999</v>
      </c>
      <c r="M2759" s="3">
        <v>0</v>
      </c>
      <c r="N2759" s="3">
        <v>1018</v>
      </c>
      <c r="O2759" s="8" t="s">
        <v>7009</v>
      </c>
      <c r="S2759" s="33">
        <v>1</v>
      </c>
      <c r="T2759" s="3">
        <v>5</v>
      </c>
      <c r="U2759" s="3">
        <v>100</v>
      </c>
      <c r="V2759" s="33">
        <v>1</v>
      </c>
      <c r="W2759" s="3">
        <v>1</v>
      </c>
      <c r="X2759" s="3">
        <v>1</v>
      </c>
      <c r="Y2759" s="3">
        <v>0</v>
      </c>
      <c r="Z2759" s="33">
        <v>0</v>
      </c>
      <c r="AA2759" s="3">
        <v>5</v>
      </c>
      <c r="AB2759" s="8">
        <v>1000</v>
      </c>
      <c r="AC2759" s="3">
        <v>56</v>
      </c>
      <c r="AD2759" s="12">
        <v>0</v>
      </c>
      <c r="AE2759" s="12">
        <v>5</v>
      </c>
      <c r="AF2759" s="12">
        <v>2</v>
      </c>
      <c r="AG2759" s="430"/>
      <c r="AH2759" s="430"/>
      <c r="AI2759" s="430"/>
      <c r="AJ2759" s="430"/>
      <c r="AK2759" s="430"/>
      <c r="AL2759" s="214"/>
      <c r="AM2759" s="214"/>
      <c r="AN2759" s="431"/>
      <c r="AO2759" s="214"/>
      <c r="AP2759" s="214"/>
      <c r="AS2759" s="3">
        <v>1</v>
      </c>
    </row>
    <row r="2760" s="3" customFormat="1" spans="1:45">
      <c r="A2760" s="3">
        <v>619074</v>
      </c>
      <c r="B2760" s="3">
        <v>1001</v>
      </c>
      <c r="C2760" s="3">
        <v>6</v>
      </c>
      <c r="D2760" s="3">
        <v>1001</v>
      </c>
      <c r="E2760" s="3" t="s">
        <v>7007</v>
      </c>
      <c r="F2760" s="3" t="s">
        <v>6981</v>
      </c>
      <c r="G2760" s="3" t="s">
        <v>7008</v>
      </c>
      <c r="H2760" s="3" t="s">
        <v>204</v>
      </c>
      <c r="I2760" s="3">
        <v>1</v>
      </c>
      <c r="J2760" s="3">
        <v>5</v>
      </c>
      <c r="K2760" s="33">
        <v>2</v>
      </c>
      <c r="L2760" s="3">
        <v>999</v>
      </c>
      <c r="M2760" s="3">
        <v>0</v>
      </c>
      <c r="N2760" s="3">
        <v>1018</v>
      </c>
      <c r="O2760" s="8" t="s">
        <v>7010</v>
      </c>
      <c r="S2760" s="33">
        <v>1</v>
      </c>
      <c r="T2760" s="3">
        <v>5</v>
      </c>
      <c r="U2760" s="3">
        <v>100</v>
      </c>
      <c r="V2760" s="33">
        <v>1</v>
      </c>
      <c r="W2760" s="3">
        <v>1</v>
      </c>
      <c r="X2760" s="3">
        <v>1</v>
      </c>
      <c r="Y2760" s="3">
        <v>0</v>
      </c>
      <c r="Z2760" s="33">
        <v>0</v>
      </c>
      <c r="AA2760" s="3">
        <v>5</v>
      </c>
      <c r="AB2760" s="8">
        <v>1000</v>
      </c>
      <c r="AC2760" s="3">
        <v>56</v>
      </c>
      <c r="AD2760" s="12">
        <v>0</v>
      </c>
      <c r="AE2760" s="12">
        <v>5</v>
      </c>
      <c r="AF2760" s="12">
        <v>2</v>
      </c>
      <c r="AG2760" s="430"/>
      <c r="AH2760" s="430"/>
      <c r="AI2760" s="430"/>
      <c r="AJ2760" s="430"/>
      <c r="AK2760" s="430"/>
      <c r="AL2760" s="214"/>
      <c r="AM2760" s="214"/>
      <c r="AN2760" s="431"/>
      <c r="AO2760" s="214"/>
      <c r="AP2760" s="214"/>
      <c r="AS2760" s="3">
        <v>1</v>
      </c>
    </row>
    <row r="2761" s="3" customFormat="1" spans="1:45">
      <c r="A2761" s="3">
        <v>619075</v>
      </c>
      <c r="B2761" s="3">
        <v>1001</v>
      </c>
      <c r="C2761" s="3">
        <v>6</v>
      </c>
      <c r="D2761" s="3">
        <v>1001</v>
      </c>
      <c r="E2761" s="3" t="s">
        <v>7011</v>
      </c>
      <c r="F2761" s="3" t="s">
        <v>7012</v>
      </c>
      <c r="G2761" s="3" t="s">
        <v>7013</v>
      </c>
      <c r="H2761" s="3" t="s">
        <v>204</v>
      </c>
      <c r="I2761" s="3">
        <v>1</v>
      </c>
      <c r="J2761" s="3">
        <v>5</v>
      </c>
      <c r="K2761" s="33">
        <v>2</v>
      </c>
      <c r="L2761" s="3">
        <v>999</v>
      </c>
      <c r="M2761" s="3">
        <v>0</v>
      </c>
      <c r="N2761" s="3">
        <v>1018</v>
      </c>
      <c r="O2761" s="8" t="s">
        <v>7014</v>
      </c>
      <c r="S2761" s="33">
        <v>1</v>
      </c>
      <c r="T2761" s="3">
        <v>5</v>
      </c>
      <c r="U2761" s="3">
        <v>100</v>
      </c>
      <c r="V2761" s="33">
        <v>1</v>
      </c>
      <c r="W2761" s="3">
        <v>1</v>
      </c>
      <c r="X2761" s="3">
        <v>1</v>
      </c>
      <c r="Y2761" s="3">
        <v>0</v>
      </c>
      <c r="Z2761" s="33">
        <v>0</v>
      </c>
      <c r="AA2761" s="3">
        <v>5</v>
      </c>
      <c r="AB2761" s="8">
        <v>100</v>
      </c>
      <c r="AC2761" s="3">
        <v>56</v>
      </c>
      <c r="AD2761" s="12">
        <v>0</v>
      </c>
      <c r="AE2761" s="12">
        <v>5</v>
      </c>
      <c r="AF2761" s="12">
        <v>2</v>
      </c>
      <c r="AG2761" s="430"/>
      <c r="AH2761" s="430"/>
      <c r="AI2761" s="430"/>
      <c r="AJ2761" s="430"/>
      <c r="AK2761" s="430"/>
      <c r="AL2761" s="214"/>
      <c r="AM2761" s="214"/>
      <c r="AN2761" s="431"/>
      <c r="AO2761" s="214"/>
      <c r="AP2761" s="214"/>
      <c r="AS2761" s="3">
        <v>1</v>
      </c>
    </row>
    <row r="2762" s="3" customFormat="1" ht="14.25" customHeight="1" spans="1:45">
      <c r="A2762" s="3">
        <v>619076</v>
      </c>
      <c r="B2762" s="339">
        <v>1001</v>
      </c>
      <c r="C2762" s="339">
        <v>6</v>
      </c>
      <c r="D2762" s="339">
        <v>1001</v>
      </c>
      <c r="E2762" s="3" t="s">
        <v>7015</v>
      </c>
      <c r="F2762" s="339" t="s">
        <v>7012</v>
      </c>
      <c r="G2762" s="3" t="s">
        <v>7016</v>
      </c>
      <c r="H2762" s="3" t="s">
        <v>204</v>
      </c>
      <c r="I2762" s="3">
        <v>1</v>
      </c>
      <c r="J2762" s="3">
        <v>5</v>
      </c>
      <c r="K2762" s="254">
        <v>2</v>
      </c>
      <c r="L2762" s="339">
        <v>999</v>
      </c>
      <c r="M2762" s="339">
        <v>0</v>
      </c>
      <c r="N2762" s="339">
        <v>1018</v>
      </c>
      <c r="O2762" s="8" t="s">
        <v>7017</v>
      </c>
      <c r="R2762" s="8"/>
      <c r="S2762" s="254">
        <v>1</v>
      </c>
      <c r="T2762" s="339">
        <v>5</v>
      </c>
      <c r="U2762" s="339">
        <v>100</v>
      </c>
      <c r="V2762" s="254">
        <v>1</v>
      </c>
      <c r="W2762" s="3">
        <v>1</v>
      </c>
      <c r="X2762" s="339">
        <v>1</v>
      </c>
      <c r="Y2762" s="3">
        <v>0</v>
      </c>
      <c r="Z2762" s="33">
        <v>0</v>
      </c>
      <c r="AA2762" s="3">
        <v>5</v>
      </c>
      <c r="AB2762" s="236">
        <v>100</v>
      </c>
      <c r="AC2762" s="339">
        <v>56</v>
      </c>
      <c r="AD2762" s="12">
        <v>0</v>
      </c>
      <c r="AE2762" s="432">
        <v>5</v>
      </c>
      <c r="AF2762" s="432">
        <v>2</v>
      </c>
      <c r="AG2762" s="433"/>
      <c r="AH2762" s="433"/>
      <c r="AI2762" s="433"/>
      <c r="AJ2762" s="433"/>
      <c r="AK2762" s="433"/>
      <c r="AL2762" s="434"/>
      <c r="AM2762" s="434"/>
      <c r="AN2762" s="435"/>
      <c r="AO2762" s="434"/>
      <c r="AP2762" s="214"/>
      <c r="AS2762" s="3">
        <v>1</v>
      </c>
    </row>
    <row r="2763" s="3" customFormat="1" ht="14.25" customHeight="1" spans="1:45">
      <c r="A2763" s="3">
        <v>619077</v>
      </c>
      <c r="B2763" s="8">
        <v>1001</v>
      </c>
      <c r="C2763" s="8">
        <v>6</v>
      </c>
      <c r="D2763" s="8">
        <v>1001</v>
      </c>
      <c r="E2763" s="3" t="s">
        <v>302</v>
      </c>
      <c r="F2763" s="13" t="s">
        <v>302</v>
      </c>
      <c r="G2763" s="3" t="s">
        <v>7018</v>
      </c>
      <c r="H2763" s="117" t="s">
        <v>304</v>
      </c>
      <c r="I2763" s="3">
        <v>1</v>
      </c>
      <c r="J2763" s="69">
        <v>4</v>
      </c>
      <c r="K2763" s="8">
        <v>2</v>
      </c>
      <c r="L2763" s="8">
        <v>999</v>
      </c>
      <c r="M2763" s="8">
        <v>0</v>
      </c>
      <c r="N2763" s="8">
        <v>1</v>
      </c>
      <c r="O2763" s="257" t="s">
        <v>7019</v>
      </c>
      <c r="R2763" s="236"/>
      <c r="S2763" s="8">
        <v>1</v>
      </c>
      <c r="T2763" s="8">
        <v>5</v>
      </c>
      <c r="U2763" s="8">
        <v>170</v>
      </c>
      <c r="V2763" s="8">
        <v>1</v>
      </c>
      <c r="W2763" s="3">
        <v>1</v>
      </c>
      <c r="X2763" s="8">
        <v>1</v>
      </c>
      <c r="Y2763" s="3">
        <v>0</v>
      </c>
      <c r="Z2763" s="33">
        <v>0</v>
      </c>
      <c r="AA2763" s="3">
        <v>5</v>
      </c>
      <c r="AB2763" s="3">
        <v>6460</v>
      </c>
      <c r="AC2763" s="8">
        <v>51</v>
      </c>
      <c r="AD2763" s="12"/>
      <c r="AE2763" s="159">
        <v>4</v>
      </c>
      <c r="AF2763" s="159">
        <v>2</v>
      </c>
      <c r="AG2763" s="160"/>
      <c r="AH2763" s="160"/>
      <c r="AI2763" s="160"/>
      <c r="AJ2763" s="160"/>
      <c r="AK2763" s="160"/>
      <c r="AL2763" s="161">
        <v>1</v>
      </c>
      <c r="AM2763" s="161"/>
      <c r="AN2763" s="162"/>
      <c r="AO2763" s="161"/>
      <c r="AP2763" s="86"/>
      <c r="AS2763" s="3">
        <v>1</v>
      </c>
    </row>
    <row r="2764" s="3" customFormat="1" ht="14.25" customHeight="1" spans="1:45">
      <c r="A2764" s="3">
        <v>619080</v>
      </c>
      <c r="B2764" s="8">
        <v>1001</v>
      </c>
      <c r="C2764" s="8">
        <v>1</v>
      </c>
      <c r="D2764" s="8">
        <v>1001</v>
      </c>
      <c r="E2764" s="3" t="s">
        <v>1796</v>
      </c>
      <c r="F2764" s="13" t="s">
        <v>6810</v>
      </c>
      <c r="G2764" s="3" t="s">
        <v>1797</v>
      </c>
      <c r="H2764" s="3" t="s">
        <v>1798</v>
      </c>
      <c r="I2764" s="3">
        <v>1</v>
      </c>
      <c r="J2764" s="69">
        <v>4</v>
      </c>
      <c r="K2764" s="8">
        <v>1</v>
      </c>
      <c r="L2764" s="8">
        <v>999</v>
      </c>
      <c r="M2764" s="8">
        <v>0</v>
      </c>
      <c r="N2764" s="8"/>
      <c r="O2764" s="271"/>
      <c r="S2764" s="8">
        <v>1</v>
      </c>
      <c r="T2764" s="8">
        <v>5</v>
      </c>
      <c r="U2764" s="8">
        <v>1</v>
      </c>
      <c r="V2764" s="8">
        <v>1</v>
      </c>
      <c r="W2764" s="3">
        <v>1</v>
      </c>
      <c r="X2764" s="8">
        <v>1</v>
      </c>
      <c r="Y2764" s="3">
        <v>0</v>
      </c>
      <c r="Z2764" s="33">
        <v>0</v>
      </c>
      <c r="AA2764" s="3">
        <v>5</v>
      </c>
      <c r="AB2764" s="3">
        <v>200</v>
      </c>
      <c r="AC2764" s="8">
        <v>100</v>
      </c>
      <c r="AD2764" s="12"/>
      <c r="AE2764" s="159"/>
      <c r="AF2764" s="159"/>
      <c r="AG2764" s="160"/>
      <c r="AH2764" s="160"/>
      <c r="AI2764" s="160" t="s">
        <v>7020</v>
      </c>
      <c r="AJ2764" s="160"/>
      <c r="AK2764" s="160"/>
      <c r="AL2764" s="161">
        <v>1</v>
      </c>
      <c r="AM2764" s="161"/>
      <c r="AN2764" s="162"/>
      <c r="AO2764" s="161"/>
      <c r="AP2764" s="86"/>
      <c r="AS2764" s="3">
        <v>1</v>
      </c>
    </row>
    <row r="2765" s="3" customFormat="1" ht="14.25" customHeight="1" spans="1:45">
      <c r="A2765" s="339">
        <v>619081</v>
      </c>
      <c r="B2765" s="8">
        <v>1001</v>
      </c>
      <c r="C2765" s="8">
        <v>1</v>
      </c>
      <c r="D2765" s="8">
        <v>1001</v>
      </c>
      <c r="E2765" s="339" t="s">
        <v>1799</v>
      </c>
      <c r="F2765" s="13" t="s">
        <v>6811</v>
      </c>
      <c r="G2765" s="339" t="s">
        <v>1800</v>
      </c>
      <c r="H2765" s="339" t="s">
        <v>1801</v>
      </c>
      <c r="I2765" s="339">
        <v>1</v>
      </c>
      <c r="J2765" s="467">
        <v>5</v>
      </c>
      <c r="K2765" s="8">
        <v>1</v>
      </c>
      <c r="L2765" s="8">
        <v>999</v>
      </c>
      <c r="M2765" s="8">
        <v>0</v>
      </c>
      <c r="N2765" s="8"/>
      <c r="O2765" s="480"/>
      <c r="P2765" s="8"/>
      <c r="Q2765" s="8"/>
      <c r="R2765" s="8"/>
      <c r="S2765" s="8">
        <v>1</v>
      </c>
      <c r="T2765" s="8">
        <v>5</v>
      </c>
      <c r="U2765" s="8">
        <v>1</v>
      </c>
      <c r="V2765" s="8">
        <v>1</v>
      </c>
      <c r="W2765" s="339">
        <v>1</v>
      </c>
      <c r="X2765" s="8">
        <v>1</v>
      </c>
      <c r="Y2765" s="339">
        <v>0</v>
      </c>
      <c r="Z2765" s="254">
        <v>0</v>
      </c>
      <c r="AA2765" s="339">
        <v>5</v>
      </c>
      <c r="AB2765" s="339">
        <v>200</v>
      </c>
      <c r="AC2765" s="8">
        <v>100</v>
      </c>
      <c r="AD2765" s="432"/>
      <c r="AE2765" s="159"/>
      <c r="AF2765" s="159"/>
      <c r="AG2765" s="160"/>
      <c r="AH2765" s="160"/>
      <c r="AI2765" s="160" t="s">
        <v>7020</v>
      </c>
      <c r="AJ2765" s="160"/>
      <c r="AK2765" s="160"/>
      <c r="AL2765" s="161">
        <v>1</v>
      </c>
      <c r="AM2765" s="161"/>
      <c r="AN2765" s="162"/>
      <c r="AO2765" s="161"/>
      <c r="AP2765" s="398"/>
      <c r="AQ2765" s="8"/>
      <c r="AR2765" s="8"/>
      <c r="AS2765" s="3">
        <v>1</v>
      </c>
    </row>
    <row r="2766" s="3" customFormat="1" spans="1:45">
      <c r="A2766" s="8">
        <v>619082</v>
      </c>
      <c r="B2766" s="8">
        <v>1001</v>
      </c>
      <c r="C2766" s="8">
        <v>1</v>
      </c>
      <c r="D2766" s="8">
        <v>1001</v>
      </c>
      <c r="E2766" s="118" t="s">
        <v>7021</v>
      </c>
      <c r="F2766" s="8" t="s">
        <v>7021</v>
      </c>
      <c r="G2766" s="8" t="s">
        <v>7022</v>
      </c>
      <c r="H2766" s="8" t="s">
        <v>7023</v>
      </c>
      <c r="I2766" s="8">
        <v>1</v>
      </c>
      <c r="J2766" s="8">
        <v>2</v>
      </c>
      <c r="K2766" s="8">
        <v>1</v>
      </c>
      <c r="L2766" s="8">
        <v>999</v>
      </c>
      <c r="M2766" s="8">
        <v>0</v>
      </c>
      <c r="N2766" s="8"/>
      <c r="O2766" s="8"/>
      <c r="P2766" s="8"/>
      <c r="Q2766" s="8"/>
      <c r="R2766" s="8"/>
      <c r="S2766" s="8">
        <v>1</v>
      </c>
      <c r="T2766" s="8">
        <v>5</v>
      </c>
      <c r="U2766" s="8">
        <v>1</v>
      </c>
      <c r="V2766" s="8">
        <v>1</v>
      </c>
      <c r="W2766" s="8">
        <v>1</v>
      </c>
      <c r="X2766" s="8">
        <v>1</v>
      </c>
      <c r="Y2766" s="8">
        <v>0</v>
      </c>
      <c r="Z2766" s="8">
        <v>0</v>
      </c>
      <c r="AA2766" s="8">
        <v>5</v>
      </c>
      <c r="AB2766" s="8">
        <v>2</v>
      </c>
      <c r="AC2766" s="8">
        <v>0</v>
      </c>
      <c r="AD2766" s="159">
        <v>0</v>
      </c>
      <c r="AE2766" s="159">
        <v>0</v>
      </c>
      <c r="AF2766" s="159">
        <v>0</v>
      </c>
      <c r="AG2766" s="159"/>
      <c r="AH2766" s="159">
        <v>1</v>
      </c>
      <c r="AI2766" s="159"/>
      <c r="AJ2766" s="159"/>
      <c r="AK2766" s="159"/>
      <c r="AL2766" s="8">
        <v>1</v>
      </c>
      <c r="AM2766" s="8"/>
      <c r="AN2766" s="8"/>
      <c r="AO2766" s="8"/>
      <c r="AP2766" s="8"/>
      <c r="AQ2766" s="8"/>
      <c r="AR2766" s="8"/>
      <c r="AS2766" s="3">
        <v>1</v>
      </c>
    </row>
    <row r="2767" s="3" customFormat="1" spans="1:45">
      <c r="A2767" s="8">
        <v>619083</v>
      </c>
      <c r="B2767" s="236">
        <v>1001</v>
      </c>
      <c r="C2767" s="236">
        <v>1</v>
      </c>
      <c r="D2767" s="236">
        <v>1001</v>
      </c>
      <c r="E2767" s="8" t="s">
        <v>7024</v>
      </c>
      <c r="F2767" s="8" t="s">
        <v>7024</v>
      </c>
      <c r="G2767" s="8" t="s">
        <v>7025</v>
      </c>
      <c r="H2767" s="8" t="s">
        <v>7026</v>
      </c>
      <c r="I2767" s="236">
        <v>1</v>
      </c>
      <c r="J2767" s="236">
        <v>5</v>
      </c>
      <c r="K2767" s="236">
        <v>1</v>
      </c>
      <c r="L2767" s="236">
        <v>999</v>
      </c>
      <c r="M2767" s="236">
        <v>0</v>
      </c>
      <c r="N2767" s="236"/>
      <c r="O2767" s="236"/>
      <c r="P2767" s="236"/>
      <c r="Q2767" s="236"/>
      <c r="R2767" s="236"/>
      <c r="S2767" s="236">
        <v>1</v>
      </c>
      <c r="T2767" s="236">
        <v>3</v>
      </c>
      <c r="U2767" s="236">
        <v>50</v>
      </c>
      <c r="V2767" s="236">
        <v>1</v>
      </c>
      <c r="W2767" s="236">
        <v>1</v>
      </c>
      <c r="X2767" s="236">
        <v>1</v>
      </c>
      <c r="Y2767" s="236">
        <v>0</v>
      </c>
      <c r="Z2767" s="236">
        <v>0</v>
      </c>
      <c r="AA2767" s="236">
        <v>3</v>
      </c>
      <c r="AB2767" s="8">
        <v>500</v>
      </c>
      <c r="AC2767" s="236">
        <v>0</v>
      </c>
      <c r="AD2767" s="456">
        <v>0</v>
      </c>
      <c r="AE2767" s="456">
        <v>0</v>
      </c>
      <c r="AF2767" s="456">
        <v>0</v>
      </c>
      <c r="AG2767" s="456"/>
      <c r="AH2767" s="456">
        <v>1</v>
      </c>
      <c r="AI2767" s="456"/>
      <c r="AJ2767" s="456"/>
      <c r="AK2767" s="456"/>
      <c r="AL2767" s="236">
        <v>1</v>
      </c>
      <c r="AM2767" s="236"/>
      <c r="AN2767" s="236"/>
      <c r="AO2767" s="236"/>
      <c r="AP2767" s="236"/>
      <c r="AQ2767" s="236"/>
      <c r="AR2767" s="236"/>
      <c r="AS2767" s="3">
        <v>1</v>
      </c>
    </row>
    <row r="2768" s="3" customFormat="1" spans="1:45">
      <c r="A2768" s="8">
        <v>619084</v>
      </c>
      <c r="B2768" s="339">
        <v>1001</v>
      </c>
      <c r="C2768" s="339">
        <v>6</v>
      </c>
      <c r="D2768" s="339">
        <v>1001</v>
      </c>
      <c r="E2768" s="8" t="s">
        <v>7027</v>
      </c>
      <c r="F2768" s="8" t="s">
        <v>7027</v>
      </c>
      <c r="G2768" s="8" t="s">
        <v>7028</v>
      </c>
      <c r="H2768" s="8" t="s">
        <v>1431</v>
      </c>
      <c r="I2768" s="339">
        <v>1</v>
      </c>
      <c r="J2768" s="339">
        <v>5</v>
      </c>
      <c r="K2768" s="254">
        <v>2</v>
      </c>
      <c r="L2768" s="339">
        <v>999</v>
      </c>
      <c r="M2768" s="339">
        <v>0</v>
      </c>
      <c r="N2768" s="339">
        <v>1018</v>
      </c>
      <c r="O2768" s="238" t="s">
        <v>7029</v>
      </c>
      <c r="P2768" s="8"/>
      <c r="Q2768" s="8"/>
      <c r="R2768" s="8"/>
      <c r="S2768" s="254">
        <v>1</v>
      </c>
      <c r="T2768" s="339">
        <v>5</v>
      </c>
      <c r="U2768" s="339">
        <v>200</v>
      </c>
      <c r="V2768" s="254">
        <v>1</v>
      </c>
      <c r="W2768" s="339">
        <v>1</v>
      </c>
      <c r="X2768" s="339">
        <v>1</v>
      </c>
      <c r="Y2768" s="339">
        <v>0</v>
      </c>
      <c r="Z2768" s="254">
        <v>0</v>
      </c>
      <c r="AA2768" s="339">
        <v>5</v>
      </c>
      <c r="AB2768" s="8">
        <v>1000</v>
      </c>
      <c r="AC2768" s="339">
        <v>56</v>
      </c>
      <c r="AD2768" s="432">
        <v>0</v>
      </c>
      <c r="AE2768" s="432">
        <v>5</v>
      </c>
      <c r="AF2768" s="432">
        <v>2</v>
      </c>
      <c r="AG2768" s="433"/>
      <c r="AH2768" s="433"/>
      <c r="AI2768" s="433"/>
      <c r="AJ2768" s="433"/>
      <c r="AK2768" s="433"/>
      <c r="AL2768" s="434"/>
      <c r="AM2768" s="434"/>
      <c r="AN2768" s="435"/>
      <c r="AO2768" s="434"/>
      <c r="AP2768" s="434"/>
      <c r="AQ2768" s="8"/>
      <c r="AR2768" s="8"/>
      <c r="AS2768" s="3">
        <v>1</v>
      </c>
    </row>
    <row r="2769" s="3" customFormat="1" spans="1:45">
      <c r="A2769" s="8">
        <v>619085</v>
      </c>
      <c r="B2769" s="236">
        <v>1001</v>
      </c>
      <c r="C2769" s="236">
        <v>6</v>
      </c>
      <c r="D2769" s="236">
        <v>1001</v>
      </c>
      <c r="E2769" s="236" t="s">
        <v>7030</v>
      </c>
      <c r="F2769" s="236" t="s">
        <v>6876</v>
      </c>
      <c r="G2769" s="236" t="s">
        <v>7031</v>
      </c>
      <c r="H2769" s="8" t="s">
        <v>1667</v>
      </c>
      <c r="I2769" s="236">
        <v>1</v>
      </c>
      <c r="J2769" s="236">
        <v>4</v>
      </c>
      <c r="K2769" s="236">
        <v>2</v>
      </c>
      <c r="L2769" s="236">
        <v>999</v>
      </c>
      <c r="M2769" s="236">
        <v>0</v>
      </c>
      <c r="N2769" s="236">
        <v>1018</v>
      </c>
      <c r="O2769" s="236" t="s">
        <v>7032</v>
      </c>
      <c r="P2769" s="236"/>
      <c r="Q2769" s="236"/>
      <c r="R2769" s="236"/>
      <c r="S2769" s="236">
        <v>1</v>
      </c>
      <c r="T2769" s="236">
        <v>5</v>
      </c>
      <c r="U2769" s="236">
        <v>200</v>
      </c>
      <c r="V2769" s="236">
        <v>1</v>
      </c>
      <c r="W2769" s="236">
        <v>1</v>
      </c>
      <c r="X2769" s="236">
        <v>1</v>
      </c>
      <c r="Y2769" s="236">
        <v>0</v>
      </c>
      <c r="Z2769" s="236">
        <v>0</v>
      </c>
      <c r="AA2769" s="236">
        <v>5</v>
      </c>
      <c r="AB2769" s="8">
        <f>U2768*10</f>
        <v>2000</v>
      </c>
      <c r="AC2769" s="236">
        <v>56</v>
      </c>
      <c r="AD2769" s="456">
        <v>0</v>
      </c>
      <c r="AE2769" s="456">
        <v>5</v>
      </c>
      <c r="AF2769" s="456">
        <v>2</v>
      </c>
      <c r="AG2769" s="456"/>
      <c r="AH2769" s="456"/>
      <c r="AI2769" s="456"/>
      <c r="AJ2769" s="456"/>
      <c r="AK2769" s="456"/>
      <c r="AL2769" s="236">
        <v>1</v>
      </c>
      <c r="AM2769" s="236"/>
      <c r="AN2769" s="236"/>
      <c r="AO2769" s="236"/>
      <c r="AP2769" s="236"/>
      <c r="AQ2769" s="236"/>
      <c r="AR2769" s="236"/>
      <c r="AS2769" s="3">
        <v>1</v>
      </c>
    </row>
    <row r="2770" s="3" customFormat="1" spans="1:45">
      <c r="A2770" s="8">
        <v>619086</v>
      </c>
      <c r="B2770" s="3">
        <v>1001</v>
      </c>
      <c r="C2770" s="3">
        <v>6</v>
      </c>
      <c r="D2770" s="3">
        <v>1001</v>
      </c>
      <c r="E2770" s="3" t="s">
        <v>7033</v>
      </c>
      <c r="F2770" s="3" t="s">
        <v>7033</v>
      </c>
      <c r="G2770" s="3" t="s">
        <v>7034</v>
      </c>
      <c r="H2770" s="236" t="s">
        <v>1431</v>
      </c>
      <c r="I2770" s="3">
        <v>1</v>
      </c>
      <c r="J2770" s="3">
        <v>5</v>
      </c>
      <c r="K2770" s="33">
        <v>2</v>
      </c>
      <c r="L2770" s="3">
        <v>999</v>
      </c>
      <c r="M2770" s="3">
        <v>0</v>
      </c>
      <c r="N2770" s="3">
        <v>1018</v>
      </c>
      <c r="O2770" s="2" t="s">
        <v>7035</v>
      </c>
      <c r="S2770" s="33">
        <v>1</v>
      </c>
      <c r="T2770" s="3">
        <v>5</v>
      </c>
      <c r="U2770" s="3">
        <v>200</v>
      </c>
      <c r="V2770" s="33">
        <v>1</v>
      </c>
      <c r="W2770" s="3">
        <v>1</v>
      </c>
      <c r="X2770" s="3">
        <v>1</v>
      </c>
      <c r="Y2770" s="3">
        <v>0</v>
      </c>
      <c r="Z2770" s="33">
        <v>0</v>
      </c>
      <c r="AA2770" s="3">
        <v>5</v>
      </c>
      <c r="AB2770" s="236">
        <v>1000</v>
      </c>
      <c r="AC2770" s="3">
        <v>56</v>
      </c>
      <c r="AD2770" s="12">
        <v>0</v>
      </c>
      <c r="AE2770" s="12">
        <v>5</v>
      </c>
      <c r="AF2770" s="12">
        <v>2</v>
      </c>
      <c r="AG2770" s="430"/>
      <c r="AH2770" s="430"/>
      <c r="AI2770" s="430"/>
      <c r="AJ2770" s="430"/>
      <c r="AK2770" s="430"/>
      <c r="AL2770" s="214"/>
      <c r="AM2770" s="214"/>
      <c r="AN2770" s="431"/>
      <c r="AO2770" s="214"/>
      <c r="AP2770" s="214"/>
      <c r="AS2770" s="3">
        <v>1</v>
      </c>
    </row>
    <row r="2771" s="3" customFormat="1" spans="1:45">
      <c r="A2771" s="8">
        <v>619087</v>
      </c>
      <c r="B2771" s="339">
        <v>1001</v>
      </c>
      <c r="C2771" s="339">
        <v>6</v>
      </c>
      <c r="D2771" s="339">
        <v>1001</v>
      </c>
      <c r="E2771" s="339" t="s">
        <v>7036</v>
      </c>
      <c r="F2771" s="339" t="s">
        <v>5550</v>
      </c>
      <c r="G2771" s="339" t="s">
        <v>7037</v>
      </c>
      <c r="H2771" s="339" t="s">
        <v>1822</v>
      </c>
      <c r="I2771" s="339">
        <v>1</v>
      </c>
      <c r="J2771" s="339">
        <v>5</v>
      </c>
      <c r="K2771" s="254">
        <v>2</v>
      </c>
      <c r="L2771" s="339">
        <v>999</v>
      </c>
      <c r="M2771" s="339">
        <v>0</v>
      </c>
      <c r="N2771" s="339">
        <v>1018</v>
      </c>
      <c r="O2771" s="258" t="s">
        <v>7038</v>
      </c>
      <c r="P2771" s="8"/>
      <c r="Q2771" s="8"/>
      <c r="R2771" s="8"/>
      <c r="S2771" s="254">
        <v>1</v>
      </c>
      <c r="T2771" s="339">
        <v>5</v>
      </c>
      <c r="U2771" s="339">
        <v>100</v>
      </c>
      <c r="V2771" s="254">
        <v>1</v>
      </c>
      <c r="W2771" s="339">
        <v>1</v>
      </c>
      <c r="X2771" s="339">
        <v>1</v>
      </c>
      <c r="Y2771" s="339">
        <v>0</v>
      </c>
      <c r="Z2771" s="254">
        <v>0</v>
      </c>
      <c r="AA2771" s="339">
        <v>5</v>
      </c>
      <c r="AB2771" s="339">
        <v>2000</v>
      </c>
      <c r="AC2771" s="339">
        <v>55</v>
      </c>
      <c r="AD2771" s="255">
        <v>0</v>
      </c>
      <c r="AE2771" s="255">
        <v>5</v>
      </c>
      <c r="AF2771" s="255">
        <v>2</v>
      </c>
      <c r="AG2771" s="423"/>
      <c r="AH2771" s="423"/>
      <c r="AI2771" s="423"/>
      <c r="AJ2771" s="423"/>
      <c r="AK2771" s="423"/>
      <c r="AL2771" s="256"/>
      <c r="AM2771" s="256"/>
      <c r="AN2771" s="424"/>
      <c r="AO2771" s="256"/>
      <c r="AP2771" s="256"/>
      <c r="AQ2771" s="8"/>
      <c r="AR2771" s="8"/>
      <c r="AS2771" s="3">
        <v>1</v>
      </c>
    </row>
    <row r="2772" s="3" customFormat="1" spans="1:45">
      <c r="A2772" s="8">
        <v>619088</v>
      </c>
      <c r="B2772" s="236">
        <v>1001</v>
      </c>
      <c r="C2772" s="236">
        <v>1</v>
      </c>
      <c r="D2772" s="236">
        <v>1001</v>
      </c>
      <c r="E2772" s="236" t="s">
        <v>7039</v>
      </c>
      <c r="F2772" s="236" t="s">
        <v>7039</v>
      </c>
      <c r="G2772" s="236" t="s">
        <v>7040</v>
      </c>
      <c r="H2772" s="236" t="s">
        <v>7041</v>
      </c>
      <c r="I2772" s="236">
        <v>1</v>
      </c>
      <c r="J2772" s="236">
        <v>5</v>
      </c>
      <c r="K2772" s="236">
        <v>1</v>
      </c>
      <c r="L2772" s="236">
        <v>999</v>
      </c>
      <c r="M2772" s="236">
        <v>0</v>
      </c>
      <c r="N2772" s="236"/>
      <c r="O2772" s="236"/>
      <c r="P2772" s="236"/>
      <c r="Q2772" s="236"/>
      <c r="R2772" s="236"/>
      <c r="S2772" s="236">
        <v>1</v>
      </c>
      <c r="T2772" s="236">
        <v>3</v>
      </c>
      <c r="U2772" s="236">
        <v>50</v>
      </c>
      <c r="V2772" s="236">
        <v>1</v>
      </c>
      <c r="W2772" s="236">
        <v>1</v>
      </c>
      <c r="X2772" s="236">
        <v>1</v>
      </c>
      <c r="Y2772" s="236">
        <v>0</v>
      </c>
      <c r="Z2772" s="236">
        <v>0</v>
      </c>
      <c r="AA2772" s="236">
        <v>3</v>
      </c>
      <c r="AB2772" s="236">
        <v>500</v>
      </c>
      <c r="AC2772" s="236">
        <v>0</v>
      </c>
      <c r="AD2772" s="456">
        <v>0</v>
      </c>
      <c r="AE2772" s="456">
        <v>0</v>
      </c>
      <c r="AF2772" s="456">
        <v>0</v>
      </c>
      <c r="AG2772" s="456"/>
      <c r="AH2772" s="456">
        <v>1</v>
      </c>
      <c r="AI2772" s="456"/>
      <c r="AJ2772" s="456"/>
      <c r="AK2772" s="456"/>
      <c r="AL2772" s="236">
        <v>1</v>
      </c>
      <c r="AM2772" s="236"/>
      <c r="AN2772" s="236"/>
      <c r="AO2772" s="236"/>
      <c r="AP2772" s="236"/>
      <c r="AQ2772" s="236"/>
      <c r="AR2772" s="236"/>
      <c r="AS2772" s="3">
        <v>1</v>
      </c>
    </row>
    <row r="2773" s="3" customFormat="1" spans="1:45">
      <c r="A2773" s="8">
        <v>619089</v>
      </c>
      <c r="B2773" s="339">
        <v>1001</v>
      </c>
      <c r="C2773" s="3">
        <v>6</v>
      </c>
      <c r="D2773" s="339">
        <v>1001</v>
      </c>
      <c r="E2773" s="3" t="s">
        <v>7042</v>
      </c>
      <c r="F2773" s="3" t="s">
        <v>5550</v>
      </c>
      <c r="G2773" s="3" t="s">
        <v>7043</v>
      </c>
      <c r="H2773" s="3" t="s">
        <v>1822</v>
      </c>
      <c r="I2773" s="3">
        <v>1</v>
      </c>
      <c r="J2773" s="3">
        <v>5</v>
      </c>
      <c r="K2773" s="3">
        <v>2</v>
      </c>
      <c r="L2773" s="3">
        <v>999</v>
      </c>
      <c r="M2773" s="3">
        <v>0</v>
      </c>
      <c r="N2773" s="3">
        <v>1018</v>
      </c>
      <c r="O2773" s="231" t="s">
        <v>7044</v>
      </c>
      <c r="R2773" s="8"/>
      <c r="S2773" s="3">
        <v>1</v>
      </c>
      <c r="T2773" s="3">
        <v>5</v>
      </c>
      <c r="U2773" s="3">
        <v>100</v>
      </c>
      <c r="V2773" s="3">
        <v>1</v>
      </c>
      <c r="W2773" s="3">
        <v>1</v>
      </c>
      <c r="X2773" s="339">
        <v>1</v>
      </c>
      <c r="Y2773" s="3">
        <v>0</v>
      </c>
      <c r="Z2773" s="3">
        <v>0</v>
      </c>
      <c r="AA2773" s="3">
        <v>5</v>
      </c>
      <c r="AB2773" s="3">
        <v>2000</v>
      </c>
      <c r="AC2773" s="3">
        <v>55</v>
      </c>
      <c r="AD2773" s="153">
        <v>0</v>
      </c>
      <c r="AE2773" s="153">
        <v>5</v>
      </c>
      <c r="AF2773" s="153">
        <v>2</v>
      </c>
      <c r="AG2773" s="337"/>
      <c r="AH2773" s="337"/>
      <c r="AI2773" s="337"/>
      <c r="AJ2773" s="337"/>
      <c r="AK2773" s="337"/>
      <c r="AL2773" s="234"/>
      <c r="AM2773" s="234"/>
      <c r="AN2773" s="476"/>
      <c r="AO2773" s="234"/>
      <c r="AP2773" s="234"/>
      <c r="AS2773" s="3">
        <v>1</v>
      </c>
    </row>
    <row r="2774" spans="1:45">
      <c r="A2774" s="8">
        <v>619090</v>
      </c>
      <c r="B2774" s="236">
        <v>1001</v>
      </c>
      <c r="C2774" s="3">
        <v>6</v>
      </c>
      <c r="D2774" s="236">
        <v>1001</v>
      </c>
      <c r="E2774" s="3" t="s">
        <v>5578</v>
      </c>
      <c r="F2774" s="3" t="s">
        <v>7045</v>
      </c>
      <c r="G2774" s="3" t="s">
        <v>7046</v>
      </c>
      <c r="H2774" s="3" t="s">
        <v>5559</v>
      </c>
      <c r="I2774" s="3">
        <v>1</v>
      </c>
      <c r="J2774" s="3">
        <v>5</v>
      </c>
      <c r="K2774" s="33">
        <v>2</v>
      </c>
      <c r="L2774" s="3">
        <v>999</v>
      </c>
      <c r="M2774" s="3">
        <v>0</v>
      </c>
      <c r="N2774" s="3">
        <v>1018</v>
      </c>
      <c r="O2774" s="2" t="s">
        <v>7047</v>
      </c>
      <c r="R2774" s="236"/>
      <c r="S2774" s="33">
        <v>1</v>
      </c>
      <c r="T2774" s="3">
        <v>5</v>
      </c>
      <c r="U2774" s="3">
        <v>1</v>
      </c>
      <c r="W2774" s="3">
        <v>1</v>
      </c>
      <c r="X2774" s="236">
        <v>1</v>
      </c>
      <c r="Y2774" s="3">
        <v>0</v>
      </c>
      <c r="Z2774" s="33">
        <v>0</v>
      </c>
      <c r="AA2774" s="3">
        <v>5</v>
      </c>
      <c r="AB2774" s="3">
        <v>100</v>
      </c>
      <c r="AC2774" s="3">
        <v>70</v>
      </c>
      <c r="AD2774" s="62">
        <v>0</v>
      </c>
      <c r="AE2774" s="62">
        <v>5</v>
      </c>
      <c r="AF2774" s="62">
        <v>2</v>
      </c>
      <c r="AS2774" s="3">
        <v>1</v>
      </c>
    </row>
    <row r="2775" spans="1:45">
      <c r="A2775" s="8">
        <v>619091</v>
      </c>
      <c r="B2775" s="238">
        <v>1001</v>
      </c>
      <c r="C2775" s="238">
        <v>1</v>
      </c>
      <c r="D2775" s="238">
        <v>1001</v>
      </c>
      <c r="E2775" s="238" t="s">
        <v>7048</v>
      </c>
      <c r="F2775" s="238" t="s">
        <v>7049</v>
      </c>
      <c r="G2775" s="238" t="s">
        <v>7050</v>
      </c>
      <c r="H2775" s="238" t="s">
        <v>1431</v>
      </c>
      <c r="I2775" s="238">
        <v>1</v>
      </c>
      <c r="J2775" s="238">
        <v>5</v>
      </c>
      <c r="K2775" s="254">
        <v>2</v>
      </c>
      <c r="L2775" s="238">
        <v>999</v>
      </c>
      <c r="M2775" s="238">
        <v>0</v>
      </c>
      <c r="N2775" s="238">
        <v>1017</v>
      </c>
      <c r="O2775" s="258">
        <v>220026</v>
      </c>
      <c r="P2775" s="8"/>
      <c r="Q2775" s="8"/>
      <c r="R2775" s="8"/>
      <c r="S2775" s="254">
        <v>1</v>
      </c>
      <c r="T2775" s="238">
        <v>5</v>
      </c>
      <c r="U2775" s="238">
        <v>1</v>
      </c>
      <c r="V2775" s="254">
        <v>1</v>
      </c>
      <c r="W2775" s="238">
        <v>1</v>
      </c>
      <c r="X2775" s="238">
        <v>1</v>
      </c>
      <c r="Y2775" s="238">
        <v>0</v>
      </c>
      <c r="Z2775" s="254">
        <v>0</v>
      </c>
      <c r="AA2775" s="238">
        <v>5</v>
      </c>
      <c r="AB2775" s="238">
        <v>100</v>
      </c>
      <c r="AC2775" s="238">
        <v>70</v>
      </c>
      <c r="AD2775" s="255">
        <v>0</v>
      </c>
      <c r="AE2775" s="255">
        <v>4</v>
      </c>
      <c r="AF2775" s="255">
        <v>2</v>
      </c>
      <c r="AG2775" s="159"/>
      <c r="AH2775" s="159"/>
      <c r="AI2775" s="159"/>
      <c r="AJ2775" s="159"/>
      <c r="AK2775" s="159"/>
      <c r="AL2775" s="8"/>
      <c r="AM2775" s="8"/>
      <c r="AN2775" s="8"/>
      <c r="AO2775" s="8"/>
      <c r="AP2775" s="8"/>
      <c r="AQ2775" s="8"/>
      <c r="AR2775" s="8"/>
      <c r="AS2775">
        <v>1</v>
      </c>
    </row>
    <row r="2776" spans="1:45">
      <c r="A2776" s="8">
        <v>619092</v>
      </c>
      <c r="B2776" s="8">
        <v>1001</v>
      </c>
      <c r="C2776" s="8">
        <v>1</v>
      </c>
      <c r="D2776" s="8">
        <v>1001</v>
      </c>
      <c r="E2776" s="118" t="s">
        <v>6838</v>
      </c>
      <c r="F2776" s="8" t="s">
        <v>6838</v>
      </c>
      <c r="G2776" s="8" t="s">
        <v>6839</v>
      </c>
      <c r="H2776" s="8" t="s">
        <v>1369</v>
      </c>
      <c r="I2776" s="8">
        <v>1</v>
      </c>
      <c r="J2776" s="8">
        <v>2</v>
      </c>
      <c r="K2776" s="8">
        <v>1</v>
      </c>
      <c r="L2776" s="8">
        <v>999</v>
      </c>
      <c r="M2776" s="8">
        <v>0</v>
      </c>
      <c r="N2776" s="8"/>
      <c r="O2776" s="8"/>
      <c r="P2776" s="8"/>
      <c r="Q2776" s="8"/>
      <c r="R2776" s="8"/>
      <c r="S2776" s="8">
        <v>1</v>
      </c>
      <c r="T2776" s="8">
        <v>5</v>
      </c>
      <c r="U2776" s="8">
        <v>50</v>
      </c>
      <c r="V2776" s="8">
        <v>1</v>
      </c>
      <c r="W2776" s="8">
        <v>1</v>
      </c>
      <c r="X2776" s="8">
        <v>1</v>
      </c>
      <c r="Y2776" s="8">
        <v>0</v>
      </c>
      <c r="Z2776" s="8">
        <v>0</v>
      </c>
      <c r="AA2776" s="8">
        <v>5</v>
      </c>
      <c r="AB2776" s="8">
        <v>500</v>
      </c>
      <c r="AC2776" s="8">
        <v>56</v>
      </c>
      <c r="AD2776" s="159"/>
      <c r="AE2776" s="159"/>
      <c r="AF2776" s="159"/>
      <c r="AG2776" s="159"/>
      <c r="AH2776" s="159"/>
      <c r="AI2776" s="159"/>
      <c r="AJ2776" s="159"/>
      <c r="AK2776" s="159"/>
      <c r="AL2776" s="8">
        <v>1</v>
      </c>
      <c r="AM2776" s="8"/>
      <c r="AN2776" s="8"/>
      <c r="AO2776" s="8"/>
      <c r="AP2776" s="8"/>
      <c r="AQ2776" s="8"/>
      <c r="AR2776" s="8"/>
      <c r="AS2776">
        <v>1</v>
      </c>
    </row>
    <row r="2777" spans="1:45">
      <c r="A2777" s="8">
        <v>619093</v>
      </c>
      <c r="B2777" s="8">
        <v>1001</v>
      </c>
      <c r="C2777" s="8">
        <v>1</v>
      </c>
      <c r="D2777" s="8">
        <v>1001</v>
      </c>
      <c r="E2777" s="118" t="s">
        <v>6840</v>
      </c>
      <c r="F2777" s="8" t="s">
        <v>6840</v>
      </c>
      <c r="G2777" s="8" t="s">
        <v>6841</v>
      </c>
      <c r="H2777" s="8" t="s">
        <v>2189</v>
      </c>
      <c r="I2777" s="8">
        <v>1</v>
      </c>
      <c r="J2777" s="8">
        <v>3</v>
      </c>
      <c r="K2777" s="8">
        <v>1</v>
      </c>
      <c r="L2777" s="8">
        <v>999</v>
      </c>
      <c r="M2777" s="8">
        <v>0</v>
      </c>
      <c r="N2777" s="8"/>
      <c r="O2777" s="8"/>
      <c r="P2777" s="8"/>
      <c r="Q2777" s="8"/>
      <c r="R2777" s="8"/>
      <c r="S2777" s="8">
        <v>1</v>
      </c>
      <c r="T2777" s="8">
        <v>5</v>
      </c>
      <c r="U2777" s="8">
        <v>100</v>
      </c>
      <c r="V2777" s="8">
        <v>1</v>
      </c>
      <c r="W2777" s="8">
        <v>1</v>
      </c>
      <c r="X2777" s="8">
        <v>1</v>
      </c>
      <c r="Y2777" s="8">
        <v>0</v>
      </c>
      <c r="Z2777" s="8">
        <v>0</v>
      </c>
      <c r="AA2777" s="8">
        <v>5</v>
      </c>
      <c r="AB2777" s="8">
        <v>1000</v>
      </c>
      <c r="AC2777" s="8">
        <v>56</v>
      </c>
      <c r="AD2777" s="8"/>
      <c r="AE2777" s="159"/>
      <c r="AF2777" s="159"/>
      <c r="AG2777" s="159"/>
      <c r="AH2777" s="159"/>
      <c r="AI2777" s="159"/>
      <c r="AJ2777" s="159"/>
      <c r="AK2777" s="159"/>
      <c r="AL2777" s="8">
        <v>1</v>
      </c>
      <c r="AM2777" s="8"/>
      <c r="AN2777" s="8"/>
      <c r="AO2777" s="8"/>
      <c r="AP2777" s="8"/>
      <c r="AQ2777" s="8"/>
      <c r="AR2777" s="8"/>
      <c r="AS2777">
        <v>1</v>
      </c>
    </row>
    <row r="2778" s="3" customFormat="1" spans="1:45">
      <c r="A2778" s="8">
        <v>619094</v>
      </c>
      <c r="B2778" s="236">
        <v>1001</v>
      </c>
      <c r="C2778" s="236">
        <v>6</v>
      </c>
      <c r="D2778" s="236">
        <v>1001</v>
      </c>
      <c r="E2778" s="236" t="s">
        <v>6842</v>
      </c>
      <c r="F2778" s="236" t="s">
        <v>6842</v>
      </c>
      <c r="G2778" s="236" t="s">
        <v>6843</v>
      </c>
      <c r="H2778" s="236" t="s">
        <v>6844</v>
      </c>
      <c r="I2778" s="236">
        <v>1</v>
      </c>
      <c r="J2778" s="236">
        <v>4</v>
      </c>
      <c r="K2778" s="236">
        <v>2</v>
      </c>
      <c r="L2778" s="236">
        <v>999</v>
      </c>
      <c r="M2778" s="236">
        <v>0</v>
      </c>
      <c r="N2778" s="236">
        <v>1017</v>
      </c>
      <c r="O2778" s="236">
        <v>100246</v>
      </c>
      <c r="P2778" s="236"/>
      <c r="Q2778" s="236"/>
      <c r="R2778" s="236"/>
      <c r="S2778" s="236">
        <v>1</v>
      </c>
      <c r="T2778" s="236">
        <v>5</v>
      </c>
      <c r="U2778" s="236">
        <v>200</v>
      </c>
      <c r="V2778" s="236">
        <v>1</v>
      </c>
      <c r="W2778" s="236">
        <v>1</v>
      </c>
      <c r="X2778" s="236">
        <v>1</v>
      </c>
      <c r="Y2778" s="236">
        <v>0</v>
      </c>
      <c r="Z2778" s="236">
        <v>0</v>
      </c>
      <c r="AA2778" s="236">
        <v>5</v>
      </c>
      <c r="AB2778" s="236">
        <v>2000</v>
      </c>
      <c r="AC2778" s="236">
        <v>56</v>
      </c>
      <c r="AD2778" s="236">
        <v>0</v>
      </c>
      <c r="AE2778" s="456">
        <v>4</v>
      </c>
      <c r="AF2778" s="456">
        <v>2</v>
      </c>
      <c r="AG2778" s="456"/>
      <c r="AH2778" s="456"/>
      <c r="AI2778" s="456"/>
      <c r="AJ2778" s="456"/>
      <c r="AK2778" s="456"/>
      <c r="AL2778" s="236">
        <v>1</v>
      </c>
      <c r="AM2778" s="236"/>
      <c r="AN2778" s="236"/>
      <c r="AO2778" s="236"/>
      <c r="AP2778" s="236"/>
      <c r="AQ2778" s="236"/>
      <c r="AR2778" s="236"/>
      <c r="AS2778">
        <v>1</v>
      </c>
    </row>
    <row r="2779" s="3" customFormat="1" spans="1:45">
      <c r="A2779" s="8">
        <v>619095</v>
      </c>
      <c r="B2779" s="3">
        <v>1001</v>
      </c>
      <c r="C2779" s="3">
        <v>6</v>
      </c>
      <c r="D2779" s="3">
        <v>1001</v>
      </c>
      <c r="E2779" s="3" t="s">
        <v>7051</v>
      </c>
      <c r="F2779" s="3" t="s">
        <v>5550</v>
      </c>
      <c r="G2779" s="3" t="s">
        <v>7052</v>
      </c>
      <c r="H2779" s="3" t="s">
        <v>1822</v>
      </c>
      <c r="I2779" s="3">
        <v>1</v>
      </c>
      <c r="J2779" s="3">
        <v>5</v>
      </c>
      <c r="K2779" s="33">
        <v>2</v>
      </c>
      <c r="L2779" s="3">
        <v>999</v>
      </c>
      <c r="M2779" s="3">
        <v>0</v>
      </c>
      <c r="N2779" s="3">
        <v>1018</v>
      </c>
      <c r="O2779" s="2" t="s">
        <v>7053</v>
      </c>
      <c r="S2779" s="33">
        <v>1</v>
      </c>
      <c r="T2779" s="3">
        <v>5</v>
      </c>
      <c r="U2779" s="3">
        <v>100</v>
      </c>
      <c r="V2779" s="33">
        <v>1</v>
      </c>
      <c r="W2779" s="3">
        <v>1</v>
      </c>
      <c r="X2779" s="3">
        <v>1</v>
      </c>
      <c r="Y2779" s="3">
        <v>0</v>
      </c>
      <c r="Z2779" s="33">
        <v>0</v>
      </c>
      <c r="AA2779" s="3">
        <v>5</v>
      </c>
      <c r="AB2779" s="3">
        <v>2000</v>
      </c>
      <c r="AC2779" s="3">
        <v>55</v>
      </c>
      <c r="AD2779" s="445">
        <v>0</v>
      </c>
      <c r="AE2779" s="445">
        <v>5</v>
      </c>
      <c r="AF2779" s="445">
        <v>2</v>
      </c>
      <c r="AG2779" s="64"/>
      <c r="AH2779" s="64"/>
      <c r="AI2779" s="64"/>
      <c r="AJ2779" s="64"/>
      <c r="AK2779" s="64"/>
      <c r="AL2779" s="64"/>
      <c r="AM2779" s="64"/>
      <c r="AN2779" s="65"/>
      <c r="AO2779" s="64"/>
      <c r="AP2779" s="64"/>
      <c r="AS2779" s="3">
        <v>1</v>
      </c>
    </row>
    <row r="2780" s="3" customFormat="1" spans="1:45">
      <c r="A2780" s="8">
        <v>619096</v>
      </c>
      <c r="B2780" s="3">
        <v>1001</v>
      </c>
      <c r="C2780" s="3">
        <v>6</v>
      </c>
      <c r="D2780" s="3">
        <v>1001</v>
      </c>
      <c r="E2780" s="3" t="s">
        <v>7054</v>
      </c>
      <c r="F2780" s="3" t="s">
        <v>5550</v>
      </c>
      <c r="G2780" s="3" t="s">
        <v>7055</v>
      </c>
      <c r="H2780" s="3" t="s">
        <v>1822</v>
      </c>
      <c r="I2780" s="3">
        <v>1</v>
      </c>
      <c r="J2780" s="3">
        <v>5</v>
      </c>
      <c r="K2780" s="33">
        <v>2</v>
      </c>
      <c r="L2780" s="3">
        <v>999</v>
      </c>
      <c r="M2780" s="3">
        <v>0</v>
      </c>
      <c r="N2780" s="3">
        <v>1018</v>
      </c>
      <c r="O2780" s="2" t="s">
        <v>7056</v>
      </c>
      <c r="R2780" s="33"/>
      <c r="S2780" s="33">
        <v>1</v>
      </c>
      <c r="T2780" s="3">
        <v>5</v>
      </c>
      <c r="U2780" s="3">
        <v>100</v>
      </c>
      <c r="V2780" s="33">
        <v>1</v>
      </c>
      <c r="W2780" s="3">
        <v>1</v>
      </c>
      <c r="X2780" s="3">
        <v>1</v>
      </c>
      <c r="Y2780" s="3">
        <v>0</v>
      </c>
      <c r="Z2780" s="33">
        <v>0</v>
      </c>
      <c r="AA2780" s="3">
        <v>5</v>
      </c>
      <c r="AB2780" s="3">
        <v>2000</v>
      </c>
      <c r="AC2780" s="3">
        <v>55</v>
      </c>
      <c r="AD2780" s="445">
        <v>0</v>
      </c>
      <c r="AE2780" s="445">
        <v>5</v>
      </c>
      <c r="AF2780" s="445">
        <v>2</v>
      </c>
      <c r="AG2780" s="64"/>
      <c r="AH2780" s="64"/>
      <c r="AI2780" s="64"/>
      <c r="AJ2780" s="64"/>
      <c r="AK2780" s="64"/>
      <c r="AL2780" s="64"/>
      <c r="AM2780" s="64"/>
      <c r="AN2780" s="65"/>
      <c r="AO2780" s="64"/>
      <c r="AP2780" s="64"/>
      <c r="AS2780" s="3">
        <v>1</v>
      </c>
    </row>
    <row r="2781" s="3" customFormat="1" spans="1:45">
      <c r="A2781" s="8">
        <v>619097</v>
      </c>
      <c r="B2781" s="3">
        <v>1001</v>
      </c>
      <c r="C2781" s="3">
        <v>6</v>
      </c>
      <c r="D2781" s="3">
        <v>1001</v>
      </c>
      <c r="E2781" s="3" t="s">
        <v>7057</v>
      </c>
      <c r="F2781" s="3" t="s">
        <v>6442</v>
      </c>
      <c r="G2781" s="3" t="s">
        <v>7058</v>
      </c>
      <c r="H2781" s="3" t="s">
        <v>1818</v>
      </c>
      <c r="I2781" s="3">
        <v>1</v>
      </c>
      <c r="J2781" s="3">
        <v>5</v>
      </c>
      <c r="K2781" s="33">
        <v>2</v>
      </c>
      <c r="L2781" s="3">
        <v>999</v>
      </c>
      <c r="M2781" s="3">
        <v>0</v>
      </c>
      <c r="N2781" s="3">
        <v>1018</v>
      </c>
      <c r="O2781" s="2" t="s">
        <v>7059</v>
      </c>
      <c r="R2781" s="33"/>
      <c r="S2781" s="33">
        <v>1</v>
      </c>
      <c r="T2781" s="3">
        <v>5</v>
      </c>
      <c r="U2781" s="3">
        <v>200</v>
      </c>
      <c r="V2781" s="33">
        <v>1</v>
      </c>
      <c r="W2781" s="3">
        <v>1</v>
      </c>
      <c r="X2781" s="3">
        <v>1</v>
      </c>
      <c r="Y2781" s="3">
        <v>0</v>
      </c>
      <c r="Z2781" s="33">
        <v>0</v>
      </c>
      <c r="AA2781" s="3">
        <v>5</v>
      </c>
      <c r="AB2781" s="3">
        <v>2000</v>
      </c>
      <c r="AC2781" s="3">
        <v>56</v>
      </c>
      <c r="AD2781" s="445">
        <v>0</v>
      </c>
      <c r="AE2781" s="445">
        <v>5</v>
      </c>
      <c r="AF2781" s="445">
        <v>2</v>
      </c>
      <c r="AG2781" s="64"/>
      <c r="AH2781" s="64"/>
      <c r="AI2781" s="64"/>
      <c r="AJ2781" s="64"/>
      <c r="AK2781" s="64"/>
      <c r="AL2781" s="64"/>
      <c r="AM2781" s="64"/>
      <c r="AN2781" s="65"/>
      <c r="AO2781" s="64"/>
      <c r="AP2781" s="64"/>
      <c r="AS2781" s="3">
        <v>1</v>
      </c>
    </row>
    <row r="2782" s="3" customFormat="1" spans="1:45">
      <c r="A2782" s="8">
        <v>619098</v>
      </c>
      <c r="B2782" s="339">
        <v>1001</v>
      </c>
      <c r="C2782" s="339">
        <v>6</v>
      </c>
      <c r="D2782" s="339">
        <v>1001</v>
      </c>
      <c r="E2782" s="3" t="s">
        <v>7060</v>
      </c>
      <c r="F2782" s="3" t="s">
        <v>5550</v>
      </c>
      <c r="G2782" s="3" t="s">
        <v>7061</v>
      </c>
      <c r="H2782" s="3" t="s">
        <v>1822</v>
      </c>
      <c r="I2782" s="339">
        <v>1</v>
      </c>
      <c r="J2782" s="339">
        <v>5</v>
      </c>
      <c r="K2782" s="254">
        <v>2</v>
      </c>
      <c r="L2782" s="339">
        <v>999</v>
      </c>
      <c r="M2782" s="339">
        <v>0</v>
      </c>
      <c r="N2782" s="339">
        <v>1018</v>
      </c>
      <c r="O2782" s="258" t="s">
        <v>7062</v>
      </c>
      <c r="P2782" s="8"/>
      <c r="Q2782" s="8"/>
      <c r="R2782" s="8"/>
      <c r="S2782" s="254">
        <v>1</v>
      </c>
      <c r="T2782" s="339">
        <v>5</v>
      </c>
      <c r="U2782" s="339">
        <v>100</v>
      </c>
      <c r="V2782" s="254">
        <v>1</v>
      </c>
      <c r="W2782" s="339">
        <v>1</v>
      </c>
      <c r="X2782" s="339">
        <v>1</v>
      </c>
      <c r="Y2782" s="339">
        <v>0</v>
      </c>
      <c r="Z2782" s="254">
        <v>0</v>
      </c>
      <c r="AA2782" s="339">
        <v>5</v>
      </c>
      <c r="AB2782" s="339">
        <v>2000</v>
      </c>
      <c r="AC2782" s="339">
        <v>55</v>
      </c>
      <c r="AD2782" s="468">
        <v>0</v>
      </c>
      <c r="AE2782" s="468">
        <v>5</v>
      </c>
      <c r="AF2782" s="468">
        <v>2</v>
      </c>
      <c r="AG2782" s="256"/>
      <c r="AH2782" s="256"/>
      <c r="AI2782" s="256"/>
      <c r="AJ2782" s="256"/>
      <c r="AK2782" s="256"/>
      <c r="AL2782" s="256"/>
      <c r="AM2782" s="256"/>
      <c r="AN2782" s="424"/>
      <c r="AO2782" s="256"/>
      <c r="AP2782" s="256"/>
      <c r="AQ2782" s="8"/>
      <c r="AR2782" s="8"/>
      <c r="AS2782" s="3">
        <v>1</v>
      </c>
    </row>
    <row r="2783" s="3" customFormat="1" spans="1:45">
      <c r="A2783" s="8">
        <v>619099</v>
      </c>
      <c r="B2783" s="8">
        <v>1001</v>
      </c>
      <c r="C2783" s="8">
        <v>1</v>
      </c>
      <c r="D2783" s="8">
        <v>1001</v>
      </c>
      <c r="E2783" s="3" t="s">
        <v>5727</v>
      </c>
      <c r="F2783" s="3" t="s">
        <v>5727</v>
      </c>
      <c r="G2783" s="3" t="s">
        <v>7063</v>
      </c>
      <c r="H2783" s="3" t="s">
        <v>1804</v>
      </c>
      <c r="I2783" s="8">
        <v>1</v>
      </c>
      <c r="J2783" s="8">
        <v>3</v>
      </c>
      <c r="K2783" s="8">
        <v>1</v>
      </c>
      <c r="L2783" s="8">
        <v>999</v>
      </c>
      <c r="M2783" s="8">
        <v>0</v>
      </c>
      <c r="N2783" s="8"/>
      <c r="O2783" s="8"/>
      <c r="P2783" s="8"/>
      <c r="Q2783" s="8"/>
      <c r="R2783" s="8"/>
      <c r="S2783" s="8">
        <v>1</v>
      </c>
      <c r="T2783" s="8">
        <v>5</v>
      </c>
      <c r="U2783" s="8">
        <v>50</v>
      </c>
      <c r="V2783" s="8">
        <v>1</v>
      </c>
      <c r="W2783" s="8">
        <v>1</v>
      </c>
      <c r="X2783" s="8">
        <v>1</v>
      </c>
      <c r="Y2783" s="8">
        <v>0</v>
      </c>
      <c r="Z2783" s="8">
        <v>0</v>
      </c>
      <c r="AA2783" s="8">
        <v>5</v>
      </c>
      <c r="AB2783" s="8">
        <v>500</v>
      </c>
      <c r="AC2783" s="8">
        <v>56</v>
      </c>
      <c r="AD2783" s="8"/>
      <c r="AE2783" s="8"/>
      <c r="AF2783" s="8"/>
      <c r="AG2783" s="8"/>
      <c r="AH2783" s="8"/>
      <c r="AI2783" s="8"/>
      <c r="AJ2783" s="8"/>
      <c r="AK2783" s="8"/>
      <c r="AL2783" s="8">
        <v>1</v>
      </c>
      <c r="AM2783" s="8"/>
      <c r="AN2783" s="8"/>
      <c r="AO2783" s="8"/>
      <c r="AP2783" s="8"/>
      <c r="AQ2783" s="8"/>
      <c r="AR2783" s="8"/>
      <c r="AS2783" s="3">
        <v>1</v>
      </c>
    </row>
    <row r="2784" s="3" customFormat="1" spans="1:45">
      <c r="A2784" s="8">
        <v>619100</v>
      </c>
      <c r="B2784" s="8">
        <v>1001</v>
      </c>
      <c r="C2784" s="8">
        <v>1</v>
      </c>
      <c r="D2784" s="8">
        <v>1001</v>
      </c>
      <c r="E2784" s="3" t="s">
        <v>5724</v>
      </c>
      <c r="F2784" s="3" t="s">
        <v>5724</v>
      </c>
      <c r="G2784" s="3" t="s">
        <v>7064</v>
      </c>
      <c r="H2784" s="3" t="s">
        <v>5726</v>
      </c>
      <c r="I2784" s="8">
        <v>1</v>
      </c>
      <c r="J2784" s="8">
        <v>4</v>
      </c>
      <c r="K2784" s="8">
        <v>1</v>
      </c>
      <c r="L2784" s="8">
        <v>999</v>
      </c>
      <c r="M2784" s="8">
        <v>0</v>
      </c>
      <c r="N2784" s="8"/>
      <c r="O2784" s="8"/>
      <c r="P2784" s="8"/>
      <c r="Q2784" s="8"/>
      <c r="R2784" s="8"/>
      <c r="S2784" s="8">
        <v>1</v>
      </c>
      <c r="T2784" s="8">
        <v>5</v>
      </c>
      <c r="U2784" s="8">
        <v>100</v>
      </c>
      <c r="V2784" s="8">
        <v>1</v>
      </c>
      <c r="W2784" s="8">
        <v>1</v>
      </c>
      <c r="X2784" s="8">
        <v>1</v>
      </c>
      <c r="Y2784" s="8">
        <v>0</v>
      </c>
      <c r="Z2784" s="8">
        <v>0</v>
      </c>
      <c r="AA2784" s="8">
        <v>5</v>
      </c>
      <c r="AB2784" s="8">
        <v>1000</v>
      </c>
      <c r="AC2784" s="8">
        <v>56</v>
      </c>
      <c r="AD2784" s="8"/>
      <c r="AE2784" s="8"/>
      <c r="AF2784" s="8"/>
      <c r="AG2784" s="8"/>
      <c r="AH2784" s="8"/>
      <c r="AI2784" s="8"/>
      <c r="AJ2784" s="8"/>
      <c r="AK2784" s="8"/>
      <c r="AL2784" s="8">
        <v>1</v>
      </c>
      <c r="AM2784" s="8"/>
      <c r="AN2784" s="8"/>
      <c r="AO2784" s="8"/>
      <c r="AP2784" s="8"/>
      <c r="AQ2784" s="8"/>
      <c r="AR2784" s="8"/>
      <c r="AS2784" s="3">
        <v>1</v>
      </c>
    </row>
    <row r="2785" s="3" customFormat="1" spans="1:45">
      <c r="A2785" s="8">
        <v>619101</v>
      </c>
      <c r="B2785" s="236">
        <v>1001</v>
      </c>
      <c r="C2785" s="236">
        <v>6</v>
      </c>
      <c r="D2785" s="236">
        <v>1001</v>
      </c>
      <c r="E2785" s="3" t="s">
        <v>7065</v>
      </c>
      <c r="F2785" s="3" t="s">
        <v>7065</v>
      </c>
      <c r="G2785" s="3" t="s">
        <v>7066</v>
      </c>
      <c r="H2785" s="339" t="s">
        <v>6223</v>
      </c>
      <c r="I2785" s="236">
        <v>1</v>
      </c>
      <c r="J2785" s="236">
        <v>5</v>
      </c>
      <c r="K2785" s="236">
        <v>2</v>
      </c>
      <c r="L2785" s="236">
        <v>999</v>
      </c>
      <c r="M2785" s="236">
        <v>0</v>
      </c>
      <c r="N2785" s="236">
        <v>1017</v>
      </c>
      <c r="O2785" s="236">
        <v>100246</v>
      </c>
      <c r="P2785" s="236"/>
      <c r="Q2785" s="236"/>
      <c r="R2785" s="236"/>
      <c r="S2785" s="236">
        <v>1</v>
      </c>
      <c r="T2785" s="236">
        <v>5</v>
      </c>
      <c r="U2785" s="236">
        <v>200</v>
      </c>
      <c r="V2785" s="236">
        <v>1</v>
      </c>
      <c r="W2785" s="236">
        <v>1</v>
      </c>
      <c r="X2785" s="236">
        <v>1</v>
      </c>
      <c r="Y2785" s="236">
        <v>0</v>
      </c>
      <c r="Z2785" s="236">
        <v>0</v>
      </c>
      <c r="AA2785" s="236">
        <v>5</v>
      </c>
      <c r="AB2785" s="8">
        <v>2000</v>
      </c>
      <c r="AC2785" s="236">
        <v>56</v>
      </c>
      <c r="AD2785" s="236">
        <v>0</v>
      </c>
      <c r="AE2785" s="236">
        <v>4</v>
      </c>
      <c r="AF2785" s="236">
        <v>2</v>
      </c>
      <c r="AG2785" s="236"/>
      <c r="AH2785" s="236"/>
      <c r="AI2785" s="236"/>
      <c r="AJ2785" s="236"/>
      <c r="AK2785" s="236"/>
      <c r="AL2785" s="236">
        <v>1</v>
      </c>
      <c r="AM2785" s="236"/>
      <c r="AN2785" s="236"/>
      <c r="AO2785" s="236"/>
      <c r="AP2785" s="236"/>
      <c r="AQ2785" s="236"/>
      <c r="AR2785" s="236"/>
      <c r="AS2785" s="3">
        <v>1</v>
      </c>
    </row>
    <row r="2786" s="3" customFormat="1" spans="1:45">
      <c r="A2786" s="8">
        <v>619102</v>
      </c>
      <c r="B2786" s="3">
        <v>1001</v>
      </c>
      <c r="C2786" s="3">
        <v>6</v>
      </c>
      <c r="D2786" s="3">
        <v>1001</v>
      </c>
      <c r="E2786" s="3" t="s">
        <v>7067</v>
      </c>
      <c r="F2786" s="3" t="s">
        <v>7067</v>
      </c>
      <c r="G2786" s="3" t="s">
        <v>7068</v>
      </c>
      <c r="H2786" s="236" t="s">
        <v>1431</v>
      </c>
      <c r="I2786" s="3">
        <v>1</v>
      </c>
      <c r="J2786" s="3">
        <v>5</v>
      </c>
      <c r="K2786" s="33">
        <v>2</v>
      </c>
      <c r="L2786" s="3">
        <v>999</v>
      </c>
      <c r="M2786" s="3">
        <v>0</v>
      </c>
      <c r="N2786" s="3">
        <v>1018</v>
      </c>
      <c r="O2786" s="2" t="s">
        <v>7069</v>
      </c>
      <c r="S2786" s="33">
        <v>1</v>
      </c>
      <c r="T2786" s="3">
        <v>5</v>
      </c>
      <c r="U2786" s="3">
        <v>200</v>
      </c>
      <c r="V2786" s="33">
        <v>1</v>
      </c>
      <c r="W2786" s="3">
        <v>1</v>
      </c>
      <c r="X2786" s="3">
        <v>1</v>
      </c>
      <c r="Y2786" s="3">
        <v>0</v>
      </c>
      <c r="Z2786" s="33">
        <v>0</v>
      </c>
      <c r="AA2786" s="3">
        <v>5</v>
      </c>
      <c r="AB2786" s="236">
        <v>1000</v>
      </c>
      <c r="AC2786" s="3">
        <v>56</v>
      </c>
      <c r="AD2786" s="3">
        <v>0</v>
      </c>
      <c r="AE2786" s="3">
        <v>5</v>
      </c>
      <c r="AF2786" s="3">
        <v>2</v>
      </c>
      <c r="AG2786" s="214"/>
      <c r="AH2786" s="214"/>
      <c r="AI2786" s="214"/>
      <c r="AJ2786" s="214"/>
      <c r="AK2786" s="214"/>
      <c r="AL2786" s="214"/>
      <c r="AM2786" s="214"/>
      <c r="AN2786" s="431"/>
      <c r="AO2786" s="214"/>
      <c r="AP2786" s="214"/>
      <c r="AS2786" s="3">
        <v>1</v>
      </c>
    </row>
    <row r="2787" s="3" customFormat="1" spans="1:45">
      <c r="A2787" s="8">
        <v>619103</v>
      </c>
      <c r="B2787" s="3">
        <v>1001</v>
      </c>
      <c r="C2787" s="3">
        <v>6</v>
      </c>
      <c r="D2787" s="3">
        <v>1001</v>
      </c>
      <c r="E2787" s="3" t="s">
        <v>7070</v>
      </c>
      <c r="F2787" s="3" t="s">
        <v>5550</v>
      </c>
      <c r="G2787" s="3" t="s">
        <v>7071</v>
      </c>
      <c r="H2787" s="3" t="s">
        <v>1822</v>
      </c>
      <c r="I2787" s="3">
        <v>1</v>
      </c>
      <c r="J2787" s="3">
        <v>5</v>
      </c>
      <c r="K2787" s="33">
        <v>2</v>
      </c>
      <c r="L2787" s="3">
        <v>999</v>
      </c>
      <c r="M2787" s="3">
        <v>0</v>
      </c>
      <c r="N2787" s="3">
        <v>1018</v>
      </c>
      <c r="O2787" s="258" t="s">
        <v>7072</v>
      </c>
      <c r="S2787" s="33">
        <v>1</v>
      </c>
      <c r="T2787" s="3">
        <v>5</v>
      </c>
      <c r="U2787" s="3">
        <v>100</v>
      </c>
      <c r="V2787" s="33">
        <v>1</v>
      </c>
      <c r="W2787" s="3">
        <v>1</v>
      </c>
      <c r="X2787" s="3">
        <v>1</v>
      </c>
      <c r="Y2787" s="3">
        <v>0</v>
      </c>
      <c r="Z2787" s="33">
        <v>0</v>
      </c>
      <c r="AA2787" s="3">
        <v>5</v>
      </c>
      <c r="AB2787" s="339">
        <v>2000</v>
      </c>
      <c r="AC2787" s="3">
        <v>55</v>
      </c>
      <c r="AD2787" s="445">
        <v>0</v>
      </c>
      <c r="AE2787" s="445">
        <v>5</v>
      </c>
      <c r="AF2787" s="445">
        <v>2</v>
      </c>
      <c r="AG2787" s="64"/>
      <c r="AH2787" s="64"/>
      <c r="AI2787" s="64"/>
      <c r="AJ2787" s="64"/>
      <c r="AK2787" s="64"/>
      <c r="AL2787" s="64"/>
      <c r="AM2787" s="64"/>
      <c r="AN2787" s="65"/>
      <c r="AO2787" s="64"/>
      <c r="AP2787" s="64"/>
      <c r="AS2787" s="3">
        <v>1</v>
      </c>
    </row>
    <row r="2788" s="3" customFormat="1" spans="1:45">
      <c r="A2788" s="8">
        <v>619104</v>
      </c>
      <c r="B2788" s="3">
        <v>1001</v>
      </c>
      <c r="C2788" s="3">
        <v>6</v>
      </c>
      <c r="D2788" s="3">
        <v>1001</v>
      </c>
      <c r="E2788" s="3" t="s">
        <v>6980</v>
      </c>
      <c r="F2788" s="3" t="s">
        <v>6981</v>
      </c>
      <c r="G2788" s="3" t="s">
        <v>7073</v>
      </c>
      <c r="H2788" s="3" t="s">
        <v>204</v>
      </c>
      <c r="I2788" s="3">
        <v>1</v>
      </c>
      <c r="J2788" s="3">
        <v>5</v>
      </c>
      <c r="K2788" s="3">
        <v>2</v>
      </c>
      <c r="L2788" s="3">
        <v>999</v>
      </c>
      <c r="M2788" s="3">
        <v>0</v>
      </c>
      <c r="N2788" s="3">
        <v>1018</v>
      </c>
      <c r="O2788" s="395" t="s">
        <v>7074</v>
      </c>
      <c r="S2788" s="3">
        <v>1</v>
      </c>
      <c r="T2788" s="3">
        <v>5</v>
      </c>
      <c r="U2788" s="3">
        <v>100</v>
      </c>
      <c r="V2788" s="3">
        <v>1</v>
      </c>
      <c r="W2788" s="3">
        <v>1</v>
      </c>
      <c r="X2788" s="3">
        <v>1</v>
      </c>
      <c r="Y2788" s="3">
        <v>0</v>
      </c>
      <c r="Z2788" s="3">
        <v>0</v>
      </c>
      <c r="AA2788" s="3">
        <v>5</v>
      </c>
      <c r="AB2788" s="395">
        <v>1000</v>
      </c>
      <c r="AC2788" s="3">
        <v>56</v>
      </c>
      <c r="AD2788" s="3">
        <v>0</v>
      </c>
      <c r="AE2788" s="3">
        <v>5</v>
      </c>
      <c r="AF2788" s="3">
        <v>2</v>
      </c>
      <c r="AG2788" s="234"/>
      <c r="AH2788" s="234"/>
      <c r="AI2788" s="234"/>
      <c r="AJ2788" s="234"/>
      <c r="AK2788" s="234"/>
      <c r="AL2788" s="234"/>
      <c r="AM2788" s="234"/>
      <c r="AN2788" s="476"/>
      <c r="AO2788" s="234"/>
      <c r="AP2788" s="234"/>
      <c r="AS2788" s="3">
        <v>1</v>
      </c>
    </row>
    <row r="2789" spans="1:45">
      <c r="A2789" s="8">
        <v>619105</v>
      </c>
      <c r="B2789" s="339">
        <v>1001</v>
      </c>
      <c r="C2789" s="3">
        <v>6</v>
      </c>
      <c r="D2789" s="339">
        <v>1001</v>
      </c>
      <c r="E2789" s="3" t="s">
        <v>7075</v>
      </c>
      <c r="F2789" s="3" t="s">
        <v>5550</v>
      </c>
      <c r="G2789" s="3" t="s">
        <v>7076</v>
      </c>
      <c r="H2789" s="3" t="s">
        <v>1822</v>
      </c>
      <c r="I2789" s="3">
        <v>1</v>
      </c>
      <c r="J2789" s="3">
        <v>5</v>
      </c>
      <c r="K2789" s="33">
        <v>2</v>
      </c>
      <c r="L2789" s="3">
        <v>999</v>
      </c>
      <c r="M2789" s="3">
        <v>0</v>
      </c>
      <c r="N2789" s="3">
        <v>1018</v>
      </c>
      <c r="O2789" s="2" t="s">
        <v>7077</v>
      </c>
      <c r="S2789" s="33">
        <v>1</v>
      </c>
      <c r="T2789" s="3">
        <v>5</v>
      </c>
      <c r="U2789" s="3">
        <v>100</v>
      </c>
      <c r="V2789" s="33">
        <v>1</v>
      </c>
      <c r="W2789" s="3">
        <v>1</v>
      </c>
      <c r="X2789" s="3">
        <v>1</v>
      </c>
      <c r="Y2789" s="3">
        <v>0</v>
      </c>
      <c r="Z2789" s="33">
        <v>0</v>
      </c>
      <c r="AA2789" s="3">
        <v>5</v>
      </c>
      <c r="AB2789" s="3">
        <v>2000</v>
      </c>
      <c r="AC2789" s="3">
        <v>55</v>
      </c>
      <c r="AD2789" s="445">
        <v>0</v>
      </c>
      <c r="AE2789" s="445">
        <v>5</v>
      </c>
      <c r="AF2789" s="445">
        <v>2</v>
      </c>
      <c r="AG2789" s="64"/>
      <c r="AH2789" s="64"/>
      <c r="AI2789" s="64"/>
      <c r="AJ2789" s="64"/>
      <c r="AK2789" s="64"/>
      <c r="AS2789" s="3">
        <v>1</v>
      </c>
    </row>
    <row r="2790" s="3" customFormat="1" spans="1:45">
      <c r="A2790" s="8">
        <v>619106</v>
      </c>
      <c r="B2790" s="236">
        <v>1001</v>
      </c>
      <c r="C2790">
        <v>6</v>
      </c>
      <c r="D2790" s="236">
        <v>1001</v>
      </c>
      <c r="E2790" t="s">
        <v>7078</v>
      </c>
      <c r="F2790" t="s">
        <v>7079</v>
      </c>
      <c r="G2790" t="s">
        <v>7080</v>
      </c>
      <c r="H2790" t="s">
        <v>6325</v>
      </c>
      <c r="I2790">
        <v>1</v>
      </c>
      <c r="J2790">
        <v>5</v>
      </c>
      <c r="K2790" s="33">
        <v>2</v>
      </c>
      <c r="L2790">
        <v>999</v>
      </c>
      <c r="M2790">
        <v>0</v>
      </c>
      <c r="N2790">
        <v>1035</v>
      </c>
      <c r="O2790" s="2">
        <v>75</v>
      </c>
      <c r="R2790" s="33"/>
      <c r="S2790" s="33">
        <v>1</v>
      </c>
      <c r="T2790">
        <v>5</v>
      </c>
      <c r="U2790">
        <v>1</v>
      </c>
      <c r="V2790" s="33">
        <v>1</v>
      </c>
      <c r="W2790">
        <v>1</v>
      </c>
      <c r="X2790">
        <v>1</v>
      </c>
      <c r="Y2790">
        <v>0</v>
      </c>
      <c r="Z2790" s="33">
        <v>0</v>
      </c>
      <c r="AA2790">
        <v>5</v>
      </c>
      <c r="AB2790">
        <v>100</v>
      </c>
      <c r="AC2790">
        <v>70</v>
      </c>
      <c r="AD2790" s="62">
        <v>0</v>
      </c>
      <c r="AE2790" s="62">
        <v>1</v>
      </c>
      <c r="AF2790" s="62">
        <v>2</v>
      </c>
      <c r="AG2790" s="64"/>
      <c r="AH2790" s="64"/>
      <c r="AI2790" s="64"/>
      <c r="AJ2790" s="64"/>
      <c r="AK2790" s="64"/>
      <c r="AL2790" s="64"/>
      <c r="AM2790" s="64"/>
      <c r="AN2790" s="65"/>
      <c r="AO2790" s="64"/>
      <c r="AP2790" s="64"/>
      <c r="AS2790">
        <v>1</v>
      </c>
    </row>
    <row r="2791" spans="1:45">
      <c r="A2791" s="8">
        <v>619107</v>
      </c>
      <c r="B2791" s="3">
        <v>1001</v>
      </c>
      <c r="C2791" s="3">
        <v>6</v>
      </c>
      <c r="D2791" s="3">
        <v>1001</v>
      </c>
      <c r="E2791" s="3" t="s">
        <v>7081</v>
      </c>
      <c r="F2791" s="3" t="s">
        <v>6280</v>
      </c>
      <c r="G2791" s="3" t="s">
        <v>7082</v>
      </c>
      <c r="H2791" s="3" t="s">
        <v>204</v>
      </c>
      <c r="I2791" s="3">
        <v>1</v>
      </c>
      <c r="J2791" s="3">
        <v>5</v>
      </c>
      <c r="K2791" s="33">
        <v>2</v>
      </c>
      <c r="L2791" s="3">
        <v>999</v>
      </c>
      <c r="M2791" s="3">
        <v>0</v>
      </c>
      <c r="N2791" s="3">
        <v>1018</v>
      </c>
      <c r="O2791" s="231" t="s">
        <v>7083</v>
      </c>
      <c r="P2791" s="3"/>
      <c r="Q2791" s="3"/>
      <c r="R2791" s="33"/>
      <c r="S2791" s="33">
        <v>1</v>
      </c>
      <c r="T2791" s="3">
        <v>5</v>
      </c>
      <c r="U2791" s="3">
        <v>100</v>
      </c>
      <c r="V2791" s="33">
        <v>1</v>
      </c>
      <c r="W2791" s="3">
        <v>1</v>
      </c>
      <c r="X2791" s="3">
        <v>1</v>
      </c>
      <c r="Y2791" s="3">
        <v>0</v>
      </c>
      <c r="Z2791" s="33">
        <v>0</v>
      </c>
      <c r="AA2791" s="3">
        <v>5</v>
      </c>
      <c r="AB2791" s="3">
        <v>2000</v>
      </c>
      <c r="AC2791" s="3">
        <v>56</v>
      </c>
      <c r="AD2791" s="445">
        <v>0</v>
      </c>
      <c r="AE2791" s="445">
        <v>5</v>
      </c>
      <c r="AF2791" s="445">
        <v>2</v>
      </c>
      <c r="AG2791" s="64"/>
      <c r="AH2791" s="64"/>
      <c r="AI2791" s="64"/>
      <c r="AJ2791" s="64"/>
      <c r="AK2791" s="64"/>
      <c r="AQ2791" s="3"/>
      <c r="AR2791" s="3"/>
      <c r="AS2791" s="3">
        <v>1</v>
      </c>
    </row>
    <row r="2792" spans="1:45">
      <c r="A2792" s="8">
        <v>619108</v>
      </c>
      <c r="B2792" s="3">
        <v>1001</v>
      </c>
      <c r="C2792" s="3">
        <v>1</v>
      </c>
      <c r="D2792" s="3">
        <v>1001</v>
      </c>
      <c r="E2792" s="36" t="s">
        <v>7084</v>
      </c>
      <c r="F2792" s="3" t="s">
        <v>7085</v>
      </c>
      <c r="G2792" s="3" t="s">
        <v>7086</v>
      </c>
      <c r="H2792" s="3" t="s">
        <v>5474</v>
      </c>
      <c r="I2792" s="3">
        <v>1</v>
      </c>
      <c r="J2792" s="3">
        <v>2</v>
      </c>
      <c r="K2792" s="33">
        <v>1</v>
      </c>
      <c r="L2792" s="3">
        <v>999</v>
      </c>
      <c r="M2792" s="3">
        <v>0</v>
      </c>
      <c r="N2792" s="3"/>
      <c r="P2792" s="3"/>
      <c r="Q2792" s="3"/>
      <c r="R2792" s="3"/>
      <c r="S2792" s="33">
        <v>1</v>
      </c>
      <c r="T2792" s="3">
        <v>5</v>
      </c>
      <c r="U2792" s="3">
        <v>50</v>
      </c>
      <c r="V2792" s="33">
        <v>1</v>
      </c>
      <c r="W2792" s="3">
        <v>1</v>
      </c>
      <c r="X2792" s="3">
        <v>1</v>
      </c>
      <c r="Y2792" s="3">
        <v>0</v>
      </c>
      <c r="Z2792" s="33">
        <v>0</v>
      </c>
      <c r="AA2792" s="3">
        <v>5</v>
      </c>
      <c r="AB2792" s="3">
        <v>500</v>
      </c>
      <c r="AC2792" s="3">
        <v>56</v>
      </c>
      <c r="AD2792" s="445"/>
      <c r="AE2792" s="445"/>
      <c r="AF2792" s="445"/>
      <c r="AG2792" s="64"/>
      <c r="AH2792" s="64"/>
      <c r="AI2792" s="64"/>
      <c r="AJ2792" s="64"/>
      <c r="AK2792" s="64"/>
      <c r="AL2792" s="64">
        <v>1</v>
      </c>
      <c r="AQ2792" s="3"/>
      <c r="AR2792" s="3"/>
      <c r="AS2792">
        <v>1</v>
      </c>
    </row>
    <row r="2793" spans="1:45">
      <c r="A2793" s="8">
        <v>619109</v>
      </c>
      <c r="B2793" s="3">
        <v>1001</v>
      </c>
      <c r="C2793" s="3">
        <v>1</v>
      </c>
      <c r="D2793" s="3">
        <v>1001</v>
      </c>
      <c r="E2793" s="36" t="s">
        <v>7087</v>
      </c>
      <c r="F2793" s="3" t="s">
        <v>7088</v>
      </c>
      <c r="G2793" s="3" t="s">
        <v>7089</v>
      </c>
      <c r="H2793" s="3" t="s">
        <v>5477</v>
      </c>
      <c r="I2793" s="3">
        <v>1</v>
      </c>
      <c r="J2793" s="3">
        <v>3</v>
      </c>
      <c r="K2793" s="33">
        <v>1</v>
      </c>
      <c r="L2793" s="3">
        <v>999</v>
      </c>
      <c r="M2793" s="3">
        <v>0</v>
      </c>
      <c r="N2793" s="3"/>
      <c r="P2793" s="3"/>
      <c r="Q2793" s="3"/>
      <c r="R2793" s="3"/>
      <c r="S2793" s="33">
        <v>1</v>
      </c>
      <c r="T2793" s="3">
        <v>5</v>
      </c>
      <c r="U2793" s="3">
        <v>100</v>
      </c>
      <c r="V2793" s="33">
        <v>1</v>
      </c>
      <c r="W2793" s="3">
        <v>1</v>
      </c>
      <c r="X2793" s="3">
        <v>1</v>
      </c>
      <c r="Y2793" s="3">
        <v>0</v>
      </c>
      <c r="Z2793" s="33">
        <v>0</v>
      </c>
      <c r="AA2793" s="3">
        <v>5</v>
      </c>
      <c r="AB2793" s="3">
        <v>1000</v>
      </c>
      <c r="AC2793" s="3">
        <v>56</v>
      </c>
      <c r="AD2793" s="445"/>
      <c r="AE2793" s="445"/>
      <c r="AF2793" s="445"/>
      <c r="AG2793" s="64"/>
      <c r="AH2793" s="64"/>
      <c r="AI2793" s="64"/>
      <c r="AJ2793" s="64"/>
      <c r="AK2793" s="64"/>
      <c r="AL2793" s="64">
        <v>1</v>
      </c>
      <c r="AQ2793" s="3"/>
      <c r="AR2793" s="3"/>
      <c r="AS2793">
        <v>1</v>
      </c>
    </row>
    <row r="2794" spans="1:45">
      <c r="A2794" s="8">
        <v>619110</v>
      </c>
      <c r="B2794" s="339">
        <v>1001</v>
      </c>
      <c r="C2794" s="339">
        <v>6</v>
      </c>
      <c r="D2794" s="339">
        <v>1001</v>
      </c>
      <c r="E2794" s="339" t="s">
        <v>7090</v>
      </c>
      <c r="F2794" s="339" t="s">
        <v>7091</v>
      </c>
      <c r="G2794" s="339" t="s">
        <v>7092</v>
      </c>
      <c r="H2794" s="339" t="s">
        <v>7093</v>
      </c>
      <c r="I2794" s="339">
        <v>1</v>
      </c>
      <c r="J2794" s="339">
        <v>4</v>
      </c>
      <c r="K2794" s="254">
        <v>2</v>
      </c>
      <c r="L2794" s="339">
        <v>999</v>
      </c>
      <c r="M2794" s="339">
        <v>0</v>
      </c>
      <c r="N2794" s="339">
        <v>1017</v>
      </c>
      <c r="O2794" s="258">
        <v>100250</v>
      </c>
      <c r="P2794" s="339"/>
      <c r="Q2794" s="339"/>
      <c r="R2794" s="339"/>
      <c r="S2794" s="254">
        <v>1</v>
      </c>
      <c r="T2794" s="339">
        <v>5</v>
      </c>
      <c r="U2794" s="339">
        <v>200</v>
      </c>
      <c r="V2794" s="254">
        <v>1</v>
      </c>
      <c r="W2794" s="339">
        <v>1</v>
      </c>
      <c r="X2794" s="339">
        <v>1</v>
      </c>
      <c r="Y2794" s="339">
        <v>0</v>
      </c>
      <c r="Z2794" s="254">
        <v>0</v>
      </c>
      <c r="AA2794" s="339">
        <v>5</v>
      </c>
      <c r="AB2794" s="339">
        <v>2000</v>
      </c>
      <c r="AC2794" s="339">
        <v>56</v>
      </c>
      <c r="AD2794" s="468">
        <v>0</v>
      </c>
      <c r="AE2794" s="468">
        <v>4</v>
      </c>
      <c r="AF2794" s="468">
        <v>2</v>
      </c>
      <c r="AG2794" s="256"/>
      <c r="AH2794" s="256"/>
      <c r="AI2794" s="256"/>
      <c r="AJ2794" s="256"/>
      <c r="AK2794" s="256"/>
      <c r="AL2794" s="256">
        <v>1</v>
      </c>
      <c r="AM2794" s="8"/>
      <c r="AN2794" s="8"/>
      <c r="AO2794" s="8"/>
      <c r="AP2794" s="8"/>
      <c r="AQ2794" s="339"/>
      <c r="AR2794" s="339"/>
      <c r="AS2794">
        <v>1</v>
      </c>
    </row>
    <row r="2795" spans="1:45">
      <c r="A2795" s="8">
        <v>619111</v>
      </c>
      <c r="B2795" s="8">
        <v>1001</v>
      </c>
      <c r="C2795" s="8">
        <v>1</v>
      </c>
      <c r="D2795" s="8">
        <v>1001</v>
      </c>
      <c r="E2795" s="118" t="s">
        <v>7094</v>
      </c>
      <c r="F2795" s="8" t="s">
        <v>7094</v>
      </c>
      <c r="G2795" s="8" t="s">
        <v>7095</v>
      </c>
      <c r="H2795" s="8" t="s">
        <v>5871</v>
      </c>
      <c r="I2795" s="8">
        <v>1</v>
      </c>
      <c r="J2795" s="8">
        <v>2</v>
      </c>
      <c r="K2795" s="8">
        <v>1</v>
      </c>
      <c r="L2795" s="8">
        <v>999</v>
      </c>
      <c r="M2795" s="8">
        <v>0</v>
      </c>
      <c r="N2795" s="8"/>
      <c r="O2795" s="8"/>
      <c r="P2795" s="8"/>
      <c r="Q2795" s="8"/>
      <c r="R2795" s="8"/>
      <c r="S2795" s="8">
        <v>1</v>
      </c>
      <c r="T2795" s="8">
        <v>5</v>
      </c>
      <c r="U2795" s="8">
        <v>50</v>
      </c>
      <c r="V2795" s="8">
        <v>1</v>
      </c>
      <c r="W2795" s="8">
        <v>1</v>
      </c>
      <c r="X2795" s="8">
        <v>1</v>
      </c>
      <c r="Y2795" s="8">
        <v>0</v>
      </c>
      <c r="Z2795" s="8">
        <v>0</v>
      </c>
      <c r="AA2795" s="8">
        <v>5</v>
      </c>
      <c r="AB2795" s="8">
        <v>500</v>
      </c>
      <c r="AC2795" s="8">
        <v>56</v>
      </c>
      <c r="AD2795" s="8"/>
      <c r="AE2795" s="8"/>
      <c r="AF2795" s="8"/>
      <c r="AG2795" s="8"/>
      <c r="AH2795" s="8"/>
      <c r="AI2795" s="8"/>
      <c r="AJ2795" s="8"/>
      <c r="AK2795" s="8"/>
      <c r="AL2795" s="8">
        <v>1</v>
      </c>
      <c r="AM2795" s="8"/>
      <c r="AN2795" s="8"/>
      <c r="AO2795" s="8"/>
      <c r="AP2795" s="8"/>
      <c r="AQ2795" s="8"/>
      <c r="AR2795" s="8"/>
      <c r="AS2795">
        <v>1</v>
      </c>
    </row>
    <row r="2796" spans="1:45">
      <c r="A2796" s="8">
        <v>619112</v>
      </c>
      <c r="B2796" s="8">
        <v>1001</v>
      </c>
      <c r="C2796" s="8">
        <v>1</v>
      </c>
      <c r="D2796" s="8">
        <v>1001</v>
      </c>
      <c r="E2796" s="118" t="s">
        <v>7096</v>
      </c>
      <c r="F2796" s="8" t="s">
        <v>7096</v>
      </c>
      <c r="G2796" s="8" t="s">
        <v>7097</v>
      </c>
      <c r="H2796" s="8" t="s">
        <v>6276</v>
      </c>
      <c r="I2796" s="8">
        <v>1</v>
      </c>
      <c r="J2796" s="8">
        <v>3</v>
      </c>
      <c r="K2796" s="8">
        <v>1</v>
      </c>
      <c r="L2796" s="8">
        <v>999</v>
      </c>
      <c r="M2796" s="8">
        <v>0</v>
      </c>
      <c r="N2796" s="8"/>
      <c r="O2796" s="8"/>
      <c r="P2796" s="8"/>
      <c r="Q2796" s="8"/>
      <c r="R2796" s="8"/>
      <c r="S2796" s="8">
        <v>1</v>
      </c>
      <c r="T2796" s="8">
        <v>5</v>
      </c>
      <c r="U2796" s="8">
        <v>100</v>
      </c>
      <c r="V2796" s="8">
        <v>1</v>
      </c>
      <c r="W2796" s="8">
        <v>1</v>
      </c>
      <c r="X2796" s="8">
        <v>1</v>
      </c>
      <c r="Y2796" s="8">
        <v>0</v>
      </c>
      <c r="Z2796" s="8">
        <v>0</v>
      </c>
      <c r="AA2796" s="8">
        <v>5</v>
      </c>
      <c r="AB2796" s="8">
        <v>1000</v>
      </c>
      <c r="AC2796" s="8">
        <v>56</v>
      </c>
      <c r="AD2796" s="8"/>
      <c r="AE2796" s="8"/>
      <c r="AF2796" s="8"/>
      <c r="AG2796" s="8"/>
      <c r="AH2796" s="8"/>
      <c r="AI2796" s="8"/>
      <c r="AJ2796" s="8"/>
      <c r="AK2796" s="8"/>
      <c r="AL2796" s="8">
        <v>1</v>
      </c>
      <c r="AM2796" s="8"/>
      <c r="AN2796" s="8"/>
      <c r="AO2796" s="8"/>
      <c r="AP2796" s="8"/>
      <c r="AQ2796" s="8"/>
      <c r="AR2796" s="8"/>
      <c r="AS2796">
        <v>1</v>
      </c>
    </row>
    <row r="2797" spans="1:45">
      <c r="A2797" s="8">
        <v>619113</v>
      </c>
      <c r="B2797" s="8">
        <v>1001</v>
      </c>
      <c r="C2797" s="8">
        <v>6</v>
      </c>
      <c r="D2797" s="8">
        <v>1001</v>
      </c>
      <c r="E2797" s="8" t="s">
        <v>7098</v>
      </c>
      <c r="F2797" s="8" t="s">
        <v>7098</v>
      </c>
      <c r="G2797" s="8" t="s">
        <v>7099</v>
      </c>
      <c r="H2797" s="8" t="s">
        <v>1839</v>
      </c>
      <c r="I2797" s="8">
        <v>1</v>
      </c>
      <c r="J2797" s="8">
        <v>4</v>
      </c>
      <c r="K2797" s="8">
        <v>2</v>
      </c>
      <c r="L2797" s="8">
        <v>999</v>
      </c>
      <c r="M2797" s="8">
        <v>0</v>
      </c>
      <c r="N2797" s="8">
        <v>1017</v>
      </c>
      <c r="O2797" s="8">
        <v>100247</v>
      </c>
      <c r="P2797" s="8"/>
      <c r="Q2797" s="8"/>
      <c r="R2797" s="8"/>
      <c r="S2797" s="8">
        <v>1</v>
      </c>
      <c r="T2797" s="8">
        <v>5</v>
      </c>
      <c r="U2797" s="8">
        <v>200</v>
      </c>
      <c r="V2797" s="8">
        <v>1</v>
      </c>
      <c r="W2797" s="8">
        <v>1</v>
      </c>
      <c r="X2797" s="8">
        <v>1</v>
      </c>
      <c r="Y2797" s="8">
        <v>0</v>
      </c>
      <c r="Z2797" s="8">
        <v>0</v>
      </c>
      <c r="AA2797" s="8">
        <v>5</v>
      </c>
      <c r="AB2797" s="8">
        <v>2000</v>
      </c>
      <c r="AC2797" s="8">
        <v>56</v>
      </c>
      <c r="AD2797" s="8">
        <v>0</v>
      </c>
      <c r="AE2797" s="8">
        <v>4</v>
      </c>
      <c r="AF2797" s="8">
        <v>2</v>
      </c>
      <c r="AG2797" s="8"/>
      <c r="AH2797" s="8"/>
      <c r="AI2797" s="8"/>
      <c r="AJ2797" s="8"/>
      <c r="AK2797" s="8"/>
      <c r="AL2797" s="8">
        <v>1</v>
      </c>
      <c r="AM2797" s="8"/>
      <c r="AN2797" s="8"/>
      <c r="AO2797" s="8"/>
      <c r="AP2797" s="8"/>
      <c r="AQ2797" s="8"/>
      <c r="AR2797" s="8"/>
      <c r="AS2797">
        <v>1</v>
      </c>
    </row>
    <row r="2798" spans="1:45">
      <c r="A2798" s="8">
        <v>619114</v>
      </c>
      <c r="B2798" s="8">
        <v>1001</v>
      </c>
      <c r="C2798" s="8">
        <v>6</v>
      </c>
      <c r="D2798" s="8">
        <v>1001</v>
      </c>
      <c r="E2798" s="8" t="s">
        <v>7100</v>
      </c>
      <c r="F2798" s="8" t="s">
        <v>5550</v>
      </c>
      <c r="G2798" s="8" t="s">
        <v>7101</v>
      </c>
      <c r="H2798" s="8" t="s">
        <v>1822</v>
      </c>
      <c r="I2798" s="8">
        <v>1</v>
      </c>
      <c r="J2798" s="8">
        <v>5</v>
      </c>
      <c r="K2798" s="8">
        <v>2</v>
      </c>
      <c r="L2798" s="8">
        <v>999</v>
      </c>
      <c r="M2798" s="8">
        <v>0</v>
      </c>
      <c r="N2798" s="8">
        <v>1018</v>
      </c>
      <c r="O2798" s="8" t="s">
        <v>7102</v>
      </c>
      <c r="P2798" s="8"/>
      <c r="Q2798" s="8"/>
      <c r="R2798" s="8"/>
      <c r="S2798" s="8">
        <v>1</v>
      </c>
      <c r="T2798" s="8">
        <v>5</v>
      </c>
      <c r="U2798" s="8">
        <v>100</v>
      </c>
      <c r="V2798" s="8">
        <v>1</v>
      </c>
      <c r="W2798" s="8">
        <v>1</v>
      </c>
      <c r="X2798" s="8">
        <v>1</v>
      </c>
      <c r="Y2798" s="8">
        <v>0</v>
      </c>
      <c r="Z2798" s="8">
        <v>0</v>
      </c>
      <c r="AA2798" s="8">
        <v>5</v>
      </c>
      <c r="AB2798" s="8">
        <v>2000</v>
      </c>
      <c r="AC2798" s="8">
        <v>56</v>
      </c>
      <c r="AD2798" s="159">
        <v>0</v>
      </c>
      <c r="AE2798" s="159">
        <v>5</v>
      </c>
      <c r="AF2798" s="159">
        <v>2</v>
      </c>
      <c r="AG2798" s="159"/>
      <c r="AH2798" s="159"/>
      <c r="AI2798" s="159"/>
      <c r="AJ2798" s="159"/>
      <c r="AK2798" s="159"/>
      <c r="AL2798" s="8"/>
      <c r="AM2798" s="8"/>
      <c r="AN2798" s="8"/>
      <c r="AO2798" s="8"/>
      <c r="AP2798" s="8"/>
      <c r="AQ2798" s="8"/>
      <c r="AR2798" s="8"/>
      <c r="AS2798">
        <v>1</v>
      </c>
    </row>
    <row r="2799" spans="1:45">
      <c r="A2799" s="8">
        <v>619115</v>
      </c>
      <c r="B2799" s="8">
        <v>1001</v>
      </c>
      <c r="C2799" s="8">
        <v>6</v>
      </c>
      <c r="D2799" s="8">
        <v>1001</v>
      </c>
      <c r="E2799" s="8" t="s">
        <v>7103</v>
      </c>
      <c r="F2799" s="8" t="s">
        <v>6876</v>
      </c>
      <c r="G2799" s="8" t="s">
        <v>7104</v>
      </c>
      <c r="H2799" s="8" t="s">
        <v>1667</v>
      </c>
      <c r="I2799" s="8">
        <v>1</v>
      </c>
      <c r="J2799" s="8">
        <v>4</v>
      </c>
      <c r="K2799" s="8">
        <v>2</v>
      </c>
      <c r="L2799" s="8">
        <v>999</v>
      </c>
      <c r="M2799" s="8">
        <v>0</v>
      </c>
      <c r="N2799" s="8">
        <v>1018</v>
      </c>
      <c r="O2799" s="8" t="s">
        <v>7105</v>
      </c>
      <c r="P2799" s="8"/>
      <c r="Q2799" s="8"/>
      <c r="R2799" s="8"/>
      <c r="S2799" s="8">
        <v>1</v>
      </c>
      <c r="T2799" s="8">
        <v>5</v>
      </c>
      <c r="U2799" s="8">
        <v>200</v>
      </c>
      <c r="V2799" s="8">
        <v>1</v>
      </c>
      <c r="W2799" s="8">
        <v>1</v>
      </c>
      <c r="X2799" s="8">
        <v>1</v>
      </c>
      <c r="Y2799" s="8">
        <v>0</v>
      </c>
      <c r="Z2799" s="8">
        <v>0</v>
      </c>
      <c r="AA2799" s="8">
        <v>5</v>
      </c>
      <c r="AB2799" s="8">
        <f>U2798*10</f>
        <v>1000</v>
      </c>
      <c r="AC2799" s="8">
        <v>56</v>
      </c>
      <c r="AD2799" s="159">
        <v>0</v>
      </c>
      <c r="AE2799" s="159">
        <v>5</v>
      </c>
      <c r="AF2799" s="159">
        <v>2</v>
      </c>
      <c r="AG2799" s="159"/>
      <c r="AH2799" s="159"/>
      <c r="AI2799" s="159"/>
      <c r="AJ2799" s="159"/>
      <c r="AK2799" s="159"/>
      <c r="AL2799" s="8">
        <v>1</v>
      </c>
      <c r="AM2799" s="8"/>
      <c r="AN2799" s="8"/>
      <c r="AO2799" s="8"/>
      <c r="AP2799" s="8"/>
      <c r="AQ2799" s="8"/>
      <c r="AR2799" s="8"/>
      <c r="AS2799">
        <v>1</v>
      </c>
    </row>
    <row r="2800" spans="1:45">
      <c r="A2800" s="8">
        <v>619116</v>
      </c>
      <c r="B2800" s="8">
        <v>1001</v>
      </c>
      <c r="C2800" s="8">
        <v>6</v>
      </c>
      <c r="D2800" s="8">
        <v>1001</v>
      </c>
      <c r="E2800" s="8" t="s">
        <v>7106</v>
      </c>
      <c r="F2800" s="8" t="s">
        <v>5550</v>
      </c>
      <c r="G2800" s="8" t="s">
        <v>7107</v>
      </c>
      <c r="H2800" s="8" t="s">
        <v>1822</v>
      </c>
      <c r="I2800" s="8">
        <v>1</v>
      </c>
      <c r="J2800" s="8">
        <v>5</v>
      </c>
      <c r="K2800" s="8">
        <v>2</v>
      </c>
      <c r="L2800" s="8">
        <v>999</v>
      </c>
      <c r="M2800" s="8">
        <v>0</v>
      </c>
      <c r="N2800" s="8">
        <v>1018</v>
      </c>
      <c r="O2800" s="8" t="s">
        <v>7108</v>
      </c>
      <c r="P2800" s="8"/>
      <c r="Q2800" s="8"/>
      <c r="R2800" s="8"/>
      <c r="S2800" s="8">
        <v>1</v>
      </c>
      <c r="T2800" s="8">
        <v>5</v>
      </c>
      <c r="U2800" s="8">
        <v>100</v>
      </c>
      <c r="V2800" s="8">
        <v>1</v>
      </c>
      <c r="W2800" s="8">
        <v>1</v>
      </c>
      <c r="X2800" s="8">
        <v>1</v>
      </c>
      <c r="Y2800" s="8">
        <v>0</v>
      </c>
      <c r="Z2800" s="8">
        <v>0</v>
      </c>
      <c r="AA2800" s="8">
        <v>5</v>
      </c>
      <c r="AB2800" s="8">
        <v>2000</v>
      </c>
      <c r="AC2800" s="8">
        <v>56</v>
      </c>
      <c r="AD2800" s="159">
        <v>0</v>
      </c>
      <c r="AE2800" s="159">
        <v>5</v>
      </c>
      <c r="AF2800" s="159">
        <v>2</v>
      </c>
      <c r="AG2800" s="159"/>
      <c r="AH2800" s="159"/>
      <c r="AI2800" s="159"/>
      <c r="AJ2800" s="159"/>
      <c r="AK2800" s="159"/>
      <c r="AL2800" s="8"/>
      <c r="AM2800" s="8"/>
      <c r="AN2800" s="8"/>
      <c r="AO2800" s="8"/>
      <c r="AP2800" s="8"/>
      <c r="AQ2800" s="8"/>
      <c r="AR2800" s="8"/>
      <c r="AS2800">
        <v>1</v>
      </c>
    </row>
    <row r="2801" spans="1:45">
      <c r="A2801" s="8">
        <v>619117</v>
      </c>
      <c r="B2801" s="8">
        <v>1001</v>
      </c>
      <c r="C2801" s="8">
        <v>6</v>
      </c>
      <c r="D2801" s="8">
        <v>1001</v>
      </c>
      <c r="E2801" s="8" t="s">
        <v>6807</v>
      </c>
      <c r="F2801" s="8" t="s">
        <v>6280</v>
      </c>
      <c r="G2801" s="8" t="s">
        <v>7109</v>
      </c>
      <c r="H2801" s="8" t="s">
        <v>204</v>
      </c>
      <c r="I2801" s="8">
        <v>1</v>
      </c>
      <c r="J2801" s="8">
        <v>5</v>
      </c>
      <c r="K2801" s="8">
        <v>2</v>
      </c>
      <c r="L2801" s="8">
        <v>999</v>
      </c>
      <c r="M2801" s="8">
        <v>0</v>
      </c>
      <c r="N2801" s="8">
        <v>1018</v>
      </c>
      <c r="O2801" s="8" t="s">
        <v>7110</v>
      </c>
      <c r="P2801" s="8"/>
      <c r="Q2801" s="8"/>
      <c r="R2801" s="8"/>
      <c r="S2801" s="8">
        <v>1</v>
      </c>
      <c r="T2801" s="8">
        <v>5</v>
      </c>
      <c r="U2801" s="8">
        <v>1</v>
      </c>
      <c r="V2801" s="8">
        <v>1</v>
      </c>
      <c r="W2801" s="8">
        <v>1</v>
      </c>
      <c r="X2801" s="8">
        <v>1</v>
      </c>
      <c r="Y2801" s="8">
        <v>0</v>
      </c>
      <c r="Z2801" s="8">
        <v>0</v>
      </c>
      <c r="AA2801" s="8">
        <v>5</v>
      </c>
      <c r="AB2801" s="8">
        <v>100</v>
      </c>
      <c r="AC2801" s="8">
        <v>70</v>
      </c>
      <c r="AD2801" s="159">
        <v>0</v>
      </c>
      <c r="AE2801" s="159">
        <v>5</v>
      </c>
      <c r="AF2801" s="159">
        <v>2</v>
      </c>
      <c r="AG2801" s="159"/>
      <c r="AH2801" s="159"/>
      <c r="AI2801" s="159"/>
      <c r="AJ2801" s="159"/>
      <c r="AK2801" s="159"/>
      <c r="AL2801" s="8"/>
      <c r="AM2801" s="8"/>
      <c r="AN2801" s="8"/>
      <c r="AO2801" s="8"/>
      <c r="AP2801" s="8"/>
      <c r="AQ2801" s="8"/>
      <c r="AR2801" s="8"/>
      <c r="AS2801">
        <v>1</v>
      </c>
    </row>
    <row r="2802" spans="1:45">
      <c r="A2802" s="8">
        <v>619118</v>
      </c>
      <c r="B2802" s="8">
        <v>1001</v>
      </c>
      <c r="C2802" s="8">
        <v>6</v>
      </c>
      <c r="D2802" s="8">
        <v>1001</v>
      </c>
      <c r="E2802" s="8" t="s">
        <v>7111</v>
      </c>
      <c r="F2802" s="8" t="s">
        <v>5550</v>
      </c>
      <c r="G2802" s="8" t="s">
        <v>7112</v>
      </c>
      <c r="H2802" s="8" t="s">
        <v>1822</v>
      </c>
      <c r="I2802" s="8">
        <v>1</v>
      </c>
      <c r="J2802" s="8">
        <v>5</v>
      </c>
      <c r="K2802" s="8">
        <v>2</v>
      </c>
      <c r="L2802" s="8">
        <v>999</v>
      </c>
      <c r="M2802" s="8">
        <v>0</v>
      </c>
      <c r="N2802" s="8">
        <v>1018</v>
      </c>
      <c r="O2802" s="8" t="s">
        <v>7113</v>
      </c>
      <c r="P2802" s="8"/>
      <c r="Q2802" s="8"/>
      <c r="R2802" s="8"/>
      <c r="S2802" s="8">
        <v>1</v>
      </c>
      <c r="T2802" s="8">
        <v>5</v>
      </c>
      <c r="U2802" s="8">
        <v>100</v>
      </c>
      <c r="V2802" s="8">
        <v>1</v>
      </c>
      <c r="W2802" s="8">
        <v>1</v>
      </c>
      <c r="X2802" s="8">
        <v>1</v>
      </c>
      <c r="Y2802" s="8">
        <v>0</v>
      </c>
      <c r="Z2802" s="8">
        <v>0</v>
      </c>
      <c r="AA2802" s="8">
        <v>5</v>
      </c>
      <c r="AB2802" s="8">
        <v>2000</v>
      </c>
      <c r="AC2802" s="8">
        <v>56</v>
      </c>
      <c r="AD2802" s="159">
        <v>0</v>
      </c>
      <c r="AE2802" s="159">
        <v>5</v>
      </c>
      <c r="AF2802" s="159">
        <v>2</v>
      </c>
      <c r="AG2802" s="159"/>
      <c r="AH2802" s="159"/>
      <c r="AI2802" s="159"/>
      <c r="AJ2802" s="159"/>
      <c r="AK2802" s="159"/>
      <c r="AL2802" s="8"/>
      <c r="AM2802" s="8"/>
      <c r="AN2802" s="8"/>
      <c r="AO2802" s="8"/>
      <c r="AP2802" s="8"/>
      <c r="AQ2802" s="8"/>
      <c r="AR2802" s="8"/>
      <c r="AS2802">
        <v>1</v>
      </c>
    </row>
    <row r="2803" spans="1:45">
      <c r="A2803" s="8">
        <v>619119</v>
      </c>
      <c r="B2803" s="8">
        <v>1001</v>
      </c>
      <c r="C2803" s="8">
        <v>1</v>
      </c>
      <c r="D2803" s="8">
        <v>1001</v>
      </c>
      <c r="E2803" s="118" t="s">
        <v>7114</v>
      </c>
      <c r="F2803" s="8" t="s">
        <v>7114</v>
      </c>
      <c r="G2803" s="8" t="s">
        <v>7115</v>
      </c>
      <c r="H2803" s="8" t="s">
        <v>2367</v>
      </c>
      <c r="I2803" s="8">
        <v>1</v>
      </c>
      <c r="J2803" s="8">
        <v>2</v>
      </c>
      <c r="K2803" s="8">
        <v>1</v>
      </c>
      <c r="L2803" s="8">
        <v>999</v>
      </c>
      <c r="M2803" s="8">
        <v>0</v>
      </c>
      <c r="N2803" s="8"/>
      <c r="O2803" s="8"/>
      <c r="P2803" s="8"/>
      <c r="Q2803" s="8"/>
      <c r="R2803" s="8"/>
      <c r="S2803" s="8">
        <v>1</v>
      </c>
      <c r="T2803" s="8">
        <v>5</v>
      </c>
      <c r="U2803" s="8">
        <v>50</v>
      </c>
      <c r="V2803" s="8">
        <v>1</v>
      </c>
      <c r="W2803" s="8">
        <v>1</v>
      </c>
      <c r="X2803" s="8">
        <v>1</v>
      </c>
      <c r="Y2803" s="8">
        <v>0</v>
      </c>
      <c r="Z2803" s="8">
        <v>0</v>
      </c>
      <c r="AA2803" s="8">
        <v>5</v>
      </c>
      <c r="AB2803" s="8">
        <v>500</v>
      </c>
      <c r="AC2803" s="8">
        <v>56</v>
      </c>
      <c r="AD2803" s="159"/>
      <c r="AE2803" s="159"/>
      <c r="AF2803" s="159"/>
      <c r="AG2803" s="159"/>
      <c r="AH2803" s="159"/>
      <c r="AI2803" s="159"/>
      <c r="AJ2803" s="159"/>
      <c r="AK2803" s="159"/>
      <c r="AL2803" s="8">
        <v>1</v>
      </c>
      <c r="AM2803" s="8"/>
      <c r="AN2803" s="8"/>
      <c r="AO2803" s="8"/>
      <c r="AP2803" s="8"/>
      <c r="AQ2803" s="8"/>
      <c r="AR2803" s="8"/>
      <c r="AS2803">
        <v>1</v>
      </c>
    </row>
    <row r="2804" spans="1:45">
      <c r="A2804" s="8">
        <v>619120</v>
      </c>
      <c r="B2804" s="8">
        <v>1001</v>
      </c>
      <c r="C2804" s="8">
        <v>1</v>
      </c>
      <c r="D2804" s="8">
        <v>1001</v>
      </c>
      <c r="E2804" s="118" t="s">
        <v>7116</v>
      </c>
      <c r="F2804" s="8" t="s">
        <v>7116</v>
      </c>
      <c r="G2804" s="8" t="s">
        <v>7117</v>
      </c>
      <c r="H2804" s="8" t="s">
        <v>2369</v>
      </c>
      <c r="I2804" s="8">
        <v>1</v>
      </c>
      <c r="J2804" s="8">
        <v>3</v>
      </c>
      <c r="K2804" s="8">
        <v>1</v>
      </c>
      <c r="L2804" s="8">
        <v>999</v>
      </c>
      <c r="M2804" s="8">
        <v>0</v>
      </c>
      <c r="N2804" s="8"/>
      <c r="O2804" s="8"/>
      <c r="P2804" s="8"/>
      <c r="Q2804" s="8"/>
      <c r="R2804" s="8"/>
      <c r="S2804" s="8">
        <v>1</v>
      </c>
      <c r="T2804" s="8">
        <v>5</v>
      </c>
      <c r="U2804" s="8">
        <v>100</v>
      </c>
      <c r="V2804" s="8">
        <v>1</v>
      </c>
      <c r="W2804" s="8">
        <v>1</v>
      </c>
      <c r="X2804" s="8">
        <v>1</v>
      </c>
      <c r="Y2804" s="8">
        <v>0</v>
      </c>
      <c r="Z2804" s="8">
        <v>0</v>
      </c>
      <c r="AA2804" s="8">
        <v>5</v>
      </c>
      <c r="AB2804" s="8">
        <v>1000</v>
      </c>
      <c r="AC2804" s="8">
        <v>56</v>
      </c>
      <c r="AD2804" s="159"/>
      <c r="AE2804" s="159"/>
      <c r="AF2804" s="159"/>
      <c r="AG2804" s="159"/>
      <c r="AH2804" s="159"/>
      <c r="AI2804" s="159"/>
      <c r="AJ2804" s="159"/>
      <c r="AK2804" s="159"/>
      <c r="AL2804" s="8">
        <v>1</v>
      </c>
      <c r="AM2804" s="8"/>
      <c r="AN2804" s="8"/>
      <c r="AO2804" s="8"/>
      <c r="AP2804" s="8"/>
      <c r="AQ2804" s="8"/>
      <c r="AR2804" s="8"/>
      <c r="AS2804">
        <v>1</v>
      </c>
    </row>
    <row r="2805" spans="1:45">
      <c r="A2805" s="8">
        <v>619121</v>
      </c>
      <c r="B2805" s="8">
        <v>1001</v>
      </c>
      <c r="C2805" s="8">
        <v>6</v>
      </c>
      <c r="D2805" s="8">
        <v>1001</v>
      </c>
      <c r="E2805" s="8" t="s">
        <v>7118</v>
      </c>
      <c r="F2805" s="8" t="s">
        <v>7118</v>
      </c>
      <c r="G2805" s="8" t="s">
        <v>7119</v>
      </c>
      <c r="H2805" s="8" t="s">
        <v>4937</v>
      </c>
      <c r="I2805" s="8">
        <v>1</v>
      </c>
      <c r="J2805" s="8">
        <v>4</v>
      </c>
      <c r="K2805" s="8">
        <v>2</v>
      </c>
      <c r="L2805" s="8">
        <v>999</v>
      </c>
      <c r="M2805" s="8">
        <v>0</v>
      </c>
      <c r="N2805" s="8">
        <v>1017</v>
      </c>
      <c r="O2805" s="8">
        <v>100247</v>
      </c>
      <c r="P2805" s="8"/>
      <c r="Q2805" s="8"/>
      <c r="R2805" s="8"/>
      <c r="S2805" s="8">
        <v>1</v>
      </c>
      <c r="T2805" s="8">
        <v>5</v>
      </c>
      <c r="U2805" s="8">
        <v>200</v>
      </c>
      <c r="V2805" s="8">
        <v>1</v>
      </c>
      <c r="W2805" s="8">
        <v>1</v>
      </c>
      <c r="X2805" s="8">
        <v>1</v>
      </c>
      <c r="Y2805" s="8">
        <v>0</v>
      </c>
      <c r="Z2805" s="8">
        <v>0</v>
      </c>
      <c r="AA2805" s="8">
        <v>5</v>
      </c>
      <c r="AB2805" s="8">
        <v>2000</v>
      </c>
      <c r="AC2805" s="8">
        <v>56</v>
      </c>
      <c r="AD2805" s="159">
        <v>0</v>
      </c>
      <c r="AE2805" s="159">
        <v>4</v>
      </c>
      <c r="AF2805" s="159">
        <v>2</v>
      </c>
      <c r="AG2805" s="159"/>
      <c r="AH2805" s="159"/>
      <c r="AI2805" s="159"/>
      <c r="AJ2805" s="159"/>
      <c r="AK2805" s="159"/>
      <c r="AL2805" s="8">
        <v>1</v>
      </c>
      <c r="AM2805" s="8"/>
      <c r="AN2805" s="8"/>
      <c r="AO2805" s="8"/>
      <c r="AP2805" s="8"/>
      <c r="AQ2805" s="8"/>
      <c r="AR2805" s="8"/>
      <c r="AS2805">
        <v>1</v>
      </c>
    </row>
    <row r="2806" spans="1:45">
      <c r="A2806" s="8">
        <v>619122</v>
      </c>
      <c r="B2806" s="8">
        <v>1001</v>
      </c>
      <c r="C2806" s="8">
        <v>6</v>
      </c>
      <c r="D2806" s="8">
        <v>1001</v>
      </c>
      <c r="E2806" s="8" t="s">
        <v>7120</v>
      </c>
      <c r="F2806" s="8" t="s">
        <v>5550</v>
      </c>
      <c r="G2806" s="8" t="s">
        <v>7121</v>
      </c>
      <c r="H2806" s="8" t="s">
        <v>1822</v>
      </c>
      <c r="I2806" s="8">
        <v>1</v>
      </c>
      <c r="J2806" s="8">
        <v>5</v>
      </c>
      <c r="K2806" s="8">
        <v>2</v>
      </c>
      <c r="L2806" s="8">
        <v>999</v>
      </c>
      <c r="M2806" s="8">
        <v>0</v>
      </c>
      <c r="N2806" s="8">
        <v>1018</v>
      </c>
      <c r="O2806" s="8" t="s">
        <v>7122</v>
      </c>
      <c r="P2806" s="8"/>
      <c r="Q2806" s="8"/>
      <c r="R2806" s="8"/>
      <c r="S2806" s="8">
        <v>1</v>
      </c>
      <c r="T2806" s="8">
        <v>5</v>
      </c>
      <c r="U2806" s="8">
        <v>100</v>
      </c>
      <c r="V2806" s="8">
        <v>1</v>
      </c>
      <c r="W2806" s="8">
        <v>1</v>
      </c>
      <c r="X2806" s="8">
        <v>1</v>
      </c>
      <c r="Y2806" s="8">
        <v>0</v>
      </c>
      <c r="Z2806" s="8">
        <v>0</v>
      </c>
      <c r="AA2806" s="8">
        <v>5</v>
      </c>
      <c r="AB2806" s="8">
        <v>2000</v>
      </c>
      <c r="AC2806" s="8">
        <v>56</v>
      </c>
      <c r="AD2806" s="159">
        <v>0</v>
      </c>
      <c r="AE2806" s="159">
        <v>5</v>
      </c>
      <c r="AF2806" s="159">
        <v>2</v>
      </c>
      <c r="AG2806" s="159"/>
      <c r="AH2806" s="159"/>
      <c r="AI2806" s="159"/>
      <c r="AJ2806" s="159"/>
      <c r="AK2806" s="159"/>
      <c r="AL2806" s="8"/>
      <c r="AM2806" s="8"/>
      <c r="AN2806" s="8"/>
      <c r="AO2806" s="8"/>
      <c r="AP2806" s="8"/>
      <c r="AQ2806" s="8"/>
      <c r="AR2806" s="8"/>
      <c r="AS2806">
        <v>1</v>
      </c>
    </row>
    <row r="2807" ht="12" customHeight="1" spans="1:45">
      <c r="A2807" s="8">
        <v>619123</v>
      </c>
      <c r="B2807" s="8">
        <v>1001</v>
      </c>
      <c r="C2807" s="8">
        <v>6</v>
      </c>
      <c r="D2807" s="8">
        <v>1001</v>
      </c>
      <c r="E2807" s="8" t="s">
        <v>7123</v>
      </c>
      <c r="F2807" s="8" t="s">
        <v>5550</v>
      </c>
      <c r="G2807" s="8" t="s">
        <v>7124</v>
      </c>
      <c r="H2807" s="8" t="s">
        <v>1822</v>
      </c>
      <c r="I2807" s="8">
        <v>1</v>
      </c>
      <c r="J2807" s="8">
        <v>5</v>
      </c>
      <c r="K2807" s="8">
        <v>2</v>
      </c>
      <c r="L2807" s="8">
        <v>999</v>
      </c>
      <c r="M2807" s="8">
        <v>0</v>
      </c>
      <c r="N2807" s="8">
        <v>1018</v>
      </c>
      <c r="O2807" s="8" t="s">
        <v>7125</v>
      </c>
      <c r="P2807" s="8"/>
      <c r="Q2807" s="8"/>
      <c r="R2807" s="8"/>
      <c r="S2807" s="8">
        <v>1</v>
      </c>
      <c r="T2807" s="8">
        <v>5</v>
      </c>
      <c r="U2807" s="8">
        <v>100</v>
      </c>
      <c r="V2807" s="8">
        <v>1</v>
      </c>
      <c r="W2807" s="8">
        <v>1</v>
      </c>
      <c r="X2807" s="8">
        <v>1</v>
      </c>
      <c r="Y2807" s="8">
        <v>0</v>
      </c>
      <c r="Z2807" s="8">
        <v>0</v>
      </c>
      <c r="AA2807" s="8">
        <v>5</v>
      </c>
      <c r="AB2807" s="8">
        <v>2000</v>
      </c>
      <c r="AC2807" s="8">
        <v>56</v>
      </c>
      <c r="AD2807" s="159">
        <v>0</v>
      </c>
      <c r="AE2807" s="159">
        <v>5</v>
      </c>
      <c r="AF2807" s="159">
        <v>2</v>
      </c>
      <c r="AG2807" s="159"/>
      <c r="AH2807" s="159"/>
      <c r="AI2807" s="159"/>
      <c r="AJ2807" s="159"/>
      <c r="AK2807" s="159"/>
      <c r="AL2807" s="8"/>
      <c r="AM2807" s="8"/>
      <c r="AN2807" s="8"/>
      <c r="AO2807" s="8"/>
      <c r="AP2807" s="8"/>
      <c r="AQ2807" s="8"/>
      <c r="AR2807" s="8"/>
      <c r="AS2807">
        <v>1</v>
      </c>
    </row>
    <row r="2808" ht="12" customHeight="1" spans="1:45">
      <c r="A2808" s="8">
        <v>619124</v>
      </c>
      <c r="B2808" s="8">
        <v>1001</v>
      </c>
      <c r="C2808" s="8">
        <v>6</v>
      </c>
      <c r="D2808" s="8">
        <v>1001</v>
      </c>
      <c r="E2808" s="8" t="s">
        <v>6807</v>
      </c>
      <c r="F2808" s="8" t="s">
        <v>6280</v>
      </c>
      <c r="G2808" s="8" t="s">
        <v>7126</v>
      </c>
      <c r="H2808" s="8" t="s">
        <v>204</v>
      </c>
      <c r="I2808" s="8">
        <v>1</v>
      </c>
      <c r="J2808" s="8">
        <v>5</v>
      </c>
      <c r="K2808" s="8">
        <v>2</v>
      </c>
      <c r="L2808" s="8">
        <v>999</v>
      </c>
      <c r="M2808" s="8">
        <v>0</v>
      </c>
      <c r="N2808" s="8">
        <v>1018</v>
      </c>
      <c r="O2808" s="8" t="s">
        <v>7127</v>
      </c>
      <c r="P2808" s="8"/>
      <c r="Q2808" s="8"/>
      <c r="R2808" s="8"/>
      <c r="S2808" s="8">
        <v>1</v>
      </c>
      <c r="T2808" s="8">
        <v>5</v>
      </c>
      <c r="U2808" s="8">
        <v>1</v>
      </c>
      <c r="V2808" s="8">
        <v>1</v>
      </c>
      <c r="W2808" s="8">
        <v>1</v>
      </c>
      <c r="X2808" s="8">
        <v>1</v>
      </c>
      <c r="Y2808" s="8">
        <v>0</v>
      </c>
      <c r="Z2808" s="8">
        <v>0</v>
      </c>
      <c r="AA2808" s="8">
        <v>5</v>
      </c>
      <c r="AB2808" s="8">
        <v>100</v>
      </c>
      <c r="AC2808" s="8">
        <v>70</v>
      </c>
      <c r="AD2808" s="8">
        <v>0</v>
      </c>
      <c r="AE2808" s="8">
        <v>5</v>
      </c>
      <c r="AF2808" s="8">
        <v>2</v>
      </c>
      <c r="AG2808" s="8"/>
      <c r="AH2808" s="8"/>
      <c r="AI2808" s="8"/>
      <c r="AJ2808" s="8"/>
      <c r="AK2808" s="8"/>
      <c r="AL2808" s="8"/>
      <c r="AM2808" s="8"/>
      <c r="AN2808" s="8"/>
      <c r="AO2808" s="8"/>
      <c r="AP2808" s="8"/>
      <c r="AQ2808" s="8"/>
      <c r="AR2808" s="8"/>
      <c r="AS2808">
        <v>1</v>
      </c>
    </row>
    <row r="2809" ht="12" customHeight="1" spans="1:45">
      <c r="A2809" s="8">
        <v>619125</v>
      </c>
      <c r="B2809" s="8">
        <v>1001</v>
      </c>
      <c r="C2809" s="8">
        <v>6</v>
      </c>
      <c r="D2809" s="8">
        <v>1001</v>
      </c>
      <c r="E2809" s="8" t="s">
        <v>7128</v>
      </c>
      <c r="F2809" s="8" t="s">
        <v>5550</v>
      </c>
      <c r="G2809" s="8" t="s">
        <v>7129</v>
      </c>
      <c r="H2809" s="8" t="s">
        <v>1822</v>
      </c>
      <c r="I2809" s="8">
        <v>1</v>
      </c>
      <c r="J2809" s="8">
        <v>5</v>
      </c>
      <c r="K2809" s="8">
        <v>2</v>
      </c>
      <c r="L2809" s="8">
        <v>999</v>
      </c>
      <c r="M2809" s="8">
        <v>0</v>
      </c>
      <c r="N2809" s="8">
        <v>1018</v>
      </c>
      <c r="O2809" s="8" t="s">
        <v>7130</v>
      </c>
      <c r="P2809" s="8"/>
      <c r="Q2809" s="8"/>
      <c r="R2809" s="8"/>
      <c r="S2809" s="8">
        <v>1</v>
      </c>
      <c r="T2809" s="8">
        <v>5</v>
      </c>
      <c r="U2809" s="8">
        <v>100</v>
      </c>
      <c r="V2809" s="8">
        <v>1</v>
      </c>
      <c r="W2809" s="8">
        <v>1</v>
      </c>
      <c r="X2809" s="8">
        <v>1</v>
      </c>
      <c r="Y2809" s="8">
        <v>0</v>
      </c>
      <c r="Z2809" s="8">
        <v>0</v>
      </c>
      <c r="AA2809" s="8">
        <v>5</v>
      </c>
      <c r="AB2809" s="8">
        <v>2000</v>
      </c>
      <c r="AC2809" s="8">
        <v>56</v>
      </c>
      <c r="AD2809" s="8">
        <v>0</v>
      </c>
      <c r="AE2809" s="8">
        <v>5</v>
      </c>
      <c r="AF2809" s="8">
        <v>2</v>
      </c>
      <c r="AG2809" s="8"/>
      <c r="AH2809" s="8"/>
      <c r="AI2809" s="8"/>
      <c r="AJ2809" s="8"/>
      <c r="AK2809" s="8"/>
      <c r="AL2809" s="8"/>
      <c r="AM2809" s="8"/>
      <c r="AN2809" s="8"/>
      <c r="AO2809" s="8"/>
      <c r="AP2809" s="8"/>
      <c r="AQ2809" s="8"/>
      <c r="AR2809" s="8"/>
      <c r="AS2809">
        <v>1</v>
      </c>
    </row>
    <row r="2810" ht="12" customHeight="1" spans="1:45">
      <c r="A2810" s="8">
        <v>619126</v>
      </c>
      <c r="B2810" s="8">
        <v>1001</v>
      </c>
      <c r="C2810" s="8">
        <v>1</v>
      </c>
      <c r="D2810" s="8">
        <v>1001</v>
      </c>
      <c r="E2810" s="8" t="s">
        <v>6746</v>
      </c>
      <c r="F2810" s="8" t="s">
        <v>6746</v>
      </c>
      <c r="G2810" s="8" t="s">
        <v>7131</v>
      </c>
      <c r="H2810" s="8" t="s">
        <v>6748</v>
      </c>
      <c r="I2810" s="8">
        <v>1</v>
      </c>
      <c r="J2810" s="8">
        <v>2</v>
      </c>
      <c r="K2810" s="8">
        <v>1</v>
      </c>
      <c r="L2810" s="8">
        <v>999</v>
      </c>
      <c r="M2810" s="8">
        <v>0</v>
      </c>
      <c r="N2810" s="8"/>
      <c r="O2810" s="8"/>
      <c r="P2810" s="8"/>
      <c r="Q2810" s="8"/>
      <c r="R2810" s="8"/>
      <c r="S2810" s="8">
        <v>1</v>
      </c>
      <c r="T2810" s="8">
        <v>5</v>
      </c>
      <c r="U2810" s="8">
        <v>50</v>
      </c>
      <c r="V2810" s="8">
        <v>1</v>
      </c>
      <c r="W2810" s="8">
        <v>1</v>
      </c>
      <c r="X2810" s="8">
        <v>1</v>
      </c>
      <c r="Y2810" s="8">
        <v>0</v>
      </c>
      <c r="Z2810" s="8">
        <v>0</v>
      </c>
      <c r="AA2810" s="8">
        <v>5</v>
      </c>
      <c r="AB2810" s="8">
        <v>500</v>
      </c>
      <c r="AC2810" s="8">
        <v>56</v>
      </c>
      <c r="AD2810" s="8"/>
      <c r="AE2810" s="8"/>
      <c r="AF2810" s="8"/>
      <c r="AG2810" s="8"/>
      <c r="AH2810" s="8"/>
      <c r="AI2810" s="8"/>
      <c r="AJ2810" s="8"/>
      <c r="AK2810" s="8"/>
      <c r="AL2810" s="8">
        <v>1</v>
      </c>
      <c r="AM2810" s="8"/>
      <c r="AN2810" s="8"/>
      <c r="AO2810" s="8"/>
      <c r="AP2810" s="8"/>
      <c r="AQ2810" s="8"/>
      <c r="AR2810" s="8"/>
      <c r="AS2810">
        <v>1</v>
      </c>
    </row>
    <row r="2811" ht="12" customHeight="1" spans="1:45">
      <c r="A2811" s="8">
        <v>619127</v>
      </c>
      <c r="B2811" s="8">
        <v>1001</v>
      </c>
      <c r="C2811" s="8">
        <v>1</v>
      </c>
      <c r="D2811" s="8">
        <v>1001</v>
      </c>
      <c r="E2811" s="8" t="s">
        <v>6749</v>
      </c>
      <c r="F2811" s="8" t="s">
        <v>6749</v>
      </c>
      <c r="G2811" s="8" t="s">
        <v>7132</v>
      </c>
      <c r="H2811" s="8" t="s">
        <v>2994</v>
      </c>
      <c r="I2811" s="8">
        <v>1</v>
      </c>
      <c r="J2811" s="8">
        <v>3</v>
      </c>
      <c r="K2811" s="8">
        <v>1</v>
      </c>
      <c r="L2811" s="8">
        <v>999</v>
      </c>
      <c r="M2811" s="8">
        <v>0</v>
      </c>
      <c r="N2811" s="8"/>
      <c r="O2811" s="8"/>
      <c r="P2811" s="8"/>
      <c r="Q2811" s="8"/>
      <c r="R2811" s="8"/>
      <c r="S2811" s="8">
        <v>1</v>
      </c>
      <c r="T2811" s="8">
        <v>5</v>
      </c>
      <c r="U2811" s="8">
        <v>100</v>
      </c>
      <c r="V2811" s="8">
        <v>1</v>
      </c>
      <c r="W2811" s="8">
        <v>1</v>
      </c>
      <c r="X2811" s="8">
        <v>1</v>
      </c>
      <c r="Y2811" s="8">
        <v>0</v>
      </c>
      <c r="Z2811" s="8">
        <v>0</v>
      </c>
      <c r="AA2811" s="8">
        <v>5</v>
      </c>
      <c r="AB2811" s="8">
        <v>1000</v>
      </c>
      <c r="AC2811" s="8">
        <v>56</v>
      </c>
      <c r="AD2811" s="8"/>
      <c r="AE2811" s="8"/>
      <c r="AF2811" s="8"/>
      <c r="AG2811" s="8"/>
      <c r="AH2811" s="8"/>
      <c r="AI2811" s="8"/>
      <c r="AJ2811" s="8"/>
      <c r="AK2811" s="8"/>
      <c r="AL2811" s="8">
        <v>1</v>
      </c>
      <c r="AM2811" s="8"/>
      <c r="AN2811" s="8"/>
      <c r="AO2811" s="8"/>
      <c r="AP2811" s="8"/>
      <c r="AQ2811" s="8"/>
      <c r="AR2811" s="8"/>
      <c r="AS2811">
        <v>1</v>
      </c>
    </row>
    <row r="2812" ht="12" customHeight="1" spans="1:45">
      <c r="A2812" s="236">
        <v>619128</v>
      </c>
      <c r="B2812" s="236">
        <v>1001</v>
      </c>
      <c r="C2812" s="236">
        <v>6</v>
      </c>
      <c r="D2812" s="236">
        <v>1001</v>
      </c>
      <c r="E2812" s="236" t="s">
        <v>6271</v>
      </c>
      <c r="F2812" s="236" t="s">
        <v>6271</v>
      </c>
      <c r="G2812" s="236" t="s">
        <v>7133</v>
      </c>
      <c r="H2812" s="236" t="s">
        <v>6273</v>
      </c>
      <c r="I2812" s="236">
        <v>1</v>
      </c>
      <c r="J2812" s="236">
        <v>4</v>
      </c>
      <c r="K2812" s="236">
        <v>2</v>
      </c>
      <c r="L2812" s="236">
        <v>999</v>
      </c>
      <c r="M2812" s="236">
        <v>0</v>
      </c>
      <c r="N2812" s="236">
        <v>1017</v>
      </c>
      <c r="O2812" s="236">
        <v>100247</v>
      </c>
      <c r="P2812" s="236"/>
      <c r="Q2812" s="236"/>
      <c r="R2812" s="236"/>
      <c r="S2812" s="236">
        <v>1</v>
      </c>
      <c r="T2812" s="236">
        <v>5</v>
      </c>
      <c r="U2812" s="236">
        <v>200</v>
      </c>
      <c r="V2812" s="236">
        <v>1</v>
      </c>
      <c r="W2812" s="236">
        <v>1</v>
      </c>
      <c r="X2812" s="236">
        <v>1</v>
      </c>
      <c r="Y2812" s="236">
        <v>0</v>
      </c>
      <c r="Z2812" s="236">
        <v>0</v>
      </c>
      <c r="AA2812" s="236">
        <v>5</v>
      </c>
      <c r="AB2812" s="236">
        <v>2000</v>
      </c>
      <c r="AC2812" s="236">
        <v>56</v>
      </c>
      <c r="AD2812" s="236">
        <v>0</v>
      </c>
      <c r="AE2812" s="236">
        <v>4</v>
      </c>
      <c r="AF2812" s="236">
        <v>2</v>
      </c>
      <c r="AG2812" s="236"/>
      <c r="AH2812" s="236"/>
      <c r="AI2812" s="236"/>
      <c r="AJ2812" s="236"/>
      <c r="AK2812" s="236"/>
      <c r="AL2812" s="236">
        <v>1</v>
      </c>
      <c r="AM2812" s="236"/>
      <c r="AN2812" s="236"/>
      <c r="AO2812" s="236"/>
      <c r="AP2812" s="236"/>
      <c r="AQ2812" s="236"/>
      <c r="AR2812" s="236"/>
      <c r="AS2812">
        <v>1</v>
      </c>
    </row>
    <row r="2813" ht="12" customHeight="1" spans="1:45">
      <c r="A2813">
        <v>619129</v>
      </c>
      <c r="B2813">
        <v>1001</v>
      </c>
      <c r="C2813">
        <v>6</v>
      </c>
      <c r="D2813">
        <v>1001</v>
      </c>
      <c r="E2813" t="s">
        <v>7134</v>
      </c>
      <c r="F2813" t="s">
        <v>5550</v>
      </c>
      <c r="G2813" t="s">
        <v>7135</v>
      </c>
      <c r="H2813" t="s">
        <v>1822</v>
      </c>
      <c r="I2813">
        <v>1</v>
      </c>
      <c r="J2813">
        <v>5</v>
      </c>
      <c r="K2813" s="33">
        <v>2</v>
      </c>
      <c r="L2813">
        <v>999</v>
      </c>
      <c r="M2813">
        <v>0</v>
      </c>
      <c r="N2813">
        <v>1018</v>
      </c>
      <c r="O2813" s="2" t="s">
        <v>7136</v>
      </c>
      <c r="P2813" s="3"/>
      <c r="Q2813" s="3"/>
      <c r="R2813" s="3"/>
      <c r="S2813" s="33">
        <v>1</v>
      </c>
      <c r="T2813">
        <v>5</v>
      </c>
      <c r="U2813">
        <v>100</v>
      </c>
      <c r="V2813" s="33">
        <v>1</v>
      </c>
      <c r="W2813">
        <v>1</v>
      </c>
      <c r="X2813">
        <v>1</v>
      </c>
      <c r="Y2813">
        <v>0</v>
      </c>
      <c r="Z2813" s="33">
        <v>0</v>
      </c>
      <c r="AA2813">
        <v>5</v>
      </c>
      <c r="AB2813">
        <v>2000</v>
      </c>
      <c r="AC2813">
        <v>56</v>
      </c>
      <c r="AD2813" s="445">
        <v>0</v>
      </c>
      <c r="AE2813" s="445">
        <v>5</v>
      </c>
      <c r="AF2813" s="445">
        <v>2</v>
      </c>
      <c r="AG2813" s="64"/>
      <c r="AH2813" s="64"/>
      <c r="AI2813" s="64"/>
      <c r="AJ2813" s="64"/>
      <c r="AK2813" s="64"/>
      <c r="AQ2813" s="3"/>
      <c r="AR2813" s="3"/>
      <c r="AS2813">
        <v>1</v>
      </c>
    </row>
    <row r="2814" ht="12" customHeight="1" spans="1:45">
      <c r="A2814" s="3">
        <v>619130</v>
      </c>
      <c r="B2814" s="3">
        <v>1001</v>
      </c>
      <c r="C2814" s="3">
        <v>6</v>
      </c>
      <c r="D2814" s="3">
        <v>1001</v>
      </c>
      <c r="E2814" s="3" t="s">
        <v>7137</v>
      </c>
      <c r="F2814" s="3" t="s">
        <v>5550</v>
      </c>
      <c r="G2814" s="3" t="s">
        <v>7138</v>
      </c>
      <c r="H2814" s="3" t="s">
        <v>1822</v>
      </c>
      <c r="I2814" s="3">
        <v>1</v>
      </c>
      <c r="J2814" s="3">
        <v>5</v>
      </c>
      <c r="K2814" s="33">
        <v>2</v>
      </c>
      <c r="L2814" s="3">
        <v>999</v>
      </c>
      <c r="M2814" s="3">
        <v>0</v>
      </c>
      <c r="N2814" s="3">
        <v>1018</v>
      </c>
      <c r="O2814" s="2" t="s">
        <v>7139</v>
      </c>
      <c r="P2814" s="3"/>
      <c r="Q2814" s="3"/>
      <c r="R2814" s="3"/>
      <c r="S2814" s="33">
        <v>1</v>
      </c>
      <c r="T2814" s="3">
        <v>5</v>
      </c>
      <c r="U2814" s="3">
        <v>100</v>
      </c>
      <c r="V2814" s="33">
        <v>1</v>
      </c>
      <c r="W2814" s="3">
        <v>1</v>
      </c>
      <c r="X2814" s="3">
        <v>1</v>
      </c>
      <c r="Y2814" s="3">
        <v>0</v>
      </c>
      <c r="Z2814" s="33">
        <v>0</v>
      </c>
      <c r="AA2814" s="3">
        <v>5</v>
      </c>
      <c r="AB2814" s="3">
        <v>2000</v>
      </c>
      <c r="AC2814" s="3">
        <v>56</v>
      </c>
      <c r="AD2814" s="445">
        <v>0</v>
      </c>
      <c r="AE2814" s="445">
        <v>5</v>
      </c>
      <c r="AF2814" s="445">
        <v>2</v>
      </c>
      <c r="AG2814" s="64"/>
      <c r="AH2814" s="64"/>
      <c r="AI2814" s="64"/>
      <c r="AJ2814" s="64"/>
      <c r="AK2814" s="64"/>
      <c r="AQ2814" s="3"/>
      <c r="AR2814" s="3"/>
      <c r="AS2814">
        <v>1</v>
      </c>
    </row>
    <row r="2815" spans="1:45">
      <c r="A2815" s="3">
        <v>619131</v>
      </c>
      <c r="B2815" s="3">
        <v>1001</v>
      </c>
      <c r="C2815" s="3">
        <v>6</v>
      </c>
      <c r="D2815" s="3">
        <v>1001</v>
      </c>
      <c r="E2815" s="3" t="s">
        <v>7140</v>
      </c>
      <c r="F2815" s="3" t="s">
        <v>5550</v>
      </c>
      <c r="G2815" s="3" t="s">
        <v>7141</v>
      </c>
      <c r="H2815" s="3" t="s">
        <v>1822</v>
      </c>
      <c r="I2815" s="3">
        <v>1</v>
      </c>
      <c r="J2815" s="3">
        <v>5</v>
      </c>
      <c r="K2815" s="33">
        <v>2</v>
      </c>
      <c r="L2815" s="3">
        <v>999</v>
      </c>
      <c r="M2815" s="3">
        <v>0</v>
      </c>
      <c r="N2815" s="3">
        <v>1018</v>
      </c>
      <c r="O2815" s="2" t="s">
        <v>7142</v>
      </c>
      <c r="P2815" s="3"/>
      <c r="Q2815" s="3"/>
      <c r="R2815" s="3"/>
      <c r="S2815" s="33">
        <v>1</v>
      </c>
      <c r="T2815" s="3">
        <v>5</v>
      </c>
      <c r="U2815" s="3">
        <v>100</v>
      </c>
      <c r="V2815" s="33">
        <v>1</v>
      </c>
      <c r="W2815" s="3">
        <v>1</v>
      </c>
      <c r="X2815" s="3">
        <v>1</v>
      </c>
      <c r="Y2815" s="3">
        <v>0</v>
      </c>
      <c r="Z2815" s="33">
        <v>0</v>
      </c>
      <c r="AA2815" s="3">
        <v>5</v>
      </c>
      <c r="AB2815" s="3">
        <v>2000</v>
      </c>
      <c r="AC2815" s="3">
        <v>56</v>
      </c>
      <c r="AD2815" s="445">
        <v>0</v>
      </c>
      <c r="AE2815" s="445">
        <v>5</v>
      </c>
      <c r="AF2815" s="445">
        <v>2</v>
      </c>
      <c r="AG2815" s="64"/>
      <c r="AH2815" s="64"/>
      <c r="AI2815" s="64"/>
      <c r="AJ2815" s="64"/>
      <c r="AK2815" s="64"/>
      <c r="AQ2815" s="3"/>
      <c r="AR2815" s="3"/>
      <c r="AS2815">
        <v>1</v>
      </c>
    </row>
    <row r="2816" spans="1:45">
      <c r="A2816" s="3">
        <v>619132</v>
      </c>
      <c r="B2816" s="3">
        <v>1001</v>
      </c>
      <c r="C2816" s="3">
        <v>6</v>
      </c>
      <c r="D2816" s="3">
        <v>1001</v>
      </c>
      <c r="E2816" s="3" t="s">
        <v>6764</v>
      </c>
      <c r="F2816" s="3" t="s">
        <v>6764</v>
      </c>
      <c r="G2816" s="3" t="s">
        <v>7143</v>
      </c>
      <c r="H2816" s="3" t="s">
        <v>204</v>
      </c>
      <c r="I2816" s="3">
        <v>1</v>
      </c>
      <c r="J2816" s="3">
        <v>5</v>
      </c>
      <c r="K2816" s="33">
        <v>2</v>
      </c>
      <c r="L2816" s="3">
        <v>999</v>
      </c>
      <c r="M2816" s="3">
        <v>0</v>
      </c>
      <c r="N2816" s="3">
        <v>1018</v>
      </c>
      <c r="O2816" s="2" t="s">
        <v>7144</v>
      </c>
      <c r="P2816" s="3"/>
      <c r="Q2816" s="3"/>
      <c r="R2816" s="3"/>
      <c r="S2816" s="33">
        <v>1</v>
      </c>
      <c r="T2816" s="3">
        <v>5</v>
      </c>
      <c r="U2816" s="3">
        <v>10</v>
      </c>
      <c r="V2816" s="33">
        <v>1</v>
      </c>
      <c r="W2816" s="3">
        <v>1</v>
      </c>
      <c r="X2816" s="3">
        <v>1</v>
      </c>
      <c r="Y2816" s="3">
        <v>0</v>
      </c>
      <c r="Z2816" s="33">
        <v>0</v>
      </c>
      <c r="AA2816" s="3">
        <v>5</v>
      </c>
      <c r="AB2816" s="3">
        <v>10000</v>
      </c>
      <c r="AC2816" s="3">
        <v>55</v>
      </c>
      <c r="AD2816" s="62">
        <v>0</v>
      </c>
      <c r="AE2816" s="62">
        <v>5</v>
      </c>
      <c r="AF2816" s="62">
        <v>2</v>
      </c>
      <c r="AL2816" s="64">
        <v>1</v>
      </c>
      <c r="AQ2816" s="3"/>
      <c r="AR2816" s="3"/>
      <c r="AS2816">
        <v>1</v>
      </c>
    </row>
    <row r="2817" spans="1:45">
      <c r="A2817" s="3">
        <v>619133</v>
      </c>
      <c r="B2817" s="3">
        <v>1001</v>
      </c>
      <c r="C2817" s="3">
        <v>6</v>
      </c>
      <c r="D2817" s="3">
        <v>1001</v>
      </c>
      <c r="E2817" s="3" t="s">
        <v>6764</v>
      </c>
      <c r="F2817" s="3" t="s">
        <v>6764</v>
      </c>
      <c r="G2817" s="3" t="s">
        <v>7145</v>
      </c>
      <c r="H2817" s="3" t="s">
        <v>204</v>
      </c>
      <c r="I2817" s="3">
        <v>1</v>
      </c>
      <c r="J2817" s="3">
        <v>5</v>
      </c>
      <c r="K2817" s="33">
        <v>2</v>
      </c>
      <c r="L2817" s="3">
        <v>999</v>
      </c>
      <c r="M2817" s="3">
        <v>0</v>
      </c>
      <c r="N2817" s="3">
        <v>1018</v>
      </c>
      <c r="O2817" s="2" t="s">
        <v>7146</v>
      </c>
      <c r="P2817" s="3"/>
      <c r="Q2817" s="3"/>
      <c r="R2817" s="3"/>
      <c r="S2817" s="33">
        <v>1</v>
      </c>
      <c r="T2817" s="3">
        <v>5</v>
      </c>
      <c r="U2817" s="3">
        <v>10</v>
      </c>
      <c r="V2817" s="33">
        <v>1</v>
      </c>
      <c r="W2817" s="3">
        <v>1</v>
      </c>
      <c r="X2817" s="3">
        <v>1</v>
      </c>
      <c r="Y2817" s="3">
        <v>0</v>
      </c>
      <c r="Z2817" s="33">
        <v>0</v>
      </c>
      <c r="AA2817" s="3">
        <v>5</v>
      </c>
      <c r="AB2817" s="3">
        <v>10000</v>
      </c>
      <c r="AC2817" s="3">
        <v>55</v>
      </c>
      <c r="AD2817" s="62">
        <v>0</v>
      </c>
      <c r="AE2817" s="62">
        <v>5</v>
      </c>
      <c r="AF2817" s="62">
        <v>2</v>
      </c>
      <c r="AL2817" s="64">
        <v>1</v>
      </c>
      <c r="AQ2817" s="3"/>
      <c r="AR2817" s="3"/>
      <c r="AS2817">
        <v>1</v>
      </c>
    </row>
    <row r="2818" spans="1:45">
      <c r="A2818" s="3">
        <v>619134</v>
      </c>
      <c r="B2818" s="3">
        <v>1001</v>
      </c>
      <c r="C2818" s="3">
        <v>2</v>
      </c>
      <c r="D2818" s="3">
        <v>1001</v>
      </c>
      <c r="E2818" s="3" t="s">
        <v>7147</v>
      </c>
      <c r="F2818" s="3" t="s">
        <v>7147</v>
      </c>
      <c r="G2818" s="3" t="s">
        <v>7148</v>
      </c>
      <c r="H2818" s="3" t="s">
        <v>7149</v>
      </c>
      <c r="I2818" s="3">
        <v>1</v>
      </c>
      <c r="J2818" s="3">
        <v>5</v>
      </c>
      <c r="K2818" s="33">
        <v>1</v>
      </c>
      <c r="L2818" s="3">
        <v>999</v>
      </c>
      <c r="M2818" s="3">
        <v>0</v>
      </c>
      <c r="N2818" s="3"/>
      <c r="P2818" s="3"/>
      <c r="Q2818" s="3"/>
      <c r="R2818" s="3"/>
      <c r="S2818" s="33">
        <v>1</v>
      </c>
      <c r="T2818" s="3">
        <v>5</v>
      </c>
      <c r="U2818" s="3">
        <v>1000</v>
      </c>
      <c r="V2818" s="33">
        <v>1</v>
      </c>
      <c r="W2818" s="3">
        <v>1</v>
      </c>
      <c r="X2818" s="3">
        <v>1</v>
      </c>
      <c r="Y2818" s="3">
        <v>0</v>
      </c>
      <c r="Z2818" s="33">
        <v>0</v>
      </c>
      <c r="AA2818" s="3">
        <v>5</v>
      </c>
      <c r="AB2818" s="3">
        <v>8000</v>
      </c>
      <c r="AC2818" s="3">
        <v>832</v>
      </c>
      <c r="AD2818" s="62">
        <v>0</v>
      </c>
      <c r="AE2818" s="62">
        <v>0</v>
      </c>
      <c r="AF2818" s="62">
        <v>0</v>
      </c>
      <c r="AH2818" s="63">
        <v>1</v>
      </c>
      <c r="AL2818" s="64">
        <v>1</v>
      </c>
      <c r="AQ2818" s="3" t="s">
        <v>7147</v>
      </c>
      <c r="AR2818" s="3"/>
      <c r="AS2818">
        <v>1</v>
      </c>
    </row>
    <row r="2819" spans="1:45">
      <c r="A2819" s="3">
        <v>619135</v>
      </c>
      <c r="B2819" s="3">
        <v>1001</v>
      </c>
      <c r="C2819" s="3">
        <v>6</v>
      </c>
      <c r="D2819" s="3">
        <v>1001</v>
      </c>
      <c r="E2819" s="3" t="s">
        <v>6442</v>
      </c>
      <c r="F2819" s="3" t="s">
        <v>6442</v>
      </c>
      <c r="G2819" s="3" t="s">
        <v>7150</v>
      </c>
      <c r="H2819" s="3" t="s">
        <v>1818</v>
      </c>
      <c r="I2819" s="3">
        <v>1</v>
      </c>
      <c r="J2819" s="3">
        <v>5</v>
      </c>
      <c r="K2819" s="33">
        <v>2</v>
      </c>
      <c r="L2819" s="3">
        <v>999</v>
      </c>
      <c r="M2819" s="3">
        <v>0</v>
      </c>
      <c r="N2819" s="3">
        <v>1018</v>
      </c>
      <c r="O2819" s="2" t="s">
        <v>7151</v>
      </c>
      <c r="P2819" s="3"/>
      <c r="Q2819" s="3"/>
      <c r="R2819" s="3"/>
      <c r="S2819" s="33">
        <v>1</v>
      </c>
      <c r="T2819" s="3">
        <v>5</v>
      </c>
      <c r="U2819" s="3">
        <v>200</v>
      </c>
      <c r="V2819" s="33">
        <v>1</v>
      </c>
      <c r="W2819" s="3">
        <v>1</v>
      </c>
      <c r="X2819" s="3">
        <v>1</v>
      </c>
      <c r="Y2819" s="3">
        <v>0</v>
      </c>
      <c r="Z2819" s="33">
        <v>0</v>
      </c>
      <c r="AA2819" s="3">
        <v>5</v>
      </c>
      <c r="AB2819" s="3">
        <v>2000</v>
      </c>
      <c r="AC2819" s="3">
        <v>56</v>
      </c>
      <c r="AD2819" s="62">
        <v>0</v>
      </c>
      <c r="AE2819" s="62">
        <v>5</v>
      </c>
      <c r="AF2819" s="62">
        <v>2</v>
      </c>
      <c r="AQ2819" s="3"/>
      <c r="AR2819" s="3"/>
      <c r="AS2819">
        <v>1</v>
      </c>
    </row>
    <row r="2820" spans="1:45">
      <c r="A2820" s="3">
        <v>619136</v>
      </c>
      <c r="B2820" s="3">
        <v>1001</v>
      </c>
      <c r="C2820" s="3">
        <v>6</v>
      </c>
      <c r="D2820" s="3">
        <v>1001</v>
      </c>
      <c r="E2820" s="3" t="s">
        <v>7152</v>
      </c>
      <c r="F2820" s="3" t="s">
        <v>5550</v>
      </c>
      <c r="G2820" s="3" t="s">
        <v>7153</v>
      </c>
      <c r="H2820" s="3" t="s">
        <v>1822</v>
      </c>
      <c r="I2820" s="3">
        <v>1</v>
      </c>
      <c r="J2820" s="3">
        <v>5</v>
      </c>
      <c r="K2820" s="33">
        <v>2</v>
      </c>
      <c r="L2820" s="3">
        <v>999</v>
      </c>
      <c r="M2820" s="3">
        <v>0</v>
      </c>
      <c r="N2820" s="3">
        <v>1018</v>
      </c>
      <c r="O2820" s="2" t="s">
        <v>7154</v>
      </c>
      <c r="P2820" s="3"/>
      <c r="Q2820" s="3"/>
      <c r="R2820" s="3"/>
      <c r="S2820" s="33">
        <v>1</v>
      </c>
      <c r="T2820" s="3">
        <v>5</v>
      </c>
      <c r="U2820" s="3">
        <v>100</v>
      </c>
      <c r="V2820" s="33">
        <v>1</v>
      </c>
      <c r="W2820" s="3">
        <v>1</v>
      </c>
      <c r="X2820" s="3">
        <v>1</v>
      </c>
      <c r="Y2820" s="3">
        <v>0</v>
      </c>
      <c r="Z2820" s="33">
        <v>0</v>
      </c>
      <c r="AA2820" s="3">
        <v>5</v>
      </c>
      <c r="AB2820" s="3">
        <v>2000</v>
      </c>
      <c r="AC2820" s="3">
        <v>56</v>
      </c>
      <c r="AD2820" s="62">
        <v>0</v>
      </c>
      <c r="AE2820" s="62">
        <v>5</v>
      </c>
      <c r="AF2820" s="62">
        <v>2</v>
      </c>
      <c r="AQ2820" s="3"/>
      <c r="AR2820" s="3"/>
      <c r="AS2820">
        <v>1</v>
      </c>
    </row>
    <row r="2821" spans="1:45">
      <c r="A2821" s="3">
        <v>619137</v>
      </c>
      <c r="B2821" s="3">
        <v>1001</v>
      </c>
      <c r="C2821" s="3">
        <v>6</v>
      </c>
      <c r="D2821" s="3">
        <v>1001</v>
      </c>
      <c r="E2821" s="3" t="s">
        <v>7155</v>
      </c>
      <c r="F2821" s="3" t="s">
        <v>7155</v>
      </c>
      <c r="G2821" s="3" t="s">
        <v>7156</v>
      </c>
      <c r="H2821" s="3" t="s">
        <v>5542</v>
      </c>
      <c r="I2821" s="3">
        <v>1</v>
      </c>
      <c r="J2821" s="3">
        <v>4</v>
      </c>
      <c r="K2821" s="33">
        <v>2</v>
      </c>
      <c r="L2821" s="3">
        <v>999</v>
      </c>
      <c r="M2821" s="3">
        <v>0</v>
      </c>
      <c r="N2821" s="3">
        <v>1017</v>
      </c>
      <c r="O2821" s="2">
        <v>100244</v>
      </c>
      <c r="P2821" s="3"/>
      <c r="Q2821" s="3"/>
      <c r="R2821" s="3"/>
      <c r="S2821" s="33">
        <v>1</v>
      </c>
      <c r="T2821" s="3">
        <v>5</v>
      </c>
      <c r="U2821" s="3">
        <v>200</v>
      </c>
      <c r="V2821" s="33">
        <v>1</v>
      </c>
      <c r="W2821" s="3">
        <v>1</v>
      </c>
      <c r="X2821" s="3">
        <v>1</v>
      </c>
      <c r="Y2821" s="3">
        <v>0</v>
      </c>
      <c r="Z2821" s="33">
        <v>0</v>
      </c>
      <c r="AA2821" s="3">
        <v>5</v>
      </c>
      <c r="AB2821" s="3">
        <f>U2820*10</f>
        <v>1000</v>
      </c>
      <c r="AC2821" s="3">
        <v>56</v>
      </c>
      <c r="AD2821" s="62">
        <v>0</v>
      </c>
      <c r="AE2821" s="62">
        <v>4</v>
      </c>
      <c r="AF2821" s="62">
        <v>2</v>
      </c>
      <c r="AL2821" s="64">
        <v>1</v>
      </c>
      <c r="AQ2821" s="3"/>
      <c r="AR2821" s="3"/>
      <c r="AS2821">
        <v>1</v>
      </c>
    </row>
    <row r="2822" spans="1:45">
      <c r="A2822" s="3">
        <v>619138</v>
      </c>
      <c r="B2822" s="3">
        <v>1001</v>
      </c>
      <c r="C2822" s="3">
        <v>6</v>
      </c>
      <c r="D2822" s="3">
        <v>1001</v>
      </c>
      <c r="E2822" s="3" t="s">
        <v>7157</v>
      </c>
      <c r="F2822" s="3" t="s">
        <v>7157</v>
      </c>
      <c r="G2822" s="3" t="s">
        <v>7158</v>
      </c>
      <c r="H2822" s="3" t="s">
        <v>1931</v>
      </c>
      <c r="I2822" s="3">
        <v>1</v>
      </c>
      <c r="J2822" s="3">
        <v>4</v>
      </c>
      <c r="K2822" s="33">
        <v>2</v>
      </c>
      <c r="L2822" s="3">
        <v>999</v>
      </c>
      <c r="M2822" s="3">
        <v>0</v>
      </c>
      <c r="N2822" s="3">
        <v>1017</v>
      </c>
      <c r="O2822" s="2">
        <v>100245</v>
      </c>
      <c r="P2822" s="3"/>
      <c r="Q2822" s="3"/>
      <c r="R2822" s="3"/>
      <c r="S2822" s="33">
        <v>1</v>
      </c>
      <c r="T2822" s="3">
        <v>5</v>
      </c>
      <c r="U2822" s="3">
        <v>200</v>
      </c>
      <c r="V2822" s="33">
        <v>1</v>
      </c>
      <c r="W2822" s="3">
        <v>1</v>
      </c>
      <c r="X2822" s="3">
        <v>1</v>
      </c>
      <c r="Y2822" s="3">
        <v>0</v>
      </c>
      <c r="Z2822" s="33">
        <v>0</v>
      </c>
      <c r="AA2822" s="3">
        <v>5</v>
      </c>
      <c r="AB2822" s="3">
        <f>U2821*10</f>
        <v>2000</v>
      </c>
      <c r="AC2822" s="3">
        <v>56</v>
      </c>
      <c r="AD2822" s="62">
        <v>0</v>
      </c>
      <c r="AE2822" s="62">
        <v>4</v>
      </c>
      <c r="AF2822" s="62">
        <v>2</v>
      </c>
      <c r="AL2822" s="64">
        <v>1</v>
      </c>
      <c r="AQ2822" s="3"/>
      <c r="AR2822" s="3"/>
      <c r="AS2822">
        <v>1</v>
      </c>
    </row>
    <row r="2823" spans="1:45">
      <c r="A2823" s="3">
        <v>619139</v>
      </c>
      <c r="B2823" s="3">
        <v>1001</v>
      </c>
      <c r="C2823" s="3">
        <v>6</v>
      </c>
      <c r="D2823" s="3">
        <v>1001</v>
      </c>
      <c r="E2823" s="3" t="s">
        <v>7159</v>
      </c>
      <c r="F2823" s="3" t="s">
        <v>5550</v>
      </c>
      <c r="G2823" s="3" t="s">
        <v>7160</v>
      </c>
      <c r="H2823" s="3" t="s">
        <v>1822</v>
      </c>
      <c r="I2823" s="3">
        <v>1</v>
      </c>
      <c r="J2823" s="3">
        <v>5</v>
      </c>
      <c r="K2823" s="33">
        <v>2</v>
      </c>
      <c r="L2823" s="3">
        <v>999</v>
      </c>
      <c r="M2823" s="3">
        <v>0</v>
      </c>
      <c r="N2823" s="3">
        <v>1018</v>
      </c>
      <c r="O2823" s="2" t="s">
        <v>7161</v>
      </c>
      <c r="P2823" s="3"/>
      <c r="Q2823" s="3"/>
      <c r="R2823" s="3"/>
      <c r="S2823" s="33">
        <v>1</v>
      </c>
      <c r="T2823" s="3">
        <v>5</v>
      </c>
      <c r="U2823" s="3">
        <v>100</v>
      </c>
      <c r="V2823" s="33">
        <v>1</v>
      </c>
      <c r="W2823" s="3">
        <v>1</v>
      </c>
      <c r="X2823" s="3">
        <v>1</v>
      </c>
      <c r="Y2823" s="3">
        <v>0</v>
      </c>
      <c r="Z2823" s="33">
        <v>0</v>
      </c>
      <c r="AA2823" s="3">
        <v>5</v>
      </c>
      <c r="AB2823" s="3">
        <v>2000</v>
      </c>
      <c r="AC2823" s="3">
        <v>56</v>
      </c>
      <c r="AD2823" s="62">
        <v>0</v>
      </c>
      <c r="AE2823" s="62">
        <v>5</v>
      </c>
      <c r="AF2823" s="62">
        <v>2</v>
      </c>
      <c r="AQ2823" s="3"/>
      <c r="AR2823" s="3"/>
      <c r="AS2823">
        <v>1</v>
      </c>
    </row>
    <row r="2824" spans="1:45">
      <c r="A2824" s="3">
        <v>619140</v>
      </c>
      <c r="B2824" s="3">
        <v>1001</v>
      </c>
      <c r="C2824" s="3">
        <v>1</v>
      </c>
      <c r="D2824" s="3">
        <v>1001</v>
      </c>
      <c r="E2824" s="3" t="s">
        <v>7162</v>
      </c>
      <c r="F2824" s="3" t="s">
        <v>7162</v>
      </c>
      <c r="G2824" s="3" t="s">
        <v>7163</v>
      </c>
      <c r="H2824" s="3" t="s">
        <v>1812</v>
      </c>
      <c r="I2824" s="3">
        <v>1</v>
      </c>
      <c r="J2824" s="3">
        <v>2</v>
      </c>
      <c r="K2824" s="33">
        <v>1</v>
      </c>
      <c r="L2824" s="3">
        <v>999</v>
      </c>
      <c r="M2824" s="3">
        <v>0</v>
      </c>
      <c r="N2824" s="3"/>
      <c r="P2824" s="3"/>
      <c r="Q2824" s="3"/>
      <c r="R2824" s="3"/>
      <c r="S2824" s="33">
        <v>1</v>
      </c>
      <c r="T2824" s="3">
        <v>5</v>
      </c>
      <c r="U2824" s="3">
        <v>50</v>
      </c>
      <c r="V2824" s="33">
        <v>1</v>
      </c>
      <c r="W2824" s="3">
        <v>1</v>
      </c>
      <c r="X2824" s="3">
        <v>1</v>
      </c>
      <c r="Y2824" s="3">
        <v>0</v>
      </c>
      <c r="Z2824" s="33">
        <v>0</v>
      </c>
      <c r="AA2824" s="3">
        <v>5</v>
      </c>
      <c r="AB2824" s="3">
        <v>500</v>
      </c>
      <c r="AC2824" s="3">
        <v>56</v>
      </c>
      <c r="AL2824" s="64">
        <v>1</v>
      </c>
      <c r="AQ2824" s="3"/>
      <c r="AR2824" s="3"/>
      <c r="AS2824">
        <v>1</v>
      </c>
    </row>
    <row r="2825" spans="1:45">
      <c r="A2825" s="3">
        <v>619141</v>
      </c>
      <c r="B2825" s="3">
        <v>1001</v>
      </c>
      <c r="C2825" s="3">
        <v>1</v>
      </c>
      <c r="D2825" s="3">
        <v>1001</v>
      </c>
      <c r="E2825" s="3" t="s">
        <v>7164</v>
      </c>
      <c r="F2825" s="3" t="s">
        <v>7164</v>
      </c>
      <c r="G2825" s="3" t="s">
        <v>7165</v>
      </c>
      <c r="H2825" s="3" t="s">
        <v>5477</v>
      </c>
      <c r="I2825" s="3">
        <v>1</v>
      </c>
      <c r="J2825" s="3">
        <v>3</v>
      </c>
      <c r="K2825" s="33">
        <v>1</v>
      </c>
      <c r="L2825" s="3">
        <v>999</v>
      </c>
      <c r="M2825" s="3">
        <v>0</v>
      </c>
      <c r="N2825" s="3"/>
      <c r="P2825" s="3"/>
      <c r="Q2825" s="3"/>
      <c r="R2825" s="3"/>
      <c r="S2825" s="33">
        <v>1</v>
      </c>
      <c r="T2825" s="3">
        <v>5</v>
      </c>
      <c r="U2825" s="3">
        <v>100</v>
      </c>
      <c r="V2825" s="33">
        <v>1</v>
      </c>
      <c r="W2825" s="3">
        <v>1</v>
      </c>
      <c r="X2825" s="3">
        <v>1</v>
      </c>
      <c r="Y2825" s="3">
        <v>0</v>
      </c>
      <c r="Z2825" s="33">
        <v>0</v>
      </c>
      <c r="AA2825" s="3">
        <v>5</v>
      </c>
      <c r="AB2825" s="3">
        <v>1000</v>
      </c>
      <c r="AC2825" s="3">
        <v>56</v>
      </c>
      <c r="AL2825" s="64">
        <v>1</v>
      </c>
      <c r="AQ2825" s="3"/>
      <c r="AR2825" s="3"/>
      <c r="AS2825">
        <v>1</v>
      </c>
    </row>
    <row r="2826" spans="1:45">
      <c r="A2826" s="3">
        <v>619142</v>
      </c>
      <c r="B2826" s="3">
        <v>1001</v>
      </c>
      <c r="C2826" s="3">
        <v>6</v>
      </c>
      <c r="D2826" s="3">
        <v>1001</v>
      </c>
      <c r="E2826" s="3" t="s">
        <v>7166</v>
      </c>
      <c r="F2826" s="3" t="s">
        <v>7166</v>
      </c>
      <c r="G2826" s="3" t="s">
        <v>7167</v>
      </c>
      <c r="H2826" s="3" t="s">
        <v>1564</v>
      </c>
      <c r="I2826" s="3">
        <v>1</v>
      </c>
      <c r="J2826" s="3">
        <v>4</v>
      </c>
      <c r="K2826" s="33">
        <v>2</v>
      </c>
      <c r="L2826" s="3">
        <v>999</v>
      </c>
      <c r="M2826" s="3">
        <v>0</v>
      </c>
      <c r="N2826" s="3">
        <v>1017</v>
      </c>
      <c r="O2826" s="2">
        <v>100247</v>
      </c>
      <c r="P2826" s="3"/>
      <c r="Q2826" s="3"/>
      <c r="R2826" s="3"/>
      <c r="S2826" s="33">
        <v>1</v>
      </c>
      <c r="T2826" s="3">
        <v>5</v>
      </c>
      <c r="U2826" s="3">
        <v>200</v>
      </c>
      <c r="V2826" s="33">
        <v>1</v>
      </c>
      <c r="W2826" s="3">
        <v>1</v>
      </c>
      <c r="X2826" s="3">
        <v>1</v>
      </c>
      <c r="Y2826" s="3">
        <v>0</v>
      </c>
      <c r="Z2826" s="33">
        <v>0</v>
      </c>
      <c r="AA2826" s="3">
        <v>5</v>
      </c>
      <c r="AB2826" s="3">
        <v>2000</v>
      </c>
      <c r="AC2826" s="3">
        <v>56</v>
      </c>
      <c r="AD2826" s="62">
        <v>0</v>
      </c>
      <c r="AE2826" s="62">
        <v>4</v>
      </c>
      <c r="AF2826" s="62">
        <v>2</v>
      </c>
      <c r="AL2826" s="64">
        <v>1</v>
      </c>
      <c r="AQ2826" s="3"/>
      <c r="AR2826" s="3"/>
      <c r="AS2826">
        <v>1</v>
      </c>
    </row>
    <row r="2827" spans="1:45">
      <c r="A2827" s="3">
        <v>619143</v>
      </c>
      <c r="B2827" s="3">
        <v>1001</v>
      </c>
      <c r="C2827" s="3">
        <v>6</v>
      </c>
      <c r="D2827" s="3">
        <v>1001</v>
      </c>
      <c r="E2827" s="3" t="s">
        <v>7168</v>
      </c>
      <c r="F2827" s="3" t="s">
        <v>5550</v>
      </c>
      <c r="G2827" s="3" t="s">
        <v>7169</v>
      </c>
      <c r="H2827" s="3" t="s">
        <v>1822</v>
      </c>
      <c r="I2827" s="3">
        <v>1</v>
      </c>
      <c r="J2827" s="3">
        <v>5</v>
      </c>
      <c r="K2827" s="33">
        <v>2</v>
      </c>
      <c r="L2827" s="3">
        <v>999</v>
      </c>
      <c r="M2827" s="3">
        <v>0</v>
      </c>
      <c r="N2827" s="3">
        <v>1018</v>
      </c>
      <c r="O2827" s="2" t="s">
        <v>7170</v>
      </c>
      <c r="P2827" s="3"/>
      <c r="Q2827" s="3"/>
      <c r="R2827" s="3"/>
      <c r="S2827" s="33">
        <v>1</v>
      </c>
      <c r="T2827" s="3">
        <v>5</v>
      </c>
      <c r="U2827" s="3">
        <v>100</v>
      </c>
      <c r="V2827" s="33">
        <v>1</v>
      </c>
      <c r="W2827" s="3">
        <v>1</v>
      </c>
      <c r="X2827" s="3">
        <v>1</v>
      </c>
      <c r="Y2827" s="3">
        <v>0</v>
      </c>
      <c r="Z2827" s="33">
        <v>0</v>
      </c>
      <c r="AA2827" s="3">
        <v>5</v>
      </c>
      <c r="AB2827" s="3">
        <v>2000</v>
      </c>
      <c r="AC2827" s="3">
        <v>56</v>
      </c>
      <c r="AD2827" s="62">
        <v>0</v>
      </c>
      <c r="AE2827" s="62">
        <v>5</v>
      </c>
      <c r="AF2827" s="62">
        <v>2</v>
      </c>
      <c r="AQ2827" s="3"/>
      <c r="AR2827" s="3"/>
      <c r="AS2827">
        <v>1</v>
      </c>
    </row>
    <row r="2828" ht="12.95" customHeight="1" spans="1:45">
      <c r="A2828" s="3">
        <v>619144</v>
      </c>
      <c r="B2828" s="3">
        <v>1001</v>
      </c>
      <c r="C2828" s="3">
        <v>6</v>
      </c>
      <c r="D2828" s="3">
        <v>1001</v>
      </c>
      <c r="E2828" s="3" t="s">
        <v>7171</v>
      </c>
      <c r="F2828" s="3" t="s">
        <v>5550</v>
      </c>
      <c r="G2828" s="3" t="s">
        <v>7172</v>
      </c>
      <c r="H2828" s="3" t="s">
        <v>1822</v>
      </c>
      <c r="I2828" s="3">
        <v>1</v>
      </c>
      <c r="J2828" s="3">
        <v>5</v>
      </c>
      <c r="K2828" s="33">
        <v>2</v>
      </c>
      <c r="L2828" s="3">
        <v>999</v>
      </c>
      <c r="M2828" s="3">
        <v>0</v>
      </c>
      <c r="N2828" s="3">
        <v>1018</v>
      </c>
      <c r="O2828" s="2" t="s">
        <v>7173</v>
      </c>
      <c r="P2828" s="3"/>
      <c r="Q2828" s="3"/>
      <c r="R2828" s="3"/>
      <c r="S2828" s="33">
        <v>1</v>
      </c>
      <c r="T2828" s="3">
        <v>5</v>
      </c>
      <c r="U2828" s="3">
        <v>100</v>
      </c>
      <c r="V2828" s="33">
        <v>1</v>
      </c>
      <c r="W2828" s="3">
        <v>1</v>
      </c>
      <c r="X2828" s="3">
        <v>1</v>
      </c>
      <c r="Y2828" s="3">
        <v>0</v>
      </c>
      <c r="Z2828" s="33">
        <v>0</v>
      </c>
      <c r="AA2828" s="3">
        <v>5</v>
      </c>
      <c r="AB2828" s="3">
        <v>2000</v>
      </c>
      <c r="AC2828" s="3">
        <v>56</v>
      </c>
      <c r="AD2828" s="62">
        <v>0</v>
      </c>
      <c r="AE2828" s="62">
        <v>5</v>
      </c>
      <c r="AF2828" s="62">
        <v>2</v>
      </c>
      <c r="AQ2828" s="3"/>
      <c r="AR2828" s="3"/>
      <c r="AS2828">
        <v>1</v>
      </c>
    </row>
    <row r="2829" spans="1:45">
      <c r="A2829" s="3">
        <v>619145</v>
      </c>
      <c r="B2829" s="3">
        <v>1001</v>
      </c>
      <c r="C2829" s="3">
        <v>6</v>
      </c>
      <c r="D2829" s="3">
        <v>1001</v>
      </c>
      <c r="E2829" s="3" t="s">
        <v>7174</v>
      </c>
      <c r="F2829" s="3" t="s">
        <v>7175</v>
      </c>
      <c r="G2829" s="3" t="s">
        <v>7176</v>
      </c>
      <c r="H2829" s="3" t="s">
        <v>1531</v>
      </c>
      <c r="I2829" s="3">
        <v>1</v>
      </c>
      <c r="J2829" s="3">
        <v>5</v>
      </c>
      <c r="K2829" s="33">
        <v>2</v>
      </c>
      <c r="L2829" s="3">
        <v>999</v>
      </c>
      <c r="M2829" s="3">
        <v>0</v>
      </c>
      <c r="N2829" s="3">
        <v>1018</v>
      </c>
      <c r="O2829" s="2" t="s">
        <v>7177</v>
      </c>
      <c r="P2829" s="3"/>
      <c r="Q2829" s="3"/>
      <c r="R2829" s="3"/>
      <c r="S2829" s="33">
        <v>1</v>
      </c>
      <c r="T2829" s="3">
        <v>5</v>
      </c>
      <c r="U2829" s="3">
        <v>100</v>
      </c>
      <c r="V2829" s="33">
        <v>1</v>
      </c>
      <c r="W2829" s="3">
        <v>1</v>
      </c>
      <c r="X2829" s="3">
        <v>1</v>
      </c>
      <c r="Y2829" s="3">
        <v>0</v>
      </c>
      <c r="Z2829" s="33">
        <v>0</v>
      </c>
      <c r="AA2829" s="3">
        <v>5</v>
      </c>
      <c r="AB2829" s="3">
        <v>2000</v>
      </c>
      <c r="AC2829" s="3">
        <v>56</v>
      </c>
      <c r="AD2829" s="62">
        <v>0</v>
      </c>
      <c r="AE2829" s="62">
        <v>5</v>
      </c>
      <c r="AF2829" s="62">
        <v>2</v>
      </c>
      <c r="AQ2829" s="3"/>
      <c r="AR2829" s="3"/>
      <c r="AS2829">
        <v>1</v>
      </c>
    </row>
    <row r="2830" spans="1:45">
      <c r="A2830" s="3">
        <v>619146</v>
      </c>
      <c r="B2830" s="3">
        <v>1001</v>
      </c>
      <c r="C2830" s="3">
        <v>6</v>
      </c>
      <c r="D2830" s="3">
        <v>1001</v>
      </c>
      <c r="E2830" s="3" t="s">
        <v>7178</v>
      </c>
      <c r="F2830" s="3" t="s">
        <v>7175</v>
      </c>
      <c r="G2830" s="3" t="s">
        <v>7179</v>
      </c>
      <c r="H2830" s="3" t="s">
        <v>1531</v>
      </c>
      <c r="I2830" s="3">
        <v>1</v>
      </c>
      <c r="J2830" s="3">
        <v>5</v>
      </c>
      <c r="K2830" s="33">
        <v>2</v>
      </c>
      <c r="L2830" s="3">
        <v>999</v>
      </c>
      <c r="M2830" s="3">
        <v>0</v>
      </c>
      <c r="N2830" s="3">
        <v>1018</v>
      </c>
      <c r="O2830" s="2" t="s">
        <v>7180</v>
      </c>
      <c r="P2830" s="3"/>
      <c r="Q2830" s="3"/>
      <c r="R2830" s="3"/>
      <c r="S2830" s="33">
        <v>1</v>
      </c>
      <c r="T2830" s="3">
        <v>5</v>
      </c>
      <c r="U2830" s="3">
        <v>100</v>
      </c>
      <c r="V2830" s="33">
        <v>1</v>
      </c>
      <c r="W2830" s="3">
        <v>1</v>
      </c>
      <c r="X2830" s="3">
        <v>1</v>
      </c>
      <c r="Y2830" s="3">
        <v>0</v>
      </c>
      <c r="Z2830" s="33">
        <v>0</v>
      </c>
      <c r="AA2830" s="3">
        <v>5</v>
      </c>
      <c r="AB2830" s="3">
        <v>2000</v>
      </c>
      <c r="AC2830" s="3">
        <v>56</v>
      </c>
      <c r="AD2830" s="62">
        <v>0</v>
      </c>
      <c r="AE2830" s="62">
        <v>5</v>
      </c>
      <c r="AF2830" s="62">
        <v>2</v>
      </c>
      <c r="AQ2830" s="3"/>
      <c r="AR2830" s="3"/>
      <c r="AS2830">
        <v>1</v>
      </c>
    </row>
    <row r="2831" s="3" customFormat="1" ht="12" customHeight="1" spans="1:45">
      <c r="A2831" s="3">
        <v>619147</v>
      </c>
      <c r="B2831" s="3">
        <v>1001</v>
      </c>
      <c r="C2831" s="3">
        <v>1</v>
      </c>
      <c r="D2831" s="3">
        <v>1001</v>
      </c>
      <c r="E2831" s="3" t="s">
        <v>7181</v>
      </c>
      <c r="F2831" s="3" t="s">
        <v>7181</v>
      </c>
      <c r="G2831" s="3" t="s">
        <v>7182</v>
      </c>
      <c r="H2831" s="3" t="s">
        <v>6721</v>
      </c>
      <c r="I2831" s="3">
        <v>1</v>
      </c>
      <c r="J2831" s="3">
        <v>2</v>
      </c>
      <c r="K2831" s="33">
        <v>1</v>
      </c>
      <c r="L2831" s="3">
        <v>999</v>
      </c>
      <c r="M2831" s="3">
        <v>0</v>
      </c>
      <c r="N2831" s="3"/>
      <c r="O2831" s="2"/>
      <c r="P2831" s="3"/>
      <c r="Q2831" s="3"/>
      <c r="R2831" s="3"/>
      <c r="S2831" s="33">
        <v>1</v>
      </c>
      <c r="T2831" s="3">
        <v>5</v>
      </c>
      <c r="U2831" s="3">
        <v>50</v>
      </c>
      <c r="V2831" s="33">
        <v>1</v>
      </c>
      <c r="W2831" s="3">
        <v>1</v>
      </c>
      <c r="X2831" s="3">
        <v>1</v>
      </c>
      <c r="Y2831" s="3">
        <v>0</v>
      </c>
      <c r="Z2831" s="33">
        <v>0</v>
      </c>
      <c r="AA2831" s="3">
        <v>5</v>
      </c>
      <c r="AB2831" s="3">
        <v>500</v>
      </c>
      <c r="AC2831" s="3">
        <v>56</v>
      </c>
      <c r="AD2831" s="445"/>
      <c r="AE2831" s="445"/>
      <c r="AF2831" s="445"/>
      <c r="AG2831" s="64"/>
      <c r="AH2831" s="64"/>
      <c r="AI2831" s="64"/>
      <c r="AJ2831" s="64"/>
      <c r="AK2831" s="64"/>
      <c r="AL2831" s="64">
        <v>1</v>
      </c>
      <c r="AM2831" s="64"/>
      <c r="AN2831" s="65"/>
      <c r="AO2831" s="64"/>
      <c r="AP2831" s="64"/>
      <c r="AQ2831" s="3"/>
      <c r="AR2831" s="3"/>
      <c r="AS2831">
        <v>1</v>
      </c>
    </row>
    <row r="2832" s="3" customFormat="1" ht="12" customHeight="1" spans="1:45">
      <c r="A2832" s="3">
        <v>619148</v>
      </c>
      <c r="B2832" s="3">
        <v>1001</v>
      </c>
      <c r="C2832" s="3">
        <v>1</v>
      </c>
      <c r="D2832" s="3">
        <v>1001</v>
      </c>
      <c r="E2832" s="3" t="s">
        <v>7183</v>
      </c>
      <c r="F2832" s="3" t="s">
        <v>7183</v>
      </c>
      <c r="G2832" s="3" t="s">
        <v>7184</v>
      </c>
      <c r="H2832" s="3" t="s">
        <v>6724</v>
      </c>
      <c r="I2832" s="3">
        <v>1</v>
      </c>
      <c r="J2832" s="3">
        <v>3</v>
      </c>
      <c r="K2832" s="33">
        <v>1</v>
      </c>
      <c r="L2832" s="3">
        <v>999</v>
      </c>
      <c r="M2832" s="3">
        <v>0</v>
      </c>
      <c r="N2832" s="3"/>
      <c r="O2832" s="2"/>
      <c r="S2832" s="33">
        <v>1</v>
      </c>
      <c r="T2832" s="3">
        <v>5</v>
      </c>
      <c r="U2832" s="3">
        <v>100</v>
      </c>
      <c r="V2832" s="33">
        <v>1</v>
      </c>
      <c r="W2832" s="3">
        <v>1</v>
      </c>
      <c r="X2832" s="3">
        <v>1</v>
      </c>
      <c r="Y2832" s="3">
        <v>0</v>
      </c>
      <c r="Z2832" s="33">
        <v>0</v>
      </c>
      <c r="AA2832" s="3">
        <v>5</v>
      </c>
      <c r="AB2832" s="3">
        <v>1000</v>
      </c>
      <c r="AC2832" s="3">
        <v>56</v>
      </c>
      <c r="AD2832" s="445"/>
      <c r="AE2832" s="445"/>
      <c r="AF2832" s="445"/>
      <c r="AG2832" s="64"/>
      <c r="AH2832" s="64"/>
      <c r="AI2832" s="64"/>
      <c r="AJ2832" s="64"/>
      <c r="AK2832" s="64"/>
      <c r="AL2832" s="64">
        <v>1</v>
      </c>
      <c r="AM2832" s="64"/>
      <c r="AN2832" s="65"/>
      <c r="AO2832" s="64"/>
      <c r="AP2832" s="64"/>
      <c r="AS2832" s="3">
        <v>1</v>
      </c>
    </row>
    <row r="2833" s="3" customFormat="1" ht="12" customHeight="1" spans="1:45">
      <c r="A2833" s="3">
        <v>619149</v>
      </c>
      <c r="B2833" s="3">
        <v>1001</v>
      </c>
      <c r="C2833" s="3">
        <v>6</v>
      </c>
      <c r="D2833" s="3">
        <v>1001</v>
      </c>
      <c r="E2833" s="3" t="s">
        <v>7185</v>
      </c>
      <c r="F2833" s="3" t="s">
        <v>7185</v>
      </c>
      <c r="G2833" s="3" t="s">
        <v>6696</v>
      </c>
      <c r="H2833" s="3" t="s">
        <v>1564</v>
      </c>
      <c r="I2833" s="3">
        <v>1</v>
      </c>
      <c r="J2833" s="3">
        <v>4</v>
      </c>
      <c r="K2833" s="33">
        <v>2</v>
      </c>
      <c r="L2833" s="3">
        <v>999</v>
      </c>
      <c r="M2833" s="3">
        <v>0</v>
      </c>
      <c r="N2833" s="3">
        <v>1017</v>
      </c>
      <c r="O2833" s="2">
        <v>100247</v>
      </c>
      <c r="S2833" s="33">
        <v>1</v>
      </c>
      <c r="T2833" s="3">
        <v>5</v>
      </c>
      <c r="U2833" s="3">
        <v>200</v>
      </c>
      <c r="V2833" s="33">
        <v>1</v>
      </c>
      <c r="W2833" s="3">
        <v>1</v>
      </c>
      <c r="X2833" s="3">
        <v>1</v>
      </c>
      <c r="Y2833" s="3">
        <v>0</v>
      </c>
      <c r="Z2833" s="33">
        <v>0</v>
      </c>
      <c r="AA2833" s="3">
        <v>5</v>
      </c>
      <c r="AB2833" s="3">
        <v>2000</v>
      </c>
      <c r="AC2833" s="3">
        <v>56</v>
      </c>
      <c r="AD2833" s="445">
        <v>0</v>
      </c>
      <c r="AE2833" s="445">
        <v>4</v>
      </c>
      <c r="AF2833" s="445">
        <v>2</v>
      </c>
      <c r="AG2833" s="64"/>
      <c r="AH2833" s="64"/>
      <c r="AI2833" s="64"/>
      <c r="AJ2833" s="64"/>
      <c r="AK2833" s="64"/>
      <c r="AL2833" s="64">
        <v>1</v>
      </c>
      <c r="AM2833" s="64"/>
      <c r="AN2833" s="65"/>
      <c r="AO2833" s="64"/>
      <c r="AP2833" s="64"/>
      <c r="AS2833" s="3">
        <v>1</v>
      </c>
    </row>
    <row r="2834" s="3" customFormat="1" spans="1:45">
      <c r="A2834" s="3">
        <v>619150</v>
      </c>
      <c r="B2834" s="339">
        <v>1001</v>
      </c>
      <c r="C2834" s="339">
        <v>6</v>
      </c>
      <c r="D2834" s="339">
        <v>1001</v>
      </c>
      <c r="E2834" s="339" t="s">
        <v>5749</v>
      </c>
      <c r="F2834" s="339" t="s">
        <v>5749</v>
      </c>
      <c r="G2834" s="339" t="s">
        <v>7186</v>
      </c>
      <c r="H2834" s="339" t="s">
        <v>204</v>
      </c>
      <c r="I2834" s="339">
        <v>1</v>
      </c>
      <c r="J2834" s="339">
        <v>5</v>
      </c>
      <c r="K2834" s="254">
        <v>2</v>
      </c>
      <c r="L2834" s="339">
        <v>999</v>
      </c>
      <c r="M2834" s="339">
        <v>0</v>
      </c>
      <c r="N2834" s="339">
        <v>1018</v>
      </c>
      <c r="O2834" s="258" t="s">
        <v>7187</v>
      </c>
      <c r="P2834" s="8"/>
      <c r="Q2834" s="8"/>
      <c r="R2834" s="8"/>
      <c r="S2834" s="254">
        <v>1</v>
      </c>
      <c r="T2834" s="339">
        <v>5</v>
      </c>
      <c r="U2834" s="339">
        <v>1</v>
      </c>
      <c r="V2834" s="254">
        <v>1</v>
      </c>
      <c r="W2834" s="339">
        <v>1</v>
      </c>
      <c r="X2834" s="339">
        <v>1</v>
      </c>
      <c r="Y2834" s="339">
        <v>0</v>
      </c>
      <c r="Z2834" s="254">
        <v>0</v>
      </c>
      <c r="AA2834" s="339">
        <v>5</v>
      </c>
      <c r="AB2834" s="339">
        <v>100</v>
      </c>
      <c r="AC2834" s="339">
        <v>70</v>
      </c>
      <c r="AD2834" s="468">
        <v>0</v>
      </c>
      <c r="AE2834" s="468">
        <v>5</v>
      </c>
      <c r="AF2834" s="468">
        <v>2</v>
      </c>
      <c r="AG2834" s="256"/>
      <c r="AH2834" s="256"/>
      <c r="AI2834" s="256"/>
      <c r="AJ2834" s="256"/>
      <c r="AK2834" s="256"/>
      <c r="AL2834" s="256"/>
      <c r="AM2834" s="256"/>
      <c r="AN2834" s="424"/>
      <c r="AO2834" s="256"/>
      <c r="AP2834" s="256"/>
      <c r="AQ2834" s="8"/>
      <c r="AR2834" s="8"/>
      <c r="AS2834" s="3">
        <v>1</v>
      </c>
    </row>
    <row r="2835" s="3" customFormat="1" spans="1:45">
      <c r="A2835" s="3">
        <v>619151</v>
      </c>
      <c r="B2835" s="236">
        <v>1001</v>
      </c>
      <c r="C2835" s="236">
        <v>6</v>
      </c>
      <c r="D2835" s="236">
        <v>1001</v>
      </c>
      <c r="E2835" s="236" t="s">
        <v>7188</v>
      </c>
      <c r="F2835" s="236" t="s">
        <v>6280</v>
      </c>
      <c r="G2835" s="236" t="s">
        <v>7189</v>
      </c>
      <c r="H2835" s="236" t="s">
        <v>204</v>
      </c>
      <c r="I2835" s="236">
        <v>1</v>
      </c>
      <c r="J2835" s="236">
        <v>5</v>
      </c>
      <c r="K2835" s="236">
        <v>2</v>
      </c>
      <c r="L2835" s="236">
        <v>999</v>
      </c>
      <c r="M2835" s="236">
        <v>0</v>
      </c>
      <c r="N2835" s="236">
        <v>1018</v>
      </c>
      <c r="O2835" s="236" t="s">
        <v>7190</v>
      </c>
      <c r="P2835" s="236"/>
      <c r="Q2835" s="236"/>
      <c r="R2835" s="236"/>
      <c r="S2835" s="236">
        <v>1</v>
      </c>
      <c r="T2835" s="236">
        <v>5</v>
      </c>
      <c r="U2835" s="236">
        <v>1</v>
      </c>
      <c r="V2835" s="236">
        <v>1</v>
      </c>
      <c r="W2835" s="236">
        <v>1</v>
      </c>
      <c r="X2835" s="236">
        <v>1</v>
      </c>
      <c r="Y2835" s="236">
        <v>0</v>
      </c>
      <c r="Z2835" s="236">
        <v>0</v>
      </c>
      <c r="AA2835" s="236">
        <v>5</v>
      </c>
      <c r="AB2835" s="236">
        <v>100</v>
      </c>
      <c r="AC2835" s="236">
        <v>70</v>
      </c>
      <c r="AD2835" s="456">
        <v>0</v>
      </c>
      <c r="AE2835" s="456">
        <v>5</v>
      </c>
      <c r="AF2835" s="456">
        <v>2</v>
      </c>
      <c r="AG2835" s="456"/>
      <c r="AH2835" s="456"/>
      <c r="AI2835" s="456"/>
      <c r="AJ2835" s="456"/>
      <c r="AK2835" s="456"/>
      <c r="AL2835" s="236"/>
      <c r="AM2835" s="236"/>
      <c r="AN2835" s="236"/>
      <c r="AO2835" s="236"/>
      <c r="AP2835" s="236"/>
      <c r="AQ2835" s="236"/>
      <c r="AR2835" s="236"/>
      <c r="AS2835" s="3">
        <v>1</v>
      </c>
    </row>
    <row r="2836" s="3" customFormat="1" spans="1:45">
      <c r="A2836" s="3">
        <v>619152</v>
      </c>
      <c r="B2836" s="3">
        <v>1001</v>
      </c>
      <c r="C2836" s="3">
        <v>6</v>
      </c>
      <c r="D2836" s="3">
        <v>1001</v>
      </c>
      <c r="E2836" s="3" t="s">
        <v>7191</v>
      </c>
      <c r="F2836" s="3" t="s">
        <v>7191</v>
      </c>
      <c r="G2836" s="3" t="s">
        <v>7192</v>
      </c>
      <c r="H2836" s="3" t="s">
        <v>7193</v>
      </c>
      <c r="I2836" s="3">
        <v>1</v>
      </c>
      <c r="J2836" s="3">
        <v>4</v>
      </c>
      <c r="K2836" s="3">
        <v>2</v>
      </c>
      <c r="L2836" s="3">
        <v>999</v>
      </c>
      <c r="M2836" s="3">
        <v>0</v>
      </c>
      <c r="N2836" s="3">
        <v>1017</v>
      </c>
      <c r="O2836" s="231">
        <v>100244</v>
      </c>
      <c r="S2836" s="3">
        <v>1</v>
      </c>
      <c r="T2836" s="3">
        <v>5</v>
      </c>
      <c r="U2836" s="3">
        <v>200</v>
      </c>
      <c r="V2836" s="3">
        <v>1</v>
      </c>
      <c r="W2836" s="3">
        <v>1</v>
      </c>
      <c r="X2836" s="3">
        <v>1</v>
      </c>
      <c r="Y2836" s="3">
        <v>0</v>
      </c>
      <c r="Z2836" s="3">
        <v>0</v>
      </c>
      <c r="AA2836" s="3">
        <v>5</v>
      </c>
      <c r="AB2836" s="3">
        <f>U2835*10</f>
        <v>10</v>
      </c>
      <c r="AC2836" s="3">
        <v>56</v>
      </c>
      <c r="AD2836" s="153">
        <v>0</v>
      </c>
      <c r="AE2836" s="153">
        <v>4</v>
      </c>
      <c r="AF2836" s="153">
        <v>2</v>
      </c>
      <c r="AG2836" s="337"/>
      <c r="AH2836" s="337"/>
      <c r="AI2836" s="337"/>
      <c r="AJ2836" s="337"/>
      <c r="AK2836" s="337"/>
      <c r="AL2836" s="234">
        <v>1</v>
      </c>
      <c r="AM2836" s="234"/>
      <c r="AN2836" s="476"/>
      <c r="AO2836" s="234"/>
      <c r="AP2836" s="234"/>
      <c r="AS2836" s="3">
        <v>1</v>
      </c>
    </row>
    <row r="2837" s="3" customFormat="1" spans="1:45">
      <c r="A2837" s="3">
        <v>619153</v>
      </c>
      <c r="B2837" s="3">
        <v>1001</v>
      </c>
      <c r="C2837" s="3">
        <v>6</v>
      </c>
      <c r="D2837" s="3">
        <v>1001</v>
      </c>
      <c r="E2837" s="3" t="s">
        <v>7194</v>
      </c>
      <c r="F2837" s="3" t="s">
        <v>7194</v>
      </c>
      <c r="G2837" s="3" t="s">
        <v>7195</v>
      </c>
      <c r="H2837" s="3" t="s">
        <v>6239</v>
      </c>
      <c r="I2837" s="3">
        <v>1</v>
      </c>
      <c r="J2837" s="3">
        <v>4</v>
      </c>
      <c r="K2837" s="3">
        <v>2</v>
      </c>
      <c r="L2837" s="3">
        <v>999</v>
      </c>
      <c r="M2837" s="3">
        <v>0</v>
      </c>
      <c r="N2837" s="3">
        <v>1017</v>
      </c>
      <c r="O2837" s="231">
        <v>100245</v>
      </c>
      <c r="S2837" s="3">
        <v>1</v>
      </c>
      <c r="T2837" s="3">
        <v>5</v>
      </c>
      <c r="U2837" s="3">
        <v>200</v>
      </c>
      <c r="V2837" s="3">
        <v>1</v>
      </c>
      <c r="W2837" s="3">
        <v>1</v>
      </c>
      <c r="X2837" s="3">
        <v>1</v>
      </c>
      <c r="Y2837" s="3">
        <v>0</v>
      </c>
      <c r="Z2837" s="3">
        <v>0</v>
      </c>
      <c r="AA2837" s="3">
        <v>5</v>
      </c>
      <c r="AB2837" s="3">
        <f>U2836*10</f>
        <v>2000</v>
      </c>
      <c r="AC2837" s="3">
        <v>56</v>
      </c>
      <c r="AD2837" s="153">
        <v>0</v>
      </c>
      <c r="AE2837" s="153">
        <v>4</v>
      </c>
      <c r="AF2837" s="153">
        <v>2</v>
      </c>
      <c r="AG2837" s="337"/>
      <c r="AH2837" s="337"/>
      <c r="AI2837" s="337"/>
      <c r="AJ2837" s="337"/>
      <c r="AK2837" s="337"/>
      <c r="AL2837" s="234">
        <v>1</v>
      </c>
      <c r="AM2837" s="234"/>
      <c r="AN2837" s="476"/>
      <c r="AO2837" s="234"/>
      <c r="AP2837" s="234"/>
      <c r="AS2837" s="3">
        <v>1</v>
      </c>
    </row>
    <row r="2838" s="3" customFormat="1" spans="1:45">
      <c r="A2838" s="3">
        <v>619154</v>
      </c>
      <c r="B2838" s="3">
        <v>1001</v>
      </c>
      <c r="C2838" s="3">
        <v>1</v>
      </c>
      <c r="D2838" s="3">
        <v>1001</v>
      </c>
      <c r="E2838" s="3" t="s">
        <v>7196</v>
      </c>
      <c r="F2838" s="3" t="s">
        <v>7196</v>
      </c>
      <c r="G2838" s="3" t="s">
        <v>7197</v>
      </c>
      <c r="H2838" s="3" t="s">
        <v>7198</v>
      </c>
      <c r="I2838" s="3">
        <v>1</v>
      </c>
      <c r="J2838" s="3">
        <v>2</v>
      </c>
      <c r="K2838" s="33">
        <v>1</v>
      </c>
      <c r="L2838" s="3">
        <v>999</v>
      </c>
      <c r="M2838" s="3">
        <v>0</v>
      </c>
      <c r="O2838" s="2"/>
      <c r="S2838" s="33">
        <v>1</v>
      </c>
      <c r="T2838" s="3">
        <v>5</v>
      </c>
      <c r="U2838" s="3">
        <v>50</v>
      </c>
      <c r="V2838" s="33">
        <v>1</v>
      </c>
      <c r="W2838" s="3">
        <v>1</v>
      </c>
      <c r="X2838" s="3">
        <v>1</v>
      </c>
      <c r="Y2838" s="3">
        <v>0</v>
      </c>
      <c r="Z2838" s="33">
        <v>0</v>
      </c>
      <c r="AA2838" s="3">
        <v>5</v>
      </c>
      <c r="AB2838" s="3">
        <v>500</v>
      </c>
      <c r="AC2838" s="3">
        <v>56</v>
      </c>
      <c r="AD2838" s="62"/>
      <c r="AE2838" s="62"/>
      <c r="AF2838" s="62"/>
      <c r="AG2838" s="63"/>
      <c r="AH2838" s="63"/>
      <c r="AI2838" s="63"/>
      <c r="AJ2838" s="63"/>
      <c r="AK2838" s="63"/>
      <c r="AL2838" s="64">
        <v>1</v>
      </c>
      <c r="AM2838" s="64"/>
      <c r="AN2838" s="65"/>
      <c r="AO2838" s="64"/>
      <c r="AP2838" s="64"/>
      <c r="AS2838" s="3">
        <v>1</v>
      </c>
    </row>
    <row r="2839" spans="1:45">
      <c r="A2839" s="3">
        <v>619155</v>
      </c>
      <c r="B2839" s="3">
        <v>1001</v>
      </c>
      <c r="C2839" s="3">
        <v>1</v>
      </c>
      <c r="D2839" s="3">
        <v>1001</v>
      </c>
      <c r="E2839" s="3" t="s">
        <v>7199</v>
      </c>
      <c r="F2839" s="3" t="s">
        <v>7199</v>
      </c>
      <c r="G2839" s="3" t="s">
        <v>7200</v>
      </c>
      <c r="H2839" s="3" t="s">
        <v>7201</v>
      </c>
      <c r="I2839" s="3">
        <v>1</v>
      </c>
      <c r="J2839" s="3">
        <v>3</v>
      </c>
      <c r="K2839" s="33">
        <v>1</v>
      </c>
      <c r="L2839" s="3">
        <v>999</v>
      </c>
      <c r="M2839" s="3">
        <v>0</v>
      </c>
      <c r="N2839" s="3"/>
      <c r="P2839" s="3"/>
      <c r="Q2839" s="3"/>
      <c r="R2839" s="3"/>
      <c r="S2839" s="33">
        <v>1</v>
      </c>
      <c r="T2839" s="3">
        <v>5</v>
      </c>
      <c r="U2839" s="3">
        <v>100</v>
      </c>
      <c r="V2839" s="33">
        <v>1</v>
      </c>
      <c r="W2839" s="3">
        <v>1</v>
      </c>
      <c r="X2839" s="3">
        <v>1</v>
      </c>
      <c r="Y2839" s="3">
        <v>0</v>
      </c>
      <c r="Z2839" s="33">
        <v>0</v>
      </c>
      <c r="AA2839" s="3">
        <v>5</v>
      </c>
      <c r="AB2839" s="3">
        <v>1000</v>
      </c>
      <c r="AC2839" s="3">
        <v>56</v>
      </c>
      <c r="AD2839" s="445"/>
      <c r="AE2839" s="445"/>
      <c r="AF2839" s="445"/>
      <c r="AG2839" s="64"/>
      <c r="AH2839" s="64"/>
      <c r="AI2839" s="64"/>
      <c r="AJ2839" s="64"/>
      <c r="AK2839" s="64"/>
      <c r="AL2839" s="64">
        <v>1</v>
      </c>
      <c r="AQ2839" s="3"/>
      <c r="AR2839" s="3"/>
      <c r="AS2839" s="3">
        <v>1</v>
      </c>
    </row>
    <row r="2840" spans="1:45">
      <c r="A2840" s="3">
        <v>619156</v>
      </c>
      <c r="B2840" s="3">
        <v>1001</v>
      </c>
      <c r="C2840" s="3">
        <v>6</v>
      </c>
      <c r="D2840" s="3">
        <v>1001</v>
      </c>
      <c r="E2840" s="3" t="s">
        <v>7202</v>
      </c>
      <c r="F2840" s="3" t="s">
        <v>7202</v>
      </c>
      <c r="G2840" s="3" t="s">
        <v>7203</v>
      </c>
      <c r="H2840" s="3" t="s">
        <v>7204</v>
      </c>
      <c r="I2840" s="3">
        <v>1</v>
      </c>
      <c r="J2840" s="3">
        <v>4</v>
      </c>
      <c r="K2840" s="33">
        <v>2</v>
      </c>
      <c r="L2840" s="3">
        <v>999</v>
      </c>
      <c r="M2840" s="3">
        <v>0</v>
      </c>
      <c r="N2840" s="3">
        <v>1017</v>
      </c>
      <c r="O2840" s="2">
        <v>100247</v>
      </c>
      <c r="P2840" s="3"/>
      <c r="Q2840" s="3"/>
      <c r="R2840" s="3"/>
      <c r="S2840" s="33">
        <v>1</v>
      </c>
      <c r="T2840" s="3">
        <v>5</v>
      </c>
      <c r="U2840" s="3">
        <v>200</v>
      </c>
      <c r="V2840" s="33">
        <v>1</v>
      </c>
      <c r="W2840" s="3">
        <v>1</v>
      </c>
      <c r="X2840" s="3">
        <v>1</v>
      </c>
      <c r="Y2840" s="3">
        <v>0</v>
      </c>
      <c r="Z2840" s="33">
        <v>0</v>
      </c>
      <c r="AA2840" s="3">
        <v>5</v>
      </c>
      <c r="AB2840" s="3">
        <v>2000</v>
      </c>
      <c r="AC2840" s="3">
        <v>56</v>
      </c>
      <c r="AD2840" s="62">
        <v>0</v>
      </c>
      <c r="AE2840" s="62">
        <v>4</v>
      </c>
      <c r="AF2840" s="62">
        <v>2</v>
      </c>
      <c r="AG2840" s="337"/>
      <c r="AH2840" s="337"/>
      <c r="AI2840" s="337"/>
      <c r="AJ2840" s="337"/>
      <c r="AK2840" s="337"/>
      <c r="AL2840" s="64">
        <v>1</v>
      </c>
      <c r="AM2840" s="234"/>
      <c r="AN2840" s="476"/>
      <c r="AO2840" s="234"/>
      <c r="AP2840" s="234"/>
      <c r="AQ2840" s="3"/>
      <c r="AR2840" s="3"/>
      <c r="AS2840">
        <v>1</v>
      </c>
    </row>
    <row r="2841" spans="1:45">
      <c r="A2841" s="3">
        <v>619157</v>
      </c>
      <c r="B2841" s="3">
        <v>1001</v>
      </c>
      <c r="C2841" s="3">
        <v>6</v>
      </c>
      <c r="D2841" s="3">
        <v>1001</v>
      </c>
      <c r="E2841" s="3" t="s">
        <v>7205</v>
      </c>
      <c r="F2841" s="3" t="s">
        <v>5550</v>
      </c>
      <c r="G2841" s="3" t="s">
        <v>7206</v>
      </c>
      <c r="H2841" s="3" t="s">
        <v>1822</v>
      </c>
      <c r="I2841" s="3">
        <v>1</v>
      </c>
      <c r="J2841" s="3">
        <v>5</v>
      </c>
      <c r="K2841" s="3">
        <v>2</v>
      </c>
      <c r="L2841" s="3">
        <v>999</v>
      </c>
      <c r="M2841" s="3">
        <v>0</v>
      </c>
      <c r="N2841" s="3">
        <v>1018</v>
      </c>
      <c r="O2841" s="231" t="s">
        <v>7207</v>
      </c>
      <c r="P2841" s="3"/>
      <c r="Q2841" s="3"/>
      <c r="R2841" s="3"/>
      <c r="S2841" s="3">
        <v>1</v>
      </c>
      <c r="T2841" s="3">
        <v>5</v>
      </c>
      <c r="U2841" s="3">
        <v>100</v>
      </c>
      <c r="V2841" s="3">
        <v>1</v>
      </c>
      <c r="W2841" s="3">
        <v>1</v>
      </c>
      <c r="X2841" s="3">
        <v>1</v>
      </c>
      <c r="Y2841" s="3">
        <v>0</v>
      </c>
      <c r="Z2841" s="3">
        <v>0</v>
      </c>
      <c r="AA2841" s="3">
        <v>5</v>
      </c>
      <c r="AB2841" s="3">
        <v>2000</v>
      </c>
      <c r="AC2841" s="3">
        <v>56</v>
      </c>
      <c r="AD2841" s="153">
        <v>0</v>
      </c>
      <c r="AE2841" s="153">
        <v>5</v>
      </c>
      <c r="AF2841" s="153">
        <v>2</v>
      </c>
      <c r="AG2841" s="337"/>
      <c r="AH2841" s="337"/>
      <c r="AI2841" s="337"/>
      <c r="AJ2841" s="337"/>
      <c r="AK2841" s="337"/>
      <c r="AL2841" s="234"/>
      <c r="AM2841" s="234"/>
      <c r="AN2841" s="476"/>
      <c r="AO2841" s="234"/>
      <c r="AP2841" s="234"/>
      <c r="AQ2841" s="3"/>
      <c r="AR2841" s="3"/>
      <c r="AS2841">
        <v>1</v>
      </c>
    </row>
    <row r="2842" spans="1:45">
      <c r="A2842" s="3">
        <v>619158</v>
      </c>
      <c r="B2842" s="3">
        <v>1001</v>
      </c>
      <c r="C2842" s="3">
        <v>6</v>
      </c>
      <c r="D2842" s="3">
        <v>1001</v>
      </c>
      <c r="E2842" s="3" t="s">
        <v>7208</v>
      </c>
      <c r="F2842" s="3" t="s">
        <v>5550</v>
      </c>
      <c r="G2842" s="3" t="s">
        <v>7209</v>
      </c>
      <c r="H2842" s="3" t="s">
        <v>1822</v>
      </c>
      <c r="I2842" s="3">
        <v>1</v>
      </c>
      <c r="J2842" s="3">
        <v>5</v>
      </c>
      <c r="K2842" s="3">
        <v>2</v>
      </c>
      <c r="L2842" s="339">
        <v>999</v>
      </c>
      <c r="M2842" s="339">
        <v>0</v>
      </c>
      <c r="N2842" s="339">
        <v>1018</v>
      </c>
      <c r="O2842" s="231" t="s">
        <v>7210</v>
      </c>
      <c r="P2842" s="3"/>
      <c r="Q2842" s="3"/>
      <c r="R2842" s="3"/>
      <c r="S2842" s="339">
        <v>1</v>
      </c>
      <c r="T2842" s="339">
        <v>5</v>
      </c>
      <c r="U2842" s="339">
        <v>100</v>
      </c>
      <c r="V2842" s="339">
        <v>1</v>
      </c>
      <c r="W2842" s="3">
        <v>1</v>
      </c>
      <c r="X2842" s="339">
        <v>1</v>
      </c>
      <c r="Y2842" s="339">
        <v>0</v>
      </c>
      <c r="Z2842" s="3">
        <v>0</v>
      </c>
      <c r="AA2842" s="3">
        <v>5</v>
      </c>
      <c r="AB2842" s="3">
        <v>2000</v>
      </c>
      <c r="AC2842" s="339">
        <v>56</v>
      </c>
      <c r="AD2842" s="153">
        <v>0</v>
      </c>
      <c r="AE2842" s="153">
        <v>5</v>
      </c>
      <c r="AF2842" s="153">
        <v>2</v>
      </c>
      <c r="AG2842" s="337"/>
      <c r="AH2842" s="337"/>
      <c r="AI2842" s="337"/>
      <c r="AJ2842" s="337"/>
      <c r="AK2842" s="337"/>
      <c r="AL2842" s="234"/>
      <c r="AM2842" s="234"/>
      <c r="AN2842" s="476"/>
      <c r="AO2842" s="234"/>
      <c r="AP2842" s="234"/>
      <c r="AQ2842" s="3"/>
      <c r="AR2842" s="3"/>
      <c r="AS2842">
        <v>1</v>
      </c>
    </row>
    <row r="2843" spans="1:45">
      <c r="A2843" s="3">
        <v>619159</v>
      </c>
      <c r="B2843" s="3">
        <v>1001</v>
      </c>
      <c r="C2843" s="3">
        <v>1</v>
      </c>
      <c r="D2843" s="3">
        <v>1001</v>
      </c>
      <c r="E2843" s="3" t="s">
        <v>7211</v>
      </c>
      <c r="F2843" s="3" t="s">
        <v>7212</v>
      </c>
      <c r="G2843" s="3" t="s">
        <v>7213</v>
      </c>
      <c r="H2843" s="3" t="s">
        <v>7214</v>
      </c>
      <c r="I2843" s="3">
        <v>1</v>
      </c>
      <c r="J2843" s="3">
        <v>5</v>
      </c>
      <c r="K2843" s="3">
        <v>2</v>
      </c>
      <c r="L2843" s="128">
        <v>999</v>
      </c>
      <c r="M2843" s="128">
        <v>0</v>
      </c>
      <c r="N2843" s="128">
        <v>1028</v>
      </c>
      <c r="O2843" s="231">
        <v>6</v>
      </c>
      <c r="P2843" s="3"/>
      <c r="Q2843" s="3"/>
      <c r="R2843" s="3"/>
      <c r="S2843" s="128">
        <v>1</v>
      </c>
      <c r="T2843" s="128">
        <v>5</v>
      </c>
      <c r="U2843" s="128">
        <v>1</v>
      </c>
      <c r="V2843" s="128">
        <v>1</v>
      </c>
      <c r="W2843" s="3">
        <v>1</v>
      </c>
      <c r="X2843" s="128">
        <v>1</v>
      </c>
      <c r="Y2843" s="128">
        <v>0</v>
      </c>
      <c r="Z2843" s="3">
        <v>0</v>
      </c>
      <c r="AA2843" s="3">
        <v>5</v>
      </c>
      <c r="AB2843" s="3">
        <v>100</v>
      </c>
      <c r="AC2843" s="128">
        <v>70</v>
      </c>
      <c r="AD2843" s="153">
        <v>0</v>
      </c>
      <c r="AE2843" s="153">
        <v>1</v>
      </c>
      <c r="AF2843" s="153">
        <v>1</v>
      </c>
      <c r="AG2843" s="337"/>
      <c r="AH2843" s="337"/>
      <c r="AI2843" s="337"/>
      <c r="AJ2843" s="337"/>
      <c r="AK2843" s="337"/>
      <c r="AL2843" s="234"/>
      <c r="AM2843" s="234"/>
      <c r="AN2843" s="476"/>
      <c r="AO2843" s="234"/>
      <c r="AP2843" s="234"/>
      <c r="AQ2843" s="3"/>
      <c r="AR2843" s="3"/>
      <c r="AS2843">
        <v>1</v>
      </c>
    </row>
    <row r="2844" spans="1:45">
      <c r="A2844" s="3">
        <v>619160</v>
      </c>
      <c r="B2844" s="3">
        <v>1001</v>
      </c>
      <c r="C2844" s="3">
        <v>1</v>
      </c>
      <c r="D2844" s="3">
        <v>1001</v>
      </c>
      <c r="E2844" s="3" t="s">
        <v>7215</v>
      </c>
      <c r="F2844" s="3" t="s">
        <v>7216</v>
      </c>
      <c r="G2844" s="3" t="s">
        <v>7217</v>
      </c>
      <c r="H2844" s="3" t="s">
        <v>5507</v>
      </c>
      <c r="I2844" s="3">
        <v>1</v>
      </c>
      <c r="J2844" s="3">
        <v>5</v>
      </c>
      <c r="K2844" s="3">
        <v>2</v>
      </c>
      <c r="L2844" s="395">
        <v>999</v>
      </c>
      <c r="M2844" s="395">
        <v>0</v>
      </c>
      <c r="N2844" s="395">
        <v>1028</v>
      </c>
      <c r="O2844" s="231">
        <v>7</v>
      </c>
      <c r="P2844" s="3"/>
      <c r="Q2844" s="3"/>
      <c r="R2844" s="3"/>
      <c r="S2844" s="395">
        <v>1</v>
      </c>
      <c r="T2844" s="395">
        <v>5</v>
      </c>
      <c r="U2844" s="395">
        <v>1</v>
      </c>
      <c r="V2844" s="395">
        <v>1</v>
      </c>
      <c r="W2844" s="3">
        <v>1</v>
      </c>
      <c r="X2844" s="395">
        <v>1</v>
      </c>
      <c r="Y2844" s="395">
        <v>0</v>
      </c>
      <c r="Z2844" s="3">
        <v>0</v>
      </c>
      <c r="AA2844" s="3">
        <v>5</v>
      </c>
      <c r="AB2844" s="3">
        <v>100</v>
      </c>
      <c r="AC2844" s="395">
        <v>70</v>
      </c>
      <c r="AD2844" s="153">
        <v>0</v>
      </c>
      <c r="AE2844" s="153">
        <v>1</v>
      </c>
      <c r="AF2844" s="153">
        <v>1</v>
      </c>
      <c r="AG2844" s="337"/>
      <c r="AH2844" s="337"/>
      <c r="AI2844" s="337"/>
      <c r="AJ2844" s="337"/>
      <c r="AK2844" s="337"/>
      <c r="AL2844" s="234"/>
      <c r="AM2844" s="234"/>
      <c r="AN2844" s="476"/>
      <c r="AO2844" s="234"/>
      <c r="AP2844" s="234"/>
      <c r="AQ2844" s="3"/>
      <c r="AR2844" s="3"/>
      <c r="AS2844">
        <v>1</v>
      </c>
    </row>
    <row r="2845" spans="1:45">
      <c r="A2845" s="3">
        <v>619161</v>
      </c>
      <c r="B2845" s="3">
        <v>1001</v>
      </c>
      <c r="C2845" s="3">
        <v>1</v>
      </c>
      <c r="D2845" s="3">
        <v>1001</v>
      </c>
      <c r="E2845" s="3" t="s">
        <v>7218</v>
      </c>
      <c r="F2845" s="3" t="s">
        <v>7218</v>
      </c>
      <c r="G2845" s="3" t="s">
        <v>7219</v>
      </c>
      <c r="H2845" s="3" t="s">
        <v>7220</v>
      </c>
      <c r="I2845" s="3">
        <v>1</v>
      </c>
      <c r="J2845" s="3">
        <v>4</v>
      </c>
      <c r="K2845" s="33">
        <v>2</v>
      </c>
      <c r="L2845" s="3">
        <v>999</v>
      </c>
      <c r="M2845" s="3">
        <v>0</v>
      </c>
      <c r="N2845" s="3">
        <v>1040</v>
      </c>
      <c r="O2845" s="2" t="s">
        <v>7221</v>
      </c>
      <c r="P2845" s="3"/>
      <c r="Q2845" s="3"/>
      <c r="R2845" s="3"/>
      <c r="S2845" s="33">
        <v>1</v>
      </c>
      <c r="T2845" s="3">
        <v>5</v>
      </c>
      <c r="U2845" s="3">
        <v>100</v>
      </c>
      <c r="V2845" s="33">
        <v>1</v>
      </c>
      <c r="W2845" s="3">
        <v>1</v>
      </c>
      <c r="X2845" s="3">
        <v>1</v>
      </c>
      <c r="Y2845" s="3">
        <v>0</v>
      </c>
      <c r="Z2845" s="33">
        <v>0</v>
      </c>
      <c r="AA2845" s="3">
        <v>5</v>
      </c>
      <c r="AB2845" s="3">
        <v>1000</v>
      </c>
      <c r="AC2845" s="3">
        <v>56</v>
      </c>
      <c r="AE2845" s="62">
        <v>1</v>
      </c>
      <c r="AF2845" s="62">
        <v>1</v>
      </c>
      <c r="AL2845" s="64">
        <v>1</v>
      </c>
      <c r="AQ2845" s="3"/>
      <c r="AR2845" s="3"/>
      <c r="AS2845">
        <v>1</v>
      </c>
    </row>
    <row r="2846" spans="1:45">
      <c r="A2846" s="3">
        <v>619162</v>
      </c>
      <c r="B2846" s="3">
        <v>1001</v>
      </c>
      <c r="C2846" s="3">
        <v>1</v>
      </c>
      <c r="D2846" s="3">
        <v>1001</v>
      </c>
      <c r="E2846" s="3" t="s">
        <v>7218</v>
      </c>
      <c r="F2846" s="3" t="s">
        <v>7218</v>
      </c>
      <c r="G2846" s="3" t="s">
        <v>7222</v>
      </c>
      <c r="H2846" s="3" t="s">
        <v>7223</v>
      </c>
      <c r="I2846" s="3">
        <v>1</v>
      </c>
      <c r="J2846" s="3">
        <v>4</v>
      </c>
      <c r="K2846" s="33">
        <v>2</v>
      </c>
      <c r="L2846" s="3">
        <v>999</v>
      </c>
      <c r="M2846" s="3">
        <v>0</v>
      </c>
      <c r="N2846" s="3">
        <v>1040</v>
      </c>
      <c r="O2846" s="2" t="s">
        <v>7224</v>
      </c>
      <c r="P2846" s="3"/>
      <c r="Q2846" s="3"/>
      <c r="R2846" s="3"/>
      <c r="S2846" s="33">
        <v>1</v>
      </c>
      <c r="T2846" s="3">
        <v>5</v>
      </c>
      <c r="U2846" s="3">
        <v>100</v>
      </c>
      <c r="V2846" s="33">
        <v>1</v>
      </c>
      <c r="W2846" s="3">
        <v>1</v>
      </c>
      <c r="X2846" s="3">
        <v>1</v>
      </c>
      <c r="Y2846" s="3">
        <v>0</v>
      </c>
      <c r="Z2846" s="33">
        <v>0</v>
      </c>
      <c r="AA2846" s="3">
        <v>5</v>
      </c>
      <c r="AB2846" s="3">
        <v>1000</v>
      </c>
      <c r="AC2846" s="3">
        <v>56</v>
      </c>
      <c r="AE2846" s="62">
        <v>1</v>
      </c>
      <c r="AF2846" s="62">
        <v>1</v>
      </c>
      <c r="AL2846" s="64">
        <v>1</v>
      </c>
      <c r="AQ2846" s="3"/>
      <c r="AR2846" s="3"/>
      <c r="AS2846">
        <v>1</v>
      </c>
    </row>
    <row r="2847" spans="1:45">
      <c r="A2847" s="3">
        <v>619163</v>
      </c>
      <c r="B2847" s="3">
        <v>1001</v>
      </c>
      <c r="C2847" s="3">
        <v>1</v>
      </c>
      <c r="D2847" s="3">
        <v>1001</v>
      </c>
      <c r="E2847" s="3" t="s">
        <v>7218</v>
      </c>
      <c r="F2847" s="3" t="s">
        <v>7218</v>
      </c>
      <c r="G2847" s="3" t="s">
        <v>7225</v>
      </c>
      <c r="H2847" s="3" t="s">
        <v>7226</v>
      </c>
      <c r="I2847" s="3">
        <v>1</v>
      </c>
      <c r="J2847" s="3">
        <v>4</v>
      </c>
      <c r="K2847" s="33">
        <v>2</v>
      </c>
      <c r="L2847" s="3">
        <v>999</v>
      </c>
      <c r="M2847" s="3">
        <v>0</v>
      </c>
      <c r="N2847" s="3">
        <v>1040</v>
      </c>
      <c r="O2847" s="2" t="s">
        <v>7227</v>
      </c>
      <c r="P2847" s="3"/>
      <c r="Q2847" s="3"/>
      <c r="R2847" s="3"/>
      <c r="S2847" s="33">
        <v>1</v>
      </c>
      <c r="T2847" s="3">
        <v>5</v>
      </c>
      <c r="U2847" s="3">
        <v>100</v>
      </c>
      <c r="V2847" s="33">
        <v>1</v>
      </c>
      <c r="W2847" s="3">
        <v>1</v>
      </c>
      <c r="X2847" s="3">
        <v>1</v>
      </c>
      <c r="Y2847" s="3">
        <v>0</v>
      </c>
      <c r="Z2847" s="33">
        <v>0</v>
      </c>
      <c r="AA2847" s="3">
        <v>5</v>
      </c>
      <c r="AB2847" s="3">
        <v>1000</v>
      </c>
      <c r="AC2847" s="3">
        <v>56</v>
      </c>
      <c r="AE2847" s="62">
        <v>1</v>
      </c>
      <c r="AF2847" s="62">
        <v>1</v>
      </c>
      <c r="AL2847" s="64">
        <v>1</v>
      </c>
      <c r="AQ2847" s="3"/>
      <c r="AR2847" s="3"/>
      <c r="AS2847">
        <v>1</v>
      </c>
    </row>
    <row r="2848" spans="1:45">
      <c r="A2848" s="3">
        <v>619164</v>
      </c>
      <c r="B2848" s="3">
        <v>1001</v>
      </c>
      <c r="C2848" s="3">
        <v>1</v>
      </c>
      <c r="D2848" s="3">
        <v>1001</v>
      </c>
      <c r="E2848" s="3" t="s">
        <v>7218</v>
      </c>
      <c r="F2848" s="3" t="s">
        <v>7218</v>
      </c>
      <c r="G2848" s="3" t="s">
        <v>7228</v>
      </c>
      <c r="H2848" s="3" t="s">
        <v>7229</v>
      </c>
      <c r="I2848" s="3">
        <v>1</v>
      </c>
      <c r="J2848" s="3">
        <v>4</v>
      </c>
      <c r="K2848" s="33">
        <v>2</v>
      </c>
      <c r="L2848" s="3">
        <v>999</v>
      </c>
      <c r="M2848" s="3">
        <v>0</v>
      </c>
      <c r="N2848" s="3">
        <v>1040</v>
      </c>
      <c r="O2848" s="2" t="s">
        <v>7230</v>
      </c>
      <c r="P2848" s="3"/>
      <c r="Q2848" s="3"/>
      <c r="R2848" s="3"/>
      <c r="S2848" s="33">
        <v>1</v>
      </c>
      <c r="T2848" s="3">
        <v>5</v>
      </c>
      <c r="U2848" s="3">
        <v>100</v>
      </c>
      <c r="V2848" s="33">
        <v>1</v>
      </c>
      <c r="W2848" s="3">
        <v>1</v>
      </c>
      <c r="X2848" s="3">
        <v>1</v>
      </c>
      <c r="Y2848" s="3">
        <v>0</v>
      </c>
      <c r="Z2848" s="33">
        <v>0</v>
      </c>
      <c r="AA2848" s="3">
        <v>5</v>
      </c>
      <c r="AB2848" s="3">
        <v>1000</v>
      </c>
      <c r="AC2848" s="3">
        <v>56</v>
      </c>
      <c r="AE2848" s="62">
        <v>1</v>
      </c>
      <c r="AF2848" s="62">
        <v>1</v>
      </c>
      <c r="AL2848" s="64">
        <v>1</v>
      </c>
      <c r="AQ2848" s="3"/>
      <c r="AR2848" s="3"/>
      <c r="AS2848">
        <v>1</v>
      </c>
    </row>
    <row r="2849" spans="1:45">
      <c r="A2849" s="3">
        <v>619165</v>
      </c>
      <c r="B2849" s="3">
        <v>1001</v>
      </c>
      <c r="C2849" s="3">
        <v>1</v>
      </c>
      <c r="D2849" s="3">
        <v>1001</v>
      </c>
      <c r="E2849" s="3" t="s">
        <v>7218</v>
      </c>
      <c r="F2849" s="3" t="s">
        <v>7218</v>
      </c>
      <c r="G2849" s="3" t="s">
        <v>7231</v>
      </c>
      <c r="H2849" s="3" t="s">
        <v>7232</v>
      </c>
      <c r="I2849" s="3">
        <v>1</v>
      </c>
      <c r="J2849" s="3">
        <v>4</v>
      </c>
      <c r="K2849" s="33">
        <v>2</v>
      </c>
      <c r="L2849" s="3">
        <v>999</v>
      </c>
      <c r="M2849" s="3">
        <v>0</v>
      </c>
      <c r="N2849" s="3">
        <v>1040</v>
      </c>
      <c r="O2849" s="2" t="s">
        <v>7233</v>
      </c>
      <c r="P2849" s="3"/>
      <c r="Q2849" s="3"/>
      <c r="R2849" s="3"/>
      <c r="S2849" s="33">
        <v>1</v>
      </c>
      <c r="T2849" s="3">
        <v>5</v>
      </c>
      <c r="U2849" s="3">
        <v>100</v>
      </c>
      <c r="V2849" s="33">
        <v>1</v>
      </c>
      <c r="W2849" s="3">
        <v>1</v>
      </c>
      <c r="X2849" s="3">
        <v>1</v>
      </c>
      <c r="Y2849" s="3">
        <v>0</v>
      </c>
      <c r="Z2849" s="33">
        <v>0</v>
      </c>
      <c r="AA2849" s="3">
        <v>5</v>
      </c>
      <c r="AB2849" s="3">
        <v>1000</v>
      </c>
      <c r="AC2849" s="3">
        <v>56</v>
      </c>
      <c r="AE2849" s="62">
        <v>1</v>
      </c>
      <c r="AF2849" s="62">
        <v>1</v>
      </c>
      <c r="AL2849" s="64">
        <v>1</v>
      </c>
      <c r="AQ2849" s="3"/>
      <c r="AR2849" s="3"/>
      <c r="AS2849">
        <v>1</v>
      </c>
    </row>
    <row r="2850" spans="1:45">
      <c r="A2850" s="3">
        <v>619166</v>
      </c>
      <c r="B2850" s="3">
        <v>1001</v>
      </c>
      <c r="C2850" s="3">
        <v>1</v>
      </c>
      <c r="D2850" s="3">
        <v>1001</v>
      </c>
      <c r="E2850" s="3" t="s">
        <v>7218</v>
      </c>
      <c r="F2850" s="3" t="s">
        <v>7218</v>
      </c>
      <c r="G2850" s="3" t="s">
        <v>7234</v>
      </c>
      <c r="H2850" s="3" t="s">
        <v>7235</v>
      </c>
      <c r="I2850" s="3">
        <v>1</v>
      </c>
      <c r="J2850" s="3">
        <v>4</v>
      </c>
      <c r="K2850" s="33">
        <v>2</v>
      </c>
      <c r="L2850" s="3">
        <v>999</v>
      </c>
      <c r="M2850" s="3">
        <v>0</v>
      </c>
      <c r="N2850" s="3">
        <v>1040</v>
      </c>
      <c r="O2850" s="2" t="s">
        <v>7236</v>
      </c>
      <c r="P2850" s="3"/>
      <c r="Q2850" s="3"/>
      <c r="R2850" s="3"/>
      <c r="S2850" s="33">
        <v>1</v>
      </c>
      <c r="T2850" s="3">
        <v>5</v>
      </c>
      <c r="U2850" s="3">
        <v>100</v>
      </c>
      <c r="V2850" s="33">
        <v>1</v>
      </c>
      <c r="W2850" s="3">
        <v>1</v>
      </c>
      <c r="X2850" s="3">
        <v>1</v>
      </c>
      <c r="Y2850" s="3">
        <v>0</v>
      </c>
      <c r="Z2850" s="33">
        <v>0</v>
      </c>
      <c r="AA2850" s="3">
        <v>5</v>
      </c>
      <c r="AB2850" s="3">
        <v>1000</v>
      </c>
      <c r="AC2850" s="3">
        <v>56</v>
      </c>
      <c r="AE2850" s="62">
        <v>1</v>
      </c>
      <c r="AF2850" s="62">
        <v>1</v>
      </c>
      <c r="AL2850" s="64">
        <v>1</v>
      </c>
      <c r="AQ2850" s="3"/>
      <c r="AR2850" s="3"/>
      <c r="AS2850">
        <v>1</v>
      </c>
    </row>
    <row r="2851" spans="1:45">
      <c r="A2851" s="3">
        <v>619167</v>
      </c>
      <c r="B2851" s="3">
        <v>1001</v>
      </c>
      <c r="C2851" s="3">
        <v>1</v>
      </c>
      <c r="D2851" s="3">
        <v>1001</v>
      </c>
      <c r="E2851" s="3" t="s">
        <v>7218</v>
      </c>
      <c r="F2851" s="3" t="s">
        <v>7218</v>
      </c>
      <c r="G2851" s="3" t="s">
        <v>7237</v>
      </c>
      <c r="H2851" s="3" t="s">
        <v>7238</v>
      </c>
      <c r="I2851" s="3">
        <v>1</v>
      </c>
      <c r="J2851" s="3">
        <v>4</v>
      </c>
      <c r="K2851" s="33">
        <v>2</v>
      </c>
      <c r="L2851" s="3">
        <v>999</v>
      </c>
      <c r="M2851" s="3">
        <v>0</v>
      </c>
      <c r="N2851" s="3">
        <v>1040</v>
      </c>
      <c r="O2851" s="2" t="s">
        <v>7239</v>
      </c>
      <c r="P2851" s="3"/>
      <c r="Q2851" s="3"/>
      <c r="R2851" s="3"/>
      <c r="S2851" s="33">
        <v>1</v>
      </c>
      <c r="T2851" s="3">
        <v>5</v>
      </c>
      <c r="U2851" s="3">
        <v>100</v>
      </c>
      <c r="V2851" s="33">
        <v>1</v>
      </c>
      <c r="W2851" s="3">
        <v>1</v>
      </c>
      <c r="X2851" s="3">
        <v>1</v>
      </c>
      <c r="Y2851" s="3">
        <v>0</v>
      </c>
      <c r="Z2851" s="33">
        <v>0</v>
      </c>
      <c r="AA2851" s="3">
        <v>5</v>
      </c>
      <c r="AB2851" s="3">
        <v>1000</v>
      </c>
      <c r="AC2851" s="3">
        <v>56</v>
      </c>
      <c r="AE2851" s="62">
        <v>1</v>
      </c>
      <c r="AF2851" s="62">
        <v>1</v>
      </c>
      <c r="AL2851" s="64">
        <v>1</v>
      </c>
      <c r="AQ2851" s="3"/>
      <c r="AR2851" s="3"/>
      <c r="AS2851">
        <v>1</v>
      </c>
    </row>
    <row r="2852" spans="1:45">
      <c r="A2852" s="3">
        <v>619168</v>
      </c>
      <c r="B2852" s="3">
        <v>1001</v>
      </c>
      <c r="C2852" s="3">
        <v>1</v>
      </c>
      <c r="D2852" s="3">
        <v>1001</v>
      </c>
      <c r="E2852" s="3" t="s">
        <v>7218</v>
      </c>
      <c r="F2852" s="3" t="s">
        <v>7218</v>
      </c>
      <c r="G2852" s="3" t="s">
        <v>7240</v>
      </c>
      <c r="H2852" s="3" t="s">
        <v>7241</v>
      </c>
      <c r="I2852" s="3">
        <v>1</v>
      </c>
      <c r="J2852" s="3">
        <v>4</v>
      </c>
      <c r="K2852" s="33">
        <v>2</v>
      </c>
      <c r="L2852" s="3">
        <v>999</v>
      </c>
      <c r="M2852" s="3">
        <v>0</v>
      </c>
      <c r="N2852" s="3">
        <v>1040</v>
      </c>
      <c r="O2852" s="2" t="s">
        <v>7242</v>
      </c>
      <c r="P2852" s="3"/>
      <c r="Q2852" s="3"/>
      <c r="R2852" s="3"/>
      <c r="S2852" s="33">
        <v>1</v>
      </c>
      <c r="T2852" s="3">
        <v>5</v>
      </c>
      <c r="U2852" s="3">
        <v>100</v>
      </c>
      <c r="V2852" s="33">
        <v>1</v>
      </c>
      <c r="W2852" s="3">
        <v>1</v>
      </c>
      <c r="X2852" s="3">
        <v>1</v>
      </c>
      <c r="Y2852" s="3">
        <v>0</v>
      </c>
      <c r="Z2852" s="33">
        <v>0</v>
      </c>
      <c r="AA2852" s="3">
        <v>5</v>
      </c>
      <c r="AB2852" s="3">
        <v>1000</v>
      </c>
      <c r="AC2852" s="3">
        <v>56</v>
      </c>
      <c r="AE2852" s="62">
        <v>1</v>
      </c>
      <c r="AF2852" s="62">
        <v>1</v>
      </c>
      <c r="AL2852" s="64">
        <v>1</v>
      </c>
      <c r="AQ2852" s="3"/>
      <c r="AR2852" s="3"/>
      <c r="AS2852">
        <v>1</v>
      </c>
    </row>
    <row r="2853" spans="1:45">
      <c r="A2853" s="3">
        <v>619169</v>
      </c>
      <c r="B2853" s="3">
        <v>1001</v>
      </c>
      <c r="C2853" s="3">
        <v>1</v>
      </c>
      <c r="D2853" s="3">
        <v>1001</v>
      </c>
      <c r="E2853" s="3" t="s">
        <v>7218</v>
      </c>
      <c r="F2853" s="3" t="s">
        <v>7218</v>
      </c>
      <c r="G2853" s="3" t="s">
        <v>7243</v>
      </c>
      <c r="H2853" s="3" t="s">
        <v>7244</v>
      </c>
      <c r="I2853" s="3">
        <v>1</v>
      </c>
      <c r="J2853" s="3">
        <v>4</v>
      </c>
      <c r="K2853" s="33">
        <v>2</v>
      </c>
      <c r="L2853" s="3">
        <v>999</v>
      </c>
      <c r="M2853" s="3">
        <v>0</v>
      </c>
      <c r="N2853" s="3">
        <v>1040</v>
      </c>
      <c r="O2853" s="2" t="s">
        <v>7245</v>
      </c>
      <c r="P2853" s="3"/>
      <c r="Q2853" s="3"/>
      <c r="R2853" s="3"/>
      <c r="S2853" s="33">
        <v>1</v>
      </c>
      <c r="T2853" s="3">
        <v>5</v>
      </c>
      <c r="U2853" s="3">
        <v>100</v>
      </c>
      <c r="V2853" s="33">
        <v>1</v>
      </c>
      <c r="W2853" s="3">
        <v>1</v>
      </c>
      <c r="X2853" s="3">
        <v>1</v>
      </c>
      <c r="Y2853" s="3">
        <v>0</v>
      </c>
      <c r="Z2853" s="33">
        <v>0</v>
      </c>
      <c r="AA2853" s="3">
        <v>5</v>
      </c>
      <c r="AB2853" s="3">
        <v>1000</v>
      </c>
      <c r="AC2853" s="3">
        <v>56</v>
      </c>
      <c r="AE2853" s="62">
        <v>1</v>
      </c>
      <c r="AF2853" s="62">
        <v>1</v>
      </c>
      <c r="AL2853" s="64">
        <v>1</v>
      </c>
      <c r="AQ2853" s="3"/>
      <c r="AR2853" s="3"/>
      <c r="AS2853">
        <v>1</v>
      </c>
    </row>
    <row r="2854" spans="1:45">
      <c r="A2854" s="3">
        <v>619170</v>
      </c>
      <c r="B2854" s="3">
        <v>1001</v>
      </c>
      <c r="C2854" s="3">
        <v>1</v>
      </c>
      <c r="D2854" s="3">
        <v>1001</v>
      </c>
      <c r="E2854" s="3" t="s">
        <v>7246</v>
      </c>
      <c r="F2854" s="3" t="s">
        <v>7246</v>
      </c>
      <c r="G2854" s="3" t="s">
        <v>7247</v>
      </c>
      <c r="H2854" s="3" t="s">
        <v>7248</v>
      </c>
      <c r="I2854" s="3">
        <v>1</v>
      </c>
      <c r="J2854" s="3">
        <v>2</v>
      </c>
      <c r="K2854" s="33">
        <v>1</v>
      </c>
      <c r="L2854" s="3">
        <v>999</v>
      </c>
      <c r="M2854" s="3">
        <v>0</v>
      </c>
      <c r="N2854" s="3"/>
      <c r="P2854" s="3"/>
      <c r="Q2854" s="3"/>
      <c r="R2854" s="3"/>
      <c r="S2854" s="33">
        <v>1</v>
      </c>
      <c r="T2854" s="3">
        <v>5</v>
      </c>
      <c r="U2854" s="3">
        <v>50</v>
      </c>
      <c r="V2854" s="33">
        <v>1</v>
      </c>
      <c r="W2854" s="3">
        <v>1</v>
      </c>
      <c r="X2854" s="3">
        <v>1</v>
      </c>
      <c r="Y2854" s="3">
        <v>0</v>
      </c>
      <c r="Z2854" s="33">
        <v>0</v>
      </c>
      <c r="AA2854" s="3">
        <v>5</v>
      </c>
      <c r="AB2854" s="3">
        <v>500</v>
      </c>
      <c r="AC2854" s="3">
        <v>56</v>
      </c>
      <c r="AL2854" s="64">
        <v>1</v>
      </c>
      <c r="AQ2854" s="3"/>
      <c r="AR2854" s="3"/>
      <c r="AS2854">
        <v>1</v>
      </c>
    </row>
    <row r="2855" spans="1:45">
      <c r="A2855" s="3">
        <v>619171</v>
      </c>
      <c r="B2855" s="3">
        <v>1001</v>
      </c>
      <c r="C2855" s="3">
        <v>1</v>
      </c>
      <c r="D2855" s="3">
        <v>1001</v>
      </c>
      <c r="E2855" s="3" t="s">
        <v>7249</v>
      </c>
      <c r="F2855" s="3" t="s">
        <v>7249</v>
      </c>
      <c r="G2855" s="3" t="s">
        <v>7250</v>
      </c>
      <c r="H2855" s="3" t="s">
        <v>5646</v>
      </c>
      <c r="I2855" s="3">
        <v>1</v>
      </c>
      <c r="J2855" s="3">
        <v>3</v>
      </c>
      <c r="K2855" s="33">
        <v>1</v>
      </c>
      <c r="L2855" s="3">
        <v>999</v>
      </c>
      <c r="M2855" s="3">
        <v>0</v>
      </c>
      <c r="N2855" s="3"/>
      <c r="P2855" s="3"/>
      <c r="Q2855" s="3"/>
      <c r="R2855" s="3"/>
      <c r="S2855" s="33">
        <v>1</v>
      </c>
      <c r="T2855" s="3">
        <v>5</v>
      </c>
      <c r="U2855" s="3">
        <v>100</v>
      </c>
      <c r="V2855" s="33">
        <v>1</v>
      </c>
      <c r="W2855" s="3">
        <v>1</v>
      </c>
      <c r="X2855" s="3">
        <v>1</v>
      </c>
      <c r="Y2855" s="3">
        <v>0</v>
      </c>
      <c r="Z2855" s="33">
        <v>0</v>
      </c>
      <c r="AA2855" s="3">
        <v>5</v>
      </c>
      <c r="AB2855" s="3">
        <v>1000</v>
      </c>
      <c r="AC2855" s="3">
        <v>56</v>
      </c>
      <c r="AL2855" s="64">
        <v>1</v>
      </c>
      <c r="AQ2855" s="3"/>
      <c r="AR2855" s="3"/>
      <c r="AS2855">
        <v>1</v>
      </c>
    </row>
    <row r="2856" spans="1:45">
      <c r="A2856" s="3">
        <v>619172</v>
      </c>
      <c r="B2856" s="3">
        <v>1001</v>
      </c>
      <c r="C2856" s="3">
        <v>6</v>
      </c>
      <c r="D2856" s="3">
        <v>1001</v>
      </c>
      <c r="E2856" s="3" t="s">
        <v>7251</v>
      </c>
      <c r="F2856" s="3" t="s">
        <v>7251</v>
      </c>
      <c r="G2856" s="3" t="s">
        <v>7252</v>
      </c>
      <c r="H2856" s="3" t="s">
        <v>5625</v>
      </c>
      <c r="I2856" s="3">
        <v>1</v>
      </c>
      <c r="J2856" s="3">
        <v>4</v>
      </c>
      <c r="K2856" s="33">
        <v>2</v>
      </c>
      <c r="L2856" s="3">
        <v>999</v>
      </c>
      <c r="M2856" s="3">
        <v>0</v>
      </c>
      <c r="N2856" s="3">
        <v>1017</v>
      </c>
      <c r="O2856" s="2">
        <v>100247</v>
      </c>
      <c r="P2856" s="3"/>
      <c r="Q2856" s="3"/>
      <c r="R2856" s="3"/>
      <c r="S2856" s="33">
        <v>1</v>
      </c>
      <c r="T2856" s="3">
        <v>5</v>
      </c>
      <c r="U2856" s="3">
        <v>200</v>
      </c>
      <c r="V2856" s="33">
        <v>1</v>
      </c>
      <c r="W2856" s="3">
        <v>1</v>
      </c>
      <c r="X2856" s="3">
        <v>1</v>
      </c>
      <c r="Y2856" s="3">
        <v>0</v>
      </c>
      <c r="Z2856" s="33">
        <v>0</v>
      </c>
      <c r="AA2856" s="3">
        <v>5</v>
      </c>
      <c r="AB2856" s="3">
        <v>2000</v>
      </c>
      <c r="AC2856" s="3">
        <v>56</v>
      </c>
      <c r="AD2856" s="62">
        <v>0</v>
      </c>
      <c r="AE2856" s="62">
        <v>4</v>
      </c>
      <c r="AF2856" s="62">
        <v>2</v>
      </c>
      <c r="AL2856" s="64">
        <v>1</v>
      </c>
      <c r="AQ2856" s="3"/>
      <c r="AR2856" s="3"/>
      <c r="AS2856">
        <v>1</v>
      </c>
    </row>
    <row r="2857" spans="1:45">
      <c r="A2857" s="3">
        <v>619173</v>
      </c>
      <c r="B2857" s="3">
        <v>1001</v>
      </c>
      <c r="C2857" s="3">
        <v>6</v>
      </c>
      <c r="D2857" s="3">
        <v>1001</v>
      </c>
      <c r="E2857" s="3" t="s">
        <v>7253</v>
      </c>
      <c r="F2857" s="3" t="s">
        <v>7253</v>
      </c>
      <c r="G2857" s="3" t="s">
        <v>7254</v>
      </c>
      <c r="H2857" s="3" t="s">
        <v>7255</v>
      </c>
      <c r="I2857" s="3">
        <v>1</v>
      </c>
      <c r="J2857" s="3">
        <v>4</v>
      </c>
      <c r="K2857" s="33">
        <v>2</v>
      </c>
      <c r="L2857" s="3">
        <v>999</v>
      </c>
      <c r="M2857" s="3">
        <v>0</v>
      </c>
      <c r="N2857" s="3">
        <v>1017</v>
      </c>
      <c r="O2857" s="2">
        <v>100244</v>
      </c>
      <c r="P2857" s="3"/>
      <c r="Q2857" s="3"/>
      <c r="R2857" s="3"/>
      <c r="S2857" s="33">
        <v>1</v>
      </c>
      <c r="T2857" s="3">
        <v>5</v>
      </c>
      <c r="U2857" s="3">
        <v>200</v>
      </c>
      <c r="V2857" s="33">
        <v>1</v>
      </c>
      <c r="W2857" s="3">
        <v>1</v>
      </c>
      <c r="X2857" s="3">
        <v>1</v>
      </c>
      <c r="Y2857" s="3">
        <v>0</v>
      </c>
      <c r="Z2857" s="33">
        <v>0</v>
      </c>
      <c r="AA2857" s="3">
        <v>5</v>
      </c>
      <c r="AB2857" s="3">
        <f>U2856*10</f>
        <v>2000</v>
      </c>
      <c r="AC2857" s="3">
        <v>56</v>
      </c>
      <c r="AD2857" s="62">
        <v>0</v>
      </c>
      <c r="AE2857" s="62">
        <v>4</v>
      </c>
      <c r="AF2857" s="62">
        <v>2</v>
      </c>
      <c r="AL2857" s="64">
        <v>1</v>
      </c>
      <c r="AQ2857" s="3"/>
      <c r="AR2857" s="3"/>
      <c r="AS2857">
        <v>1</v>
      </c>
    </row>
    <row r="2858" spans="1:45">
      <c r="A2858" s="3">
        <v>619174</v>
      </c>
      <c r="B2858" s="3">
        <v>1001</v>
      </c>
      <c r="C2858" s="3">
        <v>6</v>
      </c>
      <c r="D2858" s="3">
        <v>1001</v>
      </c>
      <c r="E2858" s="3" t="s">
        <v>7256</v>
      </c>
      <c r="F2858" s="3" t="s">
        <v>7256</v>
      </c>
      <c r="G2858" s="3" t="s">
        <v>7257</v>
      </c>
      <c r="H2858" s="3" t="s">
        <v>5623</v>
      </c>
      <c r="I2858" s="3">
        <v>1</v>
      </c>
      <c r="J2858" s="3">
        <v>4</v>
      </c>
      <c r="K2858" s="33">
        <v>2</v>
      </c>
      <c r="L2858" s="3">
        <v>999</v>
      </c>
      <c r="M2858" s="3">
        <v>0</v>
      </c>
      <c r="N2858" s="3">
        <v>1017</v>
      </c>
      <c r="O2858" s="2">
        <v>100245</v>
      </c>
      <c r="P2858" s="3"/>
      <c r="Q2858" s="3"/>
      <c r="R2858" s="3"/>
      <c r="S2858" s="33">
        <v>1</v>
      </c>
      <c r="T2858" s="3">
        <v>5</v>
      </c>
      <c r="U2858" s="3">
        <v>200</v>
      </c>
      <c r="V2858" s="33">
        <v>1</v>
      </c>
      <c r="W2858" s="3">
        <v>1</v>
      </c>
      <c r="X2858" s="3">
        <v>1</v>
      </c>
      <c r="Y2858" s="3">
        <v>0</v>
      </c>
      <c r="Z2858" s="33">
        <v>0</v>
      </c>
      <c r="AA2858" s="3">
        <v>5</v>
      </c>
      <c r="AB2858" s="3">
        <f>U2857*10</f>
        <v>2000</v>
      </c>
      <c r="AC2858" s="3">
        <v>56</v>
      </c>
      <c r="AD2858" s="62">
        <v>0</v>
      </c>
      <c r="AE2858" s="62">
        <v>4</v>
      </c>
      <c r="AF2858" s="62">
        <v>2</v>
      </c>
      <c r="AG2858" s="337"/>
      <c r="AH2858" s="337"/>
      <c r="AI2858" s="337"/>
      <c r="AJ2858" s="337"/>
      <c r="AK2858" s="337"/>
      <c r="AL2858" s="64">
        <v>1</v>
      </c>
      <c r="AM2858" s="234"/>
      <c r="AN2858" s="476"/>
      <c r="AO2858" s="234"/>
      <c r="AP2858" s="234"/>
      <c r="AQ2858" s="3"/>
      <c r="AR2858" s="3"/>
      <c r="AS2858">
        <v>1</v>
      </c>
    </row>
    <row r="2859" spans="1:45">
      <c r="A2859" s="3">
        <v>619175</v>
      </c>
      <c r="B2859" s="3">
        <v>1001</v>
      </c>
      <c r="C2859" s="3">
        <v>6</v>
      </c>
      <c r="D2859" s="3">
        <v>1001</v>
      </c>
      <c r="E2859" s="3" t="s">
        <v>7258</v>
      </c>
      <c r="F2859" s="3" t="s">
        <v>5550</v>
      </c>
      <c r="G2859" s="3" t="s">
        <v>7259</v>
      </c>
      <c r="H2859" s="3" t="s">
        <v>1822</v>
      </c>
      <c r="I2859" s="3">
        <v>1</v>
      </c>
      <c r="J2859" s="3">
        <v>5</v>
      </c>
      <c r="K2859" s="3">
        <v>2</v>
      </c>
      <c r="L2859" s="3">
        <v>999</v>
      </c>
      <c r="M2859" s="3">
        <v>0</v>
      </c>
      <c r="N2859" s="3">
        <v>1018</v>
      </c>
      <c r="O2859" s="231" t="s">
        <v>7260</v>
      </c>
      <c r="P2859" s="3"/>
      <c r="Q2859" s="3"/>
      <c r="R2859" s="3"/>
      <c r="S2859" s="3">
        <v>1</v>
      </c>
      <c r="T2859" s="3">
        <v>5</v>
      </c>
      <c r="U2859" s="3">
        <v>100</v>
      </c>
      <c r="V2859" s="3">
        <v>1</v>
      </c>
      <c r="W2859" s="3">
        <v>1</v>
      </c>
      <c r="X2859" s="3">
        <v>1</v>
      </c>
      <c r="Y2859" s="3">
        <v>0</v>
      </c>
      <c r="Z2859" s="3">
        <v>0</v>
      </c>
      <c r="AA2859" s="3">
        <v>5</v>
      </c>
      <c r="AB2859" s="3">
        <v>2000</v>
      </c>
      <c r="AC2859" s="3">
        <v>56</v>
      </c>
      <c r="AD2859" s="153">
        <v>0</v>
      </c>
      <c r="AE2859" s="153">
        <v>5</v>
      </c>
      <c r="AF2859" s="153">
        <v>2</v>
      </c>
      <c r="AG2859" s="337"/>
      <c r="AH2859" s="337"/>
      <c r="AI2859" s="337"/>
      <c r="AJ2859" s="337"/>
      <c r="AK2859" s="337"/>
      <c r="AL2859" s="234"/>
      <c r="AM2859" s="234"/>
      <c r="AN2859" s="476"/>
      <c r="AO2859" s="234"/>
      <c r="AP2859" s="234"/>
      <c r="AQ2859" s="3"/>
      <c r="AR2859" s="3"/>
      <c r="AS2859">
        <v>1</v>
      </c>
    </row>
    <row r="2860" spans="1:45">
      <c r="A2860" s="3">
        <v>619176</v>
      </c>
      <c r="B2860" s="3">
        <v>1001</v>
      </c>
      <c r="C2860" s="3">
        <v>6</v>
      </c>
      <c r="D2860" s="3">
        <v>1001</v>
      </c>
      <c r="E2860" s="3" t="s">
        <v>7261</v>
      </c>
      <c r="F2860" s="3" t="s">
        <v>5550</v>
      </c>
      <c r="G2860" s="3" t="s">
        <v>7262</v>
      </c>
      <c r="H2860" s="3" t="s">
        <v>1822</v>
      </c>
      <c r="I2860" s="3">
        <v>1</v>
      </c>
      <c r="J2860" s="3">
        <v>5</v>
      </c>
      <c r="K2860" s="3">
        <v>2</v>
      </c>
      <c r="L2860" s="3">
        <v>999</v>
      </c>
      <c r="M2860" s="3">
        <v>0</v>
      </c>
      <c r="N2860" s="3">
        <v>1018</v>
      </c>
      <c r="O2860" s="231" t="s">
        <v>7263</v>
      </c>
      <c r="P2860" s="3"/>
      <c r="Q2860" s="3"/>
      <c r="R2860" s="3"/>
      <c r="S2860" s="3">
        <v>1</v>
      </c>
      <c r="T2860" s="3">
        <v>5</v>
      </c>
      <c r="U2860" s="3">
        <v>100</v>
      </c>
      <c r="V2860" s="3">
        <v>1</v>
      </c>
      <c r="W2860" s="3">
        <v>1</v>
      </c>
      <c r="X2860" s="3">
        <v>1</v>
      </c>
      <c r="Y2860" s="3">
        <v>0</v>
      </c>
      <c r="Z2860" s="3">
        <v>0</v>
      </c>
      <c r="AA2860" s="3">
        <v>5</v>
      </c>
      <c r="AB2860" s="3">
        <v>2000</v>
      </c>
      <c r="AC2860" s="3">
        <v>56</v>
      </c>
      <c r="AD2860" s="153">
        <v>0</v>
      </c>
      <c r="AE2860" s="153">
        <v>5</v>
      </c>
      <c r="AF2860" s="153">
        <v>2</v>
      </c>
      <c r="AG2860" s="337"/>
      <c r="AH2860" s="337"/>
      <c r="AI2860" s="337"/>
      <c r="AJ2860" s="337"/>
      <c r="AK2860" s="337"/>
      <c r="AL2860" s="234"/>
      <c r="AM2860" s="234"/>
      <c r="AN2860" s="476"/>
      <c r="AO2860" s="234"/>
      <c r="AP2860" s="234"/>
      <c r="AQ2860" s="3"/>
      <c r="AR2860" s="3"/>
      <c r="AS2860">
        <v>1</v>
      </c>
    </row>
    <row r="2861" spans="1:45">
      <c r="A2861" s="3">
        <v>619177</v>
      </c>
      <c r="B2861" s="3">
        <v>1001</v>
      </c>
      <c r="C2861" s="3">
        <v>6</v>
      </c>
      <c r="D2861" s="3">
        <v>1001</v>
      </c>
      <c r="E2861" s="3" t="s">
        <v>7264</v>
      </c>
      <c r="F2861" s="3" t="s">
        <v>5550</v>
      </c>
      <c r="G2861" s="3" t="s">
        <v>7265</v>
      </c>
      <c r="H2861" s="3" t="s">
        <v>1822</v>
      </c>
      <c r="I2861" s="3">
        <v>1</v>
      </c>
      <c r="J2861" s="3">
        <v>5</v>
      </c>
      <c r="K2861" s="3">
        <v>2</v>
      </c>
      <c r="L2861" s="3">
        <v>999</v>
      </c>
      <c r="M2861" s="3">
        <v>0</v>
      </c>
      <c r="N2861" s="3">
        <v>1018</v>
      </c>
      <c r="O2861" s="231" t="s">
        <v>7266</v>
      </c>
      <c r="P2861" s="3"/>
      <c r="Q2861" s="3"/>
      <c r="R2861" s="3"/>
      <c r="S2861" s="3">
        <v>1</v>
      </c>
      <c r="T2861" s="3">
        <v>5</v>
      </c>
      <c r="U2861" s="3">
        <v>100</v>
      </c>
      <c r="V2861" s="3">
        <v>1</v>
      </c>
      <c r="W2861" s="3">
        <v>1</v>
      </c>
      <c r="X2861" s="3">
        <v>1</v>
      </c>
      <c r="Y2861" s="3">
        <v>0</v>
      </c>
      <c r="Z2861" s="3">
        <v>0</v>
      </c>
      <c r="AA2861" s="3">
        <v>5</v>
      </c>
      <c r="AB2861" s="3">
        <v>2000</v>
      </c>
      <c r="AC2861" s="3">
        <v>56</v>
      </c>
      <c r="AD2861" s="153">
        <v>0</v>
      </c>
      <c r="AE2861" s="153">
        <v>5</v>
      </c>
      <c r="AF2861" s="153">
        <v>2</v>
      </c>
      <c r="AG2861" s="337"/>
      <c r="AH2861" s="337"/>
      <c r="AI2861" s="337"/>
      <c r="AJ2861" s="337"/>
      <c r="AK2861" s="337"/>
      <c r="AL2861" s="234"/>
      <c r="AM2861" s="234"/>
      <c r="AN2861" s="476"/>
      <c r="AO2861" s="234"/>
      <c r="AP2861" s="234"/>
      <c r="AQ2861" s="3"/>
      <c r="AR2861" s="3"/>
      <c r="AS2861">
        <v>1</v>
      </c>
    </row>
    <row r="2862" spans="1:45">
      <c r="A2862" s="3">
        <v>619178</v>
      </c>
      <c r="B2862" s="3">
        <v>1001</v>
      </c>
      <c r="C2862" s="3">
        <v>6</v>
      </c>
      <c r="D2862" s="3">
        <v>1001</v>
      </c>
      <c r="E2862" s="3" t="s">
        <v>7267</v>
      </c>
      <c r="F2862" s="3" t="s">
        <v>7268</v>
      </c>
      <c r="G2862" s="3" t="s">
        <v>7269</v>
      </c>
      <c r="H2862" s="3" t="s">
        <v>204</v>
      </c>
      <c r="I2862" s="3">
        <v>1</v>
      </c>
      <c r="J2862" s="3">
        <v>5</v>
      </c>
      <c r="K2862" s="33">
        <v>2</v>
      </c>
      <c r="L2862" s="3">
        <v>999</v>
      </c>
      <c r="M2862" s="3">
        <v>0</v>
      </c>
      <c r="N2862" s="3">
        <v>1017</v>
      </c>
      <c r="O2862" s="2">
        <v>100248</v>
      </c>
      <c r="P2862" s="3"/>
      <c r="Q2862" s="3"/>
      <c r="R2862" s="3"/>
      <c r="S2862" s="33">
        <v>1</v>
      </c>
      <c r="T2862" s="3">
        <v>5</v>
      </c>
      <c r="U2862" s="3">
        <v>200</v>
      </c>
      <c r="V2862" s="33">
        <v>1</v>
      </c>
      <c r="W2862" s="3">
        <v>1</v>
      </c>
      <c r="X2862" s="3">
        <v>1</v>
      </c>
      <c r="Y2862" s="3">
        <v>0</v>
      </c>
      <c r="Z2862" s="33">
        <v>0</v>
      </c>
      <c r="AA2862" s="3">
        <v>5</v>
      </c>
      <c r="AB2862" s="3">
        <f>U2861*10</f>
        <v>1000</v>
      </c>
      <c r="AC2862" s="3">
        <v>56</v>
      </c>
      <c r="AD2862" s="62">
        <v>0</v>
      </c>
      <c r="AE2862" s="62">
        <v>4</v>
      </c>
      <c r="AF2862" s="62">
        <v>2</v>
      </c>
      <c r="AG2862" s="337"/>
      <c r="AH2862" s="337"/>
      <c r="AI2862" s="337"/>
      <c r="AJ2862" s="337"/>
      <c r="AK2862" s="337"/>
      <c r="AL2862" s="64">
        <v>1</v>
      </c>
      <c r="AM2862" s="234"/>
      <c r="AN2862" s="476"/>
      <c r="AO2862" s="234"/>
      <c r="AP2862" s="234"/>
      <c r="AQ2862" s="3"/>
      <c r="AR2862" s="3"/>
      <c r="AS2862">
        <v>1</v>
      </c>
    </row>
    <row r="2863" spans="1:45">
      <c r="A2863" s="3">
        <v>619179</v>
      </c>
      <c r="B2863" s="3">
        <v>1001</v>
      </c>
      <c r="C2863" s="3">
        <v>6</v>
      </c>
      <c r="D2863" s="3">
        <v>1001</v>
      </c>
      <c r="E2863" s="3" t="s">
        <v>7270</v>
      </c>
      <c r="F2863" s="3" t="s">
        <v>5550</v>
      </c>
      <c r="G2863" s="3" t="s">
        <v>7271</v>
      </c>
      <c r="H2863" s="3" t="s">
        <v>1822</v>
      </c>
      <c r="I2863" s="3">
        <v>1</v>
      </c>
      <c r="J2863" s="3">
        <v>5</v>
      </c>
      <c r="K2863" s="3">
        <v>2</v>
      </c>
      <c r="L2863" s="3">
        <v>999</v>
      </c>
      <c r="M2863" s="3">
        <v>0</v>
      </c>
      <c r="N2863" s="3">
        <v>1018</v>
      </c>
      <c r="O2863" s="231" t="s">
        <v>7272</v>
      </c>
      <c r="P2863" s="3"/>
      <c r="Q2863" s="3"/>
      <c r="R2863" s="3"/>
      <c r="S2863" s="3">
        <v>1</v>
      </c>
      <c r="T2863" s="3">
        <v>5</v>
      </c>
      <c r="U2863" s="3">
        <v>100</v>
      </c>
      <c r="V2863" s="3">
        <v>1</v>
      </c>
      <c r="W2863" s="3">
        <v>1</v>
      </c>
      <c r="X2863" s="3">
        <v>1</v>
      </c>
      <c r="Y2863" s="3">
        <v>0</v>
      </c>
      <c r="Z2863" s="3">
        <v>0</v>
      </c>
      <c r="AA2863" s="3">
        <v>5</v>
      </c>
      <c r="AB2863" s="3">
        <v>2000</v>
      </c>
      <c r="AC2863" s="3">
        <v>56</v>
      </c>
      <c r="AD2863" s="153">
        <v>0</v>
      </c>
      <c r="AE2863" s="153">
        <v>5</v>
      </c>
      <c r="AF2863" s="153">
        <v>2</v>
      </c>
      <c r="AG2863" s="337"/>
      <c r="AH2863" s="337"/>
      <c r="AI2863" s="337"/>
      <c r="AJ2863" s="337"/>
      <c r="AK2863" s="337"/>
      <c r="AL2863" s="234"/>
      <c r="AM2863" s="234"/>
      <c r="AN2863" s="476"/>
      <c r="AO2863" s="234"/>
      <c r="AP2863" s="234"/>
      <c r="AQ2863" s="3"/>
      <c r="AR2863" s="3"/>
      <c r="AS2863">
        <v>1</v>
      </c>
    </row>
    <row r="2864" spans="1:45">
      <c r="A2864" s="3">
        <v>619180</v>
      </c>
      <c r="B2864" s="3">
        <v>1001</v>
      </c>
      <c r="C2864" s="3">
        <v>6</v>
      </c>
      <c r="D2864" s="3">
        <v>1001</v>
      </c>
      <c r="E2864" s="3" t="s">
        <v>7273</v>
      </c>
      <c r="F2864" s="3" t="s">
        <v>5550</v>
      </c>
      <c r="G2864" s="3" t="s">
        <v>7274</v>
      </c>
      <c r="H2864" s="3" t="s">
        <v>1822</v>
      </c>
      <c r="I2864" s="3">
        <v>1</v>
      </c>
      <c r="J2864" s="3">
        <v>5</v>
      </c>
      <c r="K2864" s="3">
        <v>2</v>
      </c>
      <c r="L2864" s="3">
        <v>999</v>
      </c>
      <c r="M2864" s="3">
        <v>0</v>
      </c>
      <c r="N2864" s="3">
        <v>1018</v>
      </c>
      <c r="O2864" s="231" t="s">
        <v>7275</v>
      </c>
      <c r="P2864" s="3"/>
      <c r="Q2864" s="3"/>
      <c r="R2864" s="3"/>
      <c r="S2864" s="3">
        <v>1</v>
      </c>
      <c r="T2864" s="3">
        <v>5</v>
      </c>
      <c r="U2864" s="3">
        <v>100</v>
      </c>
      <c r="V2864" s="3">
        <v>1</v>
      </c>
      <c r="W2864" s="3">
        <v>1</v>
      </c>
      <c r="X2864" s="3">
        <v>1</v>
      </c>
      <c r="Y2864" s="3">
        <v>0</v>
      </c>
      <c r="Z2864" s="3">
        <v>0</v>
      </c>
      <c r="AA2864" s="3">
        <v>5</v>
      </c>
      <c r="AB2864" s="3">
        <v>2000</v>
      </c>
      <c r="AC2864" s="3">
        <v>56</v>
      </c>
      <c r="AD2864" s="153">
        <v>0</v>
      </c>
      <c r="AE2864" s="153">
        <v>5</v>
      </c>
      <c r="AF2864" s="153">
        <v>2</v>
      </c>
      <c r="AG2864" s="337"/>
      <c r="AH2864" s="337"/>
      <c r="AI2864" s="337"/>
      <c r="AJ2864" s="337"/>
      <c r="AK2864" s="337"/>
      <c r="AL2864" s="234"/>
      <c r="AM2864" s="234"/>
      <c r="AN2864" s="476"/>
      <c r="AO2864" s="234"/>
      <c r="AP2864" s="234"/>
      <c r="AQ2864" s="3"/>
      <c r="AR2864" s="3"/>
      <c r="AS2864">
        <v>1</v>
      </c>
    </row>
    <row r="2865" spans="1:45">
      <c r="A2865" s="3">
        <v>619181</v>
      </c>
      <c r="B2865" s="3">
        <v>1001</v>
      </c>
      <c r="C2865" s="3">
        <v>6</v>
      </c>
      <c r="D2865" s="3">
        <v>1001</v>
      </c>
      <c r="E2865" s="3" t="s">
        <v>7276</v>
      </c>
      <c r="F2865" s="3" t="s">
        <v>7276</v>
      </c>
      <c r="G2865" s="3" t="s">
        <v>7277</v>
      </c>
      <c r="H2865" s="3" t="s">
        <v>204</v>
      </c>
      <c r="I2865" s="3">
        <v>1</v>
      </c>
      <c r="J2865" s="3">
        <v>5</v>
      </c>
      <c r="K2865" s="33">
        <v>2</v>
      </c>
      <c r="L2865" s="3">
        <v>999</v>
      </c>
      <c r="M2865" s="3">
        <v>0</v>
      </c>
      <c r="N2865" s="3">
        <v>1017</v>
      </c>
      <c r="O2865" s="2">
        <v>100249</v>
      </c>
      <c r="P2865" s="3"/>
      <c r="Q2865" s="3"/>
      <c r="R2865" s="3"/>
      <c r="S2865" s="33">
        <v>1</v>
      </c>
      <c r="T2865" s="3">
        <v>5</v>
      </c>
      <c r="U2865" s="3">
        <v>200</v>
      </c>
      <c r="V2865" s="33">
        <v>1</v>
      </c>
      <c r="W2865" s="3">
        <v>1</v>
      </c>
      <c r="X2865" s="3">
        <v>1</v>
      </c>
      <c r="Y2865" s="3">
        <v>0</v>
      </c>
      <c r="Z2865" s="33">
        <v>0</v>
      </c>
      <c r="AA2865" s="3">
        <v>5</v>
      </c>
      <c r="AB2865" s="3">
        <f>U2864*10</f>
        <v>1000</v>
      </c>
      <c r="AC2865" s="3">
        <v>56</v>
      </c>
      <c r="AD2865" s="62">
        <v>0</v>
      </c>
      <c r="AE2865" s="62">
        <v>4</v>
      </c>
      <c r="AF2865" s="62">
        <v>2</v>
      </c>
      <c r="AL2865" s="64">
        <v>1</v>
      </c>
      <c r="AQ2865" s="3"/>
      <c r="AR2865" s="3"/>
      <c r="AS2865">
        <v>1</v>
      </c>
    </row>
    <row r="2866" spans="1:45">
      <c r="A2866" s="3">
        <v>619182</v>
      </c>
      <c r="B2866" s="3">
        <v>1001</v>
      </c>
      <c r="C2866" s="3">
        <v>6</v>
      </c>
      <c r="D2866" s="3">
        <v>1001</v>
      </c>
      <c r="E2866" s="3" t="s">
        <v>7278</v>
      </c>
      <c r="F2866" s="3" t="s">
        <v>7278</v>
      </c>
      <c r="G2866" s="3" t="s">
        <v>7279</v>
      </c>
      <c r="H2866" s="3" t="s">
        <v>7280</v>
      </c>
      <c r="I2866" s="3">
        <v>1</v>
      </c>
      <c r="J2866" s="3">
        <v>4</v>
      </c>
      <c r="K2866" s="33">
        <v>2</v>
      </c>
      <c r="L2866" s="3">
        <v>999</v>
      </c>
      <c r="M2866" s="3">
        <v>0</v>
      </c>
      <c r="N2866" s="3">
        <v>1017</v>
      </c>
      <c r="O2866" s="2">
        <v>100244</v>
      </c>
      <c r="P2866" s="3"/>
      <c r="Q2866" s="3"/>
      <c r="R2866" s="3"/>
      <c r="S2866" s="33">
        <v>1</v>
      </c>
      <c r="T2866" s="3">
        <v>5</v>
      </c>
      <c r="U2866" s="3">
        <v>200</v>
      </c>
      <c r="V2866" s="33">
        <v>1</v>
      </c>
      <c r="W2866" s="3">
        <v>1</v>
      </c>
      <c r="X2866" s="3">
        <v>1</v>
      </c>
      <c r="Y2866" s="3">
        <v>0</v>
      </c>
      <c r="Z2866" s="33">
        <v>0</v>
      </c>
      <c r="AA2866" s="3">
        <v>5</v>
      </c>
      <c r="AB2866" s="3">
        <f>U2865*10</f>
        <v>2000</v>
      </c>
      <c r="AC2866" s="3">
        <v>56</v>
      </c>
      <c r="AD2866" s="62">
        <v>0</v>
      </c>
      <c r="AE2866" s="62">
        <v>4</v>
      </c>
      <c r="AF2866" s="62">
        <v>2</v>
      </c>
      <c r="AL2866" s="64">
        <v>1</v>
      </c>
      <c r="AQ2866" s="3"/>
      <c r="AR2866" s="3"/>
      <c r="AS2866">
        <v>1</v>
      </c>
    </row>
    <row r="2867" spans="1:45">
      <c r="A2867" s="3">
        <v>619183</v>
      </c>
      <c r="B2867" s="3">
        <v>1001</v>
      </c>
      <c r="C2867" s="3">
        <v>6</v>
      </c>
      <c r="D2867" s="3">
        <v>1001</v>
      </c>
      <c r="E2867" s="3" t="s">
        <v>7281</v>
      </c>
      <c r="F2867" s="3" t="s">
        <v>7281</v>
      </c>
      <c r="G2867" s="3" t="s">
        <v>7282</v>
      </c>
      <c r="H2867" s="3" t="s">
        <v>6248</v>
      </c>
      <c r="I2867" s="3">
        <v>1</v>
      </c>
      <c r="J2867" s="3">
        <v>4</v>
      </c>
      <c r="K2867" s="33">
        <v>2</v>
      </c>
      <c r="L2867" s="3">
        <v>999</v>
      </c>
      <c r="M2867" s="3">
        <v>0</v>
      </c>
      <c r="N2867" s="3">
        <v>1017</v>
      </c>
      <c r="O2867" s="2">
        <v>100245</v>
      </c>
      <c r="P2867" s="3"/>
      <c r="Q2867" s="3"/>
      <c r="R2867" s="3"/>
      <c r="S2867" s="33">
        <v>1</v>
      </c>
      <c r="T2867" s="3">
        <v>5</v>
      </c>
      <c r="U2867" s="3">
        <v>200</v>
      </c>
      <c r="V2867" s="33">
        <v>1</v>
      </c>
      <c r="W2867" s="3">
        <v>1</v>
      </c>
      <c r="X2867" s="3">
        <v>1</v>
      </c>
      <c r="Y2867" s="3">
        <v>0</v>
      </c>
      <c r="Z2867" s="33">
        <v>0</v>
      </c>
      <c r="AA2867" s="3">
        <v>5</v>
      </c>
      <c r="AB2867" s="3">
        <f>U2866*10</f>
        <v>2000</v>
      </c>
      <c r="AC2867" s="3">
        <v>56</v>
      </c>
      <c r="AD2867" s="62">
        <v>0</v>
      </c>
      <c r="AE2867" s="62">
        <v>4</v>
      </c>
      <c r="AF2867" s="62">
        <v>2</v>
      </c>
      <c r="AG2867" s="337"/>
      <c r="AH2867" s="337"/>
      <c r="AI2867" s="337"/>
      <c r="AJ2867" s="337"/>
      <c r="AK2867" s="337"/>
      <c r="AL2867" s="64">
        <v>1</v>
      </c>
      <c r="AM2867" s="234"/>
      <c r="AN2867" s="476"/>
      <c r="AO2867" s="234"/>
      <c r="AP2867" s="234"/>
      <c r="AQ2867" s="3"/>
      <c r="AR2867" s="3"/>
      <c r="AS2867">
        <v>1</v>
      </c>
    </row>
    <row r="2868" spans="1:45">
      <c r="A2868" s="3">
        <v>619184</v>
      </c>
      <c r="B2868" s="3">
        <v>1001</v>
      </c>
      <c r="C2868" s="3">
        <v>6</v>
      </c>
      <c r="D2868" s="3">
        <v>1001</v>
      </c>
      <c r="E2868" s="3" t="s">
        <v>7283</v>
      </c>
      <c r="F2868" s="3" t="s">
        <v>5550</v>
      </c>
      <c r="G2868" s="3" t="s">
        <v>7284</v>
      </c>
      <c r="H2868" s="3" t="s">
        <v>1822</v>
      </c>
      <c r="I2868" s="3">
        <v>1</v>
      </c>
      <c r="J2868" s="3">
        <v>5</v>
      </c>
      <c r="K2868" s="3">
        <v>2</v>
      </c>
      <c r="L2868" s="3">
        <v>999</v>
      </c>
      <c r="M2868" s="3">
        <v>0</v>
      </c>
      <c r="N2868" s="3">
        <v>1018</v>
      </c>
      <c r="O2868" s="231" t="s">
        <v>7285</v>
      </c>
      <c r="P2868" s="3"/>
      <c r="Q2868" s="3"/>
      <c r="R2868" s="3"/>
      <c r="S2868" s="3">
        <v>1</v>
      </c>
      <c r="T2868" s="3">
        <v>5</v>
      </c>
      <c r="U2868" s="3">
        <v>100</v>
      </c>
      <c r="V2868" s="3">
        <v>1</v>
      </c>
      <c r="W2868" s="3">
        <v>1</v>
      </c>
      <c r="X2868" s="3">
        <v>1</v>
      </c>
      <c r="Y2868" s="3">
        <v>0</v>
      </c>
      <c r="Z2868" s="3">
        <v>0</v>
      </c>
      <c r="AA2868" s="3">
        <v>5</v>
      </c>
      <c r="AB2868" s="3">
        <v>2000</v>
      </c>
      <c r="AC2868" s="3">
        <v>56</v>
      </c>
      <c r="AD2868" s="153">
        <v>0</v>
      </c>
      <c r="AE2868" s="153">
        <v>5</v>
      </c>
      <c r="AF2868" s="153">
        <v>2</v>
      </c>
      <c r="AG2868" s="337"/>
      <c r="AH2868" s="337"/>
      <c r="AI2868" s="337"/>
      <c r="AJ2868" s="337"/>
      <c r="AK2868" s="337"/>
      <c r="AL2868" s="234"/>
      <c r="AM2868" s="234"/>
      <c r="AN2868" s="476"/>
      <c r="AO2868" s="234"/>
      <c r="AP2868" s="234"/>
      <c r="AQ2868" s="3"/>
      <c r="AR2868" s="3"/>
      <c r="AS2868">
        <v>1</v>
      </c>
    </row>
    <row r="2869" spans="1:45">
      <c r="A2869" s="3">
        <v>619185</v>
      </c>
      <c r="B2869" s="3">
        <v>1001</v>
      </c>
      <c r="C2869" s="3">
        <v>1</v>
      </c>
      <c r="D2869" s="3">
        <v>1001</v>
      </c>
      <c r="E2869" s="3" t="s">
        <v>6218</v>
      </c>
      <c r="F2869" s="3" t="s">
        <v>6218</v>
      </c>
      <c r="G2869" s="3" t="s">
        <v>7286</v>
      </c>
      <c r="H2869" s="3" t="s">
        <v>6220</v>
      </c>
      <c r="I2869" s="3">
        <v>1</v>
      </c>
      <c r="J2869" s="3">
        <v>2</v>
      </c>
      <c r="K2869" s="33">
        <v>1</v>
      </c>
      <c r="L2869" s="3">
        <v>999</v>
      </c>
      <c r="M2869" s="3">
        <v>0</v>
      </c>
      <c r="N2869" s="3"/>
      <c r="P2869" s="3"/>
      <c r="Q2869" s="3"/>
      <c r="R2869" s="3"/>
      <c r="S2869" s="33">
        <v>1</v>
      </c>
      <c r="T2869" s="3">
        <v>5</v>
      </c>
      <c r="U2869" s="3">
        <v>50</v>
      </c>
      <c r="V2869" s="33">
        <v>1</v>
      </c>
      <c r="W2869" s="3">
        <v>1</v>
      </c>
      <c r="X2869" s="3">
        <v>1</v>
      </c>
      <c r="Y2869" s="3">
        <v>0</v>
      </c>
      <c r="Z2869" s="33">
        <v>0</v>
      </c>
      <c r="AA2869" s="3">
        <v>5</v>
      </c>
      <c r="AB2869" s="3">
        <v>500</v>
      </c>
      <c r="AC2869" s="3">
        <v>56</v>
      </c>
      <c r="AL2869" s="64">
        <v>1</v>
      </c>
      <c r="AQ2869" s="3"/>
      <c r="AR2869" s="3"/>
      <c r="AS2869">
        <v>1</v>
      </c>
    </row>
    <row r="2870" spans="1:45">
      <c r="A2870" s="3">
        <v>619186</v>
      </c>
      <c r="B2870" s="3">
        <v>1001</v>
      </c>
      <c r="C2870" s="3">
        <v>1</v>
      </c>
      <c r="D2870" s="3">
        <v>1001</v>
      </c>
      <c r="E2870" s="3" t="s">
        <v>7287</v>
      </c>
      <c r="F2870" s="3" t="s">
        <v>7287</v>
      </c>
      <c r="G2870" s="3" t="s">
        <v>7288</v>
      </c>
      <c r="H2870" s="3" t="s">
        <v>1804</v>
      </c>
      <c r="I2870" s="3">
        <v>1</v>
      </c>
      <c r="J2870" s="3">
        <v>3</v>
      </c>
      <c r="K2870" s="33">
        <v>1</v>
      </c>
      <c r="L2870" s="3">
        <v>999</v>
      </c>
      <c r="M2870" s="3">
        <v>0</v>
      </c>
      <c r="N2870" s="3"/>
      <c r="P2870" s="3"/>
      <c r="Q2870" s="3"/>
      <c r="R2870" s="3"/>
      <c r="S2870" s="33">
        <v>1</v>
      </c>
      <c r="T2870" s="3">
        <v>5</v>
      </c>
      <c r="U2870" s="3">
        <v>100</v>
      </c>
      <c r="V2870" s="33">
        <v>1</v>
      </c>
      <c r="W2870" s="3">
        <v>1</v>
      </c>
      <c r="X2870" s="3">
        <v>1</v>
      </c>
      <c r="Y2870" s="3">
        <v>0</v>
      </c>
      <c r="Z2870" s="33">
        <v>0</v>
      </c>
      <c r="AA2870" s="3">
        <v>5</v>
      </c>
      <c r="AB2870" s="3">
        <v>1000</v>
      </c>
      <c r="AC2870" s="3">
        <v>56</v>
      </c>
      <c r="AL2870" s="64">
        <v>1</v>
      </c>
      <c r="AQ2870" s="3"/>
      <c r="AR2870" s="3"/>
      <c r="AS2870">
        <v>1</v>
      </c>
    </row>
    <row r="2871" spans="1:45">
      <c r="A2871" s="3">
        <v>619187</v>
      </c>
      <c r="B2871" s="3">
        <v>1001</v>
      </c>
      <c r="C2871" s="3">
        <v>6</v>
      </c>
      <c r="D2871" s="3">
        <v>1001</v>
      </c>
      <c r="E2871" s="3" t="s">
        <v>7289</v>
      </c>
      <c r="F2871" s="3" t="s">
        <v>7289</v>
      </c>
      <c r="G2871" s="3" t="s">
        <v>7290</v>
      </c>
      <c r="H2871" s="3" t="s">
        <v>5740</v>
      </c>
      <c r="I2871" s="3">
        <v>1</v>
      </c>
      <c r="J2871" s="3">
        <v>4</v>
      </c>
      <c r="K2871" s="33">
        <v>2</v>
      </c>
      <c r="L2871" s="3">
        <v>999</v>
      </c>
      <c r="M2871" s="3">
        <v>0</v>
      </c>
      <c r="N2871" s="3">
        <v>1017</v>
      </c>
      <c r="O2871" s="2">
        <v>100247</v>
      </c>
      <c r="P2871" s="3"/>
      <c r="Q2871" s="3"/>
      <c r="R2871" s="3"/>
      <c r="S2871" s="33">
        <v>1</v>
      </c>
      <c r="T2871" s="3">
        <v>5</v>
      </c>
      <c r="U2871" s="3">
        <v>200</v>
      </c>
      <c r="V2871" s="33">
        <v>1</v>
      </c>
      <c r="W2871" s="3">
        <v>1</v>
      </c>
      <c r="X2871" s="3">
        <v>1</v>
      </c>
      <c r="Y2871" s="3">
        <v>0</v>
      </c>
      <c r="Z2871" s="33">
        <v>0</v>
      </c>
      <c r="AA2871" s="3">
        <v>5</v>
      </c>
      <c r="AB2871" s="3">
        <v>2000</v>
      </c>
      <c r="AC2871" s="3">
        <v>56</v>
      </c>
      <c r="AD2871" s="62">
        <v>0</v>
      </c>
      <c r="AE2871" s="62">
        <v>4</v>
      </c>
      <c r="AF2871" s="62">
        <v>2</v>
      </c>
      <c r="AG2871" s="337"/>
      <c r="AH2871" s="337"/>
      <c r="AI2871" s="337"/>
      <c r="AJ2871" s="337"/>
      <c r="AK2871" s="337"/>
      <c r="AL2871" s="64">
        <v>1</v>
      </c>
      <c r="AM2871" s="234"/>
      <c r="AN2871" s="476"/>
      <c r="AO2871" s="234"/>
      <c r="AP2871" s="234"/>
      <c r="AQ2871" s="3"/>
      <c r="AR2871" s="3"/>
      <c r="AS2871">
        <v>1</v>
      </c>
    </row>
    <row r="2872" spans="1:45">
      <c r="A2872" s="3">
        <v>619188</v>
      </c>
      <c r="B2872" s="3">
        <v>1001</v>
      </c>
      <c r="C2872" s="3">
        <v>6</v>
      </c>
      <c r="D2872" s="3">
        <v>1001</v>
      </c>
      <c r="E2872" s="3" t="s">
        <v>7291</v>
      </c>
      <c r="F2872" s="3" t="s">
        <v>5550</v>
      </c>
      <c r="G2872" s="3" t="s">
        <v>7292</v>
      </c>
      <c r="H2872" s="3" t="s">
        <v>1822</v>
      </c>
      <c r="I2872" s="3">
        <v>1</v>
      </c>
      <c r="J2872" s="3">
        <v>5</v>
      </c>
      <c r="K2872" s="3">
        <v>2</v>
      </c>
      <c r="L2872" s="3">
        <v>999</v>
      </c>
      <c r="M2872" s="3">
        <v>0</v>
      </c>
      <c r="N2872" s="3">
        <v>1018</v>
      </c>
      <c r="O2872" s="231" t="s">
        <v>7293</v>
      </c>
      <c r="P2872" s="3"/>
      <c r="Q2872" s="3"/>
      <c r="R2872" s="3"/>
      <c r="S2872" s="3">
        <v>1</v>
      </c>
      <c r="T2872" s="3">
        <v>5</v>
      </c>
      <c r="U2872" s="3">
        <v>100</v>
      </c>
      <c r="V2872" s="3">
        <v>1</v>
      </c>
      <c r="W2872" s="3">
        <v>1</v>
      </c>
      <c r="X2872" s="3">
        <v>1</v>
      </c>
      <c r="Y2872" s="3">
        <v>0</v>
      </c>
      <c r="Z2872" s="3">
        <v>0</v>
      </c>
      <c r="AA2872" s="3">
        <v>5</v>
      </c>
      <c r="AB2872" s="3">
        <v>2000</v>
      </c>
      <c r="AC2872" s="3">
        <v>55</v>
      </c>
      <c r="AD2872" s="153">
        <v>0</v>
      </c>
      <c r="AE2872" s="153">
        <v>5</v>
      </c>
      <c r="AF2872" s="153">
        <v>2</v>
      </c>
      <c r="AG2872" s="337"/>
      <c r="AH2872" s="337"/>
      <c r="AI2872" s="337"/>
      <c r="AJ2872" s="337"/>
      <c r="AK2872" s="337"/>
      <c r="AL2872" s="234"/>
      <c r="AM2872" s="234"/>
      <c r="AN2872" s="476"/>
      <c r="AO2872" s="234"/>
      <c r="AP2872" s="234"/>
      <c r="AQ2872" s="3"/>
      <c r="AR2872" s="3"/>
      <c r="AS2872">
        <v>1</v>
      </c>
    </row>
    <row r="2873" spans="1:45">
      <c r="A2873" s="3">
        <v>619189</v>
      </c>
      <c r="B2873" s="3">
        <v>1001</v>
      </c>
      <c r="C2873" s="3">
        <v>6</v>
      </c>
      <c r="D2873" s="3">
        <v>1001</v>
      </c>
      <c r="E2873" s="3" t="s">
        <v>7294</v>
      </c>
      <c r="F2873" s="3" t="s">
        <v>5550</v>
      </c>
      <c r="G2873" s="3" t="s">
        <v>7295</v>
      </c>
      <c r="H2873" s="3" t="s">
        <v>1822</v>
      </c>
      <c r="I2873" s="3">
        <v>1</v>
      </c>
      <c r="J2873" s="3">
        <v>5</v>
      </c>
      <c r="K2873" s="3">
        <v>2</v>
      </c>
      <c r="L2873" s="3">
        <v>999</v>
      </c>
      <c r="M2873" s="3">
        <v>0</v>
      </c>
      <c r="N2873" s="3">
        <v>1018</v>
      </c>
      <c r="O2873" s="231" t="s">
        <v>7296</v>
      </c>
      <c r="P2873" s="3"/>
      <c r="Q2873" s="3"/>
      <c r="R2873" s="3"/>
      <c r="S2873" s="3">
        <v>1</v>
      </c>
      <c r="T2873" s="3">
        <v>5</v>
      </c>
      <c r="U2873" s="3">
        <v>100</v>
      </c>
      <c r="V2873" s="3">
        <v>1</v>
      </c>
      <c r="W2873" s="3">
        <v>1</v>
      </c>
      <c r="X2873" s="3">
        <v>1</v>
      </c>
      <c r="Y2873" s="3">
        <v>0</v>
      </c>
      <c r="Z2873" s="3">
        <v>0</v>
      </c>
      <c r="AA2873" s="3">
        <v>5</v>
      </c>
      <c r="AB2873" s="3">
        <v>2000</v>
      </c>
      <c r="AC2873" s="3">
        <v>55</v>
      </c>
      <c r="AD2873" s="153">
        <v>0</v>
      </c>
      <c r="AE2873" s="153">
        <v>5</v>
      </c>
      <c r="AF2873" s="153">
        <v>2</v>
      </c>
      <c r="AG2873" s="337"/>
      <c r="AH2873" s="337"/>
      <c r="AI2873" s="337"/>
      <c r="AJ2873" s="337"/>
      <c r="AK2873" s="337"/>
      <c r="AL2873" s="234"/>
      <c r="AM2873" s="234"/>
      <c r="AN2873" s="476"/>
      <c r="AO2873" s="234"/>
      <c r="AP2873" s="234"/>
      <c r="AQ2873" s="3"/>
      <c r="AR2873" s="3"/>
      <c r="AS2873">
        <v>1</v>
      </c>
    </row>
    <row r="2874" spans="1:45">
      <c r="A2874" s="3">
        <v>619190</v>
      </c>
      <c r="B2874" s="3">
        <v>1001</v>
      </c>
      <c r="C2874" s="3">
        <v>6</v>
      </c>
      <c r="D2874" s="3">
        <v>1001</v>
      </c>
      <c r="E2874" s="3" t="s">
        <v>7297</v>
      </c>
      <c r="F2874" s="3" t="s">
        <v>5550</v>
      </c>
      <c r="G2874" s="3" t="s">
        <v>7052</v>
      </c>
      <c r="H2874" s="3" t="s">
        <v>1822</v>
      </c>
      <c r="I2874" s="3">
        <v>1</v>
      </c>
      <c r="J2874" s="3">
        <v>5</v>
      </c>
      <c r="K2874" s="3">
        <v>2</v>
      </c>
      <c r="L2874" s="3">
        <v>999</v>
      </c>
      <c r="M2874" s="3">
        <v>0</v>
      </c>
      <c r="N2874" s="3">
        <v>1018</v>
      </c>
      <c r="O2874" s="231" t="s">
        <v>7053</v>
      </c>
      <c r="P2874" s="3"/>
      <c r="Q2874" s="3"/>
      <c r="R2874" s="3"/>
      <c r="S2874" s="3">
        <v>1</v>
      </c>
      <c r="T2874" s="3">
        <v>5</v>
      </c>
      <c r="U2874" s="3">
        <v>100</v>
      </c>
      <c r="V2874" s="3">
        <v>1</v>
      </c>
      <c r="W2874" s="3">
        <v>1</v>
      </c>
      <c r="X2874" s="3">
        <v>1</v>
      </c>
      <c r="Y2874" s="3">
        <v>0</v>
      </c>
      <c r="Z2874" s="3">
        <v>0</v>
      </c>
      <c r="AA2874" s="3">
        <v>5</v>
      </c>
      <c r="AB2874" s="3">
        <v>2000</v>
      </c>
      <c r="AC2874" s="3">
        <v>55</v>
      </c>
      <c r="AD2874" s="153">
        <v>0</v>
      </c>
      <c r="AE2874" s="153">
        <v>5</v>
      </c>
      <c r="AF2874" s="153">
        <v>2</v>
      </c>
      <c r="AG2874" s="337"/>
      <c r="AH2874" s="337"/>
      <c r="AI2874" s="337"/>
      <c r="AJ2874" s="337"/>
      <c r="AK2874" s="337"/>
      <c r="AL2874" s="234"/>
      <c r="AM2874" s="234"/>
      <c r="AN2874" s="476"/>
      <c r="AO2874" s="234"/>
      <c r="AP2874" s="234"/>
      <c r="AQ2874" s="3"/>
      <c r="AR2874" s="3"/>
      <c r="AS2874">
        <v>1</v>
      </c>
    </row>
    <row r="2875" spans="1:45">
      <c r="A2875" s="3">
        <v>619191</v>
      </c>
      <c r="B2875" s="3">
        <v>1001</v>
      </c>
      <c r="C2875" s="3">
        <v>6</v>
      </c>
      <c r="D2875" s="3">
        <v>1001</v>
      </c>
      <c r="E2875" s="3" t="s">
        <v>7298</v>
      </c>
      <c r="F2875" s="3" t="s">
        <v>5550</v>
      </c>
      <c r="G2875" s="3" t="s">
        <v>7299</v>
      </c>
      <c r="H2875" s="3" t="s">
        <v>1822</v>
      </c>
      <c r="I2875" s="3">
        <v>1</v>
      </c>
      <c r="J2875" s="3">
        <v>5</v>
      </c>
      <c r="K2875" s="3">
        <v>2</v>
      </c>
      <c r="L2875" s="3">
        <v>999</v>
      </c>
      <c r="M2875" s="3">
        <v>0</v>
      </c>
      <c r="N2875" s="3">
        <v>1018</v>
      </c>
      <c r="O2875" s="231" t="s">
        <v>6490</v>
      </c>
      <c r="P2875" s="3"/>
      <c r="Q2875" s="3"/>
      <c r="R2875" s="3"/>
      <c r="S2875" s="3">
        <v>1</v>
      </c>
      <c r="T2875" s="3">
        <v>5</v>
      </c>
      <c r="U2875" s="3">
        <v>100</v>
      </c>
      <c r="V2875" s="3">
        <v>1</v>
      </c>
      <c r="W2875" s="3">
        <v>1</v>
      </c>
      <c r="X2875" s="3">
        <v>1</v>
      </c>
      <c r="Y2875" s="3">
        <v>0</v>
      </c>
      <c r="Z2875" s="3">
        <v>0</v>
      </c>
      <c r="AA2875" s="3">
        <v>5</v>
      </c>
      <c r="AB2875" s="3">
        <v>2000</v>
      </c>
      <c r="AC2875" s="3">
        <v>55</v>
      </c>
      <c r="AD2875" s="153">
        <v>0</v>
      </c>
      <c r="AE2875" s="153">
        <v>5</v>
      </c>
      <c r="AF2875" s="153">
        <v>2</v>
      </c>
      <c r="AG2875" s="337"/>
      <c r="AH2875" s="337"/>
      <c r="AI2875" s="337"/>
      <c r="AJ2875" s="337"/>
      <c r="AK2875" s="337"/>
      <c r="AL2875" s="234"/>
      <c r="AM2875" s="234"/>
      <c r="AN2875" s="476"/>
      <c r="AO2875" s="234"/>
      <c r="AP2875" s="234"/>
      <c r="AQ2875" s="3"/>
      <c r="AR2875" s="3"/>
      <c r="AS2875">
        <v>1</v>
      </c>
    </row>
    <row r="2876" spans="1:45">
      <c r="A2876" s="3">
        <v>619192</v>
      </c>
      <c r="B2876" s="3">
        <v>1001</v>
      </c>
      <c r="C2876" s="3">
        <v>1</v>
      </c>
      <c r="D2876" s="3">
        <v>1001</v>
      </c>
      <c r="E2876" s="3" t="s">
        <v>7300</v>
      </c>
      <c r="F2876" s="3" t="s">
        <v>7300</v>
      </c>
      <c r="G2876" s="3" t="s">
        <v>7301</v>
      </c>
      <c r="H2876" s="3" t="s">
        <v>6748</v>
      </c>
      <c r="I2876" s="3">
        <v>1</v>
      </c>
      <c r="J2876" s="3">
        <v>2</v>
      </c>
      <c r="K2876" s="3">
        <v>1</v>
      </c>
      <c r="L2876" s="3">
        <v>999</v>
      </c>
      <c r="M2876" s="3">
        <v>0</v>
      </c>
      <c r="N2876" s="3"/>
      <c r="O2876" s="231"/>
      <c r="P2876" s="3"/>
      <c r="Q2876" s="3"/>
      <c r="R2876" s="3"/>
      <c r="S2876" s="3">
        <v>1</v>
      </c>
      <c r="T2876" s="3">
        <v>5</v>
      </c>
      <c r="U2876" s="3">
        <v>50</v>
      </c>
      <c r="V2876" s="3">
        <v>1</v>
      </c>
      <c r="W2876" s="3">
        <v>1</v>
      </c>
      <c r="X2876" s="3">
        <v>1</v>
      </c>
      <c r="Y2876" s="3">
        <v>0</v>
      </c>
      <c r="Z2876" s="3">
        <v>0</v>
      </c>
      <c r="AA2876" s="3">
        <v>5</v>
      </c>
      <c r="AB2876" s="3">
        <v>500</v>
      </c>
      <c r="AC2876" s="3">
        <v>56</v>
      </c>
      <c r="AD2876" s="153"/>
      <c r="AE2876" s="153"/>
      <c r="AF2876" s="153"/>
      <c r="AG2876" s="337"/>
      <c r="AH2876" s="337"/>
      <c r="AI2876" s="337"/>
      <c r="AJ2876" s="337"/>
      <c r="AK2876" s="337"/>
      <c r="AL2876" s="234">
        <v>1</v>
      </c>
      <c r="AM2876" s="234"/>
      <c r="AN2876" s="476"/>
      <c r="AO2876" s="234"/>
      <c r="AP2876" s="234"/>
      <c r="AQ2876" s="3"/>
      <c r="AR2876" s="3"/>
      <c r="AS2876">
        <v>1</v>
      </c>
    </row>
    <row r="2877" spans="1:45">
      <c r="A2877" s="3">
        <v>619193</v>
      </c>
      <c r="B2877" s="3">
        <v>1001</v>
      </c>
      <c r="C2877" s="3">
        <v>1</v>
      </c>
      <c r="D2877" s="3">
        <v>1001</v>
      </c>
      <c r="E2877" s="3" t="s">
        <v>7302</v>
      </c>
      <c r="F2877" s="3" t="s">
        <v>7302</v>
      </c>
      <c r="G2877" s="3" t="s">
        <v>7303</v>
      </c>
      <c r="H2877" s="3" t="s">
        <v>1943</v>
      </c>
      <c r="I2877" s="3">
        <v>1</v>
      </c>
      <c r="J2877" s="3">
        <v>3</v>
      </c>
      <c r="K2877" s="3">
        <v>1</v>
      </c>
      <c r="L2877" s="3">
        <v>999</v>
      </c>
      <c r="M2877" s="3">
        <v>0</v>
      </c>
      <c r="N2877" s="3"/>
      <c r="O2877" s="231"/>
      <c r="P2877" s="3"/>
      <c r="Q2877" s="3"/>
      <c r="R2877" s="3"/>
      <c r="S2877" s="3">
        <v>1</v>
      </c>
      <c r="T2877" s="3">
        <v>5</v>
      </c>
      <c r="U2877" s="3">
        <v>100</v>
      </c>
      <c r="V2877" s="3">
        <v>1</v>
      </c>
      <c r="W2877" s="3">
        <v>1</v>
      </c>
      <c r="X2877" s="3">
        <v>1</v>
      </c>
      <c r="Y2877" s="3">
        <v>0</v>
      </c>
      <c r="Z2877" s="3">
        <v>0</v>
      </c>
      <c r="AA2877" s="3">
        <v>5</v>
      </c>
      <c r="AB2877" s="3">
        <v>1000</v>
      </c>
      <c r="AC2877" s="3">
        <v>56</v>
      </c>
      <c r="AD2877" s="153"/>
      <c r="AE2877" s="153"/>
      <c r="AF2877" s="153"/>
      <c r="AG2877" s="337"/>
      <c r="AH2877" s="337"/>
      <c r="AI2877" s="337"/>
      <c r="AJ2877" s="337"/>
      <c r="AK2877" s="337"/>
      <c r="AL2877" s="234">
        <v>1</v>
      </c>
      <c r="AM2877" s="234"/>
      <c r="AN2877" s="476"/>
      <c r="AO2877" s="234"/>
      <c r="AP2877" s="234"/>
      <c r="AQ2877" s="3"/>
      <c r="AR2877" s="3"/>
      <c r="AS2877">
        <v>1</v>
      </c>
    </row>
    <row r="2878" spans="1:45">
      <c r="A2878" s="3">
        <v>619194</v>
      </c>
      <c r="B2878" s="3">
        <v>1001</v>
      </c>
      <c r="C2878" s="3">
        <v>6</v>
      </c>
      <c r="D2878" s="3">
        <v>1001</v>
      </c>
      <c r="E2878" s="3" t="s">
        <v>6271</v>
      </c>
      <c r="F2878" s="3" t="s">
        <v>7304</v>
      </c>
      <c r="G2878" s="3" t="s">
        <v>7305</v>
      </c>
      <c r="H2878" s="3" t="s">
        <v>6273</v>
      </c>
      <c r="I2878" s="3">
        <v>1</v>
      </c>
      <c r="J2878" s="3">
        <v>4</v>
      </c>
      <c r="K2878" s="3">
        <v>2</v>
      </c>
      <c r="L2878" s="3">
        <v>999</v>
      </c>
      <c r="M2878" s="3">
        <v>0</v>
      </c>
      <c r="N2878" s="3">
        <v>1017</v>
      </c>
      <c r="O2878" s="231">
        <v>100247</v>
      </c>
      <c r="P2878" s="3"/>
      <c r="Q2878" s="3"/>
      <c r="R2878" s="3"/>
      <c r="S2878" s="3">
        <v>1</v>
      </c>
      <c r="T2878" s="3">
        <v>5</v>
      </c>
      <c r="U2878" s="3">
        <v>200</v>
      </c>
      <c r="V2878" s="3">
        <v>1</v>
      </c>
      <c r="W2878" s="3">
        <v>1</v>
      </c>
      <c r="X2878" s="3">
        <v>1</v>
      </c>
      <c r="Y2878" s="3">
        <v>0</v>
      </c>
      <c r="Z2878" s="3">
        <v>0</v>
      </c>
      <c r="AA2878" s="3">
        <v>5</v>
      </c>
      <c r="AB2878" s="3">
        <v>2000</v>
      </c>
      <c r="AC2878" s="3">
        <v>56</v>
      </c>
      <c r="AD2878" s="153">
        <v>0</v>
      </c>
      <c r="AE2878" s="153">
        <v>4</v>
      </c>
      <c r="AF2878" s="153">
        <v>2</v>
      </c>
      <c r="AG2878" s="337"/>
      <c r="AH2878" s="337"/>
      <c r="AI2878" s="337"/>
      <c r="AJ2878" s="337"/>
      <c r="AK2878" s="337"/>
      <c r="AL2878" s="234">
        <v>1</v>
      </c>
      <c r="AM2878" s="234"/>
      <c r="AN2878" s="476"/>
      <c r="AO2878" s="234"/>
      <c r="AP2878" s="234"/>
      <c r="AQ2878" s="3"/>
      <c r="AR2878" s="3"/>
      <c r="AS2878">
        <v>1</v>
      </c>
    </row>
    <row r="2879" spans="1:45">
      <c r="A2879" s="3">
        <v>619195</v>
      </c>
      <c r="B2879" s="3">
        <v>1001</v>
      </c>
      <c r="C2879" s="3">
        <v>6</v>
      </c>
      <c r="D2879" s="3">
        <v>1001</v>
      </c>
      <c r="E2879" s="3" t="s">
        <v>7306</v>
      </c>
      <c r="F2879" s="3" t="s">
        <v>5550</v>
      </c>
      <c r="G2879" s="3" t="s">
        <v>7307</v>
      </c>
      <c r="H2879" s="339" t="s">
        <v>1822</v>
      </c>
      <c r="I2879" s="3">
        <v>1</v>
      </c>
      <c r="J2879" s="3">
        <v>5</v>
      </c>
      <c r="K2879" s="3">
        <v>2</v>
      </c>
      <c r="L2879" s="3">
        <v>999</v>
      </c>
      <c r="M2879" s="3">
        <v>0</v>
      </c>
      <c r="N2879" s="3">
        <v>1018</v>
      </c>
      <c r="O2879" s="231" t="s">
        <v>7308</v>
      </c>
      <c r="P2879" s="3"/>
      <c r="Q2879" s="3"/>
      <c r="R2879" s="3"/>
      <c r="S2879" s="3">
        <v>1</v>
      </c>
      <c r="T2879" s="3">
        <v>5</v>
      </c>
      <c r="U2879" s="3">
        <v>100</v>
      </c>
      <c r="V2879" s="3">
        <v>1</v>
      </c>
      <c r="W2879" s="3">
        <v>1</v>
      </c>
      <c r="X2879" s="3">
        <v>1</v>
      </c>
      <c r="Y2879" s="3">
        <v>0</v>
      </c>
      <c r="Z2879" s="3">
        <v>0</v>
      </c>
      <c r="AA2879" s="3">
        <v>5</v>
      </c>
      <c r="AB2879" s="3">
        <v>2000</v>
      </c>
      <c r="AC2879" s="3">
        <v>56</v>
      </c>
      <c r="AD2879" s="153">
        <v>0</v>
      </c>
      <c r="AE2879" s="153">
        <v>5</v>
      </c>
      <c r="AF2879" s="153">
        <v>2</v>
      </c>
      <c r="AG2879" s="337"/>
      <c r="AH2879" s="337"/>
      <c r="AI2879" s="337"/>
      <c r="AJ2879" s="337"/>
      <c r="AK2879" s="337"/>
      <c r="AL2879" s="234"/>
      <c r="AM2879" s="234"/>
      <c r="AN2879" s="476"/>
      <c r="AO2879" s="234"/>
      <c r="AP2879" s="234"/>
      <c r="AQ2879" s="3"/>
      <c r="AR2879" s="3"/>
      <c r="AS2879">
        <v>1</v>
      </c>
    </row>
    <row r="2880" spans="1:45">
      <c r="A2880" s="3">
        <v>619196</v>
      </c>
      <c r="B2880" s="3">
        <v>1001</v>
      </c>
      <c r="C2880" s="3">
        <v>6</v>
      </c>
      <c r="D2880" s="3">
        <v>1001</v>
      </c>
      <c r="E2880" s="3" t="s">
        <v>6271</v>
      </c>
      <c r="F2880" s="3" t="s">
        <v>6271</v>
      </c>
      <c r="G2880" s="3" t="s">
        <v>5593</v>
      </c>
      <c r="H2880" s="236" t="s">
        <v>6273</v>
      </c>
      <c r="I2880" s="3">
        <v>1</v>
      </c>
      <c r="J2880" s="3">
        <v>2</v>
      </c>
      <c r="K2880" s="3">
        <v>2</v>
      </c>
      <c r="L2880" s="3">
        <v>999</v>
      </c>
      <c r="M2880" s="3">
        <v>0</v>
      </c>
      <c r="N2880" s="3">
        <v>1017</v>
      </c>
      <c r="O2880" s="2">
        <v>100244</v>
      </c>
      <c r="P2880" s="3"/>
      <c r="Q2880" s="3"/>
      <c r="R2880" s="3"/>
      <c r="S2880" s="3">
        <v>1</v>
      </c>
      <c r="T2880" s="3">
        <v>5</v>
      </c>
      <c r="U2880" s="3">
        <v>50</v>
      </c>
      <c r="V2880" s="3">
        <v>1</v>
      </c>
      <c r="W2880" s="3">
        <v>1</v>
      </c>
      <c r="X2880" s="3">
        <v>1</v>
      </c>
      <c r="Y2880" s="3">
        <v>0</v>
      </c>
      <c r="Z2880" s="3">
        <v>0</v>
      </c>
      <c r="AA2880" s="3">
        <v>5</v>
      </c>
      <c r="AB2880" s="3">
        <v>500</v>
      </c>
      <c r="AC2880" s="3">
        <v>56</v>
      </c>
      <c r="AD2880" s="62">
        <v>0</v>
      </c>
      <c r="AE2880" s="62">
        <v>4</v>
      </c>
      <c r="AF2880" s="62">
        <v>2</v>
      </c>
      <c r="AG2880" s="337"/>
      <c r="AH2880" s="337"/>
      <c r="AI2880" s="337"/>
      <c r="AJ2880" s="337"/>
      <c r="AK2880" s="337"/>
      <c r="AL2880" s="234">
        <v>1</v>
      </c>
      <c r="AM2880" s="234"/>
      <c r="AN2880" s="476"/>
      <c r="AO2880" s="234"/>
      <c r="AP2880" s="234"/>
      <c r="AQ2880" s="3"/>
      <c r="AR2880" s="3"/>
      <c r="AS2880">
        <v>1</v>
      </c>
    </row>
    <row r="2881" spans="1:45">
      <c r="A2881" s="3">
        <v>619197</v>
      </c>
      <c r="B2881" s="3">
        <v>1001</v>
      </c>
      <c r="C2881" s="3">
        <v>6</v>
      </c>
      <c r="D2881" s="3">
        <v>1001</v>
      </c>
      <c r="E2881" s="3" t="s">
        <v>7185</v>
      </c>
      <c r="F2881" s="3" t="s">
        <v>7185</v>
      </c>
      <c r="G2881" s="3" t="s">
        <v>5593</v>
      </c>
      <c r="H2881" s="3" t="s">
        <v>1564</v>
      </c>
      <c r="I2881" s="3">
        <v>1</v>
      </c>
      <c r="J2881" s="3">
        <v>3</v>
      </c>
      <c r="K2881" s="3">
        <v>2</v>
      </c>
      <c r="L2881" s="3">
        <v>999</v>
      </c>
      <c r="M2881" s="3">
        <v>0</v>
      </c>
      <c r="N2881" s="3">
        <v>1017</v>
      </c>
      <c r="O2881" s="2">
        <v>100245</v>
      </c>
      <c r="P2881" s="3"/>
      <c r="Q2881" s="3"/>
      <c r="R2881" s="3"/>
      <c r="S2881" s="3">
        <v>1</v>
      </c>
      <c r="T2881" s="3">
        <v>5</v>
      </c>
      <c r="U2881" s="3">
        <v>100</v>
      </c>
      <c r="V2881" s="3">
        <v>1</v>
      </c>
      <c r="W2881" s="3">
        <v>1</v>
      </c>
      <c r="X2881" s="3">
        <v>1</v>
      </c>
      <c r="Y2881" s="3">
        <v>0</v>
      </c>
      <c r="Z2881" s="3">
        <v>0</v>
      </c>
      <c r="AA2881" s="3">
        <v>5</v>
      </c>
      <c r="AB2881" s="3">
        <v>1000</v>
      </c>
      <c r="AC2881" s="3">
        <v>56</v>
      </c>
      <c r="AD2881" s="62">
        <v>0</v>
      </c>
      <c r="AE2881" s="62">
        <v>4</v>
      </c>
      <c r="AF2881" s="62">
        <v>2</v>
      </c>
      <c r="AG2881" s="337"/>
      <c r="AH2881" s="337"/>
      <c r="AI2881" s="337"/>
      <c r="AJ2881" s="337"/>
      <c r="AK2881" s="337"/>
      <c r="AL2881" s="234">
        <v>1</v>
      </c>
      <c r="AM2881" s="234"/>
      <c r="AN2881" s="476"/>
      <c r="AO2881" s="234"/>
      <c r="AP2881" s="234"/>
      <c r="AQ2881" s="3"/>
      <c r="AR2881" s="3"/>
      <c r="AS2881">
        <v>1</v>
      </c>
    </row>
    <row r="2882" spans="1:45">
      <c r="A2882" s="3">
        <v>619198</v>
      </c>
      <c r="B2882" s="3">
        <v>1001</v>
      </c>
      <c r="C2882" s="3">
        <v>1</v>
      </c>
      <c r="D2882" s="3">
        <v>1001</v>
      </c>
      <c r="E2882" s="3" t="s">
        <v>7114</v>
      </c>
      <c r="F2882" s="3" t="s">
        <v>7309</v>
      </c>
      <c r="G2882" s="3" t="s">
        <v>7115</v>
      </c>
      <c r="H2882" s="3" t="s">
        <v>2367</v>
      </c>
      <c r="I2882" s="3">
        <v>1</v>
      </c>
      <c r="J2882" s="3">
        <v>2</v>
      </c>
      <c r="K2882" s="3">
        <v>1</v>
      </c>
      <c r="L2882" s="3">
        <v>999</v>
      </c>
      <c r="M2882" s="3">
        <v>0</v>
      </c>
      <c r="N2882" s="3"/>
      <c r="P2882" s="3"/>
      <c r="Q2882" s="3"/>
      <c r="R2882" s="3"/>
      <c r="S2882" s="3">
        <v>1</v>
      </c>
      <c r="T2882" s="3">
        <v>5</v>
      </c>
      <c r="U2882" s="3">
        <v>50</v>
      </c>
      <c r="V2882" s="3">
        <v>1</v>
      </c>
      <c r="W2882" s="3">
        <v>1</v>
      </c>
      <c r="X2882" s="3">
        <v>1</v>
      </c>
      <c r="Y2882" s="3">
        <v>0</v>
      </c>
      <c r="Z2882" s="3">
        <v>0</v>
      </c>
      <c r="AA2882" s="3">
        <v>5</v>
      </c>
      <c r="AB2882" s="3">
        <v>500</v>
      </c>
      <c r="AC2882" s="3">
        <v>56</v>
      </c>
      <c r="AG2882" s="337"/>
      <c r="AH2882" s="337"/>
      <c r="AI2882" s="337"/>
      <c r="AJ2882" s="337"/>
      <c r="AK2882" s="337"/>
      <c r="AL2882" s="234">
        <v>1</v>
      </c>
      <c r="AM2882" s="234"/>
      <c r="AN2882" s="476"/>
      <c r="AO2882" s="234"/>
      <c r="AP2882" s="234"/>
      <c r="AQ2882" s="3"/>
      <c r="AR2882" s="3"/>
      <c r="AS2882">
        <v>1</v>
      </c>
    </row>
    <row r="2883" spans="1:45">
      <c r="A2883" s="3">
        <v>619199</v>
      </c>
      <c r="B2883" s="3">
        <v>1001</v>
      </c>
      <c r="C2883" s="3">
        <v>1</v>
      </c>
      <c r="D2883" s="3">
        <v>1001</v>
      </c>
      <c r="E2883" s="3" t="s">
        <v>7116</v>
      </c>
      <c r="F2883" s="3" t="s">
        <v>7310</v>
      </c>
      <c r="G2883" s="3" t="s">
        <v>7117</v>
      </c>
      <c r="H2883" s="3" t="s">
        <v>2369</v>
      </c>
      <c r="I2883" s="3">
        <v>1</v>
      </c>
      <c r="J2883" s="3">
        <v>3</v>
      </c>
      <c r="K2883" s="3">
        <v>1</v>
      </c>
      <c r="L2883" s="3">
        <v>999</v>
      </c>
      <c r="M2883" s="3">
        <v>0</v>
      </c>
      <c r="N2883" s="3"/>
      <c r="P2883" s="3"/>
      <c r="Q2883" s="3"/>
      <c r="R2883" s="3"/>
      <c r="S2883" s="3">
        <v>1</v>
      </c>
      <c r="T2883" s="3">
        <v>5</v>
      </c>
      <c r="U2883" s="3">
        <v>100</v>
      </c>
      <c r="V2883" s="3">
        <v>1</v>
      </c>
      <c r="W2883" s="3">
        <v>1</v>
      </c>
      <c r="X2883" s="3">
        <v>1</v>
      </c>
      <c r="Y2883" s="3">
        <v>0</v>
      </c>
      <c r="Z2883" s="3">
        <v>0</v>
      </c>
      <c r="AA2883" s="3">
        <v>5</v>
      </c>
      <c r="AB2883" s="3">
        <v>1000</v>
      </c>
      <c r="AC2883" s="3">
        <v>56</v>
      </c>
      <c r="AG2883" s="337"/>
      <c r="AH2883" s="337"/>
      <c r="AI2883" s="337"/>
      <c r="AJ2883" s="337"/>
      <c r="AK2883" s="337"/>
      <c r="AL2883" s="234">
        <v>1</v>
      </c>
      <c r="AM2883" s="234"/>
      <c r="AN2883" s="476"/>
      <c r="AO2883" s="234"/>
      <c r="AP2883" s="234"/>
      <c r="AQ2883" s="3"/>
      <c r="AR2883" s="3"/>
      <c r="AS2883">
        <v>1</v>
      </c>
    </row>
    <row r="2884" spans="1:45">
      <c r="A2884" s="3">
        <v>619200</v>
      </c>
      <c r="B2884" s="339">
        <v>1001</v>
      </c>
      <c r="C2884" s="339">
        <v>6</v>
      </c>
      <c r="D2884" s="339">
        <v>1001</v>
      </c>
      <c r="E2884" s="3" t="s">
        <v>7118</v>
      </c>
      <c r="F2884" s="3" t="s">
        <v>7118</v>
      </c>
      <c r="G2884" s="3" t="s">
        <v>7119</v>
      </c>
      <c r="H2884" s="3" t="s">
        <v>4937</v>
      </c>
      <c r="I2884" s="3">
        <v>1</v>
      </c>
      <c r="J2884" s="3">
        <v>4</v>
      </c>
      <c r="K2884" s="3">
        <v>2</v>
      </c>
      <c r="L2884" s="3">
        <v>999</v>
      </c>
      <c r="M2884" s="3">
        <v>0</v>
      </c>
      <c r="N2884" s="3">
        <v>1017</v>
      </c>
      <c r="O2884" s="2">
        <v>100247</v>
      </c>
      <c r="P2884" s="3"/>
      <c r="Q2884" s="3"/>
      <c r="R2884" s="3"/>
      <c r="S2884" s="3">
        <v>1</v>
      </c>
      <c r="T2884" s="3">
        <v>5</v>
      </c>
      <c r="U2884" s="3">
        <v>200</v>
      </c>
      <c r="V2884" s="3">
        <v>1</v>
      </c>
      <c r="W2884" s="3">
        <v>1</v>
      </c>
      <c r="X2884" s="339">
        <v>1</v>
      </c>
      <c r="Y2884" s="3">
        <v>0</v>
      </c>
      <c r="Z2884" s="3">
        <v>0</v>
      </c>
      <c r="AA2884" s="3">
        <v>5</v>
      </c>
      <c r="AB2884" s="3">
        <v>2000</v>
      </c>
      <c r="AC2884" s="3">
        <v>56</v>
      </c>
      <c r="AD2884" s="62">
        <v>0</v>
      </c>
      <c r="AE2884" s="62">
        <v>4</v>
      </c>
      <c r="AF2884" s="62">
        <v>2</v>
      </c>
      <c r="AG2884" s="337"/>
      <c r="AH2884" s="337"/>
      <c r="AI2884" s="337"/>
      <c r="AJ2884" s="337"/>
      <c r="AK2884" s="337"/>
      <c r="AL2884" s="234">
        <v>1</v>
      </c>
      <c r="AM2884" s="234"/>
      <c r="AN2884" s="476"/>
      <c r="AO2884" s="234"/>
      <c r="AP2884" s="234"/>
      <c r="AQ2884" s="3"/>
      <c r="AR2884" s="3"/>
      <c r="AS2884">
        <v>1</v>
      </c>
    </row>
    <row r="2885" spans="1:45">
      <c r="A2885">
        <v>619201</v>
      </c>
      <c r="B2885" s="8">
        <v>1001</v>
      </c>
      <c r="C2885" s="8">
        <v>6</v>
      </c>
      <c r="D2885" s="8">
        <v>1001</v>
      </c>
      <c r="E2885" t="s">
        <v>7311</v>
      </c>
      <c r="F2885" t="s">
        <v>7311</v>
      </c>
      <c r="G2885" t="s">
        <v>7312</v>
      </c>
      <c r="H2885" t="s">
        <v>1757</v>
      </c>
      <c r="I2885">
        <v>1</v>
      </c>
      <c r="J2885">
        <v>5</v>
      </c>
      <c r="K2885" s="33">
        <v>2</v>
      </c>
      <c r="L2885">
        <v>999</v>
      </c>
      <c r="M2885">
        <v>0</v>
      </c>
      <c r="N2885">
        <v>1</v>
      </c>
      <c r="O2885" s="249" t="s">
        <v>7313</v>
      </c>
      <c r="S2885" s="33">
        <v>1</v>
      </c>
      <c r="T2885">
        <v>5</v>
      </c>
      <c r="U2885">
        <v>10</v>
      </c>
      <c r="V2885" s="33">
        <v>1</v>
      </c>
      <c r="W2885">
        <v>1</v>
      </c>
      <c r="X2885" s="8">
        <v>1</v>
      </c>
      <c r="Y2885">
        <v>0</v>
      </c>
      <c r="Z2885" s="33">
        <v>0</v>
      </c>
      <c r="AA2885">
        <v>5</v>
      </c>
      <c r="AB2885">
        <v>100</v>
      </c>
      <c r="AC2885">
        <v>56</v>
      </c>
      <c r="AD2885" s="62">
        <v>0</v>
      </c>
      <c r="AE2885" s="62">
        <v>4</v>
      </c>
      <c r="AF2885" s="62">
        <v>2</v>
      </c>
      <c r="AS2885">
        <v>1</v>
      </c>
    </row>
    <row r="2886" spans="1:45">
      <c r="A2886">
        <v>619202</v>
      </c>
      <c r="B2886" s="8">
        <v>1001</v>
      </c>
      <c r="C2886" s="8">
        <v>6</v>
      </c>
      <c r="D2886" s="8">
        <v>1001</v>
      </c>
      <c r="E2886" t="s">
        <v>7311</v>
      </c>
      <c r="F2886" t="s">
        <v>7311</v>
      </c>
      <c r="G2886" t="s">
        <v>7314</v>
      </c>
      <c r="H2886" t="s">
        <v>1757</v>
      </c>
      <c r="I2886">
        <v>1</v>
      </c>
      <c r="J2886">
        <v>5</v>
      </c>
      <c r="K2886" s="33">
        <v>2</v>
      </c>
      <c r="L2886">
        <v>999</v>
      </c>
      <c r="M2886">
        <v>0</v>
      </c>
      <c r="N2886">
        <v>1</v>
      </c>
      <c r="O2886" s="249" t="s">
        <v>7315</v>
      </c>
      <c r="S2886" s="33">
        <v>1</v>
      </c>
      <c r="T2886">
        <v>5</v>
      </c>
      <c r="U2886">
        <v>10</v>
      </c>
      <c r="V2886" s="33">
        <v>1</v>
      </c>
      <c r="W2886">
        <v>1</v>
      </c>
      <c r="X2886" s="8">
        <v>1</v>
      </c>
      <c r="Y2886">
        <v>0</v>
      </c>
      <c r="Z2886" s="33">
        <v>0</v>
      </c>
      <c r="AA2886">
        <v>5</v>
      </c>
      <c r="AB2886">
        <v>100</v>
      </c>
      <c r="AC2886">
        <v>56</v>
      </c>
      <c r="AD2886" s="62">
        <v>0</v>
      </c>
      <c r="AE2886" s="62">
        <v>4</v>
      </c>
      <c r="AF2886" s="62">
        <v>2</v>
      </c>
      <c r="AS2886">
        <v>1</v>
      </c>
    </row>
    <row r="2887" spans="1:45">
      <c r="A2887">
        <v>619203</v>
      </c>
      <c r="B2887" s="8">
        <v>1001</v>
      </c>
      <c r="C2887" s="8">
        <v>6</v>
      </c>
      <c r="D2887" s="8">
        <v>1001</v>
      </c>
      <c r="E2887" t="s">
        <v>7311</v>
      </c>
      <c r="F2887" t="s">
        <v>7311</v>
      </c>
      <c r="G2887" t="s">
        <v>7316</v>
      </c>
      <c r="H2887" t="s">
        <v>1757</v>
      </c>
      <c r="I2887">
        <v>1</v>
      </c>
      <c r="J2887">
        <v>5</v>
      </c>
      <c r="K2887" s="33">
        <v>2</v>
      </c>
      <c r="L2887">
        <v>999</v>
      </c>
      <c r="M2887">
        <v>0</v>
      </c>
      <c r="N2887">
        <v>1</v>
      </c>
      <c r="O2887" s="249" t="s">
        <v>7317</v>
      </c>
      <c r="S2887" s="33">
        <v>1</v>
      </c>
      <c r="T2887">
        <v>5</v>
      </c>
      <c r="U2887">
        <v>10</v>
      </c>
      <c r="V2887" s="33">
        <v>1</v>
      </c>
      <c r="W2887">
        <v>1</v>
      </c>
      <c r="X2887" s="8">
        <v>1</v>
      </c>
      <c r="Y2887">
        <v>0</v>
      </c>
      <c r="Z2887" s="33">
        <v>0</v>
      </c>
      <c r="AA2887">
        <v>5</v>
      </c>
      <c r="AB2887">
        <v>100</v>
      </c>
      <c r="AC2887">
        <v>56</v>
      </c>
      <c r="AD2887" s="62">
        <v>0</v>
      </c>
      <c r="AE2887" s="62">
        <v>4</v>
      </c>
      <c r="AF2887" s="62">
        <v>2</v>
      </c>
      <c r="AS2887">
        <v>1</v>
      </c>
    </row>
    <row r="2888" spans="1:45">
      <c r="A2888">
        <v>619204</v>
      </c>
      <c r="B2888" s="8">
        <v>1001</v>
      </c>
      <c r="C2888" s="8">
        <v>6</v>
      </c>
      <c r="D2888" s="8">
        <v>1001</v>
      </c>
      <c r="E2888" t="s">
        <v>7311</v>
      </c>
      <c r="F2888" t="s">
        <v>7311</v>
      </c>
      <c r="G2888" t="s">
        <v>7318</v>
      </c>
      <c r="H2888" t="s">
        <v>1757</v>
      </c>
      <c r="I2888">
        <v>1</v>
      </c>
      <c r="J2888">
        <v>5</v>
      </c>
      <c r="K2888" s="33">
        <v>2</v>
      </c>
      <c r="L2888">
        <v>999</v>
      </c>
      <c r="M2888">
        <v>0</v>
      </c>
      <c r="N2888">
        <v>1</v>
      </c>
      <c r="O2888" s="249" t="s">
        <v>7319</v>
      </c>
      <c r="S2888" s="33">
        <v>1</v>
      </c>
      <c r="T2888">
        <v>5</v>
      </c>
      <c r="U2888">
        <v>10</v>
      </c>
      <c r="V2888" s="33">
        <v>1</v>
      </c>
      <c r="W2888">
        <v>1</v>
      </c>
      <c r="X2888" s="8">
        <v>1</v>
      </c>
      <c r="Y2888">
        <v>0</v>
      </c>
      <c r="Z2888" s="33">
        <v>0</v>
      </c>
      <c r="AA2888">
        <v>5</v>
      </c>
      <c r="AB2888">
        <v>100</v>
      </c>
      <c r="AC2888">
        <v>56</v>
      </c>
      <c r="AD2888" s="62">
        <v>0</v>
      </c>
      <c r="AE2888" s="62">
        <v>4</v>
      </c>
      <c r="AF2888" s="62">
        <v>2</v>
      </c>
      <c r="AS2888">
        <v>1</v>
      </c>
    </row>
    <row r="2889" spans="1:45">
      <c r="A2889">
        <v>619205</v>
      </c>
      <c r="B2889" s="8">
        <v>1001</v>
      </c>
      <c r="C2889" s="8">
        <v>6</v>
      </c>
      <c r="D2889" s="8">
        <v>1001</v>
      </c>
      <c r="E2889" t="s">
        <v>7311</v>
      </c>
      <c r="F2889" t="s">
        <v>7311</v>
      </c>
      <c r="G2889" t="s">
        <v>7320</v>
      </c>
      <c r="H2889" t="s">
        <v>1757</v>
      </c>
      <c r="I2889">
        <v>1</v>
      </c>
      <c r="J2889">
        <v>5</v>
      </c>
      <c r="K2889" s="33">
        <v>2</v>
      </c>
      <c r="L2889">
        <v>999</v>
      </c>
      <c r="M2889">
        <v>0</v>
      </c>
      <c r="N2889">
        <v>1</v>
      </c>
      <c r="O2889" s="249" t="s">
        <v>7321</v>
      </c>
      <c r="S2889" s="33">
        <v>1</v>
      </c>
      <c r="T2889">
        <v>5</v>
      </c>
      <c r="U2889">
        <v>10</v>
      </c>
      <c r="V2889" s="33">
        <v>1</v>
      </c>
      <c r="W2889">
        <v>1</v>
      </c>
      <c r="X2889" s="8">
        <v>1</v>
      </c>
      <c r="Y2889">
        <v>0</v>
      </c>
      <c r="Z2889" s="33">
        <v>0</v>
      </c>
      <c r="AA2889">
        <v>5</v>
      </c>
      <c r="AB2889">
        <v>100</v>
      </c>
      <c r="AC2889">
        <v>56</v>
      </c>
      <c r="AD2889" s="62">
        <v>0</v>
      </c>
      <c r="AE2889" s="62">
        <v>4</v>
      </c>
      <c r="AF2889" s="62">
        <v>2</v>
      </c>
      <c r="AS2889">
        <v>1</v>
      </c>
    </row>
    <row r="2890" spans="1:45">
      <c r="A2890">
        <v>619206</v>
      </c>
      <c r="B2890" s="8">
        <v>1001</v>
      </c>
      <c r="C2890" s="8">
        <v>6</v>
      </c>
      <c r="D2890" s="8">
        <v>1001</v>
      </c>
      <c r="E2890" t="s">
        <v>7311</v>
      </c>
      <c r="F2890" t="s">
        <v>7311</v>
      </c>
      <c r="G2890" t="s">
        <v>7322</v>
      </c>
      <c r="H2890" t="s">
        <v>1757</v>
      </c>
      <c r="I2890">
        <v>1</v>
      </c>
      <c r="J2890">
        <v>5</v>
      </c>
      <c r="K2890" s="33">
        <v>2</v>
      </c>
      <c r="L2890">
        <v>999</v>
      </c>
      <c r="M2890">
        <v>0</v>
      </c>
      <c r="N2890">
        <v>1</v>
      </c>
      <c r="O2890" s="249" t="s">
        <v>7323</v>
      </c>
      <c r="S2890" s="33">
        <v>1</v>
      </c>
      <c r="T2890">
        <v>5</v>
      </c>
      <c r="U2890">
        <v>10</v>
      </c>
      <c r="V2890" s="33">
        <v>1</v>
      </c>
      <c r="W2890">
        <v>1</v>
      </c>
      <c r="X2890" s="8">
        <v>1</v>
      </c>
      <c r="Y2890">
        <v>0</v>
      </c>
      <c r="Z2890" s="33">
        <v>0</v>
      </c>
      <c r="AA2890">
        <v>5</v>
      </c>
      <c r="AB2890">
        <v>100</v>
      </c>
      <c r="AC2890">
        <v>56</v>
      </c>
      <c r="AD2890" s="62">
        <v>0</v>
      </c>
      <c r="AE2890" s="62">
        <v>4</v>
      </c>
      <c r="AF2890" s="62">
        <v>2</v>
      </c>
      <c r="AS2890">
        <v>1</v>
      </c>
    </row>
    <row r="2891" spans="1:45">
      <c r="A2891">
        <v>619207</v>
      </c>
      <c r="B2891" s="8">
        <v>1001</v>
      </c>
      <c r="C2891" s="8">
        <v>6</v>
      </c>
      <c r="D2891" s="8">
        <v>1001</v>
      </c>
      <c r="E2891" t="s">
        <v>7311</v>
      </c>
      <c r="F2891" t="s">
        <v>7311</v>
      </c>
      <c r="G2891" t="s">
        <v>7324</v>
      </c>
      <c r="H2891" t="s">
        <v>1757</v>
      </c>
      <c r="I2891">
        <v>1</v>
      </c>
      <c r="J2891">
        <v>5</v>
      </c>
      <c r="K2891" s="33">
        <v>2</v>
      </c>
      <c r="L2891">
        <v>999</v>
      </c>
      <c r="M2891">
        <v>0</v>
      </c>
      <c r="N2891">
        <v>1</v>
      </c>
      <c r="O2891" s="249" t="s">
        <v>7325</v>
      </c>
      <c r="S2891" s="33">
        <v>1</v>
      </c>
      <c r="T2891">
        <v>5</v>
      </c>
      <c r="U2891">
        <v>10</v>
      </c>
      <c r="V2891" s="33">
        <v>1</v>
      </c>
      <c r="W2891">
        <v>1</v>
      </c>
      <c r="X2891" s="8">
        <v>1</v>
      </c>
      <c r="Y2891">
        <v>0</v>
      </c>
      <c r="Z2891" s="33">
        <v>0</v>
      </c>
      <c r="AA2891">
        <v>5</v>
      </c>
      <c r="AB2891">
        <v>100</v>
      </c>
      <c r="AC2891">
        <v>56</v>
      </c>
      <c r="AD2891" s="62">
        <v>0</v>
      </c>
      <c r="AE2891" s="62">
        <v>4</v>
      </c>
      <c r="AF2891" s="62">
        <v>2</v>
      </c>
      <c r="AG2891" s="64"/>
      <c r="AH2891" s="64"/>
      <c r="AI2891" s="64"/>
      <c r="AJ2891" s="64"/>
      <c r="AK2891" s="64"/>
      <c r="AS2891">
        <v>1</v>
      </c>
    </row>
    <row r="2892" spans="1:45">
      <c r="A2892">
        <v>619208</v>
      </c>
      <c r="B2892" s="8">
        <v>1001</v>
      </c>
      <c r="C2892" s="8">
        <v>6</v>
      </c>
      <c r="D2892" s="8">
        <v>1001</v>
      </c>
      <c r="E2892" t="s">
        <v>7311</v>
      </c>
      <c r="F2892" t="s">
        <v>7311</v>
      </c>
      <c r="G2892" t="s">
        <v>7326</v>
      </c>
      <c r="H2892" t="s">
        <v>1757</v>
      </c>
      <c r="I2892">
        <v>1</v>
      </c>
      <c r="J2892">
        <v>5</v>
      </c>
      <c r="K2892" s="33">
        <v>2</v>
      </c>
      <c r="L2892">
        <v>999</v>
      </c>
      <c r="M2892">
        <v>0</v>
      </c>
      <c r="N2892">
        <v>1</v>
      </c>
      <c r="O2892" s="249" t="s">
        <v>7327</v>
      </c>
      <c r="S2892" s="33">
        <v>1</v>
      </c>
      <c r="T2892">
        <v>5</v>
      </c>
      <c r="U2892">
        <v>10</v>
      </c>
      <c r="V2892" s="33">
        <v>1</v>
      </c>
      <c r="W2892">
        <v>1</v>
      </c>
      <c r="X2892" s="8">
        <v>1</v>
      </c>
      <c r="Y2892">
        <v>0</v>
      </c>
      <c r="Z2892" s="33">
        <v>0</v>
      </c>
      <c r="AA2892">
        <v>5</v>
      </c>
      <c r="AB2892">
        <v>100</v>
      </c>
      <c r="AC2892">
        <v>56</v>
      </c>
      <c r="AD2892" s="445">
        <v>0</v>
      </c>
      <c r="AE2892" s="445">
        <v>4</v>
      </c>
      <c r="AF2892" s="445">
        <v>2</v>
      </c>
      <c r="AG2892" s="64"/>
      <c r="AH2892" s="64"/>
      <c r="AI2892" s="64"/>
      <c r="AJ2892" s="64"/>
      <c r="AK2892" s="64"/>
      <c r="AS2892">
        <v>1</v>
      </c>
    </row>
    <row r="2893" spans="1:45">
      <c r="A2893">
        <v>619209</v>
      </c>
      <c r="B2893" s="8">
        <v>1001</v>
      </c>
      <c r="C2893" s="8">
        <v>6</v>
      </c>
      <c r="D2893" s="8">
        <v>1001</v>
      </c>
      <c r="E2893" t="s">
        <v>7311</v>
      </c>
      <c r="F2893" t="s">
        <v>7311</v>
      </c>
      <c r="G2893" t="s">
        <v>7328</v>
      </c>
      <c r="H2893" t="s">
        <v>1757</v>
      </c>
      <c r="I2893">
        <v>1</v>
      </c>
      <c r="J2893">
        <v>5</v>
      </c>
      <c r="K2893" s="33">
        <v>2</v>
      </c>
      <c r="L2893">
        <v>999</v>
      </c>
      <c r="M2893">
        <v>0</v>
      </c>
      <c r="N2893">
        <v>1</v>
      </c>
      <c r="O2893" s="249" t="s">
        <v>7329</v>
      </c>
      <c r="S2893" s="33">
        <v>1</v>
      </c>
      <c r="T2893">
        <v>5</v>
      </c>
      <c r="U2893">
        <v>10</v>
      </c>
      <c r="V2893" s="33">
        <v>1</v>
      </c>
      <c r="W2893">
        <v>1</v>
      </c>
      <c r="X2893" s="8">
        <v>1</v>
      </c>
      <c r="Y2893">
        <v>0</v>
      </c>
      <c r="Z2893" s="33">
        <v>0</v>
      </c>
      <c r="AA2893">
        <v>5</v>
      </c>
      <c r="AB2893">
        <v>100</v>
      </c>
      <c r="AC2893">
        <v>56</v>
      </c>
      <c r="AD2893" s="445">
        <v>0</v>
      </c>
      <c r="AE2893" s="445">
        <v>4</v>
      </c>
      <c r="AF2893" s="445">
        <v>2</v>
      </c>
      <c r="AG2893" s="64"/>
      <c r="AH2893" s="64"/>
      <c r="AI2893" s="64"/>
      <c r="AJ2893" s="64"/>
      <c r="AK2893" s="64"/>
      <c r="AS2893">
        <v>1</v>
      </c>
    </row>
    <row r="2894" s="3" customFormat="1" spans="1:45">
      <c r="A2894">
        <v>619210</v>
      </c>
      <c r="B2894" s="8">
        <v>1001</v>
      </c>
      <c r="C2894" s="8">
        <v>6</v>
      </c>
      <c r="D2894" s="8">
        <v>1001</v>
      </c>
      <c r="E2894" t="s">
        <v>7311</v>
      </c>
      <c r="F2894" t="s">
        <v>7311</v>
      </c>
      <c r="G2894" t="s">
        <v>7330</v>
      </c>
      <c r="H2894" t="s">
        <v>1757</v>
      </c>
      <c r="I2894">
        <v>1</v>
      </c>
      <c r="J2894">
        <v>5</v>
      </c>
      <c r="K2894" s="33">
        <v>2</v>
      </c>
      <c r="L2894">
        <v>999</v>
      </c>
      <c r="M2894">
        <v>0</v>
      </c>
      <c r="N2894">
        <v>1</v>
      </c>
      <c r="O2894" s="249" t="s">
        <v>7331</v>
      </c>
      <c r="S2894" s="33">
        <v>1</v>
      </c>
      <c r="T2894">
        <v>5</v>
      </c>
      <c r="U2894">
        <v>10</v>
      </c>
      <c r="V2894" s="33">
        <v>1</v>
      </c>
      <c r="W2894">
        <v>1</v>
      </c>
      <c r="X2894" s="8">
        <v>1</v>
      </c>
      <c r="Y2894">
        <v>0</v>
      </c>
      <c r="Z2894" s="33">
        <v>0</v>
      </c>
      <c r="AA2894">
        <v>5</v>
      </c>
      <c r="AB2894">
        <v>100</v>
      </c>
      <c r="AC2894">
        <v>56</v>
      </c>
      <c r="AD2894" s="62">
        <v>0</v>
      </c>
      <c r="AE2894" s="62">
        <v>4</v>
      </c>
      <c r="AF2894" s="62">
        <v>2</v>
      </c>
      <c r="AG2894" s="63"/>
      <c r="AH2894" s="63"/>
      <c r="AI2894" s="63"/>
      <c r="AJ2894" s="63"/>
      <c r="AK2894" s="63"/>
      <c r="AL2894" s="64"/>
      <c r="AM2894" s="64"/>
      <c r="AN2894" s="65"/>
      <c r="AO2894" s="64"/>
      <c r="AP2894" s="64"/>
      <c r="AS2894">
        <v>1</v>
      </c>
    </row>
    <row r="2895" s="3" customFormat="1" spans="1:45">
      <c r="A2895" s="3">
        <v>619211</v>
      </c>
      <c r="B2895" s="8">
        <v>1001</v>
      </c>
      <c r="C2895" s="8">
        <v>6</v>
      </c>
      <c r="D2895" s="8">
        <v>1001</v>
      </c>
      <c r="E2895" s="3" t="s">
        <v>7311</v>
      </c>
      <c r="F2895" s="3" t="s">
        <v>7311</v>
      </c>
      <c r="G2895" s="3" t="s">
        <v>7332</v>
      </c>
      <c r="H2895" s="3" t="s">
        <v>1757</v>
      </c>
      <c r="I2895" s="3">
        <v>1</v>
      </c>
      <c r="J2895" s="3">
        <v>5</v>
      </c>
      <c r="K2895" s="33">
        <v>2</v>
      </c>
      <c r="L2895" s="3">
        <v>999</v>
      </c>
      <c r="M2895" s="3">
        <v>0</v>
      </c>
      <c r="N2895" s="3">
        <v>1</v>
      </c>
      <c r="O2895" s="249" t="s">
        <v>7333</v>
      </c>
      <c r="S2895" s="33">
        <v>1</v>
      </c>
      <c r="T2895" s="3">
        <v>5</v>
      </c>
      <c r="U2895" s="3">
        <v>10</v>
      </c>
      <c r="V2895" s="33">
        <v>1</v>
      </c>
      <c r="W2895" s="3">
        <v>1</v>
      </c>
      <c r="X2895" s="8">
        <v>1</v>
      </c>
      <c r="Y2895" s="3">
        <v>0</v>
      </c>
      <c r="Z2895" s="33">
        <v>0</v>
      </c>
      <c r="AA2895" s="3">
        <v>5</v>
      </c>
      <c r="AB2895" s="3">
        <v>100</v>
      </c>
      <c r="AC2895" s="3">
        <v>56</v>
      </c>
      <c r="AD2895" s="62">
        <v>0</v>
      </c>
      <c r="AE2895" s="62">
        <v>4</v>
      </c>
      <c r="AF2895" s="62">
        <v>2</v>
      </c>
      <c r="AG2895" s="63"/>
      <c r="AH2895" s="63"/>
      <c r="AI2895" s="63"/>
      <c r="AJ2895" s="63"/>
      <c r="AK2895" s="63"/>
      <c r="AL2895" s="64"/>
      <c r="AM2895" s="64"/>
      <c r="AN2895" s="65"/>
      <c r="AO2895" s="64"/>
      <c r="AP2895" s="64"/>
      <c r="AS2895" s="3">
        <v>1</v>
      </c>
    </row>
    <row r="2896" s="3" customFormat="1" spans="1:45">
      <c r="A2896" s="3">
        <v>619212</v>
      </c>
      <c r="B2896" s="8">
        <v>1001</v>
      </c>
      <c r="C2896" s="8">
        <v>6</v>
      </c>
      <c r="D2896" s="8">
        <v>1001</v>
      </c>
      <c r="E2896" s="3" t="s">
        <v>7311</v>
      </c>
      <c r="F2896" s="3" t="s">
        <v>7311</v>
      </c>
      <c r="G2896" s="3" t="s">
        <v>7334</v>
      </c>
      <c r="H2896" s="3" t="s">
        <v>1757</v>
      </c>
      <c r="I2896" s="3">
        <v>1</v>
      </c>
      <c r="J2896" s="3">
        <v>5</v>
      </c>
      <c r="K2896" s="33">
        <v>2</v>
      </c>
      <c r="L2896" s="3">
        <v>999</v>
      </c>
      <c r="M2896" s="3">
        <v>0</v>
      </c>
      <c r="N2896" s="3">
        <v>1</v>
      </c>
      <c r="O2896" s="249" t="s">
        <v>7335</v>
      </c>
      <c r="S2896" s="33">
        <v>1</v>
      </c>
      <c r="T2896" s="3">
        <v>5</v>
      </c>
      <c r="U2896" s="3">
        <v>10</v>
      </c>
      <c r="V2896" s="33">
        <v>1</v>
      </c>
      <c r="W2896" s="3">
        <v>1</v>
      </c>
      <c r="X2896" s="8">
        <v>1</v>
      </c>
      <c r="Y2896" s="3">
        <v>0</v>
      </c>
      <c r="Z2896" s="33">
        <v>0</v>
      </c>
      <c r="AA2896" s="3">
        <v>5</v>
      </c>
      <c r="AB2896" s="3">
        <v>100</v>
      </c>
      <c r="AC2896" s="3">
        <v>56</v>
      </c>
      <c r="AD2896" s="62">
        <v>0</v>
      </c>
      <c r="AE2896" s="62">
        <v>4</v>
      </c>
      <c r="AF2896" s="62">
        <v>2</v>
      </c>
      <c r="AG2896" s="63"/>
      <c r="AH2896" s="63"/>
      <c r="AI2896" s="63"/>
      <c r="AJ2896" s="63"/>
      <c r="AK2896" s="63"/>
      <c r="AL2896" s="64"/>
      <c r="AM2896" s="64"/>
      <c r="AN2896" s="65"/>
      <c r="AO2896" s="64"/>
      <c r="AP2896" s="64"/>
      <c r="AS2896" s="3">
        <v>1</v>
      </c>
    </row>
    <row r="2897" spans="1:45">
      <c r="A2897" s="3">
        <v>619213</v>
      </c>
      <c r="B2897" s="8">
        <v>1001</v>
      </c>
      <c r="C2897" s="8">
        <v>6</v>
      </c>
      <c r="D2897" s="8">
        <v>1001</v>
      </c>
      <c r="E2897" s="3" t="s">
        <v>7311</v>
      </c>
      <c r="F2897" s="3" t="s">
        <v>7311</v>
      </c>
      <c r="G2897" s="3" t="s">
        <v>7336</v>
      </c>
      <c r="H2897" s="3" t="s">
        <v>1757</v>
      </c>
      <c r="I2897" s="3">
        <v>1</v>
      </c>
      <c r="J2897" s="3">
        <v>5</v>
      </c>
      <c r="K2897" s="33">
        <v>2</v>
      </c>
      <c r="L2897" s="3">
        <v>999</v>
      </c>
      <c r="M2897" s="3">
        <v>0</v>
      </c>
      <c r="N2897" s="3">
        <v>1</v>
      </c>
      <c r="O2897" s="249" t="s">
        <v>7337</v>
      </c>
      <c r="S2897" s="33">
        <v>1</v>
      </c>
      <c r="T2897" s="3">
        <v>5</v>
      </c>
      <c r="U2897" s="3">
        <v>10</v>
      </c>
      <c r="V2897" s="33">
        <v>1</v>
      </c>
      <c r="W2897" s="3">
        <v>1</v>
      </c>
      <c r="X2897" s="8">
        <v>1</v>
      </c>
      <c r="Y2897" s="3">
        <v>0</v>
      </c>
      <c r="Z2897" s="33">
        <v>0</v>
      </c>
      <c r="AA2897" s="3">
        <v>5</v>
      </c>
      <c r="AB2897" s="3">
        <v>100</v>
      </c>
      <c r="AC2897" s="3">
        <v>56</v>
      </c>
      <c r="AD2897" s="62">
        <v>0</v>
      </c>
      <c r="AE2897" s="62">
        <v>4</v>
      </c>
      <c r="AF2897" s="62">
        <v>2</v>
      </c>
      <c r="AS2897" s="3">
        <v>1</v>
      </c>
    </row>
    <row r="2898" spans="1:45">
      <c r="A2898">
        <v>619214</v>
      </c>
      <c r="B2898" s="8">
        <v>1001</v>
      </c>
      <c r="C2898" s="8">
        <v>6</v>
      </c>
      <c r="D2898" s="8">
        <v>1001</v>
      </c>
      <c r="E2898" t="s">
        <v>7311</v>
      </c>
      <c r="F2898" t="s">
        <v>7311</v>
      </c>
      <c r="G2898" t="s">
        <v>7338</v>
      </c>
      <c r="H2898" t="s">
        <v>1757</v>
      </c>
      <c r="I2898">
        <v>1</v>
      </c>
      <c r="J2898">
        <v>5</v>
      </c>
      <c r="K2898" s="33">
        <v>2</v>
      </c>
      <c r="L2898">
        <v>999</v>
      </c>
      <c r="M2898">
        <v>0</v>
      </c>
      <c r="N2898">
        <v>1</v>
      </c>
      <c r="O2898" s="249" t="s">
        <v>7339</v>
      </c>
      <c r="S2898" s="33">
        <v>1</v>
      </c>
      <c r="T2898">
        <v>5</v>
      </c>
      <c r="U2898">
        <v>10</v>
      </c>
      <c r="V2898" s="33">
        <v>1</v>
      </c>
      <c r="W2898">
        <v>1</v>
      </c>
      <c r="X2898" s="8">
        <v>1</v>
      </c>
      <c r="Y2898">
        <v>0</v>
      </c>
      <c r="Z2898" s="33">
        <v>0</v>
      </c>
      <c r="AA2898">
        <v>5</v>
      </c>
      <c r="AB2898">
        <v>100</v>
      </c>
      <c r="AC2898">
        <v>56</v>
      </c>
      <c r="AD2898" s="62">
        <v>0</v>
      </c>
      <c r="AE2898" s="62">
        <v>4</v>
      </c>
      <c r="AF2898" s="62">
        <v>2</v>
      </c>
      <c r="AS2898">
        <v>1</v>
      </c>
    </row>
    <row r="2899" spans="1:45">
      <c r="A2899">
        <v>619215</v>
      </c>
      <c r="B2899" s="8">
        <v>1001</v>
      </c>
      <c r="C2899" s="8">
        <v>6</v>
      </c>
      <c r="D2899" s="8">
        <v>1001</v>
      </c>
      <c r="E2899" t="s">
        <v>7311</v>
      </c>
      <c r="F2899" t="s">
        <v>7311</v>
      </c>
      <c r="G2899" t="s">
        <v>7340</v>
      </c>
      <c r="H2899" t="s">
        <v>1757</v>
      </c>
      <c r="I2899">
        <v>1</v>
      </c>
      <c r="J2899">
        <v>5</v>
      </c>
      <c r="K2899" s="33">
        <v>2</v>
      </c>
      <c r="L2899">
        <v>999</v>
      </c>
      <c r="M2899">
        <v>0</v>
      </c>
      <c r="N2899">
        <v>1</v>
      </c>
      <c r="O2899" s="249" t="s">
        <v>7341</v>
      </c>
      <c r="S2899" s="33">
        <v>1</v>
      </c>
      <c r="T2899">
        <v>5</v>
      </c>
      <c r="U2899">
        <v>10</v>
      </c>
      <c r="V2899" s="33">
        <v>1</v>
      </c>
      <c r="W2899">
        <v>1</v>
      </c>
      <c r="X2899" s="8">
        <v>1</v>
      </c>
      <c r="Y2899">
        <v>0</v>
      </c>
      <c r="Z2899" s="33">
        <v>0</v>
      </c>
      <c r="AA2899">
        <v>5</v>
      </c>
      <c r="AB2899">
        <v>100</v>
      </c>
      <c r="AC2899">
        <v>56</v>
      </c>
      <c r="AD2899" s="62">
        <v>0</v>
      </c>
      <c r="AE2899" s="62">
        <v>4</v>
      </c>
      <c r="AF2899" s="62">
        <v>2</v>
      </c>
      <c r="AS2899">
        <v>1</v>
      </c>
    </row>
    <row r="2900" spans="1:45">
      <c r="A2900">
        <v>619216</v>
      </c>
      <c r="B2900" s="8">
        <v>1001</v>
      </c>
      <c r="C2900" s="8">
        <v>6</v>
      </c>
      <c r="D2900" s="8">
        <v>1001</v>
      </c>
      <c r="E2900" t="s">
        <v>7311</v>
      </c>
      <c r="F2900" t="s">
        <v>7311</v>
      </c>
      <c r="G2900" t="s">
        <v>7342</v>
      </c>
      <c r="H2900" t="s">
        <v>1757</v>
      </c>
      <c r="I2900">
        <v>1</v>
      </c>
      <c r="J2900">
        <v>5</v>
      </c>
      <c r="K2900" s="33">
        <v>2</v>
      </c>
      <c r="L2900">
        <v>999</v>
      </c>
      <c r="M2900">
        <v>0</v>
      </c>
      <c r="N2900">
        <v>1</v>
      </c>
      <c r="O2900" s="249" t="s">
        <v>7343</v>
      </c>
      <c r="S2900" s="33">
        <v>1</v>
      </c>
      <c r="T2900">
        <v>5</v>
      </c>
      <c r="U2900">
        <v>10</v>
      </c>
      <c r="V2900" s="33">
        <v>1</v>
      </c>
      <c r="W2900">
        <v>1</v>
      </c>
      <c r="X2900" s="8">
        <v>1</v>
      </c>
      <c r="Y2900">
        <v>0</v>
      </c>
      <c r="Z2900" s="33">
        <v>0</v>
      </c>
      <c r="AA2900">
        <v>5</v>
      </c>
      <c r="AB2900">
        <v>100</v>
      </c>
      <c r="AC2900">
        <v>56</v>
      </c>
      <c r="AD2900" s="62">
        <v>0</v>
      </c>
      <c r="AE2900" s="62">
        <v>4</v>
      </c>
      <c r="AF2900" s="62">
        <v>2</v>
      </c>
      <c r="AS2900">
        <v>1</v>
      </c>
    </row>
    <row r="2901" spans="1:45">
      <c r="A2901">
        <v>619217</v>
      </c>
      <c r="B2901" s="8">
        <v>1001</v>
      </c>
      <c r="C2901" s="8">
        <v>6</v>
      </c>
      <c r="D2901" s="8">
        <v>1001</v>
      </c>
      <c r="E2901" t="s">
        <v>7311</v>
      </c>
      <c r="F2901" t="s">
        <v>7311</v>
      </c>
      <c r="G2901" t="s">
        <v>7344</v>
      </c>
      <c r="H2901" t="s">
        <v>1757</v>
      </c>
      <c r="I2901">
        <v>1</v>
      </c>
      <c r="J2901">
        <v>5</v>
      </c>
      <c r="K2901" s="33">
        <v>2</v>
      </c>
      <c r="L2901">
        <v>999</v>
      </c>
      <c r="M2901">
        <v>0</v>
      </c>
      <c r="N2901">
        <v>1</v>
      </c>
      <c r="O2901" s="249" t="s">
        <v>7345</v>
      </c>
      <c r="S2901" s="33">
        <v>1</v>
      </c>
      <c r="T2901">
        <v>5</v>
      </c>
      <c r="U2901">
        <v>10</v>
      </c>
      <c r="V2901" s="33">
        <v>1</v>
      </c>
      <c r="W2901">
        <v>1</v>
      </c>
      <c r="X2901" s="8">
        <v>1</v>
      </c>
      <c r="Y2901">
        <v>0</v>
      </c>
      <c r="Z2901" s="33">
        <v>0</v>
      </c>
      <c r="AA2901">
        <v>5</v>
      </c>
      <c r="AB2901">
        <v>100</v>
      </c>
      <c r="AC2901">
        <v>56</v>
      </c>
      <c r="AD2901" s="62">
        <v>0</v>
      </c>
      <c r="AE2901" s="62">
        <v>4</v>
      </c>
      <c r="AF2901" s="62">
        <v>2</v>
      </c>
      <c r="AS2901">
        <v>1</v>
      </c>
    </row>
    <row r="2902" spans="1:45">
      <c r="A2902">
        <v>619218</v>
      </c>
      <c r="B2902" s="8">
        <v>1001</v>
      </c>
      <c r="C2902" s="8">
        <v>6</v>
      </c>
      <c r="D2902" s="8">
        <v>1001</v>
      </c>
      <c r="E2902" t="s">
        <v>7311</v>
      </c>
      <c r="F2902" t="s">
        <v>7311</v>
      </c>
      <c r="G2902" t="s">
        <v>7346</v>
      </c>
      <c r="H2902" t="s">
        <v>1757</v>
      </c>
      <c r="I2902">
        <v>1</v>
      </c>
      <c r="J2902">
        <v>5</v>
      </c>
      <c r="K2902" s="33">
        <v>2</v>
      </c>
      <c r="L2902">
        <v>999</v>
      </c>
      <c r="M2902">
        <v>0</v>
      </c>
      <c r="N2902">
        <v>1</v>
      </c>
      <c r="O2902" s="249" t="s">
        <v>7347</v>
      </c>
      <c r="S2902" s="33">
        <v>1</v>
      </c>
      <c r="T2902">
        <v>5</v>
      </c>
      <c r="U2902">
        <v>10</v>
      </c>
      <c r="V2902" s="33">
        <v>1</v>
      </c>
      <c r="W2902">
        <v>1</v>
      </c>
      <c r="X2902" s="8">
        <v>1</v>
      </c>
      <c r="Y2902">
        <v>0</v>
      </c>
      <c r="Z2902" s="33">
        <v>0</v>
      </c>
      <c r="AA2902">
        <v>5</v>
      </c>
      <c r="AB2902">
        <v>100</v>
      </c>
      <c r="AC2902">
        <v>56</v>
      </c>
      <c r="AD2902" s="62">
        <v>0</v>
      </c>
      <c r="AE2902" s="62">
        <v>4</v>
      </c>
      <c r="AF2902" s="62">
        <v>2</v>
      </c>
      <c r="AS2902">
        <v>1</v>
      </c>
    </row>
    <row r="2903" spans="1:45">
      <c r="A2903">
        <v>619219</v>
      </c>
      <c r="B2903" s="8">
        <v>1001</v>
      </c>
      <c r="C2903" s="8">
        <v>6</v>
      </c>
      <c r="D2903" s="8">
        <v>1001</v>
      </c>
      <c r="E2903" t="s">
        <v>7311</v>
      </c>
      <c r="F2903" t="s">
        <v>7311</v>
      </c>
      <c r="G2903" t="s">
        <v>7348</v>
      </c>
      <c r="H2903" t="s">
        <v>1757</v>
      </c>
      <c r="I2903">
        <v>1</v>
      </c>
      <c r="J2903">
        <v>5</v>
      </c>
      <c r="K2903" s="33">
        <v>2</v>
      </c>
      <c r="L2903">
        <v>999</v>
      </c>
      <c r="M2903">
        <v>0</v>
      </c>
      <c r="N2903">
        <v>1</v>
      </c>
      <c r="O2903" s="249" t="s">
        <v>7349</v>
      </c>
      <c r="S2903" s="33">
        <v>1</v>
      </c>
      <c r="T2903">
        <v>5</v>
      </c>
      <c r="U2903">
        <v>10</v>
      </c>
      <c r="V2903" s="33">
        <v>1</v>
      </c>
      <c r="W2903">
        <v>1</v>
      </c>
      <c r="X2903" s="8">
        <v>1</v>
      </c>
      <c r="Y2903">
        <v>0</v>
      </c>
      <c r="Z2903" s="33">
        <v>0</v>
      </c>
      <c r="AA2903">
        <v>5</v>
      </c>
      <c r="AB2903">
        <v>100</v>
      </c>
      <c r="AC2903">
        <v>56</v>
      </c>
      <c r="AD2903" s="62">
        <v>0</v>
      </c>
      <c r="AE2903" s="62">
        <v>4</v>
      </c>
      <c r="AF2903" s="62">
        <v>2</v>
      </c>
      <c r="AS2903">
        <v>1</v>
      </c>
    </row>
    <row r="2904" spans="1:45">
      <c r="A2904">
        <v>619220</v>
      </c>
      <c r="B2904" s="8">
        <v>1001</v>
      </c>
      <c r="C2904" s="8">
        <v>6</v>
      </c>
      <c r="D2904" s="8">
        <v>1001</v>
      </c>
      <c r="E2904" t="s">
        <v>7311</v>
      </c>
      <c r="F2904" t="s">
        <v>7311</v>
      </c>
      <c r="G2904" t="s">
        <v>7350</v>
      </c>
      <c r="H2904" t="s">
        <v>1757</v>
      </c>
      <c r="I2904">
        <v>1</v>
      </c>
      <c r="J2904">
        <v>5</v>
      </c>
      <c r="K2904" s="33">
        <v>2</v>
      </c>
      <c r="L2904">
        <v>999</v>
      </c>
      <c r="M2904">
        <v>0</v>
      </c>
      <c r="N2904">
        <v>1</v>
      </c>
      <c r="O2904" s="249" t="s">
        <v>7351</v>
      </c>
      <c r="S2904" s="33">
        <v>1</v>
      </c>
      <c r="T2904">
        <v>5</v>
      </c>
      <c r="U2904">
        <v>10</v>
      </c>
      <c r="V2904" s="33">
        <v>1</v>
      </c>
      <c r="W2904">
        <v>1</v>
      </c>
      <c r="X2904" s="8">
        <v>1</v>
      </c>
      <c r="Y2904">
        <v>0</v>
      </c>
      <c r="Z2904" s="33">
        <v>0</v>
      </c>
      <c r="AA2904">
        <v>5</v>
      </c>
      <c r="AB2904">
        <v>100</v>
      </c>
      <c r="AC2904">
        <v>56</v>
      </c>
      <c r="AD2904" s="62">
        <v>0</v>
      </c>
      <c r="AE2904" s="62">
        <v>4</v>
      </c>
      <c r="AF2904" s="62">
        <v>2</v>
      </c>
      <c r="AS2904">
        <v>1</v>
      </c>
    </row>
    <row r="2905" spans="1:45">
      <c r="A2905">
        <v>619221</v>
      </c>
      <c r="B2905" s="8">
        <v>1001</v>
      </c>
      <c r="C2905" s="8">
        <v>6</v>
      </c>
      <c r="D2905" s="8">
        <v>1001</v>
      </c>
      <c r="E2905" t="s">
        <v>7311</v>
      </c>
      <c r="F2905" t="s">
        <v>7311</v>
      </c>
      <c r="G2905" t="s">
        <v>7352</v>
      </c>
      <c r="H2905" t="s">
        <v>1757</v>
      </c>
      <c r="I2905">
        <v>1</v>
      </c>
      <c r="J2905">
        <v>5</v>
      </c>
      <c r="K2905" s="33">
        <v>2</v>
      </c>
      <c r="L2905">
        <v>999</v>
      </c>
      <c r="M2905">
        <v>0</v>
      </c>
      <c r="N2905">
        <v>1</v>
      </c>
      <c r="O2905" s="249" t="s">
        <v>7353</v>
      </c>
      <c r="S2905" s="33">
        <v>1</v>
      </c>
      <c r="T2905">
        <v>5</v>
      </c>
      <c r="U2905">
        <v>10</v>
      </c>
      <c r="V2905" s="33">
        <v>1</v>
      </c>
      <c r="W2905">
        <v>1</v>
      </c>
      <c r="X2905" s="8">
        <v>1</v>
      </c>
      <c r="Y2905">
        <v>0</v>
      </c>
      <c r="Z2905" s="33">
        <v>0</v>
      </c>
      <c r="AA2905">
        <v>5</v>
      </c>
      <c r="AB2905">
        <v>100</v>
      </c>
      <c r="AC2905">
        <v>56</v>
      </c>
      <c r="AD2905" s="62">
        <v>0</v>
      </c>
      <c r="AE2905" s="62">
        <v>4</v>
      </c>
      <c r="AF2905" s="62">
        <v>2</v>
      </c>
      <c r="AS2905">
        <v>1</v>
      </c>
    </row>
    <row r="2906" spans="1:45">
      <c r="A2906">
        <v>619222</v>
      </c>
      <c r="B2906" s="8">
        <v>1001</v>
      </c>
      <c r="C2906" s="8">
        <v>6</v>
      </c>
      <c r="D2906" s="8">
        <v>1001</v>
      </c>
      <c r="E2906" t="s">
        <v>7311</v>
      </c>
      <c r="F2906" t="s">
        <v>7311</v>
      </c>
      <c r="G2906" t="s">
        <v>7354</v>
      </c>
      <c r="H2906" t="s">
        <v>1757</v>
      </c>
      <c r="I2906">
        <v>1</v>
      </c>
      <c r="J2906">
        <v>5</v>
      </c>
      <c r="K2906" s="33">
        <v>2</v>
      </c>
      <c r="L2906">
        <v>999</v>
      </c>
      <c r="M2906">
        <v>0</v>
      </c>
      <c r="N2906">
        <v>1</v>
      </c>
      <c r="O2906" s="249" t="s">
        <v>7355</v>
      </c>
      <c r="S2906" s="33">
        <v>1</v>
      </c>
      <c r="T2906">
        <v>5</v>
      </c>
      <c r="U2906">
        <v>10</v>
      </c>
      <c r="V2906" s="33">
        <v>1</v>
      </c>
      <c r="W2906">
        <v>1</v>
      </c>
      <c r="X2906" s="8">
        <v>1</v>
      </c>
      <c r="Y2906">
        <v>0</v>
      </c>
      <c r="Z2906" s="33">
        <v>0</v>
      </c>
      <c r="AA2906">
        <v>5</v>
      </c>
      <c r="AB2906">
        <v>100</v>
      </c>
      <c r="AC2906">
        <v>56</v>
      </c>
      <c r="AD2906" s="62">
        <v>0</v>
      </c>
      <c r="AE2906" s="62">
        <v>4</v>
      </c>
      <c r="AF2906" s="62">
        <v>2</v>
      </c>
      <c r="AS2906">
        <v>1</v>
      </c>
    </row>
    <row r="2907" spans="1:45">
      <c r="A2907">
        <v>619223</v>
      </c>
      <c r="B2907" s="8">
        <v>1001</v>
      </c>
      <c r="C2907" s="8">
        <v>6</v>
      </c>
      <c r="D2907" s="8">
        <v>1001</v>
      </c>
      <c r="E2907" t="s">
        <v>7311</v>
      </c>
      <c r="F2907" t="s">
        <v>7311</v>
      </c>
      <c r="G2907" t="s">
        <v>7356</v>
      </c>
      <c r="H2907" t="s">
        <v>1757</v>
      </c>
      <c r="I2907">
        <v>1</v>
      </c>
      <c r="J2907">
        <v>5</v>
      </c>
      <c r="K2907" s="33">
        <v>2</v>
      </c>
      <c r="L2907">
        <v>999</v>
      </c>
      <c r="M2907">
        <v>0</v>
      </c>
      <c r="N2907">
        <v>1</v>
      </c>
      <c r="O2907" s="249" t="s">
        <v>7357</v>
      </c>
      <c r="S2907" s="33">
        <v>1</v>
      </c>
      <c r="T2907">
        <v>5</v>
      </c>
      <c r="U2907">
        <v>10</v>
      </c>
      <c r="V2907" s="33">
        <v>1</v>
      </c>
      <c r="W2907">
        <v>1</v>
      </c>
      <c r="X2907" s="8">
        <v>1</v>
      </c>
      <c r="Y2907">
        <v>0</v>
      </c>
      <c r="Z2907" s="33">
        <v>0</v>
      </c>
      <c r="AA2907">
        <v>5</v>
      </c>
      <c r="AB2907">
        <v>100</v>
      </c>
      <c r="AC2907">
        <v>56</v>
      </c>
      <c r="AD2907" s="62">
        <v>0</v>
      </c>
      <c r="AE2907" s="62">
        <v>4</v>
      </c>
      <c r="AF2907" s="62">
        <v>2</v>
      </c>
      <c r="AS2907">
        <v>1</v>
      </c>
    </row>
    <row r="2908" spans="1:45">
      <c r="A2908">
        <v>619224</v>
      </c>
      <c r="B2908" s="8">
        <v>1001</v>
      </c>
      <c r="C2908" s="8">
        <v>6</v>
      </c>
      <c r="D2908" s="8">
        <v>1001</v>
      </c>
      <c r="E2908" t="s">
        <v>7311</v>
      </c>
      <c r="F2908" t="s">
        <v>7311</v>
      </c>
      <c r="G2908" t="s">
        <v>7358</v>
      </c>
      <c r="H2908" t="s">
        <v>1757</v>
      </c>
      <c r="I2908">
        <v>1</v>
      </c>
      <c r="J2908">
        <v>5</v>
      </c>
      <c r="K2908" s="33">
        <v>2</v>
      </c>
      <c r="L2908">
        <v>999</v>
      </c>
      <c r="M2908">
        <v>0</v>
      </c>
      <c r="N2908">
        <v>1</v>
      </c>
      <c r="O2908" s="249" t="s">
        <v>7359</v>
      </c>
      <c r="S2908" s="33">
        <v>1</v>
      </c>
      <c r="T2908">
        <v>5</v>
      </c>
      <c r="U2908">
        <v>10</v>
      </c>
      <c r="V2908" s="33">
        <v>1</v>
      </c>
      <c r="W2908">
        <v>1</v>
      </c>
      <c r="X2908" s="8">
        <v>1</v>
      </c>
      <c r="Y2908">
        <v>0</v>
      </c>
      <c r="Z2908" s="33">
        <v>0</v>
      </c>
      <c r="AA2908">
        <v>5</v>
      </c>
      <c r="AB2908">
        <v>100</v>
      </c>
      <c r="AC2908">
        <v>56</v>
      </c>
      <c r="AD2908" s="62">
        <v>0</v>
      </c>
      <c r="AE2908" s="62">
        <v>4</v>
      </c>
      <c r="AF2908" s="62">
        <v>2</v>
      </c>
      <c r="AS2908">
        <v>1</v>
      </c>
    </row>
    <row r="2909" spans="1:45">
      <c r="A2909">
        <v>619225</v>
      </c>
      <c r="B2909" s="8">
        <v>1001</v>
      </c>
      <c r="C2909" s="8">
        <v>6</v>
      </c>
      <c r="D2909" s="8">
        <v>1001</v>
      </c>
      <c r="E2909" t="s">
        <v>7311</v>
      </c>
      <c r="F2909" t="s">
        <v>7311</v>
      </c>
      <c r="G2909" t="s">
        <v>7360</v>
      </c>
      <c r="H2909" t="s">
        <v>1757</v>
      </c>
      <c r="I2909">
        <v>1</v>
      </c>
      <c r="J2909">
        <v>5</v>
      </c>
      <c r="K2909" s="33">
        <v>2</v>
      </c>
      <c r="L2909">
        <v>999</v>
      </c>
      <c r="M2909">
        <v>0</v>
      </c>
      <c r="N2909">
        <v>1</v>
      </c>
      <c r="O2909" s="249" t="s">
        <v>7361</v>
      </c>
      <c r="S2909" s="33">
        <v>1</v>
      </c>
      <c r="T2909">
        <v>5</v>
      </c>
      <c r="U2909">
        <v>10</v>
      </c>
      <c r="V2909" s="33">
        <v>1</v>
      </c>
      <c r="W2909">
        <v>1</v>
      </c>
      <c r="X2909" s="8">
        <v>1</v>
      </c>
      <c r="Y2909">
        <v>0</v>
      </c>
      <c r="Z2909" s="33">
        <v>0</v>
      </c>
      <c r="AA2909">
        <v>5</v>
      </c>
      <c r="AB2909">
        <v>100</v>
      </c>
      <c r="AC2909">
        <v>56</v>
      </c>
      <c r="AD2909" s="62">
        <v>0</v>
      </c>
      <c r="AE2909" s="62">
        <v>4</v>
      </c>
      <c r="AF2909" s="62">
        <v>2</v>
      </c>
      <c r="AS2909">
        <v>1</v>
      </c>
    </row>
    <row r="2910" spans="1:45">
      <c r="A2910">
        <v>619226</v>
      </c>
      <c r="B2910" s="8">
        <v>1001</v>
      </c>
      <c r="C2910" s="8">
        <v>6</v>
      </c>
      <c r="D2910" s="8">
        <v>1001</v>
      </c>
      <c r="E2910" t="s">
        <v>7311</v>
      </c>
      <c r="F2910" t="s">
        <v>7311</v>
      </c>
      <c r="G2910" t="s">
        <v>7362</v>
      </c>
      <c r="H2910" t="s">
        <v>1757</v>
      </c>
      <c r="I2910">
        <v>1</v>
      </c>
      <c r="J2910">
        <v>5</v>
      </c>
      <c r="K2910" s="33">
        <v>2</v>
      </c>
      <c r="L2910">
        <v>999</v>
      </c>
      <c r="M2910">
        <v>0</v>
      </c>
      <c r="N2910">
        <v>1</v>
      </c>
      <c r="O2910" s="249" t="s">
        <v>7363</v>
      </c>
      <c r="S2910" s="33">
        <v>1</v>
      </c>
      <c r="T2910">
        <v>5</v>
      </c>
      <c r="U2910">
        <v>10</v>
      </c>
      <c r="V2910" s="33">
        <v>1</v>
      </c>
      <c r="W2910">
        <v>1</v>
      </c>
      <c r="X2910" s="8">
        <v>1</v>
      </c>
      <c r="Y2910">
        <v>0</v>
      </c>
      <c r="Z2910" s="33">
        <v>0</v>
      </c>
      <c r="AA2910">
        <v>5</v>
      </c>
      <c r="AB2910">
        <v>100</v>
      </c>
      <c r="AC2910">
        <v>56</v>
      </c>
      <c r="AD2910" s="62">
        <v>0</v>
      </c>
      <c r="AE2910" s="62">
        <v>4</v>
      </c>
      <c r="AF2910" s="62">
        <v>2</v>
      </c>
      <c r="AG2910" s="430"/>
      <c r="AH2910" s="430"/>
      <c r="AI2910" s="430"/>
      <c r="AJ2910" s="430"/>
      <c r="AK2910" s="430"/>
      <c r="AL2910" s="214"/>
      <c r="AM2910" s="214"/>
      <c r="AN2910" s="431"/>
      <c r="AO2910" s="214"/>
      <c r="AP2910" s="214"/>
      <c r="AS2910">
        <v>1</v>
      </c>
    </row>
    <row r="2911" spans="1:45">
      <c r="A2911">
        <v>619227</v>
      </c>
      <c r="B2911" s="8">
        <v>1001</v>
      </c>
      <c r="C2911" s="8">
        <v>6</v>
      </c>
      <c r="D2911" s="8">
        <v>1001</v>
      </c>
      <c r="E2911" t="s">
        <v>7311</v>
      </c>
      <c r="F2911" t="s">
        <v>7311</v>
      </c>
      <c r="G2911" t="s">
        <v>7364</v>
      </c>
      <c r="H2911" t="s">
        <v>1757</v>
      </c>
      <c r="I2911">
        <v>1</v>
      </c>
      <c r="J2911">
        <v>5</v>
      </c>
      <c r="K2911" s="33">
        <v>2</v>
      </c>
      <c r="L2911">
        <v>999</v>
      </c>
      <c r="M2911">
        <v>0</v>
      </c>
      <c r="N2911">
        <v>1</v>
      </c>
      <c r="O2911" s="249" t="s">
        <v>7365</v>
      </c>
      <c r="S2911" s="33">
        <v>1</v>
      </c>
      <c r="T2911">
        <v>5</v>
      </c>
      <c r="U2911">
        <v>10</v>
      </c>
      <c r="V2911" s="33">
        <v>1</v>
      </c>
      <c r="W2911">
        <v>1</v>
      </c>
      <c r="X2911" s="8">
        <v>1</v>
      </c>
      <c r="Y2911">
        <v>0</v>
      </c>
      <c r="Z2911" s="33">
        <v>0</v>
      </c>
      <c r="AA2911">
        <v>5</v>
      </c>
      <c r="AB2911">
        <v>100</v>
      </c>
      <c r="AC2911">
        <v>56</v>
      </c>
      <c r="AD2911" s="12">
        <v>0</v>
      </c>
      <c r="AE2911" s="12">
        <v>4</v>
      </c>
      <c r="AF2911" s="12">
        <v>2</v>
      </c>
      <c r="AG2911" s="430"/>
      <c r="AH2911" s="430"/>
      <c r="AI2911" s="430"/>
      <c r="AJ2911" s="430"/>
      <c r="AK2911" s="430"/>
      <c r="AL2911" s="214"/>
      <c r="AM2911" s="214"/>
      <c r="AN2911" s="431"/>
      <c r="AO2911" s="214"/>
      <c r="AP2911" s="214"/>
      <c r="AS2911">
        <v>1</v>
      </c>
    </row>
    <row r="2912" spans="1:45">
      <c r="A2912">
        <v>619228</v>
      </c>
      <c r="B2912" s="8">
        <v>1001</v>
      </c>
      <c r="C2912" s="8">
        <v>6</v>
      </c>
      <c r="D2912" s="8">
        <v>1001</v>
      </c>
      <c r="E2912" t="s">
        <v>7311</v>
      </c>
      <c r="F2912" t="s">
        <v>7311</v>
      </c>
      <c r="G2912" t="s">
        <v>7366</v>
      </c>
      <c r="H2912" t="s">
        <v>1757</v>
      </c>
      <c r="I2912">
        <v>1</v>
      </c>
      <c r="J2912">
        <v>5</v>
      </c>
      <c r="K2912" s="33">
        <v>2</v>
      </c>
      <c r="L2912">
        <v>999</v>
      </c>
      <c r="M2912">
        <v>0</v>
      </c>
      <c r="N2912">
        <v>1</v>
      </c>
      <c r="O2912" s="249" t="s">
        <v>7367</v>
      </c>
      <c r="S2912" s="33">
        <v>1</v>
      </c>
      <c r="T2912">
        <v>5</v>
      </c>
      <c r="U2912">
        <v>10</v>
      </c>
      <c r="V2912" s="33">
        <v>1</v>
      </c>
      <c r="W2912">
        <v>1</v>
      </c>
      <c r="X2912" s="8">
        <v>1</v>
      </c>
      <c r="Y2912">
        <v>0</v>
      </c>
      <c r="Z2912" s="33">
        <v>0</v>
      </c>
      <c r="AA2912">
        <v>5</v>
      </c>
      <c r="AB2912">
        <v>100</v>
      </c>
      <c r="AC2912">
        <v>56</v>
      </c>
      <c r="AD2912" s="12">
        <v>0</v>
      </c>
      <c r="AE2912" s="12">
        <v>4</v>
      </c>
      <c r="AF2912" s="12">
        <v>2</v>
      </c>
      <c r="AG2912" s="430"/>
      <c r="AH2912" s="430"/>
      <c r="AI2912" s="430"/>
      <c r="AJ2912" s="430"/>
      <c r="AK2912" s="430"/>
      <c r="AL2912" s="214"/>
      <c r="AM2912" s="214"/>
      <c r="AN2912" s="431"/>
      <c r="AO2912" s="214"/>
      <c r="AP2912" s="214"/>
      <c r="AS2912">
        <v>1</v>
      </c>
    </row>
    <row r="2913" spans="1:45">
      <c r="A2913">
        <v>619229</v>
      </c>
      <c r="B2913" s="8">
        <v>1001</v>
      </c>
      <c r="C2913" s="8">
        <v>6</v>
      </c>
      <c r="D2913" s="8">
        <v>1001</v>
      </c>
      <c r="E2913" t="s">
        <v>7311</v>
      </c>
      <c r="F2913" t="s">
        <v>7311</v>
      </c>
      <c r="G2913" t="s">
        <v>7368</v>
      </c>
      <c r="H2913" t="s">
        <v>1757</v>
      </c>
      <c r="I2913">
        <v>1</v>
      </c>
      <c r="J2913">
        <v>5</v>
      </c>
      <c r="K2913" s="33">
        <v>2</v>
      </c>
      <c r="L2913">
        <v>999</v>
      </c>
      <c r="M2913">
        <v>0</v>
      </c>
      <c r="N2913">
        <v>1</v>
      </c>
      <c r="O2913" s="249" t="s">
        <v>7369</v>
      </c>
      <c r="S2913" s="33">
        <v>1</v>
      </c>
      <c r="T2913">
        <v>5</v>
      </c>
      <c r="U2913">
        <v>10</v>
      </c>
      <c r="V2913" s="33">
        <v>1</v>
      </c>
      <c r="W2913">
        <v>1</v>
      </c>
      <c r="X2913" s="8">
        <v>1</v>
      </c>
      <c r="Y2913">
        <v>0</v>
      </c>
      <c r="Z2913" s="33">
        <v>0</v>
      </c>
      <c r="AA2913">
        <v>5</v>
      </c>
      <c r="AB2913">
        <v>100</v>
      </c>
      <c r="AC2913">
        <v>56</v>
      </c>
      <c r="AD2913" s="12">
        <v>0</v>
      </c>
      <c r="AE2913" s="12">
        <v>4</v>
      </c>
      <c r="AF2913" s="12">
        <v>2</v>
      </c>
      <c r="AG2913" s="430"/>
      <c r="AH2913" s="430"/>
      <c r="AI2913" s="430"/>
      <c r="AJ2913" s="430"/>
      <c r="AK2913" s="430"/>
      <c r="AL2913" s="214"/>
      <c r="AM2913" s="214"/>
      <c r="AN2913" s="431"/>
      <c r="AO2913" s="214"/>
      <c r="AP2913" s="214"/>
      <c r="AS2913">
        <v>1</v>
      </c>
    </row>
    <row r="2914" spans="1:45">
      <c r="A2914">
        <v>619230</v>
      </c>
      <c r="B2914" s="8">
        <v>1001</v>
      </c>
      <c r="C2914" s="8">
        <v>6</v>
      </c>
      <c r="D2914" s="8">
        <v>1001</v>
      </c>
      <c r="E2914" t="s">
        <v>7311</v>
      </c>
      <c r="F2914" t="s">
        <v>7311</v>
      </c>
      <c r="G2914" t="s">
        <v>7370</v>
      </c>
      <c r="H2914" t="s">
        <v>1757</v>
      </c>
      <c r="I2914">
        <v>1</v>
      </c>
      <c r="J2914">
        <v>5</v>
      </c>
      <c r="K2914" s="33">
        <v>2</v>
      </c>
      <c r="L2914">
        <v>999</v>
      </c>
      <c r="M2914">
        <v>0</v>
      </c>
      <c r="N2914">
        <v>1</v>
      </c>
      <c r="O2914" s="249" t="s">
        <v>7371</v>
      </c>
      <c r="S2914" s="33">
        <v>1</v>
      </c>
      <c r="T2914">
        <v>5</v>
      </c>
      <c r="U2914">
        <v>10</v>
      </c>
      <c r="V2914" s="33">
        <v>1</v>
      </c>
      <c r="W2914">
        <v>1</v>
      </c>
      <c r="X2914" s="8">
        <v>1</v>
      </c>
      <c r="Y2914">
        <v>0</v>
      </c>
      <c r="Z2914" s="33">
        <v>0</v>
      </c>
      <c r="AA2914">
        <v>5</v>
      </c>
      <c r="AB2914">
        <v>100</v>
      </c>
      <c r="AC2914">
        <v>56</v>
      </c>
      <c r="AD2914" s="12">
        <v>0</v>
      </c>
      <c r="AE2914" s="12">
        <v>4</v>
      </c>
      <c r="AF2914" s="12">
        <v>2</v>
      </c>
      <c r="AG2914" s="430"/>
      <c r="AH2914" s="430"/>
      <c r="AI2914" s="430"/>
      <c r="AJ2914" s="430"/>
      <c r="AK2914" s="430"/>
      <c r="AL2914" s="214"/>
      <c r="AM2914" s="214"/>
      <c r="AN2914" s="431"/>
      <c r="AO2914" s="214"/>
      <c r="AP2914" s="214"/>
      <c r="AS2914">
        <v>1</v>
      </c>
    </row>
    <row r="2915" spans="1:45">
      <c r="A2915">
        <v>619231</v>
      </c>
      <c r="B2915" s="8">
        <v>1001</v>
      </c>
      <c r="C2915" s="8">
        <v>6</v>
      </c>
      <c r="D2915" s="8">
        <v>1001</v>
      </c>
      <c r="E2915" t="s">
        <v>7311</v>
      </c>
      <c r="F2915" t="s">
        <v>7311</v>
      </c>
      <c r="G2915" t="s">
        <v>7372</v>
      </c>
      <c r="H2915" t="s">
        <v>1757</v>
      </c>
      <c r="I2915">
        <v>1</v>
      </c>
      <c r="J2915">
        <v>5</v>
      </c>
      <c r="K2915" s="33">
        <v>2</v>
      </c>
      <c r="L2915">
        <v>999</v>
      </c>
      <c r="M2915">
        <v>0</v>
      </c>
      <c r="N2915">
        <v>1</v>
      </c>
      <c r="O2915" s="249" t="s">
        <v>7373</v>
      </c>
      <c r="S2915" s="33">
        <v>1</v>
      </c>
      <c r="T2915">
        <v>5</v>
      </c>
      <c r="U2915">
        <v>10</v>
      </c>
      <c r="V2915" s="33">
        <v>1</v>
      </c>
      <c r="W2915">
        <v>1</v>
      </c>
      <c r="X2915" s="8">
        <v>1</v>
      </c>
      <c r="Y2915">
        <v>0</v>
      </c>
      <c r="Z2915" s="33">
        <v>0</v>
      </c>
      <c r="AA2915">
        <v>5</v>
      </c>
      <c r="AB2915">
        <v>100</v>
      </c>
      <c r="AC2915">
        <v>56</v>
      </c>
      <c r="AD2915" s="62">
        <v>0</v>
      </c>
      <c r="AE2915" s="62">
        <v>4</v>
      </c>
      <c r="AF2915" s="62">
        <v>2</v>
      </c>
      <c r="AG2915" s="214"/>
      <c r="AH2915" s="214"/>
      <c r="AI2915" s="214"/>
      <c r="AJ2915" s="214"/>
      <c r="AK2915" s="214"/>
      <c r="AL2915" s="214"/>
      <c r="AM2915" s="214"/>
      <c r="AN2915" s="431"/>
      <c r="AO2915" s="214"/>
      <c r="AP2915" s="214"/>
      <c r="AS2915">
        <v>1</v>
      </c>
    </row>
    <row r="2916" spans="1:45">
      <c r="A2916">
        <v>619232</v>
      </c>
      <c r="B2916" s="8">
        <v>1001</v>
      </c>
      <c r="C2916" s="8">
        <v>6</v>
      </c>
      <c r="D2916" s="8">
        <v>1001</v>
      </c>
      <c r="E2916" t="s">
        <v>7311</v>
      </c>
      <c r="F2916" t="s">
        <v>7311</v>
      </c>
      <c r="G2916" t="s">
        <v>7374</v>
      </c>
      <c r="H2916" t="s">
        <v>1757</v>
      </c>
      <c r="I2916">
        <v>1</v>
      </c>
      <c r="J2916">
        <v>5</v>
      </c>
      <c r="K2916" s="33">
        <v>2</v>
      </c>
      <c r="L2916">
        <v>999</v>
      </c>
      <c r="M2916">
        <v>0</v>
      </c>
      <c r="N2916">
        <v>1</v>
      </c>
      <c r="O2916" s="249" t="s">
        <v>7375</v>
      </c>
      <c r="S2916" s="33">
        <v>1</v>
      </c>
      <c r="T2916">
        <v>5</v>
      </c>
      <c r="U2916">
        <v>10</v>
      </c>
      <c r="V2916" s="33">
        <v>1</v>
      </c>
      <c r="W2916">
        <v>1</v>
      </c>
      <c r="X2916" s="8">
        <v>1</v>
      </c>
      <c r="Y2916">
        <v>0</v>
      </c>
      <c r="Z2916" s="33">
        <v>0</v>
      </c>
      <c r="AA2916">
        <v>5</v>
      </c>
      <c r="AB2916">
        <v>100</v>
      </c>
      <c r="AC2916">
        <v>56</v>
      </c>
      <c r="AD2916" s="62">
        <v>0</v>
      </c>
      <c r="AE2916" s="62">
        <v>4</v>
      </c>
      <c r="AF2916" s="62">
        <v>2</v>
      </c>
      <c r="AG2916" s="214"/>
      <c r="AH2916" s="214"/>
      <c r="AI2916" s="214"/>
      <c r="AJ2916" s="214"/>
      <c r="AK2916" s="214"/>
      <c r="AL2916" s="214"/>
      <c r="AM2916" s="214"/>
      <c r="AN2916" s="431"/>
      <c r="AO2916" s="214"/>
      <c r="AP2916" s="214"/>
      <c r="AS2916">
        <v>1</v>
      </c>
    </row>
    <row r="2917" s="3" customFormat="1" spans="1:45">
      <c r="A2917">
        <v>619233</v>
      </c>
      <c r="B2917" s="236">
        <v>1001</v>
      </c>
      <c r="C2917" s="236">
        <v>6</v>
      </c>
      <c r="D2917" s="236">
        <v>1001</v>
      </c>
      <c r="E2917" t="s">
        <v>7311</v>
      </c>
      <c r="F2917" t="s">
        <v>7311</v>
      </c>
      <c r="G2917" t="s">
        <v>7376</v>
      </c>
      <c r="H2917" t="s">
        <v>1757</v>
      </c>
      <c r="I2917">
        <v>1</v>
      </c>
      <c r="J2917">
        <v>5</v>
      </c>
      <c r="K2917" s="33">
        <v>2</v>
      </c>
      <c r="L2917">
        <v>999</v>
      </c>
      <c r="M2917">
        <v>0</v>
      </c>
      <c r="N2917">
        <v>1</v>
      </c>
      <c r="O2917" s="249" t="s">
        <v>7377</v>
      </c>
      <c r="S2917" s="33">
        <v>1</v>
      </c>
      <c r="T2917">
        <v>5</v>
      </c>
      <c r="U2917">
        <v>10</v>
      </c>
      <c r="V2917" s="33">
        <v>1</v>
      </c>
      <c r="W2917">
        <v>1</v>
      </c>
      <c r="X2917" s="236">
        <v>1</v>
      </c>
      <c r="Y2917">
        <v>0</v>
      </c>
      <c r="Z2917" s="33">
        <v>0</v>
      </c>
      <c r="AA2917">
        <v>5</v>
      </c>
      <c r="AB2917">
        <v>100</v>
      </c>
      <c r="AC2917">
        <v>56</v>
      </c>
      <c r="AD2917" s="12">
        <v>0</v>
      </c>
      <c r="AE2917" s="12">
        <v>4</v>
      </c>
      <c r="AF2917" s="12">
        <v>2</v>
      </c>
      <c r="AG2917" s="430"/>
      <c r="AH2917" s="430"/>
      <c r="AI2917" s="430"/>
      <c r="AJ2917" s="430"/>
      <c r="AK2917" s="430"/>
      <c r="AL2917" s="214"/>
      <c r="AM2917" s="214"/>
      <c r="AN2917" s="431"/>
      <c r="AO2917" s="214"/>
      <c r="AP2917" s="214"/>
      <c r="AS2917">
        <v>1</v>
      </c>
    </row>
    <row r="2918" spans="1:45">
      <c r="A2918" s="3">
        <v>619234</v>
      </c>
      <c r="B2918" s="339">
        <v>1001</v>
      </c>
      <c r="C2918" s="339">
        <v>6</v>
      </c>
      <c r="D2918" s="339">
        <v>1001</v>
      </c>
      <c r="E2918" s="3" t="s">
        <v>7378</v>
      </c>
      <c r="F2918" s="3" t="s">
        <v>7378</v>
      </c>
      <c r="G2918" s="3" t="s">
        <v>7379</v>
      </c>
      <c r="H2918" s="3" t="s">
        <v>204</v>
      </c>
      <c r="I2918" s="3">
        <v>1</v>
      </c>
      <c r="J2918" s="3">
        <v>5</v>
      </c>
      <c r="K2918" s="33">
        <v>2</v>
      </c>
      <c r="L2918" s="3">
        <v>999</v>
      </c>
      <c r="M2918" s="3">
        <v>0</v>
      </c>
      <c r="N2918" s="3">
        <v>1018</v>
      </c>
      <c r="O2918" s="2" t="s">
        <v>7380</v>
      </c>
      <c r="S2918" s="33">
        <v>1</v>
      </c>
      <c r="T2918" s="3">
        <v>5</v>
      </c>
      <c r="U2918" s="3">
        <v>10</v>
      </c>
      <c r="V2918" s="33">
        <v>1</v>
      </c>
      <c r="W2918" s="3">
        <v>1</v>
      </c>
      <c r="X2918" s="339">
        <v>1</v>
      </c>
      <c r="Y2918" s="3">
        <v>0</v>
      </c>
      <c r="Z2918" s="33">
        <v>0</v>
      </c>
      <c r="AA2918" s="3">
        <v>5</v>
      </c>
      <c r="AB2918" s="3">
        <v>10000</v>
      </c>
      <c r="AC2918" s="3">
        <v>55</v>
      </c>
      <c r="AD2918" s="3">
        <v>0</v>
      </c>
      <c r="AE2918" s="3">
        <v>5</v>
      </c>
      <c r="AF2918" s="3">
        <v>2</v>
      </c>
      <c r="AG2918" s="214"/>
      <c r="AH2918" s="214"/>
      <c r="AI2918" s="214"/>
      <c r="AJ2918" s="214"/>
      <c r="AK2918" s="214"/>
      <c r="AL2918" s="214">
        <v>1</v>
      </c>
      <c r="AM2918" s="214"/>
      <c r="AN2918" s="431"/>
      <c r="AO2918" s="214"/>
      <c r="AP2918" s="214"/>
      <c r="AS2918" s="3">
        <v>1</v>
      </c>
    </row>
    <row r="2919" spans="1:45">
      <c r="A2919">
        <v>619235</v>
      </c>
      <c r="B2919" s="8">
        <v>1001</v>
      </c>
      <c r="C2919" s="8">
        <v>6</v>
      </c>
      <c r="D2919" s="8">
        <v>1001</v>
      </c>
      <c r="E2919" t="s">
        <v>7311</v>
      </c>
      <c r="F2919" t="s">
        <v>7311</v>
      </c>
      <c r="G2919" t="s">
        <v>7381</v>
      </c>
      <c r="H2919" t="s">
        <v>1757</v>
      </c>
      <c r="I2919">
        <v>1</v>
      </c>
      <c r="J2919">
        <v>5</v>
      </c>
      <c r="K2919" s="33">
        <v>2</v>
      </c>
      <c r="L2919">
        <v>999</v>
      </c>
      <c r="M2919">
        <v>0</v>
      </c>
      <c r="N2919">
        <v>1</v>
      </c>
      <c r="O2919" s="249" t="s">
        <v>7382</v>
      </c>
      <c r="S2919" s="33">
        <v>1</v>
      </c>
      <c r="T2919">
        <v>5</v>
      </c>
      <c r="U2919">
        <v>10</v>
      </c>
      <c r="V2919" s="33">
        <v>1</v>
      </c>
      <c r="W2919">
        <v>1</v>
      </c>
      <c r="X2919" s="8">
        <v>1</v>
      </c>
      <c r="Y2919">
        <v>0</v>
      </c>
      <c r="Z2919" s="33">
        <v>0</v>
      </c>
      <c r="AA2919">
        <v>5</v>
      </c>
      <c r="AB2919">
        <v>100</v>
      </c>
      <c r="AC2919">
        <v>56</v>
      </c>
      <c r="AD2919" s="12">
        <v>0</v>
      </c>
      <c r="AE2919" s="12">
        <v>4</v>
      </c>
      <c r="AF2919" s="12">
        <v>2</v>
      </c>
      <c r="AG2919" s="430"/>
      <c r="AH2919" s="430"/>
      <c r="AI2919" s="430"/>
      <c r="AJ2919" s="430"/>
      <c r="AK2919" s="430"/>
      <c r="AL2919" s="214"/>
      <c r="AM2919" s="214"/>
      <c r="AN2919" s="431"/>
      <c r="AO2919" s="214"/>
      <c r="AP2919" s="214"/>
      <c r="AS2919">
        <v>1</v>
      </c>
    </row>
    <row r="2920" spans="1:45">
      <c r="A2920">
        <v>619236</v>
      </c>
      <c r="B2920" s="8">
        <v>1001</v>
      </c>
      <c r="C2920" s="8">
        <v>6</v>
      </c>
      <c r="D2920" s="8">
        <v>1001</v>
      </c>
      <c r="E2920" t="s">
        <v>7311</v>
      </c>
      <c r="F2920" t="s">
        <v>7311</v>
      </c>
      <c r="G2920" t="s">
        <v>7383</v>
      </c>
      <c r="H2920" t="s">
        <v>1757</v>
      </c>
      <c r="I2920">
        <v>1</v>
      </c>
      <c r="J2920">
        <v>5</v>
      </c>
      <c r="K2920" s="33">
        <v>2</v>
      </c>
      <c r="L2920">
        <v>999</v>
      </c>
      <c r="M2920">
        <v>0</v>
      </c>
      <c r="N2920">
        <v>1</v>
      </c>
      <c r="O2920" s="249" t="s">
        <v>7384</v>
      </c>
      <c r="S2920" s="33">
        <v>1</v>
      </c>
      <c r="T2920">
        <v>5</v>
      </c>
      <c r="U2920">
        <v>10</v>
      </c>
      <c r="V2920" s="33">
        <v>1</v>
      </c>
      <c r="W2920">
        <v>1</v>
      </c>
      <c r="X2920" s="8">
        <v>1</v>
      </c>
      <c r="Y2920">
        <v>0</v>
      </c>
      <c r="Z2920" s="33">
        <v>0</v>
      </c>
      <c r="AA2920">
        <v>5</v>
      </c>
      <c r="AB2920">
        <v>100</v>
      </c>
      <c r="AC2920">
        <v>56</v>
      </c>
      <c r="AD2920" s="12">
        <v>0</v>
      </c>
      <c r="AE2920" s="12">
        <v>4</v>
      </c>
      <c r="AF2920" s="12">
        <v>2</v>
      </c>
      <c r="AG2920" s="430"/>
      <c r="AH2920" s="430"/>
      <c r="AI2920" s="430"/>
      <c r="AJ2920" s="430"/>
      <c r="AK2920" s="430"/>
      <c r="AL2920" s="214"/>
      <c r="AM2920" s="214"/>
      <c r="AN2920" s="431"/>
      <c r="AO2920" s="214"/>
      <c r="AP2920" s="214"/>
      <c r="AS2920">
        <v>1</v>
      </c>
    </row>
    <row r="2921" spans="1:45">
      <c r="A2921">
        <v>619237</v>
      </c>
      <c r="B2921" s="8">
        <v>1001</v>
      </c>
      <c r="C2921" s="8">
        <v>6</v>
      </c>
      <c r="D2921" s="8">
        <v>1001</v>
      </c>
      <c r="E2921" t="s">
        <v>7311</v>
      </c>
      <c r="F2921" t="s">
        <v>7311</v>
      </c>
      <c r="G2921" t="s">
        <v>7385</v>
      </c>
      <c r="H2921" t="s">
        <v>1757</v>
      </c>
      <c r="I2921">
        <v>1</v>
      </c>
      <c r="J2921">
        <v>5</v>
      </c>
      <c r="K2921" s="33">
        <v>2</v>
      </c>
      <c r="L2921">
        <v>999</v>
      </c>
      <c r="M2921">
        <v>0</v>
      </c>
      <c r="N2921">
        <v>1</v>
      </c>
      <c r="O2921" s="249" t="s">
        <v>7386</v>
      </c>
      <c r="S2921" s="33">
        <v>1</v>
      </c>
      <c r="T2921">
        <v>5</v>
      </c>
      <c r="U2921">
        <v>10</v>
      </c>
      <c r="V2921" s="33">
        <v>1</v>
      </c>
      <c r="W2921">
        <v>1</v>
      </c>
      <c r="X2921" s="8">
        <v>1</v>
      </c>
      <c r="Y2921">
        <v>0</v>
      </c>
      <c r="Z2921" s="33">
        <v>0</v>
      </c>
      <c r="AA2921">
        <v>5</v>
      </c>
      <c r="AB2921">
        <v>100</v>
      </c>
      <c r="AC2921">
        <v>56</v>
      </c>
      <c r="AD2921" s="62">
        <v>0</v>
      </c>
      <c r="AE2921" s="62">
        <v>4</v>
      </c>
      <c r="AF2921" s="62">
        <v>2</v>
      </c>
      <c r="AG2921" s="214"/>
      <c r="AH2921" s="214"/>
      <c r="AI2921" s="214"/>
      <c r="AJ2921" s="214"/>
      <c r="AK2921" s="214"/>
      <c r="AL2921" s="214"/>
      <c r="AM2921" s="214"/>
      <c r="AN2921" s="431"/>
      <c r="AO2921" s="214"/>
      <c r="AP2921" s="214"/>
      <c r="AS2921">
        <v>1</v>
      </c>
    </row>
    <row r="2922" spans="1:45">
      <c r="A2922">
        <v>619238</v>
      </c>
      <c r="B2922" s="8">
        <v>1001</v>
      </c>
      <c r="C2922" s="8">
        <v>6</v>
      </c>
      <c r="D2922" s="8">
        <v>1001</v>
      </c>
      <c r="E2922" t="s">
        <v>7311</v>
      </c>
      <c r="F2922" t="s">
        <v>7311</v>
      </c>
      <c r="G2922" t="s">
        <v>7387</v>
      </c>
      <c r="H2922" t="s">
        <v>1757</v>
      </c>
      <c r="I2922">
        <v>1</v>
      </c>
      <c r="J2922">
        <v>5</v>
      </c>
      <c r="K2922" s="33">
        <v>2</v>
      </c>
      <c r="L2922">
        <v>999</v>
      </c>
      <c r="M2922">
        <v>0</v>
      </c>
      <c r="N2922">
        <v>1</v>
      </c>
      <c r="O2922" s="249" t="s">
        <v>7388</v>
      </c>
      <c r="S2922" s="33">
        <v>1</v>
      </c>
      <c r="T2922">
        <v>5</v>
      </c>
      <c r="U2922">
        <v>10</v>
      </c>
      <c r="V2922" s="33">
        <v>1</v>
      </c>
      <c r="W2922">
        <v>1</v>
      </c>
      <c r="X2922" s="8">
        <v>1</v>
      </c>
      <c r="Y2922">
        <v>0</v>
      </c>
      <c r="Z2922" s="33">
        <v>0</v>
      </c>
      <c r="AA2922">
        <v>5</v>
      </c>
      <c r="AB2922">
        <v>100</v>
      </c>
      <c r="AC2922">
        <v>56</v>
      </c>
      <c r="AD2922" s="12">
        <v>0</v>
      </c>
      <c r="AE2922" s="12">
        <v>4</v>
      </c>
      <c r="AF2922" s="12">
        <v>2</v>
      </c>
      <c r="AG2922" s="430"/>
      <c r="AH2922" s="430"/>
      <c r="AI2922" s="430"/>
      <c r="AJ2922" s="430"/>
      <c r="AK2922" s="430"/>
      <c r="AL2922" s="214"/>
      <c r="AM2922" s="214"/>
      <c r="AN2922" s="431"/>
      <c r="AO2922" s="214"/>
      <c r="AP2922" s="214"/>
      <c r="AS2922">
        <v>1</v>
      </c>
    </row>
    <row r="2923" spans="1:45">
      <c r="A2923">
        <v>619239</v>
      </c>
      <c r="B2923" s="236">
        <v>1001</v>
      </c>
      <c r="C2923" s="236">
        <v>6</v>
      </c>
      <c r="D2923" s="236">
        <v>1001</v>
      </c>
      <c r="E2923" t="s">
        <v>7311</v>
      </c>
      <c r="F2923" t="s">
        <v>7311</v>
      </c>
      <c r="G2923" t="s">
        <v>7389</v>
      </c>
      <c r="H2923" t="s">
        <v>1757</v>
      </c>
      <c r="I2923">
        <v>1</v>
      </c>
      <c r="J2923">
        <v>5</v>
      </c>
      <c r="K2923" s="33">
        <v>2</v>
      </c>
      <c r="L2923">
        <v>999</v>
      </c>
      <c r="M2923">
        <v>0</v>
      </c>
      <c r="N2923">
        <v>1</v>
      </c>
      <c r="O2923" s="249" t="s">
        <v>7390</v>
      </c>
      <c r="S2923" s="33">
        <v>1</v>
      </c>
      <c r="T2923">
        <v>5</v>
      </c>
      <c r="U2923">
        <v>10</v>
      </c>
      <c r="V2923" s="33">
        <v>1</v>
      </c>
      <c r="W2923">
        <v>1</v>
      </c>
      <c r="X2923" s="236">
        <v>1</v>
      </c>
      <c r="Y2923">
        <v>0</v>
      </c>
      <c r="Z2923" s="33">
        <v>0</v>
      </c>
      <c r="AA2923">
        <v>5</v>
      </c>
      <c r="AB2923">
        <v>100</v>
      </c>
      <c r="AC2923">
        <v>56</v>
      </c>
      <c r="AD2923" s="12">
        <v>0</v>
      </c>
      <c r="AE2923" s="12">
        <v>4</v>
      </c>
      <c r="AF2923" s="12">
        <v>2</v>
      </c>
      <c r="AG2923" s="430"/>
      <c r="AH2923" s="430"/>
      <c r="AI2923" s="430"/>
      <c r="AJ2923" s="430"/>
      <c r="AK2923" s="430"/>
      <c r="AL2923" s="214"/>
      <c r="AM2923" s="214"/>
      <c r="AN2923" s="431"/>
      <c r="AO2923" s="214"/>
      <c r="AP2923" s="214"/>
      <c r="AS2923">
        <v>1</v>
      </c>
    </row>
    <row r="2924" spans="1:45">
      <c r="A2924">
        <v>619240</v>
      </c>
      <c r="B2924" s="238">
        <v>1001</v>
      </c>
      <c r="C2924" s="238">
        <v>6</v>
      </c>
      <c r="D2924" s="238">
        <v>1001</v>
      </c>
      <c r="E2924" t="s">
        <v>7378</v>
      </c>
      <c r="F2924" t="s">
        <v>7378</v>
      </c>
      <c r="G2924" t="s">
        <v>7379</v>
      </c>
      <c r="H2924" t="s">
        <v>204</v>
      </c>
      <c r="I2924">
        <v>1</v>
      </c>
      <c r="J2924">
        <v>5</v>
      </c>
      <c r="K2924" s="33">
        <v>2</v>
      </c>
      <c r="L2924">
        <v>999</v>
      </c>
      <c r="M2924">
        <v>0</v>
      </c>
      <c r="N2924">
        <v>1018</v>
      </c>
      <c r="O2924" s="2" t="s">
        <v>7380</v>
      </c>
      <c r="S2924" s="33">
        <v>1</v>
      </c>
      <c r="T2924">
        <v>5</v>
      </c>
      <c r="U2924">
        <v>10</v>
      </c>
      <c r="V2924" s="33">
        <v>1</v>
      </c>
      <c r="W2924">
        <v>1</v>
      </c>
      <c r="X2924" s="238">
        <v>1</v>
      </c>
      <c r="Y2924">
        <v>0</v>
      </c>
      <c r="Z2924" s="33">
        <v>0</v>
      </c>
      <c r="AA2924">
        <v>5</v>
      </c>
      <c r="AB2924">
        <v>10000</v>
      </c>
      <c r="AC2924">
        <v>55</v>
      </c>
      <c r="AD2924" s="12">
        <v>0</v>
      </c>
      <c r="AE2924" s="12">
        <v>5</v>
      </c>
      <c r="AF2924" s="12">
        <v>2</v>
      </c>
      <c r="AG2924" s="430"/>
      <c r="AH2924" s="430"/>
      <c r="AI2924" s="430"/>
      <c r="AJ2924" s="430"/>
      <c r="AK2924" s="430"/>
      <c r="AL2924" s="214">
        <v>1</v>
      </c>
      <c r="AM2924" s="214"/>
      <c r="AN2924" s="431"/>
      <c r="AO2924" s="214"/>
      <c r="AP2924" s="214"/>
      <c r="AS2924">
        <v>1</v>
      </c>
    </row>
    <row r="2925" spans="1:45">
      <c r="A2925">
        <v>619241</v>
      </c>
      <c r="B2925" s="8">
        <v>1001</v>
      </c>
      <c r="C2925" s="8">
        <v>6</v>
      </c>
      <c r="D2925" s="8">
        <v>1001</v>
      </c>
      <c r="E2925" t="s">
        <v>7311</v>
      </c>
      <c r="F2925" t="s">
        <v>7311</v>
      </c>
      <c r="G2925" t="s">
        <v>7391</v>
      </c>
      <c r="H2925" t="s">
        <v>1757</v>
      </c>
      <c r="I2925">
        <v>1</v>
      </c>
      <c r="J2925">
        <v>5</v>
      </c>
      <c r="K2925" s="33">
        <v>2</v>
      </c>
      <c r="L2925">
        <v>999</v>
      </c>
      <c r="M2925">
        <v>0</v>
      </c>
      <c r="N2925">
        <v>1</v>
      </c>
      <c r="O2925" s="249" t="s">
        <v>7392</v>
      </c>
      <c r="S2925" s="33">
        <v>1</v>
      </c>
      <c r="T2925">
        <v>5</v>
      </c>
      <c r="U2925">
        <v>10</v>
      </c>
      <c r="V2925" s="33">
        <v>1</v>
      </c>
      <c r="W2925">
        <v>1</v>
      </c>
      <c r="X2925" s="8">
        <v>1</v>
      </c>
      <c r="Y2925">
        <v>0</v>
      </c>
      <c r="Z2925" s="33">
        <v>0</v>
      </c>
      <c r="AA2925">
        <v>5</v>
      </c>
      <c r="AB2925">
        <v>100</v>
      </c>
      <c r="AC2925">
        <v>56</v>
      </c>
      <c r="AD2925" s="12">
        <v>0</v>
      </c>
      <c r="AE2925" s="12">
        <v>4</v>
      </c>
      <c r="AF2925" s="12">
        <v>2</v>
      </c>
      <c r="AG2925" s="430"/>
      <c r="AH2925" s="430"/>
      <c r="AI2925" s="430"/>
      <c r="AJ2925" s="430"/>
      <c r="AK2925" s="430"/>
      <c r="AL2925" s="214"/>
      <c r="AM2925" s="214"/>
      <c r="AN2925" s="431"/>
      <c r="AO2925" s="214"/>
      <c r="AP2925" s="214"/>
      <c r="AS2925">
        <v>1</v>
      </c>
    </row>
    <row r="2926" spans="1:45">
      <c r="A2926">
        <v>619242</v>
      </c>
      <c r="B2926" s="8">
        <v>1001</v>
      </c>
      <c r="C2926" s="8">
        <v>6</v>
      </c>
      <c r="D2926" s="8">
        <v>1001</v>
      </c>
      <c r="E2926" t="s">
        <v>7311</v>
      </c>
      <c r="F2926" t="s">
        <v>7311</v>
      </c>
      <c r="G2926" t="s">
        <v>7393</v>
      </c>
      <c r="H2926" t="s">
        <v>1757</v>
      </c>
      <c r="I2926">
        <v>1</v>
      </c>
      <c r="J2926">
        <v>5</v>
      </c>
      <c r="K2926" s="33">
        <v>2</v>
      </c>
      <c r="L2926">
        <v>999</v>
      </c>
      <c r="M2926">
        <v>0</v>
      </c>
      <c r="N2926">
        <v>1</v>
      </c>
      <c r="O2926" s="249" t="s">
        <v>7394</v>
      </c>
      <c r="S2926" s="33">
        <v>1</v>
      </c>
      <c r="T2926">
        <v>5</v>
      </c>
      <c r="U2926">
        <v>10</v>
      </c>
      <c r="V2926" s="33">
        <v>1</v>
      </c>
      <c r="W2926">
        <v>1</v>
      </c>
      <c r="X2926" s="8">
        <v>1</v>
      </c>
      <c r="Y2926">
        <v>0</v>
      </c>
      <c r="Z2926" s="33">
        <v>0</v>
      </c>
      <c r="AA2926">
        <v>5</v>
      </c>
      <c r="AB2926">
        <v>100</v>
      </c>
      <c r="AC2926">
        <v>56</v>
      </c>
      <c r="AD2926" s="12">
        <v>0</v>
      </c>
      <c r="AE2926" s="12">
        <v>4</v>
      </c>
      <c r="AF2926" s="12">
        <v>2</v>
      </c>
      <c r="AG2926" s="430"/>
      <c r="AH2926" s="430"/>
      <c r="AI2926" s="430"/>
      <c r="AJ2926" s="430"/>
      <c r="AK2926" s="430"/>
      <c r="AL2926" s="214"/>
      <c r="AM2926" s="214"/>
      <c r="AN2926" s="431"/>
      <c r="AO2926" s="214"/>
      <c r="AP2926" s="214"/>
      <c r="AS2926">
        <v>1</v>
      </c>
    </row>
    <row r="2927" spans="1:45">
      <c r="A2927">
        <v>619243</v>
      </c>
      <c r="B2927" s="8">
        <v>1001</v>
      </c>
      <c r="C2927" s="8">
        <v>6</v>
      </c>
      <c r="D2927" s="8">
        <v>1001</v>
      </c>
      <c r="E2927" t="s">
        <v>7311</v>
      </c>
      <c r="F2927" t="s">
        <v>7311</v>
      </c>
      <c r="G2927" t="s">
        <v>7395</v>
      </c>
      <c r="H2927" t="s">
        <v>1757</v>
      </c>
      <c r="I2927">
        <v>1</v>
      </c>
      <c r="J2927">
        <v>5</v>
      </c>
      <c r="K2927" s="33">
        <v>2</v>
      </c>
      <c r="L2927">
        <v>999</v>
      </c>
      <c r="M2927">
        <v>0</v>
      </c>
      <c r="N2927">
        <v>1</v>
      </c>
      <c r="O2927" s="249" t="s">
        <v>7396</v>
      </c>
      <c r="S2927" s="33">
        <v>1</v>
      </c>
      <c r="T2927">
        <v>5</v>
      </c>
      <c r="U2927">
        <v>10</v>
      </c>
      <c r="V2927" s="33">
        <v>1</v>
      </c>
      <c r="W2927">
        <v>1</v>
      </c>
      <c r="X2927" s="8">
        <v>1</v>
      </c>
      <c r="Y2927">
        <v>0</v>
      </c>
      <c r="Z2927" s="33">
        <v>0</v>
      </c>
      <c r="AA2927">
        <v>5</v>
      </c>
      <c r="AB2927">
        <v>100</v>
      </c>
      <c r="AC2927">
        <v>56</v>
      </c>
      <c r="AD2927" s="62">
        <v>0</v>
      </c>
      <c r="AE2927" s="62">
        <v>4</v>
      </c>
      <c r="AF2927" s="62">
        <v>2</v>
      </c>
      <c r="AG2927" s="430"/>
      <c r="AH2927" s="430"/>
      <c r="AI2927" s="430"/>
      <c r="AJ2927" s="430"/>
      <c r="AK2927" s="430"/>
      <c r="AL2927" s="214"/>
      <c r="AM2927" s="214"/>
      <c r="AN2927" s="431"/>
      <c r="AO2927" s="214"/>
      <c r="AP2927" s="214"/>
      <c r="AS2927">
        <v>1</v>
      </c>
    </row>
    <row r="2928" spans="1:45">
      <c r="A2928">
        <v>619244</v>
      </c>
      <c r="B2928" s="8">
        <v>1001</v>
      </c>
      <c r="C2928" s="8">
        <v>6</v>
      </c>
      <c r="D2928" s="8">
        <v>1001</v>
      </c>
      <c r="E2928" t="s">
        <v>7311</v>
      </c>
      <c r="F2928" t="s">
        <v>7311</v>
      </c>
      <c r="G2928" t="s">
        <v>7397</v>
      </c>
      <c r="H2928" t="s">
        <v>1757</v>
      </c>
      <c r="I2928">
        <v>1</v>
      </c>
      <c r="J2928">
        <v>5</v>
      </c>
      <c r="K2928" s="33">
        <v>2</v>
      </c>
      <c r="L2928">
        <v>999</v>
      </c>
      <c r="M2928">
        <v>0</v>
      </c>
      <c r="N2928">
        <v>1</v>
      </c>
      <c r="O2928" s="249" t="s">
        <v>7398</v>
      </c>
      <c r="S2928" s="33">
        <v>1</v>
      </c>
      <c r="T2928">
        <v>5</v>
      </c>
      <c r="U2928">
        <v>10</v>
      </c>
      <c r="V2928" s="33">
        <v>1</v>
      </c>
      <c r="W2928">
        <v>1</v>
      </c>
      <c r="X2928" s="8">
        <v>1</v>
      </c>
      <c r="Y2928">
        <v>0</v>
      </c>
      <c r="Z2928" s="33">
        <v>0</v>
      </c>
      <c r="AA2928">
        <v>5</v>
      </c>
      <c r="AB2928">
        <v>100</v>
      </c>
      <c r="AC2928">
        <v>56</v>
      </c>
      <c r="AD2928" s="62">
        <v>0</v>
      </c>
      <c r="AE2928" s="62">
        <v>4</v>
      </c>
      <c r="AF2928" s="62">
        <v>2</v>
      </c>
      <c r="AG2928" s="430"/>
      <c r="AH2928" s="430"/>
      <c r="AI2928" s="430"/>
      <c r="AJ2928" s="430"/>
      <c r="AK2928" s="430"/>
      <c r="AL2928" s="214"/>
      <c r="AM2928" s="214"/>
      <c r="AN2928" s="431"/>
      <c r="AO2928" s="214"/>
      <c r="AP2928" s="214"/>
      <c r="AS2928">
        <v>1</v>
      </c>
    </row>
    <row r="2929" spans="1:45">
      <c r="A2929">
        <v>619245</v>
      </c>
      <c r="B2929" s="236">
        <v>1001</v>
      </c>
      <c r="C2929" s="236">
        <v>6</v>
      </c>
      <c r="D2929" s="236">
        <v>1001</v>
      </c>
      <c r="E2929" t="s">
        <v>7311</v>
      </c>
      <c r="F2929" t="s">
        <v>7311</v>
      </c>
      <c r="G2929" t="s">
        <v>7399</v>
      </c>
      <c r="H2929" t="s">
        <v>1757</v>
      </c>
      <c r="I2929">
        <v>1</v>
      </c>
      <c r="J2929">
        <v>5</v>
      </c>
      <c r="K2929" s="33">
        <v>2</v>
      </c>
      <c r="L2929">
        <v>999</v>
      </c>
      <c r="M2929">
        <v>0</v>
      </c>
      <c r="N2929">
        <v>1</v>
      </c>
      <c r="O2929" s="249" t="s">
        <v>7400</v>
      </c>
      <c r="S2929" s="33">
        <v>1</v>
      </c>
      <c r="T2929">
        <v>5</v>
      </c>
      <c r="U2929">
        <v>10</v>
      </c>
      <c r="V2929" s="33">
        <v>1</v>
      </c>
      <c r="W2929">
        <v>1</v>
      </c>
      <c r="X2929" s="236">
        <v>1</v>
      </c>
      <c r="Y2929">
        <v>0</v>
      </c>
      <c r="Z2929" s="33">
        <v>0</v>
      </c>
      <c r="AA2929">
        <v>5</v>
      </c>
      <c r="AB2929">
        <v>100</v>
      </c>
      <c r="AC2929">
        <v>56</v>
      </c>
      <c r="AD2929" s="62">
        <v>0</v>
      </c>
      <c r="AE2929" s="62">
        <v>4</v>
      </c>
      <c r="AF2929" s="62">
        <v>2</v>
      </c>
      <c r="AG2929" s="430"/>
      <c r="AH2929" s="430"/>
      <c r="AI2929" s="430"/>
      <c r="AJ2929" s="430"/>
      <c r="AK2929" s="430"/>
      <c r="AL2929" s="214"/>
      <c r="AM2929" s="214"/>
      <c r="AN2929" s="431"/>
      <c r="AO2929" s="214"/>
      <c r="AP2929" s="214"/>
      <c r="AS2929">
        <v>1</v>
      </c>
    </row>
    <row r="2930" spans="1:45">
      <c r="A2930">
        <v>619246</v>
      </c>
      <c r="B2930" s="238">
        <v>1001</v>
      </c>
      <c r="C2930" s="238">
        <v>6</v>
      </c>
      <c r="D2930" s="238">
        <v>1001</v>
      </c>
      <c r="E2930" t="s">
        <v>7378</v>
      </c>
      <c r="F2930" t="s">
        <v>7378</v>
      </c>
      <c r="G2930" t="s">
        <v>7401</v>
      </c>
      <c r="H2930" t="s">
        <v>204</v>
      </c>
      <c r="I2930">
        <v>1</v>
      </c>
      <c r="J2930">
        <v>5</v>
      </c>
      <c r="K2930" s="33">
        <v>2</v>
      </c>
      <c r="L2930">
        <v>999</v>
      </c>
      <c r="M2930">
        <v>0</v>
      </c>
      <c r="N2930">
        <v>1018</v>
      </c>
      <c r="O2930" s="2" t="s">
        <v>7402</v>
      </c>
      <c r="S2930" s="33">
        <v>1</v>
      </c>
      <c r="T2930">
        <v>5</v>
      </c>
      <c r="U2930">
        <v>10</v>
      </c>
      <c r="V2930" s="33">
        <v>1</v>
      </c>
      <c r="W2930">
        <v>1</v>
      </c>
      <c r="X2930" s="238">
        <v>1</v>
      </c>
      <c r="Y2930">
        <v>0</v>
      </c>
      <c r="Z2930" s="33">
        <v>0</v>
      </c>
      <c r="AA2930">
        <v>5</v>
      </c>
      <c r="AB2930">
        <v>10000</v>
      </c>
      <c r="AC2930">
        <v>55</v>
      </c>
      <c r="AD2930" s="62">
        <v>0</v>
      </c>
      <c r="AE2930" s="62">
        <v>5</v>
      </c>
      <c r="AF2930" s="62">
        <v>2</v>
      </c>
      <c r="AG2930" s="430"/>
      <c r="AH2930" s="430"/>
      <c r="AI2930" s="430"/>
      <c r="AJ2930" s="430"/>
      <c r="AK2930" s="430"/>
      <c r="AL2930" s="214">
        <v>1</v>
      </c>
      <c r="AM2930" s="214"/>
      <c r="AN2930" s="431"/>
      <c r="AO2930" s="214"/>
      <c r="AP2930" s="214"/>
      <c r="AS2930">
        <v>1</v>
      </c>
    </row>
    <row r="2931" spans="1:45">
      <c r="A2931">
        <v>619247</v>
      </c>
      <c r="B2931" s="8">
        <v>1001</v>
      </c>
      <c r="C2931" s="8">
        <v>6</v>
      </c>
      <c r="D2931" s="8">
        <v>1001</v>
      </c>
      <c r="E2931" t="s">
        <v>7311</v>
      </c>
      <c r="F2931" t="s">
        <v>7311</v>
      </c>
      <c r="G2931" t="s">
        <v>7403</v>
      </c>
      <c r="H2931" t="s">
        <v>1757</v>
      </c>
      <c r="I2931">
        <v>1</v>
      </c>
      <c r="J2931">
        <v>5</v>
      </c>
      <c r="K2931" s="33">
        <v>2</v>
      </c>
      <c r="L2931">
        <v>999</v>
      </c>
      <c r="M2931">
        <v>0</v>
      </c>
      <c r="N2931">
        <v>1</v>
      </c>
      <c r="O2931" s="249" t="s">
        <v>7404</v>
      </c>
      <c r="S2931" s="33">
        <v>1</v>
      </c>
      <c r="T2931">
        <v>5</v>
      </c>
      <c r="U2931">
        <v>10</v>
      </c>
      <c r="V2931" s="33">
        <v>1</v>
      </c>
      <c r="W2931">
        <v>1</v>
      </c>
      <c r="X2931" s="8">
        <v>1</v>
      </c>
      <c r="Y2931">
        <v>0</v>
      </c>
      <c r="Z2931" s="33">
        <v>0</v>
      </c>
      <c r="AA2931">
        <v>5</v>
      </c>
      <c r="AB2931">
        <v>100</v>
      </c>
      <c r="AC2931">
        <v>56</v>
      </c>
      <c r="AD2931" s="62">
        <v>0</v>
      </c>
      <c r="AE2931" s="62">
        <v>4</v>
      </c>
      <c r="AF2931" s="62">
        <v>2</v>
      </c>
      <c r="AG2931" s="430"/>
      <c r="AH2931" s="430"/>
      <c r="AI2931" s="430"/>
      <c r="AJ2931" s="430"/>
      <c r="AK2931" s="430"/>
      <c r="AL2931" s="214"/>
      <c r="AM2931" s="214"/>
      <c r="AN2931" s="431"/>
      <c r="AO2931" s="214"/>
      <c r="AP2931" s="214"/>
      <c r="AS2931">
        <v>1</v>
      </c>
    </row>
    <row r="2932" spans="1:45">
      <c r="A2932">
        <v>619248</v>
      </c>
      <c r="B2932" s="8">
        <v>1001</v>
      </c>
      <c r="C2932" s="8">
        <v>6</v>
      </c>
      <c r="D2932" s="8">
        <v>1001</v>
      </c>
      <c r="E2932" t="s">
        <v>7311</v>
      </c>
      <c r="F2932" t="s">
        <v>7311</v>
      </c>
      <c r="G2932" t="s">
        <v>7405</v>
      </c>
      <c r="H2932" t="s">
        <v>1757</v>
      </c>
      <c r="I2932">
        <v>1</v>
      </c>
      <c r="J2932">
        <v>5</v>
      </c>
      <c r="K2932" s="33">
        <v>2</v>
      </c>
      <c r="L2932">
        <v>999</v>
      </c>
      <c r="M2932">
        <v>0</v>
      </c>
      <c r="N2932">
        <v>1</v>
      </c>
      <c r="O2932" s="249" t="s">
        <v>7406</v>
      </c>
      <c r="S2932" s="33">
        <v>1</v>
      </c>
      <c r="T2932">
        <v>5</v>
      </c>
      <c r="U2932">
        <v>10</v>
      </c>
      <c r="V2932" s="33">
        <v>1</v>
      </c>
      <c r="W2932">
        <v>1</v>
      </c>
      <c r="X2932" s="8">
        <v>1</v>
      </c>
      <c r="Y2932">
        <v>0</v>
      </c>
      <c r="Z2932" s="33">
        <v>0</v>
      </c>
      <c r="AA2932">
        <v>5</v>
      </c>
      <c r="AB2932">
        <v>100</v>
      </c>
      <c r="AC2932">
        <v>56</v>
      </c>
      <c r="AD2932" s="62">
        <v>0</v>
      </c>
      <c r="AE2932" s="62">
        <v>4</v>
      </c>
      <c r="AF2932" s="62">
        <v>2</v>
      </c>
      <c r="AG2932" s="430"/>
      <c r="AH2932" s="430"/>
      <c r="AI2932" s="430"/>
      <c r="AJ2932" s="430"/>
      <c r="AK2932" s="430"/>
      <c r="AL2932" s="214"/>
      <c r="AM2932" s="214"/>
      <c r="AN2932" s="431"/>
      <c r="AO2932" s="214"/>
      <c r="AP2932" s="214"/>
      <c r="AS2932">
        <v>1</v>
      </c>
    </row>
    <row r="2933" spans="1:45">
      <c r="A2933">
        <v>619249</v>
      </c>
      <c r="B2933" s="8">
        <v>1001</v>
      </c>
      <c r="C2933" s="8">
        <v>6</v>
      </c>
      <c r="D2933" s="8">
        <v>1001</v>
      </c>
      <c r="E2933" t="s">
        <v>7311</v>
      </c>
      <c r="F2933" t="s">
        <v>7311</v>
      </c>
      <c r="G2933" t="s">
        <v>7407</v>
      </c>
      <c r="H2933" t="s">
        <v>1757</v>
      </c>
      <c r="I2933">
        <v>1</v>
      </c>
      <c r="J2933">
        <v>5</v>
      </c>
      <c r="K2933" s="33">
        <v>2</v>
      </c>
      <c r="L2933">
        <v>999</v>
      </c>
      <c r="M2933">
        <v>0</v>
      </c>
      <c r="N2933">
        <v>1</v>
      </c>
      <c r="O2933" s="249" t="s">
        <v>7408</v>
      </c>
      <c r="S2933" s="33">
        <v>1</v>
      </c>
      <c r="T2933">
        <v>5</v>
      </c>
      <c r="U2933">
        <v>10</v>
      </c>
      <c r="V2933" s="33">
        <v>1</v>
      </c>
      <c r="W2933">
        <v>1</v>
      </c>
      <c r="X2933" s="8">
        <v>1</v>
      </c>
      <c r="Y2933">
        <v>0</v>
      </c>
      <c r="Z2933" s="33">
        <v>0</v>
      </c>
      <c r="AA2933">
        <v>5</v>
      </c>
      <c r="AB2933">
        <v>100</v>
      </c>
      <c r="AC2933">
        <v>56</v>
      </c>
      <c r="AD2933" s="62">
        <v>0</v>
      </c>
      <c r="AE2933" s="62">
        <v>4</v>
      </c>
      <c r="AF2933" s="62">
        <v>2</v>
      </c>
      <c r="AG2933" s="430"/>
      <c r="AH2933" s="430"/>
      <c r="AI2933" s="430"/>
      <c r="AJ2933" s="430"/>
      <c r="AK2933" s="430"/>
      <c r="AL2933" s="214"/>
      <c r="AM2933" s="214"/>
      <c r="AN2933" s="431"/>
      <c r="AO2933" s="214"/>
      <c r="AP2933" s="214"/>
      <c r="AS2933">
        <v>1</v>
      </c>
    </row>
    <row r="2934" spans="1:45">
      <c r="A2934">
        <v>619250</v>
      </c>
      <c r="B2934" s="8">
        <v>1001</v>
      </c>
      <c r="C2934" s="8">
        <v>6</v>
      </c>
      <c r="D2934" s="8">
        <v>1001</v>
      </c>
      <c r="E2934" t="s">
        <v>7311</v>
      </c>
      <c r="F2934" t="s">
        <v>7311</v>
      </c>
      <c r="G2934" t="s">
        <v>7409</v>
      </c>
      <c r="H2934" t="s">
        <v>1757</v>
      </c>
      <c r="I2934">
        <v>1</v>
      </c>
      <c r="J2934">
        <v>5</v>
      </c>
      <c r="K2934" s="33">
        <v>2</v>
      </c>
      <c r="L2934">
        <v>999</v>
      </c>
      <c r="M2934">
        <v>0</v>
      </c>
      <c r="N2934">
        <v>1</v>
      </c>
      <c r="O2934" s="249" t="s">
        <v>7410</v>
      </c>
      <c r="S2934" s="33">
        <v>1</v>
      </c>
      <c r="T2934">
        <v>5</v>
      </c>
      <c r="U2934">
        <v>10</v>
      </c>
      <c r="V2934" s="33">
        <v>1</v>
      </c>
      <c r="W2934">
        <v>1</v>
      </c>
      <c r="X2934" s="8">
        <v>1</v>
      </c>
      <c r="Y2934">
        <v>0</v>
      </c>
      <c r="Z2934" s="33">
        <v>0</v>
      </c>
      <c r="AA2934">
        <v>5</v>
      </c>
      <c r="AB2934">
        <v>100</v>
      </c>
      <c r="AC2934">
        <v>56</v>
      </c>
      <c r="AD2934" s="62">
        <v>0</v>
      </c>
      <c r="AE2934" s="62">
        <v>4</v>
      </c>
      <c r="AF2934" s="62">
        <v>2</v>
      </c>
      <c r="AG2934" s="430"/>
      <c r="AH2934" s="430"/>
      <c r="AI2934" s="430"/>
      <c r="AJ2934" s="430"/>
      <c r="AK2934" s="430"/>
      <c r="AL2934" s="214"/>
      <c r="AM2934" s="214"/>
      <c r="AN2934" s="431"/>
      <c r="AO2934" s="214"/>
      <c r="AP2934" s="214"/>
      <c r="AS2934">
        <v>1</v>
      </c>
    </row>
    <row r="2935" spans="1:45">
      <c r="A2935">
        <v>619251</v>
      </c>
      <c r="B2935" s="236">
        <v>1001</v>
      </c>
      <c r="C2935" s="236">
        <v>6</v>
      </c>
      <c r="D2935" s="236">
        <v>1001</v>
      </c>
      <c r="E2935" t="s">
        <v>7311</v>
      </c>
      <c r="F2935" t="s">
        <v>7311</v>
      </c>
      <c r="G2935" t="s">
        <v>7411</v>
      </c>
      <c r="H2935" t="s">
        <v>1757</v>
      </c>
      <c r="I2935">
        <v>1</v>
      </c>
      <c r="J2935">
        <v>5</v>
      </c>
      <c r="K2935" s="33">
        <v>2</v>
      </c>
      <c r="L2935">
        <v>999</v>
      </c>
      <c r="M2935">
        <v>0</v>
      </c>
      <c r="N2935">
        <v>1</v>
      </c>
      <c r="O2935" s="249" t="s">
        <v>7412</v>
      </c>
      <c r="S2935" s="33">
        <v>1</v>
      </c>
      <c r="T2935">
        <v>5</v>
      </c>
      <c r="U2935">
        <v>10</v>
      </c>
      <c r="V2935" s="33">
        <v>1</v>
      </c>
      <c r="W2935">
        <v>1</v>
      </c>
      <c r="X2935" s="236">
        <v>1</v>
      </c>
      <c r="Y2935">
        <v>0</v>
      </c>
      <c r="Z2935" s="33">
        <v>0</v>
      </c>
      <c r="AA2935">
        <v>5</v>
      </c>
      <c r="AB2935">
        <v>100</v>
      </c>
      <c r="AC2935">
        <v>56</v>
      </c>
      <c r="AD2935" s="62">
        <v>0</v>
      </c>
      <c r="AE2935" s="62">
        <v>4</v>
      </c>
      <c r="AF2935" s="62">
        <v>2</v>
      </c>
      <c r="AG2935" s="430"/>
      <c r="AH2935" s="430"/>
      <c r="AI2935" s="430"/>
      <c r="AJ2935" s="430"/>
      <c r="AK2935" s="430"/>
      <c r="AL2935" s="214"/>
      <c r="AM2935" s="214"/>
      <c r="AN2935" s="431"/>
      <c r="AO2935" s="214"/>
      <c r="AP2935" s="214"/>
      <c r="AS2935">
        <v>1</v>
      </c>
    </row>
    <row r="2936" spans="1:45">
      <c r="A2936">
        <v>619252</v>
      </c>
      <c r="B2936" s="238">
        <v>1001</v>
      </c>
      <c r="C2936" s="238">
        <v>6</v>
      </c>
      <c r="D2936" s="238">
        <v>1001</v>
      </c>
      <c r="E2936" s="238" t="s">
        <v>7378</v>
      </c>
      <c r="F2936" s="238" t="s">
        <v>7378</v>
      </c>
      <c r="G2936" s="238" t="s">
        <v>7401</v>
      </c>
      <c r="H2936" s="238" t="s">
        <v>204</v>
      </c>
      <c r="I2936" s="238">
        <v>1</v>
      </c>
      <c r="J2936" s="238">
        <v>5</v>
      </c>
      <c r="K2936" s="254">
        <v>2</v>
      </c>
      <c r="L2936" s="238">
        <v>999</v>
      </c>
      <c r="M2936" s="238">
        <v>0</v>
      </c>
      <c r="N2936" s="238">
        <v>1018</v>
      </c>
      <c r="O2936" s="258" t="s">
        <v>7402</v>
      </c>
      <c r="P2936" s="8"/>
      <c r="Q2936" s="8"/>
      <c r="R2936" s="8"/>
      <c r="S2936" s="254">
        <v>1</v>
      </c>
      <c r="T2936" s="238">
        <v>5</v>
      </c>
      <c r="U2936" s="238">
        <v>10</v>
      </c>
      <c r="V2936" s="254">
        <v>1</v>
      </c>
      <c r="W2936" s="238">
        <v>1</v>
      </c>
      <c r="X2936" s="238">
        <v>1</v>
      </c>
      <c r="Y2936" s="238">
        <v>0</v>
      </c>
      <c r="Z2936" s="254">
        <v>0</v>
      </c>
      <c r="AA2936" s="238">
        <v>5</v>
      </c>
      <c r="AB2936" s="238">
        <v>10000</v>
      </c>
      <c r="AC2936" s="238">
        <v>55</v>
      </c>
      <c r="AD2936" s="255">
        <v>0</v>
      </c>
      <c r="AE2936" s="255">
        <v>5</v>
      </c>
      <c r="AF2936" s="255">
        <v>2</v>
      </c>
      <c r="AG2936" s="433"/>
      <c r="AH2936" s="433"/>
      <c r="AI2936" s="433"/>
      <c r="AJ2936" s="433"/>
      <c r="AK2936" s="433"/>
      <c r="AL2936" s="434">
        <v>1</v>
      </c>
      <c r="AM2936" s="434"/>
      <c r="AN2936" s="435"/>
      <c r="AO2936" s="434"/>
      <c r="AP2936" s="434"/>
      <c r="AQ2936" s="8"/>
      <c r="AR2936" s="8"/>
      <c r="AS2936">
        <v>1</v>
      </c>
    </row>
    <row r="2937" spans="1:45">
      <c r="A2937">
        <v>619253</v>
      </c>
      <c r="B2937" s="8">
        <v>1001</v>
      </c>
      <c r="C2937" s="8">
        <v>1</v>
      </c>
      <c r="D2937" s="8">
        <v>1001</v>
      </c>
      <c r="E2937" s="8" t="s">
        <v>6436</v>
      </c>
      <c r="F2937" s="8" t="s">
        <v>6436</v>
      </c>
      <c r="G2937" s="8" t="s">
        <v>6782</v>
      </c>
      <c r="H2937" s="8" t="s">
        <v>5474</v>
      </c>
      <c r="I2937" s="8">
        <v>1</v>
      </c>
      <c r="J2937" s="8">
        <v>2</v>
      </c>
      <c r="K2937" s="8">
        <v>1</v>
      </c>
      <c r="L2937" s="8">
        <v>999</v>
      </c>
      <c r="M2937" s="8">
        <v>0</v>
      </c>
      <c r="N2937" s="8"/>
      <c r="O2937" s="8"/>
      <c r="P2937" s="8"/>
      <c r="Q2937" s="8"/>
      <c r="R2937" s="8"/>
      <c r="S2937" s="8">
        <v>1</v>
      </c>
      <c r="T2937" s="8">
        <v>5</v>
      </c>
      <c r="U2937" s="8">
        <v>50</v>
      </c>
      <c r="V2937" s="8">
        <v>1</v>
      </c>
      <c r="W2937" s="8">
        <v>1</v>
      </c>
      <c r="X2937" s="8">
        <v>1</v>
      </c>
      <c r="Y2937" s="8">
        <v>0</v>
      </c>
      <c r="Z2937" s="8">
        <v>0</v>
      </c>
      <c r="AA2937" s="8">
        <v>5</v>
      </c>
      <c r="AB2937" s="8">
        <f>U2936*10</f>
        <v>100</v>
      </c>
      <c r="AC2937" s="8">
        <v>56</v>
      </c>
      <c r="AD2937" s="8"/>
      <c r="AE2937" s="8"/>
      <c r="AF2937" s="8"/>
      <c r="AG2937" s="159"/>
      <c r="AH2937" s="159"/>
      <c r="AI2937" s="159" t="s">
        <v>6783</v>
      </c>
      <c r="AJ2937" s="159"/>
      <c r="AK2937" s="159"/>
      <c r="AL2937" s="8">
        <v>1</v>
      </c>
      <c r="AM2937" s="8"/>
      <c r="AN2937" s="8"/>
      <c r="AO2937" s="8"/>
      <c r="AP2937" s="8"/>
      <c r="AQ2937" s="8"/>
      <c r="AR2937" s="8"/>
      <c r="AS2937">
        <v>1</v>
      </c>
    </row>
    <row r="2938" spans="1:45">
      <c r="A2938">
        <v>619254</v>
      </c>
      <c r="B2938" s="236">
        <v>1001</v>
      </c>
      <c r="C2938" s="236">
        <v>1</v>
      </c>
      <c r="D2938" s="236">
        <v>1001</v>
      </c>
      <c r="E2938" s="236" t="s">
        <v>7413</v>
      </c>
      <c r="F2938" s="236" t="s">
        <v>7413</v>
      </c>
      <c r="G2938" s="236" t="s">
        <v>6785</v>
      </c>
      <c r="H2938" s="236" t="s">
        <v>6266</v>
      </c>
      <c r="I2938" s="236">
        <v>1</v>
      </c>
      <c r="J2938" s="236">
        <v>3</v>
      </c>
      <c r="K2938" s="236">
        <v>1</v>
      </c>
      <c r="L2938" s="236">
        <v>999</v>
      </c>
      <c r="M2938" s="236">
        <v>0</v>
      </c>
      <c r="N2938" s="236"/>
      <c r="O2938" s="236"/>
      <c r="P2938" s="236"/>
      <c r="Q2938" s="236"/>
      <c r="R2938" s="236"/>
      <c r="S2938" s="236">
        <v>1</v>
      </c>
      <c r="T2938" s="236">
        <v>5</v>
      </c>
      <c r="U2938" s="236">
        <v>100</v>
      </c>
      <c r="V2938" s="236">
        <v>1</v>
      </c>
      <c r="W2938" s="236">
        <v>1</v>
      </c>
      <c r="X2938" s="236">
        <v>1</v>
      </c>
      <c r="Y2938" s="236">
        <v>0</v>
      </c>
      <c r="Z2938" s="236">
        <v>0</v>
      </c>
      <c r="AA2938" s="236">
        <v>5</v>
      </c>
      <c r="AB2938" s="236">
        <f>U2937*10</f>
        <v>500</v>
      </c>
      <c r="AC2938" s="236">
        <v>56</v>
      </c>
      <c r="AD2938" s="236"/>
      <c r="AE2938" s="236"/>
      <c r="AF2938" s="236"/>
      <c r="AG2938" s="456"/>
      <c r="AH2938" s="456"/>
      <c r="AI2938" s="456" t="s">
        <v>6783</v>
      </c>
      <c r="AJ2938" s="456"/>
      <c r="AK2938" s="456"/>
      <c r="AL2938" s="236">
        <v>1</v>
      </c>
      <c r="AM2938" s="236"/>
      <c r="AN2938" s="236"/>
      <c r="AO2938" s="236"/>
      <c r="AP2938" s="236"/>
      <c r="AQ2938" s="236"/>
      <c r="AR2938" s="236"/>
      <c r="AS2938">
        <v>1</v>
      </c>
    </row>
    <row r="2939" spans="1:45">
      <c r="A2939">
        <v>619255</v>
      </c>
      <c r="B2939" s="3">
        <v>1001</v>
      </c>
      <c r="C2939" s="3">
        <v>6</v>
      </c>
      <c r="D2939" s="3">
        <v>1001</v>
      </c>
      <c r="E2939" s="3" t="s">
        <v>7185</v>
      </c>
      <c r="F2939" s="3" t="s">
        <v>7185</v>
      </c>
      <c r="G2939" s="3" t="s">
        <v>7414</v>
      </c>
      <c r="H2939" s="3" t="s">
        <v>1564</v>
      </c>
      <c r="I2939" s="3">
        <v>1</v>
      </c>
      <c r="J2939" s="3">
        <v>4</v>
      </c>
      <c r="K2939" s="33">
        <v>2</v>
      </c>
      <c r="L2939" s="3">
        <v>999</v>
      </c>
      <c r="M2939" s="3">
        <v>0</v>
      </c>
      <c r="N2939" s="3">
        <v>1017</v>
      </c>
      <c r="O2939" s="2">
        <v>50170</v>
      </c>
      <c r="P2939" s="3"/>
      <c r="Q2939" s="3"/>
      <c r="R2939" s="3"/>
      <c r="S2939" s="33">
        <v>1</v>
      </c>
      <c r="T2939" s="3">
        <v>5</v>
      </c>
      <c r="U2939" s="3">
        <v>200</v>
      </c>
      <c r="V2939" s="33">
        <v>1</v>
      </c>
      <c r="W2939" s="3">
        <v>1</v>
      </c>
      <c r="X2939" s="3">
        <v>1</v>
      </c>
      <c r="Y2939" s="3">
        <v>0</v>
      </c>
      <c r="Z2939" s="33">
        <v>0</v>
      </c>
      <c r="AA2939" s="3">
        <v>5</v>
      </c>
      <c r="AB2939" s="3">
        <v>2000</v>
      </c>
      <c r="AC2939" s="3">
        <v>56</v>
      </c>
      <c r="AD2939" s="445">
        <v>0</v>
      </c>
      <c r="AE2939" s="445">
        <v>4</v>
      </c>
      <c r="AF2939" s="445">
        <v>2</v>
      </c>
      <c r="AL2939" s="64">
        <v>1</v>
      </c>
      <c r="AQ2939" s="3"/>
      <c r="AR2939" s="3"/>
      <c r="AS2939">
        <v>1</v>
      </c>
    </row>
    <row r="2940" spans="1:45">
      <c r="A2940">
        <v>619256</v>
      </c>
      <c r="B2940" s="3">
        <v>1001</v>
      </c>
      <c r="C2940" s="3">
        <v>1</v>
      </c>
      <c r="D2940" s="3">
        <v>1001</v>
      </c>
      <c r="E2940" s="3" t="s">
        <v>7415</v>
      </c>
      <c r="F2940" s="3" t="s">
        <v>7415</v>
      </c>
      <c r="G2940" s="3" t="s">
        <v>7286</v>
      </c>
      <c r="H2940" s="3" t="s">
        <v>6220</v>
      </c>
      <c r="I2940" s="3">
        <v>1</v>
      </c>
      <c r="J2940" s="3">
        <v>2</v>
      </c>
      <c r="K2940" s="33">
        <v>1</v>
      </c>
      <c r="L2940" s="3">
        <v>999</v>
      </c>
      <c r="M2940" s="3">
        <v>0</v>
      </c>
      <c r="N2940" s="3"/>
      <c r="P2940" s="3"/>
      <c r="Q2940" s="3"/>
      <c r="R2940" s="3"/>
      <c r="S2940" s="33">
        <v>1</v>
      </c>
      <c r="T2940" s="3">
        <v>5</v>
      </c>
      <c r="U2940" s="3">
        <v>50</v>
      </c>
      <c r="V2940" s="33">
        <v>1</v>
      </c>
      <c r="W2940" s="3">
        <v>1</v>
      </c>
      <c r="X2940" s="3">
        <v>1</v>
      </c>
      <c r="Y2940" s="3">
        <v>0</v>
      </c>
      <c r="Z2940" s="33">
        <v>0</v>
      </c>
      <c r="AA2940" s="3">
        <v>5</v>
      </c>
      <c r="AB2940" s="3">
        <v>500</v>
      </c>
      <c r="AC2940" s="3">
        <v>56</v>
      </c>
      <c r="AD2940" s="445"/>
      <c r="AE2940" s="445"/>
      <c r="AF2940" s="445"/>
      <c r="AL2940" s="64">
        <v>1</v>
      </c>
      <c r="AQ2940" s="3"/>
      <c r="AR2940" s="3"/>
      <c r="AS2940">
        <v>1</v>
      </c>
    </row>
    <row r="2941" spans="1:45">
      <c r="A2941">
        <v>619257</v>
      </c>
      <c r="B2941" s="3">
        <v>1001</v>
      </c>
      <c r="C2941" s="3">
        <v>1</v>
      </c>
      <c r="D2941" s="3">
        <v>1001</v>
      </c>
      <c r="E2941" s="3" t="s">
        <v>5727</v>
      </c>
      <c r="F2941" s="3" t="s">
        <v>5727</v>
      </c>
      <c r="G2941" s="3" t="s">
        <v>7288</v>
      </c>
      <c r="H2941" s="3" t="s">
        <v>1804</v>
      </c>
      <c r="I2941" s="3">
        <v>1</v>
      </c>
      <c r="J2941" s="3">
        <v>3</v>
      </c>
      <c r="K2941" s="33">
        <v>1</v>
      </c>
      <c r="L2941" s="3">
        <v>999</v>
      </c>
      <c r="M2941" s="3">
        <v>0</v>
      </c>
      <c r="N2941" s="3"/>
      <c r="P2941" s="3"/>
      <c r="Q2941" s="3"/>
      <c r="R2941" s="3"/>
      <c r="S2941" s="33">
        <v>1</v>
      </c>
      <c r="T2941" s="3">
        <v>5</v>
      </c>
      <c r="U2941" s="3">
        <v>100</v>
      </c>
      <c r="V2941" s="33">
        <v>1</v>
      </c>
      <c r="W2941" s="3">
        <v>1</v>
      </c>
      <c r="X2941" s="3">
        <v>1</v>
      </c>
      <c r="Y2941" s="3">
        <v>0</v>
      </c>
      <c r="Z2941" s="33">
        <v>0</v>
      </c>
      <c r="AA2941" s="3">
        <v>5</v>
      </c>
      <c r="AB2941" s="3">
        <v>1000</v>
      </c>
      <c r="AC2941" s="3">
        <v>56</v>
      </c>
      <c r="AD2941" s="445"/>
      <c r="AE2941" s="445"/>
      <c r="AF2941" s="445"/>
      <c r="AL2941" s="64">
        <v>1</v>
      </c>
      <c r="AQ2941" s="3"/>
      <c r="AR2941" s="3"/>
      <c r="AS2941">
        <v>1</v>
      </c>
    </row>
    <row r="2942" spans="1:45">
      <c r="A2942">
        <v>619258</v>
      </c>
      <c r="B2942" s="3">
        <v>1001</v>
      </c>
      <c r="C2942" s="3">
        <v>6</v>
      </c>
      <c r="D2942" s="3">
        <v>1001</v>
      </c>
      <c r="E2942" s="3" t="s">
        <v>7289</v>
      </c>
      <c r="F2942" s="3" t="s">
        <v>7289</v>
      </c>
      <c r="G2942" s="3" t="s">
        <v>7290</v>
      </c>
      <c r="H2942" s="3" t="s">
        <v>5740</v>
      </c>
      <c r="I2942" s="3">
        <v>1</v>
      </c>
      <c r="J2942" s="3">
        <v>4</v>
      </c>
      <c r="K2942" s="33">
        <v>2</v>
      </c>
      <c r="L2942" s="3">
        <v>999</v>
      </c>
      <c r="M2942" s="3">
        <v>0</v>
      </c>
      <c r="N2942" s="3">
        <v>1017</v>
      </c>
      <c r="O2942" s="2">
        <v>100247</v>
      </c>
      <c r="P2942" s="3"/>
      <c r="Q2942" s="3"/>
      <c r="R2942" s="3"/>
      <c r="S2942" s="33">
        <v>1</v>
      </c>
      <c r="T2942" s="3">
        <v>5</v>
      </c>
      <c r="U2942" s="3">
        <v>200</v>
      </c>
      <c r="V2942" s="33">
        <v>1</v>
      </c>
      <c r="W2942" s="3">
        <v>1</v>
      </c>
      <c r="X2942" s="3">
        <v>1</v>
      </c>
      <c r="Y2942" s="3">
        <v>0</v>
      </c>
      <c r="Z2942" s="33">
        <v>0</v>
      </c>
      <c r="AA2942" s="3">
        <v>5</v>
      </c>
      <c r="AB2942" s="3">
        <v>2000</v>
      </c>
      <c r="AC2942" s="3">
        <v>56</v>
      </c>
      <c r="AD2942" s="445">
        <v>0</v>
      </c>
      <c r="AE2942" s="445">
        <v>4</v>
      </c>
      <c r="AF2942" s="445">
        <v>2</v>
      </c>
      <c r="AG2942" s="337"/>
      <c r="AH2942" s="337"/>
      <c r="AI2942" s="337"/>
      <c r="AJ2942" s="337"/>
      <c r="AK2942" s="337"/>
      <c r="AL2942" s="64">
        <v>1</v>
      </c>
      <c r="AM2942" s="234"/>
      <c r="AN2942" s="476"/>
      <c r="AO2942" s="234"/>
      <c r="AP2942" s="234"/>
      <c r="AQ2942" s="3"/>
      <c r="AR2942" s="3"/>
      <c r="AS2942">
        <v>1</v>
      </c>
    </row>
    <row r="2943" spans="1:45">
      <c r="A2943">
        <v>619259</v>
      </c>
      <c r="B2943" s="3">
        <v>1001</v>
      </c>
      <c r="C2943" s="3">
        <v>6</v>
      </c>
      <c r="D2943" s="3">
        <v>1001</v>
      </c>
      <c r="E2943" s="3" t="s">
        <v>7416</v>
      </c>
      <c r="F2943" s="3" t="s">
        <v>5550</v>
      </c>
      <c r="G2943" s="3" t="s">
        <v>7417</v>
      </c>
      <c r="H2943" s="3" t="s">
        <v>1822</v>
      </c>
      <c r="I2943" s="3">
        <v>1</v>
      </c>
      <c r="J2943" s="3">
        <v>5</v>
      </c>
      <c r="K2943" s="3">
        <v>2</v>
      </c>
      <c r="L2943" s="3">
        <v>999</v>
      </c>
      <c r="M2943" s="3">
        <v>0</v>
      </c>
      <c r="N2943" s="3">
        <v>1018</v>
      </c>
      <c r="O2943" s="231" t="s">
        <v>7418</v>
      </c>
      <c r="P2943" s="3"/>
      <c r="Q2943" s="3"/>
      <c r="R2943" s="3"/>
      <c r="S2943" s="3">
        <v>1</v>
      </c>
      <c r="T2943" s="3">
        <v>5</v>
      </c>
      <c r="U2943" s="3">
        <v>100</v>
      </c>
      <c r="V2943" s="3">
        <v>1</v>
      </c>
      <c r="W2943" s="3">
        <v>1</v>
      </c>
      <c r="X2943" s="3">
        <v>1</v>
      </c>
      <c r="Y2943" s="3">
        <v>0</v>
      </c>
      <c r="Z2943" s="3">
        <v>0</v>
      </c>
      <c r="AA2943" s="3">
        <v>5</v>
      </c>
      <c r="AB2943" s="3">
        <v>2000</v>
      </c>
      <c r="AC2943" s="3">
        <v>56</v>
      </c>
      <c r="AD2943" s="153">
        <v>0</v>
      </c>
      <c r="AE2943" s="153">
        <v>5</v>
      </c>
      <c r="AF2943" s="153">
        <v>2</v>
      </c>
      <c r="AG2943" s="337"/>
      <c r="AH2943" s="337"/>
      <c r="AI2943" s="337"/>
      <c r="AJ2943" s="337"/>
      <c r="AK2943" s="337"/>
      <c r="AL2943" s="234"/>
      <c r="AM2943" s="234"/>
      <c r="AN2943" s="476"/>
      <c r="AO2943" s="234"/>
      <c r="AP2943" s="234"/>
      <c r="AQ2943" s="3"/>
      <c r="AR2943" s="3"/>
      <c r="AS2943">
        <v>1</v>
      </c>
    </row>
    <row r="2944" spans="1:45">
      <c r="A2944">
        <v>619260</v>
      </c>
      <c r="B2944" s="3">
        <v>1001</v>
      </c>
      <c r="C2944" s="3">
        <v>6</v>
      </c>
      <c r="D2944" s="3">
        <v>1001</v>
      </c>
      <c r="E2944" s="3" t="s">
        <v>7174</v>
      </c>
      <c r="F2944" s="3" t="s">
        <v>7175</v>
      </c>
      <c r="G2944" s="3" t="s">
        <v>7419</v>
      </c>
      <c r="H2944" s="3" t="s">
        <v>1531</v>
      </c>
      <c r="I2944" s="3">
        <v>1</v>
      </c>
      <c r="J2944" s="3">
        <v>5</v>
      </c>
      <c r="K2944" s="33">
        <v>2</v>
      </c>
      <c r="L2944" s="3">
        <v>999</v>
      </c>
      <c r="M2944" s="3">
        <v>0</v>
      </c>
      <c r="N2944" s="3">
        <v>1018</v>
      </c>
      <c r="O2944" s="2" t="s">
        <v>7420</v>
      </c>
      <c r="P2944" s="3"/>
      <c r="Q2944" s="3"/>
      <c r="R2944" s="3"/>
      <c r="S2944" s="33">
        <v>1</v>
      </c>
      <c r="T2944" s="3">
        <v>5</v>
      </c>
      <c r="U2944" s="3">
        <v>100</v>
      </c>
      <c r="V2944" s="33">
        <v>1</v>
      </c>
      <c r="W2944" s="3">
        <v>1</v>
      </c>
      <c r="X2944" s="3">
        <v>1</v>
      </c>
      <c r="Y2944" s="3">
        <v>0</v>
      </c>
      <c r="Z2944" s="33">
        <v>0</v>
      </c>
      <c r="AA2944" s="3">
        <v>5</v>
      </c>
      <c r="AB2944" s="3">
        <v>2000</v>
      </c>
      <c r="AC2944" s="3">
        <v>56</v>
      </c>
      <c r="AD2944" s="445">
        <v>0</v>
      </c>
      <c r="AE2944" s="445">
        <v>5</v>
      </c>
      <c r="AF2944" s="445">
        <v>2</v>
      </c>
      <c r="AQ2944" s="3"/>
      <c r="AR2944" s="3"/>
      <c r="AS2944">
        <v>1</v>
      </c>
    </row>
    <row r="2945" spans="1:45">
      <c r="A2945">
        <v>619261</v>
      </c>
      <c r="B2945" s="3">
        <v>1001</v>
      </c>
      <c r="C2945" s="3">
        <v>6</v>
      </c>
      <c r="D2945" s="3">
        <v>1001</v>
      </c>
      <c r="E2945" s="3" t="s">
        <v>7178</v>
      </c>
      <c r="F2945" s="3" t="s">
        <v>7175</v>
      </c>
      <c r="G2945" s="3" t="s">
        <v>7421</v>
      </c>
      <c r="H2945" s="3" t="s">
        <v>1531</v>
      </c>
      <c r="I2945" s="3">
        <v>1</v>
      </c>
      <c r="J2945" s="3">
        <v>5</v>
      </c>
      <c r="K2945" s="33">
        <v>2</v>
      </c>
      <c r="L2945" s="339">
        <v>999</v>
      </c>
      <c r="M2945" s="339">
        <v>0</v>
      </c>
      <c r="N2945" s="3">
        <v>1018</v>
      </c>
      <c r="O2945" s="2" t="s">
        <v>7422</v>
      </c>
      <c r="P2945" s="3"/>
      <c r="Q2945" s="3"/>
      <c r="R2945" s="3"/>
      <c r="S2945" s="254">
        <v>1</v>
      </c>
      <c r="T2945" s="339">
        <v>5</v>
      </c>
      <c r="U2945" s="339">
        <v>100</v>
      </c>
      <c r="V2945" s="254">
        <v>1</v>
      </c>
      <c r="W2945" s="3">
        <v>1</v>
      </c>
      <c r="X2945" s="339">
        <v>1</v>
      </c>
      <c r="Y2945" s="339">
        <v>0</v>
      </c>
      <c r="Z2945" s="33">
        <v>0</v>
      </c>
      <c r="AA2945" s="3">
        <v>5</v>
      </c>
      <c r="AB2945" s="3">
        <v>2000</v>
      </c>
      <c r="AC2945" s="339">
        <v>56</v>
      </c>
      <c r="AD2945" s="445">
        <v>0</v>
      </c>
      <c r="AE2945" s="445">
        <v>5</v>
      </c>
      <c r="AF2945" s="445">
        <v>2</v>
      </c>
      <c r="AM2945" s="4"/>
      <c r="AN2945" s="93"/>
      <c r="AO2945" s="92"/>
      <c r="AQ2945" s="3"/>
      <c r="AR2945" s="3"/>
      <c r="AS2945">
        <v>1</v>
      </c>
    </row>
    <row r="2946" spans="1:45">
      <c r="A2946">
        <v>619262</v>
      </c>
      <c r="B2946">
        <v>1001</v>
      </c>
      <c r="C2946">
        <v>1</v>
      </c>
      <c r="D2946">
        <v>1001</v>
      </c>
      <c r="E2946" t="s">
        <v>6119</v>
      </c>
      <c r="F2946" t="s">
        <v>6119</v>
      </c>
      <c r="G2946" t="s">
        <v>6120</v>
      </c>
      <c r="H2946" t="s">
        <v>6121</v>
      </c>
      <c r="I2946">
        <v>1</v>
      </c>
      <c r="J2946">
        <v>5</v>
      </c>
      <c r="K2946" s="33">
        <v>1</v>
      </c>
      <c r="L2946" s="8">
        <v>999</v>
      </c>
      <c r="M2946" s="8">
        <v>0</v>
      </c>
      <c r="S2946" s="89">
        <v>1</v>
      </c>
      <c r="T2946" s="8">
        <v>5</v>
      </c>
      <c r="U2946" s="89">
        <v>1</v>
      </c>
      <c r="V2946" s="87">
        <v>1</v>
      </c>
      <c r="W2946">
        <v>1</v>
      </c>
      <c r="X2946" s="8">
        <v>1</v>
      </c>
      <c r="Y2946" s="8">
        <v>0</v>
      </c>
      <c r="Z2946" s="33">
        <v>0</v>
      </c>
      <c r="AA2946">
        <v>5</v>
      </c>
      <c r="AB2946" s="34">
        <v>100</v>
      </c>
      <c r="AC2946" s="87">
        <v>900</v>
      </c>
      <c r="AD2946" s="62">
        <v>0</v>
      </c>
      <c r="AE2946" s="255">
        <v>4</v>
      </c>
      <c r="AF2946" s="255">
        <v>2</v>
      </c>
      <c r="AL2946" s="64">
        <v>1</v>
      </c>
      <c r="AM2946" s="4"/>
      <c r="AN2946" s="93"/>
      <c r="AO2946" s="92"/>
      <c r="AQ2946" t="s">
        <v>6119</v>
      </c>
      <c r="AR2946">
        <v>1</v>
      </c>
      <c r="AS2946">
        <v>1</v>
      </c>
    </row>
    <row r="2947" spans="1:45">
      <c r="A2947">
        <v>619263</v>
      </c>
      <c r="B2947" s="238">
        <v>1001</v>
      </c>
      <c r="C2947" s="238">
        <v>1</v>
      </c>
      <c r="D2947" s="238">
        <v>1001</v>
      </c>
      <c r="E2947" t="s">
        <v>6122</v>
      </c>
      <c r="F2947" t="s">
        <v>6122</v>
      </c>
      <c r="G2947" t="s">
        <v>6120</v>
      </c>
      <c r="H2947" t="s">
        <v>6123</v>
      </c>
      <c r="I2947">
        <v>1</v>
      </c>
      <c r="J2947">
        <v>5</v>
      </c>
      <c r="K2947" s="33">
        <v>1</v>
      </c>
      <c r="L2947" s="236">
        <v>999</v>
      </c>
      <c r="M2947" s="236">
        <v>0</v>
      </c>
      <c r="N2947" s="8"/>
      <c r="S2947" s="89">
        <v>1</v>
      </c>
      <c r="T2947" s="8">
        <v>5</v>
      </c>
      <c r="U2947" s="89">
        <v>1</v>
      </c>
      <c r="V2947" s="87">
        <v>1</v>
      </c>
      <c r="W2947" s="238">
        <v>1</v>
      </c>
      <c r="X2947" s="8">
        <v>1</v>
      </c>
      <c r="Y2947" s="236">
        <v>0</v>
      </c>
      <c r="Z2947" s="33">
        <v>0</v>
      </c>
      <c r="AA2947">
        <v>5</v>
      </c>
      <c r="AB2947" s="34">
        <v>100</v>
      </c>
      <c r="AC2947" s="87">
        <v>900</v>
      </c>
      <c r="AD2947" s="62">
        <v>0</v>
      </c>
      <c r="AE2947" s="90">
        <v>4</v>
      </c>
      <c r="AF2947" s="90">
        <v>2</v>
      </c>
      <c r="AG2947" s="91"/>
      <c r="AH2947" s="91"/>
      <c r="AI2947" s="91"/>
      <c r="AJ2947" s="91"/>
      <c r="AK2947" s="91"/>
      <c r="AL2947" s="256">
        <v>1</v>
      </c>
      <c r="AM2947" s="440"/>
      <c r="AN2947" s="93"/>
      <c r="AO2947" s="92"/>
      <c r="AQ2947" t="s">
        <v>6122</v>
      </c>
      <c r="AR2947">
        <v>1</v>
      </c>
      <c r="AS2947">
        <v>1</v>
      </c>
    </row>
    <row r="2948" spans="1:45">
      <c r="A2948">
        <v>619264</v>
      </c>
      <c r="B2948" s="425">
        <v>1001</v>
      </c>
      <c r="C2948" s="8">
        <v>6</v>
      </c>
      <c r="D2948" s="8">
        <v>1001</v>
      </c>
      <c r="E2948" t="s">
        <v>6115</v>
      </c>
      <c r="F2948" t="s">
        <v>6115</v>
      </c>
      <c r="G2948" t="s">
        <v>6116</v>
      </c>
      <c r="H2948" t="s">
        <v>6117</v>
      </c>
      <c r="I2948">
        <v>1</v>
      </c>
      <c r="J2948">
        <v>4</v>
      </c>
      <c r="K2948" s="33">
        <v>2</v>
      </c>
      <c r="L2948">
        <v>999</v>
      </c>
      <c r="M2948">
        <v>0</v>
      </c>
      <c r="N2948" s="8">
        <v>1017</v>
      </c>
      <c r="O2948" s="2">
        <v>100247</v>
      </c>
      <c r="S2948" s="89">
        <v>1</v>
      </c>
      <c r="T2948" s="8">
        <v>5</v>
      </c>
      <c r="U2948" s="89">
        <v>1</v>
      </c>
      <c r="V2948" s="87">
        <v>1</v>
      </c>
      <c r="W2948" s="8">
        <v>1</v>
      </c>
      <c r="X2948" s="8">
        <v>1</v>
      </c>
      <c r="Y2948">
        <v>0</v>
      </c>
      <c r="Z2948" s="33">
        <v>0</v>
      </c>
      <c r="AA2948">
        <v>5</v>
      </c>
      <c r="AB2948">
        <v>100</v>
      </c>
      <c r="AC2948" s="87">
        <v>0</v>
      </c>
      <c r="AD2948" s="62">
        <v>0</v>
      </c>
      <c r="AE2948" s="90">
        <v>4</v>
      </c>
      <c r="AF2948" s="90">
        <v>2</v>
      </c>
      <c r="AG2948" s="91"/>
      <c r="AH2948" s="91"/>
      <c r="AI2948" s="91"/>
      <c r="AJ2948" s="91"/>
      <c r="AK2948" s="91"/>
      <c r="AL2948" s="92"/>
      <c r="AM2948" s="92"/>
      <c r="AN2948" s="93"/>
      <c r="AO2948" s="92"/>
      <c r="AS2948">
        <v>1</v>
      </c>
    </row>
    <row r="2949" spans="1:45">
      <c r="A2949">
        <v>619265</v>
      </c>
      <c r="B2949" s="425">
        <v>1001</v>
      </c>
      <c r="C2949" s="8">
        <v>6</v>
      </c>
      <c r="D2949" s="8">
        <v>1001</v>
      </c>
      <c r="E2949" s="238" t="s">
        <v>5749</v>
      </c>
      <c r="F2949" s="238" t="s">
        <v>5749</v>
      </c>
      <c r="G2949" s="238" t="s">
        <v>7423</v>
      </c>
      <c r="H2949" s="238" t="s">
        <v>204</v>
      </c>
      <c r="I2949" s="238">
        <v>1</v>
      </c>
      <c r="J2949" s="238">
        <v>5</v>
      </c>
      <c r="K2949" s="254">
        <v>2</v>
      </c>
      <c r="L2949" s="238">
        <v>999</v>
      </c>
      <c r="M2949" s="238">
        <v>0</v>
      </c>
      <c r="N2949" s="8">
        <v>1018</v>
      </c>
      <c r="O2949" s="258" t="s">
        <v>7424</v>
      </c>
      <c r="P2949" s="8"/>
      <c r="Q2949" s="8"/>
      <c r="R2949" s="8"/>
      <c r="S2949" s="89">
        <v>1</v>
      </c>
      <c r="T2949" s="8">
        <v>5</v>
      </c>
      <c r="U2949" s="89">
        <v>1</v>
      </c>
      <c r="V2949" s="87">
        <v>1</v>
      </c>
      <c r="W2949" s="8">
        <v>1</v>
      </c>
      <c r="X2949" s="8">
        <v>1</v>
      </c>
      <c r="Y2949" s="238">
        <v>0</v>
      </c>
      <c r="Z2949" s="254">
        <v>0</v>
      </c>
      <c r="AA2949" s="238">
        <v>5</v>
      </c>
      <c r="AB2949" s="238">
        <v>100</v>
      </c>
      <c r="AC2949" s="87">
        <v>70</v>
      </c>
      <c r="AD2949" s="255">
        <v>0</v>
      </c>
      <c r="AE2949" s="90">
        <v>5</v>
      </c>
      <c r="AF2949" s="90">
        <v>2</v>
      </c>
      <c r="AG2949" s="91"/>
      <c r="AH2949" s="91"/>
      <c r="AI2949" s="91"/>
      <c r="AJ2949" s="91"/>
      <c r="AK2949" s="91"/>
      <c r="AL2949" s="92"/>
      <c r="AM2949" s="92"/>
      <c r="AN2949" s="93"/>
      <c r="AO2949" s="92"/>
      <c r="AP2949" s="8"/>
      <c r="AQ2949" s="8"/>
      <c r="AR2949" s="8"/>
      <c r="AS2949">
        <v>1</v>
      </c>
    </row>
    <row r="2950" spans="1:45">
      <c r="A2950">
        <v>619266</v>
      </c>
      <c r="B2950" s="236">
        <v>1001</v>
      </c>
      <c r="C2950" s="236">
        <v>6</v>
      </c>
      <c r="D2950" s="236">
        <v>1001</v>
      </c>
      <c r="E2950" s="236" t="s">
        <v>6280</v>
      </c>
      <c r="F2950" s="236" t="s">
        <v>6280</v>
      </c>
      <c r="G2950" s="236" t="s">
        <v>7425</v>
      </c>
      <c r="H2950" s="236" t="s">
        <v>204</v>
      </c>
      <c r="I2950" s="236">
        <v>1</v>
      </c>
      <c r="J2950" s="236">
        <v>5</v>
      </c>
      <c r="K2950" s="236">
        <v>2</v>
      </c>
      <c r="L2950" s="236">
        <v>999</v>
      </c>
      <c r="M2950" s="236">
        <v>0</v>
      </c>
      <c r="N2950" s="236">
        <v>1018</v>
      </c>
      <c r="O2950" s="236" t="s">
        <v>7426</v>
      </c>
      <c r="P2950" s="236"/>
      <c r="Q2950" s="236"/>
      <c r="R2950" s="236"/>
      <c r="S2950" s="236">
        <v>1</v>
      </c>
      <c r="T2950" s="236">
        <v>5</v>
      </c>
      <c r="U2950" s="236">
        <v>1</v>
      </c>
      <c r="V2950" s="236">
        <v>1</v>
      </c>
      <c r="W2950" s="236">
        <v>1</v>
      </c>
      <c r="X2950" s="236">
        <v>1</v>
      </c>
      <c r="Y2950" s="236">
        <v>0</v>
      </c>
      <c r="Z2950" s="236">
        <v>0</v>
      </c>
      <c r="AA2950" s="236">
        <v>5</v>
      </c>
      <c r="AB2950" s="236">
        <v>100</v>
      </c>
      <c r="AC2950" s="236">
        <v>70</v>
      </c>
      <c r="AD2950" s="456">
        <v>0</v>
      </c>
      <c r="AE2950" s="456">
        <v>5</v>
      </c>
      <c r="AF2950" s="456">
        <v>2</v>
      </c>
      <c r="AG2950" s="456"/>
      <c r="AH2950" s="456"/>
      <c r="AI2950" s="456"/>
      <c r="AJ2950" s="456"/>
      <c r="AK2950" s="456"/>
      <c r="AL2950" s="236"/>
      <c r="AM2950" s="236"/>
      <c r="AN2950" s="236"/>
      <c r="AO2950" s="236"/>
      <c r="AP2950" s="236"/>
      <c r="AQ2950" s="236"/>
      <c r="AR2950" s="236"/>
      <c r="AS2950">
        <v>1</v>
      </c>
    </row>
    <row r="2951" spans="1:45">
      <c r="A2951">
        <v>619267</v>
      </c>
      <c r="B2951" s="3">
        <v>1001</v>
      </c>
      <c r="C2951" s="3">
        <v>6</v>
      </c>
      <c r="D2951" s="3">
        <v>1001</v>
      </c>
      <c r="E2951" s="3" t="s">
        <v>5550</v>
      </c>
      <c r="F2951" s="3" t="s">
        <v>5550</v>
      </c>
      <c r="G2951" s="3" t="s">
        <v>7427</v>
      </c>
      <c r="H2951" s="3" t="s">
        <v>1822</v>
      </c>
      <c r="I2951" s="3">
        <v>1</v>
      </c>
      <c r="J2951" s="3">
        <v>5</v>
      </c>
      <c r="K2951" s="3">
        <v>2</v>
      </c>
      <c r="L2951" s="3">
        <v>999</v>
      </c>
      <c r="M2951" s="3">
        <v>0</v>
      </c>
      <c r="N2951" s="3">
        <v>1018</v>
      </c>
      <c r="O2951" s="231" t="s">
        <v>7428</v>
      </c>
      <c r="P2951" s="3"/>
      <c r="Q2951" s="3"/>
      <c r="R2951" s="3"/>
      <c r="S2951" s="3">
        <v>1</v>
      </c>
      <c r="T2951" s="3">
        <v>5</v>
      </c>
      <c r="U2951" s="3">
        <v>100</v>
      </c>
      <c r="V2951" s="3">
        <v>1</v>
      </c>
      <c r="W2951" s="3">
        <v>1</v>
      </c>
      <c r="X2951" s="3">
        <v>1</v>
      </c>
      <c r="Y2951" s="3">
        <v>0</v>
      </c>
      <c r="Z2951" s="3">
        <v>0</v>
      </c>
      <c r="AA2951" s="3">
        <v>5</v>
      </c>
      <c r="AB2951" s="3">
        <v>2000</v>
      </c>
      <c r="AC2951" s="3">
        <v>56</v>
      </c>
      <c r="AD2951" s="153">
        <v>0</v>
      </c>
      <c r="AE2951" s="153">
        <v>5</v>
      </c>
      <c r="AF2951" s="153">
        <v>2</v>
      </c>
      <c r="AG2951" s="337"/>
      <c r="AH2951" s="337"/>
      <c r="AI2951" s="337"/>
      <c r="AJ2951" s="337"/>
      <c r="AK2951" s="337"/>
      <c r="AL2951" s="234"/>
      <c r="AM2951" s="234"/>
      <c r="AN2951" s="476"/>
      <c r="AO2951" s="234"/>
      <c r="AP2951" s="234"/>
      <c r="AQ2951" s="3"/>
      <c r="AR2951" s="3"/>
      <c r="AS2951">
        <v>1</v>
      </c>
    </row>
    <row r="2952" spans="1:45">
      <c r="A2952">
        <v>619268</v>
      </c>
      <c r="B2952">
        <v>1001</v>
      </c>
      <c r="C2952">
        <v>6</v>
      </c>
      <c r="D2952">
        <v>1001</v>
      </c>
      <c r="E2952" t="s">
        <v>6262</v>
      </c>
      <c r="F2952" t="s">
        <v>5749</v>
      </c>
      <c r="G2952" s="439" t="s">
        <v>7429</v>
      </c>
      <c r="H2952" t="s">
        <v>204</v>
      </c>
      <c r="I2952">
        <v>1</v>
      </c>
      <c r="J2952">
        <v>5</v>
      </c>
      <c r="K2952" s="33">
        <v>2</v>
      </c>
      <c r="L2952">
        <v>999</v>
      </c>
      <c r="M2952">
        <v>0</v>
      </c>
      <c r="N2952">
        <v>1018</v>
      </c>
      <c r="O2952" s="2" t="s">
        <v>7430</v>
      </c>
      <c r="S2952" s="33">
        <v>1</v>
      </c>
      <c r="T2952">
        <v>5</v>
      </c>
      <c r="U2952">
        <v>1</v>
      </c>
      <c r="V2952" s="33">
        <v>1</v>
      </c>
      <c r="W2952">
        <v>1</v>
      </c>
      <c r="X2952">
        <v>1</v>
      </c>
      <c r="Y2952">
        <v>0</v>
      </c>
      <c r="Z2952" s="33">
        <v>0</v>
      </c>
      <c r="AA2952">
        <v>5</v>
      </c>
      <c r="AB2952">
        <v>100</v>
      </c>
      <c r="AC2952">
        <v>70</v>
      </c>
      <c r="AD2952" s="62">
        <v>0</v>
      </c>
      <c r="AE2952" s="62">
        <v>5</v>
      </c>
      <c r="AF2952" s="62">
        <v>2</v>
      </c>
      <c r="AS2952">
        <v>1</v>
      </c>
    </row>
    <row r="2953" spans="1:45">
      <c r="A2953">
        <v>619269</v>
      </c>
      <c r="B2953">
        <v>1001</v>
      </c>
      <c r="C2953">
        <v>6</v>
      </c>
      <c r="D2953">
        <v>1001</v>
      </c>
      <c r="E2953" t="s">
        <v>7431</v>
      </c>
      <c r="F2953" t="s">
        <v>7432</v>
      </c>
      <c r="G2953" s="439" t="s">
        <v>7433</v>
      </c>
      <c r="H2953" t="s">
        <v>1431</v>
      </c>
      <c r="I2953">
        <v>1</v>
      </c>
      <c r="J2953">
        <v>5</v>
      </c>
      <c r="K2953" s="33">
        <v>2</v>
      </c>
      <c r="L2953">
        <v>999</v>
      </c>
      <c r="M2953">
        <v>0</v>
      </c>
      <c r="N2953">
        <v>1018</v>
      </c>
      <c r="O2953" s="2" t="s">
        <v>7434</v>
      </c>
      <c r="S2953" s="33">
        <v>1</v>
      </c>
      <c r="T2953">
        <v>5</v>
      </c>
      <c r="U2953">
        <v>1</v>
      </c>
      <c r="V2953" s="33">
        <v>1</v>
      </c>
      <c r="W2953">
        <v>1</v>
      </c>
      <c r="X2953">
        <v>1</v>
      </c>
      <c r="Y2953">
        <v>0</v>
      </c>
      <c r="Z2953" s="33">
        <v>0</v>
      </c>
      <c r="AA2953">
        <v>5</v>
      </c>
      <c r="AB2953">
        <v>100</v>
      </c>
      <c r="AC2953">
        <v>70</v>
      </c>
      <c r="AD2953" s="62">
        <v>0</v>
      </c>
      <c r="AE2953" s="62">
        <v>5</v>
      </c>
      <c r="AF2953" s="62">
        <v>2</v>
      </c>
      <c r="AS2953">
        <v>1</v>
      </c>
    </row>
    <row r="2954" spans="1:45">
      <c r="A2954">
        <v>619270</v>
      </c>
      <c r="B2954">
        <v>1001</v>
      </c>
      <c r="C2954">
        <v>6</v>
      </c>
      <c r="D2954">
        <v>1001</v>
      </c>
      <c r="E2954" t="s">
        <v>7435</v>
      </c>
      <c r="F2954" t="s">
        <v>7435</v>
      </c>
      <c r="G2954" s="439" t="s">
        <v>7436</v>
      </c>
      <c r="H2954" t="s">
        <v>1431</v>
      </c>
      <c r="I2954">
        <v>1</v>
      </c>
      <c r="J2954">
        <v>5</v>
      </c>
      <c r="K2954" s="33">
        <v>2</v>
      </c>
      <c r="L2954">
        <v>1</v>
      </c>
      <c r="M2954">
        <v>0</v>
      </c>
      <c r="N2954">
        <v>1</v>
      </c>
      <c r="O2954" s="2" t="s">
        <v>7437</v>
      </c>
      <c r="S2954" s="33">
        <v>1</v>
      </c>
      <c r="T2954">
        <v>5</v>
      </c>
      <c r="U2954">
        <v>1</v>
      </c>
      <c r="V2954" s="33">
        <v>1</v>
      </c>
      <c r="W2954">
        <v>1</v>
      </c>
      <c r="X2954">
        <v>1</v>
      </c>
      <c r="Y2954">
        <v>0</v>
      </c>
      <c r="Z2954" s="33">
        <v>0</v>
      </c>
      <c r="AA2954">
        <v>5</v>
      </c>
      <c r="AB2954">
        <v>100</v>
      </c>
      <c r="AC2954">
        <v>69</v>
      </c>
      <c r="AD2954" s="62">
        <v>0</v>
      </c>
      <c r="AE2954" s="62">
        <v>1</v>
      </c>
      <c r="AF2954" s="62">
        <v>2</v>
      </c>
      <c r="AS2954">
        <v>1</v>
      </c>
    </row>
    <row r="2955" spans="1:45">
      <c r="A2955">
        <v>619271</v>
      </c>
      <c r="B2955">
        <v>1001</v>
      </c>
      <c r="C2955">
        <v>6</v>
      </c>
      <c r="D2955">
        <v>1001</v>
      </c>
      <c r="E2955" t="s">
        <v>7438</v>
      </c>
      <c r="F2955" t="s">
        <v>7438</v>
      </c>
      <c r="G2955" s="439" t="s">
        <v>7439</v>
      </c>
      <c r="H2955" t="s">
        <v>1431</v>
      </c>
      <c r="I2955">
        <v>1</v>
      </c>
      <c r="J2955">
        <v>5</v>
      </c>
      <c r="K2955" s="33">
        <v>2</v>
      </c>
      <c r="L2955">
        <v>1</v>
      </c>
      <c r="M2955">
        <v>0</v>
      </c>
      <c r="N2955">
        <v>1</v>
      </c>
      <c r="O2955" s="2" t="s">
        <v>7440</v>
      </c>
      <c r="S2955" s="33">
        <v>1</v>
      </c>
      <c r="T2955">
        <v>5</v>
      </c>
      <c r="U2955">
        <v>1</v>
      </c>
      <c r="V2955" s="33">
        <v>1</v>
      </c>
      <c r="W2955">
        <v>1</v>
      </c>
      <c r="X2955">
        <v>1</v>
      </c>
      <c r="Y2955">
        <v>0</v>
      </c>
      <c r="Z2955" s="33">
        <v>0</v>
      </c>
      <c r="AA2955">
        <v>5</v>
      </c>
      <c r="AB2955">
        <v>100</v>
      </c>
      <c r="AC2955">
        <v>69</v>
      </c>
      <c r="AD2955" s="62">
        <v>0</v>
      </c>
      <c r="AE2955" s="62">
        <v>1</v>
      </c>
      <c r="AF2955" s="62">
        <v>2</v>
      </c>
      <c r="AS2955">
        <v>1</v>
      </c>
    </row>
    <row r="2956" spans="1:45">
      <c r="A2956">
        <v>619272</v>
      </c>
      <c r="B2956">
        <v>1001</v>
      </c>
      <c r="C2956">
        <v>6</v>
      </c>
      <c r="D2956">
        <v>1001</v>
      </c>
      <c r="E2956" t="s">
        <v>7441</v>
      </c>
      <c r="F2956" t="s">
        <v>7441</v>
      </c>
      <c r="G2956" s="439" t="s">
        <v>7442</v>
      </c>
      <c r="H2956" t="s">
        <v>1431</v>
      </c>
      <c r="I2956">
        <v>1</v>
      </c>
      <c r="J2956">
        <v>5</v>
      </c>
      <c r="K2956" s="33">
        <v>2</v>
      </c>
      <c r="L2956">
        <v>1</v>
      </c>
      <c r="M2956">
        <v>0</v>
      </c>
      <c r="N2956">
        <v>1</v>
      </c>
      <c r="O2956" s="2" t="s">
        <v>7443</v>
      </c>
      <c r="S2956" s="33">
        <v>1</v>
      </c>
      <c r="T2956">
        <v>5</v>
      </c>
      <c r="U2956">
        <v>1</v>
      </c>
      <c r="V2956" s="33">
        <v>1</v>
      </c>
      <c r="W2956">
        <v>1</v>
      </c>
      <c r="X2956">
        <v>1</v>
      </c>
      <c r="Y2956">
        <v>0</v>
      </c>
      <c r="Z2956" s="33">
        <v>0</v>
      </c>
      <c r="AA2956">
        <v>5</v>
      </c>
      <c r="AB2956">
        <v>100</v>
      </c>
      <c r="AC2956">
        <v>69</v>
      </c>
      <c r="AD2956" s="62">
        <v>0</v>
      </c>
      <c r="AE2956" s="62">
        <v>1</v>
      </c>
      <c r="AF2956" s="62">
        <v>2</v>
      </c>
      <c r="AS2956">
        <v>1</v>
      </c>
    </row>
    <row r="2957" spans="1:45">
      <c r="A2957">
        <v>619273</v>
      </c>
      <c r="B2957">
        <v>1001</v>
      </c>
      <c r="C2957">
        <v>6</v>
      </c>
      <c r="D2957">
        <v>1001</v>
      </c>
      <c r="E2957" t="s">
        <v>7444</v>
      </c>
      <c r="F2957" t="s">
        <v>7444</v>
      </c>
      <c r="G2957" s="439" t="s">
        <v>7445</v>
      </c>
      <c r="H2957" t="s">
        <v>1431</v>
      </c>
      <c r="I2957">
        <v>1</v>
      </c>
      <c r="J2957">
        <v>5</v>
      </c>
      <c r="K2957" s="33">
        <v>2</v>
      </c>
      <c r="L2957">
        <v>1</v>
      </c>
      <c r="M2957">
        <v>0</v>
      </c>
      <c r="N2957">
        <v>1</v>
      </c>
      <c r="O2957" s="2" t="s">
        <v>7446</v>
      </c>
      <c r="S2957" s="33">
        <v>1</v>
      </c>
      <c r="T2957">
        <v>5</v>
      </c>
      <c r="U2957">
        <v>1</v>
      </c>
      <c r="V2957" s="33">
        <v>1</v>
      </c>
      <c r="W2957">
        <v>1</v>
      </c>
      <c r="X2957">
        <v>1</v>
      </c>
      <c r="Y2957">
        <v>0</v>
      </c>
      <c r="Z2957" s="33">
        <v>0</v>
      </c>
      <c r="AA2957">
        <v>5</v>
      </c>
      <c r="AB2957">
        <v>100</v>
      </c>
      <c r="AC2957">
        <v>69</v>
      </c>
      <c r="AD2957" s="62">
        <v>0</v>
      </c>
      <c r="AE2957" s="62">
        <v>1</v>
      </c>
      <c r="AF2957" s="62">
        <v>2</v>
      </c>
      <c r="AS2957">
        <v>1</v>
      </c>
    </row>
    <row r="2958" spans="1:45">
      <c r="A2958">
        <v>619274</v>
      </c>
      <c r="B2958">
        <v>1001</v>
      </c>
      <c r="C2958">
        <v>6</v>
      </c>
      <c r="D2958">
        <v>1001</v>
      </c>
      <c r="E2958" t="s">
        <v>7447</v>
      </c>
      <c r="F2958" t="s">
        <v>7447</v>
      </c>
      <c r="G2958" s="439" t="s">
        <v>7448</v>
      </c>
      <c r="H2958" t="s">
        <v>1431</v>
      </c>
      <c r="I2958">
        <v>1</v>
      </c>
      <c r="J2958">
        <v>5</v>
      </c>
      <c r="K2958" s="33">
        <v>2</v>
      </c>
      <c r="L2958">
        <v>1</v>
      </c>
      <c r="M2958">
        <v>0</v>
      </c>
      <c r="N2958">
        <v>1</v>
      </c>
      <c r="O2958" s="2" t="s">
        <v>7449</v>
      </c>
      <c r="S2958" s="33">
        <v>1</v>
      </c>
      <c r="T2958">
        <v>5</v>
      </c>
      <c r="U2958">
        <v>1</v>
      </c>
      <c r="V2958" s="33">
        <v>1</v>
      </c>
      <c r="W2958">
        <v>1</v>
      </c>
      <c r="X2958">
        <v>1</v>
      </c>
      <c r="Y2958">
        <v>0</v>
      </c>
      <c r="Z2958" s="33">
        <v>0</v>
      </c>
      <c r="AA2958">
        <v>5</v>
      </c>
      <c r="AB2958">
        <v>100</v>
      </c>
      <c r="AC2958">
        <v>69</v>
      </c>
      <c r="AD2958" s="62">
        <v>0</v>
      </c>
      <c r="AE2958" s="62">
        <v>1</v>
      </c>
      <c r="AF2958" s="62">
        <v>2</v>
      </c>
      <c r="AS2958">
        <v>1</v>
      </c>
    </row>
    <row r="2959" spans="1:45">
      <c r="A2959">
        <v>619275</v>
      </c>
      <c r="B2959">
        <v>1001</v>
      </c>
      <c r="C2959">
        <v>6</v>
      </c>
      <c r="D2959">
        <v>1001</v>
      </c>
      <c r="E2959" t="s">
        <v>7450</v>
      </c>
      <c r="F2959" t="s">
        <v>7432</v>
      </c>
      <c r="G2959" s="439" t="s">
        <v>7451</v>
      </c>
      <c r="H2959" t="s">
        <v>1431</v>
      </c>
      <c r="I2959">
        <v>1</v>
      </c>
      <c r="J2959">
        <v>5</v>
      </c>
      <c r="K2959" s="33">
        <v>2</v>
      </c>
      <c r="L2959">
        <v>999</v>
      </c>
      <c r="M2959">
        <v>0</v>
      </c>
      <c r="N2959">
        <v>1018</v>
      </c>
      <c r="O2959" s="2" t="s">
        <v>7452</v>
      </c>
      <c r="S2959" s="33">
        <v>1</v>
      </c>
      <c r="T2959">
        <v>5</v>
      </c>
      <c r="U2959">
        <v>1</v>
      </c>
      <c r="V2959" s="33">
        <v>1</v>
      </c>
      <c r="W2959">
        <v>1</v>
      </c>
      <c r="X2959">
        <v>1</v>
      </c>
      <c r="Y2959">
        <v>0</v>
      </c>
      <c r="Z2959" s="33">
        <v>0</v>
      </c>
      <c r="AA2959">
        <v>5</v>
      </c>
      <c r="AB2959">
        <v>100</v>
      </c>
      <c r="AC2959">
        <v>70</v>
      </c>
      <c r="AD2959" s="62">
        <v>0</v>
      </c>
      <c r="AE2959" s="62">
        <v>5</v>
      </c>
      <c r="AF2959" s="62">
        <v>2</v>
      </c>
      <c r="AS2959">
        <v>1</v>
      </c>
    </row>
    <row r="2960" spans="1:45">
      <c r="A2960">
        <v>619276</v>
      </c>
      <c r="B2960">
        <v>1001</v>
      </c>
      <c r="C2960">
        <v>6</v>
      </c>
      <c r="D2960">
        <v>1001</v>
      </c>
      <c r="E2960" t="s">
        <v>7453</v>
      </c>
      <c r="F2960" t="s">
        <v>7453</v>
      </c>
      <c r="G2960" s="439" t="s">
        <v>7454</v>
      </c>
      <c r="H2960" t="s">
        <v>1431</v>
      </c>
      <c r="I2960">
        <v>1</v>
      </c>
      <c r="J2960">
        <v>5</v>
      </c>
      <c r="K2960" s="33">
        <v>2</v>
      </c>
      <c r="L2960">
        <v>1</v>
      </c>
      <c r="M2960">
        <v>0</v>
      </c>
      <c r="N2960">
        <v>1</v>
      </c>
      <c r="O2960" s="2" t="s">
        <v>7455</v>
      </c>
      <c r="S2960" s="33">
        <v>1</v>
      </c>
      <c r="T2960">
        <v>5</v>
      </c>
      <c r="U2960">
        <v>1</v>
      </c>
      <c r="V2960" s="33">
        <v>1</v>
      </c>
      <c r="W2960">
        <v>1</v>
      </c>
      <c r="X2960">
        <v>1</v>
      </c>
      <c r="Y2960">
        <v>0</v>
      </c>
      <c r="Z2960" s="33">
        <v>0</v>
      </c>
      <c r="AA2960">
        <v>5</v>
      </c>
      <c r="AB2960">
        <v>100</v>
      </c>
      <c r="AC2960">
        <v>69</v>
      </c>
      <c r="AD2960" s="62">
        <v>0</v>
      </c>
      <c r="AE2960" s="62">
        <v>1</v>
      </c>
      <c r="AF2960" s="62">
        <v>2</v>
      </c>
      <c r="AS2960">
        <v>1</v>
      </c>
    </row>
    <row r="2961" spans="1:45">
      <c r="A2961">
        <v>619277</v>
      </c>
      <c r="B2961">
        <v>1001</v>
      </c>
      <c r="C2961">
        <v>6</v>
      </c>
      <c r="D2961">
        <v>1001</v>
      </c>
      <c r="E2961" t="s">
        <v>7456</v>
      </c>
      <c r="F2961" t="s">
        <v>7456</v>
      </c>
      <c r="G2961" s="439" t="s">
        <v>7457</v>
      </c>
      <c r="H2961" t="s">
        <v>1431</v>
      </c>
      <c r="I2961">
        <v>1</v>
      </c>
      <c r="J2961">
        <v>5</v>
      </c>
      <c r="K2961" s="33">
        <v>2</v>
      </c>
      <c r="L2961">
        <v>1</v>
      </c>
      <c r="M2961">
        <v>0</v>
      </c>
      <c r="N2961">
        <v>1</v>
      </c>
      <c r="O2961" s="2" t="s">
        <v>7458</v>
      </c>
      <c r="S2961" s="33">
        <v>1</v>
      </c>
      <c r="T2961">
        <v>5</v>
      </c>
      <c r="U2961">
        <v>1</v>
      </c>
      <c r="V2961" s="33">
        <v>1</v>
      </c>
      <c r="W2961">
        <v>1</v>
      </c>
      <c r="X2961">
        <v>1</v>
      </c>
      <c r="Y2961">
        <v>0</v>
      </c>
      <c r="Z2961" s="33">
        <v>0</v>
      </c>
      <c r="AA2961">
        <v>5</v>
      </c>
      <c r="AB2961">
        <v>100</v>
      </c>
      <c r="AC2961">
        <v>69</v>
      </c>
      <c r="AD2961" s="62">
        <v>0</v>
      </c>
      <c r="AE2961" s="62">
        <v>1</v>
      </c>
      <c r="AF2961" s="62">
        <v>2</v>
      </c>
      <c r="AS2961">
        <v>1</v>
      </c>
    </row>
    <row r="2962" spans="1:45">
      <c r="A2962">
        <v>619278</v>
      </c>
      <c r="B2962">
        <v>1001</v>
      </c>
      <c r="C2962">
        <v>6</v>
      </c>
      <c r="D2962">
        <v>1001</v>
      </c>
      <c r="E2962" t="s">
        <v>7459</v>
      </c>
      <c r="F2962" t="s">
        <v>7459</v>
      </c>
      <c r="G2962" s="439" t="s">
        <v>7460</v>
      </c>
      <c r="H2962" t="s">
        <v>1431</v>
      </c>
      <c r="I2962">
        <v>1</v>
      </c>
      <c r="J2962">
        <v>5</v>
      </c>
      <c r="K2962" s="33">
        <v>2</v>
      </c>
      <c r="L2962">
        <v>1</v>
      </c>
      <c r="M2962">
        <v>0</v>
      </c>
      <c r="N2962">
        <v>1</v>
      </c>
      <c r="O2962" s="2" t="s">
        <v>7461</v>
      </c>
      <c r="S2962" s="33">
        <v>1</v>
      </c>
      <c r="T2962">
        <v>5</v>
      </c>
      <c r="U2962">
        <v>1</v>
      </c>
      <c r="V2962" s="33">
        <v>1</v>
      </c>
      <c r="W2962">
        <v>1</v>
      </c>
      <c r="X2962">
        <v>1</v>
      </c>
      <c r="Y2962">
        <v>0</v>
      </c>
      <c r="Z2962" s="33">
        <v>0</v>
      </c>
      <c r="AA2962">
        <v>5</v>
      </c>
      <c r="AB2962">
        <v>100</v>
      </c>
      <c r="AC2962">
        <v>69</v>
      </c>
      <c r="AD2962" s="62">
        <v>0</v>
      </c>
      <c r="AE2962" s="62">
        <v>1</v>
      </c>
      <c r="AF2962" s="62">
        <v>2</v>
      </c>
      <c r="AS2962">
        <v>1</v>
      </c>
    </row>
    <row r="2963" spans="1:45">
      <c r="A2963">
        <v>619279</v>
      </c>
      <c r="B2963">
        <v>1001</v>
      </c>
      <c r="C2963">
        <v>6</v>
      </c>
      <c r="D2963">
        <v>1001</v>
      </c>
      <c r="E2963" t="s">
        <v>7462</v>
      </c>
      <c r="F2963" t="s">
        <v>7462</v>
      </c>
      <c r="G2963" s="439" t="s">
        <v>7463</v>
      </c>
      <c r="H2963" t="s">
        <v>1431</v>
      </c>
      <c r="I2963">
        <v>1</v>
      </c>
      <c r="J2963">
        <v>5</v>
      </c>
      <c r="K2963" s="33">
        <v>2</v>
      </c>
      <c r="L2963">
        <v>1</v>
      </c>
      <c r="M2963">
        <v>0</v>
      </c>
      <c r="N2963">
        <v>1</v>
      </c>
      <c r="O2963" s="2" t="s">
        <v>7464</v>
      </c>
      <c r="S2963" s="33">
        <v>1</v>
      </c>
      <c r="T2963">
        <v>5</v>
      </c>
      <c r="U2963">
        <v>1</v>
      </c>
      <c r="V2963" s="33">
        <v>1</v>
      </c>
      <c r="W2963">
        <v>1</v>
      </c>
      <c r="X2963">
        <v>1</v>
      </c>
      <c r="Y2963">
        <v>0</v>
      </c>
      <c r="Z2963" s="33">
        <v>0</v>
      </c>
      <c r="AA2963">
        <v>5</v>
      </c>
      <c r="AB2963">
        <v>100</v>
      </c>
      <c r="AC2963">
        <v>69</v>
      </c>
      <c r="AD2963" s="62">
        <v>0</v>
      </c>
      <c r="AE2963" s="62">
        <v>1</v>
      </c>
      <c r="AF2963" s="62">
        <v>2</v>
      </c>
      <c r="AS2963">
        <v>1</v>
      </c>
    </row>
    <row r="2964" spans="1:45">
      <c r="A2964">
        <v>619280</v>
      </c>
      <c r="B2964">
        <v>1001</v>
      </c>
      <c r="C2964">
        <v>6</v>
      </c>
      <c r="D2964">
        <v>1001</v>
      </c>
      <c r="E2964" t="s">
        <v>6280</v>
      </c>
      <c r="F2964" t="s">
        <v>6280</v>
      </c>
      <c r="G2964" s="3" t="s">
        <v>7465</v>
      </c>
      <c r="H2964" t="s">
        <v>204</v>
      </c>
      <c r="I2964">
        <v>1</v>
      </c>
      <c r="J2964">
        <v>5</v>
      </c>
      <c r="K2964" s="33">
        <v>2</v>
      </c>
      <c r="L2964">
        <v>999</v>
      </c>
      <c r="M2964">
        <v>0</v>
      </c>
      <c r="N2964">
        <v>1018</v>
      </c>
      <c r="O2964" s="231" t="s">
        <v>7466</v>
      </c>
      <c r="S2964" s="33">
        <v>1</v>
      </c>
      <c r="T2964">
        <v>5</v>
      </c>
      <c r="U2964">
        <v>100</v>
      </c>
      <c r="V2964" s="33">
        <v>1</v>
      </c>
      <c r="W2964">
        <v>1</v>
      </c>
      <c r="X2964">
        <v>1</v>
      </c>
      <c r="Y2964">
        <v>0</v>
      </c>
      <c r="Z2964" s="33">
        <v>0</v>
      </c>
      <c r="AA2964">
        <v>5</v>
      </c>
      <c r="AB2964">
        <v>2000</v>
      </c>
      <c r="AC2964">
        <v>70</v>
      </c>
      <c r="AD2964" s="62">
        <v>0</v>
      </c>
      <c r="AE2964" s="62">
        <v>5</v>
      </c>
      <c r="AF2964" s="62">
        <v>2</v>
      </c>
      <c r="AS2964">
        <v>1</v>
      </c>
    </row>
    <row r="2965" spans="1:45">
      <c r="A2965">
        <v>619281</v>
      </c>
      <c r="B2965">
        <v>1001</v>
      </c>
      <c r="C2965">
        <v>6</v>
      </c>
      <c r="D2965">
        <v>1001</v>
      </c>
      <c r="E2965" t="s">
        <v>7467</v>
      </c>
      <c r="F2965" t="s">
        <v>5749</v>
      </c>
      <c r="G2965" s="439" t="s">
        <v>7468</v>
      </c>
      <c r="H2965" t="s">
        <v>204</v>
      </c>
      <c r="I2965">
        <v>1</v>
      </c>
      <c r="J2965">
        <v>5</v>
      </c>
      <c r="K2965" s="33">
        <v>2</v>
      </c>
      <c r="L2965">
        <v>999</v>
      </c>
      <c r="M2965">
        <v>0</v>
      </c>
      <c r="N2965">
        <v>1018</v>
      </c>
      <c r="O2965" s="2" t="s">
        <v>7469</v>
      </c>
      <c r="S2965" s="33">
        <v>1</v>
      </c>
      <c r="T2965">
        <v>5</v>
      </c>
      <c r="U2965">
        <v>1</v>
      </c>
      <c r="V2965" s="33">
        <v>1</v>
      </c>
      <c r="W2965">
        <v>1</v>
      </c>
      <c r="X2965">
        <v>1</v>
      </c>
      <c r="Y2965">
        <v>0</v>
      </c>
      <c r="Z2965" s="33">
        <v>0</v>
      </c>
      <c r="AA2965">
        <v>5</v>
      </c>
      <c r="AB2965">
        <v>100</v>
      </c>
      <c r="AC2965">
        <v>70</v>
      </c>
      <c r="AD2965" s="62">
        <v>0</v>
      </c>
      <c r="AE2965" s="62">
        <v>5</v>
      </c>
      <c r="AF2965" s="62">
        <v>2</v>
      </c>
      <c r="AG2965" s="430"/>
      <c r="AH2965" s="430"/>
      <c r="AI2965" s="430"/>
      <c r="AJ2965" s="430"/>
      <c r="AK2965" s="430"/>
      <c r="AL2965" s="214"/>
      <c r="AM2965" s="214"/>
      <c r="AN2965" s="431"/>
      <c r="AO2965" s="214"/>
      <c r="AP2965" s="214"/>
      <c r="AS2965">
        <v>1</v>
      </c>
    </row>
    <row r="2966" spans="1:45">
      <c r="A2966">
        <v>619282</v>
      </c>
      <c r="B2966">
        <v>1001</v>
      </c>
      <c r="C2966">
        <v>6</v>
      </c>
      <c r="D2966">
        <v>1001</v>
      </c>
      <c r="E2966" t="s">
        <v>7470</v>
      </c>
      <c r="F2966" t="s">
        <v>7175</v>
      </c>
      <c r="G2966" t="s">
        <v>7471</v>
      </c>
      <c r="H2966" t="s">
        <v>1531</v>
      </c>
      <c r="I2966">
        <v>1</v>
      </c>
      <c r="J2966">
        <v>5</v>
      </c>
      <c r="K2966" s="33">
        <v>2</v>
      </c>
      <c r="L2966">
        <v>999</v>
      </c>
      <c r="M2966">
        <v>0</v>
      </c>
      <c r="N2966">
        <v>1018</v>
      </c>
      <c r="O2966" s="2" t="s">
        <v>7472</v>
      </c>
      <c r="S2966" s="33">
        <v>1</v>
      </c>
      <c r="T2966">
        <v>5</v>
      </c>
      <c r="U2966">
        <v>100</v>
      </c>
      <c r="V2966" s="33">
        <v>1</v>
      </c>
      <c r="W2966">
        <v>1</v>
      </c>
      <c r="X2966">
        <v>1</v>
      </c>
      <c r="Y2966">
        <v>0</v>
      </c>
      <c r="Z2966" s="33">
        <v>0</v>
      </c>
      <c r="AA2966">
        <v>5</v>
      </c>
      <c r="AB2966">
        <v>2000</v>
      </c>
      <c r="AC2966">
        <v>56</v>
      </c>
      <c r="AD2966" s="62">
        <v>0</v>
      </c>
      <c r="AE2966" s="62">
        <v>5</v>
      </c>
      <c r="AF2966" s="62">
        <v>2</v>
      </c>
      <c r="AG2966" s="430"/>
      <c r="AH2966" s="430"/>
      <c r="AI2966" s="430"/>
      <c r="AJ2966" s="430"/>
      <c r="AK2966" s="430"/>
      <c r="AL2966" s="214"/>
      <c r="AM2966" s="214"/>
      <c r="AN2966" s="431"/>
      <c r="AO2966" s="214"/>
      <c r="AP2966" s="214"/>
      <c r="AS2966">
        <v>1</v>
      </c>
    </row>
    <row r="2967" spans="1:45">
      <c r="A2967">
        <v>619283</v>
      </c>
      <c r="B2967">
        <v>1001</v>
      </c>
      <c r="C2967">
        <v>6</v>
      </c>
      <c r="D2967">
        <v>1001</v>
      </c>
      <c r="E2967" t="s">
        <v>7473</v>
      </c>
      <c r="F2967" t="s">
        <v>7175</v>
      </c>
      <c r="G2967" t="s">
        <v>7474</v>
      </c>
      <c r="H2967" t="s">
        <v>1531</v>
      </c>
      <c r="I2967">
        <v>1</v>
      </c>
      <c r="J2967">
        <v>5</v>
      </c>
      <c r="K2967" s="33">
        <v>2</v>
      </c>
      <c r="L2967">
        <v>999</v>
      </c>
      <c r="M2967">
        <v>0</v>
      </c>
      <c r="N2967">
        <v>1018</v>
      </c>
      <c r="O2967" s="2" t="s">
        <v>7475</v>
      </c>
      <c r="P2967" s="3"/>
      <c r="Q2967" s="3"/>
      <c r="R2967" s="3"/>
      <c r="S2967" s="33">
        <v>1</v>
      </c>
      <c r="T2967">
        <v>5</v>
      </c>
      <c r="U2967">
        <v>100</v>
      </c>
      <c r="V2967" s="33">
        <v>1</v>
      </c>
      <c r="W2967">
        <v>1</v>
      </c>
      <c r="X2967">
        <v>1</v>
      </c>
      <c r="Y2967">
        <v>0</v>
      </c>
      <c r="Z2967" s="33">
        <v>0</v>
      </c>
      <c r="AA2967">
        <v>5</v>
      </c>
      <c r="AB2967">
        <v>2000</v>
      </c>
      <c r="AC2967">
        <v>56</v>
      </c>
      <c r="AD2967" s="62">
        <v>0</v>
      </c>
      <c r="AE2967" s="62">
        <v>5</v>
      </c>
      <c r="AF2967" s="62">
        <v>2</v>
      </c>
      <c r="AG2967" s="430"/>
      <c r="AH2967" s="430"/>
      <c r="AI2967" s="430"/>
      <c r="AJ2967" s="430"/>
      <c r="AK2967" s="430"/>
      <c r="AL2967" s="214"/>
      <c r="AM2967" s="214"/>
      <c r="AN2967" s="431"/>
      <c r="AO2967" s="214"/>
      <c r="AP2967" s="214"/>
      <c r="AQ2967" s="3"/>
      <c r="AR2967" s="3"/>
      <c r="AS2967">
        <v>1</v>
      </c>
    </row>
    <row r="2968" spans="1:45">
      <c r="A2968">
        <v>619284</v>
      </c>
      <c r="B2968" s="3">
        <v>1001</v>
      </c>
      <c r="C2968" s="3">
        <v>6</v>
      </c>
      <c r="D2968" s="3">
        <v>1001</v>
      </c>
      <c r="E2968" s="3" t="s">
        <v>7476</v>
      </c>
      <c r="F2968" s="3" t="s">
        <v>5550</v>
      </c>
      <c r="G2968" s="3" t="s">
        <v>7477</v>
      </c>
      <c r="H2968" s="3" t="s">
        <v>1822</v>
      </c>
      <c r="I2968" s="3">
        <v>1</v>
      </c>
      <c r="J2968" s="3">
        <v>5</v>
      </c>
      <c r="K2968" s="3">
        <v>2</v>
      </c>
      <c r="L2968" s="3">
        <v>999</v>
      </c>
      <c r="M2968" s="3">
        <v>0</v>
      </c>
      <c r="N2968" s="3">
        <v>1018</v>
      </c>
      <c r="O2968" s="231" t="s">
        <v>7478</v>
      </c>
      <c r="P2968" s="3"/>
      <c r="Q2968" s="3"/>
      <c r="R2968" s="3"/>
      <c r="S2968" s="3">
        <v>1</v>
      </c>
      <c r="T2968" s="3">
        <v>5</v>
      </c>
      <c r="U2968" s="3">
        <v>100</v>
      </c>
      <c r="V2968" s="3">
        <v>1</v>
      </c>
      <c r="W2968" s="3">
        <v>1</v>
      </c>
      <c r="X2968" s="3">
        <v>1</v>
      </c>
      <c r="Y2968" s="3">
        <v>0</v>
      </c>
      <c r="Z2968" s="3">
        <v>0</v>
      </c>
      <c r="AA2968" s="3">
        <v>5</v>
      </c>
      <c r="AB2968" s="3">
        <v>2000</v>
      </c>
      <c r="AC2968" s="3">
        <v>56</v>
      </c>
      <c r="AD2968" s="153">
        <v>0</v>
      </c>
      <c r="AE2968" s="153">
        <v>5</v>
      </c>
      <c r="AF2968" s="153">
        <v>2</v>
      </c>
      <c r="AG2968" s="337"/>
      <c r="AH2968" s="337"/>
      <c r="AI2968" s="337"/>
      <c r="AJ2968" s="337"/>
      <c r="AK2968" s="337"/>
      <c r="AL2968" s="234"/>
      <c r="AM2968" s="234"/>
      <c r="AN2968" s="476"/>
      <c r="AO2968" s="234"/>
      <c r="AP2968" s="234"/>
      <c r="AQ2968" s="3"/>
      <c r="AR2968" s="3"/>
      <c r="AS2968">
        <v>1</v>
      </c>
    </row>
    <row r="2969" spans="1:45">
      <c r="A2969">
        <v>619285</v>
      </c>
      <c r="B2969" s="3">
        <v>1001</v>
      </c>
      <c r="C2969" s="3">
        <v>6</v>
      </c>
      <c r="D2969" s="3">
        <v>1001</v>
      </c>
      <c r="E2969" s="3" t="s">
        <v>7479</v>
      </c>
      <c r="F2969" s="3" t="s">
        <v>7480</v>
      </c>
      <c r="G2969" s="3" t="s">
        <v>7481</v>
      </c>
      <c r="H2969" s="3" t="s">
        <v>1822</v>
      </c>
      <c r="I2969" s="3">
        <v>1</v>
      </c>
      <c r="J2969" s="3">
        <v>5</v>
      </c>
      <c r="K2969" s="3">
        <v>2</v>
      </c>
      <c r="L2969" s="3">
        <v>999</v>
      </c>
      <c r="M2969" s="3">
        <v>0</v>
      </c>
      <c r="N2969" s="3">
        <v>1018</v>
      </c>
      <c r="O2969" s="231" t="s">
        <v>7482</v>
      </c>
      <c r="P2969" s="3"/>
      <c r="Q2969" s="3"/>
      <c r="R2969" s="3"/>
      <c r="S2969" s="3">
        <v>1</v>
      </c>
      <c r="T2969" s="3">
        <v>5</v>
      </c>
      <c r="U2969" s="3">
        <v>100</v>
      </c>
      <c r="V2969" s="3">
        <v>1</v>
      </c>
      <c r="W2969" s="3">
        <v>1</v>
      </c>
      <c r="X2969" s="3">
        <v>1</v>
      </c>
      <c r="Y2969" s="3">
        <v>0</v>
      </c>
      <c r="Z2969" s="3">
        <v>0</v>
      </c>
      <c r="AA2969" s="3">
        <v>5</v>
      </c>
      <c r="AB2969" s="3">
        <v>2000</v>
      </c>
      <c r="AC2969" s="3">
        <v>56</v>
      </c>
      <c r="AD2969" s="153">
        <v>0</v>
      </c>
      <c r="AE2969" s="153">
        <v>5</v>
      </c>
      <c r="AF2969" s="153">
        <v>2</v>
      </c>
      <c r="AG2969" s="337"/>
      <c r="AH2969" s="337"/>
      <c r="AI2969" s="337"/>
      <c r="AJ2969" s="337"/>
      <c r="AK2969" s="337"/>
      <c r="AL2969" s="234"/>
      <c r="AM2969" s="234"/>
      <c r="AN2969" s="476"/>
      <c r="AO2969" s="234"/>
      <c r="AP2969" s="234"/>
      <c r="AQ2969" s="3"/>
      <c r="AR2969" s="3"/>
      <c r="AS2969">
        <v>1</v>
      </c>
    </row>
    <row r="2970" spans="1:45">
      <c r="A2970">
        <v>619286</v>
      </c>
      <c r="B2970" s="3">
        <v>1001</v>
      </c>
      <c r="C2970" s="3">
        <v>6</v>
      </c>
      <c r="D2970" s="3">
        <v>1001</v>
      </c>
      <c r="E2970" s="3" t="s">
        <v>7483</v>
      </c>
      <c r="F2970" s="3" t="s">
        <v>5550</v>
      </c>
      <c r="G2970" s="3" t="s">
        <v>7484</v>
      </c>
      <c r="H2970" s="3" t="s">
        <v>1822</v>
      </c>
      <c r="I2970" s="3">
        <v>1</v>
      </c>
      <c r="J2970" s="3">
        <v>5</v>
      </c>
      <c r="K2970" s="3">
        <v>2</v>
      </c>
      <c r="L2970" s="339">
        <v>999</v>
      </c>
      <c r="M2970" s="339">
        <v>0</v>
      </c>
      <c r="N2970" s="3">
        <v>1018</v>
      </c>
      <c r="O2970" s="231" t="s">
        <v>7485</v>
      </c>
      <c r="P2970" s="3"/>
      <c r="Q2970" s="3"/>
      <c r="R2970" s="3"/>
      <c r="S2970" s="339">
        <v>1</v>
      </c>
      <c r="T2970" s="339">
        <v>5</v>
      </c>
      <c r="U2970" s="339">
        <v>100</v>
      </c>
      <c r="V2970" s="339">
        <v>1</v>
      </c>
      <c r="W2970" s="3">
        <v>1</v>
      </c>
      <c r="X2970" s="339">
        <v>1</v>
      </c>
      <c r="Y2970" s="339">
        <v>0</v>
      </c>
      <c r="Z2970" s="3">
        <v>0</v>
      </c>
      <c r="AA2970" s="3">
        <v>5</v>
      </c>
      <c r="AB2970" s="3">
        <v>2000</v>
      </c>
      <c r="AC2970" s="339">
        <v>56</v>
      </c>
      <c r="AD2970" s="153">
        <v>0</v>
      </c>
      <c r="AE2970" s="153">
        <v>5</v>
      </c>
      <c r="AF2970" s="153">
        <v>2</v>
      </c>
      <c r="AG2970" s="337"/>
      <c r="AH2970" s="337"/>
      <c r="AI2970" s="337"/>
      <c r="AJ2970" s="337"/>
      <c r="AK2970" s="337"/>
      <c r="AL2970" s="234"/>
      <c r="AM2970" s="234"/>
      <c r="AN2970" s="479"/>
      <c r="AO2970" s="341"/>
      <c r="AP2970" s="234"/>
      <c r="AQ2970" s="3"/>
      <c r="AR2970" s="3"/>
      <c r="AS2970">
        <v>1</v>
      </c>
    </row>
    <row r="2971" spans="1:45">
      <c r="A2971">
        <v>619287</v>
      </c>
      <c r="B2971">
        <v>1001</v>
      </c>
      <c r="C2971">
        <v>1</v>
      </c>
      <c r="D2971">
        <v>1001</v>
      </c>
      <c r="E2971" t="s">
        <v>6451</v>
      </c>
      <c r="F2971" t="s">
        <v>6451</v>
      </c>
      <c r="G2971" t="s">
        <v>7486</v>
      </c>
      <c r="H2971" t="s">
        <v>6223</v>
      </c>
      <c r="I2971">
        <v>1</v>
      </c>
      <c r="J2971">
        <v>5</v>
      </c>
      <c r="K2971" s="33">
        <v>1</v>
      </c>
      <c r="L2971" s="8">
        <v>999</v>
      </c>
      <c r="M2971" s="8">
        <v>0</v>
      </c>
      <c r="S2971" s="89">
        <v>1</v>
      </c>
      <c r="T2971" s="8">
        <v>5</v>
      </c>
      <c r="U2971" s="89">
        <v>1</v>
      </c>
      <c r="V2971" s="87">
        <v>1</v>
      </c>
      <c r="W2971">
        <v>1</v>
      </c>
      <c r="X2971" s="8">
        <v>1</v>
      </c>
      <c r="Y2971" s="8">
        <v>0</v>
      </c>
      <c r="Z2971" s="33">
        <v>0</v>
      </c>
      <c r="AA2971">
        <v>5</v>
      </c>
      <c r="AB2971" s="34">
        <v>100</v>
      </c>
      <c r="AC2971" s="87">
        <v>900</v>
      </c>
      <c r="AD2971" s="62">
        <v>0</v>
      </c>
      <c r="AE2971" s="255">
        <v>4</v>
      </c>
      <c r="AF2971" s="255">
        <v>2</v>
      </c>
      <c r="AL2971" s="64">
        <v>1</v>
      </c>
      <c r="AM2971" s="4"/>
      <c r="AN2971" s="93"/>
      <c r="AO2971" s="92"/>
      <c r="AQ2971" t="s">
        <v>6119</v>
      </c>
      <c r="AR2971">
        <v>1</v>
      </c>
      <c r="AS2971">
        <v>1</v>
      </c>
    </row>
    <row r="2972" spans="1:45">
      <c r="A2972">
        <v>619288</v>
      </c>
      <c r="B2972" s="238">
        <v>1001</v>
      </c>
      <c r="C2972" s="238">
        <v>1</v>
      </c>
      <c r="D2972" s="238">
        <v>1001</v>
      </c>
      <c r="E2972" t="s">
        <v>7487</v>
      </c>
      <c r="F2972" t="s">
        <v>7487</v>
      </c>
      <c r="G2972" t="s">
        <v>7486</v>
      </c>
      <c r="H2972" t="s">
        <v>6231</v>
      </c>
      <c r="I2972">
        <v>1</v>
      </c>
      <c r="J2972">
        <v>5</v>
      </c>
      <c r="K2972" s="33">
        <v>1</v>
      </c>
      <c r="L2972" s="236">
        <v>999</v>
      </c>
      <c r="M2972" s="236">
        <v>0</v>
      </c>
      <c r="N2972" s="8"/>
      <c r="S2972" s="89">
        <v>1</v>
      </c>
      <c r="T2972" s="8">
        <v>5</v>
      </c>
      <c r="U2972" s="89">
        <v>1</v>
      </c>
      <c r="V2972" s="87">
        <v>1</v>
      </c>
      <c r="W2972" s="238">
        <v>1</v>
      </c>
      <c r="X2972" s="8">
        <v>1</v>
      </c>
      <c r="Y2972" s="236">
        <v>0</v>
      </c>
      <c r="Z2972" s="33">
        <v>0</v>
      </c>
      <c r="AA2972">
        <v>5</v>
      </c>
      <c r="AB2972" s="34">
        <v>100</v>
      </c>
      <c r="AC2972" s="87">
        <v>900</v>
      </c>
      <c r="AD2972" s="62">
        <v>0</v>
      </c>
      <c r="AE2972" s="90">
        <v>4</v>
      </c>
      <c r="AF2972" s="90">
        <v>2</v>
      </c>
      <c r="AG2972" s="91"/>
      <c r="AH2972" s="91"/>
      <c r="AI2972" s="91"/>
      <c r="AJ2972" s="91"/>
      <c r="AK2972" s="91"/>
      <c r="AL2972" s="256">
        <v>1</v>
      </c>
      <c r="AM2972" s="440"/>
      <c r="AN2972" s="93"/>
      <c r="AO2972" s="92"/>
      <c r="AQ2972" t="s">
        <v>6122</v>
      </c>
      <c r="AR2972">
        <v>1</v>
      </c>
      <c r="AS2972">
        <v>1</v>
      </c>
    </row>
    <row r="2973" s="3" customFormat="1" spans="1:45">
      <c r="A2973" s="238">
        <v>619289</v>
      </c>
      <c r="B2973" s="425">
        <v>1001</v>
      </c>
      <c r="C2973" s="8">
        <v>6</v>
      </c>
      <c r="D2973" s="8">
        <v>1001</v>
      </c>
      <c r="E2973" s="238" t="s">
        <v>5431</v>
      </c>
      <c r="F2973" s="238" t="s">
        <v>5431</v>
      </c>
      <c r="G2973" s="238" t="s">
        <v>7488</v>
      </c>
      <c r="H2973" s="238" t="s">
        <v>1836</v>
      </c>
      <c r="I2973" s="238">
        <v>1</v>
      </c>
      <c r="J2973" s="238">
        <v>4</v>
      </c>
      <c r="K2973" s="254">
        <v>2</v>
      </c>
      <c r="L2973" s="238">
        <v>999</v>
      </c>
      <c r="M2973" s="238">
        <v>0</v>
      </c>
      <c r="N2973" s="8">
        <v>1017</v>
      </c>
      <c r="O2973" s="258">
        <v>100247</v>
      </c>
      <c r="P2973" s="8"/>
      <c r="Q2973" s="8"/>
      <c r="R2973" s="8"/>
      <c r="S2973" s="89">
        <v>1</v>
      </c>
      <c r="T2973" s="8">
        <v>5</v>
      </c>
      <c r="U2973" s="89">
        <v>1</v>
      </c>
      <c r="V2973" s="87">
        <v>1</v>
      </c>
      <c r="W2973" s="8">
        <v>1</v>
      </c>
      <c r="X2973" s="8">
        <v>1</v>
      </c>
      <c r="Y2973" s="238">
        <v>0</v>
      </c>
      <c r="Z2973" s="254">
        <v>0</v>
      </c>
      <c r="AA2973" s="238">
        <v>5</v>
      </c>
      <c r="AB2973" s="238">
        <v>100</v>
      </c>
      <c r="AC2973" s="87">
        <v>0</v>
      </c>
      <c r="AD2973" s="255">
        <v>0</v>
      </c>
      <c r="AE2973" s="90">
        <v>4</v>
      </c>
      <c r="AF2973" s="90">
        <v>2</v>
      </c>
      <c r="AG2973" s="91"/>
      <c r="AH2973" s="91"/>
      <c r="AI2973" s="91"/>
      <c r="AJ2973" s="91"/>
      <c r="AK2973" s="91"/>
      <c r="AL2973" s="92"/>
      <c r="AM2973" s="92"/>
      <c r="AN2973" s="93"/>
      <c r="AO2973" s="92"/>
      <c r="AP2973" s="8"/>
      <c r="AQ2973" s="8"/>
      <c r="AR2973" s="8"/>
      <c r="AS2973">
        <v>1</v>
      </c>
    </row>
    <row r="2974" spans="1:45">
      <c r="A2974" s="236">
        <v>619290</v>
      </c>
      <c r="B2974" s="236">
        <v>1001</v>
      </c>
      <c r="C2974" s="236">
        <v>1</v>
      </c>
      <c r="D2974" s="236">
        <v>1001</v>
      </c>
      <c r="E2974" s="436" t="s">
        <v>6995</v>
      </c>
      <c r="F2974" s="236" t="s">
        <v>6995</v>
      </c>
      <c r="G2974" s="236" t="s">
        <v>7489</v>
      </c>
      <c r="H2974" s="236" t="s">
        <v>6997</v>
      </c>
      <c r="I2974" s="236">
        <v>1</v>
      </c>
      <c r="J2974" s="236">
        <v>2</v>
      </c>
      <c r="K2974" s="236">
        <v>1</v>
      </c>
      <c r="L2974" s="8">
        <v>999</v>
      </c>
      <c r="M2974" s="8">
        <v>0</v>
      </c>
      <c r="N2974" s="236"/>
      <c r="O2974" s="236"/>
      <c r="P2974" s="236"/>
      <c r="Q2974" s="236"/>
      <c r="R2974" s="236"/>
      <c r="S2974" s="128">
        <v>1</v>
      </c>
      <c r="T2974" s="128">
        <v>5</v>
      </c>
      <c r="U2974" s="128">
        <v>10</v>
      </c>
      <c r="V2974" s="8">
        <v>1</v>
      </c>
      <c r="W2974" s="236">
        <v>1</v>
      </c>
      <c r="X2974" s="8">
        <v>1</v>
      </c>
      <c r="Y2974" s="8">
        <v>0</v>
      </c>
      <c r="Z2974" s="236">
        <v>0</v>
      </c>
      <c r="AA2974" s="236">
        <v>5</v>
      </c>
      <c r="AB2974" s="236">
        <v>1000</v>
      </c>
      <c r="AC2974" s="8">
        <v>0</v>
      </c>
      <c r="AD2974" s="456">
        <v>0</v>
      </c>
      <c r="AE2974" s="456">
        <v>0</v>
      </c>
      <c r="AF2974" s="456">
        <v>0</v>
      </c>
      <c r="AG2974" s="456"/>
      <c r="AH2974" s="456">
        <v>1</v>
      </c>
      <c r="AI2974" s="456"/>
      <c r="AJ2974" s="456"/>
      <c r="AK2974" s="456"/>
      <c r="AL2974" s="236">
        <v>1</v>
      </c>
      <c r="AM2974" s="236"/>
      <c r="AN2974" s="8"/>
      <c r="AO2974" s="8"/>
      <c r="AP2974" s="236"/>
      <c r="AQ2974" s="236" t="s">
        <v>6995</v>
      </c>
      <c r="AR2974" s="236"/>
      <c r="AS2974" s="3">
        <v>1</v>
      </c>
    </row>
    <row r="2975" spans="1:45">
      <c r="A2975">
        <v>619291</v>
      </c>
      <c r="B2975">
        <v>1001</v>
      </c>
      <c r="C2975">
        <v>1</v>
      </c>
      <c r="D2975">
        <v>1001</v>
      </c>
      <c r="E2975" t="s">
        <v>5640</v>
      </c>
      <c r="F2975" t="s">
        <v>5640</v>
      </c>
      <c r="G2975" t="s">
        <v>7490</v>
      </c>
      <c r="H2975" t="s">
        <v>5642</v>
      </c>
      <c r="I2975">
        <v>1</v>
      </c>
      <c r="J2975">
        <v>4</v>
      </c>
      <c r="K2975" s="33">
        <v>1</v>
      </c>
      <c r="L2975" s="8">
        <v>999</v>
      </c>
      <c r="M2975" s="8">
        <v>0</v>
      </c>
      <c r="S2975" s="89">
        <v>1</v>
      </c>
      <c r="T2975" s="8">
        <v>5</v>
      </c>
      <c r="U2975" s="89">
        <v>1</v>
      </c>
      <c r="V2975" s="87">
        <v>1</v>
      </c>
      <c r="W2975">
        <v>1</v>
      </c>
      <c r="X2975" s="8">
        <v>1</v>
      </c>
      <c r="Y2975" s="8">
        <v>0</v>
      </c>
      <c r="Z2975" s="33">
        <v>0</v>
      </c>
      <c r="AA2975">
        <v>5</v>
      </c>
      <c r="AB2975" s="34">
        <v>100</v>
      </c>
      <c r="AC2975" s="87">
        <v>900</v>
      </c>
      <c r="AD2975" s="62">
        <v>0</v>
      </c>
      <c r="AL2975" s="64">
        <v>1</v>
      </c>
      <c r="AM2975" s="4"/>
      <c r="AN2975" s="93"/>
      <c r="AO2975" s="92"/>
      <c r="AQ2975" t="s">
        <v>5643</v>
      </c>
      <c r="AR2975">
        <v>1</v>
      </c>
      <c r="AS2975">
        <v>1</v>
      </c>
    </row>
    <row r="2976" spans="1:45">
      <c r="A2976">
        <v>619292</v>
      </c>
      <c r="B2976">
        <v>1001</v>
      </c>
      <c r="C2976">
        <v>1</v>
      </c>
      <c r="D2976">
        <v>1001</v>
      </c>
      <c r="E2976" t="s">
        <v>5644</v>
      </c>
      <c r="F2976" t="s">
        <v>5644</v>
      </c>
      <c r="G2976" t="s">
        <v>7491</v>
      </c>
      <c r="H2976" t="s">
        <v>5646</v>
      </c>
      <c r="I2976">
        <v>1</v>
      </c>
      <c r="J2976">
        <v>5</v>
      </c>
      <c r="K2976" s="33">
        <v>1</v>
      </c>
      <c r="L2976" s="236">
        <v>999</v>
      </c>
      <c r="M2976" s="236">
        <v>0</v>
      </c>
      <c r="N2976" s="3"/>
      <c r="P2976" s="3"/>
      <c r="Q2976" s="3"/>
      <c r="R2976" s="3"/>
      <c r="S2976" s="336">
        <v>1</v>
      </c>
      <c r="T2976" s="236">
        <v>5</v>
      </c>
      <c r="U2976" s="336">
        <v>1</v>
      </c>
      <c r="V2976" s="248">
        <v>1</v>
      </c>
      <c r="W2976">
        <v>1</v>
      </c>
      <c r="X2976" s="236">
        <v>1</v>
      </c>
      <c r="Y2976" s="236">
        <v>0</v>
      </c>
      <c r="Z2976" s="33">
        <v>0</v>
      </c>
      <c r="AA2976">
        <v>5</v>
      </c>
      <c r="AB2976" s="34">
        <v>100</v>
      </c>
      <c r="AC2976" s="248">
        <v>900</v>
      </c>
      <c r="AD2976" s="62">
        <v>0</v>
      </c>
      <c r="AL2976" s="64">
        <v>1</v>
      </c>
      <c r="AM2976" s="4"/>
      <c r="AN2976" s="338"/>
      <c r="AO2976" s="252"/>
      <c r="AQ2976" t="s">
        <v>5643</v>
      </c>
      <c r="AR2976">
        <v>1</v>
      </c>
      <c r="AS2976">
        <v>1</v>
      </c>
    </row>
    <row r="2977" spans="1:45">
      <c r="A2977" s="238">
        <v>619293</v>
      </c>
      <c r="B2977" s="3">
        <v>1001</v>
      </c>
      <c r="C2977" s="3">
        <v>6</v>
      </c>
      <c r="D2977" s="3">
        <v>1001</v>
      </c>
      <c r="E2977" s="3" t="s">
        <v>7251</v>
      </c>
      <c r="F2977" s="3" t="s">
        <v>7492</v>
      </c>
      <c r="G2977" s="3" t="s">
        <v>7252</v>
      </c>
      <c r="H2977" s="3" t="s">
        <v>5625</v>
      </c>
      <c r="I2977" s="3">
        <v>1</v>
      </c>
      <c r="J2977" s="3">
        <v>5</v>
      </c>
      <c r="K2977" s="33">
        <v>2</v>
      </c>
      <c r="L2977" s="3">
        <v>999</v>
      </c>
      <c r="M2977" s="3">
        <v>0</v>
      </c>
      <c r="N2977" s="3">
        <v>1017</v>
      </c>
      <c r="O2977" s="2">
        <v>100247</v>
      </c>
      <c r="P2977" s="3"/>
      <c r="Q2977" s="3"/>
      <c r="R2977" s="3"/>
      <c r="S2977" s="33">
        <v>1</v>
      </c>
      <c r="T2977" s="3">
        <v>5</v>
      </c>
      <c r="U2977" s="3">
        <v>200</v>
      </c>
      <c r="V2977" s="33">
        <v>1</v>
      </c>
      <c r="W2977" s="3">
        <v>1</v>
      </c>
      <c r="X2977" s="3">
        <v>1</v>
      </c>
      <c r="Y2977" s="3">
        <v>0</v>
      </c>
      <c r="Z2977" s="33">
        <v>0</v>
      </c>
      <c r="AA2977" s="3">
        <v>5</v>
      </c>
      <c r="AB2977" s="3">
        <v>2000</v>
      </c>
      <c r="AC2977" s="3">
        <v>56</v>
      </c>
      <c r="AD2977" s="62">
        <v>0</v>
      </c>
      <c r="AE2977" s="62">
        <v>4</v>
      </c>
      <c r="AF2977" s="62">
        <v>2</v>
      </c>
      <c r="AG2977" s="337"/>
      <c r="AH2977" s="337"/>
      <c r="AI2977" s="337"/>
      <c r="AJ2977" s="337"/>
      <c r="AK2977" s="337"/>
      <c r="AL2977" s="64">
        <v>1</v>
      </c>
      <c r="AM2977" s="234"/>
      <c r="AN2977" s="476"/>
      <c r="AO2977" s="234"/>
      <c r="AP2977" s="234"/>
      <c r="AQ2977" s="3"/>
      <c r="AR2977" s="3"/>
      <c r="AS2977">
        <v>1</v>
      </c>
    </row>
    <row r="2978" spans="1:45">
      <c r="A2978" s="236">
        <v>619294</v>
      </c>
      <c r="B2978" s="3">
        <v>1001</v>
      </c>
      <c r="C2978" s="3">
        <v>6</v>
      </c>
      <c r="D2978" s="3">
        <v>1001</v>
      </c>
      <c r="E2978" s="3" t="s">
        <v>7493</v>
      </c>
      <c r="F2978" s="3" t="s">
        <v>5550</v>
      </c>
      <c r="G2978" s="3" t="s">
        <v>7494</v>
      </c>
      <c r="H2978" s="3" t="s">
        <v>1822</v>
      </c>
      <c r="I2978" s="3">
        <v>1</v>
      </c>
      <c r="J2978" s="3">
        <v>5</v>
      </c>
      <c r="K2978" s="3">
        <v>2</v>
      </c>
      <c r="L2978" s="3">
        <v>999</v>
      </c>
      <c r="M2978" s="3">
        <v>0</v>
      </c>
      <c r="N2978" s="3">
        <v>1018</v>
      </c>
      <c r="O2978" s="231" t="s">
        <v>7495</v>
      </c>
      <c r="P2978" s="3"/>
      <c r="Q2978" s="3"/>
      <c r="R2978" s="3"/>
      <c r="S2978" s="3">
        <v>1</v>
      </c>
      <c r="T2978" s="3">
        <v>5</v>
      </c>
      <c r="U2978" s="3">
        <v>100</v>
      </c>
      <c r="V2978" s="3">
        <v>1</v>
      </c>
      <c r="W2978" s="3">
        <v>1</v>
      </c>
      <c r="X2978" s="3">
        <v>1</v>
      </c>
      <c r="Y2978" s="3">
        <v>0</v>
      </c>
      <c r="Z2978" s="3">
        <v>0</v>
      </c>
      <c r="AA2978" s="3">
        <v>5</v>
      </c>
      <c r="AB2978" s="3">
        <v>2000</v>
      </c>
      <c r="AC2978" s="3">
        <v>56</v>
      </c>
      <c r="AD2978" s="153">
        <v>0</v>
      </c>
      <c r="AE2978" s="153">
        <v>5</v>
      </c>
      <c r="AF2978" s="153">
        <v>2</v>
      </c>
      <c r="AG2978" s="337"/>
      <c r="AH2978" s="337"/>
      <c r="AI2978" s="337"/>
      <c r="AJ2978" s="337"/>
      <c r="AK2978" s="337"/>
      <c r="AL2978" s="234"/>
      <c r="AM2978" s="234"/>
      <c r="AN2978" s="476"/>
      <c r="AO2978" s="234"/>
      <c r="AP2978" s="234"/>
      <c r="AQ2978" s="3"/>
      <c r="AR2978" s="3"/>
      <c r="AS2978">
        <v>1</v>
      </c>
    </row>
    <row r="2979" spans="1:45">
      <c r="A2979" s="238">
        <v>619295</v>
      </c>
      <c r="B2979" s="238">
        <v>1001</v>
      </c>
      <c r="C2979">
        <v>6</v>
      </c>
      <c r="D2979" s="238">
        <v>1001</v>
      </c>
      <c r="E2979" t="s">
        <v>7496</v>
      </c>
      <c r="F2979" t="s">
        <v>5701</v>
      </c>
      <c r="G2979" t="s">
        <v>7497</v>
      </c>
      <c r="H2979" t="s">
        <v>312</v>
      </c>
      <c r="I2979">
        <v>1</v>
      </c>
      <c r="J2979">
        <v>3</v>
      </c>
      <c r="K2979" s="33">
        <v>2</v>
      </c>
      <c r="L2979">
        <v>999</v>
      </c>
      <c r="M2979">
        <v>0</v>
      </c>
      <c r="N2979">
        <v>1017</v>
      </c>
      <c r="O2979" s="2">
        <v>90079</v>
      </c>
      <c r="S2979" s="33">
        <v>0</v>
      </c>
      <c r="T2979">
        <v>5</v>
      </c>
      <c r="U2979">
        <v>1</v>
      </c>
      <c r="V2979" s="33">
        <v>1</v>
      </c>
      <c r="W2979">
        <v>1</v>
      </c>
      <c r="X2979">
        <v>1</v>
      </c>
      <c r="Y2979">
        <v>0</v>
      </c>
      <c r="Z2979" s="33">
        <v>0</v>
      </c>
      <c r="AA2979">
        <v>5</v>
      </c>
      <c r="AB2979">
        <v>100</v>
      </c>
      <c r="AC2979">
        <v>61</v>
      </c>
      <c r="AD2979" s="62">
        <v>0</v>
      </c>
      <c r="AE2979" s="62">
        <v>4</v>
      </c>
      <c r="AF2979" s="62">
        <v>2</v>
      </c>
      <c r="AG2979" s="430"/>
      <c r="AH2979" s="430"/>
      <c r="AI2979" s="430"/>
      <c r="AJ2979" s="430"/>
      <c r="AK2979" s="430"/>
      <c r="AL2979" s="214"/>
      <c r="AM2979" s="214"/>
      <c r="AN2979" s="431"/>
      <c r="AO2979" s="214"/>
      <c r="AP2979" s="214"/>
      <c r="AS2979">
        <v>1</v>
      </c>
    </row>
    <row r="2980" spans="1:45">
      <c r="A2980" s="236">
        <v>619296</v>
      </c>
      <c r="B2980" s="8">
        <v>1001</v>
      </c>
      <c r="C2980">
        <v>6</v>
      </c>
      <c r="D2980" s="8">
        <v>1001</v>
      </c>
      <c r="E2980" t="s">
        <v>7498</v>
      </c>
      <c r="F2980" t="s">
        <v>6072</v>
      </c>
      <c r="G2980" t="s">
        <v>7499</v>
      </c>
      <c r="H2980" t="s">
        <v>1431</v>
      </c>
      <c r="I2980">
        <v>1</v>
      </c>
      <c r="J2980">
        <v>5</v>
      </c>
      <c r="K2980" s="33">
        <v>2</v>
      </c>
      <c r="L2980">
        <v>999</v>
      </c>
      <c r="M2980">
        <v>0</v>
      </c>
      <c r="N2980">
        <v>1017</v>
      </c>
      <c r="O2980" s="2">
        <v>90100</v>
      </c>
      <c r="S2980" s="33">
        <v>1</v>
      </c>
      <c r="T2980">
        <v>5</v>
      </c>
      <c r="U2980">
        <v>1</v>
      </c>
      <c r="V2980" s="33">
        <v>1</v>
      </c>
      <c r="W2980">
        <v>1</v>
      </c>
      <c r="X2980">
        <v>1</v>
      </c>
      <c r="Y2980">
        <v>0</v>
      </c>
      <c r="Z2980" s="33">
        <v>0</v>
      </c>
      <c r="AA2980">
        <v>5</v>
      </c>
      <c r="AB2980">
        <v>100</v>
      </c>
      <c r="AC2980">
        <v>55</v>
      </c>
      <c r="AD2980" s="62">
        <v>0</v>
      </c>
      <c r="AE2980" s="62">
        <v>4</v>
      </c>
      <c r="AF2980" s="62">
        <v>2</v>
      </c>
      <c r="AS2980">
        <v>1</v>
      </c>
    </row>
    <row r="2981" s="3" customFormat="1" spans="1:45">
      <c r="A2981">
        <v>619297</v>
      </c>
      <c r="B2981" s="236">
        <v>1001</v>
      </c>
      <c r="C2981">
        <v>6</v>
      </c>
      <c r="D2981" s="236">
        <v>1001</v>
      </c>
      <c r="E2981" t="s">
        <v>7500</v>
      </c>
      <c r="F2981" t="s">
        <v>6074</v>
      </c>
      <c r="G2981" t="s">
        <v>7501</v>
      </c>
      <c r="H2981" t="s">
        <v>1531</v>
      </c>
      <c r="I2981">
        <v>1</v>
      </c>
      <c r="J2981">
        <v>5</v>
      </c>
      <c r="K2981" s="33">
        <v>2</v>
      </c>
      <c r="L2981">
        <v>999</v>
      </c>
      <c r="M2981">
        <v>0</v>
      </c>
      <c r="N2981">
        <v>1017</v>
      </c>
      <c r="O2981" s="2">
        <v>90101</v>
      </c>
      <c r="S2981" s="33">
        <v>1</v>
      </c>
      <c r="T2981">
        <v>5</v>
      </c>
      <c r="U2981">
        <v>1</v>
      </c>
      <c r="V2981" s="33">
        <v>1</v>
      </c>
      <c r="W2981">
        <v>1</v>
      </c>
      <c r="X2981">
        <v>1</v>
      </c>
      <c r="Y2981">
        <v>0</v>
      </c>
      <c r="Z2981" s="33">
        <v>0</v>
      </c>
      <c r="AA2981">
        <v>5</v>
      </c>
      <c r="AB2981" s="238">
        <v>100</v>
      </c>
      <c r="AC2981">
        <v>55</v>
      </c>
      <c r="AD2981" s="62">
        <v>0</v>
      </c>
      <c r="AE2981" s="62">
        <v>4</v>
      </c>
      <c r="AF2981" s="62">
        <v>2</v>
      </c>
      <c r="AG2981" s="63"/>
      <c r="AH2981" s="63"/>
      <c r="AI2981" s="63"/>
      <c r="AJ2981" s="63"/>
      <c r="AK2981" s="63"/>
      <c r="AL2981" s="64"/>
      <c r="AM2981" s="64"/>
      <c r="AN2981" s="65"/>
      <c r="AO2981" s="64"/>
      <c r="AP2981" s="64"/>
      <c r="AS2981">
        <v>1</v>
      </c>
    </row>
    <row r="2982" spans="1:45">
      <c r="A2982" s="3">
        <v>619300</v>
      </c>
      <c r="B2982" s="3">
        <v>1001</v>
      </c>
      <c r="C2982" s="3">
        <v>6</v>
      </c>
      <c r="D2982" s="3">
        <v>1001</v>
      </c>
      <c r="E2982" s="3" t="s">
        <v>7502</v>
      </c>
      <c r="F2982" s="3" t="s">
        <v>7502</v>
      </c>
      <c r="G2982" s="3" t="s">
        <v>7503</v>
      </c>
      <c r="H2982" s="3" t="s">
        <v>1818</v>
      </c>
      <c r="I2982" s="3">
        <v>1</v>
      </c>
      <c r="J2982" s="3">
        <v>5</v>
      </c>
      <c r="K2982" s="33">
        <v>2</v>
      </c>
      <c r="L2982" s="3">
        <v>999</v>
      </c>
      <c r="M2982" s="3">
        <v>0</v>
      </c>
      <c r="N2982" s="3">
        <v>1017</v>
      </c>
      <c r="O2982" s="470">
        <v>220027</v>
      </c>
      <c r="P2982" s="3"/>
      <c r="Q2982" s="3"/>
      <c r="R2982" s="3"/>
      <c r="S2982" s="33">
        <v>1</v>
      </c>
      <c r="T2982" s="3">
        <v>5</v>
      </c>
      <c r="U2982" s="3">
        <v>100</v>
      </c>
      <c r="V2982" s="33">
        <v>1</v>
      </c>
      <c r="W2982" s="3">
        <v>1</v>
      </c>
      <c r="X2982" s="3">
        <v>1</v>
      </c>
      <c r="Y2982" s="3">
        <v>0</v>
      </c>
      <c r="Z2982" s="33">
        <v>0</v>
      </c>
      <c r="AA2982" s="3">
        <v>5</v>
      </c>
      <c r="AB2982" s="395">
        <v>1000</v>
      </c>
      <c r="AC2982" s="3">
        <v>110</v>
      </c>
      <c r="AD2982" s="62">
        <v>0</v>
      </c>
      <c r="AE2982" s="62">
        <v>4</v>
      </c>
      <c r="AF2982" s="62">
        <v>2</v>
      </c>
      <c r="AH2982" s="63">
        <v>1</v>
      </c>
      <c r="AL2982" s="64">
        <v>1</v>
      </c>
      <c r="AQ2982" s="3"/>
      <c r="AR2982" s="3"/>
      <c r="AS2982" s="3">
        <v>1</v>
      </c>
    </row>
    <row r="2983" spans="1:45">
      <c r="A2983">
        <v>619301</v>
      </c>
      <c r="B2983" s="3">
        <v>1001</v>
      </c>
      <c r="C2983" s="3">
        <v>6</v>
      </c>
      <c r="D2983" s="3">
        <v>1001</v>
      </c>
      <c r="E2983" s="3" t="s">
        <v>7504</v>
      </c>
      <c r="F2983" s="3" t="s">
        <v>5550</v>
      </c>
      <c r="G2983" s="3" t="s">
        <v>7505</v>
      </c>
      <c r="H2983" s="3" t="s">
        <v>1822</v>
      </c>
      <c r="I2983" s="3">
        <v>1</v>
      </c>
      <c r="J2983" s="3">
        <v>5</v>
      </c>
      <c r="K2983" s="3">
        <v>2</v>
      </c>
      <c r="L2983" s="3">
        <v>999</v>
      </c>
      <c r="M2983" s="3">
        <v>0</v>
      </c>
      <c r="N2983" s="3">
        <v>1018</v>
      </c>
      <c r="O2983" s="231" t="s">
        <v>7506</v>
      </c>
      <c r="P2983" s="3"/>
      <c r="Q2983" s="3"/>
      <c r="R2983" s="3"/>
      <c r="S2983" s="3">
        <v>1</v>
      </c>
      <c r="T2983" s="3">
        <v>5</v>
      </c>
      <c r="U2983" s="3">
        <v>100</v>
      </c>
      <c r="V2983" s="3">
        <v>1</v>
      </c>
      <c r="W2983" s="3">
        <v>1</v>
      </c>
      <c r="X2983" s="3">
        <v>1</v>
      </c>
      <c r="Y2983" s="3">
        <v>0</v>
      </c>
      <c r="Z2983" s="3">
        <v>0</v>
      </c>
      <c r="AA2983" s="3">
        <v>5</v>
      </c>
      <c r="AB2983" s="3">
        <v>2000</v>
      </c>
      <c r="AC2983" s="3">
        <v>56</v>
      </c>
      <c r="AD2983" s="153">
        <v>0</v>
      </c>
      <c r="AE2983" s="153">
        <v>5</v>
      </c>
      <c r="AF2983" s="153">
        <v>2</v>
      </c>
      <c r="AG2983" s="337"/>
      <c r="AH2983" s="337"/>
      <c r="AI2983" s="337"/>
      <c r="AJ2983" s="337"/>
      <c r="AK2983" s="337"/>
      <c r="AL2983" s="234"/>
      <c r="AM2983" s="234"/>
      <c r="AN2983" s="476"/>
      <c r="AO2983" s="234"/>
      <c r="AP2983" s="234"/>
      <c r="AQ2983" s="3"/>
      <c r="AR2983" s="3"/>
      <c r="AS2983">
        <v>1</v>
      </c>
    </row>
    <row r="2984" spans="1:45">
      <c r="A2984">
        <v>619302</v>
      </c>
      <c r="B2984" s="3">
        <v>1001</v>
      </c>
      <c r="C2984" s="3">
        <v>6</v>
      </c>
      <c r="D2984" s="3">
        <v>1001</v>
      </c>
      <c r="E2984" s="3" t="s">
        <v>7507</v>
      </c>
      <c r="F2984" s="3" t="s">
        <v>7507</v>
      </c>
      <c r="G2984" s="3" t="s">
        <v>7508</v>
      </c>
      <c r="H2984" s="3" t="s">
        <v>1822</v>
      </c>
      <c r="I2984" s="3">
        <v>1</v>
      </c>
      <c r="J2984" s="3">
        <v>5</v>
      </c>
      <c r="K2984" s="3">
        <v>2</v>
      </c>
      <c r="L2984" s="3">
        <v>999</v>
      </c>
      <c r="M2984" s="3">
        <v>0</v>
      </c>
      <c r="N2984" s="3">
        <v>1018</v>
      </c>
      <c r="O2984" s="231" t="s">
        <v>7509</v>
      </c>
      <c r="P2984" s="3"/>
      <c r="Q2984" s="3"/>
      <c r="R2984" s="3"/>
      <c r="S2984" s="3">
        <v>1</v>
      </c>
      <c r="T2984" s="3">
        <v>5</v>
      </c>
      <c r="U2984" s="3">
        <v>100</v>
      </c>
      <c r="V2984" s="3">
        <v>1</v>
      </c>
      <c r="W2984" s="3">
        <v>1</v>
      </c>
      <c r="X2984" s="3">
        <v>1</v>
      </c>
      <c r="Y2984" s="3">
        <v>0</v>
      </c>
      <c r="Z2984" s="3">
        <v>0</v>
      </c>
      <c r="AA2984" s="3">
        <v>5</v>
      </c>
      <c r="AB2984" s="3">
        <v>2000</v>
      </c>
      <c r="AC2984" s="3">
        <v>56</v>
      </c>
      <c r="AD2984" s="153">
        <v>0</v>
      </c>
      <c r="AE2984" s="153">
        <v>5</v>
      </c>
      <c r="AF2984" s="153">
        <v>2</v>
      </c>
      <c r="AG2984" s="337"/>
      <c r="AH2984" s="337"/>
      <c r="AI2984" s="337"/>
      <c r="AJ2984" s="337"/>
      <c r="AK2984" s="337"/>
      <c r="AL2984" s="234"/>
      <c r="AM2984" s="234"/>
      <c r="AN2984" s="476"/>
      <c r="AO2984" s="234"/>
      <c r="AP2984" s="234"/>
      <c r="AQ2984" s="3"/>
      <c r="AR2984" s="3"/>
      <c r="AS2984">
        <v>1</v>
      </c>
    </row>
    <row r="2985" spans="1:45">
      <c r="A2985">
        <v>619303</v>
      </c>
      <c r="B2985" s="3">
        <v>1001</v>
      </c>
      <c r="C2985" s="3">
        <v>6</v>
      </c>
      <c r="D2985" s="3">
        <v>1001</v>
      </c>
      <c r="E2985" s="3" t="s">
        <v>7510</v>
      </c>
      <c r="F2985" s="3" t="s">
        <v>7510</v>
      </c>
      <c r="G2985" s="3" t="s">
        <v>7511</v>
      </c>
      <c r="H2985" s="3" t="s">
        <v>1822</v>
      </c>
      <c r="I2985" s="3">
        <v>1</v>
      </c>
      <c r="J2985" s="3">
        <v>5</v>
      </c>
      <c r="K2985" s="3">
        <v>2</v>
      </c>
      <c r="L2985" s="339">
        <v>999</v>
      </c>
      <c r="M2985" s="339">
        <v>0</v>
      </c>
      <c r="N2985" s="3">
        <v>1018</v>
      </c>
      <c r="O2985" s="231" t="s">
        <v>7512</v>
      </c>
      <c r="P2985" s="3"/>
      <c r="Q2985" s="3"/>
      <c r="R2985" s="3"/>
      <c r="S2985" s="339">
        <v>1</v>
      </c>
      <c r="T2985" s="339">
        <v>5</v>
      </c>
      <c r="U2985" s="339">
        <v>100</v>
      </c>
      <c r="V2985" s="339">
        <v>1</v>
      </c>
      <c r="W2985" s="3">
        <v>1</v>
      </c>
      <c r="X2985" s="339">
        <v>1</v>
      </c>
      <c r="Y2985" s="339">
        <v>0</v>
      </c>
      <c r="Z2985" s="3">
        <v>0</v>
      </c>
      <c r="AA2985" s="3">
        <v>5</v>
      </c>
      <c r="AB2985" s="3">
        <v>2000</v>
      </c>
      <c r="AC2985" s="339">
        <v>56</v>
      </c>
      <c r="AD2985" s="153">
        <v>0</v>
      </c>
      <c r="AE2985" s="153">
        <v>5</v>
      </c>
      <c r="AF2985" s="153">
        <v>2</v>
      </c>
      <c r="AG2985" s="337"/>
      <c r="AH2985" s="337"/>
      <c r="AI2985" s="337"/>
      <c r="AJ2985" s="337"/>
      <c r="AK2985" s="337"/>
      <c r="AL2985" s="234"/>
      <c r="AM2985" s="234"/>
      <c r="AN2985" s="479"/>
      <c r="AO2985" s="341"/>
      <c r="AP2985" s="234"/>
      <c r="AQ2985" s="3"/>
      <c r="AR2985" s="3"/>
      <c r="AS2985">
        <v>1</v>
      </c>
    </row>
    <row r="2986" spans="1:45">
      <c r="A2986">
        <v>619304</v>
      </c>
      <c r="B2986" s="238">
        <v>1001</v>
      </c>
      <c r="C2986">
        <v>1</v>
      </c>
      <c r="D2986" s="238">
        <v>1001</v>
      </c>
      <c r="E2986" t="s">
        <v>7513</v>
      </c>
      <c r="F2986" t="s">
        <v>7513</v>
      </c>
      <c r="G2986" t="s">
        <v>7514</v>
      </c>
      <c r="H2986" t="s">
        <v>4234</v>
      </c>
      <c r="I2986">
        <v>1</v>
      </c>
      <c r="J2986">
        <v>5</v>
      </c>
      <c r="K2986" s="33">
        <v>1</v>
      </c>
      <c r="L2986" s="236">
        <v>999</v>
      </c>
      <c r="M2986" s="236">
        <v>0</v>
      </c>
      <c r="N2986"/>
      <c r="R2986" s="8"/>
      <c r="S2986" s="336">
        <v>1</v>
      </c>
      <c r="T2986" s="236">
        <v>5</v>
      </c>
      <c r="U2986" s="336">
        <v>1</v>
      </c>
      <c r="V2986" s="248">
        <v>1</v>
      </c>
      <c r="W2986">
        <v>1</v>
      </c>
      <c r="X2986" s="8">
        <v>1</v>
      </c>
      <c r="Y2986" s="236">
        <v>0</v>
      </c>
      <c r="Z2986" s="33">
        <v>0</v>
      </c>
      <c r="AA2986">
        <v>5</v>
      </c>
      <c r="AB2986" s="34">
        <v>100</v>
      </c>
      <c r="AC2986" s="248">
        <v>900</v>
      </c>
      <c r="AD2986" s="62">
        <v>0</v>
      </c>
      <c r="AE2986" s="62">
        <v>4</v>
      </c>
      <c r="AF2986" s="62">
        <v>2</v>
      </c>
      <c r="AG2986" s="214"/>
      <c r="AH2986" s="214"/>
      <c r="AI2986" s="214"/>
      <c r="AJ2986" s="214"/>
      <c r="AK2986" s="214"/>
      <c r="AL2986" s="64">
        <v>1</v>
      </c>
      <c r="AM2986" s="4"/>
      <c r="AN2986" s="338"/>
      <c r="AO2986" s="252"/>
      <c r="AP2986" s="214"/>
      <c r="AQ2986" t="s">
        <v>7515</v>
      </c>
      <c r="AR2986">
        <v>1</v>
      </c>
      <c r="AS2986">
        <v>1</v>
      </c>
    </row>
    <row r="2987" spans="1:45">
      <c r="A2987">
        <v>619305</v>
      </c>
      <c r="B2987" s="236">
        <v>1001</v>
      </c>
      <c r="C2987">
        <v>6</v>
      </c>
      <c r="D2987" s="236">
        <v>1001</v>
      </c>
      <c r="E2987" t="s">
        <v>7516</v>
      </c>
      <c r="F2987" t="s">
        <v>7516</v>
      </c>
      <c r="G2987" t="s">
        <v>7517</v>
      </c>
      <c r="H2987" t="s">
        <v>1760</v>
      </c>
      <c r="I2987">
        <v>1</v>
      </c>
      <c r="J2987">
        <v>5</v>
      </c>
      <c r="K2987" s="33">
        <v>2</v>
      </c>
      <c r="L2987">
        <v>999</v>
      </c>
      <c r="M2987">
        <v>0</v>
      </c>
      <c r="N2987">
        <v>1017</v>
      </c>
      <c r="O2987" s="2">
        <v>101001</v>
      </c>
      <c r="R2987" s="236"/>
      <c r="S2987" s="33">
        <v>1</v>
      </c>
      <c r="T2987">
        <v>5</v>
      </c>
      <c r="U2987">
        <v>200</v>
      </c>
      <c r="V2987" s="33">
        <v>1</v>
      </c>
      <c r="W2987">
        <v>1</v>
      </c>
      <c r="X2987" s="236">
        <v>1</v>
      </c>
      <c r="Y2987">
        <v>0</v>
      </c>
      <c r="Z2987" s="33">
        <v>0</v>
      </c>
      <c r="AA2987">
        <v>5</v>
      </c>
      <c r="AB2987">
        <v>1000</v>
      </c>
      <c r="AC2987">
        <v>50</v>
      </c>
      <c r="AD2987" s="62">
        <v>0</v>
      </c>
      <c r="AE2987" s="62">
        <v>4</v>
      </c>
      <c r="AF2987" s="62">
        <v>2</v>
      </c>
      <c r="AG2987" s="214"/>
      <c r="AH2987" s="214"/>
      <c r="AI2987" s="214"/>
      <c r="AJ2987" s="214"/>
      <c r="AK2987" s="214"/>
      <c r="AL2987" s="214"/>
      <c r="AM2987" s="214"/>
      <c r="AN2987" s="431"/>
      <c r="AO2987" s="214"/>
      <c r="AP2987" s="214"/>
      <c r="AS2987">
        <v>1</v>
      </c>
    </row>
    <row r="2988" spans="1:45">
      <c r="A2988">
        <v>619306</v>
      </c>
      <c r="B2988">
        <v>1001</v>
      </c>
      <c r="C2988">
        <v>6</v>
      </c>
      <c r="D2988">
        <v>1001</v>
      </c>
      <c r="E2988" t="s">
        <v>7518</v>
      </c>
      <c r="F2988" t="s">
        <v>7518</v>
      </c>
      <c r="G2988" t="s">
        <v>7519</v>
      </c>
      <c r="H2988" t="s">
        <v>4202</v>
      </c>
      <c r="I2988">
        <v>1</v>
      </c>
      <c r="J2988">
        <v>4</v>
      </c>
      <c r="K2988" s="33">
        <v>2</v>
      </c>
      <c r="L2988" s="238">
        <v>999</v>
      </c>
      <c r="M2988" s="238">
        <v>0</v>
      </c>
      <c r="N2988">
        <v>1018</v>
      </c>
      <c r="O2988" s="2" t="s">
        <v>7520</v>
      </c>
      <c r="R2988">
        <v>1</v>
      </c>
      <c r="S2988" s="254">
        <v>1</v>
      </c>
      <c r="T2988" s="238">
        <v>5</v>
      </c>
      <c r="U2988" s="238">
        <v>100</v>
      </c>
      <c r="V2988" s="254">
        <v>1</v>
      </c>
      <c r="W2988">
        <v>1</v>
      </c>
      <c r="X2988" s="238">
        <v>1</v>
      </c>
      <c r="Y2988" s="238">
        <v>0</v>
      </c>
      <c r="Z2988" s="33">
        <v>0</v>
      </c>
      <c r="AA2988">
        <v>5</v>
      </c>
      <c r="AB2988">
        <v>2000</v>
      </c>
      <c r="AC2988" s="238">
        <v>57</v>
      </c>
      <c r="AD2988" s="62">
        <v>0</v>
      </c>
      <c r="AE2988" s="62">
        <v>5</v>
      </c>
      <c r="AF2988" s="62">
        <v>2</v>
      </c>
      <c r="AG2988" s="430"/>
      <c r="AH2988" s="430"/>
      <c r="AI2988" s="430"/>
      <c r="AJ2988" s="430"/>
      <c r="AK2988" s="430"/>
      <c r="AL2988" s="214"/>
      <c r="AM2988" s="64">
        <v>9</v>
      </c>
      <c r="AN2988" s="162"/>
      <c r="AO2988" s="161"/>
      <c r="AP2988" s="214"/>
      <c r="AQ2988"/>
      <c r="AR2988"/>
      <c r="AS2988">
        <v>1</v>
      </c>
    </row>
    <row r="2989" spans="1:45">
      <c r="A2989">
        <v>619307</v>
      </c>
      <c r="B2989">
        <v>1001</v>
      </c>
      <c r="C2989">
        <v>1</v>
      </c>
      <c r="D2989">
        <v>1001</v>
      </c>
      <c r="E2989" t="s">
        <v>7521</v>
      </c>
      <c r="F2989" t="s">
        <v>7521</v>
      </c>
      <c r="G2989" t="s">
        <v>7522</v>
      </c>
      <c r="H2989" t="s">
        <v>3155</v>
      </c>
      <c r="I2989">
        <v>1</v>
      </c>
      <c r="J2989">
        <v>3</v>
      </c>
      <c r="K2989" s="33">
        <v>1</v>
      </c>
      <c r="L2989" s="8">
        <v>999</v>
      </c>
      <c r="M2989" s="8">
        <v>0</v>
      </c>
      <c r="S2989" s="8">
        <v>1</v>
      </c>
      <c r="T2989" s="8">
        <v>5</v>
      </c>
      <c r="U2989" s="8">
        <v>1</v>
      </c>
      <c r="V2989" s="8">
        <v>1</v>
      </c>
      <c r="W2989">
        <v>1</v>
      </c>
      <c r="X2989" s="8">
        <v>1</v>
      </c>
      <c r="Y2989" s="8">
        <v>0</v>
      </c>
      <c r="Z2989" s="33">
        <v>0</v>
      </c>
      <c r="AA2989">
        <v>5</v>
      </c>
      <c r="AB2989">
        <v>100</v>
      </c>
      <c r="AC2989" s="8">
        <v>900</v>
      </c>
      <c r="AD2989" s="12">
        <v>0</v>
      </c>
      <c r="AE2989" s="12">
        <v>4</v>
      </c>
      <c r="AF2989" s="12">
        <v>2</v>
      </c>
      <c r="AG2989" s="430"/>
      <c r="AH2989" s="430"/>
      <c r="AI2989" s="430"/>
      <c r="AJ2989" s="430"/>
      <c r="AK2989" s="430"/>
      <c r="AL2989" s="214">
        <v>1</v>
      </c>
      <c r="AM2989" s="4"/>
      <c r="AN2989" s="162"/>
      <c r="AO2989" s="161"/>
      <c r="AP2989" s="214"/>
      <c r="AQ2989" t="s">
        <v>7521</v>
      </c>
      <c r="AR2989">
        <v>1</v>
      </c>
      <c r="AS2989">
        <v>1</v>
      </c>
    </row>
    <row r="2990" spans="1:45">
      <c r="A2990">
        <v>619308</v>
      </c>
      <c r="B2990">
        <v>1001</v>
      </c>
      <c r="C2990">
        <v>1</v>
      </c>
      <c r="D2990">
        <v>1001</v>
      </c>
      <c r="E2990" t="s">
        <v>7523</v>
      </c>
      <c r="F2990" t="s">
        <v>7523</v>
      </c>
      <c r="G2990" t="s">
        <v>7522</v>
      </c>
      <c r="H2990" t="s">
        <v>7524</v>
      </c>
      <c r="I2990">
        <v>1</v>
      </c>
      <c r="J2990">
        <v>4</v>
      </c>
      <c r="K2990" s="33">
        <v>1</v>
      </c>
      <c r="L2990" s="8">
        <v>999</v>
      </c>
      <c r="M2990" s="8">
        <v>0</v>
      </c>
      <c r="N2990"/>
      <c r="S2990" s="8">
        <v>1</v>
      </c>
      <c r="T2990" s="8">
        <v>5</v>
      </c>
      <c r="U2990" s="8">
        <v>1</v>
      </c>
      <c r="V2990" s="8">
        <v>1</v>
      </c>
      <c r="W2990">
        <v>1</v>
      </c>
      <c r="X2990" s="8">
        <v>1</v>
      </c>
      <c r="Y2990" s="8">
        <v>0</v>
      </c>
      <c r="Z2990" s="33">
        <v>0</v>
      </c>
      <c r="AA2990">
        <v>5</v>
      </c>
      <c r="AB2990">
        <v>100</v>
      </c>
      <c r="AC2990" s="8">
        <v>900</v>
      </c>
      <c r="AD2990" s="12">
        <v>0</v>
      </c>
      <c r="AE2990" s="12">
        <v>4</v>
      </c>
      <c r="AF2990" s="12">
        <v>2</v>
      </c>
      <c r="AG2990" s="430"/>
      <c r="AH2990" s="430"/>
      <c r="AI2990" s="430"/>
      <c r="AJ2990" s="430"/>
      <c r="AK2990" s="430"/>
      <c r="AL2990" s="214">
        <v>1</v>
      </c>
      <c r="AM2990" s="4"/>
      <c r="AN2990" s="162"/>
      <c r="AO2990" s="161"/>
      <c r="AP2990" s="214"/>
      <c r="AQ2990" t="s">
        <v>7523</v>
      </c>
      <c r="AR2990">
        <v>1</v>
      </c>
      <c r="AS2990">
        <v>1</v>
      </c>
    </row>
    <row r="2991" ht="16.5" customHeight="1" spans="1:45">
      <c r="A2991">
        <v>619309</v>
      </c>
      <c r="B2991">
        <v>1001</v>
      </c>
      <c r="C2991">
        <v>6</v>
      </c>
      <c r="D2991">
        <v>1001</v>
      </c>
      <c r="E2991" t="s">
        <v>7525</v>
      </c>
      <c r="F2991" t="s">
        <v>7525</v>
      </c>
      <c r="G2991" t="s">
        <v>7517</v>
      </c>
      <c r="H2991" t="s">
        <v>5923</v>
      </c>
      <c r="I2991">
        <v>1</v>
      </c>
      <c r="J2991">
        <v>5</v>
      </c>
      <c r="K2991" s="33">
        <v>2</v>
      </c>
      <c r="L2991" s="236">
        <v>999</v>
      </c>
      <c r="M2991" s="236">
        <v>0</v>
      </c>
      <c r="N2991">
        <v>1017</v>
      </c>
      <c r="O2991" s="2">
        <v>100250</v>
      </c>
      <c r="S2991" s="236">
        <v>1</v>
      </c>
      <c r="T2991" s="236">
        <v>5</v>
      </c>
      <c r="U2991" s="236">
        <v>200</v>
      </c>
      <c r="V2991" s="236">
        <v>1</v>
      </c>
      <c r="W2991">
        <v>1</v>
      </c>
      <c r="X2991" s="236">
        <v>1</v>
      </c>
      <c r="Y2991" s="236">
        <v>0</v>
      </c>
      <c r="Z2991" s="33">
        <v>0</v>
      </c>
      <c r="AA2991">
        <v>5</v>
      </c>
      <c r="AB2991">
        <v>1000</v>
      </c>
      <c r="AC2991" s="236">
        <v>50</v>
      </c>
      <c r="AD2991" s="12">
        <v>0</v>
      </c>
      <c r="AE2991" s="12">
        <v>4</v>
      </c>
      <c r="AF2991" s="12">
        <v>2</v>
      </c>
      <c r="AG2991" s="430"/>
      <c r="AH2991" s="430"/>
      <c r="AI2991" s="430"/>
      <c r="AJ2991" s="430"/>
      <c r="AK2991" s="430"/>
      <c r="AL2991" s="214"/>
      <c r="AM2991" s="4"/>
      <c r="AN2991" s="481"/>
      <c r="AO2991" s="482"/>
      <c r="AP2991" s="214"/>
      <c r="AS2991">
        <v>1</v>
      </c>
    </row>
    <row r="2992" ht="16.5" customHeight="1" spans="1:45">
      <c r="A2992">
        <v>619310</v>
      </c>
      <c r="B2992">
        <v>1001</v>
      </c>
      <c r="C2992">
        <v>6</v>
      </c>
      <c r="D2992">
        <v>1001</v>
      </c>
      <c r="E2992" t="s">
        <v>7526</v>
      </c>
      <c r="F2992" t="s">
        <v>7526</v>
      </c>
      <c r="G2992" s="483" t="s">
        <v>7527</v>
      </c>
      <c r="H2992" t="s">
        <v>1757</v>
      </c>
      <c r="I2992">
        <v>1</v>
      </c>
      <c r="J2992">
        <v>5</v>
      </c>
      <c r="K2992" s="33">
        <v>2</v>
      </c>
      <c r="L2992">
        <v>999</v>
      </c>
      <c r="M2992">
        <v>0</v>
      </c>
      <c r="N2992">
        <v>1018</v>
      </c>
      <c r="O2992" s="2" t="s">
        <v>7528</v>
      </c>
      <c r="S2992" s="33">
        <v>1</v>
      </c>
      <c r="T2992">
        <v>5</v>
      </c>
      <c r="U2992">
        <v>100</v>
      </c>
      <c r="V2992" s="33">
        <v>1</v>
      </c>
      <c r="W2992">
        <v>1</v>
      </c>
      <c r="X2992">
        <v>1</v>
      </c>
      <c r="Y2992">
        <v>0</v>
      </c>
      <c r="Z2992" s="33">
        <v>0</v>
      </c>
      <c r="AA2992">
        <v>5</v>
      </c>
      <c r="AB2992">
        <v>2000</v>
      </c>
      <c r="AC2992">
        <v>56</v>
      </c>
      <c r="AD2992" s="12">
        <v>0</v>
      </c>
      <c r="AE2992" s="12">
        <v>5</v>
      </c>
      <c r="AF2992" s="12">
        <v>2</v>
      </c>
      <c r="AG2992" s="430"/>
      <c r="AH2992" s="430"/>
      <c r="AI2992" s="430"/>
      <c r="AJ2992" s="430"/>
      <c r="AK2992" s="430"/>
      <c r="AL2992" s="214"/>
      <c r="AM2992" s="214"/>
      <c r="AN2992" s="431"/>
      <c r="AO2992" s="214"/>
      <c r="AP2992" s="214"/>
      <c r="AS2992">
        <v>1</v>
      </c>
    </row>
    <row r="2993" ht="16.5" customHeight="1" spans="1:45">
      <c r="A2993">
        <v>619311</v>
      </c>
      <c r="B2993">
        <v>1001</v>
      </c>
      <c r="C2993">
        <v>6</v>
      </c>
      <c r="D2993">
        <v>1001</v>
      </c>
      <c r="E2993" t="s">
        <v>7529</v>
      </c>
      <c r="F2993" t="s">
        <v>7529</v>
      </c>
      <c r="G2993" s="483" t="s">
        <v>7530</v>
      </c>
      <c r="H2993" t="s">
        <v>7531</v>
      </c>
      <c r="I2993">
        <v>1</v>
      </c>
      <c r="J2993">
        <v>6</v>
      </c>
      <c r="K2993" s="33">
        <v>2</v>
      </c>
      <c r="L2993">
        <v>999</v>
      </c>
      <c r="M2993">
        <v>0</v>
      </c>
      <c r="N2993">
        <v>1018</v>
      </c>
      <c r="O2993" s="2" t="s">
        <v>7532</v>
      </c>
      <c r="S2993" s="33">
        <v>1</v>
      </c>
      <c r="T2993">
        <v>5</v>
      </c>
      <c r="U2993">
        <v>100</v>
      </c>
      <c r="V2993" s="33">
        <v>1</v>
      </c>
      <c r="W2993">
        <v>1</v>
      </c>
      <c r="X2993">
        <v>1</v>
      </c>
      <c r="Y2993">
        <v>0</v>
      </c>
      <c r="Z2993" s="33">
        <v>0</v>
      </c>
      <c r="AA2993">
        <v>5</v>
      </c>
      <c r="AB2993">
        <v>2000</v>
      </c>
      <c r="AC2993">
        <v>56</v>
      </c>
      <c r="AD2993" s="432">
        <v>0</v>
      </c>
      <c r="AE2993" s="432">
        <v>5</v>
      </c>
      <c r="AF2993" s="432">
        <v>2</v>
      </c>
      <c r="AG2993" s="430"/>
      <c r="AH2993" s="430"/>
      <c r="AI2993" s="430"/>
      <c r="AJ2993" s="430"/>
      <c r="AK2993" s="430"/>
      <c r="AL2993" s="214"/>
      <c r="AM2993" s="214"/>
      <c r="AN2993" s="431"/>
      <c r="AO2993" s="214"/>
      <c r="AP2993" s="214"/>
      <c r="AS2993">
        <v>1</v>
      </c>
    </row>
    <row r="2994" spans="1:45">
      <c r="A2994">
        <v>650000</v>
      </c>
      <c r="B2994">
        <v>1001</v>
      </c>
      <c r="C2994">
        <v>24</v>
      </c>
      <c r="D2994">
        <v>1001</v>
      </c>
      <c r="E2994" t="s">
        <v>7533</v>
      </c>
      <c r="F2994" t="s">
        <v>7533</v>
      </c>
      <c r="G2994" t="s">
        <v>7534</v>
      </c>
      <c r="H2994" t="s">
        <v>2354</v>
      </c>
      <c r="I2994">
        <v>1</v>
      </c>
      <c r="J2994">
        <v>1</v>
      </c>
      <c r="K2994" s="33">
        <v>1</v>
      </c>
      <c r="L2994">
        <v>9999</v>
      </c>
      <c r="M2994">
        <v>0</v>
      </c>
      <c r="S2994" s="33">
        <v>0</v>
      </c>
      <c r="T2994">
        <v>5</v>
      </c>
      <c r="U2994">
        <v>1</v>
      </c>
      <c r="V2994" s="33">
        <v>1</v>
      </c>
      <c r="W2994">
        <v>1</v>
      </c>
      <c r="X2994">
        <v>1</v>
      </c>
      <c r="Y2994">
        <v>0</v>
      </c>
      <c r="Z2994" s="33">
        <v>0</v>
      </c>
      <c r="AA2994">
        <v>5</v>
      </c>
      <c r="AB2994">
        <v>100</v>
      </c>
      <c r="AC2994">
        <v>70</v>
      </c>
      <c r="AD2994" s="8">
        <v>0</v>
      </c>
      <c r="AE2994" s="8">
        <v>0</v>
      </c>
      <c r="AF2994" s="8">
        <v>0</v>
      </c>
      <c r="AS2994">
        <v>1</v>
      </c>
    </row>
    <row r="2995" spans="1:45">
      <c r="A2995">
        <v>650001</v>
      </c>
      <c r="B2995">
        <v>1001</v>
      </c>
      <c r="C2995">
        <v>24</v>
      </c>
      <c r="D2995">
        <v>1001</v>
      </c>
      <c r="E2995" t="s">
        <v>7535</v>
      </c>
      <c r="F2995" t="s">
        <v>7535</v>
      </c>
      <c r="G2995" t="s">
        <v>7536</v>
      </c>
      <c r="H2995" t="s">
        <v>2356</v>
      </c>
      <c r="I2995">
        <v>1</v>
      </c>
      <c r="J2995">
        <v>1</v>
      </c>
      <c r="K2995" s="33">
        <v>1</v>
      </c>
      <c r="L2995">
        <v>999</v>
      </c>
      <c r="M2995">
        <v>0</v>
      </c>
      <c r="S2995" s="33">
        <v>0</v>
      </c>
      <c r="T2995">
        <v>5</v>
      </c>
      <c r="U2995">
        <v>1</v>
      </c>
      <c r="V2995" s="33">
        <v>1</v>
      </c>
      <c r="W2995">
        <v>1</v>
      </c>
      <c r="X2995">
        <v>1</v>
      </c>
      <c r="Y2995">
        <v>0</v>
      </c>
      <c r="Z2995" s="33">
        <v>0</v>
      </c>
      <c r="AA2995">
        <v>5</v>
      </c>
      <c r="AB2995">
        <v>100</v>
      </c>
      <c r="AC2995">
        <v>70</v>
      </c>
      <c r="AD2995" s="8">
        <v>0</v>
      </c>
      <c r="AE2995" s="8">
        <v>0</v>
      </c>
      <c r="AF2995" s="8">
        <v>0</v>
      </c>
      <c r="AS2995">
        <v>1</v>
      </c>
    </row>
    <row r="2996" spans="1:45">
      <c r="A2996">
        <v>650002</v>
      </c>
      <c r="B2996">
        <v>1001</v>
      </c>
      <c r="C2996">
        <v>24</v>
      </c>
      <c r="D2996">
        <v>1001</v>
      </c>
      <c r="E2996" t="s">
        <v>7537</v>
      </c>
      <c r="F2996" t="s">
        <v>7537</v>
      </c>
      <c r="G2996" t="s">
        <v>7538</v>
      </c>
      <c r="H2996" t="s">
        <v>2358</v>
      </c>
      <c r="I2996">
        <v>1</v>
      </c>
      <c r="J2996">
        <v>1</v>
      </c>
      <c r="K2996" s="33">
        <v>1</v>
      </c>
      <c r="L2996">
        <v>999</v>
      </c>
      <c r="M2996">
        <v>0</v>
      </c>
      <c r="S2996" s="33">
        <v>0</v>
      </c>
      <c r="T2996">
        <v>5</v>
      </c>
      <c r="U2996">
        <v>1</v>
      </c>
      <c r="V2996" s="33">
        <v>1</v>
      </c>
      <c r="W2996">
        <v>1</v>
      </c>
      <c r="X2996">
        <v>1</v>
      </c>
      <c r="Y2996">
        <v>0</v>
      </c>
      <c r="Z2996" s="33">
        <v>0</v>
      </c>
      <c r="AA2996">
        <v>5</v>
      </c>
      <c r="AB2996">
        <v>100</v>
      </c>
      <c r="AC2996">
        <v>70</v>
      </c>
      <c r="AD2996" s="8">
        <v>0</v>
      </c>
      <c r="AE2996" s="8">
        <v>0</v>
      </c>
      <c r="AF2996" s="8">
        <v>0</v>
      </c>
      <c r="AS2996">
        <v>1</v>
      </c>
    </row>
    <row r="2997" spans="1:45">
      <c r="A2997">
        <v>650003</v>
      </c>
      <c r="B2997">
        <v>1001</v>
      </c>
      <c r="C2997">
        <v>24</v>
      </c>
      <c r="D2997">
        <v>1001</v>
      </c>
      <c r="E2997" t="s">
        <v>7539</v>
      </c>
      <c r="F2997" t="s">
        <v>7539</v>
      </c>
      <c r="G2997" t="s">
        <v>7540</v>
      </c>
      <c r="H2997" t="s">
        <v>2177</v>
      </c>
      <c r="I2997">
        <v>1</v>
      </c>
      <c r="J2997">
        <v>1</v>
      </c>
      <c r="K2997" s="33">
        <v>1</v>
      </c>
      <c r="L2997">
        <v>999</v>
      </c>
      <c r="M2997">
        <v>0</v>
      </c>
      <c r="S2997" s="33">
        <v>0</v>
      </c>
      <c r="T2997">
        <v>5</v>
      </c>
      <c r="U2997">
        <v>1</v>
      </c>
      <c r="V2997" s="33">
        <v>1</v>
      </c>
      <c r="W2997">
        <v>1</v>
      </c>
      <c r="X2997">
        <v>1</v>
      </c>
      <c r="Y2997">
        <v>0</v>
      </c>
      <c r="Z2997" s="33">
        <v>0</v>
      </c>
      <c r="AA2997">
        <v>5</v>
      </c>
      <c r="AB2997">
        <v>100</v>
      </c>
      <c r="AC2997">
        <v>70</v>
      </c>
      <c r="AD2997" s="8">
        <v>0</v>
      </c>
      <c r="AE2997" s="8">
        <v>0</v>
      </c>
      <c r="AF2997" s="8">
        <v>0</v>
      </c>
      <c r="AS2997">
        <v>1</v>
      </c>
    </row>
    <row r="2998" spans="1:45">
      <c r="A2998">
        <v>650004</v>
      </c>
      <c r="B2998">
        <v>1001</v>
      </c>
      <c r="C2998">
        <v>24</v>
      </c>
      <c r="D2998">
        <v>1001</v>
      </c>
      <c r="E2998" t="s">
        <v>7541</v>
      </c>
      <c r="F2998" t="s">
        <v>7541</v>
      </c>
      <c r="G2998" t="s">
        <v>7542</v>
      </c>
      <c r="H2998" t="s">
        <v>2361</v>
      </c>
      <c r="I2998">
        <v>1</v>
      </c>
      <c r="J2998">
        <v>1</v>
      </c>
      <c r="K2998" s="33">
        <v>1</v>
      </c>
      <c r="L2998">
        <v>999</v>
      </c>
      <c r="M2998">
        <v>0</v>
      </c>
      <c r="S2998" s="33">
        <v>0</v>
      </c>
      <c r="T2998">
        <v>5</v>
      </c>
      <c r="U2998">
        <v>1</v>
      </c>
      <c r="V2998" s="33">
        <v>1</v>
      </c>
      <c r="W2998">
        <v>1</v>
      </c>
      <c r="X2998">
        <v>1</v>
      </c>
      <c r="Y2998">
        <v>0</v>
      </c>
      <c r="Z2998" s="33">
        <v>0</v>
      </c>
      <c r="AA2998">
        <v>5</v>
      </c>
      <c r="AB2998">
        <v>100</v>
      </c>
      <c r="AC2998">
        <v>70</v>
      </c>
      <c r="AD2998" s="8">
        <v>0</v>
      </c>
      <c r="AE2998" s="8">
        <v>0</v>
      </c>
      <c r="AF2998" s="8">
        <v>0</v>
      </c>
      <c r="AS2998">
        <v>1</v>
      </c>
    </row>
    <row r="2999" spans="1:45">
      <c r="A2999">
        <v>650005</v>
      </c>
      <c r="B2999">
        <v>1001</v>
      </c>
      <c r="C2999">
        <v>24</v>
      </c>
      <c r="D2999">
        <v>1001</v>
      </c>
      <c r="E2999" t="s">
        <v>7543</v>
      </c>
      <c r="F2999" t="s">
        <v>7543</v>
      </c>
      <c r="G2999" t="s">
        <v>7544</v>
      </c>
      <c r="H2999" t="s">
        <v>2363</v>
      </c>
      <c r="I2999">
        <v>1</v>
      </c>
      <c r="J2999">
        <v>1</v>
      </c>
      <c r="K2999" s="33">
        <v>1</v>
      </c>
      <c r="L2999">
        <v>999</v>
      </c>
      <c r="M2999">
        <v>0</v>
      </c>
      <c r="S2999" s="33">
        <v>0</v>
      </c>
      <c r="T2999">
        <v>5</v>
      </c>
      <c r="U2999">
        <v>1</v>
      </c>
      <c r="V2999" s="33">
        <v>1</v>
      </c>
      <c r="W2999">
        <v>1</v>
      </c>
      <c r="X2999">
        <v>1</v>
      </c>
      <c r="Y2999">
        <v>0</v>
      </c>
      <c r="Z2999" s="33">
        <v>0</v>
      </c>
      <c r="AA2999">
        <v>5</v>
      </c>
      <c r="AB2999">
        <v>100</v>
      </c>
      <c r="AC2999">
        <v>70</v>
      </c>
      <c r="AD2999" s="8">
        <v>0</v>
      </c>
      <c r="AE2999" s="8">
        <v>0</v>
      </c>
      <c r="AF2999" s="8">
        <v>0</v>
      </c>
      <c r="AS2999">
        <v>1</v>
      </c>
    </row>
    <row r="3000" spans="1:45">
      <c r="A3000">
        <v>650006</v>
      </c>
      <c r="B3000">
        <v>1001</v>
      </c>
      <c r="C3000">
        <v>24</v>
      </c>
      <c r="D3000">
        <v>1001</v>
      </c>
      <c r="E3000" t="s">
        <v>7545</v>
      </c>
      <c r="F3000" t="s">
        <v>7545</v>
      </c>
      <c r="G3000" t="s">
        <v>7546</v>
      </c>
      <c r="H3000" t="s">
        <v>2365</v>
      </c>
      <c r="I3000">
        <v>1</v>
      </c>
      <c r="J3000">
        <v>1</v>
      </c>
      <c r="K3000" s="33">
        <v>1</v>
      </c>
      <c r="L3000">
        <v>999</v>
      </c>
      <c r="M3000">
        <v>0</v>
      </c>
      <c r="S3000" s="33">
        <v>0</v>
      </c>
      <c r="T3000">
        <v>5</v>
      </c>
      <c r="U3000">
        <v>1</v>
      </c>
      <c r="V3000" s="33">
        <v>1</v>
      </c>
      <c r="W3000">
        <v>1</v>
      </c>
      <c r="X3000">
        <v>1</v>
      </c>
      <c r="Y3000">
        <v>0</v>
      </c>
      <c r="Z3000" s="33">
        <v>0</v>
      </c>
      <c r="AA3000">
        <v>5</v>
      </c>
      <c r="AB3000">
        <v>100</v>
      </c>
      <c r="AC3000">
        <v>70</v>
      </c>
      <c r="AD3000" s="8">
        <v>0</v>
      </c>
      <c r="AE3000" s="8">
        <v>0</v>
      </c>
      <c r="AF3000" s="8">
        <v>0</v>
      </c>
      <c r="AS3000">
        <v>1</v>
      </c>
    </row>
    <row r="3001" spans="1:45">
      <c r="A3001">
        <v>650007</v>
      </c>
      <c r="B3001">
        <v>1001</v>
      </c>
      <c r="C3001">
        <v>24</v>
      </c>
      <c r="D3001">
        <v>1001</v>
      </c>
      <c r="E3001" t="s">
        <v>7547</v>
      </c>
      <c r="F3001" t="s">
        <v>7547</v>
      </c>
      <c r="G3001" t="s">
        <v>7548</v>
      </c>
      <c r="H3001" t="s">
        <v>2367</v>
      </c>
      <c r="I3001">
        <v>1</v>
      </c>
      <c r="J3001">
        <v>1</v>
      </c>
      <c r="K3001" s="33">
        <v>1</v>
      </c>
      <c r="L3001">
        <v>999</v>
      </c>
      <c r="M3001">
        <v>0</v>
      </c>
      <c r="S3001" s="33">
        <v>0</v>
      </c>
      <c r="T3001">
        <v>5</v>
      </c>
      <c r="U3001">
        <v>1</v>
      </c>
      <c r="V3001" s="33">
        <v>1</v>
      </c>
      <c r="W3001">
        <v>1</v>
      </c>
      <c r="X3001">
        <v>1</v>
      </c>
      <c r="Y3001">
        <v>0</v>
      </c>
      <c r="Z3001" s="33">
        <v>0</v>
      </c>
      <c r="AA3001">
        <v>5</v>
      </c>
      <c r="AB3001">
        <v>100</v>
      </c>
      <c r="AC3001">
        <v>70</v>
      </c>
      <c r="AD3001" s="8">
        <v>0</v>
      </c>
      <c r="AE3001" s="8">
        <v>0</v>
      </c>
      <c r="AF3001" s="8">
        <v>0</v>
      </c>
      <c r="AS3001">
        <v>1</v>
      </c>
    </row>
    <row r="3002" spans="1:45">
      <c r="A3002">
        <v>650008</v>
      </c>
      <c r="B3002">
        <v>1001</v>
      </c>
      <c r="C3002">
        <v>24</v>
      </c>
      <c r="D3002">
        <v>1001</v>
      </c>
      <c r="E3002" t="s">
        <v>7549</v>
      </c>
      <c r="F3002" t="s">
        <v>7549</v>
      </c>
      <c r="G3002" t="s">
        <v>7550</v>
      </c>
      <c r="H3002" t="s">
        <v>2369</v>
      </c>
      <c r="I3002">
        <v>1</v>
      </c>
      <c r="J3002">
        <v>1</v>
      </c>
      <c r="K3002" s="33">
        <v>1</v>
      </c>
      <c r="L3002">
        <v>999</v>
      </c>
      <c r="M3002">
        <v>0</v>
      </c>
      <c r="S3002" s="33">
        <v>0</v>
      </c>
      <c r="T3002">
        <v>5</v>
      </c>
      <c r="U3002">
        <v>1</v>
      </c>
      <c r="V3002" s="33">
        <v>1</v>
      </c>
      <c r="W3002">
        <v>1</v>
      </c>
      <c r="X3002">
        <v>1</v>
      </c>
      <c r="Y3002">
        <v>0</v>
      </c>
      <c r="Z3002" s="33">
        <v>0</v>
      </c>
      <c r="AA3002">
        <v>5</v>
      </c>
      <c r="AB3002">
        <v>100</v>
      </c>
      <c r="AC3002">
        <v>70</v>
      </c>
      <c r="AD3002" s="8">
        <v>0</v>
      </c>
      <c r="AE3002" s="8">
        <v>0</v>
      </c>
      <c r="AF3002" s="8">
        <v>0</v>
      </c>
      <c r="AS3002">
        <v>1</v>
      </c>
    </row>
    <row r="3003" spans="1:45">
      <c r="A3003">
        <v>650009</v>
      </c>
      <c r="B3003">
        <v>1001</v>
      </c>
      <c r="C3003">
        <v>24</v>
      </c>
      <c r="D3003">
        <v>1001</v>
      </c>
      <c r="E3003" t="s">
        <v>7551</v>
      </c>
      <c r="F3003" t="s">
        <v>7551</v>
      </c>
      <c r="G3003" t="s">
        <v>7552</v>
      </c>
      <c r="H3003" t="s">
        <v>2371</v>
      </c>
      <c r="I3003">
        <v>1</v>
      </c>
      <c r="J3003">
        <v>1</v>
      </c>
      <c r="K3003" s="33">
        <v>1</v>
      </c>
      <c r="L3003">
        <v>999</v>
      </c>
      <c r="M3003">
        <v>0</v>
      </c>
      <c r="S3003" s="33">
        <v>0</v>
      </c>
      <c r="T3003">
        <v>5</v>
      </c>
      <c r="U3003">
        <v>1</v>
      </c>
      <c r="V3003" s="33">
        <v>1</v>
      </c>
      <c r="W3003">
        <v>1</v>
      </c>
      <c r="X3003">
        <v>1</v>
      </c>
      <c r="Y3003">
        <v>0</v>
      </c>
      <c r="Z3003" s="33">
        <v>0</v>
      </c>
      <c r="AA3003">
        <v>5</v>
      </c>
      <c r="AB3003">
        <v>100</v>
      </c>
      <c r="AC3003">
        <v>70</v>
      </c>
      <c r="AD3003" s="8">
        <v>0</v>
      </c>
      <c r="AE3003" s="8">
        <v>0</v>
      </c>
      <c r="AF3003" s="8">
        <v>0</v>
      </c>
      <c r="AS3003">
        <v>1</v>
      </c>
    </row>
    <row r="3004" spans="1:45">
      <c r="A3004">
        <v>650010</v>
      </c>
      <c r="B3004">
        <v>1001</v>
      </c>
      <c r="C3004">
        <v>24</v>
      </c>
      <c r="D3004">
        <v>1001</v>
      </c>
      <c r="E3004" t="s">
        <v>7553</v>
      </c>
      <c r="F3004" t="s">
        <v>7553</v>
      </c>
      <c r="G3004" t="s">
        <v>7554</v>
      </c>
      <c r="H3004" t="s">
        <v>2373</v>
      </c>
      <c r="I3004">
        <v>1</v>
      </c>
      <c r="J3004">
        <v>1</v>
      </c>
      <c r="K3004" s="33">
        <v>1</v>
      </c>
      <c r="L3004">
        <v>999</v>
      </c>
      <c r="M3004">
        <v>0</v>
      </c>
      <c r="S3004" s="33">
        <v>0</v>
      </c>
      <c r="T3004">
        <v>5</v>
      </c>
      <c r="U3004">
        <v>1</v>
      </c>
      <c r="V3004" s="33">
        <v>1</v>
      </c>
      <c r="W3004">
        <v>1</v>
      </c>
      <c r="X3004">
        <v>1</v>
      </c>
      <c r="Y3004">
        <v>0</v>
      </c>
      <c r="Z3004" s="33">
        <v>0</v>
      </c>
      <c r="AA3004">
        <v>5</v>
      </c>
      <c r="AB3004">
        <v>100</v>
      </c>
      <c r="AC3004">
        <v>70</v>
      </c>
      <c r="AD3004" s="8">
        <v>0</v>
      </c>
      <c r="AE3004" s="8">
        <v>0</v>
      </c>
      <c r="AF3004" s="8">
        <v>0</v>
      </c>
      <c r="AS3004">
        <v>1</v>
      </c>
    </row>
    <row r="3005" spans="1:45">
      <c r="A3005">
        <v>650011</v>
      </c>
      <c r="B3005">
        <v>1001</v>
      </c>
      <c r="C3005">
        <v>24</v>
      </c>
      <c r="D3005">
        <v>1001</v>
      </c>
      <c r="E3005" t="s">
        <v>7555</v>
      </c>
      <c r="F3005" t="s">
        <v>7555</v>
      </c>
      <c r="G3005" t="s">
        <v>7556</v>
      </c>
      <c r="H3005" t="s">
        <v>2375</v>
      </c>
      <c r="I3005">
        <v>1</v>
      </c>
      <c r="J3005">
        <v>1</v>
      </c>
      <c r="K3005" s="33">
        <v>1</v>
      </c>
      <c r="L3005">
        <v>999</v>
      </c>
      <c r="M3005">
        <v>0</v>
      </c>
      <c r="S3005" s="33">
        <v>0</v>
      </c>
      <c r="T3005">
        <v>5</v>
      </c>
      <c r="U3005">
        <v>1</v>
      </c>
      <c r="V3005" s="33">
        <v>1</v>
      </c>
      <c r="W3005">
        <v>1</v>
      </c>
      <c r="X3005">
        <v>1</v>
      </c>
      <c r="Y3005">
        <v>0</v>
      </c>
      <c r="Z3005" s="33">
        <v>0</v>
      </c>
      <c r="AA3005">
        <v>5</v>
      </c>
      <c r="AB3005">
        <v>100</v>
      </c>
      <c r="AC3005">
        <v>70</v>
      </c>
      <c r="AD3005" s="8">
        <v>0</v>
      </c>
      <c r="AE3005" s="8">
        <v>0</v>
      </c>
      <c r="AF3005" s="8">
        <v>0</v>
      </c>
      <c r="AS3005">
        <v>1</v>
      </c>
    </row>
    <row r="3006" spans="1:45">
      <c r="A3006">
        <v>650012</v>
      </c>
      <c r="B3006">
        <v>1001</v>
      </c>
      <c r="C3006">
        <v>24</v>
      </c>
      <c r="D3006">
        <v>1001</v>
      </c>
      <c r="E3006" t="s">
        <v>7557</v>
      </c>
      <c r="F3006" t="s">
        <v>7557</v>
      </c>
      <c r="G3006" t="s">
        <v>7558</v>
      </c>
      <c r="H3006" t="s">
        <v>2377</v>
      </c>
      <c r="I3006">
        <v>1</v>
      </c>
      <c r="J3006">
        <v>1</v>
      </c>
      <c r="K3006" s="33">
        <v>1</v>
      </c>
      <c r="L3006">
        <v>999</v>
      </c>
      <c r="M3006">
        <v>0</v>
      </c>
      <c r="S3006" s="33">
        <v>0</v>
      </c>
      <c r="T3006">
        <v>5</v>
      </c>
      <c r="U3006">
        <v>1</v>
      </c>
      <c r="V3006" s="33">
        <v>1</v>
      </c>
      <c r="W3006">
        <v>1</v>
      </c>
      <c r="X3006">
        <v>1</v>
      </c>
      <c r="Y3006">
        <v>0</v>
      </c>
      <c r="Z3006" s="33">
        <v>0</v>
      </c>
      <c r="AA3006">
        <v>5</v>
      </c>
      <c r="AB3006">
        <v>100</v>
      </c>
      <c r="AC3006">
        <v>70</v>
      </c>
      <c r="AD3006" s="8">
        <v>0</v>
      </c>
      <c r="AE3006" s="8">
        <v>0</v>
      </c>
      <c r="AF3006" s="8">
        <v>0</v>
      </c>
      <c r="AS3006">
        <v>1</v>
      </c>
    </row>
    <row r="3007" spans="1:45">
      <c r="A3007">
        <v>650013</v>
      </c>
      <c r="B3007">
        <v>1001</v>
      </c>
      <c r="C3007">
        <v>24</v>
      </c>
      <c r="D3007">
        <v>1001</v>
      </c>
      <c r="E3007" t="s">
        <v>7559</v>
      </c>
      <c r="F3007" t="s">
        <v>7559</v>
      </c>
      <c r="G3007" t="s">
        <v>7560</v>
      </c>
      <c r="H3007" t="s">
        <v>2379</v>
      </c>
      <c r="I3007">
        <v>1</v>
      </c>
      <c r="J3007">
        <v>1</v>
      </c>
      <c r="K3007" s="33">
        <v>1</v>
      </c>
      <c r="L3007">
        <v>999</v>
      </c>
      <c r="M3007">
        <v>0</v>
      </c>
      <c r="S3007" s="33">
        <v>0</v>
      </c>
      <c r="T3007">
        <v>5</v>
      </c>
      <c r="U3007">
        <v>1</v>
      </c>
      <c r="V3007" s="33">
        <v>1</v>
      </c>
      <c r="W3007">
        <v>1</v>
      </c>
      <c r="X3007">
        <v>1</v>
      </c>
      <c r="Y3007">
        <v>0</v>
      </c>
      <c r="Z3007" s="33">
        <v>0</v>
      </c>
      <c r="AA3007">
        <v>5</v>
      </c>
      <c r="AB3007">
        <v>100</v>
      </c>
      <c r="AC3007">
        <v>70</v>
      </c>
      <c r="AD3007" s="159">
        <v>0</v>
      </c>
      <c r="AE3007" s="159">
        <v>0</v>
      </c>
      <c r="AF3007" s="159">
        <v>0</v>
      </c>
      <c r="AS3007">
        <v>1</v>
      </c>
    </row>
    <row r="3008" s="3" customFormat="1" spans="1:45">
      <c r="A3008">
        <v>650014</v>
      </c>
      <c r="B3008">
        <v>1001</v>
      </c>
      <c r="C3008">
        <v>24</v>
      </c>
      <c r="D3008">
        <v>1001</v>
      </c>
      <c r="E3008" t="s">
        <v>7561</v>
      </c>
      <c r="F3008" t="s">
        <v>7561</v>
      </c>
      <c r="G3008" t="s">
        <v>7562</v>
      </c>
      <c r="H3008" t="s">
        <v>2381</v>
      </c>
      <c r="I3008">
        <v>1</v>
      </c>
      <c r="J3008">
        <v>1</v>
      </c>
      <c r="K3008" s="33">
        <v>1</v>
      </c>
      <c r="L3008">
        <v>999</v>
      </c>
      <c r="M3008">
        <v>0</v>
      </c>
      <c r="O3008" s="2"/>
      <c r="S3008" s="33">
        <v>0</v>
      </c>
      <c r="T3008">
        <v>5</v>
      </c>
      <c r="U3008">
        <v>1</v>
      </c>
      <c r="V3008" s="33">
        <v>1</v>
      </c>
      <c r="W3008">
        <v>1</v>
      </c>
      <c r="X3008">
        <v>1</v>
      </c>
      <c r="Y3008">
        <v>0</v>
      </c>
      <c r="Z3008" s="33">
        <v>0</v>
      </c>
      <c r="AA3008">
        <v>5</v>
      </c>
      <c r="AB3008">
        <v>100</v>
      </c>
      <c r="AC3008">
        <v>70</v>
      </c>
      <c r="AD3008" s="159">
        <v>0</v>
      </c>
      <c r="AE3008" s="159">
        <v>0</v>
      </c>
      <c r="AF3008" s="159">
        <v>0</v>
      </c>
      <c r="AG3008" s="64"/>
      <c r="AH3008" s="64"/>
      <c r="AI3008" s="64"/>
      <c r="AJ3008" s="64"/>
      <c r="AK3008" s="64"/>
      <c r="AL3008" s="64"/>
      <c r="AM3008" s="64"/>
      <c r="AN3008" s="65"/>
      <c r="AO3008" s="64"/>
      <c r="AP3008" s="64"/>
      <c r="AS3008">
        <v>1</v>
      </c>
    </row>
    <row r="3009" s="3" customFormat="1" spans="1:45">
      <c r="A3009" s="3">
        <v>650015</v>
      </c>
      <c r="B3009" s="3">
        <v>1001</v>
      </c>
      <c r="C3009" s="3">
        <v>24</v>
      </c>
      <c r="D3009" s="3">
        <v>1001</v>
      </c>
      <c r="E3009" s="3" t="s">
        <v>7563</v>
      </c>
      <c r="F3009" s="3" t="s">
        <v>7563</v>
      </c>
      <c r="G3009" s="3" t="s">
        <v>7564</v>
      </c>
      <c r="H3009" s="3" t="s">
        <v>2383</v>
      </c>
      <c r="I3009" s="3">
        <v>1</v>
      </c>
      <c r="J3009" s="3">
        <v>1</v>
      </c>
      <c r="K3009" s="33">
        <v>1</v>
      </c>
      <c r="L3009" s="3">
        <v>999</v>
      </c>
      <c r="M3009" s="3">
        <v>0</v>
      </c>
      <c r="O3009" s="2"/>
      <c r="S3009" s="33">
        <v>0</v>
      </c>
      <c r="T3009" s="3">
        <v>5</v>
      </c>
      <c r="U3009" s="3">
        <v>1</v>
      </c>
      <c r="V3009" s="33">
        <v>1</v>
      </c>
      <c r="W3009" s="3">
        <v>1</v>
      </c>
      <c r="X3009" s="3">
        <v>1</v>
      </c>
      <c r="Y3009" s="3">
        <v>0</v>
      </c>
      <c r="Z3009" s="33">
        <v>0</v>
      </c>
      <c r="AA3009" s="3">
        <v>5</v>
      </c>
      <c r="AB3009" s="3">
        <v>100</v>
      </c>
      <c r="AC3009" s="3">
        <v>70</v>
      </c>
      <c r="AD3009" s="8">
        <v>0</v>
      </c>
      <c r="AE3009" s="8">
        <v>0</v>
      </c>
      <c r="AF3009" s="8">
        <v>0</v>
      </c>
      <c r="AG3009" s="64"/>
      <c r="AH3009" s="64"/>
      <c r="AI3009" s="64"/>
      <c r="AJ3009" s="64"/>
      <c r="AK3009" s="64"/>
      <c r="AL3009" s="64"/>
      <c r="AM3009" s="64"/>
      <c r="AN3009" s="65"/>
      <c r="AO3009" s="64"/>
      <c r="AP3009" s="64"/>
      <c r="AS3009" s="3">
        <v>1</v>
      </c>
    </row>
    <row r="3010" s="3" customFormat="1" spans="1:45">
      <c r="A3010" s="3">
        <v>650016</v>
      </c>
      <c r="B3010" s="3">
        <v>1001</v>
      </c>
      <c r="C3010" s="3">
        <v>24</v>
      </c>
      <c r="D3010" s="3">
        <v>1001</v>
      </c>
      <c r="E3010" s="3" t="s">
        <v>7565</v>
      </c>
      <c r="F3010" s="3" t="s">
        <v>7565</v>
      </c>
      <c r="G3010" s="3" t="s">
        <v>7566</v>
      </c>
      <c r="H3010" s="3" t="s">
        <v>2385</v>
      </c>
      <c r="I3010" s="3">
        <v>1</v>
      </c>
      <c r="J3010" s="3">
        <v>1</v>
      </c>
      <c r="K3010" s="33">
        <v>1</v>
      </c>
      <c r="L3010" s="3">
        <v>999</v>
      </c>
      <c r="M3010" s="3">
        <v>0</v>
      </c>
      <c r="O3010" s="2"/>
      <c r="S3010" s="33">
        <v>0</v>
      </c>
      <c r="T3010" s="3">
        <v>5</v>
      </c>
      <c r="U3010" s="3">
        <v>1</v>
      </c>
      <c r="V3010" s="33">
        <v>1</v>
      </c>
      <c r="W3010" s="3">
        <v>1</v>
      </c>
      <c r="X3010" s="3">
        <v>1</v>
      </c>
      <c r="Y3010" s="3">
        <v>0</v>
      </c>
      <c r="Z3010" s="33">
        <v>0</v>
      </c>
      <c r="AA3010" s="3">
        <v>5</v>
      </c>
      <c r="AB3010" s="3">
        <v>100</v>
      </c>
      <c r="AC3010" s="3">
        <v>70</v>
      </c>
      <c r="AD3010" s="8">
        <v>0</v>
      </c>
      <c r="AE3010" s="8">
        <v>0</v>
      </c>
      <c r="AF3010" s="8">
        <v>0</v>
      </c>
      <c r="AG3010" s="64"/>
      <c r="AH3010" s="64"/>
      <c r="AI3010" s="64"/>
      <c r="AJ3010" s="64"/>
      <c r="AK3010" s="64"/>
      <c r="AL3010" s="64"/>
      <c r="AM3010" s="64"/>
      <c r="AN3010" s="65"/>
      <c r="AO3010" s="64"/>
      <c r="AP3010" s="64"/>
      <c r="AS3010" s="3">
        <v>1</v>
      </c>
    </row>
    <row r="3011" spans="1:45">
      <c r="A3011" s="3">
        <v>650017</v>
      </c>
      <c r="B3011" s="3">
        <v>1001</v>
      </c>
      <c r="C3011" s="3">
        <v>24</v>
      </c>
      <c r="D3011" s="3">
        <v>1001</v>
      </c>
      <c r="E3011" s="3" t="s">
        <v>7567</v>
      </c>
      <c r="F3011" s="3" t="s">
        <v>7567</v>
      </c>
      <c r="G3011" s="3" t="s">
        <v>7568</v>
      </c>
      <c r="H3011" s="3" t="s">
        <v>2387</v>
      </c>
      <c r="I3011" s="3">
        <v>1</v>
      </c>
      <c r="J3011" s="3">
        <v>1</v>
      </c>
      <c r="K3011" s="33">
        <v>1</v>
      </c>
      <c r="L3011" s="3">
        <v>999</v>
      </c>
      <c r="M3011" s="3">
        <v>0</v>
      </c>
      <c r="S3011" s="33">
        <v>0</v>
      </c>
      <c r="T3011" s="3">
        <v>5</v>
      </c>
      <c r="U3011" s="3">
        <v>1</v>
      </c>
      <c r="V3011" s="33">
        <v>1</v>
      </c>
      <c r="W3011" s="3">
        <v>1</v>
      </c>
      <c r="X3011" s="3">
        <v>1</v>
      </c>
      <c r="Y3011" s="3">
        <v>0</v>
      </c>
      <c r="Z3011" s="33">
        <v>0</v>
      </c>
      <c r="AA3011" s="3">
        <v>5</v>
      </c>
      <c r="AB3011" s="3">
        <v>100</v>
      </c>
      <c r="AC3011" s="3">
        <v>70</v>
      </c>
      <c r="AD3011" s="8">
        <v>0</v>
      </c>
      <c r="AE3011" s="8">
        <v>0</v>
      </c>
      <c r="AF3011" s="8">
        <v>0</v>
      </c>
      <c r="AG3011" s="64"/>
      <c r="AH3011" s="64"/>
      <c r="AI3011" s="64"/>
      <c r="AJ3011" s="64"/>
      <c r="AK3011" s="64"/>
      <c r="AS3011" s="3">
        <v>1</v>
      </c>
    </row>
    <row r="3012" spans="1:45">
      <c r="A3012">
        <v>650018</v>
      </c>
      <c r="B3012">
        <v>1001</v>
      </c>
      <c r="C3012">
        <v>24</v>
      </c>
      <c r="D3012">
        <v>1001</v>
      </c>
      <c r="E3012" t="s">
        <v>7569</v>
      </c>
      <c r="F3012" t="s">
        <v>7569</v>
      </c>
      <c r="G3012" t="s">
        <v>7570</v>
      </c>
      <c r="H3012" t="s">
        <v>2389</v>
      </c>
      <c r="I3012">
        <v>1</v>
      </c>
      <c r="J3012">
        <v>1</v>
      </c>
      <c r="K3012" s="33">
        <v>1</v>
      </c>
      <c r="L3012">
        <v>999</v>
      </c>
      <c r="M3012">
        <v>0</v>
      </c>
      <c r="S3012" s="33">
        <v>0</v>
      </c>
      <c r="T3012">
        <v>5</v>
      </c>
      <c r="U3012">
        <v>1</v>
      </c>
      <c r="V3012" s="33">
        <v>1</v>
      </c>
      <c r="W3012">
        <v>1</v>
      </c>
      <c r="X3012">
        <v>1</v>
      </c>
      <c r="Y3012">
        <v>0</v>
      </c>
      <c r="Z3012" s="33">
        <v>0</v>
      </c>
      <c r="AA3012">
        <v>5</v>
      </c>
      <c r="AB3012">
        <v>100</v>
      </c>
      <c r="AC3012">
        <v>70</v>
      </c>
      <c r="AD3012" s="159">
        <v>0</v>
      </c>
      <c r="AE3012" s="159">
        <v>0</v>
      </c>
      <c r="AF3012" s="159">
        <v>0</v>
      </c>
      <c r="AS3012">
        <v>1</v>
      </c>
    </row>
    <row r="3013" spans="1:45">
      <c r="A3013">
        <v>650019</v>
      </c>
      <c r="B3013">
        <v>1001</v>
      </c>
      <c r="C3013">
        <v>24</v>
      </c>
      <c r="D3013">
        <v>1001</v>
      </c>
      <c r="E3013" t="s">
        <v>7571</v>
      </c>
      <c r="F3013" t="s">
        <v>7571</v>
      </c>
      <c r="G3013" t="s">
        <v>7572</v>
      </c>
      <c r="H3013" t="s">
        <v>2391</v>
      </c>
      <c r="I3013">
        <v>1</v>
      </c>
      <c r="J3013">
        <v>1</v>
      </c>
      <c r="K3013" s="33">
        <v>1</v>
      </c>
      <c r="L3013">
        <v>999</v>
      </c>
      <c r="M3013">
        <v>0</v>
      </c>
      <c r="S3013" s="33">
        <v>0</v>
      </c>
      <c r="T3013">
        <v>5</v>
      </c>
      <c r="U3013">
        <v>1</v>
      </c>
      <c r="V3013" s="33">
        <v>1</v>
      </c>
      <c r="W3013">
        <v>1</v>
      </c>
      <c r="X3013">
        <v>1</v>
      </c>
      <c r="Y3013">
        <v>0</v>
      </c>
      <c r="Z3013" s="33">
        <v>0</v>
      </c>
      <c r="AA3013">
        <v>5</v>
      </c>
      <c r="AB3013">
        <v>100</v>
      </c>
      <c r="AC3013">
        <v>70</v>
      </c>
      <c r="AD3013" s="159">
        <v>0</v>
      </c>
      <c r="AE3013" s="159">
        <v>0</v>
      </c>
      <c r="AF3013" s="159">
        <v>0</v>
      </c>
      <c r="AS3013">
        <v>1</v>
      </c>
    </row>
    <row r="3014" spans="1:45">
      <c r="A3014">
        <v>650020</v>
      </c>
      <c r="B3014">
        <v>1001</v>
      </c>
      <c r="C3014">
        <v>24</v>
      </c>
      <c r="D3014">
        <v>1001</v>
      </c>
      <c r="E3014" t="s">
        <v>7573</v>
      </c>
      <c r="F3014" t="s">
        <v>7573</v>
      </c>
      <c r="G3014" t="s">
        <v>7574</v>
      </c>
      <c r="H3014" t="s">
        <v>2393</v>
      </c>
      <c r="I3014">
        <v>1</v>
      </c>
      <c r="J3014">
        <v>1</v>
      </c>
      <c r="K3014" s="33">
        <v>1</v>
      </c>
      <c r="L3014">
        <v>999</v>
      </c>
      <c r="M3014">
        <v>0</v>
      </c>
      <c r="N3014" s="2"/>
      <c r="S3014" s="33">
        <v>0</v>
      </c>
      <c r="T3014">
        <v>5</v>
      </c>
      <c r="U3014">
        <v>1</v>
      </c>
      <c r="V3014" s="33">
        <v>1</v>
      </c>
      <c r="W3014">
        <v>1</v>
      </c>
      <c r="X3014">
        <v>1</v>
      </c>
      <c r="Y3014">
        <v>0</v>
      </c>
      <c r="Z3014" s="33">
        <v>0</v>
      </c>
      <c r="AA3014">
        <v>5</v>
      </c>
      <c r="AB3014">
        <v>100</v>
      </c>
      <c r="AC3014">
        <v>70</v>
      </c>
      <c r="AD3014" s="159">
        <v>0</v>
      </c>
      <c r="AE3014" s="159">
        <v>0</v>
      </c>
      <c r="AF3014" s="159">
        <v>0</v>
      </c>
      <c r="AS3014">
        <v>1</v>
      </c>
    </row>
    <row r="3015" s="3" customFormat="1" spans="1:45">
      <c r="A3015">
        <v>650021</v>
      </c>
      <c r="B3015">
        <v>1001</v>
      </c>
      <c r="C3015">
        <v>24</v>
      </c>
      <c r="D3015">
        <v>1001</v>
      </c>
      <c r="E3015" t="s">
        <v>7575</v>
      </c>
      <c r="F3015" t="s">
        <v>7575</v>
      </c>
      <c r="G3015" t="s">
        <v>7575</v>
      </c>
      <c r="H3015" t="s">
        <v>4913</v>
      </c>
      <c r="I3015">
        <v>1</v>
      </c>
      <c r="J3015">
        <v>1</v>
      </c>
      <c r="K3015" s="33">
        <v>2</v>
      </c>
      <c r="L3015">
        <v>999</v>
      </c>
      <c r="M3015">
        <v>0</v>
      </c>
      <c r="N3015" s="2">
        <v>1041</v>
      </c>
      <c r="O3015" s="2">
        <v>1</v>
      </c>
      <c r="S3015" s="33">
        <v>0</v>
      </c>
      <c r="T3015">
        <v>5</v>
      </c>
      <c r="U3015">
        <v>1</v>
      </c>
      <c r="V3015" s="33">
        <v>1</v>
      </c>
      <c r="W3015">
        <v>1</v>
      </c>
      <c r="X3015">
        <v>1</v>
      </c>
      <c r="Y3015">
        <v>0</v>
      </c>
      <c r="Z3015" s="33">
        <v>0</v>
      </c>
      <c r="AA3015">
        <v>5</v>
      </c>
      <c r="AB3015">
        <v>100</v>
      </c>
      <c r="AC3015">
        <v>70</v>
      </c>
      <c r="AD3015" s="159">
        <v>0</v>
      </c>
      <c r="AE3015" s="159">
        <v>7</v>
      </c>
      <c r="AF3015" s="159">
        <v>0</v>
      </c>
      <c r="AG3015" s="64"/>
      <c r="AH3015" s="64"/>
      <c r="AI3015" s="64"/>
      <c r="AJ3015" s="64"/>
      <c r="AK3015" s="64"/>
      <c r="AL3015" s="64"/>
      <c r="AM3015" s="64"/>
      <c r="AN3015" s="65"/>
      <c r="AO3015" s="64"/>
      <c r="AP3015" s="64"/>
      <c r="AS3015">
        <v>1</v>
      </c>
    </row>
    <row r="3016" s="3" customFormat="1" spans="1:45">
      <c r="A3016" s="3">
        <v>650022</v>
      </c>
      <c r="B3016" s="3">
        <v>1001</v>
      </c>
      <c r="C3016" s="3">
        <v>24</v>
      </c>
      <c r="D3016" s="3">
        <v>1001</v>
      </c>
      <c r="E3016" s="3" t="s">
        <v>7576</v>
      </c>
      <c r="F3016" s="3" t="s">
        <v>7576</v>
      </c>
      <c r="G3016" s="3" t="s">
        <v>7576</v>
      </c>
      <c r="H3016" s="3" t="s">
        <v>4916</v>
      </c>
      <c r="I3016" s="3">
        <v>1</v>
      </c>
      <c r="J3016" s="3">
        <v>1</v>
      </c>
      <c r="K3016" s="33">
        <v>2</v>
      </c>
      <c r="L3016" s="3">
        <v>999</v>
      </c>
      <c r="M3016" s="3">
        <v>0</v>
      </c>
      <c r="N3016" s="2">
        <v>1041</v>
      </c>
      <c r="O3016" s="3">
        <v>2</v>
      </c>
      <c r="S3016" s="33">
        <v>0</v>
      </c>
      <c r="T3016" s="3">
        <v>5</v>
      </c>
      <c r="U3016" s="3">
        <v>1</v>
      </c>
      <c r="V3016" s="33">
        <v>1</v>
      </c>
      <c r="W3016" s="3">
        <v>1</v>
      </c>
      <c r="X3016" s="3">
        <v>1</v>
      </c>
      <c r="Y3016" s="3">
        <v>0</v>
      </c>
      <c r="Z3016" s="33">
        <v>0</v>
      </c>
      <c r="AA3016" s="3">
        <v>5</v>
      </c>
      <c r="AB3016" s="3">
        <v>100</v>
      </c>
      <c r="AC3016" s="3">
        <v>70</v>
      </c>
      <c r="AD3016" s="8">
        <v>0</v>
      </c>
      <c r="AE3016" s="8">
        <v>7</v>
      </c>
      <c r="AF3016" s="8">
        <v>0</v>
      </c>
      <c r="AG3016" s="64"/>
      <c r="AH3016" s="64"/>
      <c r="AI3016" s="64"/>
      <c r="AJ3016" s="64"/>
      <c r="AK3016" s="64"/>
      <c r="AL3016" s="64"/>
      <c r="AM3016" s="64"/>
      <c r="AN3016" s="65"/>
      <c r="AO3016" s="64"/>
      <c r="AP3016" s="64"/>
      <c r="AS3016" s="3">
        <v>1</v>
      </c>
    </row>
    <row r="3017" s="3" customFormat="1" spans="1:45">
      <c r="A3017" s="3">
        <v>650023</v>
      </c>
      <c r="B3017" s="3">
        <v>1001</v>
      </c>
      <c r="C3017" s="3">
        <v>24</v>
      </c>
      <c r="D3017" s="3">
        <v>1001</v>
      </c>
      <c r="E3017" s="3" t="s">
        <v>7577</v>
      </c>
      <c r="F3017" s="3" t="s">
        <v>7577</v>
      </c>
      <c r="G3017" s="3" t="s">
        <v>7577</v>
      </c>
      <c r="H3017" s="3" t="s">
        <v>4919</v>
      </c>
      <c r="I3017" s="3">
        <v>1</v>
      </c>
      <c r="J3017" s="3">
        <v>1</v>
      </c>
      <c r="K3017" s="33">
        <v>2</v>
      </c>
      <c r="L3017" s="3">
        <v>999</v>
      </c>
      <c r="M3017" s="3">
        <v>0</v>
      </c>
      <c r="N3017" s="2">
        <v>1041</v>
      </c>
      <c r="O3017" s="3">
        <v>3</v>
      </c>
      <c r="S3017" s="33">
        <v>0</v>
      </c>
      <c r="T3017" s="3">
        <v>5</v>
      </c>
      <c r="U3017" s="3">
        <v>1</v>
      </c>
      <c r="V3017" s="33">
        <v>1</v>
      </c>
      <c r="W3017" s="3">
        <v>1</v>
      </c>
      <c r="X3017" s="3">
        <v>1</v>
      </c>
      <c r="Y3017" s="3">
        <v>0</v>
      </c>
      <c r="Z3017" s="33">
        <v>0</v>
      </c>
      <c r="AA3017" s="3">
        <v>5</v>
      </c>
      <c r="AB3017" s="3">
        <v>100</v>
      </c>
      <c r="AC3017" s="3">
        <v>70</v>
      </c>
      <c r="AD3017" s="8">
        <v>0</v>
      </c>
      <c r="AE3017" s="8">
        <v>7</v>
      </c>
      <c r="AF3017" s="8">
        <v>0</v>
      </c>
      <c r="AG3017" s="64"/>
      <c r="AH3017" s="64"/>
      <c r="AI3017" s="64"/>
      <c r="AJ3017" s="64"/>
      <c r="AK3017" s="64"/>
      <c r="AL3017" s="64"/>
      <c r="AM3017" s="64"/>
      <c r="AN3017" s="65"/>
      <c r="AO3017" s="64"/>
      <c r="AP3017" s="64"/>
      <c r="AS3017" s="3">
        <v>1</v>
      </c>
    </row>
    <row r="3018" spans="1:45">
      <c r="A3018" s="3">
        <v>650024</v>
      </c>
      <c r="B3018" s="3">
        <v>1001</v>
      </c>
      <c r="C3018" s="3">
        <v>24</v>
      </c>
      <c r="D3018" s="3">
        <v>1001</v>
      </c>
      <c r="E3018" s="3" t="s">
        <v>7578</v>
      </c>
      <c r="F3018" s="3" t="s">
        <v>7578</v>
      </c>
      <c r="G3018" s="3" t="s">
        <v>7578</v>
      </c>
      <c r="H3018" s="3" t="s">
        <v>4922</v>
      </c>
      <c r="I3018" s="3">
        <v>1</v>
      </c>
      <c r="J3018" s="3">
        <v>1</v>
      </c>
      <c r="K3018" s="33">
        <v>2</v>
      </c>
      <c r="L3018" s="3">
        <v>999</v>
      </c>
      <c r="M3018" s="3">
        <v>0</v>
      </c>
      <c r="N3018" s="2">
        <v>1041</v>
      </c>
      <c r="O3018" s="3">
        <v>4</v>
      </c>
      <c r="S3018" s="33">
        <v>0</v>
      </c>
      <c r="T3018" s="3">
        <v>5</v>
      </c>
      <c r="U3018" s="3">
        <v>1</v>
      </c>
      <c r="V3018" s="33">
        <v>1</v>
      </c>
      <c r="W3018" s="3">
        <v>1</v>
      </c>
      <c r="X3018" s="3">
        <v>1</v>
      </c>
      <c r="Y3018" s="3">
        <v>0</v>
      </c>
      <c r="Z3018" s="33">
        <v>0</v>
      </c>
      <c r="AA3018" s="3">
        <v>5</v>
      </c>
      <c r="AB3018" s="3">
        <v>100</v>
      </c>
      <c r="AC3018" s="3">
        <v>70</v>
      </c>
      <c r="AD3018" s="8">
        <v>0</v>
      </c>
      <c r="AE3018" s="8">
        <v>7</v>
      </c>
      <c r="AF3018" s="8">
        <v>0</v>
      </c>
      <c r="AG3018" s="64"/>
      <c r="AH3018" s="64"/>
      <c r="AI3018" s="64"/>
      <c r="AJ3018" s="64"/>
      <c r="AK3018" s="64"/>
      <c r="AS3018" s="3">
        <v>1</v>
      </c>
    </row>
    <row r="3019" spans="1:45">
      <c r="A3019">
        <v>650025</v>
      </c>
      <c r="B3019">
        <v>1001</v>
      </c>
      <c r="C3019">
        <v>24</v>
      </c>
      <c r="D3019">
        <v>1001</v>
      </c>
      <c r="E3019" t="s">
        <v>7579</v>
      </c>
      <c r="F3019" t="s">
        <v>7579</v>
      </c>
      <c r="G3019" t="s">
        <v>7579</v>
      </c>
      <c r="H3019" t="s">
        <v>4925</v>
      </c>
      <c r="I3019">
        <v>1</v>
      </c>
      <c r="J3019">
        <v>1</v>
      </c>
      <c r="K3019" s="33">
        <v>2</v>
      </c>
      <c r="L3019">
        <v>999</v>
      </c>
      <c r="M3019">
        <v>0</v>
      </c>
      <c r="N3019" s="2">
        <v>1041</v>
      </c>
      <c r="O3019" s="2">
        <v>5</v>
      </c>
      <c r="S3019" s="33">
        <v>0</v>
      </c>
      <c r="T3019">
        <v>5</v>
      </c>
      <c r="U3019">
        <v>1</v>
      </c>
      <c r="V3019" s="33">
        <v>1</v>
      </c>
      <c r="W3019">
        <v>1</v>
      </c>
      <c r="X3019">
        <v>1</v>
      </c>
      <c r="Y3019">
        <v>0</v>
      </c>
      <c r="Z3019" s="33">
        <v>0</v>
      </c>
      <c r="AA3019">
        <v>5</v>
      </c>
      <c r="AB3019">
        <v>100</v>
      </c>
      <c r="AC3019">
        <v>70</v>
      </c>
      <c r="AD3019" s="159">
        <v>0</v>
      </c>
      <c r="AE3019" s="159">
        <v>7</v>
      </c>
      <c r="AF3019" s="159">
        <v>0</v>
      </c>
      <c r="AS3019">
        <v>1</v>
      </c>
    </row>
    <row r="3020" s="3" customFormat="1" spans="1:45">
      <c r="A3020">
        <v>650026</v>
      </c>
      <c r="B3020">
        <v>1001</v>
      </c>
      <c r="C3020">
        <v>24</v>
      </c>
      <c r="D3020">
        <v>1001</v>
      </c>
      <c r="E3020" t="s">
        <v>7580</v>
      </c>
      <c r="F3020" t="s">
        <v>7580</v>
      </c>
      <c r="G3020" t="s">
        <v>7580</v>
      </c>
      <c r="H3020" t="s">
        <v>7581</v>
      </c>
      <c r="I3020">
        <v>1</v>
      </c>
      <c r="J3020">
        <v>1</v>
      </c>
      <c r="K3020" s="33">
        <v>5</v>
      </c>
      <c r="L3020">
        <v>1</v>
      </c>
      <c r="M3020">
        <v>0</v>
      </c>
      <c r="N3020" s="2">
        <v>1042</v>
      </c>
      <c r="O3020" s="2">
        <v>1</v>
      </c>
      <c r="S3020" s="33">
        <v>1</v>
      </c>
      <c r="T3020">
        <v>5</v>
      </c>
      <c r="U3020">
        <v>1</v>
      </c>
      <c r="V3020" s="33">
        <v>1</v>
      </c>
      <c r="W3020">
        <v>1</v>
      </c>
      <c r="X3020">
        <v>1</v>
      </c>
      <c r="Y3020">
        <v>0</v>
      </c>
      <c r="Z3020" s="33">
        <v>0</v>
      </c>
      <c r="AA3020">
        <v>5</v>
      </c>
      <c r="AB3020">
        <v>100</v>
      </c>
      <c r="AC3020">
        <v>70</v>
      </c>
      <c r="AD3020" s="159">
        <v>0</v>
      </c>
      <c r="AE3020" s="159">
        <v>8</v>
      </c>
      <c r="AF3020" s="159">
        <v>0</v>
      </c>
      <c r="AG3020" s="63"/>
      <c r="AH3020" s="63"/>
      <c r="AI3020" s="63"/>
      <c r="AJ3020" s="63"/>
      <c r="AK3020" s="63"/>
      <c r="AL3020" s="64"/>
      <c r="AM3020" s="64"/>
      <c r="AN3020" s="65"/>
      <c r="AO3020" s="64"/>
      <c r="AP3020" s="64"/>
      <c r="AS3020">
        <v>1</v>
      </c>
    </row>
    <row r="3021" spans="1:45">
      <c r="A3021" s="3">
        <v>650027</v>
      </c>
      <c r="B3021" s="3">
        <v>1001</v>
      </c>
      <c r="C3021" s="3">
        <v>24</v>
      </c>
      <c r="D3021" s="3">
        <v>1001</v>
      </c>
      <c r="E3021" s="3" t="s">
        <v>7582</v>
      </c>
      <c r="F3021" s="3" t="s">
        <v>7582</v>
      </c>
      <c r="G3021" s="3" t="s">
        <v>7582</v>
      </c>
      <c r="H3021" s="3" t="s">
        <v>7581</v>
      </c>
      <c r="I3021" s="3">
        <v>1</v>
      </c>
      <c r="J3021" s="3">
        <v>1</v>
      </c>
      <c r="K3021" s="33">
        <v>5</v>
      </c>
      <c r="L3021" s="3">
        <v>1</v>
      </c>
      <c r="M3021" s="3">
        <v>0</v>
      </c>
      <c r="N3021" s="2">
        <v>1042</v>
      </c>
      <c r="O3021" s="3">
        <v>2</v>
      </c>
      <c r="S3021" s="33">
        <v>1</v>
      </c>
      <c r="T3021" s="3">
        <v>5</v>
      </c>
      <c r="U3021" s="3">
        <v>1</v>
      </c>
      <c r="V3021" s="33">
        <v>1</v>
      </c>
      <c r="W3021" s="3">
        <v>1</v>
      </c>
      <c r="X3021" s="3">
        <v>1</v>
      </c>
      <c r="Y3021" s="3">
        <v>0</v>
      </c>
      <c r="Z3021" s="33">
        <v>0</v>
      </c>
      <c r="AA3021" s="3">
        <v>5</v>
      </c>
      <c r="AB3021" s="3">
        <v>100</v>
      </c>
      <c r="AC3021" s="3">
        <v>70</v>
      </c>
      <c r="AD3021" s="159">
        <v>0</v>
      </c>
      <c r="AE3021" s="159">
        <v>8</v>
      </c>
      <c r="AF3021" s="159">
        <v>0</v>
      </c>
      <c r="AS3021" s="3">
        <v>1</v>
      </c>
    </row>
    <row r="3022" spans="1:45">
      <c r="A3022">
        <v>650028</v>
      </c>
      <c r="B3022">
        <v>1001</v>
      </c>
      <c r="C3022">
        <v>24</v>
      </c>
      <c r="D3022">
        <v>1001</v>
      </c>
      <c r="E3022" t="s">
        <v>7583</v>
      </c>
      <c r="F3022" t="s">
        <v>7583</v>
      </c>
      <c r="G3022" t="s">
        <v>7583</v>
      </c>
      <c r="H3022" t="s">
        <v>7581</v>
      </c>
      <c r="I3022">
        <v>1</v>
      </c>
      <c r="J3022">
        <v>1</v>
      </c>
      <c r="K3022" s="33">
        <v>5</v>
      </c>
      <c r="L3022">
        <v>1</v>
      </c>
      <c r="M3022">
        <v>0</v>
      </c>
      <c r="N3022" s="2">
        <v>1042</v>
      </c>
      <c r="O3022" s="2">
        <v>3</v>
      </c>
      <c r="S3022" s="33">
        <v>1</v>
      </c>
      <c r="T3022">
        <v>5</v>
      </c>
      <c r="U3022">
        <v>1</v>
      </c>
      <c r="V3022" s="33">
        <v>1</v>
      </c>
      <c r="W3022">
        <v>1</v>
      </c>
      <c r="X3022">
        <v>1</v>
      </c>
      <c r="Y3022">
        <v>0</v>
      </c>
      <c r="Z3022" s="33">
        <v>0</v>
      </c>
      <c r="AA3022">
        <v>5</v>
      </c>
      <c r="AB3022">
        <v>100</v>
      </c>
      <c r="AC3022">
        <v>70</v>
      </c>
      <c r="AD3022" s="159">
        <v>0</v>
      </c>
      <c r="AE3022" s="159">
        <v>8</v>
      </c>
      <c r="AF3022" s="159">
        <v>0</v>
      </c>
      <c r="AS3022">
        <v>1</v>
      </c>
    </row>
    <row r="3023" s="3" customFormat="1" spans="1:45">
      <c r="A3023">
        <v>650029</v>
      </c>
      <c r="B3023">
        <v>1001</v>
      </c>
      <c r="C3023">
        <v>24</v>
      </c>
      <c r="D3023">
        <v>1001</v>
      </c>
      <c r="E3023" t="s">
        <v>7584</v>
      </c>
      <c r="F3023" t="s">
        <v>7584</v>
      </c>
      <c r="G3023" t="s">
        <v>7584</v>
      </c>
      <c r="H3023" t="s">
        <v>7581</v>
      </c>
      <c r="I3023">
        <v>1</v>
      </c>
      <c r="J3023">
        <v>1</v>
      </c>
      <c r="K3023" s="33">
        <v>5</v>
      </c>
      <c r="L3023">
        <v>1</v>
      </c>
      <c r="M3023">
        <v>0</v>
      </c>
      <c r="N3023" s="2">
        <v>1042</v>
      </c>
      <c r="O3023" s="2">
        <v>4</v>
      </c>
      <c r="S3023" s="33">
        <v>1</v>
      </c>
      <c r="T3023">
        <v>5</v>
      </c>
      <c r="U3023">
        <v>1</v>
      </c>
      <c r="V3023" s="33">
        <v>1</v>
      </c>
      <c r="W3023">
        <v>1</v>
      </c>
      <c r="X3023">
        <v>1</v>
      </c>
      <c r="Y3023">
        <v>0</v>
      </c>
      <c r="Z3023" s="33">
        <v>0</v>
      </c>
      <c r="AA3023">
        <v>5</v>
      </c>
      <c r="AB3023">
        <v>100</v>
      </c>
      <c r="AC3023">
        <v>70</v>
      </c>
      <c r="AD3023" s="159">
        <v>0</v>
      </c>
      <c r="AE3023" s="159">
        <v>8</v>
      </c>
      <c r="AF3023" s="159">
        <v>0</v>
      </c>
      <c r="AG3023" s="63"/>
      <c r="AH3023" s="63"/>
      <c r="AI3023" s="63"/>
      <c r="AJ3023" s="63"/>
      <c r="AK3023" s="63"/>
      <c r="AL3023" s="64"/>
      <c r="AM3023" s="64"/>
      <c r="AN3023" s="65"/>
      <c r="AO3023" s="64"/>
      <c r="AP3023" s="64"/>
      <c r="AS3023">
        <v>1</v>
      </c>
    </row>
    <row r="3024" s="3" customFormat="1" spans="1:45">
      <c r="A3024" s="3">
        <v>650030</v>
      </c>
      <c r="B3024" s="3">
        <v>1001</v>
      </c>
      <c r="C3024" s="3">
        <v>24</v>
      </c>
      <c r="D3024" s="3">
        <v>1001</v>
      </c>
      <c r="E3024" s="3" t="s">
        <v>7585</v>
      </c>
      <c r="F3024" s="3" t="s">
        <v>7585</v>
      </c>
      <c r="G3024" s="3" t="s">
        <v>7585</v>
      </c>
      <c r="H3024" s="3" t="s">
        <v>7581</v>
      </c>
      <c r="I3024" s="3">
        <v>1</v>
      </c>
      <c r="J3024" s="3">
        <v>1</v>
      </c>
      <c r="K3024" s="33">
        <v>5</v>
      </c>
      <c r="L3024" s="3">
        <v>1</v>
      </c>
      <c r="M3024" s="3">
        <v>0</v>
      </c>
      <c r="N3024" s="2">
        <v>1042</v>
      </c>
      <c r="O3024" s="3">
        <v>5</v>
      </c>
      <c r="S3024" s="33">
        <v>1</v>
      </c>
      <c r="T3024" s="3">
        <v>5</v>
      </c>
      <c r="U3024" s="3">
        <v>1</v>
      </c>
      <c r="V3024" s="33">
        <v>1</v>
      </c>
      <c r="W3024" s="3">
        <v>1</v>
      </c>
      <c r="X3024" s="3">
        <v>1</v>
      </c>
      <c r="Y3024" s="3">
        <v>0</v>
      </c>
      <c r="Z3024" s="33">
        <v>0</v>
      </c>
      <c r="AA3024" s="3">
        <v>5</v>
      </c>
      <c r="AB3024" s="3">
        <v>100</v>
      </c>
      <c r="AC3024" s="3">
        <v>70</v>
      </c>
      <c r="AD3024" s="456">
        <v>0</v>
      </c>
      <c r="AE3024" s="456">
        <v>8</v>
      </c>
      <c r="AF3024" s="456">
        <v>0</v>
      </c>
      <c r="AG3024" s="63"/>
      <c r="AH3024" s="63"/>
      <c r="AI3024" s="63"/>
      <c r="AJ3024" s="63"/>
      <c r="AK3024" s="63"/>
      <c r="AL3024" s="64"/>
      <c r="AM3024" s="64"/>
      <c r="AN3024" s="65"/>
      <c r="AO3024" s="64"/>
      <c r="AP3024" s="64"/>
      <c r="AS3024" s="3">
        <v>1</v>
      </c>
    </row>
    <row r="3025" s="3" customFormat="1" spans="1:45">
      <c r="A3025" s="3">
        <v>790001</v>
      </c>
      <c r="B3025" s="3">
        <v>1001</v>
      </c>
      <c r="C3025" s="3">
        <v>1</v>
      </c>
      <c r="D3025" s="3">
        <v>1001</v>
      </c>
      <c r="E3025" s="3" t="s">
        <v>7586</v>
      </c>
      <c r="F3025" s="3" t="s">
        <v>7586</v>
      </c>
      <c r="G3025" s="3" t="s">
        <v>7586</v>
      </c>
      <c r="H3025" s="3" t="s">
        <v>6470</v>
      </c>
      <c r="I3025" s="3">
        <v>1</v>
      </c>
      <c r="J3025" s="3">
        <v>5</v>
      </c>
      <c r="K3025" s="33">
        <v>2</v>
      </c>
      <c r="L3025" s="3">
        <v>999</v>
      </c>
      <c r="M3025" s="3">
        <v>0</v>
      </c>
      <c r="N3025" s="3">
        <v>1039</v>
      </c>
      <c r="O3025" s="2">
        <v>1</v>
      </c>
      <c r="S3025" s="33">
        <v>1</v>
      </c>
      <c r="T3025" s="3">
        <v>5</v>
      </c>
      <c r="U3025" s="3">
        <v>100</v>
      </c>
      <c r="V3025" s="33">
        <v>1</v>
      </c>
      <c r="W3025" s="3">
        <v>1</v>
      </c>
      <c r="X3025" s="3">
        <v>1</v>
      </c>
      <c r="Y3025" s="3">
        <v>0</v>
      </c>
      <c r="Z3025" s="33">
        <v>0</v>
      </c>
      <c r="AA3025" s="3">
        <v>5</v>
      </c>
      <c r="AB3025" s="3">
        <v>100</v>
      </c>
      <c r="AC3025" s="3">
        <v>100</v>
      </c>
      <c r="AD3025" s="62">
        <v>0</v>
      </c>
      <c r="AE3025" s="62">
        <v>1</v>
      </c>
      <c r="AF3025" s="62">
        <v>1</v>
      </c>
      <c r="AG3025" s="63"/>
      <c r="AH3025" s="63"/>
      <c r="AI3025" s="63"/>
      <c r="AJ3025" s="63"/>
      <c r="AK3025" s="63"/>
      <c r="AL3025" s="64"/>
      <c r="AM3025" s="64"/>
      <c r="AN3025" s="65"/>
      <c r="AO3025" s="64"/>
      <c r="AP3025" s="64"/>
      <c r="AS3025" s="3">
        <v>1</v>
      </c>
    </row>
    <row r="3026" s="3" customFormat="1" spans="1:45">
      <c r="A3026" s="3">
        <v>790002</v>
      </c>
      <c r="B3026" s="3">
        <v>1001</v>
      </c>
      <c r="C3026" s="3">
        <v>1</v>
      </c>
      <c r="D3026" s="3">
        <v>1001</v>
      </c>
      <c r="E3026" s="3" t="s">
        <v>7587</v>
      </c>
      <c r="F3026" s="3" t="s">
        <v>7586</v>
      </c>
      <c r="G3026" s="3" t="s">
        <v>7586</v>
      </c>
      <c r="H3026" s="3" t="s">
        <v>6470</v>
      </c>
      <c r="I3026" s="3">
        <v>1</v>
      </c>
      <c r="J3026" s="3">
        <v>5</v>
      </c>
      <c r="K3026" s="33">
        <v>2</v>
      </c>
      <c r="L3026" s="3">
        <v>999</v>
      </c>
      <c r="M3026" s="3">
        <v>0</v>
      </c>
      <c r="N3026" s="3">
        <v>1039</v>
      </c>
      <c r="O3026" s="2">
        <v>2</v>
      </c>
      <c r="S3026" s="33">
        <v>1</v>
      </c>
      <c r="T3026" s="3">
        <v>5</v>
      </c>
      <c r="U3026" s="3">
        <v>100</v>
      </c>
      <c r="V3026" s="33">
        <v>1</v>
      </c>
      <c r="W3026" s="3">
        <v>1</v>
      </c>
      <c r="X3026" s="3">
        <v>1</v>
      </c>
      <c r="Y3026" s="3">
        <v>0</v>
      </c>
      <c r="Z3026" s="33">
        <v>0</v>
      </c>
      <c r="AA3026" s="3">
        <v>5</v>
      </c>
      <c r="AB3026" s="3">
        <v>100</v>
      </c>
      <c r="AC3026" s="3">
        <v>100</v>
      </c>
      <c r="AD3026" s="62">
        <v>0</v>
      </c>
      <c r="AE3026" s="62">
        <v>1</v>
      </c>
      <c r="AF3026" s="62">
        <v>1</v>
      </c>
      <c r="AG3026" s="63"/>
      <c r="AH3026" s="63"/>
      <c r="AI3026" s="63"/>
      <c r="AJ3026" s="63"/>
      <c r="AK3026" s="63"/>
      <c r="AL3026" s="64"/>
      <c r="AM3026" s="64"/>
      <c r="AN3026" s="65"/>
      <c r="AO3026" s="64"/>
      <c r="AP3026" s="64"/>
      <c r="AS3026" s="3">
        <v>1</v>
      </c>
    </row>
    <row r="3027" s="3" customFormat="1" spans="1:45">
      <c r="A3027" s="3">
        <v>790003</v>
      </c>
      <c r="B3027" s="3">
        <v>1001</v>
      </c>
      <c r="C3027" s="3">
        <v>1</v>
      </c>
      <c r="D3027" s="3">
        <v>1001</v>
      </c>
      <c r="E3027" s="3" t="s">
        <v>7588</v>
      </c>
      <c r="F3027" s="3" t="s">
        <v>7588</v>
      </c>
      <c r="G3027" s="3" t="s">
        <v>7589</v>
      </c>
      <c r="H3027" s="3" t="s">
        <v>7590</v>
      </c>
      <c r="I3027" s="3">
        <v>1</v>
      </c>
      <c r="J3027" s="3">
        <v>5</v>
      </c>
      <c r="K3027" s="33">
        <v>2</v>
      </c>
      <c r="L3027" s="3">
        <v>999</v>
      </c>
      <c r="M3027" s="3">
        <v>0</v>
      </c>
      <c r="N3027" s="3">
        <v>1039</v>
      </c>
      <c r="O3027" s="2">
        <v>2</v>
      </c>
      <c r="S3027" s="33">
        <v>1</v>
      </c>
      <c r="T3027" s="3">
        <v>5</v>
      </c>
      <c r="U3027" s="3">
        <v>100</v>
      </c>
      <c r="V3027" s="33">
        <v>1</v>
      </c>
      <c r="W3027" s="3">
        <v>1</v>
      </c>
      <c r="X3027" s="3">
        <v>1</v>
      </c>
      <c r="Y3027" s="3">
        <v>0</v>
      </c>
      <c r="Z3027" s="33">
        <v>0</v>
      </c>
      <c r="AA3027" s="3">
        <v>5</v>
      </c>
      <c r="AB3027" s="3">
        <v>1000</v>
      </c>
      <c r="AC3027" s="3">
        <v>100</v>
      </c>
      <c r="AD3027" s="62">
        <v>0</v>
      </c>
      <c r="AE3027" s="62">
        <v>1</v>
      </c>
      <c r="AF3027" s="62">
        <v>1</v>
      </c>
      <c r="AG3027" s="63"/>
      <c r="AH3027" s="63"/>
      <c r="AI3027" s="63"/>
      <c r="AJ3027" s="63"/>
      <c r="AK3027" s="63"/>
      <c r="AL3027" s="64"/>
      <c r="AM3027" s="64"/>
      <c r="AN3027" s="65"/>
      <c r="AO3027" s="64"/>
      <c r="AP3027" s="64"/>
      <c r="AS3027" s="3">
        <v>1</v>
      </c>
    </row>
    <row r="3028" spans="1:45">
      <c r="A3028" s="3">
        <v>790004</v>
      </c>
      <c r="B3028" s="3">
        <v>1001</v>
      </c>
      <c r="C3028" s="3">
        <v>1</v>
      </c>
      <c r="D3028" s="3">
        <v>1001</v>
      </c>
      <c r="E3028" s="3" t="s">
        <v>7591</v>
      </c>
      <c r="F3028" s="3" t="s">
        <v>7591</v>
      </c>
      <c r="G3028" s="3" t="s">
        <v>7589</v>
      </c>
      <c r="H3028" s="3" t="s">
        <v>7592</v>
      </c>
      <c r="I3028" s="3">
        <v>1</v>
      </c>
      <c r="J3028" s="3">
        <v>5</v>
      </c>
      <c r="K3028" s="33">
        <v>2</v>
      </c>
      <c r="L3028" s="3">
        <v>999</v>
      </c>
      <c r="M3028" s="3">
        <v>0</v>
      </c>
      <c r="N3028" s="3">
        <v>1039</v>
      </c>
      <c r="O3028" s="2">
        <v>3</v>
      </c>
      <c r="S3028" s="33">
        <v>1</v>
      </c>
      <c r="T3028" s="3">
        <v>5</v>
      </c>
      <c r="U3028" s="3">
        <v>100</v>
      </c>
      <c r="V3028" s="33">
        <v>1</v>
      </c>
      <c r="W3028" s="3">
        <v>1</v>
      </c>
      <c r="X3028" s="3">
        <v>1</v>
      </c>
      <c r="Y3028" s="3">
        <v>0</v>
      </c>
      <c r="Z3028" s="33">
        <v>0</v>
      </c>
      <c r="AA3028" s="3">
        <v>5</v>
      </c>
      <c r="AB3028" s="3">
        <v>1000</v>
      </c>
      <c r="AC3028" s="3">
        <v>100</v>
      </c>
      <c r="AD3028" s="12">
        <v>0</v>
      </c>
      <c r="AE3028" s="12">
        <v>1</v>
      </c>
      <c r="AF3028" s="12">
        <v>1</v>
      </c>
      <c r="AG3028" s="430"/>
      <c r="AH3028" s="430"/>
      <c r="AI3028" s="430"/>
      <c r="AJ3028" s="430"/>
      <c r="AK3028" s="430"/>
      <c r="AL3028" s="214"/>
      <c r="AM3028" s="214"/>
      <c r="AN3028" s="431"/>
      <c r="AO3028" s="214"/>
      <c r="AP3028" s="214"/>
      <c r="AS3028" s="3">
        <v>1</v>
      </c>
    </row>
    <row r="3029" spans="1:45">
      <c r="A3029">
        <v>790005</v>
      </c>
      <c r="B3029" s="238">
        <v>1001</v>
      </c>
      <c r="C3029" s="238">
        <v>1</v>
      </c>
      <c r="D3029" s="238">
        <v>1001</v>
      </c>
      <c r="E3029" s="238" t="s">
        <v>7593</v>
      </c>
      <c r="F3029" s="238" t="s">
        <v>7593</v>
      </c>
      <c r="G3029" s="238" t="s">
        <v>7589</v>
      </c>
      <c r="H3029" s="238" t="s">
        <v>7594</v>
      </c>
      <c r="I3029" s="238">
        <v>1</v>
      </c>
      <c r="J3029" s="238">
        <v>5</v>
      </c>
      <c r="K3029" s="254">
        <v>2</v>
      </c>
      <c r="L3029" s="238">
        <v>999</v>
      </c>
      <c r="M3029" s="238">
        <v>0</v>
      </c>
      <c r="N3029" s="238">
        <v>1039</v>
      </c>
      <c r="O3029" s="258">
        <v>4</v>
      </c>
      <c r="P3029" s="8"/>
      <c r="Q3029" s="8"/>
      <c r="R3029" s="8"/>
      <c r="S3029" s="254">
        <v>1</v>
      </c>
      <c r="T3029" s="238">
        <v>5</v>
      </c>
      <c r="U3029" s="238">
        <v>100</v>
      </c>
      <c r="V3029" s="254">
        <v>1</v>
      </c>
      <c r="W3029" s="238">
        <v>1</v>
      </c>
      <c r="X3029" s="238">
        <v>1</v>
      </c>
      <c r="Y3029" s="238">
        <v>0</v>
      </c>
      <c r="Z3029" s="254">
        <v>0</v>
      </c>
      <c r="AA3029" s="238">
        <v>5</v>
      </c>
      <c r="AB3029" s="238">
        <v>1000</v>
      </c>
      <c r="AC3029" s="238">
        <v>100</v>
      </c>
      <c r="AD3029" s="255">
        <v>0</v>
      </c>
      <c r="AE3029" s="255">
        <v>1</v>
      </c>
      <c r="AF3029" s="255">
        <v>1</v>
      </c>
      <c r="AG3029" s="434"/>
      <c r="AH3029" s="434"/>
      <c r="AI3029" s="434"/>
      <c r="AJ3029" s="434"/>
      <c r="AK3029" s="434"/>
      <c r="AL3029" s="434"/>
      <c r="AM3029" s="434"/>
      <c r="AN3029" s="435"/>
      <c r="AO3029" s="434"/>
      <c r="AP3029" s="434"/>
      <c r="AQ3029" s="8"/>
      <c r="AR3029" s="8"/>
      <c r="AS3029">
        <v>1</v>
      </c>
    </row>
    <row r="3030" spans="1:45">
      <c r="A3030">
        <v>999801</v>
      </c>
      <c r="B3030" s="8">
        <v>1001</v>
      </c>
      <c r="C3030" s="8">
        <v>6</v>
      </c>
      <c r="D3030" s="8">
        <v>1001</v>
      </c>
      <c r="E3030" s="8" t="s">
        <v>7595</v>
      </c>
      <c r="F3030" s="8" t="s">
        <v>7596</v>
      </c>
      <c r="G3030" s="8" t="s">
        <v>7597</v>
      </c>
      <c r="H3030" s="8" t="s">
        <v>1431</v>
      </c>
      <c r="I3030" s="8">
        <v>1</v>
      </c>
      <c r="J3030" s="8">
        <v>5</v>
      </c>
      <c r="K3030" s="8">
        <v>2</v>
      </c>
      <c r="L3030" s="8">
        <v>999</v>
      </c>
      <c r="M3030" s="8">
        <v>0</v>
      </c>
      <c r="N3030" s="8">
        <v>1018</v>
      </c>
      <c r="O3030" s="236" t="s">
        <v>7598</v>
      </c>
      <c r="P3030" s="8"/>
      <c r="Q3030" s="8"/>
      <c r="R3030" s="8"/>
      <c r="S3030" s="8">
        <v>1</v>
      </c>
      <c r="T3030" s="8">
        <v>5</v>
      </c>
      <c r="U3030" s="8">
        <v>200</v>
      </c>
      <c r="V3030" s="8">
        <v>1</v>
      </c>
      <c r="W3030" s="8">
        <v>1</v>
      </c>
      <c r="X3030" s="8">
        <v>1</v>
      </c>
      <c r="Y3030" s="8">
        <v>0</v>
      </c>
      <c r="Z3030" s="8">
        <v>0</v>
      </c>
      <c r="AA3030" s="8">
        <v>5</v>
      </c>
      <c r="AB3030" s="128">
        <v>1000</v>
      </c>
      <c r="AC3030" s="8">
        <v>56</v>
      </c>
      <c r="AD3030" s="8">
        <v>0</v>
      </c>
      <c r="AE3030" s="8">
        <v>5</v>
      </c>
      <c r="AF3030" s="8">
        <v>2</v>
      </c>
      <c r="AG3030" s="8"/>
      <c r="AH3030" s="8"/>
      <c r="AI3030" s="8"/>
      <c r="AJ3030" s="8"/>
      <c r="AK3030" s="8"/>
      <c r="AL3030" s="8"/>
      <c r="AM3030" s="8"/>
      <c r="AN3030" s="8"/>
      <c r="AO3030" s="8"/>
      <c r="AP3030" s="8"/>
      <c r="AQ3030" s="8"/>
      <c r="AR3030" s="8"/>
      <c r="AS3030">
        <v>1</v>
      </c>
    </row>
    <row r="3031" spans="1:45">
      <c r="A3031">
        <v>999802</v>
      </c>
      <c r="B3031" s="8">
        <v>1001</v>
      </c>
      <c r="C3031" s="8">
        <v>6</v>
      </c>
      <c r="D3031" s="8">
        <v>1001</v>
      </c>
      <c r="E3031" s="8" t="s">
        <v>7599</v>
      </c>
      <c r="F3031" s="8" t="s">
        <v>7599</v>
      </c>
      <c r="G3031" s="8" t="s">
        <v>7600</v>
      </c>
      <c r="H3031" s="8" t="s">
        <v>1431</v>
      </c>
      <c r="I3031" s="8">
        <v>1</v>
      </c>
      <c r="J3031" s="8">
        <v>5</v>
      </c>
      <c r="K3031" s="8">
        <v>2</v>
      </c>
      <c r="L3031" s="8">
        <v>999</v>
      </c>
      <c r="M3031" s="8">
        <v>0</v>
      </c>
      <c r="N3031" s="8">
        <v>1018</v>
      </c>
      <c r="O3031" s="2" t="s">
        <v>6858</v>
      </c>
      <c r="P3031" s="8"/>
      <c r="Q3031" s="8"/>
      <c r="R3031" s="8"/>
      <c r="S3031" s="8">
        <v>1</v>
      </c>
      <c r="T3031" s="8">
        <v>5</v>
      </c>
      <c r="U3031" s="8">
        <v>200</v>
      </c>
      <c r="V3031" s="8">
        <v>1</v>
      </c>
      <c r="W3031" s="8">
        <v>1</v>
      </c>
      <c r="X3031" s="8">
        <v>1</v>
      </c>
      <c r="Y3031" s="8">
        <v>0</v>
      </c>
      <c r="Z3031" s="8">
        <v>0</v>
      </c>
      <c r="AA3031" s="8">
        <v>5</v>
      </c>
      <c r="AB3031" s="128">
        <v>1000</v>
      </c>
      <c r="AC3031" s="8">
        <v>56</v>
      </c>
      <c r="AD3031" s="8">
        <v>0</v>
      </c>
      <c r="AE3031" s="8">
        <v>5</v>
      </c>
      <c r="AF3031" s="8">
        <v>2</v>
      </c>
      <c r="AG3031" s="8"/>
      <c r="AH3031" s="8"/>
      <c r="AI3031" s="8"/>
      <c r="AJ3031" s="8"/>
      <c r="AK3031" s="8"/>
      <c r="AL3031" s="8"/>
      <c r="AM3031" s="8"/>
      <c r="AN3031" s="8"/>
      <c r="AO3031" s="8"/>
      <c r="AP3031" s="8"/>
      <c r="AQ3031" s="8"/>
      <c r="AR3031" s="8"/>
      <c r="AS3031">
        <v>1</v>
      </c>
    </row>
    <row r="3032" spans="1:45">
      <c r="A3032">
        <v>999803</v>
      </c>
      <c r="B3032" s="236">
        <v>1001</v>
      </c>
      <c r="C3032" s="236">
        <v>6</v>
      </c>
      <c r="D3032" s="236">
        <v>1001</v>
      </c>
      <c r="E3032" s="236" t="s">
        <v>7601</v>
      </c>
      <c r="F3032" s="236" t="s">
        <v>7601</v>
      </c>
      <c r="G3032" s="236" t="s">
        <v>7602</v>
      </c>
      <c r="H3032" s="236" t="s">
        <v>1431</v>
      </c>
      <c r="I3032" s="236">
        <v>1</v>
      </c>
      <c r="J3032" s="236">
        <v>5</v>
      </c>
      <c r="K3032" s="236">
        <v>2</v>
      </c>
      <c r="L3032" s="236">
        <v>999</v>
      </c>
      <c r="M3032" s="236">
        <v>0</v>
      </c>
      <c r="N3032" s="236">
        <v>1018</v>
      </c>
      <c r="O3032" s="2" t="s">
        <v>7603</v>
      </c>
      <c r="P3032" s="236"/>
      <c r="Q3032" s="236"/>
      <c r="R3032" s="236"/>
      <c r="S3032" s="236">
        <v>1</v>
      </c>
      <c r="T3032" s="236">
        <v>5</v>
      </c>
      <c r="U3032" s="236">
        <v>200</v>
      </c>
      <c r="V3032" s="236">
        <v>1</v>
      </c>
      <c r="W3032" s="236">
        <v>1</v>
      </c>
      <c r="X3032" s="236">
        <v>1</v>
      </c>
      <c r="Y3032" s="236">
        <v>0</v>
      </c>
      <c r="Z3032" s="236">
        <v>0</v>
      </c>
      <c r="AA3032" s="236">
        <v>5</v>
      </c>
      <c r="AB3032" s="128">
        <v>1000</v>
      </c>
      <c r="AC3032" s="236">
        <v>56</v>
      </c>
      <c r="AD3032" s="456">
        <v>0</v>
      </c>
      <c r="AE3032" s="456">
        <v>5</v>
      </c>
      <c r="AF3032" s="456">
        <v>2</v>
      </c>
      <c r="AG3032" s="456"/>
      <c r="AH3032" s="456"/>
      <c r="AI3032" s="456"/>
      <c r="AJ3032" s="456"/>
      <c r="AK3032" s="456"/>
      <c r="AL3032" s="236"/>
      <c r="AM3032" s="236"/>
      <c r="AN3032" s="236"/>
      <c r="AO3032" s="236"/>
      <c r="AP3032" s="236"/>
      <c r="AQ3032" s="236"/>
      <c r="AR3032" s="236"/>
      <c r="AS3032">
        <v>1</v>
      </c>
    </row>
    <row r="3033" spans="1:45">
      <c r="A3033">
        <v>999901</v>
      </c>
      <c r="B3033">
        <v>1001</v>
      </c>
      <c r="C3033">
        <v>1</v>
      </c>
      <c r="D3033">
        <v>1001</v>
      </c>
      <c r="E3033" t="s">
        <v>7604</v>
      </c>
      <c r="F3033" t="s">
        <v>7605</v>
      </c>
      <c r="G3033" t="s">
        <v>7606</v>
      </c>
      <c r="H3033" t="s">
        <v>2182</v>
      </c>
      <c r="I3033">
        <v>1</v>
      </c>
      <c r="J3033">
        <v>5</v>
      </c>
      <c r="K3033" s="33">
        <v>2</v>
      </c>
      <c r="L3033">
        <v>999</v>
      </c>
      <c r="M3033">
        <v>0</v>
      </c>
      <c r="N3033">
        <v>1043</v>
      </c>
      <c r="S3033" s="33">
        <v>1</v>
      </c>
      <c r="T3033">
        <v>5</v>
      </c>
      <c r="U3033">
        <v>200</v>
      </c>
      <c r="V3033" s="33">
        <v>1</v>
      </c>
      <c r="W3033">
        <v>1</v>
      </c>
      <c r="X3033">
        <v>1</v>
      </c>
      <c r="Y3033">
        <v>0</v>
      </c>
      <c r="Z3033" s="33">
        <v>0</v>
      </c>
      <c r="AA3033">
        <v>5</v>
      </c>
      <c r="AB3033" s="395">
        <v>1000</v>
      </c>
      <c r="AC3033">
        <v>56</v>
      </c>
      <c r="AD3033" s="62">
        <v>0</v>
      </c>
      <c r="AE3033" s="62">
        <v>1</v>
      </c>
      <c r="AF3033" s="62">
        <v>1</v>
      </c>
      <c r="AG3033" s="214"/>
      <c r="AH3033" s="214"/>
      <c r="AI3033" s="214"/>
      <c r="AJ3033" s="214"/>
      <c r="AK3033" s="214"/>
      <c r="AL3033" s="214"/>
      <c r="AM3033" s="214"/>
      <c r="AN3033" s="431"/>
      <c r="AO3033" s="214"/>
      <c r="AP3033" s="214"/>
      <c r="AS3033">
        <v>1</v>
      </c>
    </row>
    <row r="3034" spans="1:45">
      <c r="A3034">
        <v>790006</v>
      </c>
      <c r="B3034">
        <v>1001</v>
      </c>
      <c r="C3034">
        <v>1</v>
      </c>
      <c r="D3034">
        <v>1001</v>
      </c>
      <c r="E3034" t="s">
        <v>7607</v>
      </c>
      <c r="F3034" t="s">
        <v>7607</v>
      </c>
      <c r="G3034" t="s">
        <v>7589</v>
      </c>
      <c r="H3034" t="s">
        <v>7608</v>
      </c>
      <c r="I3034">
        <v>1</v>
      </c>
      <c r="J3034">
        <v>5</v>
      </c>
      <c r="K3034" s="33">
        <v>2</v>
      </c>
      <c r="L3034">
        <v>999</v>
      </c>
      <c r="M3034">
        <v>0</v>
      </c>
      <c r="N3034">
        <v>1039</v>
      </c>
      <c r="O3034" s="2">
        <v>5</v>
      </c>
      <c r="Q3034"/>
      <c r="S3034" s="33">
        <v>1</v>
      </c>
      <c r="T3034">
        <v>5</v>
      </c>
      <c r="U3034">
        <v>100</v>
      </c>
      <c r="V3034" s="33">
        <v>1</v>
      </c>
      <c r="W3034">
        <v>1</v>
      </c>
      <c r="X3034">
        <v>1</v>
      </c>
      <c r="Y3034">
        <v>0</v>
      </c>
      <c r="Z3034" s="33">
        <v>0</v>
      </c>
      <c r="AA3034">
        <v>5</v>
      </c>
      <c r="AB3034">
        <v>1000</v>
      </c>
      <c r="AC3034">
        <v>100</v>
      </c>
      <c r="AD3034" s="62">
        <v>0</v>
      </c>
      <c r="AE3034" s="62">
        <v>1</v>
      </c>
      <c r="AF3034" s="62">
        <v>1</v>
      </c>
      <c r="AG3034" s="214"/>
      <c r="AH3034" s="214"/>
      <c r="AI3034" s="214"/>
      <c r="AJ3034" s="214"/>
      <c r="AK3034" s="214"/>
      <c r="AL3034" s="214"/>
      <c r="AM3034" s="214"/>
      <c r="AN3034" s="431"/>
      <c r="AO3034" s="214"/>
      <c r="AP3034" s="214"/>
      <c r="AS3034">
        <v>1</v>
      </c>
    </row>
    <row r="3035" spans="1:45">
      <c r="A3035">
        <v>555501</v>
      </c>
      <c r="B3035">
        <v>1001</v>
      </c>
      <c r="C3035">
        <v>1</v>
      </c>
      <c r="D3035">
        <v>1001</v>
      </c>
      <c r="E3035" t="s">
        <v>7609</v>
      </c>
      <c r="F3035" t="s">
        <v>7609</v>
      </c>
      <c r="G3035" t="s">
        <v>7609</v>
      </c>
      <c r="H3035" t="s">
        <v>7610</v>
      </c>
      <c r="I3035">
        <v>1</v>
      </c>
      <c r="J3035">
        <v>5</v>
      </c>
      <c r="K3035" s="33">
        <v>1</v>
      </c>
      <c r="L3035" s="3">
        <v>9999</v>
      </c>
      <c r="M3035">
        <v>0</v>
      </c>
      <c r="Q3035" t="s">
        <v>7611</v>
      </c>
      <c r="S3035" s="33">
        <v>1</v>
      </c>
      <c r="T3035">
        <v>5</v>
      </c>
      <c r="U3035">
        <v>200</v>
      </c>
      <c r="V3035" s="33">
        <v>1</v>
      </c>
      <c r="W3035">
        <v>1</v>
      </c>
      <c r="X3035">
        <v>1</v>
      </c>
      <c r="Y3035">
        <v>0</v>
      </c>
      <c r="Z3035" s="33">
        <v>0</v>
      </c>
      <c r="AA3035">
        <v>5</v>
      </c>
      <c r="AB3035">
        <v>200</v>
      </c>
      <c r="AC3035">
        <v>805</v>
      </c>
      <c r="AD3035" s="62">
        <v>0</v>
      </c>
      <c r="AE3035" s="62">
        <v>0</v>
      </c>
      <c r="AF3035" s="62">
        <v>0</v>
      </c>
      <c r="AS3035">
        <v>1</v>
      </c>
    </row>
    <row r="3036" spans="1:45">
      <c r="A3036">
        <v>555502</v>
      </c>
      <c r="B3036">
        <v>1001</v>
      </c>
      <c r="C3036">
        <v>1</v>
      </c>
      <c r="D3036">
        <v>1001</v>
      </c>
      <c r="E3036" t="s">
        <v>7612</v>
      </c>
      <c r="F3036" t="s">
        <v>7612</v>
      </c>
      <c r="G3036" t="s">
        <v>7613</v>
      </c>
      <c r="H3036" t="s">
        <v>7614</v>
      </c>
      <c r="I3036">
        <v>1</v>
      </c>
      <c r="J3036">
        <v>2</v>
      </c>
      <c r="K3036" s="33">
        <v>1</v>
      </c>
      <c r="L3036" s="3">
        <v>9999</v>
      </c>
      <c r="M3036">
        <v>0</v>
      </c>
      <c r="Q3036" t="s">
        <v>7611</v>
      </c>
      <c r="S3036" s="33">
        <v>1</v>
      </c>
      <c r="T3036">
        <v>5</v>
      </c>
      <c r="U3036">
        <v>100</v>
      </c>
      <c r="V3036" s="33">
        <v>1</v>
      </c>
      <c r="W3036">
        <v>1</v>
      </c>
      <c r="X3036">
        <v>1</v>
      </c>
      <c r="Y3036">
        <v>0</v>
      </c>
      <c r="Z3036" s="33">
        <v>0</v>
      </c>
      <c r="AA3036">
        <v>5</v>
      </c>
      <c r="AB3036">
        <v>100</v>
      </c>
      <c r="AC3036">
        <v>805</v>
      </c>
      <c r="AD3036" s="62">
        <v>0</v>
      </c>
      <c r="AE3036" s="62">
        <v>0</v>
      </c>
      <c r="AF3036" s="62">
        <v>0</v>
      </c>
      <c r="AS3036">
        <v>1</v>
      </c>
    </row>
    <row r="3037" spans="1:45">
      <c r="A3037">
        <v>555503</v>
      </c>
      <c r="B3037">
        <v>1001</v>
      </c>
      <c r="C3037">
        <v>1</v>
      </c>
      <c r="D3037">
        <v>1001</v>
      </c>
      <c r="E3037" t="s">
        <v>7615</v>
      </c>
      <c r="F3037" t="s">
        <v>7615</v>
      </c>
      <c r="G3037" t="s">
        <v>7613</v>
      </c>
      <c r="H3037" t="s">
        <v>7616</v>
      </c>
      <c r="I3037">
        <v>1</v>
      </c>
      <c r="J3037">
        <v>3</v>
      </c>
      <c r="K3037" s="33">
        <v>1</v>
      </c>
      <c r="L3037" s="3">
        <v>9999</v>
      </c>
      <c r="M3037">
        <v>0</v>
      </c>
      <c r="Q3037" t="s">
        <v>7611</v>
      </c>
      <c r="S3037" s="33">
        <v>1</v>
      </c>
      <c r="T3037">
        <v>5</v>
      </c>
      <c r="U3037">
        <v>100</v>
      </c>
      <c r="V3037" s="33">
        <v>1</v>
      </c>
      <c r="W3037">
        <v>1</v>
      </c>
      <c r="X3037">
        <v>1</v>
      </c>
      <c r="Y3037">
        <v>0</v>
      </c>
      <c r="Z3037" s="33">
        <v>0</v>
      </c>
      <c r="AA3037">
        <v>5</v>
      </c>
      <c r="AB3037">
        <v>100</v>
      </c>
      <c r="AC3037">
        <v>805</v>
      </c>
      <c r="AD3037" s="62">
        <v>0</v>
      </c>
      <c r="AE3037" s="62">
        <v>0</v>
      </c>
      <c r="AF3037" s="62">
        <v>0</v>
      </c>
      <c r="AS3037">
        <v>1</v>
      </c>
    </row>
    <row r="3038" spans="1:45">
      <c r="A3038">
        <v>555504</v>
      </c>
      <c r="B3038">
        <v>1001</v>
      </c>
      <c r="C3038">
        <v>1</v>
      </c>
      <c r="D3038">
        <v>1001</v>
      </c>
      <c r="E3038" t="s">
        <v>7617</v>
      </c>
      <c r="F3038" t="s">
        <v>7617</v>
      </c>
      <c r="G3038" t="s">
        <v>7613</v>
      </c>
      <c r="H3038" t="s">
        <v>7618</v>
      </c>
      <c r="I3038">
        <v>1</v>
      </c>
      <c r="J3038">
        <v>4</v>
      </c>
      <c r="K3038" s="33">
        <v>1</v>
      </c>
      <c r="L3038" s="3">
        <v>9999</v>
      </c>
      <c r="M3038">
        <v>0</v>
      </c>
      <c r="Q3038" t="s">
        <v>7611</v>
      </c>
      <c r="S3038" s="33">
        <v>1</v>
      </c>
      <c r="T3038">
        <v>5</v>
      </c>
      <c r="U3038">
        <v>100</v>
      </c>
      <c r="V3038" s="33">
        <v>1</v>
      </c>
      <c r="W3038">
        <v>1</v>
      </c>
      <c r="X3038">
        <v>1</v>
      </c>
      <c r="Y3038">
        <v>0</v>
      </c>
      <c r="Z3038" s="33">
        <v>0</v>
      </c>
      <c r="AA3038">
        <v>5</v>
      </c>
      <c r="AB3038">
        <v>100</v>
      </c>
      <c r="AC3038">
        <v>805</v>
      </c>
      <c r="AD3038" s="62">
        <v>0</v>
      </c>
      <c r="AE3038" s="62">
        <v>0</v>
      </c>
      <c r="AF3038" s="62">
        <v>0</v>
      </c>
      <c r="AS3038">
        <v>1</v>
      </c>
    </row>
    <row r="3039" spans="1:45">
      <c r="A3039">
        <v>555505</v>
      </c>
      <c r="B3039">
        <v>1001</v>
      </c>
      <c r="C3039">
        <v>1</v>
      </c>
      <c r="D3039">
        <v>1001</v>
      </c>
      <c r="E3039" t="s">
        <v>7619</v>
      </c>
      <c r="F3039" t="s">
        <v>7619</v>
      </c>
      <c r="G3039" t="s">
        <v>7613</v>
      </c>
      <c r="H3039" t="s">
        <v>7620</v>
      </c>
      <c r="I3039">
        <v>1</v>
      </c>
      <c r="J3039">
        <v>5</v>
      </c>
      <c r="K3039" s="33">
        <v>1</v>
      </c>
      <c r="L3039" s="3">
        <v>9999</v>
      </c>
      <c r="M3039">
        <v>0</v>
      </c>
      <c r="Q3039" t="s">
        <v>7611</v>
      </c>
      <c r="S3039" s="33">
        <v>1</v>
      </c>
      <c r="T3039">
        <v>5</v>
      </c>
      <c r="U3039">
        <v>100</v>
      </c>
      <c r="V3039" s="33">
        <v>1</v>
      </c>
      <c r="W3039">
        <v>1</v>
      </c>
      <c r="X3039">
        <v>1</v>
      </c>
      <c r="Y3039">
        <v>0</v>
      </c>
      <c r="Z3039" s="33">
        <v>0</v>
      </c>
      <c r="AA3039">
        <v>5</v>
      </c>
      <c r="AB3039">
        <v>100</v>
      </c>
      <c r="AC3039">
        <v>805</v>
      </c>
      <c r="AD3039" s="62">
        <v>0</v>
      </c>
      <c r="AE3039" s="62">
        <v>0</v>
      </c>
      <c r="AF3039" s="62">
        <v>0</v>
      </c>
      <c r="AS3039">
        <v>1</v>
      </c>
    </row>
    <row r="3040" spans="1:45">
      <c r="A3040">
        <v>555511</v>
      </c>
      <c r="B3040">
        <v>1001</v>
      </c>
      <c r="C3040">
        <v>1</v>
      </c>
      <c r="D3040">
        <v>1001</v>
      </c>
      <c r="E3040" t="s">
        <v>7621</v>
      </c>
      <c r="F3040" t="s">
        <v>7621</v>
      </c>
      <c r="G3040" t="s">
        <v>7622</v>
      </c>
      <c r="H3040" t="s">
        <v>7623</v>
      </c>
      <c r="I3040">
        <v>1</v>
      </c>
      <c r="J3040">
        <v>5</v>
      </c>
      <c r="K3040" s="33">
        <v>1</v>
      </c>
      <c r="L3040" s="3">
        <v>9999</v>
      </c>
      <c r="M3040">
        <v>0</v>
      </c>
      <c r="Q3040" t="s">
        <v>7624</v>
      </c>
      <c r="S3040" s="33">
        <v>1</v>
      </c>
      <c r="T3040">
        <v>5</v>
      </c>
      <c r="U3040">
        <v>200</v>
      </c>
      <c r="V3040" s="33">
        <v>1</v>
      </c>
      <c r="W3040">
        <v>1</v>
      </c>
      <c r="X3040">
        <v>1</v>
      </c>
      <c r="Y3040">
        <v>0</v>
      </c>
      <c r="Z3040" s="33">
        <v>0</v>
      </c>
      <c r="AA3040">
        <v>5</v>
      </c>
      <c r="AB3040">
        <v>200</v>
      </c>
      <c r="AC3040">
        <v>805</v>
      </c>
      <c r="AD3040" s="62">
        <v>0</v>
      </c>
      <c r="AE3040" s="62">
        <v>0</v>
      </c>
      <c r="AF3040" s="62">
        <v>0</v>
      </c>
      <c r="AS3040">
        <v>1</v>
      </c>
    </row>
    <row r="3041" spans="1:45">
      <c r="A3041">
        <v>555512</v>
      </c>
      <c r="B3041">
        <v>1001</v>
      </c>
      <c r="C3041">
        <v>1</v>
      </c>
      <c r="D3041">
        <v>1001</v>
      </c>
      <c r="E3041" t="s">
        <v>7625</v>
      </c>
      <c r="F3041" t="s">
        <v>7625</v>
      </c>
      <c r="G3041" t="s">
        <v>7626</v>
      </c>
      <c r="H3041" t="s">
        <v>7627</v>
      </c>
      <c r="I3041">
        <v>1</v>
      </c>
      <c r="J3041">
        <v>2</v>
      </c>
      <c r="K3041" s="33">
        <v>1</v>
      </c>
      <c r="L3041" s="3">
        <v>9999</v>
      </c>
      <c r="M3041">
        <v>0</v>
      </c>
      <c r="Q3041" t="s">
        <v>7624</v>
      </c>
      <c r="S3041" s="33">
        <v>1</v>
      </c>
      <c r="T3041">
        <v>5</v>
      </c>
      <c r="U3041">
        <v>100</v>
      </c>
      <c r="V3041" s="33">
        <v>1</v>
      </c>
      <c r="W3041">
        <v>1</v>
      </c>
      <c r="X3041">
        <v>1</v>
      </c>
      <c r="Y3041">
        <v>0</v>
      </c>
      <c r="Z3041" s="33">
        <v>0</v>
      </c>
      <c r="AA3041">
        <v>5</v>
      </c>
      <c r="AB3041">
        <v>100</v>
      </c>
      <c r="AC3041">
        <v>805</v>
      </c>
      <c r="AD3041" s="62">
        <v>0</v>
      </c>
      <c r="AE3041" s="62">
        <v>0</v>
      </c>
      <c r="AF3041" s="62">
        <v>0</v>
      </c>
      <c r="AS3041">
        <v>1</v>
      </c>
    </row>
    <row r="3042" spans="1:45">
      <c r="A3042">
        <v>555513</v>
      </c>
      <c r="B3042">
        <v>1001</v>
      </c>
      <c r="C3042">
        <v>1</v>
      </c>
      <c r="D3042">
        <v>1001</v>
      </c>
      <c r="E3042" t="s">
        <v>7628</v>
      </c>
      <c r="F3042" t="s">
        <v>7628</v>
      </c>
      <c r="G3042" t="s">
        <v>7626</v>
      </c>
      <c r="H3042" t="s">
        <v>7629</v>
      </c>
      <c r="I3042">
        <v>1</v>
      </c>
      <c r="J3042">
        <v>3</v>
      </c>
      <c r="K3042" s="33">
        <v>1</v>
      </c>
      <c r="L3042" s="3">
        <v>9999</v>
      </c>
      <c r="M3042">
        <v>0</v>
      </c>
      <c r="Q3042" t="s">
        <v>7624</v>
      </c>
      <c r="S3042" s="33">
        <v>1</v>
      </c>
      <c r="T3042">
        <v>5</v>
      </c>
      <c r="U3042">
        <v>100</v>
      </c>
      <c r="V3042" s="33">
        <v>1</v>
      </c>
      <c r="W3042">
        <v>1</v>
      </c>
      <c r="X3042">
        <v>1</v>
      </c>
      <c r="Y3042">
        <v>0</v>
      </c>
      <c r="Z3042" s="33">
        <v>0</v>
      </c>
      <c r="AA3042">
        <v>5</v>
      </c>
      <c r="AB3042">
        <v>100</v>
      </c>
      <c r="AC3042">
        <v>805</v>
      </c>
      <c r="AD3042" s="62">
        <v>0</v>
      </c>
      <c r="AE3042" s="62">
        <v>0</v>
      </c>
      <c r="AF3042" s="62">
        <v>0</v>
      </c>
      <c r="AS3042">
        <v>1</v>
      </c>
    </row>
    <row r="3043" spans="1:45">
      <c r="A3043">
        <v>555514</v>
      </c>
      <c r="B3043">
        <v>1001</v>
      </c>
      <c r="C3043">
        <v>1</v>
      </c>
      <c r="D3043">
        <v>1001</v>
      </c>
      <c r="E3043" t="s">
        <v>7630</v>
      </c>
      <c r="F3043" t="s">
        <v>7630</v>
      </c>
      <c r="G3043" t="s">
        <v>7626</v>
      </c>
      <c r="H3043" t="s">
        <v>7631</v>
      </c>
      <c r="I3043">
        <v>1</v>
      </c>
      <c r="J3043">
        <v>4</v>
      </c>
      <c r="K3043" s="33">
        <v>1</v>
      </c>
      <c r="L3043" s="3">
        <v>9999</v>
      </c>
      <c r="M3043">
        <v>0</v>
      </c>
      <c r="Q3043" t="s">
        <v>7624</v>
      </c>
      <c r="S3043" s="33">
        <v>1</v>
      </c>
      <c r="T3043">
        <v>5</v>
      </c>
      <c r="U3043">
        <v>100</v>
      </c>
      <c r="V3043" s="33">
        <v>1</v>
      </c>
      <c r="W3043">
        <v>1</v>
      </c>
      <c r="X3043">
        <v>1</v>
      </c>
      <c r="Y3043">
        <v>0</v>
      </c>
      <c r="Z3043" s="33">
        <v>0</v>
      </c>
      <c r="AA3043">
        <v>5</v>
      </c>
      <c r="AB3043">
        <v>100</v>
      </c>
      <c r="AC3043">
        <v>805</v>
      </c>
      <c r="AD3043" s="62">
        <v>0</v>
      </c>
      <c r="AE3043" s="62">
        <v>0</v>
      </c>
      <c r="AF3043" s="62">
        <v>0</v>
      </c>
      <c r="AS3043">
        <v>1</v>
      </c>
    </row>
    <row r="3044" spans="1:45">
      <c r="A3044">
        <v>555515</v>
      </c>
      <c r="B3044">
        <v>1001</v>
      </c>
      <c r="C3044">
        <v>1</v>
      </c>
      <c r="D3044">
        <v>1001</v>
      </c>
      <c r="E3044" t="s">
        <v>7632</v>
      </c>
      <c r="F3044" t="s">
        <v>7632</v>
      </c>
      <c r="G3044" t="s">
        <v>7626</v>
      </c>
      <c r="H3044" t="s">
        <v>7633</v>
      </c>
      <c r="I3044">
        <v>1</v>
      </c>
      <c r="J3044">
        <v>5</v>
      </c>
      <c r="K3044" s="33">
        <v>1</v>
      </c>
      <c r="L3044" s="3">
        <v>9999</v>
      </c>
      <c r="M3044">
        <v>0</v>
      </c>
      <c r="Q3044" t="s">
        <v>7624</v>
      </c>
      <c r="S3044" s="33">
        <v>1</v>
      </c>
      <c r="T3044">
        <v>5</v>
      </c>
      <c r="U3044">
        <v>100</v>
      </c>
      <c r="V3044" s="33">
        <v>1</v>
      </c>
      <c r="W3044">
        <v>1</v>
      </c>
      <c r="X3044">
        <v>1</v>
      </c>
      <c r="Y3044">
        <v>0</v>
      </c>
      <c r="Z3044" s="33">
        <v>0</v>
      </c>
      <c r="AA3044">
        <v>5</v>
      </c>
      <c r="AB3044">
        <v>100</v>
      </c>
      <c r="AC3044">
        <v>805</v>
      </c>
      <c r="AD3044" s="62">
        <v>0</v>
      </c>
      <c r="AE3044" s="62">
        <v>0</v>
      </c>
      <c r="AF3044" s="62">
        <v>0</v>
      </c>
      <c r="AS3044">
        <v>1</v>
      </c>
    </row>
    <row r="3045" spans="1:45">
      <c r="A3045">
        <v>555521</v>
      </c>
      <c r="B3045">
        <v>1001</v>
      </c>
      <c r="C3045">
        <v>1</v>
      </c>
      <c r="D3045">
        <v>1001</v>
      </c>
      <c r="E3045" t="s">
        <v>7634</v>
      </c>
      <c r="F3045" t="s">
        <v>7634</v>
      </c>
      <c r="G3045" t="s">
        <v>7635</v>
      </c>
      <c r="H3045" t="s">
        <v>7636</v>
      </c>
      <c r="I3045">
        <v>1</v>
      </c>
      <c r="J3045">
        <v>5</v>
      </c>
      <c r="K3045" s="33">
        <v>1</v>
      </c>
      <c r="L3045" s="3">
        <v>9999</v>
      </c>
      <c r="M3045">
        <v>0</v>
      </c>
      <c r="Q3045" t="s">
        <v>7637</v>
      </c>
      <c r="S3045" s="33">
        <v>1</v>
      </c>
      <c r="T3045">
        <v>5</v>
      </c>
      <c r="U3045">
        <v>200</v>
      </c>
      <c r="V3045" s="33">
        <v>1</v>
      </c>
      <c r="W3045">
        <v>1</v>
      </c>
      <c r="X3045">
        <v>1</v>
      </c>
      <c r="Y3045">
        <v>0</v>
      </c>
      <c r="Z3045" s="33">
        <v>0</v>
      </c>
      <c r="AA3045">
        <v>5</v>
      </c>
      <c r="AB3045">
        <v>200</v>
      </c>
      <c r="AC3045">
        <v>805</v>
      </c>
      <c r="AD3045" s="62">
        <v>0</v>
      </c>
      <c r="AE3045" s="62">
        <v>0</v>
      </c>
      <c r="AF3045" s="62">
        <v>0</v>
      </c>
      <c r="AS3045">
        <v>1</v>
      </c>
    </row>
    <row r="3046" spans="1:45">
      <c r="A3046">
        <v>555522</v>
      </c>
      <c r="B3046">
        <v>1001</v>
      </c>
      <c r="C3046">
        <v>1</v>
      </c>
      <c r="D3046">
        <v>1001</v>
      </c>
      <c r="E3046" t="s">
        <v>7638</v>
      </c>
      <c r="F3046" t="s">
        <v>7638</v>
      </c>
      <c r="G3046" t="s">
        <v>7639</v>
      </c>
      <c r="H3046" t="s">
        <v>7640</v>
      </c>
      <c r="I3046">
        <v>1</v>
      </c>
      <c r="J3046">
        <v>2</v>
      </c>
      <c r="K3046" s="33">
        <v>1</v>
      </c>
      <c r="L3046" s="3">
        <v>9999</v>
      </c>
      <c r="M3046">
        <v>0</v>
      </c>
      <c r="Q3046" t="s">
        <v>7637</v>
      </c>
      <c r="S3046" s="33">
        <v>1</v>
      </c>
      <c r="T3046">
        <v>5</v>
      </c>
      <c r="U3046">
        <v>100</v>
      </c>
      <c r="V3046" s="33">
        <v>1</v>
      </c>
      <c r="W3046">
        <v>1</v>
      </c>
      <c r="X3046">
        <v>1</v>
      </c>
      <c r="Y3046">
        <v>0</v>
      </c>
      <c r="Z3046" s="33">
        <v>0</v>
      </c>
      <c r="AA3046">
        <v>5</v>
      </c>
      <c r="AB3046">
        <v>100</v>
      </c>
      <c r="AC3046">
        <v>805</v>
      </c>
      <c r="AD3046" s="62">
        <v>0</v>
      </c>
      <c r="AE3046" s="62">
        <v>0</v>
      </c>
      <c r="AF3046" s="62">
        <v>0</v>
      </c>
      <c r="AS3046">
        <v>1</v>
      </c>
    </row>
    <row r="3047" spans="1:45">
      <c r="A3047">
        <v>555523</v>
      </c>
      <c r="B3047">
        <v>1001</v>
      </c>
      <c r="C3047">
        <v>1</v>
      </c>
      <c r="D3047">
        <v>1001</v>
      </c>
      <c r="E3047" t="s">
        <v>7641</v>
      </c>
      <c r="F3047" t="s">
        <v>7641</v>
      </c>
      <c r="G3047" t="s">
        <v>7639</v>
      </c>
      <c r="H3047" t="s">
        <v>7642</v>
      </c>
      <c r="I3047">
        <v>1</v>
      </c>
      <c r="J3047">
        <v>3</v>
      </c>
      <c r="K3047" s="33">
        <v>1</v>
      </c>
      <c r="L3047" s="3">
        <v>9999</v>
      </c>
      <c r="M3047">
        <v>0</v>
      </c>
      <c r="Q3047" t="s">
        <v>7637</v>
      </c>
      <c r="S3047" s="33">
        <v>1</v>
      </c>
      <c r="T3047">
        <v>5</v>
      </c>
      <c r="U3047">
        <v>100</v>
      </c>
      <c r="V3047" s="33">
        <v>1</v>
      </c>
      <c r="W3047">
        <v>1</v>
      </c>
      <c r="X3047">
        <v>1</v>
      </c>
      <c r="Y3047">
        <v>0</v>
      </c>
      <c r="Z3047" s="33">
        <v>0</v>
      </c>
      <c r="AA3047">
        <v>5</v>
      </c>
      <c r="AB3047">
        <v>100</v>
      </c>
      <c r="AC3047">
        <v>805</v>
      </c>
      <c r="AD3047" s="62">
        <v>0</v>
      </c>
      <c r="AE3047" s="62">
        <v>0</v>
      </c>
      <c r="AF3047" s="62">
        <v>0</v>
      </c>
      <c r="AS3047">
        <v>1</v>
      </c>
    </row>
    <row r="3048" spans="1:45">
      <c r="A3048">
        <v>555524</v>
      </c>
      <c r="B3048">
        <v>1001</v>
      </c>
      <c r="C3048">
        <v>1</v>
      </c>
      <c r="D3048">
        <v>1001</v>
      </c>
      <c r="E3048" t="s">
        <v>7643</v>
      </c>
      <c r="F3048" t="s">
        <v>7643</v>
      </c>
      <c r="G3048" t="s">
        <v>7639</v>
      </c>
      <c r="H3048" t="s">
        <v>7644</v>
      </c>
      <c r="I3048">
        <v>1</v>
      </c>
      <c r="J3048">
        <v>4</v>
      </c>
      <c r="K3048" s="33">
        <v>1</v>
      </c>
      <c r="L3048" s="3">
        <v>9999</v>
      </c>
      <c r="M3048">
        <v>0</v>
      </c>
      <c r="Q3048" t="s">
        <v>7637</v>
      </c>
      <c r="S3048" s="33">
        <v>1</v>
      </c>
      <c r="T3048">
        <v>5</v>
      </c>
      <c r="U3048">
        <v>100</v>
      </c>
      <c r="V3048" s="33">
        <v>1</v>
      </c>
      <c r="W3048">
        <v>1</v>
      </c>
      <c r="X3048">
        <v>1</v>
      </c>
      <c r="Y3048">
        <v>0</v>
      </c>
      <c r="Z3048" s="33">
        <v>0</v>
      </c>
      <c r="AA3048">
        <v>5</v>
      </c>
      <c r="AB3048">
        <v>100</v>
      </c>
      <c r="AC3048">
        <v>805</v>
      </c>
      <c r="AD3048" s="62">
        <v>0</v>
      </c>
      <c r="AE3048" s="62">
        <v>0</v>
      </c>
      <c r="AF3048" s="62">
        <v>0</v>
      </c>
      <c r="AS3048">
        <v>1</v>
      </c>
    </row>
    <row r="3049" spans="1:45">
      <c r="A3049">
        <v>555525</v>
      </c>
      <c r="B3049">
        <v>1001</v>
      </c>
      <c r="C3049">
        <v>1</v>
      </c>
      <c r="D3049">
        <v>1001</v>
      </c>
      <c r="E3049" t="s">
        <v>7645</v>
      </c>
      <c r="F3049" t="s">
        <v>7645</v>
      </c>
      <c r="G3049" t="s">
        <v>7639</v>
      </c>
      <c r="H3049" t="s">
        <v>7646</v>
      </c>
      <c r="I3049">
        <v>1</v>
      </c>
      <c r="J3049">
        <v>5</v>
      </c>
      <c r="K3049" s="33">
        <v>1</v>
      </c>
      <c r="L3049" s="3">
        <v>9999</v>
      </c>
      <c r="M3049">
        <v>0</v>
      </c>
      <c r="Q3049" t="s">
        <v>7637</v>
      </c>
      <c r="S3049" s="33">
        <v>1</v>
      </c>
      <c r="T3049">
        <v>5</v>
      </c>
      <c r="U3049">
        <v>100</v>
      </c>
      <c r="V3049" s="33">
        <v>1</v>
      </c>
      <c r="W3049">
        <v>1</v>
      </c>
      <c r="X3049">
        <v>1</v>
      </c>
      <c r="Y3049">
        <v>0</v>
      </c>
      <c r="Z3049" s="33">
        <v>0</v>
      </c>
      <c r="AA3049">
        <v>5</v>
      </c>
      <c r="AB3049">
        <v>100</v>
      </c>
      <c r="AC3049">
        <v>805</v>
      </c>
      <c r="AD3049" s="62">
        <v>0</v>
      </c>
      <c r="AE3049" s="62">
        <v>0</v>
      </c>
      <c r="AF3049" s="62">
        <v>0</v>
      </c>
      <c r="AS3049">
        <v>1</v>
      </c>
    </row>
    <row r="3050" spans="1:45">
      <c r="A3050">
        <v>555531</v>
      </c>
      <c r="B3050">
        <v>1001</v>
      </c>
      <c r="C3050">
        <v>1</v>
      </c>
      <c r="D3050">
        <v>1001</v>
      </c>
      <c r="E3050" t="s">
        <v>7647</v>
      </c>
      <c r="F3050" t="s">
        <v>7647</v>
      </c>
      <c r="G3050" t="s">
        <v>7648</v>
      </c>
      <c r="H3050" t="s">
        <v>7649</v>
      </c>
      <c r="I3050">
        <v>1</v>
      </c>
      <c r="J3050">
        <v>5</v>
      </c>
      <c r="K3050" s="33">
        <v>1</v>
      </c>
      <c r="L3050" s="3">
        <v>9999</v>
      </c>
      <c r="M3050">
        <v>0</v>
      </c>
      <c r="Q3050" t="s">
        <v>7650</v>
      </c>
      <c r="S3050" s="33">
        <v>1</v>
      </c>
      <c r="T3050">
        <v>5</v>
      </c>
      <c r="U3050">
        <v>200</v>
      </c>
      <c r="V3050" s="33">
        <v>1</v>
      </c>
      <c r="W3050">
        <v>1</v>
      </c>
      <c r="X3050">
        <v>1</v>
      </c>
      <c r="Y3050">
        <v>0</v>
      </c>
      <c r="Z3050" s="33">
        <v>0</v>
      </c>
      <c r="AA3050">
        <v>5</v>
      </c>
      <c r="AB3050">
        <v>200</v>
      </c>
      <c r="AC3050">
        <v>805</v>
      </c>
      <c r="AD3050" s="62">
        <v>0</v>
      </c>
      <c r="AE3050" s="62">
        <v>0</v>
      </c>
      <c r="AF3050" s="62">
        <v>0</v>
      </c>
      <c r="AS3050">
        <v>1</v>
      </c>
    </row>
    <row r="3051" spans="1:45">
      <c r="A3051">
        <v>555532</v>
      </c>
      <c r="B3051">
        <v>1001</v>
      </c>
      <c r="C3051">
        <v>1</v>
      </c>
      <c r="D3051">
        <v>1001</v>
      </c>
      <c r="E3051" t="s">
        <v>7651</v>
      </c>
      <c r="F3051" t="s">
        <v>7651</v>
      </c>
      <c r="G3051" t="s">
        <v>7652</v>
      </c>
      <c r="H3051" t="s">
        <v>7653</v>
      </c>
      <c r="I3051">
        <v>1</v>
      </c>
      <c r="J3051">
        <v>2</v>
      </c>
      <c r="K3051" s="33">
        <v>1</v>
      </c>
      <c r="L3051" s="3">
        <v>9999</v>
      </c>
      <c r="M3051">
        <v>0</v>
      </c>
      <c r="Q3051" t="s">
        <v>7650</v>
      </c>
      <c r="S3051" s="33">
        <v>1</v>
      </c>
      <c r="T3051">
        <v>5</v>
      </c>
      <c r="U3051">
        <v>100</v>
      </c>
      <c r="V3051" s="33">
        <v>1</v>
      </c>
      <c r="W3051">
        <v>1</v>
      </c>
      <c r="X3051">
        <v>1</v>
      </c>
      <c r="Y3051">
        <v>0</v>
      </c>
      <c r="Z3051" s="33">
        <v>0</v>
      </c>
      <c r="AA3051">
        <v>5</v>
      </c>
      <c r="AB3051">
        <v>100</v>
      </c>
      <c r="AC3051">
        <v>805</v>
      </c>
      <c r="AD3051" s="62">
        <v>0</v>
      </c>
      <c r="AE3051" s="62">
        <v>0</v>
      </c>
      <c r="AF3051" s="62">
        <v>0</v>
      </c>
      <c r="AS3051">
        <v>1</v>
      </c>
    </row>
    <row r="3052" spans="1:45">
      <c r="A3052">
        <v>555533</v>
      </c>
      <c r="B3052">
        <v>1001</v>
      </c>
      <c r="C3052">
        <v>1</v>
      </c>
      <c r="D3052">
        <v>1001</v>
      </c>
      <c r="E3052" t="s">
        <v>7654</v>
      </c>
      <c r="F3052" t="s">
        <v>7654</v>
      </c>
      <c r="G3052" t="s">
        <v>7652</v>
      </c>
      <c r="H3052" t="s">
        <v>7655</v>
      </c>
      <c r="I3052">
        <v>1</v>
      </c>
      <c r="J3052">
        <v>3</v>
      </c>
      <c r="K3052" s="33">
        <v>1</v>
      </c>
      <c r="L3052" s="3">
        <v>9999</v>
      </c>
      <c r="M3052">
        <v>0</v>
      </c>
      <c r="Q3052" t="s">
        <v>7650</v>
      </c>
      <c r="S3052" s="33">
        <v>1</v>
      </c>
      <c r="T3052">
        <v>5</v>
      </c>
      <c r="U3052">
        <v>100</v>
      </c>
      <c r="V3052" s="33">
        <v>1</v>
      </c>
      <c r="W3052">
        <v>1</v>
      </c>
      <c r="X3052">
        <v>1</v>
      </c>
      <c r="Y3052">
        <v>0</v>
      </c>
      <c r="Z3052" s="33">
        <v>0</v>
      </c>
      <c r="AA3052">
        <v>5</v>
      </c>
      <c r="AB3052">
        <v>100</v>
      </c>
      <c r="AC3052">
        <v>805</v>
      </c>
      <c r="AD3052" s="62">
        <v>0</v>
      </c>
      <c r="AE3052" s="62">
        <v>0</v>
      </c>
      <c r="AF3052" s="62">
        <v>0</v>
      </c>
      <c r="AS3052">
        <v>1</v>
      </c>
    </row>
    <row r="3053" spans="1:45">
      <c r="A3053">
        <v>555534</v>
      </c>
      <c r="B3053">
        <v>1001</v>
      </c>
      <c r="C3053">
        <v>1</v>
      </c>
      <c r="D3053">
        <v>1001</v>
      </c>
      <c r="E3053" t="s">
        <v>7656</v>
      </c>
      <c r="F3053" t="s">
        <v>7656</v>
      </c>
      <c r="G3053" t="s">
        <v>7652</v>
      </c>
      <c r="H3053" t="s">
        <v>7657</v>
      </c>
      <c r="I3053">
        <v>1</v>
      </c>
      <c r="J3053">
        <v>4</v>
      </c>
      <c r="K3053" s="33">
        <v>1</v>
      </c>
      <c r="L3053" s="3">
        <v>9999</v>
      </c>
      <c r="M3053">
        <v>0</v>
      </c>
      <c r="Q3053" t="s">
        <v>7650</v>
      </c>
      <c r="S3053" s="33">
        <v>1</v>
      </c>
      <c r="T3053">
        <v>5</v>
      </c>
      <c r="U3053">
        <v>100</v>
      </c>
      <c r="V3053" s="33">
        <v>1</v>
      </c>
      <c r="W3053">
        <v>1</v>
      </c>
      <c r="X3053">
        <v>1</v>
      </c>
      <c r="Y3053">
        <v>0</v>
      </c>
      <c r="Z3053" s="33">
        <v>0</v>
      </c>
      <c r="AA3053">
        <v>5</v>
      </c>
      <c r="AB3053">
        <v>100</v>
      </c>
      <c r="AC3053">
        <v>805</v>
      </c>
      <c r="AD3053" s="62">
        <v>0</v>
      </c>
      <c r="AE3053" s="62">
        <v>0</v>
      </c>
      <c r="AF3053" s="62">
        <v>0</v>
      </c>
      <c r="AS3053">
        <v>1</v>
      </c>
    </row>
    <row r="3054" s="3" customFormat="1" ht="14.25" customHeight="1" spans="1:45">
      <c r="A3054">
        <v>555535</v>
      </c>
      <c r="B3054" s="238">
        <v>1001</v>
      </c>
      <c r="C3054" s="238">
        <v>1</v>
      </c>
      <c r="D3054" s="238">
        <v>1001</v>
      </c>
      <c r="E3054" t="s">
        <v>7658</v>
      </c>
      <c r="F3054" s="238" t="s">
        <v>7658</v>
      </c>
      <c r="G3054" t="s">
        <v>7652</v>
      </c>
      <c r="H3054" t="s">
        <v>7659</v>
      </c>
      <c r="I3054">
        <v>1</v>
      </c>
      <c r="J3054">
        <v>5</v>
      </c>
      <c r="K3054" s="254">
        <v>1</v>
      </c>
      <c r="L3054" s="339">
        <v>9999</v>
      </c>
      <c r="M3054" s="238">
        <v>0</v>
      </c>
      <c r="N3054" s="8"/>
      <c r="O3054" s="2"/>
      <c r="Q3054" t="s">
        <v>7650</v>
      </c>
      <c r="S3054" s="254">
        <v>1</v>
      </c>
      <c r="T3054" s="238">
        <v>5</v>
      </c>
      <c r="U3054" s="238">
        <v>100</v>
      </c>
      <c r="V3054" s="254">
        <v>1</v>
      </c>
      <c r="W3054">
        <v>1</v>
      </c>
      <c r="X3054" s="238">
        <v>1</v>
      </c>
      <c r="Y3054">
        <v>0</v>
      </c>
      <c r="Z3054" s="33">
        <v>0</v>
      </c>
      <c r="AA3054">
        <v>5</v>
      </c>
      <c r="AB3054">
        <v>100</v>
      </c>
      <c r="AC3054" s="238">
        <v>805</v>
      </c>
      <c r="AD3054" s="62">
        <v>0</v>
      </c>
      <c r="AE3054" s="255">
        <v>0</v>
      </c>
      <c r="AF3054" s="255">
        <v>0</v>
      </c>
      <c r="AG3054" s="160"/>
      <c r="AH3054" s="160"/>
      <c r="AI3054" s="160"/>
      <c r="AJ3054" s="160"/>
      <c r="AK3054" s="160"/>
      <c r="AL3054" s="161"/>
      <c r="AM3054" s="161"/>
      <c r="AN3054" s="162"/>
      <c r="AO3054" s="161"/>
      <c r="AP3054" s="86"/>
      <c r="AS3054">
        <v>1</v>
      </c>
    </row>
    <row r="3055" s="3" customFormat="1" ht="14.25" customHeight="1" spans="1:45">
      <c r="A3055" s="3">
        <v>619312</v>
      </c>
      <c r="B3055" s="8">
        <v>1001</v>
      </c>
      <c r="C3055" s="8">
        <v>1</v>
      </c>
      <c r="D3055" s="8">
        <v>1001</v>
      </c>
      <c r="E3055" s="3" t="s">
        <v>1796</v>
      </c>
      <c r="F3055" s="13" t="s">
        <v>7660</v>
      </c>
      <c r="G3055" s="3" t="s">
        <v>1797</v>
      </c>
      <c r="H3055" s="3" t="s">
        <v>1798</v>
      </c>
      <c r="I3055" s="3">
        <v>1</v>
      </c>
      <c r="J3055" s="69">
        <v>4</v>
      </c>
      <c r="K3055" s="8">
        <v>1</v>
      </c>
      <c r="L3055" s="8">
        <v>999</v>
      </c>
      <c r="M3055" s="8">
        <v>0</v>
      </c>
      <c r="N3055" s="8"/>
      <c r="O3055" s="271"/>
      <c r="S3055" s="8">
        <v>1</v>
      </c>
      <c r="T3055" s="8">
        <v>5</v>
      </c>
      <c r="U3055" s="8">
        <v>1</v>
      </c>
      <c r="V3055" s="8">
        <v>1</v>
      </c>
      <c r="W3055" s="3">
        <v>1</v>
      </c>
      <c r="X3055" s="8">
        <v>1</v>
      </c>
      <c r="Y3055" s="3">
        <v>0</v>
      </c>
      <c r="Z3055" s="33">
        <v>0</v>
      </c>
      <c r="AA3055" s="3">
        <v>5</v>
      </c>
      <c r="AB3055" s="3">
        <v>200</v>
      </c>
      <c r="AC3055" s="8">
        <v>100</v>
      </c>
      <c r="AD3055" s="12"/>
      <c r="AE3055" s="159"/>
      <c r="AF3055" s="159"/>
      <c r="AG3055" s="160"/>
      <c r="AH3055" s="160"/>
      <c r="AI3055" s="160" t="s">
        <v>7661</v>
      </c>
      <c r="AJ3055" s="160"/>
      <c r="AK3055" s="160"/>
      <c r="AL3055" s="161">
        <v>1</v>
      </c>
      <c r="AM3055" s="161"/>
      <c r="AN3055" s="162"/>
      <c r="AO3055" s="161"/>
      <c r="AP3055" s="86"/>
      <c r="AS3055" s="3">
        <v>1</v>
      </c>
    </row>
    <row r="3056" s="3" customFormat="1" ht="14.25" customHeight="1" spans="1:45">
      <c r="A3056" s="3">
        <v>619313</v>
      </c>
      <c r="B3056" s="236">
        <v>1001</v>
      </c>
      <c r="C3056" s="236">
        <v>1</v>
      </c>
      <c r="D3056" s="236">
        <v>1001</v>
      </c>
      <c r="E3056" s="3" t="s">
        <v>1799</v>
      </c>
      <c r="F3056" s="253" t="s">
        <v>7662</v>
      </c>
      <c r="G3056" s="3" t="s">
        <v>1800</v>
      </c>
      <c r="H3056" s="3" t="s">
        <v>1801</v>
      </c>
      <c r="I3056" s="3">
        <v>1</v>
      </c>
      <c r="J3056" s="69">
        <v>5</v>
      </c>
      <c r="K3056" s="236">
        <v>1</v>
      </c>
      <c r="L3056" s="236">
        <v>999</v>
      </c>
      <c r="M3056" s="236">
        <v>0</v>
      </c>
      <c r="N3056" s="236"/>
      <c r="O3056" s="271"/>
      <c r="S3056" s="236">
        <v>1</v>
      </c>
      <c r="T3056" s="236">
        <v>5</v>
      </c>
      <c r="U3056" s="236">
        <v>1</v>
      </c>
      <c r="V3056" s="236">
        <v>1</v>
      </c>
      <c r="W3056" s="3">
        <v>1</v>
      </c>
      <c r="X3056" s="236">
        <v>1</v>
      </c>
      <c r="Y3056" s="3">
        <v>0</v>
      </c>
      <c r="Z3056" s="33">
        <v>0</v>
      </c>
      <c r="AA3056" s="3">
        <v>5</v>
      </c>
      <c r="AB3056" s="339">
        <v>200</v>
      </c>
      <c r="AC3056" s="236">
        <v>100</v>
      </c>
      <c r="AD3056" s="12"/>
      <c r="AE3056" s="456"/>
      <c r="AF3056" s="456"/>
      <c r="AG3056" s="484"/>
      <c r="AH3056" s="484"/>
      <c r="AI3056" s="484" t="s">
        <v>7661</v>
      </c>
      <c r="AJ3056" s="484"/>
      <c r="AK3056" s="484"/>
      <c r="AL3056" s="482">
        <v>1</v>
      </c>
      <c r="AM3056" s="482"/>
      <c r="AN3056" s="481"/>
      <c r="AO3056" s="482"/>
      <c r="AP3056" s="86"/>
      <c r="AS3056" s="3">
        <v>1</v>
      </c>
    </row>
    <row r="3057" spans="1:45">
      <c r="A3057" s="3">
        <v>619314</v>
      </c>
      <c r="B3057" s="3">
        <v>1001</v>
      </c>
      <c r="C3057" s="3">
        <v>6</v>
      </c>
      <c r="D3057" s="3">
        <v>1001</v>
      </c>
      <c r="E3057" s="3" t="s">
        <v>7663</v>
      </c>
      <c r="F3057" s="3" t="s">
        <v>7663</v>
      </c>
      <c r="G3057" s="3" t="s">
        <v>7664</v>
      </c>
      <c r="H3057" s="3" t="s">
        <v>1818</v>
      </c>
      <c r="I3057" s="3">
        <v>1</v>
      </c>
      <c r="J3057" s="3">
        <v>5</v>
      </c>
      <c r="K3057" s="33">
        <v>2</v>
      </c>
      <c r="L3057" s="339">
        <v>999</v>
      </c>
      <c r="M3057" s="339">
        <v>0</v>
      </c>
      <c r="N3057" s="3">
        <v>1017</v>
      </c>
      <c r="O3057" s="470">
        <v>220028</v>
      </c>
      <c r="S3057" s="254">
        <v>1</v>
      </c>
      <c r="T3057" s="339">
        <v>5</v>
      </c>
      <c r="U3057" s="339">
        <v>100</v>
      </c>
      <c r="V3057" s="254">
        <v>1</v>
      </c>
      <c r="W3057" s="3">
        <v>1</v>
      </c>
      <c r="X3057" s="339">
        <v>1</v>
      </c>
      <c r="Y3057" s="339">
        <v>0</v>
      </c>
      <c r="Z3057" s="33">
        <v>0</v>
      </c>
      <c r="AA3057" s="3">
        <v>5</v>
      </c>
      <c r="AB3057" s="395">
        <v>1000</v>
      </c>
      <c r="AC3057" s="339">
        <v>110</v>
      </c>
      <c r="AD3057" s="62">
        <v>0</v>
      </c>
      <c r="AE3057" s="62">
        <v>4</v>
      </c>
      <c r="AF3057" s="62">
        <v>2</v>
      </c>
      <c r="AH3057" s="63">
        <v>1</v>
      </c>
      <c r="AL3057" s="64">
        <v>1</v>
      </c>
      <c r="AN3057" s="424"/>
      <c r="AO3057" s="256"/>
      <c r="AQ3057"/>
      <c r="AR3057"/>
      <c r="AS3057" s="3">
        <v>1</v>
      </c>
    </row>
    <row r="3058" spans="1:45">
      <c r="A3058">
        <v>619315</v>
      </c>
      <c r="B3058">
        <v>1001</v>
      </c>
      <c r="C3058">
        <v>1</v>
      </c>
      <c r="D3058">
        <v>1001</v>
      </c>
      <c r="E3058" t="s">
        <v>7665</v>
      </c>
      <c r="F3058" t="s">
        <v>7665</v>
      </c>
      <c r="G3058" t="s">
        <v>7522</v>
      </c>
      <c r="H3058" t="s">
        <v>1937</v>
      </c>
      <c r="I3058">
        <v>1</v>
      </c>
      <c r="J3058">
        <v>3</v>
      </c>
      <c r="K3058" s="33">
        <v>1</v>
      </c>
      <c r="L3058" s="8">
        <v>999</v>
      </c>
      <c r="M3058" s="8">
        <v>0</v>
      </c>
      <c r="S3058" s="8">
        <v>1</v>
      </c>
      <c r="T3058" s="8">
        <v>5</v>
      </c>
      <c r="U3058" s="8">
        <v>1</v>
      </c>
      <c r="V3058" s="8">
        <v>1</v>
      </c>
      <c r="W3058">
        <v>1</v>
      </c>
      <c r="X3058" s="8">
        <v>1</v>
      </c>
      <c r="Y3058" s="8">
        <v>0</v>
      </c>
      <c r="Z3058" s="33">
        <v>0</v>
      </c>
      <c r="AA3058">
        <v>5</v>
      </c>
      <c r="AB3058">
        <v>100</v>
      </c>
      <c r="AC3058" s="8">
        <v>900</v>
      </c>
      <c r="AD3058" s="12">
        <v>0</v>
      </c>
      <c r="AE3058" s="12">
        <v>4</v>
      </c>
      <c r="AF3058" s="12">
        <v>2</v>
      </c>
      <c r="AG3058" s="430"/>
      <c r="AH3058" s="430"/>
      <c r="AI3058" s="430"/>
      <c r="AJ3058" s="430"/>
      <c r="AK3058" s="430"/>
      <c r="AL3058" s="214">
        <v>1</v>
      </c>
      <c r="AM3058" s="4"/>
      <c r="AN3058" s="162"/>
      <c r="AO3058" s="161"/>
      <c r="AP3058" s="214"/>
      <c r="AQ3058" t="s">
        <v>7665</v>
      </c>
      <c r="AR3058">
        <v>1</v>
      </c>
      <c r="AS3058">
        <v>1</v>
      </c>
    </row>
    <row r="3059" spans="1:45">
      <c r="A3059">
        <v>619316</v>
      </c>
      <c r="B3059">
        <v>1001</v>
      </c>
      <c r="C3059">
        <v>1</v>
      </c>
      <c r="D3059">
        <v>1001</v>
      </c>
      <c r="E3059" t="s">
        <v>7666</v>
      </c>
      <c r="F3059" t="s">
        <v>7666</v>
      </c>
      <c r="G3059" t="s">
        <v>7522</v>
      </c>
      <c r="H3059" t="s">
        <v>2361</v>
      </c>
      <c r="I3059">
        <v>1</v>
      </c>
      <c r="J3059">
        <v>4</v>
      </c>
      <c r="K3059" s="33">
        <v>1</v>
      </c>
      <c r="L3059" s="8">
        <v>999</v>
      </c>
      <c r="M3059" s="8">
        <v>0</v>
      </c>
      <c r="N3059"/>
      <c r="S3059" s="8">
        <v>1</v>
      </c>
      <c r="T3059" s="8">
        <v>5</v>
      </c>
      <c r="U3059" s="8">
        <v>1</v>
      </c>
      <c r="V3059" s="8">
        <v>1</v>
      </c>
      <c r="W3059">
        <v>1</v>
      </c>
      <c r="X3059" s="8">
        <v>1</v>
      </c>
      <c r="Y3059" s="8">
        <v>0</v>
      </c>
      <c r="Z3059" s="33">
        <v>0</v>
      </c>
      <c r="AA3059">
        <v>5</v>
      </c>
      <c r="AB3059">
        <v>100</v>
      </c>
      <c r="AC3059" s="8">
        <v>900</v>
      </c>
      <c r="AD3059" s="12">
        <v>0</v>
      </c>
      <c r="AE3059" s="12">
        <v>4</v>
      </c>
      <c r="AF3059" s="12">
        <v>2</v>
      </c>
      <c r="AG3059" s="430"/>
      <c r="AH3059" s="430"/>
      <c r="AI3059" s="430"/>
      <c r="AJ3059" s="430"/>
      <c r="AK3059" s="430"/>
      <c r="AL3059" s="214">
        <v>1</v>
      </c>
      <c r="AM3059" s="4"/>
      <c r="AN3059" s="162"/>
      <c r="AO3059" s="161"/>
      <c r="AP3059" s="214"/>
      <c r="AQ3059" t="s">
        <v>7666</v>
      </c>
      <c r="AR3059">
        <v>1</v>
      </c>
      <c r="AS3059">
        <v>1</v>
      </c>
    </row>
    <row r="3060" spans="1:45">
      <c r="A3060">
        <v>619317</v>
      </c>
      <c r="B3060">
        <v>1001</v>
      </c>
      <c r="C3060">
        <v>6</v>
      </c>
      <c r="D3060">
        <v>1001</v>
      </c>
      <c r="E3060" t="s">
        <v>7667</v>
      </c>
      <c r="F3060" t="s">
        <v>7667</v>
      </c>
      <c r="G3060" t="s">
        <v>7517</v>
      </c>
      <c r="H3060" t="s">
        <v>2030</v>
      </c>
      <c r="I3060">
        <v>1</v>
      </c>
      <c r="J3060">
        <v>5</v>
      </c>
      <c r="K3060" s="33">
        <v>2</v>
      </c>
      <c r="L3060" s="8">
        <v>999</v>
      </c>
      <c r="M3060" s="8">
        <v>0</v>
      </c>
      <c r="N3060">
        <v>1017</v>
      </c>
      <c r="O3060" s="2">
        <v>100250</v>
      </c>
      <c r="S3060" s="8">
        <v>1</v>
      </c>
      <c r="T3060" s="8">
        <v>5</v>
      </c>
      <c r="U3060" s="8">
        <v>200</v>
      </c>
      <c r="V3060" s="8">
        <v>1</v>
      </c>
      <c r="W3060">
        <v>1</v>
      </c>
      <c r="X3060" s="8">
        <v>1</v>
      </c>
      <c r="Y3060" s="8">
        <v>0</v>
      </c>
      <c r="Z3060" s="33">
        <v>0</v>
      </c>
      <c r="AA3060">
        <v>5</v>
      </c>
      <c r="AB3060">
        <v>1000</v>
      </c>
      <c r="AC3060" s="8">
        <v>50</v>
      </c>
      <c r="AD3060" s="12">
        <v>0</v>
      </c>
      <c r="AE3060" s="12">
        <v>4</v>
      </c>
      <c r="AF3060" s="12">
        <v>2</v>
      </c>
      <c r="AG3060" s="430"/>
      <c r="AH3060" s="430"/>
      <c r="AI3060" s="430"/>
      <c r="AJ3060" s="430"/>
      <c r="AK3060" s="430"/>
      <c r="AL3060" s="214"/>
      <c r="AM3060" s="4"/>
      <c r="AN3060" s="162"/>
      <c r="AO3060" s="161"/>
      <c r="AP3060" s="214"/>
      <c r="AQ3060" t="s">
        <v>7667</v>
      </c>
      <c r="AR3060">
        <v>1</v>
      </c>
      <c r="AS3060">
        <v>1</v>
      </c>
    </row>
    <row r="3061" spans="1:45">
      <c r="A3061">
        <v>619318</v>
      </c>
      <c r="B3061">
        <v>1001</v>
      </c>
      <c r="C3061">
        <v>1</v>
      </c>
      <c r="D3061">
        <v>1001</v>
      </c>
      <c r="E3061" t="s">
        <v>7668</v>
      </c>
      <c r="F3061" t="s">
        <v>7668</v>
      </c>
      <c r="G3061" t="s">
        <v>7522</v>
      </c>
      <c r="H3061" t="s">
        <v>5740</v>
      </c>
      <c r="I3061">
        <v>1</v>
      </c>
      <c r="J3061">
        <v>3</v>
      </c>
      <c r="K3061" s="33">
        <v>1</v>
      </c>
      <c r="L3061" s="8">
        <v>999</v>
      </c>
      <c r="M3061" s="8">
        <v>0</v>
      </c>
      <c r="S3061" s="8">
        <v>1</v>
      </c>
      <c r="T3061" s="8">
        <v>5</v>
      </c>
      <c r="U3061" s="8">
        <v>200</v>
      </c>
      <c r="V3061" s="8">
        <v>1</v>
      </c>
      <c r="W3061">
        <v>1</v>
      </c>
      <c r="X3061" s="8">
        <v>1</v>
      </c>
      <c r="Y3061" s="8">
        <v>0</v>
      </c>
      <c r="Z3061" s="33">
        <v>0</v>
      </c>
      <c r="AA3061">
        <v>5</v>
      </c>
      <c r="AB3061">
        <v>100</v>
      </c>
      <c r="AC3061" s="8">
        <v>900</v>
      </c>
      <c r="AD3061" s="12">
        <v>0</v>
      </c>
      <c r="AE3061" s="12">
        <v>4</v>
      </c>
      <c r="AF3061" s="12">
        <v>2</v>
      </c>
      <c r="AG3061" s="430"/>
      <c r="AH3061" s="430"/>
      <c r="AI3061" s="430"/>
      <c r="AJ3061" s="430"/>
      <c r="AK3061" s="430"/>
      <c r="AL3061" s="214">
        <v>1</v>
      </c>
      <c r="AM3061" s="4"/>
      <c r="AN3061" s="162"/>
      <c r="AO3061" s="161"/>
      <c r="AP3061" s="214"/>
      <c r="AQ3061" t="s">
        <v>7668</v>
      </c>
      <c r="AR3061">
        <v>1</v>
      </c>
      <c r="AS3061">
        <v>1</v>
      </c>
    </row>
    <row r="3062" spans="1:45">
      <c r="A3062">
        <v>619319</v>
      </c>
      <c r="B3062">
        <v>1001</v>
      </c>
      <c r="C3062">
        <v>1</v>
      </c>
      <c r="D3062">
        <v>1001</v>
      </c>
      <c r="E3062" t="s">
        <v>7669</v>
      </c>
      <c r="F3062" t="s">
        <v>7669</v>
      </c>
      <c r="G3062" t="s">
        <v>7522</v>
      </c>
      <c r="H3062" t="s">
        <v>4086</v>
      </c>
      <c r="I3062">
        <v>1</v>
      </c>
      <c r="J3062">
        <v>5</v>
      </c>
      <c r="K3062" s="33">
        <v>1</v>
      </c>
      <c r="L3062" s="236">
        <v>999</v>
      </c>
      <c r="M3062" s="236">
        <v>0</v>
      </c>
      <c r="N3062"/>
      <c r="S3062" s="236">
        <v>1</v>
      </c>
      <c r="T3062" s="236">
        <v>5</v>
      </c>
      <c r="U3062" s="236">
        <v>200</v>
      </c>
      <c r="V3062" s="236">
        <v>1</v>
      </c>
      <c r="W3062">
        <v>1</v>
      </c>
      <c r="X3062" s="236">
        <v>1</v>
      </c>
      <c r="Y3062" s="236">
        <v>0</v>
      </c>
      <c r="Z3062" s="33">
        <v>0</v>
      </c>
      <c r="AA3062">
        <v>5</v>
      </c>
      <c r="AB3062">
        <v>100</v>
      </c>
      <c r="AC3062" s="236">
        <v>900</v>
      </c>
      <c r="AD3062" s="12">
        <v>0</v>
      </c>
      <c r="AE3062" s="12">
        <v>4</v>
      </c>
      <c r="AF3062" s="12">
        <v>2</v>
      </c>
      <c r="AG3062" s="430"/>
      <c r="AH3062" s="430"/>
      <c r="AI3062" s="430"/>
      <c r="AJ3062" s="430"/>
      <c r="AK3062" s="430"/>
      <c r="AL3062" s="214">
        <v>1</v>
      </c>
      <c r="AM3062" s="4"/>
      <c r="AN3062" s="481"/>
      <c r="AO3062" s="482"/>
      <c r="AP3062" s="214"/>
      <c r="AQ3062" t="s">
        <v>7669</v>
      </c>
      <c r="AR3062">
        <v>1</v>
      </c>
      <c r="AS3062">
        <v>1</v>
      </c>
    </row>
    <row r="3063" spans="1:45">
      <c r="A3063">
        <v>619320</v>
      </c>
      <c r="B3063">
        <v>1001</v>
      </c>
      <c r="C3063">
        <v>6</v>
      </c>
      <c r="D3063">
        <v>1001</v>
      </c>
      <c r="E3063" t="s">
        <v>7670</v>
      </c>
      <c r="F3063" t="s">
        <v>7670</v>
      </c>
      <c r="G3063" t="s">
        <v>7671</v>
      </c>
      <c r="H3063" t="s">
        <v>1812</v>
      </c>
      <c r="I3063">
        <v>1</v>
      </c>
      <c r="J3063">
        <v>5</v>
      </c>
      <c r="K3063" s="33">
        <v>2</v>
      </c>
      <c r="L3063">
        <v>999</v>
      </c>
      <c r="M3063">
        <v>0</v>
      </c>
      <c r="N3063">
        <v>1017</v>
      </c>
      <c r="O3063" s="2">
        <v>220029</v>
      </c>
      <c r="S3063" s="33">
        <v>1</v>
      </c>
      <c r="T3063">
        <v>5</v>
      </c>
      <c r="U3063">
        <v>1</v>
      </c>
      <c r="W3063">
        <v>1</v>
      </c>
      <c r="X3063">
        <v>1</v>
      </c>
      <c r="Y3063">
        <v>0</v>
      </c>
      <c r="Z3063" s="33">
        <v>0</v>
      </c>
      <c r="AA3063">
        <v>5</v>
      </c>
      <c r="AB3063">
        <v>100</v>
      </c>
      <c r="AC3063">
        <v>70</v>
      </c>
      <c r="AD3063" s="62">
        <v>0</v>
      </c>
      <c r="AE3063" s="62">
        <v>4</v>
      </c>
      <c r="AF3063" s="62">
        <v>2</v>
      </c>
      <c r="AQ3063" t="s">
        <v>7672</v>
      </c>
      <c r="AS3063">
        <v>1</v>
      </c>
    </row>
    <row r="3064" spans="1:45">
      <c r="A3064">
        <v>619321</v>
      </c>
      <c r="B3064">
        <v>1001</v>
      </c>
      <c r="C3064">
        <v>6</v>
      </c>
      <c r="D3064">
        <v>1001</v>
      </c>
      <c r="E3064" t="s">
        <v>7673</v>
      </c>
      <c r="F3064" t="s">
        <v>7673</v>
      </c>
      <c r="G3064" t="s">
        <v>7674</v>
      </c>
      <c r="H3064" t="s">
        <v>1717</v>
      </c>
      <c r="I3064">
        <v>1</v>
      </c>
      <c r="J3064">
        <v>5</v>
      </c>
      <c r="K3064" s="33">
        <v>2</v>
      </c>
      <c r="L3064">
        <v>999</v>
      </c>
      <c r="M3064">
        <v>0</v>
      </c>
      <c r="N3064">
        <v>1018</v>
      </c>
      <c r="O3064" s="2" t="s">
        <v>7675</v>
      </c>
      <c r="S3064" s="33">
        <v>1</v>
      </c>
      <c r="T3064">
        <v>5</v>
      </c>
      <c r="U3064">
        <v>1</v>
      </c>
      <c r="W3064">
        <v>1</v>
      </c>
      <c r="X3064">
        <v>1</v>
      </c>
      <c r="Y3064">
        <v>0</v>
      </c>
      <c r="Z3064" s="33">
        <v>0</v>
      </c>
      <c r="AA3064">
        <v>5</v>
      </c>
      <c r="AB3064">
        <v>100</v>
      </c>
      <c r="AC3064">
        <v>70</v>
      </c>
      <c r="AD3064" s="62">
        <v>0</v>
      </c>
      <c r="AE3064" s="62">
        <v>5</v>
      </c>
      <c r="AF3064" s="62">
        <v>2</v>
      </c>
      <c r="AQ3064" t="s">
        <v>7673</v>
      </c>
      <c r="AS3064">
        <v>1</v>
      </c>
    </row>
    <row r="3065" spans="1:45">
      <c r="A3065">
        <v>619322</v>
      </c>
      <c r="B3065">
        <v>1001</v>
      </c>
      <c r="C3065">
        <v>6</v>
      </c>
      <c r="D3065">
        <v>1001</v>
      </c>
      <c r="E3065" t="s">
        <v>7676</v>
      </c>
      <c r="F3065" t="s">
        <v>7676</v>
      </c>
      <c r="G3065" t="s">
        <v>7677</v>
      </c>
      <c r="H3065" t="s">
        <v>6577</v>
      </c>
      <c r="I3065">
        <v>1</v>
      </c>
      <c r="J3065">
        <v>5</v>
      </c>
      <c r="K3065" s="33">
        <v>2</v>
      </c>
      <c r="L3065">
        <v>999</v>
      </c>
      <c r="M3065">
        <v>0</v>
      </c>
      <c r="N3065">
        <v>1018</v>
      </c>
      <c r="O3065" s="2" t="s">
        <v>7678</v>
      </c>
      <c r="S3065" s="33">
        <v>1</v>
      </c>
      <c r="T3065">
        <v>5</v>
      </c>
      <c r="U3065">
        <v>1</v>
      </c>
      <c r="W3065">
        <v>1</v>
      </c>
      <c r="X3065">
        <v>1</v>
      </c>
      <c r="Y3065">
        <v>0</v>
      </c>
      <c r="Z3065" s="33">
        <v>0</v>
      </c>
      <c r="AA3065">
        <v>5</v>
      </c>
      <c r="AB3065">
        <v>100</v>
      </c>
      <c r="AC3065">
        <v>70</v>
      </c>
      <c r="AD3065" s="62">
        <v>0</v>
      </c>
      <c r="AE3065" s="62">
        <v>5</v>
      </c>
      <c r="AF3065" s="62">
        <v>2</v>
      </c>
      <c r="AQ3065" t="s">
        <v>7676</v>
      </c>
      <c r="AS3065">
        <v>1</v>
      </c>
    </row>
    <row r="3066" spans="1:45">
      <c r="A3066">
        <v>619323</v>
      </c>
      <c r="B3066" s="238">
        <v>1001</v>
      </c>
      <c r="C3066" s="238">
        <v>6</v>
      </c>
      <c r="D3066" s="238">
        <v>1001</v>
      </c>
      <c r="E3066" s="238" t="s">
        <v>5550</v>
      </c>
      <c r="F3066" s="238" t="s">
        <v>5550</v>
      </c>
      <c r="G3066" t="s">
        <v>7679</v>
      </c>
      <c r="H3066" s="339" t="s">
        <v>1822</v>
      </c>
      <c r="I3066" s="238">
        <v>1</v>
      </c>
      <c r="J3066" s="238">
        <v>5</v>
      </c>
      <c r="K3066" s="254">
        <v>2</v>
      </c>
      <c r="L3066" s="238">
        <v>999</v>
      </c>
      <c r="M3066" s="238">
        <v>0</v>
      </c>
      <c r="N3066" s="238">
        <v>1018</v>
      </c>
      <c r="O3066" s="2" t="s">
        <v>7680</v>
      </c>
      <c r="P3066" s="8"/>
      <c r="Q3066" s="8"/>
      <c r="R3066" s="8"/>
      <c r="S3066" s="254">
        <v>1</v>
      </c>
      <c r="T3066" s="238">
        <v>5</v>
      </c>
      <c r="U3066" s="238">
        <v>100</v>
      </c>
      <c r="V3066" s="8"/>
      <c r="W3066" s="238">
        <v>1</v>
      </c>
      <c r="X3066" s="238">
        <v>1</v>
      </c>
      <c r="Y3066" s="238">
        <v>0</v>
      </c>
      <c r="Z3066" s="254">
        <v>0</v>
      </c>
      <c r="AA3066" s="238">
        <v>5</v>
      </c>
      <c r="AB3066" s="238">
        <v>2000</v>
      </c>
      <c r="AC3066" s="238">
        <v>70</v>
      </c>
      <c r="AD3066" s="255">
        <v>0</v>
      </c>
      <c r="AE3066" s="255">
        <v>5</v>
      </c>
      <c r="AF3066" s="255">
        <v>2</v>
      </c>
      <c r="AG3066" s="159"/>
      <c r="AH3066" s="159"/>
      <c r="AI3066" s="159"/>
      <c r="AJ3066" s="159"/>
      <c r="AK3066" s="159"/>
      <c r="AL3066" s="8"/>
      <c r="AM3066" s="8"/>
      <c r="AN3066" s="8"/>
      <c r="AO3066" s="8"/>
      <c r="AP3066" s="8"/>
      <c r="AQ3066" s="8"/>
      <c r="AR3066" s="8"/>
      <c r="AS3066">
        <v>1</v>
      </c>
    </row>
    <row r="3067" spans="1:45">
      <c r="A3067">
        <v>619324</v>
      </c>
      <c r="B3067" s="236">
        <v>1001</v>
      </c>
      <c r="C3067" s="236">
        <v>6</v>
      </c>
      <c r="D3067" s="236">
        <v>1001</v>
      </c>
      <c r="E3067" s="236" t="s">
        <v>6262</v>
      </c>
      <c r="F3067" s="236" t="s">
        <v>6262</v>
      </c>
      <c r="G3067" t="s">
        <v>7681</v>
      </c>
      <c r="H3067" s="236" t="s">
        <v>204</v>
      </c>
      <c r="I3067" s="236">
        <v>1</v>
      </c>
      <c r="J3067" s="236">
        <v>5</v>
      </c>
      <c r="K3067" s="236">
        <v>2</v>
      </c>
      <c r="L3067" s="236">
        <v>999</v>
      </c>
      <c r="M3067" s="236">
        <v>0</v>
      </c>
      <c r="N3067" s="236">
        <v>1018</v>
      </c>
      <c r="O3067" s="2" t="s">
        <v>7682</v>
      </c>
      <c r="P3067" s="236"/>
      <c r="Q3067" s="236"/>
      <c r="R3067" s="236"/>
      <c r="S3067" s="236">
        <v>1</v>
      </c>
      <c r="T3067" s="236">
        <v>5</v>
      </c>
      <c r="U3067" s="8">
        <v>200</v>
      </c>
      <c r="V3067" s="236">
        <v>1</v>
      </c>
      <c r="W3067" s="236">
        <v>1</v>
      </c>
      <c r="X3067" s="236">
        <v>1</v>
      </c>
      <c r="Y3067" s="236">
        <v>0</v>
      </c>
      <c r="Z3067" s="236">
        <v>0</v>
      </c>
      <c r="AA3067" s="236">
        <v>5</v>
      </c>
      <c r="AB3067" s="236">
        <v>2000</v>
      </c>
      <c r="AC3067" s="236">
        <v>56</v>
      </c>
      <c r="AD3067" s="456">
        <v>0</v>
      </c>
      <c r="AE3067" s="456">
        <v>5</v>
      </c>
      <c r="AF3067" s="456">
        <v>2</v>
      </c>
      <c r="AG3067" s="456"/>
      <c r="AH3067" s="456"/>
      <c r="AI3067" s="456"/>
      <c r="AJ3067" s="456"/>
      <c r="AK3067" s="456"/>
      <c r="AL3067" s="236"/>
      <c r="AM3067" s="236"/>
      <c r="AN3067" s="236"/>
      <c r="AO3067" s="236"/>
      <c r="AP3067" s="236"/>
      <c r="AQ3067" s="236"/>
      <c r="AR3067" s="236"/>
      <c r="AS3067">
        <v>1</v>
      </c>
    </row>
    <row r="3068" spans="1:45">
      <c r="A3068">
        <v>619325</v>
      </c>
      <c r="B3068">
        <v>1001</v>
      </c>
      <c r="C3068">
        <v>6</v>
      </c>
      <c r="D3068">
        <v>1001</v>
      </c>
      <c r="E3068" t="s">
        <v>7683</v>
      </c>
      <c r="F3068" t="s">
        <v>7683</v>
      </c>
      <c r="G3068" t="s">
        <v>7684</v>
      </c>
      <c r="H3068" s="3" t="s">
        <v>1590</v>
      </c>
      <c r="I3068">
        <v>1</v>
      </c>
      <c r="J3068">
        <v>5</v>
      </c>
      <c r="K3068" s="33">
        <v>2</v>
      </c>
      <c r="L3068" s="238">
        <v>999</v>
      </c>
      <c r="M3068" s="238">
        <v>0</v>
      </c>
      <c r="N3068">
        <v>1018</v>
      </c>
      <c r="O3068" s="2" t="s">
        <v>7685</v>
      </c>
      <c r="S3068" s="254">
        <v>1</v>
      </c>
      <c r="T3068" s="238">
        <v>5</v>
      </c>
      <c r="U3068" s="8">
        <v>200</v>
      </c>
      <c r="V3068" s="8"/>
      <c r="W3068">
        <v>1</v>
      </c>
      <c r="X3068" s="238">
        <v>1</v>
      </c>
      <c r="Y3068" s="238">
        <v>0</v>
      </c>
      <c r="Z3068" s="33">
        <v>0</v>
      </c>
      <c r="AA3068">
        <v>5</v>
      </c>
      <c r="AB3068">
        <v>2000</v>
      </c>
      <c r="AC3068" s="238">
        <v>70</v>
      </c>
      <c r="AD3068" s="62">
        <v>0</v>
      </c>
      <c r="AE3068" s="62">
        <v>5</v>
      </c>
      <c r="AF3068" s="62">
        <v>2</v>
      </c>
      <c r="AG3068" s="430"/>
      <c r="AH3068" s="430"/>
      <c r="AI3068" s="430"/>
      <c r="AJ3068" s="430"/>
      <c r="AK3068" s="430"/>
      <c r="AL3068" s="214"/>
      <c r="AM3068" s="4"/>
      <c r="AN3068" s="162"/>
      <c r="AO3068" s="161"/>
      <c r="AP3068" s="214"/>
      <c r="AQ3068"/>
      <c r="AR3068"/>
      <c r="AS3068">
        <v>1</v>
      </c>
    </row>
    <row r="3069" spans="1:45">
      <c r="A3069">
        <v>619326</v>
      </c>
      <c r="B3069">
        <v>1001</v>
      </c>
      <c r="C3069">
        <v>1</v>
      </c>
      <c r="D3069">
        <v>1001</v>
      </c>
      <c r="E3069" t="s">
        <v>7686</v>
      </c>
      <c r="F3069" t="s">
        <v>7686</v>
      </c>
      <c r="G3069" t="s">
        <v>7522</v>
      </c>
      <c r="H3069" t="s">
        <v>1937</v>
      </c>
      <c r="I3069">
        <v>1</v>
      </c>
      <c r="J3069">
        <v>3</v>
      </c>
      <c r="K3069" s="33">
        <v>1</v>
      </c>
      <c r="L3069" s="8">
        <v>999</v>
      </c>
      <c r="M3069" s="8">
        <v>0</v>
      </c>
      <c r="S3069" s="8">
        <v>1</v>
      </c>
      <c r="T3069" s="8">
        <v>5</v>
      </c>
      <c r="U3069" s="8">
        <v>200</v>
      </c>
      <c r="V3069" s="8">
        <v>1</v>
      </c>
      <c r="W3069">
        <v>1</v>
      </c>
      <c r="X3069" s="8">
        <v>1</v>
      </c>
      <c r="Y3069" s="8">
        <v>0</v>
      </c>
      <c r="Z3069" s="33">
        <v>0</v>
      </c>
      <c r="AA3069">
        <v>5</v>
      </c>
      <c r="AB3069">
        <v>400</v>
      </c>
      <c r="AC3069" s="8">
        <v>900</v>
      </c>
      <c r="AD3069" s="12">
        <v>0</v>
      </c>
      <c r="AE3069" s="12">
        <v>4</v>
      </c>
      <c r="AF3069" s="12">
        <v>2</v>
      </c>
      <c r="AG3069" s="430"/>
      <c r="AH3069" s="430"/>
      <c r="AI3069" s="430"/>
      <c r="AJ3069" s="430"/>
      <c r="AK3069" s="430"/>
      <c r="AL3069" s="214">
        <v>1</v>
      </c>
      <c r="AM3069" s="4"/>
      <c r="AN3069" s="162"/>
      <c r="AO3069" s="161"/>
      <c r="AP3069" s="214"/>
      <c r="AQ3069" t="s">
        <v>7668</v>
      </c>
      <c r="AR3069">
        <v>1</v>
      </c>
      <c r="AS3069">
        <v>1</v>
      </c>
    </row>
    <row r="3070" spans="1:45">
      <c r="A3070">
        <v>619327</v>
      </c>
      <c r="B3070">
        <v>1001</v>
      </c>
      <c r="C3070">
        <v>1</v>
      </c>
      <c r="D3070">
        <v>1001</v>
      </c>
      <c r="E3070" t="s">
        <v>7687</v>
      </c>
      <c r="F3070" t="s">
        <v>7687</v>
      </c>
      <c r="G3070" t="s">
        <v>7522</v>
      </c>
      <c r="H3070" t="s">
        <v>2026</v>
      </c>
      <c r="I3070">
        <v>1</v>
      </c>
      <c r="J3070">
        <v>5</v>
      </c>
      <c r="K3070" s="33">
        <v>1</v>
      </c>
      <c r="L3070" s="236">
        <v>999</v>
      </c>
      <c r="M3070" s="236">
        <v>0</v>
      </c>
      <c r="N3070" s="3"/>
      <c r="S3070" s="236">
        <v>1</v>
      </c>
      <c r="T3070" s="236">
        <v>5</v>
      </c>
      <c r="U3070" s="236">
        <v>200</v>
      </c>
      <c r="V3070" s="236">
        <v>1</v>
      </c>
      <c r="W3070">
        <v>1</v>
      </c>
      <c r="X3070" s="236">
        <v>1</v>
      </c>
      <c r="Y3070" s="236">
        <v>0</v>
      </c>
      <c r="Z3070" s="33">
        <v>0</v>
      </c>
      <c r="AA3070">
        <v>5</v>
      </c>
      <c r="AB3070">
        <v>400</v>
      </c>
      <c r="AC3070" s="236">
        <v>900</v>
      </c>
      <c r="AD3070" s="12">
        <v>0</v>
      </c>
      <c r="AE3070" s="12">
        <v>4</v>
      </c>
      <c r="AF3070" s="12">
        <v>2</v>
      </c>
      <c r="AG3070" s="430"/>
      <c r="AH3070" s="430"/>
      <c r="AI3070" s="430"/>
      <c r="AJ3070" s="430"/>
      <c r="AK3070" s="430"/>
      <c r="AL3070" s="214">
        <v>1</v>
      </c>
      <c r="AM3070" s="4"/>
      <c r="AN3070" s="481"/>
      <c r="AO3070" s="482"/>
      <c r="AP3070" s="214"/>
      <c r="AQ3070" t="s">
        <v>7669</v>
      </c>
      <c r="AR3070">
        <v>1</v>
      </c>
      <c r="AS3070">
        <v>1</v>
      </c>
    </row>
    <row r="3071" s="3" customFormat="1" spans="1:45">
      <c r="A3071">
        <v>619328</v>
      </c>
      <c r="B3071">
        <v>1001</v>
      </c>
      <c r="C3071">
        <v>1</v>
      </c>
      <c r="D3071">
        <v>1001</v>
      </c>
      <c r="E3071" t="s">
        <v>7688</v>
      </c>
      <c r="F3071" t="s">
        <v>7688</v>
      </c>
      <c r="G3071" s="3" t="s">
        <v>7689</v>
      </c>
      <c r="H3071" t="s">
        <v>1808</v>
      </c>
      <c r="I3071">
        <v>1</v>
      </c>
      <c r="J3071" s="3">
        <v>4</v>
      </c>
      <c r="K3071" s="33">
        <v>2</v>
      </c>
      <c r="L3071" s="3">
        <v>999</v>
      </c>
      <c r="M3071" s="3">
        <v>0</v>
      </c>
      <c r="N3071" s="3">
        <v>1017</v>
      </c>
      <c r="O3071" s="2">
        <v>100250</v>
      </c>
      <c r="S3071" s="33">
        <v>1</v>
      </c>
      <c r="T3071">
        <v>5</v>
      </c>
      <c r="U3071">
        <v>1</v>
      </c>
      <c r="W3071">
        <v>1</v>
      </c>
      <c r="X3071">
        <v>1</v>
      </c>
      <c r="Y3071">
        <v>0</v>
      </c>
      <c r="Z3071" s="33">
        <v>0</v>
      </c>
      <c r="AA3071">
        <v>5</v>
      </c>
      <c r="AB3071">
        <v>100</v>
      </c>
      <c r="AC3071">
        <v>70</v>
      </c>
      <c r="AD3071" s="62">
        <v>0</v>
      </c>
      <c r="AE3071" s="62">
        <v>4</v>
      </c>
      <c r="AF3071" s="62">
        <v>2</v>
      </c>
      <c r="AG3071" s="337"/>
      <c r="AH3071" s="337"/>
      <c r="AI3071" s="337"/>
      <c r="AJ3071" s="337"/>
      <c r="AK3071" s="337"/>
      <c r="AL3071" s="234"/>
      <c r="AM3071" s="234"/>
      <c r="AN3071" s="476"/>
      <c r="AO3071" s="234"/>
      <c r="AP3071" s="234"/>
      <c r="AQ3071" t="s">
        <v>7672</v>
      </c>
      <c r="AS3071">
        <v>1</v>
      </c>
    </row>
    <row r="3072" s="3" customFormat="1" spans="1:45">
      <c r="A3072" s="3">
        <v>619329</v>
      </c>
      <c r="B3072" s="3">
        <v>1001</v>
      </c>
      <c r="C3072" s="3">
        <v>6</v>
      </c>
      <c r="D3072" s="3">
        <v>1001</v>
      </c>
      <c r="E3072" s="3" t="s">
        <v>5550</v>
      </c>
      <c r="F3072" s="3" t="s">
        <v>5550</v>
      </c>
      <c r="G3072" s="3" t="s">
        <v>7690</v>
      </c>
      <c r="H3072" s="3" t="s">
        <v>1822</v>
      </c>
      <c r="I3072" s="3">
        <v>1</v>
      </c>
      <c r="J3072" s="3">
        <v>5</v>
      </c>
      <c r="K3072" s="3">
        <v>2</v>
      </c>
      <c r="L3072" s="339">
        <v>999</v>
      </c>
      <c r="M3072" s="339">
        <v>0</v>
      </c>
      <c r="N3072" s="3">
        <v>1018</v>
      </c>
      <c r="O3072" s="231" t="s">
        <v>7691</v>
      </c>
      <c r="S3072" s="339">
        <v>1</v>
      </c>
      <c r="T3072" s="339">
        <v>5</v>
      </c>
      <c r="U3072" s="339">
        <v>100</v>
      </c>
      <c r="V3072" s="128"/>
      <c r="W3072" s="3">
        <v>1</v>
      </c>
      <c r="X3072" s="339">
        <v>1</v>
      </c>
      <c r="Y3072" s="339">
        <v>0</v>
      </c>
      <c r="Z3072" s="3">
        <v>0</v>
      </c>
      <c r="AA3072" s="3">
        <v>5</v>
      </c>
      <c r="AB3072" s="3">
        <v>2000</v>
      </c>
      <c r="AC3072" s="339">
        <v>70</v>
      </c>
      <c r="AD3072" s="153">
        <v>0</v>
      </c>
      <c r="AE3072" s="153">
        <v>5</v>
      </c>
      <c r="AF3072" s="153">
        <v>2</v>
      </c>
      <c r="AG3072" s="337"/>
      <c r="AH3072" s="337"/>
      <c r="AI3072" s="337"/>
      <c r="AJ3072" s="337"/>
      <c r="AK3072" s="337"/>
      <c r="AL3072" s="234"/>
      <c r="AM3072" s="234"/>
      <c r="AN3072" s="479"/>
      <c r="AO3072" s="341"/>
      <c r="AP3072" s="234"/>
      <c r="AS3072" s="3">
        <v>1</v>
      </c>
    </row>
    <row r="3073" s="3" customFormat="1" spans="1:45">
      <c r="A3073" s="3">
        <v>619330</v>
      </c>
      <c r="B3073" s="3">
        <v>1001</v>
      </c>
      <c r="C3073" s="3">
        <v>1</v>
      </c>
      <c r="D3073" s="3">
        <v>1001</v>
      </c>
      <c r="E3073" s="3" t="s">
        <v>7692</v>
      </c>
      <c r="F3073" s="3" t="s">
        <v>7692</v>
      </c>
      <c r="G3073" s="3" t="s">
        <v>7522</v>
      </c>
      <c r="H3073" s="3" t="s">
        <v>4237</v>
      </c>
      <c r="I3073" s="3">
        <v>1</v>
      </c>
      <c r="J3073" s="3">
        <v>3</v>
      </c>
      <c r="K3073" s="3">
        <v>1</v>
      </c>
      <c r="L3073" s="128">
        <v>999</v>
      </c>
      <c r="M3073" s="128">
        <v>0</v>
      </c>
      <c r="N3073" s="3"/>
      <c r="O3073" s="231"/>
      <c r="S3073" s="128">
        <v>1</v>
      </c>
      <c r="T3073" s="128">
        <v>5</v>
      </c>
      <c r="U3073" s="395">
        <v>200</v>
      </c>
      <c r="V3073" s="128">
        <v>1</v>
      </c>
      <c r="W3073" s="3">
        <v>1</v>
      </c>
      <c r="X3073" s="128">
        <v>1</v>
      </c>
      <c r="Y3073" s="128">
        <v>0</v>
      </c>
      <c r="Z3073" s="3">
        <v>0</v>
      </c>
      <c r="AA3073" s="3">
        <v>5</v>
      </c>
      <c r="AB3073" s="3">
        <v>400</v>
      </c>
      <c r="AC3073" s="128">
        <v>900</v>
      </c>
      <c r="AD3073" s="153">
        <v>0</v>
      </c>
      <c r="AE3073" s="153">
        <v>4</v>
      </c>
      <c r="AF3073" s="153">
        <v>2</v>
      </c>
      <c r="AG3073" s="337"/>
      <c r="AH3073" s="337"/>
      <c r="AI3073" s="337"/>
      <c r="AJ3073" s="337"/>
      <c r="AK3073" s="337"/>
      <c r="AL3073" s="234">
        <v>1</v>
      </c>
      <c r="AM3073" s="485"/>
      <c r="AN3073" s="157"/>
      <c r="AO3073" s="156"/>
      <c r="AP3073" s="234"/>
      <c r="AR3073" s="3">
        <v>1</v>
      </c>
      <c r="AS3073" s="3">
        <v>1</v>
      </c>
    </row>
    <row r="3074" s="3" customFormat="1" spans="1:45">
      <c r="A3074" s="3">
        <v>619331</v>
      </c>
      <c r="B3074" s="3">
        <v>1001</v>
      </c>
      <c r="C3074" s="3">
        <v>6</v>
      </c>
      <c r="D3074" s="3">
        <v>1001</v>
      </c>
      <c r="E3074" s="3" t="s">
        <v>7693</v>
      </c>
      <c r="F3074" s="3" t="s">
        <v>7693</v>
      </c>
      <c r="G3074" s="3" t="s">
        <v>7694</v>
      </c>
      <c r="H3074" s="3" t="s">
        <v>1760</v>
      </c>
      <c r="I3074" s="3">
        <v>1</v>
      </c>
      <c r="J3074" s="3">
        <v>5</v>
      </c>
      <c r="K3074" s="3">
        <v>2</v>
      </c>
      <c r="L3074" s="128">
        <v>999</v>
      </c>
      <c r="M3074" s="128">
        <v>0</v>
      </c>
      <c r="N3074" s="3">
        <v>1017</v>
      </c>
      <c r="O3074" s="231">
        <v>220030</v>
      </c>
      <c r="S3074" s="128">
        <v>1</v>
      </c>
      <c r="T3074" s="128">
        <v>5</v>
      </c>
      <c r="U3074" s="3">
        <v>100</v>
      </c>
      <c r="V3074" s="128"/>
      <c r="W3074" s="3">
        <v>1</v>
      </c>
      <c r="X3074" s="128">
        <v>1</v>
      </c>
      <c r="Y3074" s="128">
        <v>0</v>
      </c>
      <c r="Z3074" s="3">
        <v>0</v>
      </c>
      <c r="AA3074" s="3">
        <v>5</v>
      </c>
      <c r="AB3074" s="3">
        <v>2000</v>
      </c>
      <c r="AC3074" s="128">
        <v>70</v>
      </c>
      <c r="AD3074" s="153">
        <v>0</v>
      </c>
      <c r="AE3074" s="153">
        <v>4</v>
      </c>
      <c r="AF3074" s="153">
        <v>2</v>
      </c>
      <c r="AG3074" s="337"/>
      <c r="AH3074" s="337"/>
      <c r="AI3074" s="337"/>
      <c r="AJ3074" s="337"/>
      <c r="AK3074" s="337"/>
      <c r="AL3074" s="234"/>
      <c r="AM3074" s="485"/>
      <c r="AN3074" s="157"/>
      <c r="AO3074" s="156"/>
      <c r="AP3074" s="234"/>
      <c r="AS3074" s="3">
        <v>1</v>
      </c>
    </row>
    <row r="3075" spans="1:45">
      <c r="A3075" s="3">
        <v>619332</v>
      </c>
      <c r="B3075" s="3">
        <v>1001</v>
      </c>
      <c r="C3075" s="3">
        <v>6</v>
      </c>
      <c r="D3075" s="3">
        <v>1001</v>
      </c>
      <c r="E3075" s="3" t="s">
        <v>7695</v>
      </c>
      <c r="F3075" s="3" t="s">
        <v>7695</v>
      </c>
      <c r="G3075" s="3" t="s">
        <v>7696</v>
      </c>
      <c r="H3075" s="3" t="s">
        <v>1822</v>
      </c>
      <c r="I3075" s="3">
        <v>1</v>
      </c>
      <c r="J3075" s="3">
        <v>5</v>
      </c>
      <c r="K3075" s="3">
        <v>2</v>
      </c>
      <c r="L3075" s="395">
        <v>999</v>
      </c>
      <c r="M3075" s="395">
        <v>0</v>
      </c>
      <c r="N3075" s="3">
        <v>1018</v>
      </c>
      <c r="O3075" s="231" t="s">
        <v>7697</v>
      </c>
      <c r="S3075" s="395">
        <v>1</v>
      </c>
      <c r="T3075" s="395">
        <v>5</v>
      </c>
      <c r="U3075" s="3">
        <v>100</v>
      </c>
      <c r="V3075" s="128"/>
      <c r="W3075" s="3">
        <v>1</v>
      </c>
      <c r="X3075" s="395">
        <v>1</v>
      </c>
      <c r="Y3075" s="395">
        <v>0</v>
      </c>
      <c r="Z3075" s="3">
        <v>0</v>
      </c>
      <c r="AA3075" s="3">
        <v>5</v>
      </c>
      <c r="AB3075" s="3">
        <v>2000</v>
      </c>
      <c r="AC3075" s="395">
        <v>70</v>
      </c>
      <c r="AD3075" s="153">
        <v>0</v>
      </c>
      <c r="AE3075" s="153">
        <v>5</v>
      </c>
      <c r="AF3075" s="153">
        <v>2</v>
      </c>
      <c r="AG3075" s="337"/>
      <c r="AH3075" s="337"/>
      <c r="AI3075" s="337"/>
      <c r="AJ3075" s="337"/>
      <c r="AK3075" s="337"/>
      <c r="AL3075" s="234"/>
      <c r="AM3075" s="485"/>
      <c r="AN3075" s="157"/>
      <c r="AO3075" s="156"/>
      <c r="AP3075" s="234"/>
      <c r="AQ3075"/>
      <c r="AS3075" s="3">
        <v>1</v>
      </c>
    </row>
    <row r="3076" spans="1:45">
      <c r="A3076">
        <v>619333</v>
      </c>
      <c r="B3076">
        <v>1001</v>
      </c>
      <c r="C3076">
        <v>1</v>
      </c>
      <c r="D3076">
        <v>1001</v>
      </c>
      <c r="E3076" s="486" t="s">
        <v>7698</v>
      </c>
      <c r="F3076" t="s">
        <v>7698</v>
      </c>
      <c r="G3076" t="s">
        <v>7522</v>
      </c>
      <c r="H3076" t="s">
        <v>1808</v>
      </c>
      <c r="I3076">
        <v>1</v>
      </c>
      <c r="J3076">
        <v>3</v>
      </c>
      <c r="K3076" s="33">
        <v>1</v>
      </c>
      <c r="L3076">
        <v>999</v>
      </c>
      <c r="M3076">
        <v>0</v>
      </c>
      <c r="S3076" s="33">
        <v>1</v>
      </c>
      <c r="T3076">
        <v>5</v>
      </c>
      <c r="U3076">
        <v>1</v>
      </c>
      <c r="V3076" s="87">
        <v>1</v>
      </c>
      <c r="W3076">
        <v>1</v>
      </c>
      <c r="X3076">
        <v>1</v>
      </c>
      <c r="Y3076">
        <v>0</v>
      </c>
      <c r="Z3076" s="33">
        <v>0</v>
      </c>
      <c r="AA3076">
        <v>5</v>
      </c>
      <c r="AB3076">
        <v>100</v>
      </c>
      <c r="AC3076">
        <v>900</v>
      </c>
      <c r="AD3076" s="62">
        <v>0</v>
      </c>
      <c r="AE3076" s="62">
        <v>4</v>
      </c>
      <c r="AF3076" s="62">
        <v>2</v>
      </c>
      <c r="AN3076" s="93"/>
      <c r="AO3076" s="92"/>
      <c r="AQ3076" t="s">
        <v>7698</v>
      </c>
      <c r="AS3076">
        <v>1</v>
      </c>
    </row>
    <row r="3077" s="3" customFormat="1" spans="1:45">
      <c r="A3077">
        <v>619334</v>
      </c>
      <c r="B3077">
        <v>1001</v>
      </c>
      <c r="C3077">
        <v>1</v>
      </c>
      <c r="D3077">
        <v>1001</v>
      </c>
      <c r="E3077" s="486" t="s">
        <v>7699</v>
      </c>
      <c r="F3077" t="s">
        <v>7699</v>
      </c>
      <c r="G3077" t="s">
        <v>7522</v>
      </c>
      <c r="H3077" t="s">
        <v>259</v>
      </c>
      <c r="I3077">
        <v>1</v>
      </c>
      <c r="J3077">
        <v>3</v>
      </c>
      <c r="K3077" s="33">
        <v>1</v>
      </c>
      <c r="L3077">
        <v>999</v>
      </c>
      <c r="M3077">
        <v>0</v>
      </c>
      <c r="N3077" s="3"/>
      <c r="O3077" s="231"/>
      <c r="S3077" s="33">
        <v>1</v>
      </c>
      <c r="T3077" s="238">
        <v>5</v>
      </c>
      <c r="U3077">
        <v>1</v>
      </c>
      <c r="V3077" s="87">
        <v>1</v>
      </c>
      <c r="W3077">
        <v>1</v>
      </c>
      <c r="X3077">
        <v>1</v>
      </c>
      <c r="Y3077">
        <v>0</v>
      </c>
      <c r="Z3077" s="33">
        <v>0</v>
      </c>
      <c r="AA3077">
        <v>5</v>
      </c>
      <c r="AB3077">
        <v>100</v>
      </c>
      <c r="AC3077" s="238">
        <v>900</v>
      </c>
      <c r="AD3077" s="62">
        <v>0</v>
      </c>
      <c r="AE3077" s="62">
        <v>4</v>
      </c>
      <c r="AF3077" s="62">
        <v>2</v>
      </c>
      <c r="AG3077" s="337"/>
      <c r="AH3077" s="337"/>
      <c r="AI3077" s="337"/>
      <c r="AJ3077" s="337"/>
      <c r="AK3077" s="337"/>
      <c r="AL3077" s="234"/>
      <c r="AM3077" s="234"/>
      <c r="AN3077" s="93"/>
      <c r="AO3077" s="92"/>
      <c r="AP3077" s="234"/>
      <c r="AQ3077" t="s">
        <v>7699</v>
      </c>
      <c r="AS3077">
        <v>1</v>
      </c>
    </row>
    <row r="3078" spans="1:45">
      <c r="A3078" s="3">
        <v>619335</v>
      </c>
      <c r="B3078" s="3">
        <v>1001</v>
      </c>
      <c r="C3078" s="3">
        <v>1</v>
      </c>
      <c r="D3078" s="3">
        <v>1001</v>
      </c>
      <c r="E3078" s="3" t="s">
        <v>7700</v>
      </c>
      <c r="F3078" s="3" t="s">
        <v>7700</v>
      </c>
      <c r="G3078" s="3" t="s">
        <v>7694</v>
      </c>
      <c r="H3078" s="3" t="s">
        <v>5474</v>
      </c>
      <c r="I3078" s="3">
        <v>1</v>
      </c>
      <c r="J3078" s="3">
        <v>5</v>
      </c>
      <c r="K3078" s="3">
        <v>2</v>
      </c>
      <c r="L3078" s="3">
        <v>999</v>
      </c>
      <c r="M3078" s="3">
        <v>0</v>
      </c>
      <c r="N3078" s="3">
        <v>1017</v>
      </c>
      <c r="O3078" s="231">
        <v>220031</v>
      </c>
      <c r="S3078" s="3">
        <v>1</v>
      </c>
      <c r="T3078" s="395">
        <v>5</v>
      </c>
      <c r="U3078" s="3">
        <v>100</v>
      </c>
      <c r="V3078" s="128">
        <v>0</v>
      </c>
      <c r="W3078" s="3">
        <v>1</v>
      </c>
      <c r="X3078" s="3">
        <v>1</v>
      </c>
      <c r="Y3078" s="3">
        <v>0</v>
      </c>
      <c r="Z3078" s="3">
        <v>0</v>
      </c>
      <c r="AA3078" s="3">
        <v>5</v>
      </c>
      <c r="AB3078" s="3">
        <v>2000</v>
      </c>
      <c r="AC3078" s="395">
        <v>70</v>
      </c>
      <c r="AD3078" s="153">
        <v>0</v>
      </c>
      <c r="AE3078" s="153">
        <v>4</v>
      </c>
      <c r="AF3078" s="153">
        <v>2</v>
      </c>
      <c r="AG3078" s="337"/>
      <c r="AH3078" s="337"/>
      <c r="AI3078" s="337"/>
      <c r="AJ3078" s="337"/>
      <c r="AK3078" s="337"/>
      <c r="AL3078" s="234"/>
      <c r="AM3078" s="234"/>
      <c r="AN3078" s="157"/>
      <c r="AO3078" s="156"/>
      <c r="AP3078" s="234"/>
      <c r="AQ3078" s="3" t="s">
        <v>7700</v>
      </c>
      <c r="AS3078" s="3">
        <v>1</v>
      </c>
    </row>
    <row r="3079" spans="1:45">
      <c r="A3079">
        <v>619336</v>
      </c>
      <c r="B3079">
        <v>1001</v>
      </c>
      <c r="C3079">
        <v>1</v>
      </c>
      <c r="D3079">
        <v>1001</v>
      </c>
      <c r="E3079" s="486" t="s">
        <v>6236</v>
      </c>
      <c r="F3079" t="s">
        <v>6236</v>
      </c>
      <c r="G3079" t="s">
        <v>7522</v>
      </c>
      <c r="H3079" t="s">
        <v>5740</v>
      </c>
      <c r="I3079">
        <v>1</v>
      </c>
      <c r="J3079">
        <v>3</v>
      </c>
      <c r="K3079" s="33">
        <v>1</v>
      </c>
      <c r="L3079">
        <v>999</v>
      </c>
      <c r="M3079">
        <v>0</v>
      </c>
      <c r="N3079"/>
      <c r="S3079" s="33">
        <v>1</v>
      </c>
      <c r="T3079">
        <v>5</v>
      </c>
      <c r="U3079">
        <v>1</v>
      </c>
      <c r="V3079" s="248">
        <v>1</v>
      </c>
      <c r="W3079">
        <v>1</v>
      </c>
      <c r="X3079">
        <v>1</v>
      </c>
      <c r="Y3079">
        <v>0</v>
      </c>
      <c r="Z3079" s="33">
        <v>0</v>
      </c>
      <c r="AA3079">
        <v>5</v>
      </c>
      <c r="AB3079">
        <v>100</v>
      </c>
      <c r="AC3079">
        <v>900</v>
      </c>
      <c r="AD3079" s="62">
        <v>0</v>
      </c>
      <c r="AE3079" s="62">
        <v>4</v>
      </c>
      <c r="AF3079" s="62">
        <v>2</v>
      </c>
      <c r="AN3079" s="338"/>
      <c r="AO3079" s="252"/>
      <c r="AQ3079" t="s">
        <v>6236</v>
      </c>
      <c r="AS3079">
        <v>1</v>
      </c>
    </row>
    <row r="3080" spans="1:45">
      <c r="A3080">
        <v>619337</v>
      </c>
      <c r="B3080">
        <v>1001</v>
      </c>
      <c r="C3080">
        <v>6</v>
      </c>
      <c r="D3080">
        <v>1001</v>
      </c>
      <c r="E3080" t="s">
        <v>7701</v>
      </c>
      <c r="F3080" t="s">
        <v>7701</v>
      </c>
      <c r="G3080" t="s">
        <v>7694</v>
      </c>
      <c r="H3080" t="s">
        <v>1760</v>
      </c>
      <c r="I3080">
        <v>1</v>
      </c>
      <c r="J3080">
        <v>5</v>
      </c>
      <c r="K3080" s="33">
        <v>2</v>
      </c>
      <c r="L3080">
        <v>999</v>
      </c>
      <c r="M3080">
        <v>0</v>
      </c>
      <c r="N3080">
        <v>1017</v>
      </c>
      <c r="O3080" s="2">
        <v>220032</v>
      </c>
      <c r="S3080" s="33">
        <v>1</v>
      </c>
      <c r="T3080">
        <v>5</v>
      </c>
      <c r="U3080">
        <v>100</v>
      </c>
      <c r="W3080">
        <v>1</v>
      </c>
      <c r="X3080">
        <v>1</v>
      </c>
      <c r="Y3080">
        <v>0</v>
      </c>
      <c r="Z3080" s="33">
        <v>0</v>
      </c>
      <c r="AA3080">
        <v>5</v>
      </c>
      <c r="AB3080">
        <v>2000</v>
      </c>
      <c r="AC3080">
        <v>70</v>
      </c>
      <c r="AD3080" s="62">
        <v>0</v>
      </c>
      <c r="AE3080" s="62">
        <v>4</v>
      </c>
      <c r="AF3080" s="62">
        <v>2</v>
      </c>
      <c r="AQ3080" t="s">
        <v>7701</v>
      </c>
      <c r="AS3080">
        <v>1</v>
      </c>
    </row>
    <row r="3081" spans="1:45">
      <c r="A3081">
        <v>619338</v>
      </c>
      <c r="B3081">
        <v>1001</v>
      </c>
      <c r="C3081">
        <v>6</v>
      </c>
      <c r="D3081">
        <v>1001</v>
      </c>
      <c r="E3081" t="s">
        <v>7702</v>
      </c>
      <c r="F3081" t="s">
        <v>7702</v>
      </c>
      <c r="G3081" t="s">
        <v>7703</v>
      </c>
      <c r="H3081" t="s">
        <v>204</v>
      </c>
      <c r="I3081">
        <v>1</v>
      </c>
      <c r="J3081">
        <v>5</v>
      </c>
      <c r="K3081" s="33">
        <v>2</v>
      </c>
      <c r="L3081">
        <v>999</v>
      </c>
      <c r="M3081">
        <v>0</v>
      </c>
      <c r="N3081">
        <v>1018</v>
      </c>
      <c r="O3081" s="2" t="s">
        <v>7704</v>
      </c>
      <c r="S3081" s="33">
        <v>1</v>
      </c>
      <c r="T3081">
        <v>5</v>
      </c>
      <c r="U3081">
        <v>100</v>
      </c>
      <c r="W3081">
        <v>1</v>
      </c>
      <c r="X3081">
        <v>1</v>
      </c>
      <c r="Y3081">
        <v>0</v>
      </c>
      <c r="Z3081" s="33">
        <v>0</v>
      </c>
      <c r="AA3081">
        <v>5</v>
      </c>
      <c r="AB3081">
        <v>2000</v>
      </c>
      <c r="AC3081">
        <v>70</v>
      </c>
      <c r="AD3081" s="62">
        <v>0</v>
      </c>
      <c r="AE3081" s="62">
        <v>5</v>
      </c>
      <c r="AF3081" s="62">
        <v>2</v>
      </c>
      <c r="AQ3081" t="s">
        <v>7702</v>
      </c>
      <c r="AS3081">
        <v>1</v>
      </c>
    </row>
    <row r="3082" spans="1:45">
      <c r="A3082">
        <v>619339</v>
      </c>
      <c r="B3082">
        <v>1001</v>
      </c>
      <c r="C3082">
        <v>6</v>
      </c>
      <c r="D3082">
        <v>1001</v>
      </c>
      <c r="E3082" t="s">
        <v>5550</v>
      </c>
      <c r="F3082" t="s">
        <v>5550</v>
      </c>
      <c r="G3082" t="s">
        <v>7705</v>
      </c>
      <c r="H3082" t="s">
        <v>1822</v>
      </c>
      <c r="I3082">
        <v>1</v>
      </c>
      <c r="J3082">
        <v>5</v>
      </c>
      <c r="K3082" s="33">
        <v>2</v>
      </c>
      <c r="L3082">
        <v>999</v>
      </c>
      <c r="M3082">
        <v>0</v>
      </c>
      <c r="N3082">
        <v>1018</v>
      </c>
      <c r="O3082" s="2" t="s">
        <v>7706</v>
      </c>
      <c r="S3082" s="33">
        <v>1</v>
      </c>
      <c r="T3082">
        <v>5</v>
      </c>
      <c r="U3082">
        <v>100</v>
      </c>
      <c r="W3082">
        <v>1</v>
      </c>
      <c r="X3082">
        <v>1</v>
      </c>
      <c r="Y3082">
        <v>0</v>
      </c>
      <c r="Z3082" s="33">
        <v>0</v>
      </c>
      <c r="AA3082">
        <v>5</v>
      </c>
      <c r="AB3082">
        <v>2000</v>
      </c>
      <c r="AC3082">
        <v>70</v>
      </c>
      <c r="AD3082" s="62">
        <v>0</v>
      </c>
      <c r="AE3082" s="62">
        <v>5</v>
      </c>
      <c r="AF3082" s="62">
        <v>2</v>
      </c>
      <c r="AQ3082" t="s">
        <v>5550</v>
      </c>
      <c r="AS3082">
        <v>1</v>
      </c>
    </row>
    <row r="3083" spans="1:45">
      <c r="A3083">
        <v>619340</v>
      </c>
      <c r="B3083">
        <v>1001</v>
      </c>
      <c r="C3083">
        <v>1</v>
      </c>
      <c r="D3083">
        <v>1001</v>
      </c>
      <c r="E3083" t="s">
        <v>7707</v>
      </c>
      <c r="F3083" t="s">
        <v>7707</v>
      </c>
      <c r="G3083" t="s">
        <v>7522</v>
      </c>
      <c r="H3083" t="s">
        <v>6997</v>
      </c>
      <c r="I3083">
        <v>1</v>
      </c>
      <c r="J3083">
        <v>3</v>
      </c>
      <c r="K3083" s="33">
        <v>1</v>
      </c>
      <c r="L3083">
        <v>999</v>
      </c>
      <c r="M3083">
        <v>0</v>
      </c>
      <c r="S3083" s="33">
        <v>1</v>
      </c>
      <c r="T3083">
        <v>5</v>
      </c>
      <c r="U3083">
        <v>1</v>
      </c>
      <c r="V3083" s="33">
        <v>1</v>
      </c>
      <c r="W3083">
        <v>1</v>
      </c>
      <c r="X3083">
        <v>1</v>
      </c>
      <c r="Y3083">
        <v>0</v>
      </c>
      <c r="Z3083" s="33">
        <v>0</v>
      </c>
      <c r="AA3083">
        <v>5</v>
      </c>
      <c r="AB3083">
        <v>100</v>
      </c>
      <c r="AC3083">
        <v>900</v>
      </c>
      <c r="AD3083" s="62">
        <v>0</v>
      </c>
      <c r="AE3083" s="62">
        <v>4</v>
      </c>
      <c r="AF3083" s="62">
        <v>2</v>
      </c>
      <c r="AQ3083" t="s">
        <v>7707</v>
      </c>
      <c r="AS3083">
        <v>1</v>
      </c>
    </row>
    <row r="3084" s="53" customFormat="1" spans="1:45">
      <c r="A3084">
        <v>619341</v>
      </c>
      <c r="B3084">
        <v>1001</v>
      </c>
      <c r="C3084">
        <v>1</v>
      </c>
      <c r="D3084">
        <v>1001</v>
      </c>
      <c r="E3084" t="s">
        <v>7708</v>
      </c>
      <c r="F3084" t="s">
        <v>7708</v>
      </c>
      <c r="G3084" t="s">
        <v>7522</v>
      </c>
      <c r="H3084" t="s">
        <v>5501</v>
      </c>
      <c r="I3084">
        <v>1</v>
      </c>
      <c r="J3084">
        <v>3</v>
      </c>
      <c r="K3084" s="33">
        <v>1</v>
      </c>
      <c r="L3084">
        <v>999</v>
      </c>
      <c r="M3084">
        <v>0</v>
      </c>
      <c r="N3084" s="53"/>
      <c r="O3084" s="487"/>
      <c r="S3084" s="33">
        <v>1</v>
      </c>
      <c r="T3084">
        <v>5</v>
      </c>
      <c r="U3084">
        <v>1</v>
      </c>
      <c r="V3084" s="33">
        <v>1</v>
      </c>
      <c r="W3084">
        <v>1</v>
      </c>
      <c r="X3084">
        <v>1</v>
      </c>
      <c r="Y3084">
        <v>0</v>
      </c>
      <c r="Z3084" s="33">
        <v>0</v>
      </c>
      <c r="AA3084">
        <v>5</v>
      </c>
      <c r="AB3084">
        <v>100</v>
      </c>
      <c r="AC3084">
        <v>900</v>
      </c>
      <c r="AD3084" s="62">
        <v>0</v>
      </c>
      <c r="AE3084" s="62">
        <v>4</v>
      </c>
      <c r="AF3084" s="62">
        <v>2</v>
      </c>
      <c r="AG3084" s="488"/>
      <c r="AH3084" s="488"/>
      <c r="AI3084" s="488"/>
      <c r="AJ3084" s="488"/>
      <c r="AK3084" s="488"/>
      <c r="AL3084" s="489"/>
      <c r="AM3084" s="489"/>
      <c r="AN3084" s="490"/>
      <c r="AO3084" s="489"/>
      <c r="AP3084" s="489"/>
      <c r="AQ3084" t="s">
        <v>7708</v>
      </c>
      <c r="AS3084">
        <v>1</v>
      </c>
    </row>
    <row r="3085" s="3" customFormat="1" ht="108" customHeight="1" spans="1:45">
      <c r="A3085" s="53">
        <v>619347</v>
      </c>
      <c r="B3085" s="53">
        <v>1001</v>
      </c>
      <c r="C3085" s="53">
        <v>6</v>
      </c>
      <c r="D3085" s="53">
        <v>1001</v>
      </c>
      <c r="E3085" s="53" t="s">
        <v>6262</v>
      </c>
      <c r="F3085" s="53" t="s">
        <v>5749</v>
      </c>
      <c r="G3085" s="491" t="s">
        <v>7709</v>
      </c>
      <c r="H3085" s="53" t="s">
        <v>204</v>
      </c>
      <c r="I3085" s="53">
        <v>1</v>
      </c>
      <c r="J3085" s="53">
        <v>5</v>
      </c>
      <c r="K3085" s="53">
        <v>2</v>
      </c>
      <c r="L3085" s="53">
        <v>999</v>
      </c>
      <c r="M3085" s="53">
        <v>0</v>
      </c>
      <c r="N3085" s="53">
        <v>1018</v>
      </c>
      <c r="O3085" s="487" t="s">
        <v>7710</v>
      </c>
      <c r="S3085" s="53">
        <v>1</v>
      </c>
      <c r="T3085" s="53">
        <v>5</v>
      </c>
      <c r="U3085" s="53">
        <v>1</v>
      </c>
      <c r="V3085" s="53">
        <v>1</v>
      </c>
      <c r="W3085" s="53">
        <v>1</v>
      </c>
      <c r="X3085" s="53">
        <v>1</v>
      </c>
      <c r="Y3085" s="53">
        <v>0</v>
      </c>
      <c r="Z3085" s="53">
        <v>0</v>
      </c>
      <c r="AA3085" s="53">
        <v>5</v>
      </c>
      <c r="AB3085" s="53">
        <v>100</v>
      </c>
      <c r="AC3085" s="53">
        <v>70</v>
      </c>
      <c r="AD3085" s="492">
        <v>0</v>
      </c>
      <c r="AE3085" s="492">
        <v>5</v>
      </c>
      <c r="AF3085" s="492">
        <v>2</v>
      </c>
      <c r="AG3085" s="488"/>
      <c r="AH3085" s="488"/>
      <c r="AI3085" s="488"/>
      <c r="AJ3085" s="488"/>
      <c r="AK3085" s="488"/>
      <c r="AL3085" s="489"/>
      <c r="AM3085" s="489"/>
      <c r="AN3085" s="490"/>
      <c r="AO3085" s="489"/>
      <c r="AP3085" s="489"/>
      <c r="AQ3085" s="53" t="s">
        <v>6262</v>
      </c>
      <c r="AS3085" s="53">
        <v>1</v>
      </c>
    </row>
    <row r="3086" s="3" customFormat="1" spans="1:45">
      <c r="A3086" s="3">
        <v>619343</v>
      </c>
      <c r="B3086" s="3">
        <v>1001</v>
      </c>
      <c r="C3086" s="3">
        <v>6</v>
      </c>
      <c r="D3086" s="3">
        <v>1001</v>
      </c>
      <c r="E3086" s="3" t="s">
        <v>7711</v>
      </c>
      <c r="F3086" s="3" t="s">
        <v>7711</v>
      </c>
      <c r="G3086" s="3" t="s">
        <v>7712</v>
      </c>
      <c r="H3086" s="3" t="s">
        <v>204</v>
      </c>
      <c r="I3086" s="3">
        <v>1</v>
      </c>
      <c r="J3086" s="3">
        <v>5</v>
      </c>
      <c r="K3086" s="3">
        <v>2</v>
      </c>
      <c r="L3086" s="3">
        <v>999</v>
      </c>
      <c r="M3086" s="3">
        <v>0</v>
      </c>
      <c r="N3086" s="3">
        <v>1018</v>
      </c>
      <c r="O3086" s="3" t="s">
        <v>7713</v>
      </c>
      <c r="S3086" s="3">
        <v>1</v>
      </c>
      <c r="T3086" s="3">
        <v>5</v>
      </c>
      <c r="U3086" s="3">
        <v>1</v>
      </c>
      <c r="V3086" s="3">
        <v>1</v>
      </c>
      <c r="W3086" s="3">
        <v>1</v>
      </c>
      <c r="X3086" s="3">
        <v>1</v>
      </c>
      <c r="Y3086" s="3">
        <v>0</v>
      </c>
      <c r="Z3086" s="3">
        <v>0</v>
      </c>
      <c r="AA3086" s="3">
        <v>5</v>
      </c>
      <c r="AB3086" s="3">
        <v>100</v>
      </c>
      <c r="AC3086" s="3">
        <v>70</v>
      </c>
      <c r="AD3086" s="153">
        <v>0</v>
      </c>
      <c r="AE3086" s="153">
        <v>5</v>
      </c>
      <c r="AF3086" s="153">
        <v>2</v>
      </c>
      <c r="AG3086" s="337"/>
      <c r="AH3086" s="337"/>
      <c r="AI3086" s="337"/>
      <c r="AJ3086" s="337"/>
      <c r="AK3086" s="337"/>
      <c r="AL3086" s="234"/>
      <c r="AM3086" s="234"/>
      <c r="AN3086" s="476"/>
      <c r="AO3086" s="234"/>
      <c r="AP3086" s="234"/>
      <c r="AQ3086" s="3" t="s">
        <v>7711</v>
      </c>
      <c r="AS3086" s="3">
        <v>1</v>
      </c>
    </row>
    <row r="3087" s="3" customFormat="1" spans="1:45">
      <c r="A3087" s="3">
        <v>619344</v>
      </c>
      <c r="B3087" s="3">
        <v>1001</v>
      </c>
      <c r="C3087" s="3">
        <v>6</v>
      </c>
      <c r="D3087" s="3">
        <v>1001</v>
      </c>
      <c r="E3087" s="3" t="s">
        <v>7714</v>
      </c>
      <c r="F3087" s="3" t="s">
        <v>7714</v>
      </c>
      <c r="G3087" s="3" t="s">
        <v>7694</v>
      </c>
      <c r="H3087" s="3" t="s">
        <v>6276</v>
      </c>
      <c r="I3087" s="3">
        <v>1</v>
      </c>
      <c r="J3087" s="3">
        <v>5</v>
      </c>
      <c r="K3087" s="3">
        <v>2</v>
      </c>
      <c r="L3087" s="3">
        <v>999</v>
      </c>
      <c r="M3087" s="3">
        <v>0</v>
      </c>
      <c r="N3087" s="3">
        <v>1017</v>
      </c>
      <c r="O3087" s="231">
        <v>220034</v>
      </c>
      <c r="S3087" s="3">
        <v>1</v>
      </c>
      <c r="T3087" s="3">
        <v>5</v>
      </c>
      <c r="U3087" s="3">
        <v>100</v>
      </c>
      <c r="V3087" s="3"/>
      <c r="W3087" s="3">
        <v>1</v>
      </c>
      <c r="X3087" s="3">
        <v>1</v>
      </c>
      <c r="Y3087" s="3">
        <v>0</v>
      </c>
      <c r="Z3087" s="3">
        <v>0</v>
      </c>
      <c r="AA3087" s="3">
        <v>5</v>
      </c>
      <c r="AB3087" s="3">
        <v>100</v>
      </c>
      <c r="AC3087" s="3">
        <v>70</v>
      </c>
      <c r="AD3087" s="153">
        <v>0</v>
      </c>
      <c r="AE3087" s="153">
        <v>4</v>
      </c>
      <c r="AF3087" s="153">
        <v>2</v>
      </c>
      <c r="AG3087" s="337"/>
      <c r="AH3087" s="337"/>
      <c r="AI3087" s="337"/>
      <c r="AJ3087" s="337"/>
      <c r="AK3087" s="337"/>
      <c r="AL3087" s="234"/>
      <c r="AM3087" s="234"/>
      <c r="AN3087" s="476"/>
      <c r="AO3087" s="234"/>
      <c r="AP3087" s="234"/>
      <c r="AQ3087" s="3" t="s">
        <v>7714</v>
      </c>
      <c r="AS3087" s="3">
        <v>1</v>
      </c>
    </row>
    <row r="3088" s="3" customFormat="1" spans="1:45">
      <c r="A3088" s="3">
        <v>619345</v>
      </c>
      <c r="B3088" s="3">
        <v>1001</v>
      </c>
      <c r="C3088" s="3">
        <v>1</v>
      </c>
      <c r="D3088" s="3">
        <v>1001</v>
      </c>
      <c r="E3088" s="3" t="s">
        <v>1837</v>
      </c>
      <c r="F3088" s="3" t="s">
        <v>1837</v>
      </c>
      <c r="G3088" s="3" t="s">
        <v>7522</v>
      </c>
      <c r="H3088" s="3" t="s">
        <v>1839</v>
      </c>
      <c r="I3088" s="3">
        <v>1</v>
      </c>
      <c r="J3088" s="3">
        <v>3</v>
      </c>
      <c r="K3088" s="3">
        <v>1</v>
      </c>
      <c r="L3088" s="3">
        <v>999</v>
      </c>
      <c r="M3088" s="3">
        <v>0</v>
      </c>
      <c r="O3088" s="231"/>
      <c r="S3088" s="3">
        <v>1</v>
      </c>
      <c r="T3088" s="3">
        <v>5</v>
      </c>
      <c r="U3088" s="3">
        <v>1</v>
      </c>
      <c r="V3088" s="3">
        <v>1</v>
      </c>
      <c r="W3088" s="3">
        <v>1</v>
      </c>
      <c r="X3088" s="3">
        <v>1</v>
      </c>
      <c r="Y3088" s="3">
        <v>0</v>
      </c>
      <c r="Z3088" s="3">
        <v>0</v>
      </c>
      <c r="AA3088" s="3">
        <v>5</v>
      </c>
      <c r="AB3088" s="3">
        <v>100</v>
      </c>
      <c r="AC3088" s="3">
        <v>900</v>
      </c>
      <c r="AD3088" s="153">
        <v>0</v>
      </c>
      <c r="AE3088" s="153">
        <v>4</v>
      </c>
      <c r="AF3088" s="153">
        <v>2</v>
      </c>
      <c r="AG3088" s="337"/>
      <c r="AH3088" s="337"/>
      <c r="AI3088" s="337"/>
      <c r="AJ3088" s="337"/>
      <c r="AK3088" s="337"/>
      <c r="AL3088" s="234"/>
      <c r="AM3088" s="234"/>
      <c r="AN3088" s="476"/>
      <c r="AO3088" s="234"/>
      <c r="AP3088" s="234"/>
      <c r="AQ3088" s="3" t="s">
        <v>1837</v>
      </c>
      <c r="AS3088" s="3">
        <v>1</v>
      </c>
    </row>
    <row r="3089" s="53" customFormat="1" spans="1:45">
      <c r="A3089" s="3">
        <v>619346</v>
      </c>
      <c r="B3089" s="3">
        <v>1001</v>
      </c>
      <c r="C3089" s="3">
        <v>1</v>
      </c>
      <c r="D3089" s="3">
        <v>1001</v>
      </c>
      <c r="E3089" s="3" t="s">
        <v>7094</v>
      </c>
      <c r="F3089" s="3" t="s">
        <v>7094</v>
      </c>
      <c r="G3089" s="3" t="s">
        <v>7522</v>
      </c>
      <c r="H3089" s="3" t="s">
        <v>5871</v>
      </c>
      <c r="I3089" s="3">
        <v>1</v>
      </c>
      <c r="J3089" s="3">
        <v>3</v>
      </c>
      <c r="K3089" s="3">
        <v>1</v>
      </c>
      <c r="L3089" s="3">
        <v>999</v>
      </c>
      <c r="M3089" s="3">
        <v>0</v>
      </c>
      <c r="N3089" s="53"/>
      <c r="O3089" s="231"/>
      <c r="S3089" s="3">
        <v>1</v>
      </c>
      <c r="T3089" s="3">
        <v>5</v>
      </c>
      <c r="U3089" s="3">
        <v>1</v>
      </c>
      <c r="V3089" s="3">
        <v>1</v>
      </c>
      <c r="W3089" s="3">
        <v>1</v>
      </c>
      <c r="X3089" s="3">
        <v>1</v>
      </c>
      <c r="Y3089" s="3">
        <v>0</v>
      </c>
      <c r="Z3089" s="3">
        <v>0</v>
      </c>
      <c r="AA3089" s="3">
        <v>5</v>
      </c>
      <c r="AB3089" s="3">
        <v>100</v>
      </c>
      <c r="AC3089" s="3">
        <v>900</v>
      </c>
      <c r="AD3089" s="153">
        <v>0</v>
      </c>
      <c r="AE3089" s="153">
        <v>4</v>
      </c>
      <c r="AF3089" s="153">
        <v>2</v>
      </c>
      <c r="AG3089" s="337"/>
      <c r="AH3089" s="337"/>
      <c r="AI3089" s="337"/>
      <c r="AJ3089" s="337"/>
      <c r="AK3089" s="337"/>
      <c r="AL3089" s="234"/>
      <c r="AM3089" s="234"/>
      <c r="AN3089" s="476"/>
      <c r="AO3089" s="234"/>
      <c r="AP3089" s="234"/>
      <c r="AQ3089" s="3" t="s">
        <v>7094</v>
      </c>
      <c r="AS3089" s="3">
        <v>1</v>
      </c>
    </row>
    <row r="3090" ht="94.5" customHeight="1" spans="1:45">
      <c r="A3090" s="53">
        <v>619348</v>
      </c>
      <c r="B3090" s="53">
        <v>1001</v>
      </c>
      <c r="C3090" s="53">
        <v>6</v>
      </c>
      <c r="D3090" s="53">
        <v>1001</v>
      </c>
      <c r="E3090" s="53" t="s">
        <v>6262</v>
      </c>
      <c r="F3090" s="53" t="s">
        <v>6262</v>
      </c>
      <c r="G3090" s="493" t="s">
        <v>7715</v>
      </c>
      <c r="H3090" s="53" t="s">
        <v>204</v>
      </c>
      <c r="I3090" s="53">
        <v>1</v>
      </c>
      <c r="J3090" s="53">
        <v>5</v>
      </c>
      <c r="K3090" s="53">
        <v>2</v>
      </c>
      <c r="L3090" s="53">
        <v>999</v>
      </c>
      <c r="M3090" s="53">
        <v>0</v>
      </c>
      <c r="N3090" s="53">
        <v>1018</v>
      </c>
      <c r="O3090" s="487" t="s">
        <v>7682</v>
      </c>
      <c r="S3090" s="53">
        <v>1</v>
      </c>
      <c r="T3090" s="53">
        <v>5</v>
      </c>
      <c r="U3090" s="53">
        <v>1</v>
      </c>
      <c r="V3090" s="53">
        <v>1</v>
      </c>
      <c r="W3090" s="53">
        <v>1</v>
      </c>
      <c r="X3090" s="53">
        <v>1</v>
      </c>
      <c r="Y3090" s="53">
        <v>0</v>
      </c>
      <c r="Z3090" s="53">
        <v>0</v>
      </c>
      <c r="AA3090" s="53">
        <v>5</v>
      </c>
      <c r="AB3090" s="53">
        <v>100</v>
      </c>
      <c r="AC3090" s="53">
        <v>70</v>
      </c>
      <c r="AD3090" s="492">
        <v>0</v>
      </c>
      <c r="AE3090" s="492">
        <v>5</v>
      </c>
      <c r="AF3090" s="492">
        <v>2</v>
      </c>
      <c r="AG3090" s="488"/>
      <c r="AH3090" s="488"/>
      <c r="AI3090" s="488"/>
      <c r="AJ3090" s="488"/>
      <c r="AK3090" s="488"/>
      <c r="AL3090" s="489"/>
      <c r="AM3090" s="489"/>
      <c r="AN3090" s="490"/>
      <c r="AO3090" s="489"/>
      <c r="AP3090" s="489"/>
      <c r="AQ3090" s="53" t="s">
        <v>6262</v>
      </c>
      <c r="AS3090" s="53">
        <v>1</v>
      </c>
    </row>
    <row r="3091" spans="1:45">
      <c r="A3091">
        <v>619349</v>
      </c>
      <c r="B3091" s="238">
        <v>1001</v>
      </c>
      <c r="C3091">
        <v>6</v>
      </c>
      <c r="D3091" s="238">
        <v>1001</v>
      </c>
      <c r="E3091" t="s">
        <v>7716</v>
      </c>
      <c r="F3091" t="s">
        <v>6494</v>
      </c>
      <c r="G3091" t="s">
        <v>7717</v>
      </c>
      <c r="H3091" t="s">
        <v>1825</v>
      </c>
      <c r="I3091">
        <v>1</v>
      </c>
      <c r="J3091">
        <v>5</v>
      </c>
      <c r="K3091" s="33">
        <v>2</v>
      </c>
      <c r="L3091">
        <v>999</v>
      </c>
      <c r="M3091">
        <v>0</v>
      </c>
      <c r="N3091">
        <v>1018</v>
      </c>
      <c r="O3091" s="2" t="s">
        <v>7718</v>
      </c>
      <c r="R3091" s="8"/>
      <c r="S3091" s="33">
        <v>1</v>
      </c>
      <c r="T3091">
        <v>5</v>
      </c>
      <c r="U3091">
        <v>1</v>
      </c>
      <c r="V3091" s="33">
        <v>1</v>
      </c>
      <c r="W3091">
        <v>1</v>
      </c>
      <c r="X3091" s="238">
        <v>1</v>
      </c>
      <c r="Y3091">
        <v>0</v>
      </c>
      <c r="Z3091" s="33">
        <v>0</v>
      </c>
      <c r="AA3091">
        <v>5</v>
      </c>
      <c r="AB3091">
        <v>100</v>
      </c>
      <c r="AC3091">
        <v>70</v>
      </c>
      <c r="AD3091" s="62">
        <v>0</v>
      </c>
      <c r="AE3091" s="62">
        <v>5</v>
      </c>
      <c r="AF3091" s="62">
        <v>2</v>
      </c>
      <c r="AG3091" s="430"/>
      <c r="AH3091" s="430"/>
      <c r="AI3091" s="430"/>
      <c r="AJ3091" s="430"/>
      <c r="AK3091" s="430"/>
      <c r="AL3091" s="214"/>
      <c r="AM3091" s="214"/>
      <c r="AN3091" s="431"/>
      <c r="AO3091" s="214"/>
      <c r="AP3091" s="214"/>
      <c r="AQ3091" t="s">
        <v>5546</v>
      </c>
      <c r="AS3091">
        <v>1</v>
      </c>
    </row>
    <row r="3092" s="49" customFormat="1" spans="1:45">
      <c r="A3092">
        <v>619350</v>
      </c>
      <c r="B3092" s="236">
        <v>1001</v>
      </c>
      <c r="C3092">
        <v>6</v>
      </c>
      <c r="D3092" s="236">
        <v>1001</v>
      </c>
      <c r="E3092" t="s">
        <v>7719</v>
      </c>
      <c r="F3092" t="s">
        <v>5546</v>
      </c>
      <c r="G3092" t="s">
        <v>7720</v>
      </c>
      <c r="H3092" t="s">
        <v>1818</v>
      </c>
      <c r="I3092">
        <v>1</v>
      </c>
      <c r="J3092">
        <v>5</v>
      </c>
      <c r="K3092" s="33">
        <v>2</v>
      </c>
      <c r="L3092">
        <v>999</v>
      </c>
      <c r="M3092">
        <v>0</v>
      </c>
      <c r="N3092">
        <v>1018</v>
      </c>
      <c r="O3092" s="2" t="s">
        <v>7721</v>
      </c>
      <c r="R3092" s="236"/>
      <c r="S3092" s="33">
        <v>1</v>
      </c>
      <c r="T3092">
        <v>5</v>
      </c>
      <c r="U3092">
        <v>1</v>
      </c>
      <c r="V3092" s="370"/>
      <c r="W3092">
        <v>1</v>
      </c>
      <c r="X3092" s="236">
        <v>1</v>
      </c>
      <c r="Y3092">
        <v>0</v>
      </c>
      <c r="Z3092" s="33">
        <v>0</v>
      </c>
      <c r="AA3092">
        <v>5</v>
      </c>
      <c r="AB3092">
        <v>100</v>
      </c>
      <c r="AC3092">
        <v>70</v>
      </c>
      <c r="AD3092" s="12">
        <v>0</v>
      </c>
      <c r="AE3092" s="12">
        <v>5</v>
      </c>
      <c r="AF3092" s="12">
        <v>2</v>
      </c>
      <c r="AG3092" s="430"/>
      <c r="AH3092" s="430"/>
      <c r="AI3092" s="430"/>
      <c r="AJ3092" s="430"/>
      <c r="AK3092" s="430"/>
      <c r="AL3092" s="214"/>
      <c r="AM3092" s="214"/>
      <c r="AN3092" s="435"/>
      <c r="AO3092" s="434"/>
      <c r="AP3092" s="214"/>
      <c r="AS3092">
        <v>1</v>
      </c>
    </row>
    <row r="3093" s="49" customFormat="1" spans="1:45">
      <c r="A3093" s="49">
        <v>619351</v>
      </c>
      <c r="B3093" s="49">
        <v>1001</v>
      </c>
      <c r="C3093" s="49">
        <v>1</v>
      </c>
      <c r="D3093" s="49">
        <v>1001</v>
      </c>
      <c r="E3093" s="49" t="s">
        <v>5499</v>
      </c>
      <c r="F3093" s="49" t="s">
        <v>5499</v>
      </c>
      <c r="G3093" s="49" t="s">
        <v>7522</v>
      </c>
      <c r="H3093" s="49" t="s">
        <v>5501</v>
      </c>
      <c r="I3093" s="49">
        <v>1</v>
      </c>
      <c r="J3093" s="49">
        <v>3</v>
      </c>
      <c r="K3093" s="49">
        <v>1</v>
      </c>
      <c r="L3093" s="49">
        <v>999</v>
      </c>
      <c r="M3093" s="49">
        <v>0</v>
      </c>
      <c r="O3093" s="494"/>
      <c r="S3093" s="49">
        <v>1</v>
      </c>
      <c r="T3093" s="49">
        <v>5</v>
      </c>
      <c r="U3093" s="49">
        <v>1</v>
      </c>
      <c r="V3093" s="370">
        <v>1</v>
      </c>
      <c r="W3093" s="49">
        <v>1</v>
      </c>
      <c r="X3093" s="49">
        <v>1</v>
      </c>
      <c r="Y3093" s="49">
        <v>0</v>
      </c>
      <c r="Z3093" s="49">
        <v>0</v>
      </c>
      <c r="AA3093" s="49">
        <v>5</v>
      </c>
      <c r="AB3093" s="49">
        <v>100</v>
      </c>
      <c r="AC3093" s="49">
        <v>900</v>
      </c>
      <c r="AD3093" s="375">
        <v>0</v>
      </c>
      <c r="AE3093" s="375">
        <v>4</v>
      </c>
      <c r="AF3093" s="375">
        <v>2</v>
      </c>
      <c r="AG3093" s="377"/>
      <c r="AH3093" s="377"/>
      <c r="AI3093" s="377"/>
      <c r="AJ3093" s="377"/>
      <c r="AK3093" s="377"/>
      <c r="AL3093" s="378"/>
      <c r="AM3093" s="378"/>
      <c r="AN3093" s="379"/>
      <c r="AO3093" s="380"/>
      <c r="AP3093" s="378"/>
      <c r="AS3093" s="49">
        <v>1</v>
      </c>
    </row>
    <row r="3094" s="49" customFormat="1" spans="1:45">
      <c r="A3094" s="49">
        <v>619352</v>
      </c>
      <c r="B3094" s="49">
        <v>1001</v>
      </c>
      <c r="C3094" s="49">
        <v>1</v>
      </c>
      <c r="D3094" s="49">
        <v>1001</v>
      </c>
      <c r="E3094" s="49" t="s">
        <v>7722</v>
      </c>
      <c r="F3094" s="49" t="s">
        <v>7722</v>
      </c>
      <c r="G3094" s="49" t="s">
        <v>7522</v>
      </c>
      <c r="H3094" s="49" t="s">
        <v>5507</v>
      </c>
      <c r="I3094" s="49">
        <v>1</v>
      </c>
      <c r="J3094" s="49">
        <v>3</v>
      </c>
      <c r="K3094" s="49">
        <v>1</v>
      </c>
      <c r="L3094" s="49">
        <v>999</v>
      </c>
      <c r="M3094" s="49">
        <v>0</v>
      </c>
      <c r="N3094" s="49"/>
      <c r="O3094" s="494"/>
      <c r="S3094" s="49">
        <v>1</v>
      </c>
      <c r="T3094" s="495">
        <v>5</v>
      </c>
      <c r="U3094" s="49">
        <v>1</v>
      </c>
      <c r="V3094" s="370">
        <v>1</v>
      </c>
      <c r="W3094" s="49">
        <v>1</v>
      </c>
      <c r="X3094" s="49">
        <v>1</v>
      </c>
      <c r="Y3094" s="49">
        <v>0</v>
      </c>
      <c r="Z3094" s="49">
        <v>0</v>
      </c>
      <c r="AA3094" s="49">
        <v>5</v>
      </c>
      <c r="AB3094" s="49">
        <v>100</v>
      </c>
      <c r="AC3094" s="495">
        <v>900</v>
      </c>
      <c r="AD3094" s="375">
        <v>0</v>
      </c>
      <c r="AE3094" s="375">
        <v>4</v>
      </c>
      <c r="AF3094" s="375">
        <v>2</v>
      </c>
      <c r="AG3094" s="377"/>
      <c r="AH3094" s="377"/>
      <c r="AI3094" s="377"/>
      <c r="AJ3094" s="377"/>
      <c r="AK3094" s="377"/>
      <c r="AL3094" s="378"/>
      <c r="AM3094" s="378"/>
      <c r="AN3094" s="379"/>
      <c r="AO3094" s="380"/>
      <c r="AP3094" s="378"/>
      <c r="AS3094" s="49">
        <v>1</v>
      </c>
    </row>
    <row r="3095" s="37" customFormat="1" spans="1:45">
      <c r="A3095" s="49">
        <v>619353</v>
      </c>
      <c r="B3095" s="49">
        <v>1001</v>
      </c>
      <c r="C3095" s="49">
        <v>1</v>
      </c>
      <c r="D3095" s="49">
        <v>1001</v>
      </c>
      <c r="E3095" s="49" t="s">
        <v>1799</v>
      </c>
      <c r="F3095" s="49" t="s">
        <v>1799</v>
      </c>
      <c r="G3095" s="49" t="s">
        <v>7694</v>
      </c>
      <c r="H3095" s="49" t="s">
        <v>1801</v>
      </c>
      <c r="I3095" s="49">
        <v>1</v>
      </c>
      <c r="J3095" s="49">
        <v>5</v>
      </c>
      <c r="K3095" s="49">
        <v>2</v>
      </c>
      <c r="L3095" s="49">
        <v>999</v>
      </c>
      <c r="M3095" s="49">
        <v>0</v>
      </c>
      <c r="N3095" s="49">
        <v>1017</v>
      </c>
      <c r="O3095" s="494">
        <v>220035</v>
      </c>
      <c r="S3095" s="49">
        <v>1</v>
      </c>
      <c r="T3095" s="370">
        <v>5</v>
      </c>
      <c r="U3095" s="49">
        <v>100</v>
      </c>
      <c r="V3095" s="370">
        <v>0</v>
      </c>
      <c r="W3095" s="49">
        <v>1</v>
      </c>
      <c r="X3095" s="49">
        <v>1</v>
      </c>
      <c r="Y3095" s="49">
        <v>0</v>
      </c>
      <c r="Z3095" s="49">
        <v>0</v>
      </c>
      <c r="AA3095" s="49">
        <v>5</v>
      </c>
      <c r="AB3095" s="49">
        <v>2000</v>
      </c>
      <c r="AC3095" s="370">
        <v>70</v>
      </c>
      <c r="AD3095" s="375">
        <v>0</v>
      </c>
      <c r="AE3095" s="375">
        <v>4</v>
      </c>
      <c r="AF3095" s="375">
        <v>2</v>
      </c>
      <c r="AG3095" s="377"/>
      <c r="AH3095" s="377"/>
      <c r="AI3095" s="377"/>
      <c r="AJ3095" s="377"/>
      <c r="AK3095" s="377"/>
      <c r="AL3095" s="378"/>
      <c r="AM3095" s="378"/>
      <c r="AN3095" s="379"/>
      <c r="AO3095" s="380"/>
      <c r="AP3095" s="378"/>
      <c r="AQ3095" s="37"/>
      <c r="AS3095" s="49">
        <v>1</v>
      </c>
    </row>
    <row r="3096" s="49" customFormat="1" spans="1:45">
      <c r="A3096" s="37">
        <v>619354</v>
      </c>
      <c r="B3096" s="37">
        <v>1001</v>
      </c>
      <c r="C3096" s="37">
        <v>1</v>
      </c>
      <c r="D3096" s="37">
        <v>1001</v>
      </c>
      <c r="E3096" s="37" t="s">
        <v>5502</v>
      </c>
      <c r="F3096" s="37" t="s">
        <v>5502</v>
      </c>
      <c r="G3096" s="37" t="s">
        <v>7522</v>
      </c>
      <c r="H3096" s="37" t="s">
        <v>5504</v>
      </c>
      <c r="I3096" s="37">
        <v>1</v>
      </c>
      <c r="J3096" s="37">
        <v>5</v>
      </c>
      <c r="K3096" s="37">
        <v>1</v>
      </c>
      <c r="L3096" s="496">
        <v>999</v>
      </c>
      <c r="M3096" s="496">
        <v>0</v>
      </c>
      <c r="N3096" s="49"/>
      <c r="O3096" s="131"/>
      <c r="S3096" s="496">
        <v>1</v>
      </c>
      <c r="T3096" s="109">
        <v>5</v>
      </c>
      <c r="U3096" s="37">
        <v>1</v>
      </c>
      <c r="V3096" s="109">
        <v>1</v>
      </c>
      <c r="W3096" s="37">
        <v>1</v>
      </c>
      <c r="X3096" s="496">
        <v>1</v>
      </c>
      <c r="Y3096" s="496">
        <v>0</v>
      </c>
      <c r="Z3096" s="37">
        <v>0</v>
      </c>
      <c r="AA3096" s="37">
        <v>5</v>
      </c>
      <c r="AB3096" s="37">
        <v>100</v>
      </c>
      <c r="AC3096" s="109">
        <v>900</v>
      </c>
      <c r="AD3096" s="132">
        <v>0</v>
      </c>
      <c r="AE3096" s="132">
        <v>4</v>
      </c>
      <c r="AF3096" s="132">
        <v>2</v>
      </c>
      <c r="AG3096" s="497"/>
      <c r="AH3096" s="497"/>
      <c r="AI3096" s="497"/>
      <c r="AJ3096" s="497"/>
      <c r="AK3096" s="497"/>
      <c r="AL3096" s="498"/>
      <c r="AM3096" s="498"/>
      <c r="AN3096" s="136"/>
      <c r="AO3096" s="135"/>
      <c r="AP3096" s="498"/>
      <c r="AQ3096" s="37" t="s">
        <v>7723</v>
      </c>
      <c r="AS3096" s="37">
        <v>1</v>
      </c>
    </row>
    <row r="3097" s="49" customFormat="1" spans="1:45">
      <c r="A3097" s="49">
        <v>619355</v>
      </c>
      <c r="B3097" s="49">
        <v>1001</v>
      </c>
      <c r="C3097" s="49">
        <v>1</v>
      </c>
      <c r="D3097" s="49">
        <v>1001</v>
      </c>
      <c r="E3097" s="49" t="s">
        <v>7724</v>
      </c>
      <c r="F3097" s="49" t="s">
        <v>5550</v>
      </c>
      <c r="G3097" s="49" t="s">
        <v>7725</v>
      </c>
      <c r="H3097" s="49" t="s">
        <v>1822</v>
      </c>
      <c r="I3097" s="49">
        <v>1</v>
      </c>
      <c r="J3097" s="49">
        <v>5</v>
      </c>
      <c r="K3097" s="49">
        <v>2</v>
      </c>
      <c r="L3097" s="370">
        <v>999</v>
      </c>
      <c r="M3097" s="370">
        <v>0</v>
      </c>
      <c r="N3097" s="49">
        <v>1018</v>
      </c>
      <c r="O3097" s="494" t="s">
        <v>7726</v>
      </c>
      <c r="S3097" s="370">
        <v>1</v>
      </c>
      <c r="T3097" s="370">
        <v>5</v>
      </c>
      <c r="U3097" s="49">
        <v>100</v>
      </c>
      <c r="V3097" s="370"/>
      <c r="W3097" s="49">
        <v>1</v>
      </c>
      <c r="X3097" s="370">
        <v>1</v>
      </c>
      <c r="Y3097" s="370">
        <v>0</v>
      </c>
      <c r="Z3097" s="49">
        <v>0</v>
      </c>
      <c r="AA3097" s="49">
        <v>5</v>
      </c>
      <c r="AB3097" s="49">
        <v>2000</v>
      </c>
      <c r="AC3097" s="370">
        <v>70</v>
      </c>
      <c r="AD3097" s="375">
        <v>0</v>
      </c>
      <c r="AE3097" s="375">
        <v>5</v>
      </c>
      <c r="AF3097" s="375">
        <v>2</v>
      </c>
      <c r="AG3097" s="377"/>
      <c r="AH3097" s="377"/>
      <c r="AI3097" s="377"/>
      <c r="AJ3097" s="377"/>
      <c r="AK3097" s="377"/>
      <c r="AL3097" s="378"/>
      <c r="AM3097" s="499"/>
      <c r="AN3097" s="379"/>
      <c r="AO3097" s="380"/>
      <c r="AP3097" s="378"/>
      <c r="AS3097" s="49">
        <v>1</v>
      </c>
    </row>
    <row r="3098" s="49" customFormat="1" spans="1:45">
      <c r="A3098" s="49">
        <v>619356</v>
      </c>
      <c r="B3098" s="49">
        <v>1001</v>
      </c>
      <c r="C3098" s="49">
        <v>1</v>
      </c>
      <c r="D3098" s="49">
        <v>1001</v>
      </c>
      <c r="E3098" s="49" t="s">
        <v>7727</v>
      </c>
      <c r="F3098" s="49" t="s">
        <v>5550</v>
      </c>
      <c r="G3098" s="49" t="s">
        <v>7728</v>
      </c>
      <c r="H3098" s="49" t="s">
        <v>1822</v>
      </c>
      <c r="I3098" s="49">
        <v>1</v>
      </c>
      <c r="J3098" s="49">
        <v>5</v>
      </c>
      <c r="K3098" s="49">
        <v>2</v>
      </c>
      <c r="L3098" s="370">
        <v>999</v>
      </c>
      <c r="M3098" s="370">
        <v>0</v>
      </c>
      <c r="N3098" s="49">
        <v>1018</v>
      </c>
      <c r="O3098" s="494" t="s">
        <v>7729</v>
      </c>
      <c r="S3098" s="370">
        <v>1</v>
      </c>
      <c r="T3098" s="370">
        <v>5</v>
      </c>
      <c r="U3098" s="49">
        <v>100</v>
      </c>
      <c r="V3098" s="370"/>
      <c r="W3098" s="49">
        <v>1</v>
      </c>
      <c r="X3098" s="370">
        <v>1</v>
      </c>
      <c r="Y3098" s="370">
        <v>0</v>
      </c>
      <c r="Z3098" s="49">
        <v>0</v>
      </c>
      <c r="AA3098" s="49">
        <v>5</v>
      </c>
      <c r="AB3098" s="49">
        <v>2000</v>
      </c>
      <c r="AC3098" s="370">
        <v>70</v>
      </c>
      <c r="AD3098" s="375">
        <v>0</v>
      </c>
      <c r="AE3098" s="375">
        <v>5</v>
      </c>
      <c r="AF3098" s="375">
        <v>2</v>
      </c>
      <c r="AG3098" s="377"/>
      <c r="AH3098" s="377"/>
      <c r="AI3098" s="377"/>
      <c r="AJ3098" s="377"/>
      <c r="AK3098" s="377"/>
      <c r="AL3098" s="378"/>
      <c r="AM3098" s="499"/>
      <c r="AN3098" s="379"/>
      <c r="AO3098" s="380"/>
      <c r="AP3098" s="378"/>
      <c r="AS3098" s="49">
        <v>1</v>
      </c>
    </row>
    <row r="3099" s="54" customFormat="1" spans="1:45">
      <c r="A3099" s="49">
        <v>619357</v>
      </c>
      <c r="B3099" s="49">
        <v>1001</v>
      </c>
      <c r="C3099" s="49">
        <v>1</v>
      </c>
      <c r="D3099" s="49">
        <v>1001</v>
      </c>
      <c r="E3099" s="49" t="s">
        <v>7730</v>
      </c>
      <c r="F3099" s="49" t="s">
        <v>7730</v>
      </c>
      <c r="G3099" s="49" t="s">
        <v>7731</v>
      </c>
      <c r="H3099" s="49" t="s">
        <v>1431</v>
      </c>
      <c r="I3099" s="49">
        <v>1</v>
      </c>
      <c r="J3099" s="49">
        <v>5</v>
      </c>
      <c r="K3099" s="49">
        <v>2</v>
      </c>
      <c r="L3099" s="370">
        <v>999</v>
      </c>
      <c r="M3099" s="370">
        <v>0</v>
      </c>
      <c r="N3099" s="49">
        <v>1018</v>
      </c>
      <c r="O3099" s="494" t="s">
        <v>7732</v>
      </c>
      <c r="S3099" s="370">
        <v>1</v>
      </c>
      <c r="T3099" s="370">
        <v>5</v>
      </c>
      <c r="U3099" s="49">
        <v>100</v>
      </c>
      <c r="V3099" s="370"/>
      <c r="W3099" s="49">
        <v>1</v>
      </c>
      <c r="X3099" s="370">
        <v>1</v>
      </c>
      <c r="Y3099" s="370">
        <v>0</v>
      </c>
      <c r="Z3099" s="49">
        <v>0</v>
      </c>
      <c r="AA3099" s="49">
        <v>5</v>
      </c>
      <c r="AB3099" s="49">
        <v>2000</v>
      </c>
      <c r="AC3099" s="370">
        <v>70</v>
      </c>
      <c r="AD3099" s="375">
        <v>0</v>
      </c>
      <c r="AE3099" s="375">
        <v>5</v>
      </c>
      <c r="AF3099" s="375">
        <v>2</v>
      </c>
      <c r="AG3099" s="377"/>
      <c r="AH3099" s="377"/>
      <c r="AI3099" s="377"/>
      <c r="AJ3099" s="377"/>
      <c r="AK3099" s="377"/>
      <c r="AL3099" s="378"/>
      <c r="AM3099" s="499"/>
      <c r="AN3099" s="379"/>
      <c r="AO3099" s="380"/>
      <c r="AP3099" s="378"/>
      <c r="AS3099" s="49">
        <v>1</v>
      </c>
    </row>
    <row r="3100" s="49" customFormat="1" spans="1:45">
      <c r="A3100" s="54">
        <v>619358</v>
      </c>
      <c r="B3100" s="54">
        <v>1001</v>
      </c>
      <c r="C3100" s="54">
        <v>6</v>
      </c>
      <c r="D3100" s="54">
        <v>1001</v>
      </c>
      <c r="E3100" s="54" t="s">
        <v>7733</v>
      </c>
      <c r="F3100" s="54" t="s">
        <v>6262</v>
      </c>
      <c r="G3100" s="54" t="s">
        <v>7734</v>
      </c>
      <c r="H3100" s="54" t="s">
        <v>204</v>
      </c>
      <c r="I3100" s="54">
        <v>1</v>
      </c>
      <c r="J3100" s="54">
        <v>5</v>
      </c>
      <c r="K3100" s="54">
        <v>2</v>
      </c>
      <c r="L3100" s="500">
        <v>999</v>
      </c>
      <c r="M3100" s="500">
        <v>0</v>
      </c>
      <c r="N3100" s="54">
        <v>1018</v>
      </c>
      <c r="O3100" s="501" t="s">
        <v>7735</v>
      </c>
      <c r="S3100" s="500">
        <v>1</v>
      </c>
      <c r="T3100" s="500">
        <v>5</v>
      </c>
      <c r="U3100" s="54">
        <v>1</v>
      </c>
      <c r="V3100" s="500">
        <v>1</v>
      </c>
      <c r="W3100" s="54">
        <v>1</v>
      </c>
      <c r="X3100" s="500">
        <v>1</v>
      </c>
      <c r="Y3100" s="500">
        <v>0</v>
      </c>
      <c r="Z3100" s="54">
        <v>0</v>
      </c>
      <c r="AA3100" s="54">
        <v>5</v>
      </c>
      <c r="AB3100" s="54">
        <v>100</v>
      </c>
      <c r="AC3100" s="500">
        <v>70</v>
      </c>
      <c r="AD3100" s="502">
        <v>0</v>
      </c>
      <c r="AE3100" s="502">
        <v>5</v>
      </c>
      <c r="AF3100" s="502">
        <v>2</v>
      </c>
      <c r="AG3100" s="503"/>
      <c r="AH3100" s="503"/>
      <c r="AI3100" s="503"/>
      <c r="AJ3100" s="503"/>
      <c r="AK3100" s="503"/>
      <c r="AL3100" s="504"/>
      <c r="AM3100" s="505"/>
      <c r="AN3100" s="506"/>
      <c r="AO3100" s="507"/>
      <c r="AP3100" s="504"/>
      <c r="AS3100" s="54">
        <v>1</v>
      </c>
    </row>
    <row r="3101" s="3" customFormat="1" spans="1:45">
      <c r="A3101" s="49">
        <v>619359</v>
      </c>
      <c r="B3101" s="49">
        <v>1001</v>
      </c>
      <c r="C3101" s="49">
        <v>6</v>
      </c>
      <c r="D3101" s="49">
        <v>1001</v>
      </c>
      <c r="E3101" s="49" t="s">
        <v>7736</v>
      </c>
      <c r="F3101" s="49" t="s">
        <v>7737</v>
      </c>
      <c r="G3101" s="49" t="s">
        <v>7738</v>
      </c>
      <c r="H3101" s="49" t="s">
        <v>1760</v>
      </c>
      <c r="I3101" s="49">
        <v>1</v>
      </c>
      <c r="J3101" s="49">
        <v>5</v>
      </c>
      <c r="K3101" s="49">
        <v>2</v>
      </c>
      <c r="L3101" s="508">
        <v>999</v>
      </c>
      <c r="M3101" s="508">
        <v>0</v>
      </c>
      <c r="N3101" s="49">
        <v>1018</v>
      </c>
      <c r="O3101" s="494" t="s">
        <v>7739</v>
      </c>
      <c r="S3101" s="508">
        <v>1</v>
      </c>
      <c r="T3101" s="508">
        <v>5</v>
      </c>
      <c r="U3101" s="49">
        <v>1</v>
      </c>
      <c r="V3101" s="370">
        <v>1</v>
      </c>
      <c r="W3101" s="49">
        <v>1</v>
      </c>
      <c r="X3101" s="508">
        <v>1</v>
      </c>
      <c r="Y3101" s="508">
        <v>0</v>
      </c>
      <c r="Z3101" s="49">
        <v>0</v>
      </c>
      <c r="AA3101" s="49">
        <v>5</v>
      </c>
      <c r="AB3101" s="49">
        <v>100</v>
      </c>
      <c r="AC3101" s="508">
        <v>70</v>
      </c>
      <c r="AD3101" s="375">
        <v>0</v>
      </c>
      <c r="AE3101" s="375">
        <v>5</v>
      </c>
      <c r="AF3101" s="375">
        <v>2</v>
      </c>
      <c r="AG3101" s="377"/>
      <c r="AH3101" s="377"/>
      <c r="AI3101" s="377"/>
      <c r="AJ3101" s="377"/>
      <c r="AK3101" s="377"/>
      <c r="AL3101" s="378"/>
      <c r="AM3101" s="499"/>
      <c r="AN3101" s="379"/>
      <c r="AO3101" s="380"/>
      <c r="AP3101" s="378"/>
      <c r="AS3101" s="49">
        <v>1</v>
      </c>
    </row>
    <row r="3102" s="3" customFormat="1" spans="1:45">
      <c r="A3102" s="3">
        <v>619360</v>
      </c>
      <c r="B3102" s="3">
        <v>1001</v>
      </c>
      <c r="C3102" s="3">
        <v>1</v>
      </c>
      <c r="D3102" s="3">
        <v>1001</v>
      </c>
      <c r="E3102" s="3" t="s">
        <v>7740</v>
      </c>
      <c r="F3102" s="3" t="s">
        <v>7740</v>
      </c>
      <c r="G3102" s="3" t="s">
        <v>7741</v>
      </c>
      <c r="H3102" s="3" t="s">
        <v>7742</v>
      </c>
      <c r="I3102" s="3">
        <v>1</v>
      </c>
      <c r="J3102" s="3">
        <v>5</v>
      </c>
      <c r="K3102" s="3">
        <v>1</v>
      </c>
      <c r="L3102" s="3">
        <v>999</v>
      </c>
      <c r="M3102" s="3">
        <v>0</v>
      </c>
      <c r="N3102" s="3"/>
      <c r="O3102" s="231"/>
      <c r="S3102" s="3">
        <v>1</v>
      </c>
      <c r="T3102" s="339">
        <v>5</v>
      </c>
      <c r="U3102" s="3">
        <v>1</v>
      </c>
      <c r="V3102" s="128">
        <v>1</v>
      </c>
      <c r="W3102" s="3">
        <v>1</v>
      </c>
      <c r="X3102" s="3">
        <v>1</v>
      </c>
      <c r="Y3102" s="3">
        <v>0</v>
      </c>
      <c r="Z3102" s="3">
        <v>0</v>
      </c>
      <c r="AA3102" s="3">
        <v>5</v>
      </c>
      <c r="AB3102" s="3">
        <v>100</v>
      </c>
      <c r="AC3102" s="339">
        <v>900</v>
      </c>
      <c r="AD3102" s="153">
        <v>0</v>
      </c>
      <c r="AE3102" s="153">
        <v>4</v>
      </c>
      <c r="AF3102" s="153">
        <v>2</v>
      </c>
      <c r="AG3102" s="337"/>
      <c r="AH3102" s="337"/>
      <c r="AI3102" s="337"/>
      <c r="AJ3102" s="337"/>
      <c r="AK3102" s="337"/>
      <c r="AL3102" s="234"/>
      <c r="AM3102" s="234"/>
      <c r="AN3102" s="157"/>
      <c r="AO3102" s="156"/>
      <c r="AP3102" s="234"/>
      <c r="AS3102" s="3">
        <v>1</v>
      </c>
    </row>
    <row r="3103" s="3" customFormat="1" spans="1:45">
      <c r="A3103" s="3">
        <v>619361</v>
      </c>
      <c r="B3103" s="3">
        <v>1001</v>
      </c>
      <c r="C3103" s="3">
        <v>1</v>
      </c>
      <c r="D3103" s="3">
        <v>1001</v>
      </c>
      <c r="E3103" s="3" t="s">
        <v>7743</v>
      </c>
      <c r="F3103" s="3" t="s">
        <v>7743</v>
      </c>
      <c r="G3103" s="3" t="s">
        <v>7694</v>
      </c>
      <c r="H3103" s="3" t="s">
        <v>1531</v>
      </c>
      <c r="I3103" s="3">
        <v>1</v>
      </c>
      <c r="J3103" s="3">
        <v>5</v>
      </c>
      <c r="K3103" s="3">
        <v>2</v>
      </c>
      <c r="L3103" s="3">
        <v>999</v>
      </c>
      <c r="M3103" s="3">
        <v>0</v>
      </c>
      <c r="N3103" s="3">
        <v>1017</v>
      </c>
      <c r="O3103">
        <v>220036</v>
      </c>
      <c r="S3103" s="3">
        <v>1</v>
      </c>
      <c r="T3103" s="128">
        <v>5</v>
      </c>
      <c r="U3103" s="3">
        <v>100</v>
      </c>
      <c r="V3103" s="128">
        <v>0</v>
      </c>
      <c r="W3103" s="3">
        <v>1</v>
      </c>
      <c r="X3103" s="3">
        <v>1</v>
      </c>
      <c r="Y3103" s="3">
        <v>0</v>
      </c>
      <c r="Z3103" s="3">
        <v>0</v>
      </c>
      <c r="AA3103" s="3">
        <v>5</v>
      </c>
      <c r="AB3103" s="3">
        <v>2000</v>
      </c>
      <c r="AC3103" s="128">
        <v>70</v>
      </c>
      <c r="AD3103" s="153">
        <v>0</v>
      </c>
      <c r="AE3103" s="153">
        <v>4</v>
      </c>
      <c r="AF3103" s="153">
        <v>2</v>
      </c>
      <c r="AG3103" s="337"/>
      <c r="AH3103" s="337"/>
      <c r="AI3103" s="337"/>
      <c r="AJ3103" s="337"/>
      <c r="AK3103" s="337"/>
      <c r="AL3103" s="234"/>
      <c r="AM3103" s="234"/>
      <c r="AN3103" s="157"/>
      <c r="AO3103" s="156"/>
      <c r="AP3103" s="234"/>
      <c r="AS3103" s="3">
        <v>1</v>
      </c>
    </row>
    <row r="3104" s="53" customFormat="1" spans="1:45">
      <c r="A3104" s="3">
        <v>619362</v>
      </c>
      <c r="B3104" s="339">
        <v>1001</v>
      </c>
      <c r="C3104" s="339">
        <v>1</v>
      </c>
      <c r="D3104" s="339">
        <v>1001</v>
      </c>
      <c r="E3104" s="3" t="s">
        <v>7744</v>
      </c>
      <c r="F3104" s="3" t="s">
        <v>7744</v>
      </c>
      <c r="G3104" s="3" t="s">
        <v>7745</v>
      </c>
      <c r="H3104" s="3" t="s">
        <v>1594</v>
      </c>
      <c r="I3104" s="3">
        <v>1</v>
      </c>
      <c r="J3104" s="3">
        <v>5</v>
      </c>
      <c r="K3104" s="3">
        <v>2</v>
      </c>
      <c r="L3104" s="3">
        <v>999</v>
      </c>
      <c r="M3104" s="3">
        <v>0</v>
      </c>
      <c r="N3104" s="3">
        <v>1017</v>
      </c>
      <c r="O3104">
        <v>220037</v>
      </c>
      <c r="S3104" s="3">
        <v>1</v>
      </c>
      <c r="T3104" s="395">
        <v>5</v>
      </c>
      <c r="U3104" s="3">
        <v>100</v>
      </c>
      <c r="V3104" s="395">
        <v>0</v>
      </c>
      <c r="W3104" s="3">
        <v>1</v>
      </c>
      <c r="X3104" s="339">
        <v>1</v>
      </c>
      <c r="Y3104" s="3">
        <v>0</v>
      </c>
      <c r="Z3104" s="3">
        <v>0</v>
      </c>
      <c r="AA3104" s="3">
        <v>5</v>
      </c>
      <c r="AB3104" s="3">
        <v>2000</v>
      </c>
      <c r="AC3104" s="395">
        <v>70</v>
      </c>
      <c r="AD3104" s="153">
        <v>0</v>
      </c>
      <c r="AE3104" s="153">
        <v>4</v>
      </c>
      <c r="AF3104" s="153">
        <v>2</v>
      </c>
      <c r="AG3104" s="337"/>
      <c r="AH3104" s="337"/>
      <c r="AI3104" s="337"/>
      <c r="AJ3104" s="337"/>
      <c r="AK3104" s="337"/>
      <c r="AL3104" s="234"/>
      <c r="AM3104" s="234"/>
      <c r="AN3104" s="396"/>
      <c r="AO3104" s="342"/>
      <c r="AP3104" s="234"/>
      <c r="AS3104" s="3">
        <v>1</v>
      </c>
    </row>
    <row r="3105" s="33" customFormat="1" spans="1:45">
      <c r="A3105" s="53">
        <v>619363</v>
      </c>
      <c r="B3105" s="509">
        <v>1001</v>
      </c>
      <c r="C3105" s="509">
        <v>6</v>
      </c>
      <c r="D3105" s="509">
        <v>1001</v>
      </c>
      <c r="E3105" s="53" t="s">
        <v>7746</v>
      </c>
      <c r="F3105" s="53" t="s">
        <v>7746</v>
      </c>
      <c r="G3105" s="53" t="s">
        <v>7747</v>
      </c>
      <c r="H3105" s="53" t="s">
        <v>1594</v>
      </c>
      <c r="I3105" s="53">
        <v>1</v>
      </c>
      <c r="J3105" s="53">
        <v>5</v>
      </c>
      <c r="K3105" s="53">
        <v>2</v>
      </c>
      <c r="L3105" s="53">
        <v>999</v>
      </c>
      <c r="M3105" s="53">
        <v>0</v>
      </c>
      <c r="N3105" s="53">
        <v>1</v>
      </c>
      <c r="O3105" s="510" t="s">
        <v>7748</v>
      </c>
      <c r="S3105" s="53">
        <v>1</v>
      </c>
      <c r="T3105" s="53">
        <v>5</v>
      </c>
      <c r="U3105" s="53">
        <v>10</v>
      </c>
      <c r="V3105" s="53">
        <v>1</v>
      </c>
      <c r="W3105" s="53">
        <v>1</v>
      </c>
      <c r="X3105" s="509">
        <v>1</v>
      </c>
      <c r="Y3105" s="53">
        <v>0</v>
      </c>
      <c r="Z3105" s="53">
        <v>0</v>
      </c>
      <c r="AA3105" s="53">
        <v>5</v>
      </c>
      <c r="AB3105" s="53">
        <v>100</v>
      </c>
      <c r="AC3105" s="53">
        <v>56</v>
      </c>
      <c r="AD3105" s="492">
        <v>0</v>
      </c>
      <c r="AE3105" s="492">
        <v>4</v>
      </c>
      <c r="AF3105" s="492">
        <v>2</v>
      </c>
      <c r="AG3105" s="488"/>
      <c r="AH3105" s="488"/>
      <c r="AI3105" s="488"/>
      <c r="AJ3105" s="488"/>
      <c r="AK3105" s="488"/>
      <c r="AL3105" s="489"/>
      <c r="AM3105" s="489"/>
      <c r="AN3105" s="490"/>
      <c r="AO3105" s="489"/>
      <c r="AP3105" s="489"/>
      <c r="AS3105" s="53">
        <v>1</v>
      </c>
    </row>
    <row r="3106" s="33" customFormat="1" spans="1:45">
      <c r="A3106" s="33">
        <v>619366</v>
      </c>
      <c r="B3106" s="33">
        <v>1001</v>
      </c>
      <c r="C3106" s="33">
        <v>1</v>
      </c>
      <c r="D3106" s="33">
        <v>1001</v>
      </c>
      <c r="E3106" s="33" t="s">
        <v>7749</v>
      </c>
      <c r="F3106" s="33" t="s">
        <v>7749</v>
      </c>
      <c r="G3106" s="33" t="s">
        <v>7750</v>
      </c>
      <c r="H3106" s="33" t="s">
        <v>1822</v>
      </c>
      <c r="I3106" s="33">
        <v>1</v>
      </c>
      <c r="J3106" s="33">
        <v>5</v>
      </c>
      <c r="K3106" s="33">
        <v>2</v>
      </c>
      <c r="L3106" s="33">
        <v>999</v>
      </c>
      <c r="M3106" s="33">
        <v>0</v>
      </c>
      <c r="N3106" s="33">
        <v>1018</v>
      </c>
      <c r="O3106" s="33" t="s">
        <v>7751</v>
      </c>
      <c r="S3106" s="33">
        <v>1</v>
      </c>
      <c r="T3106" s="33">
        <v>5</v>
      </c>
      <c r="U3106" s="33">
        <v>100</v>
      </c>
      <c r="W3106" s="33">
        <v>1</v>
      </c>
      <c r="X3106" s="33">
        <v>1</v>
      </c>
      <c r="Y3106" s="33">
        <v>0</v>
      </c>
      <c r="Z3106" s="33">
        <v>0</v>
      </c>
      <c r="AA3106" s="33">
        <v>5</v>
      </c>
      <c r="AB3106" s="33">
        <v>2000</v>
      </c>
      <c r="AC3106" s="33">
        <v>70</v>
      </c>
      <c r="AD3106" s="33">
        <v>0</v>
      </c>
      <c r="AE3106" s="33">
        <v>5</v>
      </c>
      <c r="AF3106" s="33">
        <v>2</v>
      </c>
      <c r="AG3106" s="511"/>
      <c r="AH3106" s="511"/>
      <c r="AI3106" s="511"/>
      <c r="AJ3106" s="511"/>
      <c r="AK3106" s="511"/>
      <c r="AL3106" s="512"/>
      <c r="AM3106" s="512"/>
      <c r="AN3106" s="513"/>
      <c r="AO3106" s="512"/>
      <c r="AP3106" s="512"/>
      <c r="AS3106" s="33">
        <v>1</v>
      </c>
    </row>
    <row r="3107" s="55" customFormat="1" spans="1:45">
      <c r="A3107" s="55">
        <v>619367</v>
      </c>
      <c r="B3107" s="55">
        <v>1001</v>
      </c>
      <c r="C3107" s="55">
        <v>1</v>
      </c>
      <c r="D3107" s="55">
        <v>1001</v>
      </c>
      <c r="E3107" s="55" t="s">
        <v>7752</v>
      </c>
      <c r="F3107" s="55" t="s">
        <v>7752</v>
      </c>
      <c r="G3107" s="55" t="s">
        <v>7753</v>
      </c>
      <c r="H3107" s="55" t="s">
        <v>1822</v>
      </c>
      <c r="I3107" s="55">
        <v>1</v>
      </c>
      <c r="J3107" s="55">
        <v>5</v>
      </c>
      <c r="K3107" s="55">
        <v>2</v>
      </c>
      <c r="L3107" s="55">
        <v>999</v>
      </c>
      <c r="M3107" s="55">
        <v>0</v>
      </c>
      <c r="N3107" s="55">
        <v>1018</v>
      </c>
      <c r="O3107" s="55" t="s">
        <v>7754</v>
      </c>
      <c r="S3107" s="55">
        <v>1</v>
      </c>
      <c r="T3107" s="55">
        <v>5</v>
      </c>
      <c r="U3107" s="55">
        <v>100</v>
      </c>
      <c r="V3107" s="53"/>
      <c r="W3107" s="55">
        <v>1</v>
      </c>
      <c r="X3107" s="55">
        <v>1</v>
      </c>
      <c r="Y3107" s="55">
        <v>0</v>
      </c>
      <c r="Z3107" s="55">
        <v>0</v>
      </c>
      <c r="AA3107" s="55">
        <v>5</v>
      </c>
      <c r="AB3107" s="55">
        <v>2000</v>
      </c>
      <c r="AC3107" s="55">
        <v>70</v>
      </c>
      <c r="AD3107" s="55">
        <v>0</v>
      </c>
      <c r="AE3107" s="55">
        <v>5</v>
      </c>
      <c r="AF3107" s="55">
        <v>2</v>
      </c>
      <c r="AG3107" s="511"/>
      <c r="AH3107" s="511"/>
      <c r="AI3107" s="511"/>
      <c r="AJ3107" s="511"/>
      <c r="AK3107" s="511"/>
      <c r="AL3107" s="512"/>
      <c r="AM3107" s="512"/>
      <c r="AN3107" s="513"/>
      <c r="AO3107" s="512"/>
      <c r="AP3107" s="512"/>
      <c r="AS3107" s="55">
        <v>1</v>
      </c>
    </row>
    <row r="3108" spans="1:45">
      <c r="A3108" s="53">
        <v>619370</v>
      </c>
      <c r="B3108" s="53">
        <v>1001</v>
      </c>
      <c r="C3108" s="53">
        <v>6</v>
      </c>
      <c r="D3108" s="53">
        <v>1001</v>
      </c>
      <c r="E3108" s="53" t="s">
        <v>7755</v>
      </c>
      <c r="F3108" s="53" t="s">
        <v>7755</v>
      </c>
      <c r="G3108" s="53" t="s">
        <v>7756</v>
      </c>
      <c r="H3108" s="53" t="s">
        <v>1822</v>
      </c>
      <c r="I3108" s="53">
        <v>1</v>
      </c>
      <c r="J3108" s="53">
        <v>5</v>
      </c>
      <c r="K3108" s="53">
        <v>2</v>
      </c>
      <c r="L3108" s="53">
        <v>999</v>
      </c>
      <c r="M3108" s="53">
        <v>0</v>
      </c>
      <c r="N3108" s="53">
        <v>1018</v>
      </c>
      <c r="O3108" s="53" t="s">
        <v>7757</v>
      </c>
      <c r="S3108" s="53">
        <v>1</v>
      </c>
      <c r="T3108" s="53">
        <v>5</v>
      </c>
      <c r="U3108" s="53">
        <v>100</v>
      </c>
      <c r="V3108" s="53"/>
      <c r="W3108" s="53">
        <v>1</v>
      </c>
      <c r="X3108" s="53">
        <v>1</v>
      </c>
      <c r="Y3108" s="53">
        <v>0</v>
      </c>
      <c r="Z3108" s="53">
        <v>0</v>
      </c>
      <c r="AA3108" s="53">
        <v>5</v>
      </c>
      <c r="AB3108" s="53">
        <v>2000</v>
      </c>
      <c r="AC3108" s="53">
        <v>70</v>
      </c>
      <c r="AD3108" s="53">
        <v>0</v>
      </c>
      <c r="AE3108" s="53">
        <v>5</v>
      </c>
      <c r="AF3108" s="53">
        <v>2</v>
      </c>
      <c r="AG3108" s="488"/>
      <c r="AH3108" s="488"/>
      <c r="AI3108" s="488"/>
      <c r="AJ3108" s="488"/>
      <c r="AK3108" s="488"/>
      <c r="AL3108" s="489"/>
      <c r="AM3108" s="489"/>
      <c r="AN3108" s="490"/>
      <c r="AO3108" s="489"/>
      <c r="AP3108" s="489"/>
      <c r="AS3108">
        <v>1</v>
      </c>
    </row>
    <row r="3109" s="53" customFormat="1" spans="1:45">
      <c r="A3109" s="53">
        <v>619371</v>
      </c>
      <c r="B3109" s="53">
        <v>1001</v>
      </c>
      <c r="C3109" s="53">
        <v>6</v>
      </c>
      <c r="D3109" s="53">
        <v>1001</v>
      </c>
      <c r="E3109" s="53" t="s">
        <v>7758</v>
      </c>
      <c r="F3109" s="53" t="s">
        <v>7758</v>
      </c>
      <c r="G3109" s="53" t="s">
        <v>7759</v>
      </c>
      <c r="H3109" s="53" t="s">
        <v>1594</v>
      </c>
      <c r="I3109" s="53">
        <v>1</v>
      </c>
      <c r="J3109" s="53">
        <v>5</v>
      </c>
      <c r="K3109" s="53">
        <v>2</v>
      </c>
      <c r="L3109" s="53">
        <v>999</v>
      </c>
      <c r="M3109" s="53">
        <v>0</v>
      </c>
      <c r="N3109" s="53">
        <v>1017</v>
      </c>
      <c r="O3109" s="53">
        <v>220038</v>
      </c>
      <c r="S3109" s="53">
        <v>1</v>
      </c>
      <c r="T3109" s="53">
        <v>5</v>
      </c>
      <c r="U3109" s="53">
        <v>10</v>
      </c>
      <c r="V3109" s="53">
        <v>1</v>
      </c>
      <c r="W3109" s="53">
        <v>1</v>
      </c>
      <c r="X3109" s="53">
        <v>1</v>
      </c>
      <c r="Y3109" s="53">
        <v>0</v>
      </c>
      <c r="Z3109" s="53">
        <v>0</v>
      </c>
      <c r="AA3109" s="53">
        <v>5</v>
      </c>
      <c r="AB3109" s="53">
        <v>100</v>
      </c>
      <c r="AC3109" s="53">
        <v>56</v>
      </c>
      <c r="AD3109" s="53">
        <v>0</v>
      </c>
      <c r="AE3109" s="53">
        <v>4</v>
      </c>
      <c r="AF3109" s="53">
        <v>2</v>
      </c>
      <c r="AG3109" s="488"/>
      <c r="AH3109" s="488"/>
      <c r="AI3109" s="488"/>
      <c r="AJ3109" s="488"/>
      <c r="AK3109" s="488"/>
      <c r="AL3109" s="489"/>
      <c r="AM3109" s="489"/>
      <c r="AN3109" s="490"/>
      <c r="AO3109" s="489"/>
      <c r="AP3109" s="489"/>
      <c r="AS3109" s="53">
        <v>1</v>
      </c>
    </row>
    <row r="3110" s="53" customFormat="1" spans="1:45">
      <c r="A3110" s="53">
        <v>619372</v>
      </c>
      <c r="B3110" s="53">
        <v>1001</v>
      </c>
      <c r="C3110" s="53">
        <v>6</v>
      </c>
      <c r="D3110" s="53">
        <v>1001</v>
      </c>
      <c r="E3110" s="53" t="s">
        <v>7760</v>
      </c>
      <c r="F3110" s="53" t="s">
        <v>7760</v>
      </c>
      <c r="G3110" s="53" t="s">
        <v>7761</v>
      </c>
      <c r="H3110" s="53" t="s">
        <v>1594</v>
      </c>
      <c r="I3110" s="53">
        <v>1</v>
      </c>
      <c r="J3110" s="53">
        <v>5</v>
      </c>
      <c r="K3110" s="53">
        <v>2</v>
      </c>
      <c r="L3110" s="53">
        <v>999</v>
      </c>
      <c r="M3110" s="53">
        <v>0</v>
      </c>
      <c r="N3110" s="53">
        <v>1017</v>
      </c>
      <c r="O3110" s="53">
        <v>220039</v>
      </c>
      <c r="S3110" s="53">
        <v>1</v>
      </c>
      <c r="T3110" s="53">
        <v>5</v>
      </c>
      <c r="U3110" s="53">
        <v>10</v>
      </c>
      <c r="V3110" s="53">
        <v>1</v>
      </c>
      <c r="W3110" s="53">
        <v>1</v>
      </c>
      <c r="X3110" s="53">
        <v>1</v>
      </c>
      <c r="Y3110" s="53">
        <v>0</v>
      </c>
      <c r="Z3110" s="53">
        <v>0</v>
      </c>
      <c r="AA3110" s="53">
        <v>5</v>
      </c>
      <c r="AB3110" s="53">
        <v>100</v>
      </c>
      <c r="AC3110" s="53">
        <v>56</v>
      </c>
      <c r="AD3110" s="53">
        <v>0</v>
      </c>
      <c r="AE3110" s="53">
        <v>4</v>
      </c>
      <c r="AF3110" s="53">
        <v>2</v>
      </c>
      <c r="AG3110" s="488"/>
      <c r="AH3110" s="488"/>
      <c r="AI3110" s="488"/>
      <c r="AJ3110" s="488"/>
      <c r="AK3110" s="488"/>
      <c r="AL3110" s="489"/>
      <c r="AM3110" s="489"/>
      <c r="AN3110" s="490"/>
      <c r="AO3110" s="489"/>
      <c r="AP3110" s="489"/>
      <c r="AS3110" s="53">
        <v>1</v>
      </c>
    </row>
    <row r="3111" s="53" customFormat="1" spans="1:45">
      <c r="A3111" s="53">
        <v>619373</v>
      </c>
      <c r="B3111" s="53">
        <v>1001</v>
      </c>
      <c r="C3111" s="53">
        <v>6</v>
      </c>
      <c r="D3111" s="53">
        <v>1001</v>
      </c>
      <c r="E3111" s="53" t="s">
        <v>7762</v>
      </c>
      <c r="F3111" s="53" t="s">
        <v>7762</v>
      </c>
      <c r="G3111" s="53" t="s">
        <v>7763</v>
      </c>
      <c r="H3111" s="53" t="s">
        <v>1594</v>
      </c>
      <c r="I3111" s="53">
        <v>1</v>
      </c>
      <c r="J3111" s="53">
        <v>5</v>
      </c>
      <c r="K3111" s="53">
        <v>2</v>
      </c>
      <c r="L3111" s="53">
        <v>999</v>
      </c>
      <c r="M3111" s="53">
        <v>0</v>
      </c>
      <c r="N3111" s="53">
        <v>1017</v>
      </c>
      <c r="O3111" s="53">
        <v>220040</v>
      </c>
      <c r="S3111" s="53">
        <v>1</v>
      </c>
      <c r="T3111" s="53">
        <v>5</v>
      </c>
      <c r="U3111" s="53">
        <v>10</v>
      </c>
      <c r="V3111" s="53">
        <v>1</v>
      </c>
      <c r="W3111" s="53">
        <v>1</v>
      </c>
      <c r="X3111" s="53">
        <v>1</v>
      </c>
      <c r="Y3111" s="53">
        <v>0</v>
      </c>
      <c r="Z3111" s="53">
        <v>0</v>
      </c>
      <c r="AA3111" s="53">
        <v>5</v>
      </c>
      <c r="AB3111" s="53">
        <v>100</v>
      </c>
      <c r="AC3111" s="53">
        <v>56</v>
      </c>
      <c r="AD3111" s="53">
        <v>0</v>
      </c>
      <c r="AE3111" s="53">
        <v>4</v>
      </c>
      <c r="AF3111" s="53">
        <v>2</v>
      </c>
      <c r="AG3111" s="488"/>
      <c r="AH3111" s="488"/>
      <c r="AI3111" s="488"/>
      <c r="AJ3111" s="488"/>
      <c r="AK3111" s="488"/>
      <c r="AL3111" s="489"/>
      <c r="AM3111" s="489"/>
      <c r="AN3111" s="490"/>
      <c r="AO3111" s="489"/>
      <c r="AP3111" s="489"/>
      <c r="AS3111" s="53">
        <v>1</v>
      </c>
    </row>
    <row r="3112" s="53" customFormat="1" spans="1:45">
      <c r="A3112" s="53">
        <v>619374</v>
      </c>
      <c r="B3112" s="53">
        <v>1001</v>
      </c>
      <c r="C3112" s="53">
        <v>6</v>
      </c>
      <c r="D3112" s="53">
        <v>1001</v>
      </c>
      <c r="E3112" s="53" t="s">
        <v>7764</v>
      </c>
      <c r="F3112" s="53" t="s">
        <v>7764</v>
      </c>
      <c r="G3112" s="53" t="s">
        <v>7765</v>
      </c>
      <c r="H3112" s="53" t="s">
        <v>1594</v>
      </c>
      <c r="I3112" s="53">
        <v>1</v>
      </c>
      <c r="J3112" s="53">
        <v>5</v>
      </c>
      <c r="K3112" s="53">
        <v>2</v>
      </c>
      <c r="L3112" s="53">
        <v>999</v>
      </c>
      <c r="M3112" s="53">
        <v>0</v>
      </c>
      <c r="N3112" s="53">
        <v>1017</v>
      </c>
      <c r="O3112" s="53">
        <v>220041</v>
      </c>
      <c r="S3112" s="53">
        <v>1</v>
      </c>
      <c r="T3112" s="53">
        <v>5</v>
      </c>
      <c r="U3112" s="53">
        <v>10</v>
      </c>
      <c r="V3112" s="53">
        <v>1</v>
      </c>
      <c r="W3112" s="53">
        <v>1</v>
      </c>
      <c r="X3112" s="53">
        <v>1</v>
      </c>
      <c r="Y3112" s="53">
        <v>0</v>
      </c>
      <c r="Z3112" s="53">
        <v>0</v>
      </c>
      <c r="AA3112" s="53">
        <v>5</v>
      </c>
      <c r="AB3112" s="53">
        <v>100</v>
      </c>
      <c r="AC3112" s="53">
        <v>56</v>
      </c>
      <c r="AD3112" s="53">
        <v>0</v>
      </c>
      <c r="AE3112" s="53">
        <v>4</v>
      </c>
      <c r="AF3112" s="53">
        <v>2</v>
      </c>
      <c r="AG3112" s="488"/>
      <c r="AH3112" s="488"/>
      <c r="AI3112" s="488"/>
      <c r="AJ3112" s="488"/>
      <c r="AK3112" s="488"/>
      <c r="AL3112" s="489"/>
      <c r="AM3112" s="489"/>
      <c r="AN3112" s="490"/>
      <c r="AO3112" s="489"/>
      <c r="AP3112" s="489"/>
      <c r="AS3112" s="53">
        <v>1</v>
      </c>
    </row>
    <row r="3113" s="53" customFormat="1" spans="1:45">
      <c r="A3113" s="53">
        <v>619375</v>
      </c>
      <c r="B3113" s="53">
        <v>1001</v>
      </c>
      <c r="C3113" s="53">
        <v>6</v>
      </c>
      <c r="D3113" s="53">
        <v>1001</v>
      </c>
      <c r="E3113" s="53" t="s">
        <v>7766</v>
      </c>
      <c r="F3113" s="53" t="s">
        <v>7766</v>
      </c>
      <c r="G3113" s="53" t="s">
        <v>7767</v>
      </c>
      <c r="H3113" s="53" t="s">
        <v>1594</v>
      </c>
      <c r="I3113" s="53">
        <v>1</v>
      </c>
      <c r="J3113" s="53">
        <v>5</v>
      </c>
      <c r="K3113" s="53">
        <v>2</v>
      </c>
      <c r="L3113" s="53">
        <v>999</v>
      </c>
      <c r="M3113" s="53">
        <v>0</v>
      </c>
      <c r="N3113" s="53">
        <v>1017</v>
      </c>
      <c r="O3113" s="53">
        <v>220042</v>
      </c>
      <c r="S3113" s="53">
        <v>1</v>
      </c>
      <c r="T3113" s="53">
        <v>5</v>
      </c>
      <c r="U3113" s="53">
        <v>10</v>
      </c>
      <c r="V3113" s="53">
        <v>1</v>
      </c>
      <c r="W3113" s="53">
        <v>1</v>
      </c>
      <c r="X3113" s="53">
        <v>1</v>
      </c>
      <c r="Y3113" s="53">
        <v>0</v>
      </c>
      <c r="Z3113" s="53">
        <v>0</v>
      </c>
      <c r="AA3113" s="53">
        <v>5</v>
      </c>
      <c r="AB3113" s="53">
        <v>100</v>
      </c>
      <c r="AC3113" s="53">
        <v>56</v>
      </c>
      <c r="AD3113" s="53">
        <v>0</v>
      </c>
      <c r="AE3113" s="53">
        <v>4</v>
      </c>
      <c r="AF3113" s="53">
        <v>2</v>
      </c>
      <c r="AG3113" s="488"/>
      <c r="AH3113" s="488"/>
      <c r="AI3113" s="488"/>
      <c r="AJ3113" s="488"/>
      <c r="AK3113" s="488"/>
      <c r="AL3113" s="489"/>
      <c r="AM3113" s="489"/>
      <c r="AN3113" s="490"/>
      <c r="AO3113" s="489"/>
      <c r="AP3113" s="489"/>
      <c r="AS3113" s="53">
        <v>1</v>
      </c>
    </row>
    <row r="3114" s="53" customFormat="1" spans="1:45">
      <c r="A3114" s="53">
        <v>619376</v>
      </c>
      <c r="B3114" s="53">
        <v>1001</v>
      </c>
      <c r="C3114" s="53">
        <v>6</v>
      </c>
      <c r="D3114" s="53">
        <v>1001</v>
      </c>
      <c r="E3114" s="53" t="s">
        <v>7768</v>
      </c>
      <c r="F3114" s="53" t="s">
        <v>7769</v>
      </c>
      <c r="G3114" s="53" t="s">
        <v>7770</v>
      </c>
      <c r="H3114" s="53" t="s">
        <v>1822</v>
      </c>
      <c r="I3114" s="53">
        <v>1</v>
      </c>
      <c r="J3114" s="53">
        <v>5</v>
      </c>
      <c r="K3114" s="53">
        <v>2</v>
      </c>
      <c r="L3114" s="53">
        <v>999</v>
      </c>
      <c r="M3114" s="53">
        <v>0</v>
      </c>
      <c r="N3114" s="53">
        <v>1</v>
      </c>
      <c r="O3114" s="53" t="s">
        <v>7771</v>
      </c>
      <c r="S3114" s="53">
        <v>1</v>
      </c>
      <c r="T3114" s="53">
        <v>5</v>
      </c>
      <c r="U3114" s="53">
        <v>100</v>
      </c>
      <c r="W3114" s="53">
        <v>1</v>
      </c>
      <c r="X3114" s="53">
        <v>1</v>
      </c>
      <c r="Y3114" s="53">
        <v>0</v>
      </c>
      <c r="Z3114" s="53">
        <v>0</v>
      </c>
      <c r="AA3114" s="53">
        <v>5</v>
      </c>
      <c r="AB3114" s="53">
        <v>2000</v>
      </c>
      <c r="AC3114" s="53">
        <v>70</v>
      </c>
      <c r="AD3114" s="53">
        <v>0</v>
      </c>
      <c r="AE3114" s="53">
        <v>4</v>
      </c>
      <c r="AF3114" s="53">
        <v>2</v>
      </c>
      <c r="AG3114" s="488"/>
      <c r="AH3114" s="488"/>
      <c r="AI3114" s="488"/>
      <c r="AJ3114" s="488"/>
      <c r="AK3114" s="488"/>
      <c r="AL3114" s="489"/>
      <c r="AM3114" s="489"/>
      <c r="AN3114" s="490"/>
      <c r="AO3114" s="489"/>
      <c r="AP3114" s="489"/>
      <c r="AS3114" s="53">
        <v>1</v>
      </c>
    </row>
    <row r="3115" s="55" customFormat="1" spans="1:45">
      <c r="A3115" s="55">
        <v>619377</v>
      </c>
      <c r="B3115" s="55">
        <v>1001</v>
      </c>
      <c r="C3115" s="55">
        <v>1</v>
      </c>
      <c r="D3115" s="55">
        <v>1001</v>
      </c>
      <c r="E3115" s="55" t="s">
        <v>7737</v>
      </c>
      <c r="F3115" s="55" t="s">
        <v>7737</v>
      </c>
      <c r="G3115" s="55" t="s">
        <v>7772</v>
      </c>
      <c r="H3115" s="55" t="s">
        <v>1822</v>
      </c>
      <c r="I3115" s="55">
        <v>1</v>
      </c>
      <c r="J3115" s="55">
        <v>5</v>
      </c>
      <c r="K3115" s="55">
        <v>2</v>
      </c>
      <c r="L3115" s="55">
        <v>999</v>
      </c>
      <c r="M3115" s="55">
        <v>0</v>
      </c>
      <c r="N3115" s="55">
        <v>1018</v>
      </c>
      <c r="O3115" s="55" t="s">
        <v>7773</v>
      </c>
      <c r="S3115" s="55">
        <v>1</v>
      </c>
      <c r="T3115" s="55">
        <v>5</v>
      </c>
      <c r="U3115" s="55">
        <v>100</v>
      </c>
      <c r="V3115" s="54"/>
      <c r="W3115" s="55">
        <v>1</v>
      </c>
      <c r="X3115" s="55">
        <v>1</v>
      </c>
      <c r="Y3115" s="55">
        <v>0</v>
      </c>
      <c r="Z3115" s="55">
        <v>0</v>
      </c>
      <c r="AA3115" s="55">
        <v>5</v>
      </c>
      <c r="AB3115" s="55">
        <v>2000</v>
      </c>
      <c r="AC3115" s="55">
        <v>70</v>
      </c>
      <c r="AD3115" s="55">
        <v>0</v>
      </c>
      <c r="AE3115" s="55">
        <v>5</v>
      </c>
      <c r="AF3115" s="55">
        <v>2</v>
      </c>
      <c r="AG3115" s="511"/>
      <c r="AH3115" s="511"/>
      <c r="AI3115" s="511"/>
      <c r="AJ3115" s="511"/>
      <c r="AK3115" s="511"/>
      <c r="AL3115" s="512"/>
      <c r="AM3115" s="512"/>
      <c r="AN3115" s="513"/>
      <c r="AO3115" s="512"/>
      <c r="AP3115" s="512"/>
      <c r="AS3115" s="55">
        <v>1</v>
      </c>
    </row>
    <row r="3116" s="54" customFormat="1" spans="1:45">
      <c r="A3116" s="54">
        <v>619378</v>
      </c>
      <c r="B3116" s="54">
        <v>1001</v>
      </c>
      <c r="C3116" s="54">
        <v>6</v>
      </c>
      <c r="D3116" s="54">
        <v>1001</v>
      </c>
      <c r="E3116" s="54" t="s">
        <v>7774</v>
      </c>
      <c r="F3116" s="54" t="s">
        <v>7774</v>
      </c>
      <c r="G3116" s="54" t="s">
        <v>7775</v>
      </c>
      <c r="H3116" s="54" t="s">
        <v>1594</v>
      </c>
      <c r="I3116" s="54">
        <v>1</v>
      </c>
      <c r="J3116" s="54">
        <v>5</v>
      </c>
      <c r="K3116" s="54">
        <v>2</v>
      </c>
      <c r="L3116" s="54">
        <v>999</v>
      </c>
      <c r="M3116" s="54">
        <v>0</v>
      </c>
      <c r="N3116" s="54">
        <v>1</v>
      </c>
      <c r="O3116" s="501" t="s">
        <v>7776</v>
      </c>
      <c r="S3116" s="54">
        <v>1</v>
      </c>
      <c r="T3116" s="54">
        <v>5</v>
      </c>
      <c r="U3116" s="54">
        <v>10</v>
      </c>
      <c r="V3116" s="54">
        <v>1</v>
      </c>
      <c r="W3116" s="54">
        <v>1</v>
      </c>
      <c r="X3116" s="54">
        <v>1</v>
      </c>
      <c r="Y3116" s="54">
        <v>0</v>
      </c>
      <c r="Z3116" s="54">
        <v>0</v>
      </c>
      <c r="AA3116" s="54">
        <v>5</v>
      </c>
      <c r="AB3116" s="54">
        <v>100</v>
      </c>
      <c r="AC3116" s="54">
        <v>56</v>
      </c>
      <c r="AD3116" s="502">
        <v>0</v>
      </c>
      <c r="AE3116" s="502">
        <v>4</v>
      </c>
      <c r="AF3116" s="502">
        <v>2</v>
      </c>
      <c r="AG3116" s="503"/>
      <c r="AH3116" s="503"/>
      <c r="AI3116" s="503"/>
      <c r="AJ3116" s="503"/>
      <c r="AK3116" s="503"/>
      <c r="AL3116" s="504"/>
      <c r="AM3116" s="504"/>
      <c r="AN3116" s="514"/>
      <c r="AO3116" s="504"/>
      <c r="AP3116" s="504"/>
      <c r="AS3116" s="54">
        <v>1</v>
      </c>
    </row>
    <row r="3117" s="54" customFormat="1" spans="1:45">
      <c r="A3117" s="54">
        <v>619379</v>
      </c>
      <c r="B3117" s="54">
        <v>1001</v>
      </c>
      <c r="C3117" s="54">
        <v>6</v>
      </c>
      <c r="D3117" s="54">
        <v>1001</v>
      </c>
      <c r="E3117" s="54" t="s">
        <v>7777</v>
      </c>
      <c r="F3117" s="54" t="s">
        <v>7777</v>
      </c>
      <c r="G3117" s="54" t="s">
        <v>7778</v>
      </c>
      <c r="H3117" s="54" t="s">
        <v>1594</v>
      </c>
      <c r="I3117" s="54">
        <v>1</v>
      </c>
      <c r="J3117" s="54">
        <v>5</v>
      </c>
      <c r="K3117" s="54">
        <v>2</v>
      </c>
      <c r="L3117" s="54">
        <v>999</v>
      </c>
      <c r="M3117" s="54">
        <v>0</v>
      </c>
      <c r="N3117" s="54">
        <v>1</v>
      </c>
      <c r="O3117" s="501" t="s">
        <v>7779</v>
      </c>
      <c r="S3117" s="54">
        <v>1</v>
      </c>
      <c r="T3117" s="54">
        <v>5</v>
      </c>
      <c r="U3117" s="54">
        <v>10</v>
      </c>
      <c r="V3117" s="54">
        <v>1</v>
      </c>
      <c r="W3117" s="54">
        <v>1</v>
      </c>
      <c r="X3117" s="54">
        <v>1</v>
      </c>
      <c r="Y3117" s="54">
        <v>0</v>
      </c>
      <c r="Z3117" s="54">
        <v>0</v>
      </c>
      <c r="AA3117" s="54">
        <v>5</v>
      </c>
      <c r="AB3117" s="54">
        <v>100</v>
      </c>
      <c r="AC3117" s="54">
        <v>56</v>
      </c>
      <c r="AD3117" s="502">
        <v>0</v>
      </c>
      <c r="AE3117" s="502">
        <v>4</v>
      </c>
      <c r="AF3117" s="502">
        <v>2</v>
      </c>
      <c r="AG3117" s="503"/>
      <c r="AH3117" s="503"/>
      <c r="AI3117" s="503"/>
      <c r="AJ3117" s="503"/>
      <c r="AK3117" s="503"/>
      <c r="AL3117" s="504"/>
      <c r="AM3117" s="504"/>
      <c r="AN3117" s="514"/>
      <c r="AO3117" s="504"/>
      <c r="AP3117" s="504"/>
      <c r="AS3117" s="54">
        <v>1</v>
      </c>
    </row>
    <row r="3118" s="54" customFormat="1" spans="1:45">
      <c r="A3118" s="54">
        <v>619380</v>
      </c>
      <c r="B3118" s="54">
        <v>1001</v>
      </c>
      <c r="C3118" s="54">
        <v>6</v>
      </c>
      <c r="D3118" s="54">
        <v>1001</v>
      </c>
      <c r="E3118" s="54" t="s">
        <v>7780</v>
      </c>
      <c r="F3118" s="54" t="s">
        <v>7780</v>
      </c>
      <c r="G3118" s="54" t="s">
        <v>7781</v>
      </c>
      <c r="H3118" s="54" t="s">
        <v>1594</v>
      </c>
      <c r="I3118" s="54">
        <v>1</v>
      </c>
      <c r="J3118" s="54">
        <v>5</v>
      </c>
      <c r="K3118" s="54">
        <v>2</v>
      </c>
      <c r="L3118" s="54">
        <v>999</v>
      </c>
      <c r="M3118" s="54">
        <v>0</v>
      </c>
      <c r="N3118" s="54">
        <v>1</v>
      </c>
      <c r="O3118" s="501" t="s">
        <v>7782</v>
      </c>
      <c r="S3118" s="54">
        <v>1</v>
      </c>
      <c r="T3118" s="54">
        <v>5</v>
      </c>
      <c r="U3118" s="54">
        <v>10</v>
      </c>
      <c r="V3118" s="54">
        <v>1</v>
      </c>
      <c r="W3118" s="54">
        <v>1</v>
      </c>
      <c r="X3118" s="54">
        <v>1</v>
      </c>
      <c r="Y3118" s="54">
        <v>0</v>
      </c>
      <c r="Z3118" s="54">
        <v>0</v>
      </c>
      <c r="AA3118" s="54">
        <v>5</v>
      </c>
      <c r="AB3118" s="54">
        <v>100</v>
      </c>
      <c r="AC3118" s="54">
        <v>56</v>
      </c>
      <c r="AD3118" s="502">
        <v>0</v>
      </c>
      <c r="AE3118" s="502">
        <v>4</v>
      </c>
      <c r="AF3118" s="502">
        <v>2</v>
      </c>
      <c r="AG3118" s="503"/>
      <c r="AH3118" s="503"/>
      <c r="AI3118" s="503"/>
      <c r="AJ3118" s="503"/>
      <c r="AK3118" s="503"/>
      <c r="AL3118" s="504"/>
      <c r="AM3118" s="504"/>
      <c r="AN3118" s="514"/>
      <c r="AO3118" s="504"/>
      <c r="AP3118" s="504"/>
      <c r="AS3118" s="54">
        <v>1</v>
      </c>
    </row>
    <row r="3119" s="54" customFormat="1" spans="1:45">
      <c r="A3119" s="54">
        <v>619381</v>
      </c>
      <c r="B3119" s="54">
        <v>1001</v>
      </c>
      <c r="C3119" s="54">
        <v>6</v>
      </c>
      <c r="D3119" s="54">
        <v>1001</v>
      </c>
      <c r="E3119" s="54" t="s">
        <v>7783</v>
      </c>
      <c r="F3119" s="54" t="s">
        <v>7783</v>
      </c>
      <c r="G3119" s="54" t="s">
        <v>7784</v>
      </c>
      <c r="H3119" s="54" t="s">
        <v>1822</v>
      </c>
      <c r="I3119" s="54">
        <v>1</v>
      </c>
      <c r="J3119" s="54">
        <v>5</v>
      </c>
      <c r="K3119" s="54">
        <v>2</v>
      </c>
      <c r="L3119" s="54">
        <v>999</v>
      </c>
      <c r="M3119" s="54">
        <v>0</v>
      </c>
      <c r="N3119" s="54">
        <v>1</v>
      </c>
      <c r="O3119" s="501" t="s">
        <v>7785</v>
      </c>
      <c r="S3119" s="54">
        <v>1</v>
      </c>
      <c r="T3119" s="54">
        <v>5</v>
      </c>
      <c r="U3119" s="54">
        <v>10</v>
      </c>
      <c r="V3119" s="54">
        <v>1</v>
      </c>
      <c r="W3119" s="54">
        <v>1</v>
      </c>
      <c r="X3119" s="54">
        <v>1</v>
      </c>
      <c r="Y3119" s="54">
        <v>0</v>
      </c>
      <c r="Z3119" s="54">
        <v>0</v>
      </c>
      <c r="AA3119" s="54">
        <v>5</v>
      </c>
      <c r="AB3119" s="54">
        <v>100</v>
      </c>
      <c r="AC3119" s="54">
        <v>56</v>
      </c>
      <c r="AD3119" s="502">
        <v>0</v>
      </c>
      <c r="AE3119" s="502">
        <v>4</v>
      </c>
      <c r="AF3119" s="502">
        <v>2</v>
      </c>
      <c r="AG3119" s="503"/>
      <c r="AH3119" s="503"/>
      <c r="AI3119" s="503"/>
      <c r="AJ3119" s="503"/>
      <c r="AK3119" s="503"/>
      <c r="AL3119" s="504"/>
      <c r="AM3119" s="504"/>
      <c r="AN3119" s="514"/>
      <c r="AO3119" s="504"/>
      <c r="AP3119" s="504"/>
      <c r="AS3119" s="54">
        <v>1</v>
      </c>
    </row>
    <row r="3120" s="54" customFormat="1" spans="1:45">
      <c r="A3120" s="54">
        <v>619382</v>
      </c>
      <c r="B3120" s="54">
        <v>1001</v>
      </c>
      <c r="C3120" s="54">
        <v>1</v>
      </c>
      <c r="D3120" s="54">
        <v>1001</v>
      </c>
      <c r="E3120" s="54" t="s">
        <v>5550</v>
      </c>
      <c r="F3120" s="54" t="s">
        <v>5550</v>
      </c>
      <c r="G3120" s="515" t="s">
        <v>7786</v>
      </c>
      <c r="H3120" s="54" t="s">
        <v>1531</v>
      </c>
      <c r="I3120" s="54">
        <v>1</v>
      </c>
      <c r="J3120" s="54">
        <v>5</v>
      </c>
      <c r="K3120" s="54">
        <v>2</v>
      </c>
      <c r="L3120" s="54">
        <v>999</v>
      </c>
      <c r="M3120" s="54">
        <v>0</v>
      </c>
      <c r="N3120" s="54">
        <v>1018</v>
      </c>
      <c r="O3120" s="501" t="s">
        <v>7787</v>
      </c>
      <c r="S3120" s="54">
        <v>1</v>
      </c>
      <c r="T3120" s="54">
        <v>5</v>
      </c>
      <c r="U3120" s="54">
        <v>100</v>
      </c>
      <c r="W3120" s="54">
        <v>1</v>
      </c>
      <c r="X3120" s="54">
        <v>1</v>
      </c>
      <c r="Y3120" s="54">
        <v>0</v>
      </c>
      <c r="Z3120" s="54">
        <v>0</v>
      </c>
      <c r="AA3120" s="54">
        <v>5</v>
      </c>
      <c r="AB3120" s="54">
        <v>2000</v>
      </c>
      <c r="AC3120" s="54">
        <v>70</v>
      </c>
      <c r="AD3120" s="502">
        <v>0</v>
      </c>
      <c r="AE3120" s="502">
        <v>5</v>
      </c>
      <c r="AF3120" s="502">
        <v>2</v>
      </c>
      <c r="AG3120" s="503"/>
      <c r="AH3120" s="503"/>
      <c r="AI3120" s="503"/>
      <c r="AJ3120" s="503"/>
      <c r="AK3120" s="503"/>
      <c r="AL3120" s="504"/>
      <c r="AM3120" s="504"/>
      <c r="AN3120" s="514"/>
      <c r="AO3120" s="504"/>
      <c r="AP3120" s="504"/>
      <c r="AS3120" s="54">
        <v>1</v>
      </c>
    </row>
    <row r="3121" s="54" customFormat="1" spans="1:45">
      <c r="A3121" s="54">
        <v>619383</v>
      </c>
      <c r="B3121" s="54">
        <v>1001</v>
      </c>
      <c r="C3121" s="54">
        <v>1</v>
      </c>
      <c r="D3121" s="54">
        <v>1001</v>
      </c>
      <c r="E3121" s="54" t="s">
        <v>5550</v>
      </c>
      <c r="F3121" s="54" t="s">
        <v>5550</v>
      </c>
      <c r="G3121" s="515" t="s">
        <v>7788</v>
      </c>
      <c r="H3121" s="54" t="s">
        <v>1531</v>
      </c>
      <c r="I3121" s="54">
        <v>1</v>
      </c>
      <c r="J3121" s="54">
        <v>5</v>
      </c>
      <c r="K3121" s="54">
        <v>2</v>
      </c>
      <c r="L3121" s="54">
        <v>999</v>
      </c>
      <c r="M3121" s="54">
        <v>0</v>
      </c>
      <c r="N3121" s="54">
        <v>1018</v>
      </c>
      <c r="O3121" s="501" t="s">
        <v>7789</v>
      </c>
      <c r="S3121" s="54">
        <v>1</v>
      </c>
      <c r="T3121" s="54">
        <v>5</v>
      </c>
      <c r="U3121" s="54">
        <v>100</v>
      </c>
      <c r="W3121" s="54">
        <v>1</v>
      </c>
      <c r="X3121" s="54">
        <v>1</v>
      </c>
      <c r="Y3121" s="54">
        <v>0</v>
      </c>
      <c r="Z3121" s="54">
        <v>0</v>
      </c>
      <c r="AA3121" s="54">
        <v>5</v>
      </c>
      <c r="AB3121" s="54">
        <v>2000</v>
      </c>
      <c r="AC3121" s="54">
        <v>70</v>
      </c>
      <c r="AD3121" s="502">
        <v>0</v>
      </c>
      <c r="AE3121" s="502">
        <v>5</v>
      </c>
      <c r="AF3121" s="502">
        <v>2</v>
      </c>
      <c r="AG3121" s="503"/>
      <c r="AH3121" s="503"/>
      <c r="AI3121" s="503"/>
      <c r="AJ3121" s="503"/>
      <c r="AK3121" s="503"/>
      <c r="AL3121" s="504"/>
      <c r="AM3121" s="504"/>
      <c r="AN3121" s="514"/>
      <c r="AO3121" s="504"/>
      <c r="AP3121" s="504"/>
      <c r="AS3121" s="54">
        <v>1</v>
      </c>
    </row>
    <row r="3122" s="54" customFormat="1" ht="27" customHeight="1" spans="1:45">
      <c r="A3122" s="54">
        <v>619384</v>
      </c>
      <c r="B3122" s="54">
        <v>1001</v>
      </c>
      <c r="C3122" s="54">
        <v>1</v>
      </c>
      <c r="D3122" s="54">
        <v>1001</v>
      </c>
      <c r="E3122" s="54" t="s">
        <v>5546</v>
      </c>
      <c r="F3122" s="54" t="s">
        <v>5546</v>
      </c>
      <c r="G3122" s="515" t="s">
        <v>7790</v>
      </c>
      <c r="H3122" s="54" t="s">
        <v>1825</v>
      </c>
      <c r="I3122" s="54">
        <v>1</v>
      </c>
      <c r="J3122" s="54">
        <v>5</v>
      </c>
      <c r="K3122" s="54">
        <v>2</v>
      </c>
      <c r="L3122" s="54">
        <v>999</v>
      </c>
      <c r="M3122" s="54">
        <v>0</v>
      </c>
      <c r="N3122" s="54">
        <v>1018</v>
      </c>
      <c r="O3122" s="501" t="s">
        <v>7791</v>
      </c>
      <c r="S3122" s="54">
        <v>1</v>
      </c>
      <c r="T3122" s="54">
        <v>5</v>
      </c>
      <c r="U3122" s="54">
        <v>100</v>
      </c>
      <c r="W3122" s="54">
        <v>1</v>
      </c>
      <c r="X3122" s="54">
        <v>1</v>
      </c>
      <c r="Y3122" s="54">
        <v>0</v>
      </c>
      <c r="Z3122" s="54">
        <v>0</v>
      </c>
      <c r="AA3122" s="54">
        <v>5</v>
      </c>
      <c r="AB3122" s="54">
        <v>2000</v>
      </c>
      <c r="AC3122" s="54">
        <v>70</v>
      </c>
      <c r="AD3122" s="502">
        <v>0</v>
      </c>
      <c r="AE3122" s="502">
        <v>5</v>
      </c>
      <c r="AF3122" s="502">
        <v>2</v>
      </c>
      <c r="AG3122" s="503"/>
      <c r="AH3122" s="503"/>
      <c r="AI3122" s="503"/>
      <c r="AJ3122" s="503"/>
      <c r="AK3122" s="503"/>
      <c r="AL3122" s="504"/>
      <c r="AM3122" s="504"/>
      <c r="AN3122" s="514"/>
      <c r="AO3122" s="504"/>
      <c r="AP3122" s="504"/>
      <c r="AS3122" s="54">
        <v>1</v>
      </c>
    </row>
    <row r="3123" s="54" customFormat="1" ht="27" customHeight="1" spans="1:45">
      <c r="A3123" s="54">
        <v>619385</v>
      </c>
      <c r="B3123" s="54">
        <v>1001</v>
      </c>
      <c r="C3123" s="54">
        <v>1</v>
      </c>
      <c r="D3123" s="54">
        <v>1001</v>
      </c>
      <c r="E3123" s="54" t="s">
        <v>5550</v>
      </c>
      <c r="F3123" s="54" t="s">
        <v>5550</v>
      </c>
      <c r="G3123" s="515" t="s">
        <v>7792</v>
      </c>
      <c r="H3123" s="54" t="s">
        <v>1531</v>
      </c>
      <c r="I3123" s="54">
        <v>1</v>
      </c>
      <c r="J3123" s="54">
        <v>5</v>
      </c>
      <c r="K3123" s="54">
        <v>2</v>
      </c>
      <c r="L3123" s="54">
        <v>999</v>
      </c>
      <c r="M3123" s="54">
        <v>0</v>
      </c>
      <c r="N3123" s="54">
        <v>1018</v>
      </c>
      <c r="O3123" s="501" t="s">
        <v>7793</v>
      </c>
      <c r="S3123" s="54">
        <v>1</v>
      </c>
      <c r="T3123" s="54">
        <v>5</v>
      </c>
      <c r="U3123" s="54">
        <v>100</v>
      </c>
      <c r="W3123" s="54">
        <v>1</v>
      </c>
      <c r="X3123" s="54">
        <v>1</v>
      </c>
      <c r="Y3123" s="54">
        <v>0</v>
      </c>
      <c r="Z3123" s="54">
        <v>0</v>
      </c>
      <c r="AA3123" s="54">
        <v>5</v>
      </c>
      <c r="AB3123" s="54">
        <v>2000</v>
      </c>
      <c r="AC3123" s="54">
        <v>70</v>
      </c>
      <c r="AD3123" s="502">
        <v>0</v>
      </c>
      <c r="AE3123" s="502">
        <v>5</v>
      </c>
      <c r="AF3123" s="502">
        <v>2</v>
      </c>
      <c r="AG3123" s="503"/>
      <c r="AH3123" s="503"/>
      <c r="AI3123" s="503"/>
      <c r="AJ3123" s="503"/>
      <c r="AK3123" s="503"/>
      <c r="AL3123" s="504"/>
      <c r="AM3123" s="504"/>
      <c r="AN3123" s="514"/>
      <c r="AO3123" s="504"/>
      <c r="AP3123" s="504"/>
      <c r="AS3123" s="54">
        <v>1</v>
      </c>
    </row>
    <row r="3124" s="54" customFormat="1" spans="1:45">
      <c r="A3124" s="54">
        <v>619386</v>
      </c>
      <c r="B3124" s="54">
        <v>1001</v>
      </c>
      <c r="C3124" s="54">
        <v>1</v>
      </c>
      <c r="D3124" s="54">
        <v>1001</v>
      </c>
      <c r="E3124" s="54" t="s">
        <v>5550</v>
      </c>
      <c r="F3124" s="54" t="s">
        <v>5550</v>
      </c>
      <c r="G3124" s="515" t="s">
        <v>7794</v>
      </c>
      <c r="H3124" s="54" t="s">
        <v>1531</v>
      </c>
      <c r="I3124" s="54">
        <v>1</v>
      </c>
      <c r="J3124" s="54">
        <v>5</v>
      </c>
      <c r="K3124" s="54">
        <v>2</v>
      </c>
      <c r="L3124" s="54">
        <v>999</v>
      </c>
      <c r="M3124" s="54">
        <v>0</v>
      </c>
      <c r="N3124" s="54">
        <v>1018</v>
      </c>
      <c r="O3124" s="501" t="s">
        <v>7795</v>
      </c>
      <c r="S3124" s="54">
        <v>1</v>
      </c>
      <c r="T3124" s="54">
        <v>5</v>
      </c>
      <c r="U3124" s="54">
        <v>100</v>
      </c>
      <c r="W3124" s="54">
        <v>1</v>
      </c>
      <c r="X3124" s="54">
        <v>1</v>
      </c>
      <c r="Y3124" s="54">
        <v>0</v>
      </c>
      <c r="Z3124" s="54">
        <v>0</v>
      </c>
      <c r="AA3124" s="54">
        <v>5</v>
      </c>
      <c r="AB3124" s="54">
        <v>2000</v>
      </c>
      <c r="AC3124" s="54">
        <v>70</v>
      </c>
      <c r="AD3124" s="502">
        <v>0</v>
      </c>
      <c r="AE3124" s="502">
        <v>5</v>
      </c>
      <c r="AF3124" s="502">
        <v>2</v>
      </c>
      <c r="AG3124" s="503"/>
      <c r="AH3124" s="503"/>
      <c r="AI3124" s="503"/>
      <c r="AJ3124" s="503"/>
      <c r="AK3124" s="503"/>
      <c r="AL3124" s="504"/>
      <c r="AM3124" s="504"/>
      <c r="AN3124" s="514"/>
      <c r="AO3124" s="504"/>
      <c r="AP3124" s="504"/>
      <c r="AS3124" s="54">
        <v>1</v>
      </c>
    </row>
    <row r="3125" s="54" customFormat="1" spans="1:45">
      <c r="A3125" s="54">
        <v>619387</v>
      </c>
      <c r="B3125" s="54">
        <v>1001</v>
      </c>
      <c r="C3125" s="54">
        <v>1</v>
      </c>
      <c r="D3125" s="54">
        <v>1001</v>
      </c>
      <c r="E3125" s="54" t="s">
        <v>5546</v>
      </c>
      <c r="F3125" s="54" t="s">
        <v>5546</v>
      </c>
      <c r="G3125" s="515" t="s">
        <v>7796</v>
      </c>
      <c r="H3125" s="54" t="s">
        <v>1825</v>
      </c>
      <c r="I3125" s="54">
        <v>1</v>
      </c>
      <c r="J3125" s="54">
        <v>5</v>
      </c>
      <c r="K3125" s="54">
        <v>2</v>
      </c>
      <c r="L3125" s="54">
        <v>999</v>
      </c>
      <c r="M3125" s="54">
        <v>0</v>
      </c>
      <c r="N3125" s="54">
        <v>1018</v>
      </c>
      <c r="O3125" s="501" t="s">
        <v>7797</v>
      </c>
      <c r="S3125" s="54">
        <v>1</v>
      </c>
      <c r="T3125" s="54">
        <v>5</v>
      </c>
      <c r="U3125" s="54">
        <v>100</v>
      </c>
      <c r="W3125" s="54">
        <v>1</v>
      </c>
      <c r="X3125" s="54">
        <v>1</v>
      </c>
      <c r="Y3125" s="54">
        <v>0</v>
      </c>
      <c r="Z3125" s="54">
        <v>0</v>
      </c>
      <c r="AA3125" s="54">
        <v>5</v>
      </c>
      <c r="AB3125" s="54">
        <v>2000</v>
      </c>
      <c r="AC3125" s="54">
        <v>70</v>
      </c>
      <c r="AD3125" s="502">
        <v>0</v>
      </c>
      <c r="AE3125" s="502">
        <v>5</v>
      </c>
      <c r="AF3125" s="502">
        <v>2</v>
      </c>
      <c r="AG3125" s="503"/>
      <c r="AH3125" s="503"/>
      <c r="AI3125" s="503"/>
      <c r="AJ3125" s="503"/>
      <c r="AK3125" s="503"/>
      <c r="AL3125" s="504"/>
      <c r="AM3125" s="504"/>
      <c r="AN3125" s="514"/>
      <c r="AO3125" s="504"/>
      <c r="AP3125" s="504"/>
      <c r="AS3125" s="54">
        <v>1</v>
      </c>
    </row>
    <row r="3126" s="54" customFormat="1" ht="27" customHeight="1" spans="1:45">
      <c r="A3126" s="54">
        <v>619388</v>
      </c>
      <c r="B3126" s="54">
        <v>1001</v>
      </c>
      <c r="C3126" s="54">
        <v>1</v>
      </c>
      <c r="D3126" s="54">
        <v>1001</v>
      </c>
      <c r="E3126" s="54" t="s">
        <v>5550</v>
      </c>
      <c r="F3126" s="54" t="s">
        <v>5550</v>
      </c>
      <c r="G3126" s="515" t="s">
        <v>7798</v>
      </c>
      <c r="H3126" s="54" t="s">
        <v>1531</v>
      </c>
      <c r="I3126" s="54">
        <v>1</v>
      </c>
      <c r="J3126" s="54">
        <v>5</v>
      </c>
      <c r="K3126" s="54">
        <v>2</v>
      </c>
      <c r="L3126" s="54">
        <v>999</v>
      </c>
      <c r="M3126" s="54">
        <v>0</v>
      </c>
      <c r="N3126" s="54">
        <v>1018</v>
      </c>
      <c r="O3126" s="501" t="s">
        <v>7799</v>
      </c>
      <c r="S3126" s="54">
        <v>1</v>
      </c>
      <c r="T3126" s="54">
        <v>5</v>
      </c>
      <c r="U3126" s="54">
        <v>100</v>
      </c>
      <c r="W3126" s="54">
        <v>1</v>
      </c>
      <c r="X3126" s="54">
        <v>1</v>
      </c>
      <c r="Y3126" s="54">
        <v>0</v>
      </c>
      <c r="Z3126" s="54">
        <v>0</v>
      </c>
      <c r="AA3126" s="54">
        <v>5</v>
      </c>
      <c r="AB3126" s="54">
        <v>2000</v>
      </c>
      <c r="AC3126" s="54">
        <v>70</v>
      </c>
      <c r="AD3126" s="502">
        <v>0</v>
      </c>
      <c r="AE3126" s="502">
        <v>5</v>
      </c>
      <c r="AF3126" s="502">
        <v>2</v>
      </c>
      <c r="AG3126" s="503"/>
      <c r="AH3126" s="503"/>
      <c r="AI3126" s="503"/>
      <c r="AJ3126" s="503"/>
      <c r="AK3126" s="503"/>
      <c r="AL3126" s="504"/>
      <c r="AM3126" s="504"/>
      <c r="AN3126" s="514"/>
      <c r="AO3126" s="504"/>
      <c r="AP3126" s="504"/>
      <c r="AS3126" s="54">
        <v>1</v>
      </c>
    </row>
    <row r="3127" s="54" customFormat="1" spans="1:45">
      <c r="A3127" s="54">
        <v>619389</v>
      </c>
      <c r="B3127" s="54">
        <v>1001</v>
      </c>
      <c r="C3127" s="54">
        <v>1</v>
      </c>
      <c r="D3127" s="54">
        <v>1001</v>
      </c>
      <c r="E3127" s="54" t="s">
        <v>5550</v>
      </c>
      <c r="F3127" s="54" t="s">
        <v>5550</v>
      </c>
      <c r="G3127" s="515" t="s">
        <v>7800</v>
      </c>
      <c r="H3127" s="54" t="s">
        <v>1531</v>
      </c>
      <c r="I3127" s="54">
        <v>1</v>
      </c>
      <c r="J3127" s="54">
        <v>5</v>
      </c>
      <c r="K3127" s="54">
        <v>2</v>
      </c>
      <c r="L3127" s="54">
        <v>999</v>
      </c>
      <c r="M3127" s="54">
        <v>0</v>
      </c>
      <c r="N3127" s="54">
        <v>1018</v>
      </c>
      <c r="O3127" s="501" t="s">
        <v>7801</v>
      </c>
      <c r="S3127" s="54">
        <v>1</v>
      </c>
      <c r="T3127" s="54">
        <v>5</v>
      </c>
      <c r="U3127" s="54">
        <v>100</v>
      </c>
      <c r="V3127" s="54"/>
      <c r="W3127" s="54">
        <v>1</v>
      </c>
      <c r="X3127" s="54">
        <v>1</v>
      </c>
      <c r="Y3127" s="54">
        <v>0</v>
      </c>
      <c r="Z3127" s="54">
        <v>0</v>
      </c>
      <c r="AA3127" s="54">
        <v>5</v>
      </c>
      <c r="AB3127" s="54">
        <v>2000</v>
      </c>
      <c r="AC3127" s="54">
        <v>70</v>
      </c>
      <c r="AD3127" s="502">
        <v>0</v>
      </c>
      <c r="AE3127" s="502">
        <v>5</v>
      </c>
      <c r="AF3127" s="502">
        <v>2</v>
      </c>
      <c r="AG3127" s="503"/>
      <c r="AH3127" s="503"/>
      <c r="AI3127" s="503"/>
      <c r="AJ3127" s="503"/>
      <c r="AK3127" s="503"/>
      <c r="AL3127" s="504"/>
      <c r="AM3127" s="504"/>
      <c r="AN3127" s="514"/>
      <c r="AO3127" s="504"/>
      <c r="AP3127" s="504"/>
      <c r="AS3127" s="54">
        <v>1</v>
      </c>
    </row>
    <row r="3128" s="54" customFormat="1" spans="1:45">
      <c r="A3128" s="54">
        <v>619390</v>
      </c>
      <c r="B3128" s="54">
        <v>1001</v>
      </c>
      <c r="C3128" s="54">
        <v>6</v>
      </c>
      <c r="D3128" s="54">
        <v>1001</v>
      </c>
      <c r="E3128" s="54" t="s">
        <v>7802</v>
      </c>
      <c r="F3128" s="54" t="s">
        <v>7802</v>
      </c>
      <c r="G3128" s="54" t="s">
        <v>7803</v>
      </c>
      <c r="H3128" s="54" t="s">
        <v>1594</v>
      </c>
      <c r="I3128" s="54">
        <v>1</v>
      </c>
      <c r="J3128" s="54">
        <v>5</v>
      </c>
      <c r="K3128" s="54">
        <v>2</v>
      </c>
      <c r="L3128" s="54">
        <v>999</v>
      </c>
      <c r="M3128" s="54">
        <v>0</v>
      </c>
      <c r="N3128" s="54">
        <v>1</v>
      </c>
      <c r="O3128" s="501" t="s">
        <v>7804</v>
      </c>
      <c r="S3128" s="54">
        <v>1</v>
      </c>
      <c r="T3128" s="54">
        <v>5</v>
      </c>
      <c r="U3128" s="54">
        <v>10</v>
      </c>
      <c r="V3128" s="54">
        <v>1</v>
      </c>
      <c r="W3128" s="54">
        <v>1</v>
      </c>
      <c r="X3128" s="54">
        <v>1</v>
      </c>
      <c r="Y3128" s="54">
        <v>0</v>
      </c>
      <c r="Z3128" s="54">
        <v>0</v>
      </c>
      <c r="AA3128" s="54">
        <v>5</v>
      </c>
      <c r="AB3128" s="54">
        <v>100</v>
      </c>
      <c r="AC3128" s="54">
        <v>56</v>
      </c>
      <c r="AD3128" s="502">
        <v>0</v>
      </c>
      <c r="AE3128" s="502">
        <v>4</v>
      </c>
      <c r="AF3128" s="502">
        <v>2</v>
      </c>
      <c r="AG3128" s="503"/>
      <c r="AH3128" s="503"/>
      <c r="AI3128" s="503"/>
      <c r="AJ3128" s="503"/>
      <c r="AK3128" s="503"/>
      <c r="AL3128" s="504"/>
      <c r="AM3128" s="504"/>
      <c r="AN3128" s="514"/>
      <c r="AO3128" s="504"/>
      <c r="AP3128" s="504"/>
      <c r="AS3128" s="54">
        <v>1</v>
      </c>
    </row>
    <row r="3129" s="54" customFormat="1" spans="1:45">
      <c r="A3129" s="54">
        <v>619391</v>
      </c>
      <c r="B3129" s="54">
        <v>1001</v>
      </c>
      <c r="C3129" s="54">
        <v>6</v>
      </c>
      <c r="D3129" s="54">
        <v>1001</v>
      </c>
      <c r="E3129" s="54" t="s">
        <v>7805</v>
      </c>
      <c r="F3129" s="54" t="s">
        <v>7805</v>
      </c>
      <c r="G3129" s="54" t="s">
        <v>7806</v>
      </c>
      <c r="H3129" s="54" t="s">
        <v>1531</v>
      </c>
      <c r="I3129" s="54">
        <v>1</v>
      </c>
      <c r="J3129" s="54">
        <v>5</v>
      </c>
      <c r="K3129" s="54">
        <v>2</v>
      </c>
      <c r="L3129" s="54">
        <v>999</v>
      </c>
      <c r="M3129" s="54">
        <v>0</v>
      </c>
      <c r="N3129" s="54">
        <v>1</v>
      </c>
      <c r="O3129" s="501" t="s">
        <v>7807</v>
      </c>
      <c r="S3129" s="54">
        <v>1</v>
      </c>
      <c r="T3129" s="54">
        <v>5</v>
      </c>
      <c r="U3129" s="54">
        <v>10</v>
      </c>
      <c r="V3129" s="54">
        <v>1</v>
      </c>
      <c r="W3129" s="54">
        <v>1</v>
      </c>
      <c r="X3129" s="54">
        <v>1</v>
      </c>
      <c r="Y3129" s="54">
        <v>0</v>
      </c>
      <c r="Z3129" s="54">
        <v>0</v>
      </c>
      <c r="AA3129" s="54">
        <v>5</v>
      </c>
      <c r="AB3129" s="54">
        <v>100</v>
      </c>
      <c r="AC3129" s="54">
        <v>56</v>
      </c>
      <c r="AD3129" s="502">
        <v>0</v>
      </c>
      <c r="AE3129" s="502">
        <v>4</v>
      </c>
      <c r="AF3129" s="502">
        <v>2</v>
      </c>
      <c r="AG3129" s="503"/>
      <c r="AH3129" s="503"/>
      <c r="AI3129" s="503"/>
      <c r="AJ3129" s="503"/>
      <c r="AK3129" s="503"/>
      <c r="AL3129" s="504"/>
      <c r="AM3129" s="504"/>
      <c r="AN3129" s="514"/>
      <c r="AO3129" s="504"/>
      <c r="AP3129" s="504"/>
      <c r="AS3129" s="54">
        <v>1</v>
      </c>
    </row>
    <row r="3130" s="54" customFormat="1" spans="1:45">
      <c r="A3130" s="54">
        <v>619392</v>
      </c>
      <c r="B3130" s="516">
        <v>1001</v>
      </c>
      <c r="C3130" s="516">
        <v>6</v>
      </c>
      <c r="D3130" s="516">
        <v>1001</v>
      </c>
      <c r="E3130" s="516" t="s">
        <v>7808</v>
      </c>
      <c r="F3130" s="516" t="s">
        <v>7808</v>
      </c>
      <c r="G3130" s="516" t="s">
        <v>7809</v>
      </c>
      <c r="H3130" s="516" t="s">
        <v>1825</v>
      </c>
      <c r="I3130" s="516">
        <v>1</v>
      </c>
      <c r="J3130" s="516">
        <v>5</v>
      </c>
      <c r="K3130" s="516">
        <v>2</v>
      </c>
      <c r="L3130" s="516">
        <v>999</v>
      </c>
      <c r="M3130" s="516">
        <v>0</v>
      </c>
      <c r="N3130" s="516">
        <v>1</v>
      </c>
      <c r="O3130" s="517" t="s">
        <v>7810</v>
      </c>
      <c r="P3130" s="128"/>
      <c r="Q3130" s="128"/>
      <c r="R3130" s="128"/>
      <c r="S3130" s="516">
        <v>1</v>
      </c>
      <c r="T3130" s="516">
        <v>5</v>
      </c>
      <c r="U3130" s="516">
        <v>10</v>
      </c>
      <c r="V3130" s="516">
        <v>1</v>
      </c>
      <c r="W3130" s="516">
        <v>1</v>
      </c>
      <c r="X3130" s="516">
        <v>1</v>
      </c>
      <c r="Y3130" s="516">
        <v>0</v>
      </c>
      <c r="Z3130" s="516">
        <v>0</v>
      </c>
      <c r="AA3130" s="516">
        <v>5</v>
      </c>
      <c r="AB3130" s="516">
        <v>100</v>
      </c>
      <c r="AC3130" s="516">
        <v>56</v>
      </c>
      <c r="AD3130" s="518">
        <v>0</v>
      </c>
      <c r="AE3130" s="518">
        <v>4</v>
      </c>
      <c r="AF3130" s="518">
        <v>2</v>
      </c>
      <c r="AG3130" s="519"/>
      <c r="AH3130" s="519"/>
      <c r="AI3130" s="519"/>
      <c r="AJ3130" s="519"/>
      <c r="AK3130" s="519"/>
      <c r="AL3130" s="520"/>
      <c r="AM3130" s="520"/>
      <c r="AN3130" s="521"/>
      <c r="AO3130" s="520"/>
      <c r="AP3130" s="520"/>
      <c r="AQ3130" s="128"/>
      <c r="AR3130" s="128"/>
      <c r="AS3130" s="54">
        <v>1</v>
      </c>
    </row>
    <row r="3131" s="3" customFormat="1" spans="1:45">
      <c r="A3131" s="3">
        <v>619400</v>
      </c>
      <c r="B3131" s="395">
        <v>1001</v>
      </c>
      <c r="C3131" s="395">
        <v>6</v>
      </c>
      <c r="D3131" s="395">
        <v>1001</v>
      </c>
      <c r="E3131" s="395" t="s">
        <v>7811</v>
      </c>
      <c r="F3131" s="395" t="s">
        <v>7811</v>
      </c>
      <c r="G3131" s="395" t="s">
        <v>7812</v>
      </c>
      <c r="H3131" s="395" t="s">
        <v>1431</v>
      </c>
      <c r="I3131" s="395">
        <v>1</v>
      </c>
      <c r="J3131" s="395">
        <v>5</v>
      </c>
      <c r="K3131" s="395">
        <v>2</v>
      </c>
      <c r="L3131" s="395">
        <v>999</v>
      </c>
      <c r="M3131" s="395">
        <v>0</v>
      </c>
      <c r="N3131" s="395">
        <v>1018</v>
      </c>
      <c r="O3131" s="395" t="s">
        <v>7813</v>
      </c>
      <c r="P3131" s="395"/>
      <c r="Q3131" s="395"/>
      <c r="R3131" s="395"/>
      <c r="S3131" s="395">
        <v>1</v>
      </c>
      <c r="T3131" s="395">
        <v>5</v>
      </c>
      <c r="U3131" s="395">
        <v>200</v>
      </c>
      <c r="V3131" s="395">
        <v>1</v>
      </c>
      <c r="W3131" s="395">
        <v>1</v>
      </c>
      <c r="X3131" s="395">
        <v>1</v>
      </c>
      <c r="Y3131" s="395">
        <v>0</v>
      </c>
      <c r="Z3131" s="395">
        <v>0</v>
      </c>
      <c r="AA3131" s="395">
        <v>5</v>
      </c>
      <c r="AB3131" s="395">
        <v>1000</v>
      </c>
      <c r="AC3131" s="395">
        <v>56</v>
      </c>
      <c r="AD3131" s="395">
        <v>0</v>
      </c>
      <c r="AE3131" s="395">
        <v>5</v>
      </c>
      <c r="AF3131" s="395">
        <v>2</v>
      </c>
      <c r="AG3131" s="395"/>
      <c r="AH3131" s="395"/>
      <c r="AI3131" s="395"/>
      <c r="AJ3131" s="395"/>
      <c r="AK3131" s="395"/>
      <c r="AL3131" s="395"/>
      <c r="AM3131" s="395"/>
      <c r="AN3131" s="395"/>
      <c r="AO3131" s="395"/>
      <c r="AP3131" s="395"/>
      <c r="AQ3131" s="395"/>
      <c r="AR3131" s="395"/>
      <c r="AS3131" s="3">
        <v>1</v>
      </c>
    </row>
    <row r="3132" s="3" customFormat="1" spans="1:45">
      <c r="A3132" s="3">
        <v>619401</v>
      </c>
      <c r="B3132" s="3">
        <v>1001</v>
      </c>
      <c r="C3132" s="3">
        <v>1</v>
      </c>
      <c r="D3132" s="3">
        <v>1001</v>
      </c>
      <c r="E3132" s="3" t="s">
        <v>5550</v>
      </c>
      <c r="F3132" s="3" t="s">
        <v>5550</v>
      </c>
      <c r="G3132" s="151" t="s">
        <v>7814</v>
      </c>
      <c r="H3132" s="3" t="s">
        <v>1531</v>
      </c>
      <c r="I3132" s="3">
        <v>1</v>
      </c>
      <c r="J3132" s="3">
        <v>5</v>
      </c>
      <c r="K3132" s="3">
        <v>2</v>
      </c>
      <c r="L3132" s="3">
        <v>999</v>
      </c>
      <c r="M3132" s="3">
        <v>0</v>
      </c>
      <c r="N3132" s="3">
        <v>1018</v>
      </c>
      <c r="O3132" s="231" t="s">
        <v>7815</v>
      </c>
      <c r="S3132" s="3">
        <v>1</v>
      </c>
      <c r="T3132" s="3">
        <v>5</v>
      </c>
      <c r="U3132" s="3">
        <v>100</v>
      </c>
      <c r="V3132" s="54"/>
      <c r="W3132" s="3">
        <v>1</v>
      </c>
      <c r="X3132" s="3">
        <v>1</v>
      </c>
      <c r="Y3132" s="3">
        <v>0</v>
      </c>
      <c r="Z3132" s="3">
        <v>0</v>
      </c>
      <c r="AA3132" s="3">
        <v>5</v>
      </c>
      <c r="AB3132" s="3">
        <v>2000</v>
      </c>
      <c r="AC3132" s="3">
        <v>70</v>
      </c>
      <c r="AD3132" s="153">
        <v>0</v>
      </c>
      <c r="AE3132" s="153">
        <v>5</v>
      </c>
      <c r="AF3132" s="153">
        <v>2</v>
      </c>
      <c r="AG3132" s="337"/>
      <c r="AH3132" s="337"/>
      <c r="AI3132" s="337"/>
      <c r="AJ3132" s="337"/>
      <c r="AK3132" s="337"/>
      <c r="AL3132" s="234"/>
      <c r="AM3132" s="234"/>
      <c r="AN3132" s="476"/>
      <c r="AO3132" s="234"/>
      <c r="AP3132" s="234"/>
      <c r="AS3132" s="3">
        <v>1</v>
      </c>
    </row>
    <row r="3133" s="54" customFormat="1" spans="1:45">
      <c r="A3133" s="54">
        <v>619402</v>
      </c>
      <c r="B3133" s="54">
        <v>1001</v>
      </c>
      <c r="C3133" s="54">
        <v>6</v>
      </c>
      <c r="D3133" s="54">
        <v>1001</v>
      </c>
      <c r="E3133" s="54" t="s">
        <v>7816</v>
      </c>
      <c r="F3133" s="54" t="s">
        <v>7816</v>
      </c>
      <c r="G3133" s="515" t="s">
        <v>7817</v>
      </c>
      <c r="H3133" s="54" t="s">
        <v>1760</v>
      </c>
      <c r="I3133" s="54">
        <v>1</v>
      </c>
      <c r="J3133" s="54">
        <v>5</v>
      </c>
      <c r="K3133" s="54">
        <v>2</v>
      </c>
      <c r="L3133" s="54">
        <v>999</v>
      </c>
      <c r="M3133" s="54">
        <v>0</v>
      </c>
      <c r="N3133" s="54">
        <v>1017</v>
      </c>
      <c r="O3133" s="501">
        <v>220043</v>
      </c>
      <c r="S3133" s="54">
        <v>1</v>
      </c>
      <c r="T3133" s="54">
        <v>5</v>
      </c>
      <c r="U3133" s="54">
        <v>10</v>
      </c>
      <c r="V3133" s="54">
        <v>1</v>
      </c>
      <c r="W3133" s="54">
        <v>1</v>
      </c>
      <c r="X3133" s="54">
        <v>1</v>
      </c>
      <c r="Y3133" s="54">
        <v>0</v>
      </c>
      <c r="Z3133" s="54">
        <v>0</v>
      </c>
      <c r="AA3133" s="54">
        <v>5</v>
      </c>
      <c r="AB3133" s="54">
        <v>100</v>
      </c>
      <c r="AC3133" s="54">
        <v>56</v>
      </c>
      <c r="AD3133" s="502">
        <v>0</v>
      </c>
      <c r="AE3133" s="502">
        <v>4</v>
      </c>
      <c r="AF3133" s="502">
        <v>2</v>
      </c>
      <c r="AG3133" s="503"/>
      <c r="AH3133" s="503"/>
      <c r="AI3133" s="503"/>
      <c r="AJ3133" s="503"/>
      <c r="AK3133" s="503"/>
      <c r="AL3133" s="504"/>
      <c r="AM3133" s="504"/>
      <c r="AN3133" s="514"/>
      <c r="AO3133" s="504"/>
      <c r="AP3133" s="504"/>
      <c r="AS3133" s="54">
        <v>1</v>
      </c>
    </row>
    <row r="3134" s="54" customFormat="1" spans="1:45">
      <c r="A3134" s="54">
        <v>619403</v>
      </c>
      <c r="B3134" s="54">
        <v>1001</v>
      </c>
      <c r="C3134" s="54">
        <v>6</v>
      </c>
      <c r="D3134" s="54">
        <v>1001</v>
      </c>
      <c r="E3134" s="54" t="s">
        <v>7818</v>
      </c>
      <c r="F3134" s="54" t="s">
        <v>7818</v>
      </c>
      <c r="G3134" s="515" t="s">
        <v>7819</v>
      </c>
      <c r="H3134" s="54" t="s">
        <v>1757</v>
      </c>
      <c r="I3134" s="54">
        <v>1</v>
      </c>
      <c r="J3134" s="54">
        <v>5</v>
      </c>
      <c r="K3134" s="54">
        <v>2</v>
      </c>
      <c r="L3134" s="516">
        <v>999</v>
      </c>
      <c r="M3134" s="516">
        <v>0</v>
      </c>
      <c r="N3134" s="54">
        <v>1017</v>
      </c>
      <c r="O3134" s="501">
        <v>220044</v>
      </c>
      <c r="S3134" s="516">
        <v>1</v>
      </c>
      <c r="T3134" s="516">
        <v>5</v>
      </c>
      <c r="U3134" s="54">
        <v>10</v>
      </c>
      <c r="V3134" s="516">
        <v>1</v>
      </c>
      <c r="W3134" s="54">
        <v>1</v>
      </c>
      <c r="X3134" s="516">
        <v>1</v>
      </c>
      <c r="Y3134" s="516">
        <v>0</v>
      </c>
      <c r="Z3134" s="54">
        <v>0</v>
      </c>
      <c r="AA3134" s="54">
        <v>5</v>
      </c>
      <c r="AB3134" s="54">
        <v>100</v>
      </c>
      <c r="AC3134" s="516">
        <v>56</v>
      </c>
      <c r="AD3134" s="502">
        <v>0</v>
      </c>
      <c r="AE3134" s="502">
        <v>4</v>
      </c>
      <c r="AF3134" s="502">
        <v>2</v>
      </c>
      <c r="AG3134" s="503"/>
      <c r="AH3134" s="503"/>
      <c r="AI3134" s="503"/>
      <c r="AJ3134" s="503"/>
      <c r="AK3134" s="503"/>
      <c r="AL3134" s="504"/>
      <c r="AM3134" s="504"/>
      <c r="AN3134" s="521"/>
      <c r="AO3134" s="520"/>
      <c r="AP3134" s="504"/>
      <c r="AS3134" s="54">
        <v>1</v>
      </c>
    </row>
    <row r="3135" s="54" customFormat="1" spans="1:45">
      <c r="A3135" s="54">
        <v>619404</v>
      </c>
      <c r="B3135" s="54">
        <v>1001</v>
      </c>
      <c r="C3135" s="54">
        <v>6</v>
      </c>
      <c r="D3135" s="54">
        <v>1001</v>
      </c>
      <c r="E3135" s="54" t="s">
        <v>7820</v>
      </c>
      <c r="F3135" s="54" t="s">
        <v>7820</v>
      </c>
      <c r="G3135" s="54" t="s">
        <v>7821</v>
      </c>
      <c r="H3135" s="54" t="s">
        <v>204</v>
      </c>
      <c r="I3135" s="54">
        <v>1</v>
      </c>
      <c r="J3135" s="54">
        <v>5</v>
      </c>
      <c r="K3135" s="54">
        <v>2</v>
      </c>
      <c r="L3135" s="500">
        <v>999</v>
      </c>
      <c r="M3135" s="500">
        <v>0</v>
      </c>
      <c r="N3135" s="54">
        <v>1018</v>
      </c>
      <c r="O3135" s="501" t="s">
        <v>7469</v>
      </c>
      <c r="S3135" s="500">
        <v>1</v>
      </c>
      <c r="T3135" s="500">
        <v>5</v>
      </c>
      <c r="U3135" s="54">
        <v>1</v>
      </c>
      <c r="V3135" s="500">
        <v>1</v>
      </c>
      <c r="W3135" s="54">
        <v>1</v>
      </c>
      <c r="X3135" s="500">
        <v>1</v>
      </c>
      <c r="Y3135" s="500">
        <v>0</v>
      </c>
      <c r="Z3135" s="54">
        <v>0</v>
      </c>
      <c r="AA3135" s="54">
        <v>5</v>
      </c>
      <c r="AB3135" s="54">
        <v>100</v>
      </c>
      <c r="AC3135" s="500">
        <v>70</v>
      </c>
      <c r="AD3135" s="502">
        <v>0</v>
      </c>
      <c r="AE3135" s="502">
        <v>5</v>
      </c>
      <c r="AF3135" s="502">
        <v>2</v>
      </c>
      <c r="AG3135" s="503"/>
      <c r="AH3135" s="503"/>
      <c r="AI3135" s="503"/>
      <c r="AJ3135" s="503"/>
      <c r="AK3135" s="503"/>
      <c r="AL3135" s="504"/>
      <c r="AM3135" s="505"/>
      <c r="AN3135" s="506"/>
      <c r="AO3135" s="507"/>
      <c r="AP3135" s="504"/>
      <c r="AS3135" s="54">
        <v>1</v>
      </c>
    </row>
    <row r="3136" s="54" customFormat="1" spans="1:45">
      <c r="A3136" s="54">
        <v>619405</v>
      </c>
      <c r="B3136" s="54">
        <v>1001</v>
      </c>
      <c r="C3136" s="54">
        <v>6</v>
      </c>
      <c r="D3136" s="54">
        <v>1001</v>
      </c>
      <c r="E3136" s="54" t="s">
        <v>7822</v>
      </c>
      <c r="F3136" s="54" t="s">
        <v>7822</v>
      </c>
      <c r="G3136" s="54" t="s">
        <v>7823</v>
      </c>
      <c r="H3136" s="54" t="s">
        <v>1825</v>
      </c>
      <c r="I3136" s="54">
        <v>1</v>
      </c>
      <c r="J3136" s="54">
        <v>5</v>
      </c>
      <c r="K3136" s="54">
        <v>2</v>
      </c>
      <c r="L3136" s="500">
        <v>999</v>
      </c>
      <c r="M3136" s="500">
        <v>0</v>
      </c>
      <c r="N3136" s="54">
        <v>1018</v>
      </c>
      <c r="O3136" s="501" t="s">
        <v>7824</v>
      </c>
      <c r="S3136" s="500">
        <v>1</v>
      </c>
      <c r="T3136" s="500">
        <v>5</v>
      </c>
      <c r="U3136" s="54">
        <v>1</v>
      </c>
      <c r="V3136" s="500">
        <v>1</v>
      </c>
      <c r="W3136" s="54">
        <v>1</v>
      </c>
      <c r="X3136" s="500">
        <v>1</v>
      </c>
      <c r="Y3136" s="500">
        <v>0</v>
      </c>
      <c r="Z3136" s="54">
        <v>0</v>
      </c>
      <c r="AA3136" s="54">
        <v>5</v>
      </c>
      <c r="AB3136" s="54">
        <v>100</v>
      </c>
      <c r="AC3136" s="500">
        <v>70</v>
      </c>
      <c r="AD3136" s="502">
        <v>0</v>
      </c>
      <c r="AE3136" s="502">
        <v>5</v>
      </c>
      <c r="AF3136" s="502">
        <v>2</v>
      </c>
      <c r="AG3136" s="503"/>
      <c r="AH3136" s="503"/>
      <c r="AI3136" s="503"/>
      <c r="AJ3136" s="503"/>
      <c r="AK3136" s="503"/>
      <c r="AL3136" s="504"/>
      <c r="AM3136" s="505"/>
      <c r="AN3136" s="506"/>
      <c r="AO3136" s="507"/>
      <c r="AP3136" s="504"/>
      <c r="AS3136" s="54">
        <v>1</v>
      </c>
    </row>
    <row r="3137" s="54" customFormat="1" spans="1:45">
      <c r="A3137" s="54">
        <v>619406</v>
      </c>
      <c r="B3137" s="54">
        <v>1001</v>
      </c>
      <c r="C3137" s="54">
        <v>1</v>
      </c>
      <c r="D3137" s="54">
        <v>1001</v>
      </c>
      <c r="E3137" s="54" t="s">
        <v>5550</v>
      </c>
      <c r="F3137" s="54" t="s">
        <v>5550</v>
      </c>
      <c r="G3137" s="54" t="s">
        <v>7825</v>
      </c>
      <c r="H3137" s="54" t="s">
        <v>1531</v>
      </c>
      <c r="I3137" s="54">
        <v>1</v>
      </c>
      <c r="J3137" s="54">
        <v>5</v>
      </c>
      <c r="K3137" s="54">
        <v>2</v>
      </c>
      <c r="L3137" s="522">
        <v>999</v>
      </c>
      <c r="M3137" s="522">
        <v>0</v>
      </c>
      <c r="N3137" s="54">
        <v>1018</v>
      </c>
      <c r="O3137" s="501" t="s">
        <v>7826</v>
      </c>
      <c r="S3137" s="522">
        <v>1</v>
      </c>
      <c r="T3137" s="522">
        <v>5</v>
      </c>
      <c r="U3137" s="54">
        <v>100</v>
      </c>
      <c r="V3137" s="522"/>
      <c r="W3137" s="54">
        <v>1</v>
      </c>
      <c r="X3137" s="522">
        <v>1</v>
      </c>
      <c r="Y3137" s="522">
        <v>0</v>
      </c>
      <c r="Z3137" s="54">
        <v>0</v>
      </c>
      <c r="AA3137" s="54">
        <v>5</v>
      </c>
      <c r="AB3137" s="54">
        <v>2000</v>
      </c>
      <c r="AC3137" s="522">
        <v>70</v>
      </c>
      <c r="AD3137" s="502">
        <v>0</v>
      </c>
      <c r="AE3137" s="502">
        <v>5</v>
      </c>
      <c r="AF3137" s="502">
        <v>2</v>
      </c>
      <c r="AG3137" s="503"/>
      <c r="AH3137" s="503"/>
      <c r="AI3137" s="503"/>
      <c r="AJ3137" s="503"/>
      <c r="AK3137" s="503"/>
      <c r="AL3137" s="504"/>
      <c r="AM3137" s="505"/>
      <c r="AN3137" s="523"/>
      <c r="AO3137" s="524"/>
      <c r="AP3137" s="504"/>
      <c r="AS3137" s="54">
        <v>1</v>
      </c>
    </row>
    <row r="3138" spans="1:45">
      <c r="A3138" s="54">
        <v>619407</v>
      </c>
      <c r="B3138" s="54">
        <v>1001</v>
      </c>
      <c r="C3138" s="54">
        <v>1</v>
      </c>
      <c r="D3138" s="54">
        <v>1001</v>
      </c>
      <c r="E3138" s="54" t="s">
        <v>5546</v>
      </c>
      <c r="F3138" s="54" t="s">
        <v>5546</v>
      </c>
      <c r="G3138" s="54" t="s">
        <v>7827</v>
      </c>
      <c r="H3138" s="54" t="s">
        <v>1825</v>
      </c>
      <c r="I3138" s="54">
        <v>1</v>
      </c>
      <c r="J3138" s="54">
        <v>5</v>
      </c>
      <c r="K3138" s="54">
        <v>2</v>
      </c>
      <c r="L3138" s="516">
        <v>999</v>
      </c>
      <c r="M3138" s="516">
        <v>0</v>
      </c>
      <c r="N3138" s="54">
        <v>1018</v>
      </c>
      <c r="O3138" s="501" t="s">
        <v>7828</v>
      </c>
      <c r="S3138" s="516">
        <v>1</v>
      </c>
      <c r="T3138" s="516">
        <v>5</v>
      </c>
      <c r="U3138" s="54">
        <v>100</v>
      </c>
      <c r="V3138" s="516"/>
      <c r="W3138" s="54">
        <v>1</v>
      </c>
      <c r="X3138" s="516">
        <v>1</v>
      </c>
      <c r="Y3138" s="516">
        <v>0</v>
      </c>
      <c r="Z3138" s="54">
        <v>0</v>
      </c>
      <c r="AA3138" s="54">
        <v>5</v>
      </c>
      <c r="AB3138" s="54">
        <v>2000</v>
      </c>
      <c r="AC3138" s="516">
        <v>70</v>
      </c>
      <c r="AD3138" s="502">
        <v>0</v>
      </c>
      <c r="AE3138" s="502">
        <v>5</v>
      </c>
      <c r="AF3138" s="502">
        <v>2</v>
      </c>
      <c r="AG3138" s="503"/>
      <c r="AH3138" s="503"/>
      <c r="AI3138" s="503"/>
      <c r="AJ3138" s="503"/>
      <c r="AK3138" s="503"/>
      <c r="AL3138" s="504"/>
      <c r="AM3138" s="504"/>
      <c r="AN3138" s="521"/>
      <c r="AO3138" s="520"/>
      <c r="AP3138" s="504"/>
      <c r="AS3138">
        <v>1</v>
      </c>
    </row>
    <row r="3139" s="54" customFormat="1" spans="1:45">
      <c r="A3139" s="54">
        <v>619408</v>
      </c>
      <c r="B3139" s="54">
        <v>1001</v>
      </c>
      <c r="C3139" s="54">
        <v>1</v>
      </c>
      <c r="D3139" s="54">
        <v>1001</v>
      </c>
      <c r="E3139" s="54" t="s">
        <v>5550</v>
      </c>
      <c r="F3139" s="54" t="s">
        <v>5550</v>
      </c>
      <c r="G3139" s="54" t="s">
        <v>7829</v>
      </c>
      <c r="H3139" s="54" t="s">
        <v>1531</v>
      </c>
      <c r="I3139" s="54">
        <v>1</v>
      </c>
      <c r="J3139" s="54">
        <v>5</v>
      </c>
      <c r="K3139" s="54">
        <v>2</v>
      </c>
      <c r="L3139" s="500">
        <v>999</v>
      </c>
      <c r="M3139" s="500">
        <v>0</v>
      </c>
      <c r="N3139" s="54">
        <v>1018</v>
      </c>
      <c r="O3139" s="501" t="s">
        <v>7830</v>
      </c>
      <c r="S3139" s="500">
        <v>1</v>
      </c>
      <c r="T3139" s="500">
        <v>5</v>
      </c>
      <c r="U3139" s="54">
        <v>100</v>
      </c>
      <c r="V3139" s="500"/>
      <c r="W3139" s="54">
        <v>1</v>
      </c>
      <c r="X3139" s="500">
        <v>1</v>
      </c>
      <c r="Y3139" s="500">
        <v>0</v>
      </c>
      <c r="Z3139" s="54">
        <v>0</v>
      </c>
      <c r="AA3139" s="54">
        <v>5</v>
      </c>
      <c r="AB3139" s="54">
        <v>2000</v>
      </c>
      <c r="AC3139" s="500">
        <v>70</v>
      </c>
      <c r="AD3139" s="502">
        <v>0</v>
      </c>
      <c r="AE3139" s="502">
        <v>5</v>
      </c>
      <c r="AF3139" s="502">
        <v>2</v>
      </c>
      <c r="AG3139" s="503"/>
      <c r="AH3139" s="503"/>
      <c r="AI3139" s="503"/>
      <c r="AJ3139" s="503"/>
      <c r="AK3139" s="503"/>
      <c r="AL3139" s="504"/>
      <c r="AM3139" s="505"/>
      <c r="AN3139" s="506"/>
      <c r="AO3139" s="507"/>
      <c r="AP3139" s="504"/>
      <c r="AS3139" s="54">
        <v>1</v>
      </c>
    </row>
    <row r="3140" s="54" customFormat="1" spans="1:45">
      <c r="A3140" s="54">
        <v>619409</v>
      </c>
      <c r="B3140" s="54">
        <v>1001</v>
      </c>
      <c r="C3140" s="54">
        <v>1</v>
      </c>
      <c r="D3140" s="54">
        <v>1001</v>
      </c>
      <c r="E3140" s="54" t="s">
        <v>6280</v>
      </c>
      <c r="F3140" s="54" t="s">
        <v>6280</v>
      </c>
      <c r="G3140" s="54" t="s">
        <v>7831</v>
      </c>
      <c r="H3140" s="54" t="s">
        <v>1531</v>
      </c>
      <c r="I3140" s="54">
        <v>1</v>
      </c>
      <c r="J3140" s="54">
        <v>5</v>
      </c>
      <c r="K3140" s="54">
        <v>2</v>
      </c>
      <c r="L3140" s="500">
        <v>999</v>
      </c>
      <c r="M3140" s="500">
        <v>0</v>
      </c>
      <c r="N3140" s="54">
        <v>1018</v>
      </c>
      <c r="O3140" s="501" t="s">
        <v>7832</v>
      </c>
      <c r="S3140" s="500">
        <v>1</v>
      </c>
      <c r="T3140" s="500">
        <v>5</v>
      </c>
      <c r="U3140" s="54">
        <v>100</v>
      </c>
      <c r="V3140" s="500"/>
      <c r="W3140" s="54">
        <v>1</v>
      </c>
      <c r="X3140" s="500">
        <v>1</v>
      </c>
      <c r="Y3140" s="500">
        <v>0</v>
      </c>
      <c r="Z3140" s="54">
        <v>0</v>
      </c>
      <c r="AA3140" s="54">
        <v>5</v>
      </c>
      <c r="AB3140" s="54">
        <v>2000</v>
      </c>
      <c r="AC3140" s="500">
        <v>70</v>
      </c>
      <c r="AD3140" s="502">
        <v>0</v>
      </c>
      <c r="AE3140" s="502">
        <v>5</v>
      </c>
      <c r="AF3140" s="502">
        <v>2</v>
      </c>
      <c r="AG3140" s="503"/>
      <c r="AH3140" s="503"/>
      <c r="AI3140" s="503"/>
      <c r="AJ3140" s="503"/>
      <c r="AK3140" s="503"/>
      <c r="AL3140" s="504"/>
      <c r="AM3140" s="505"/>
      <c r="AN3140" s="506"/>
      <c r="AO3140" s="507"/>
      <c r="AP3140" s="504"/>
      <c r="AS3140" s="54">
        <v>1</v>
      </c>
    </row>
    <row r="3141" s="54" customFormat="1" spans="1:45">
      <c r="A3141" s="54">
        <v>619410</v>
      </c>
      <c r="B3141" s="54">
        <v>1001</v>
      </c>
      <c r="C3141" s="54">
        <v>2</v>
      </c>
      <c r="D3141" s="54">
        <v>1001</v>
      </c>
      <c r="E3141" s="54" t="s">
        <v>4238</v>
      </c>
      <c r="F3141" s="54" t="s">
        <v>4238</v>
      </c>
      <c r="G3141" s="54" t="s">
        <v>7833</v>
      </c>
      <c r="H3141" s="54" t="s">
        <v>4240</v>
      </c>
      <c r="I3141" s="54">
        <v>1</v>
      </c>
      <c r="J3141" s="54">
        <v>5</v>
      </c>
      <c r="K3141" s="54">
        <v>1</v>
      </c>
      <c r="L3141" s="500">
        <v>999</v>
      </c>
      <c r="M3141" s="500">
        <v>0</v>
      </c>
      <c r="O3141" s="501"/>
      <c r="S3141" s="500">
        <v>1</v>
      </c>
      <c r="T3141" s="500">
        <v>5</v>
      </c>
      <c r="U3141" s="54">
        <v>50</v>
      </c>
      <c r="V3141" s="500">
        <v>1</v>
      </c>
      <c r="W3141" s="54">
        <v>1</v>
      </c>
      <c r="X3141" s="500">
        <v>1</v>
      </c>
      <c r="Y3141" s="500">
        <v>0</v>
      </c>
      <c r="Z3141" s="54">
        <v>0</v>
      </c>
      <c r="AA3141" s="54">
        <v>5</v>
      </c>
      <c r="AB3141" s="54">
        <v>500</v>
      </c>
      <c r="AC3141" s="500">
        <v>56</v>
      </c>
      <c r="AD3141" s="502"/>
      <c r="AE3141" s="502"/>
      <c r="AF3141" s="502"/>
      <c r="AG3141" s="503"/>
      <c r="AH3141" s="503"/>
      <c r="AI3141" s="503"/>
      <c r="AJ3141" s="503"/>
      <c r="AK3141" s="503"/>
      <c r="AL3141" s="504">
        <v>1</v>
      </c>
      <c r="AM3141" s="505"/>
      <c r="AN3141" s="506"/>
      <c r="AO3141" s="507"/>
      <c r="AP3141" s="504"/>
      <c r="AS3141" s="54">
        <v>1</v>
      </c>
    </row>
    <row r="3142" s="54" customFormat="1" spans="1:45">
      <c r="A3142" s="54">
        <v>619411</v>
      </c>
      <c r="B3142" s="54">
        <v>1001</v>
      </c>
      <c r="C3142" s="54">
        <v>2</v>
      </c>
      <c r="D3142" s="54">
        <v>1001</v>
      </c>
      <c r="E3142" s="54" t="s">
        <v>4241</v>
      </c>
      <c r="F3142" s="54" t="s">
        <v>4241</v>
      </c>
      <c r="G3142" s="54" t="s">
        <v>7834</v>
      </c>
      <c r="H3142" s="54" t="s">
        <v>4242</v>
      </c>
      <c r="I3142" s="54">
        <v>1</v>
      </c>
      <c r="J3142" s="54">
        <v>5</v>
      </c>
      <c r="K3142" s="54">
        <v>1</v>
      </c>
      <c r="L3142" s="500">
        <v>999</v>
      </c>
      <c r="M3142" s="500">
        <v>0</v>
      </c>
      <c r="O3142" s="501"/>
      <c r="S3142" s="500">
        <v>1</v>
      </c>
      <c r="T3142" s="500">
        <v>5</v>
      </c>
      <c r="U3142" s="54">
        <v>50</v>
      </c>
      <c r="V3142" s="500">
        <v>1</v>
      </c>
      <c r="W3142" s="54">
        <v>1</v>
      </c>
      <c r="X3142" s="500">
        <v>1</v>
      </c>
      <c r="Y3142" s="500">
        <v>0</v>
      </c>
      <c r="Z3142" s="54">
        <v>0</v>
      </c>
      <c r="AA3142" s="54">
        <v>5</v>
      </c>
      <c r="AB3142" s="54">
        <v>500</v>
      </c>
      <c r="AC3142" s="500">
        <v>56</v>
      </c>
      <c r="AD3142" s="502"/>
      <c r="AE3142" s="502"/>
      <c r="AF3142" s="502"/>
      <c r="AG3142" s="503"/>
      <c r="AH3142" s="503"/>
      <c r="AI3142" s="503"/>
      <c r="AJ3142" s="503"/>
      <c r="AK3142" s="503"/>
      <c r="AL3142" s="504">
        <v>1</v>
      </c>
      <c r="AM3142" s="505"/>
      <c r="AN3142" s="506"/>
      <c r="AO3142" s="507"/>
      <c r="AP3142" s="504"/>
      <c r="AS3142" s="54">
        <v>1</v>
      </c>
    </row>
    <row r="3143" s="54" customFormat="1" spans="1:45">
      <c r="A3143" s="54">
        <v>619412</v>
      </c>
      <c r="B3143" s="54">
        <v>1001</v>
      </c>
      <c r="C3143" s="54">
        <v>2</v>
      </c>
      <c r="D3143" s="54">
        <v>1001</v>
      </c>
      <c r="E3143" s="54" t="s">
        <v>7835</v>
      </c>
      <c r="F3143" s="54" t="s">
        <v>7835</v>
      </c>
      <c r="G3143" s="54" t="s">
        <v>7836</v>
      </c>
      <c r="H3143" s="54" t="s">
        <v>6248</v>
      </c>
      <c r="I3143" s="54">
        <v>1</v>
      </c>
      <c r="J3143" s="54">
        <v>5</v>
      </c>
      <c r="K3143" s="54">
        <v>1</v>
      </c>
      <c r="L3143" s="500">
        <v>999</v>
      </c>
      <c r="M3143" s="500">
        <v>0</v>
      </c>
      <c r="N3143" s="54"/>
      <c r="O3143" s="501"/>
      <c r="S3143" s="500">
        <v>1</v>
      </c>
      <c r="T3143" s="500">
        <v>5</v>
      </c>
      <c r="U3143" s="54">
        <v>50</v>
      </c>
      <c r="V3143" s="500">
        <v>1</v>
      </c>
      <c r="W3143" s="54">
        <v>1</v>
      </c>
      <c r="X3143" s="500">
        <v>1</v>
      </c>
      <c r="Y3143" s="500">
        <v>0</v>
      </c>
      <c r="Z3143" s="54">
        <v>0</v>
      </c>
      <c r="AA3143" s="54">
        <v>5</v>
      </c>
      <c r="AB3143" s="54">
        <v>500</v>
      </c>
      <c r="AC3143" s="500">
        <v>56</v>
      </c>
      <c r="AD3143" s="502"/>
      <c r="AE3143" s="502"/>
      <c r="AF3143" s="502"/>
      <c r="AG3143" s="503"/>
      <c r="AH3143" s="503"/>
      <c r="AI3143" s="503"/>
      <c r="AJ3143" s="503"/>
      <c r="AK3143" s="503"/>
      <c r="AL3143" s="504">
        <v>1</v>
      </c>
      <c r="AM3143" s="505"/>
      <c r="AN3143" s="506"/>
      <c r="AO3143" s="507"/>
      <c r="AP3143" s="504"/>
      <c r="AS3143" s="54">
        <v>1</v>
      </c>
    </row>
    <row r="3144" spans="1:45">
      <c r="A3144" s="54">
        <v>619413</v>
      </c>
      <c r="B3144" s="54">
        <v>1001</v>
      </c>
      <c r="C3144" s="54">
        <v>6</v>
      </c>
      <c r="D3144" s="54">
        <v>1001</v>
      </c>
      <c r="E3144" s="54" t="s">
        <v>7837</v>
      </c>
      <c r="F3144" s="54" t="s">
        <v>7837</v>
      </c>
      <c r="G3144" s="54" t="s">
        <v>7838</v>
      </c>
      <c r="H3144" s="54" t="s">
        <v>1664</v>
      </c>
      <c r="I3144" s="54">
        <v>1</v>
      </c>
      <c r="J3144" s="54">
        <v>5</v>
      </c>
      <c r="K3144" s="54">
        <v>2</v>
      </c>
      <c r="L3144" s="500">
        <v>999</v>
      </c>
      <c r="M3144" s="500">
        <v>0</v>
      </c>
      <c r="N3144" s="54">
        <v>1017</v>
      </c>
      <c r="O3144" s="501">
        <v>220034</v>
      </c>
      <c r="S3144" s="500">
        <v>0</v>
      </c>
      <c r="T3144" s="500">
        <v>5</v>
      </c>
      <c r="U3144" s="54">
        <v>100</v>
      </c>
      <c r="V3144" s="500">
        <v>1</v>
      </c>
      <c r="W3144" s="54">
        <v>0</v>
      </c>
      <c r="X3144" s="500">
        <v>1</v>
      </c>
      <c r="Y3144" s="500">
        <v>1</v>
      </c>
      <c r="Z3144" s="54">
        <v>0</v>
      </c>
      <c r="AA3144" s="54">
        <v>5</v>
      </c>
      <c r="AB3144" s="54">
        <v>150</v>
      </c>
      <c r="AC3144" s="500">
        <v>2</v>
      </c>
      <c r="AD3144" s="502"/>
      <c r="AE3144" s="502">
        <v>4</v>
      </c>
      <c r="AF3144" s="502">
        <v>2</v>
      </c>
      <c r="AG3144" s="503"/>
      <c r="AH3144" s="503"/>
      <c r="AI3144" s="503"/>
      <c r="AJ3144" s="503"/>
      <c r="AK3144" s="503"/>
      <c r="AL3144" s="504">
        <v>0</v>
      </c>
      <c r="AM3144" s="505"/>
      <c r="AN3144" s="506"/>
      <c r="AO3144" s="507"/>
      <c r="AP3144" s="504"/>
      <c r="AS3144">
        <v>1</v>
      </c>
    </row>
    <row r="3145" s="54" customFormat="1" spans="1:45">
      <c r="A3145" s="54">
        <v>619414</v>
      </c>
      <c r="B3145" s="54">
        <v>1001</v>
      </c>
      <c r="C3145" s="54">
        <v>1</v>
      </c>
      <c r="D3145" s="54">
        <v>1001</v>
      </c>
      <c r="E3145" s="54" t="s">
        <v>5550</v>
      </c>
      <c r="F3145" s="54" t="s">
        <v>5550</v>
      </c>
      <c r="G3145" s="54" t="s">
        <v>7839</v>
      </c>
      <c r="H3145" s="54" t="s">
        <v>1531</v>
      </c>
      <c r="I3145" s="54">
        <v>1</v>
      </c>
      <c r="J3145" s="54">
        <v>5</v>
      </c>
      <c r="K3145" s="54">
        <v>2</v>
      </c>
      <c r="L3145" s="522">
        <v>999</v>
      </c>
      <c r="M3145" s="522">
        <v>0</v>
      </c>
      <c r="N3145" s="54">
        <v>1018</v>
      </c>
      <c r="O3145" s="501" t="s">
        <v>7840</v>
      </c>
      <c r="S3145" s="522">
        <v>1</v>
      </c>
      <c r="T3145" s="522">
        <v>5</v>
      </c>
      <c r="U3145" s="54">
        <v>100</v>
      </c>
      <c r="V3145" s="522"/>
      <c r="W3145" s="54">
        <v>1</v>
      </c>
      <c r="X3145" s="522">
        <v>1</v>
      </c>
      <c r="Y3145" s="522">
        <v>0</v>
      </c>
      <c r="Z3145" s="54">
        <v>0</v>
      </c>
      <c r="AA3145" s="54">
        <v>5</v>
      </c>
      <c r="AB3145" s="54">
        <v>2000</v>
      </c>
      <c r="AC3145" s="522">
        <v>70</v>
      </c>
      <c r="AD3145" s="502">
        <v>0</v>
      </c>
      <c r="AE3145" s="502">
        <v>5</v>
      </c>
      <c r="AF3145" s="502">
        <v>2</v>
      </c>
      <c r="AG3145" s="503"/>
      <c r="AH3145" s="503"/>
      <c r="AI3145" s="503"/>
      <c r="AJ3145" s="503"/>
      <c r="AK3145" s="503"/>
      <c r="AL3145" s="504"/>
      <c r="AM3145" s="505"/>
      <c r="AN3145" s="523"/>
      <c r="AO3145" s="524"/>
      <c r="AP3145" s="504"/>
      <c r="AS3145" s="54">
        <v>1</v>
      </c>
    </row>
    <row r="3146" s="54" customFormat="1" ht="27" customHeight="1" spans="1:45">
      <c r="A3146" s="54">
        <v>619415</v>
      </c>
      <c r="B3146" s="54">
        <v>1001</v>
      </c>
      <c r="C3146" s="54">
        <v>1</v>
      </c>
      <c r="D3146" s="54">
        <v>1001</v>
      </c>
      <c r="E3146" s="54" t="s">
        <v>5546</v>
      </c>
      <c r="F3146" s="54" t="s">
        <v>5546</v>
      </c>
      <c r="G3146" s="515" t="s">
        <v>7841</v>
      </c>
      <c r="H3146" s="54" t="s">
        <v>1825</v>
      </c>
      <c r="I3146" s="54">
        <v>1</v>
      </c>
      <c r="J3146" s="54">
        <v>5</v>
      </c>
      <c r="K3146" s="54">
        <v>2</v>
      </c>
      <c r="L3146" s="54">
        <v>999</v>
      </c>
      <c r="M3146" s="54">
        <v>0</v>
      </c>
      <c r="N3146" s="54">
        <v>1018</v>
      </c>
      <c r="O3146" s="501" t="s">
        <v>7842</v>
      </c>
      <c r="S3146" s="54">
        <v>1</v>
      </c>
      <c r="T3146" s="54">
        <v>5</v>
      </c>
      <c r="U3146" s="54">
        <v>100</v>
      </c>
      <c r="W3146" s="54">
        <v>1</v>
      </c>
      <c r="X3146" s="54">
        <v>1</v>
      </c>
      <c r="Y3146" s="54">
        <v>0</v>
      </c>
      <c r="Z3146" s="54">
        <v>0</v>
      </c>
      <c r="AA3146" s="54">
        <v>5</v>
      </c>
      <c r="AB3146" s="54">
        <v>2000</v>
      </c>
      <c r="AC3146" s="54">
        <v>70</v>
      </c>
      <c r="AD3146" s="502">
        <v>0</v>
      </c>
      <c r="AE3146" s="502">
        <v>5</v>
      </c>
      <c r="AF3146" s="502">
        <v>2</v>
      </c>
      <c r="AG3146" s="503"/>
      <c r="AH3146" s="503"/>
      <c r="AI3146" s="503"/>
      <c r="AJ3146" s="503"/>
      <c r="AK3146" s="503"/>
      <c r="AL3146" s="504"/>
      <c r="AM3146" s="504"/>
      <c r="AN3146" s="514"/>
      <c r="AO3146" s="504"/>
      <c r="AP3146" s="504"/>
      <c r="AS3146" s="54">
        <v>1</v>
      </c>
    </row>
    <row r="3147" s="54" customFormat="1" ht="27" customHeight="1" spans="1:45">
      <c r="A3147" s="54">
        <v>619416</v>
      </c>
      <c r="B3147" s="54">
        <v>1001</v>
      </c>
      <c r="C3147" s="54">
        <v>1</v>
      </c>
      <c r="D3147" s="54">
        <v>1001</v>
      </c>
      <c r="E3147" s="54" t="s">
        <v>5550</v>
      </c>
      <c r="F3147" s="54" t="s">
        <v>5550</v>
      </c>
      <c r="G3147" s="515" t="s">
        <v>7843</v>
      </c>
      <c r="H3147" s="54" t="s">
        <v>1531</v>
      </c>
      <c r="I3147" s="54">
        <v>1</v>
      </c>
      <c r="J3147" s="54">
        <v>5</v>
      </c>
      <c r="K3147" s="54">
        <v>2</v>
      </c>
      <c r="L3147" s="54">
        <v>999</v>
      </c>
      <c r="M3147" s="54">
        <v>0</v>
      </c>
      <c r="N3147" s="54">
        <v>1018</v>
      </c>
      <c r="O3147" s="501" t="s">
        <v>7844</v>
      </c>
      <c r="S3147" s="54">
        <v>1</v>
      </c>
      <c r="T3147" s="54">
        <v>5</v>
      </c>
      <c r="U3147" s="54">
        <v>100</v>
      </c>
      <c r="W3147" s="54">
        <v>1</v>
      </c>
      <c r="X3147" s="54">
        <v>1</v>
      </c>
      <c r="Y3147" s="54">
        <v>0</v>
      </c>
      <c r="Z3147" s="54">
        <v>0</v>
      </c>
      <c r="AA3147" s="54">
        <v>5</v>
      </c>
      <c r="AB3147" s="54">
        <v>2000</v>
      </c>
      <c r="AC3147" s="54">
        <v>70</v>
      </c>
      <c r="AD3147" s="502">
        <v>0</v>
      </c>
      <c r="AE3147" s="502">
        <v>5</v>
      </c>
      <c r="AF3147" s="502">
        <v>2</v>
      </c>
      <c r="AG3147" s="503"/>
      <c r="AH3147" s="503"/>
      <c r="AI3147" s="503"/>
      <c r="AJ3147" s="503"/>
      <c r="AK3147" s="503"/>
      <c r="AL3147" s="504"/>
      <c r="AM3147" s="504"/>
      <c r="AN3147" s="514"/>
      <c r="AO3147" s="504"/>
      <c r="AP3147" s="504"/>
      <c r="AS3147" s="54">
        <v>1</v>
      </c>
    </row>
    <row r="3148" s="54" customFormat="1" spans="1:45">
      <c r="A3148" s="54">
        <v>619417</v>
      </c>
      <c r="B3148" s="54">
        <v>1001</v>
      </c>
      <c r="C3148" s="54">
        <v>1</v>
      </c>
      <c r="D3148" s="54">
        <v>1001</v>
      </c>
      <c r="E3148" s="54" t="s">
        <v>5550</v>
      </c>
      <c r="F3148" s="54" t="s">
        <v>5550</v>
      </c>
      <c r="G3148" s="54" t="s">
        <v>7845</v>
      </c>
      <c r="H3148" s="54" t="s">
        <v>1531</v>
      </c>
      <c r="I3148" s="54">
        <v>1</v>
      </c>
      <c r="J3148" s="54">
        <v>5</v>
      </c>
      <c r="K3148" s="54">
        <v>2</v>
      </c>
      <c r="L3148" s="54">
        <v>999</v>
      </c>
      <c r="M3148" s="54">
        <v>0</v>
      </c>
      <c r="N3148" s="54">
        <v>1018</v>
      </c>
      <c r="O3148" s="501" t="s">
        <v>7846</v>
      </c>
      <c r="S3148" s="54">
        <v>1</v>
      </c>
      <c r="T3148" s="54">
        <v>5</v>
      </c>
      <c r="U3148" s="54">
        <v>100</v>
      </c>
      <c r="W3148" s="54">
        <v>1</v>
      </c>
      <c r="X3148" s="54">
        <v>1</v>
      </c>
      <c r="Y3148" s="54">
        <v>0</v>
      </c>
      <c r="Z3148" s="54">
        <v>0</v>
      </c>
      <c r="AA3148" s="54">
        <v>5</v>
      </c>
      <c r="AB3148" s="54">
        <v>2000</v>
      </c>
      <c r="AC3148" s="54">
        <v>70</v>
      </c>
      <c r="AD3148" s="502">
        <v>0</v>
      </c>
      <c r="AE3148" s="502">
        <v>5</v>
      </c>
      <c r="AF3148" s="502">
        <v>2</v>
      </c>
      <c r="AG3148" s="503"/>
      <c r="AH3148" s="503"/>
      <c r="AI3148" s="503"/>
      <c r="AJ3148" s="503"/>
      <c r="AK3148" s="503"/>
      <c r="AL3148" s="504"/>
      <c r="AM3148" s="504"/>
      <c r="AN3148" s="514"/>
      <c r="AO3148" s="504"/>
      <c r="AP3148" s="504"/>
      <c r="AS3148" s="54">
        <v>1</v>
      </c>
    </row>
    <row r="3149" s="54" customFormat="1" spans="1:45">
      <c r="A3149" s="54">
        <v>619418</v>
      </c>
      <c r="B3149" s="54">
        <v>1001</v>
      </c>
      <c r="C3149" s="54">
        <v>1</v>
      </c>
      <c r="D3149" s="54">
        <v>1001</v>
      </c>
      <c r="E3149" s="54" t="s">
        <v>7847</v>
      </c>
      <c r="F3149" s="54" t="s">
        <v>7847</v>
      </c>
      <c r="G3149" s="515" t="s">
        <v>7848</v>
      </c>
      <c r="H3149" s="54" t="s">
        <v>1825</v>
      </c>
      <c r="I3149" s="54">
        <v>1</v>
      </c>
      <c r="J3149" s="54">
        <v>5</v>
      </c>
      <c r="K3149" s="54">
        <v>2</v>
      </c>
      <c r="L3149" s="54">
        <v>999</v>
      </c>
      <c r="M3149" s="54">
        <v>0</v>
      </c>
      <c r="N3149" s="54">
        <v>1018</v>
      </c>
      <c r="O3149" s="501" t="s">
        <v>7849</v>
      </c>
      <c r="S3149" s="54">
        <v>1</v>
      </c>
      <c r="T3149" s="54">
        <v>5</v>
      </c>
      <c r="U3149" s="54">
        <v>100</v>
      </c>
      <c r="V3149" s="54"/>
      <c r="W3149" s="54">
        <v>1</v>
      </c>
      <c r="X3149" s="54">
        <v>1</v>
      </c>
      <c r="Y3149" s="54">
        <v>0</v>
      </c>
      <c r="Z3149" s="54">
        <v>0</v>
      </c>
      <c r="AA3149" s="54">
        <v>5</v>
      </c>
      <c r="AB3149" s="54">
        <v>2000</v>
      </c>
      <c r="AC3149" s="54">
        <v>70</v>
      </c>
      <c r="AD3149" s="502">
        <v>0</v>
      </c>
      <c r="AE3149" s="502">
        <v>5</v>
      </c>
      <c r="AF3149" s="502">
        <v>2</v>
      </c>
      <c r="AG3149" s="503"/>
      <c r="AH3149" s="503"/>
      <c r="AI3149" s="503"/>
      <c r="AJ3149" s="503"/>
      <c r="AK3149" s="503"/>
      <c r="AL3149" s="504"/>
      <c r="AM3149" s="504"/>
      <c r="AN3149" s="514"/>
      <c r="AO3149" s="504"/>
      <c r="AP3149" s="504"/>
      <c r="AS3149" s="54">
        <v>1</v>
      </c>
    </row>
    <row r="3150" s="54" customFormat="1" spans="1:45">
      <c r="A3150" s="54">
        <v>619419</v>
      </c>
      <c r="B3150" s="54">
        <v>1001</v>
      </c>
      <c r="C3150" s="54">
        <v>6</v>
      </c>
      <c r="D3150" s="54">
        <v>1001</v>
      </c>
      <c r="E3150" s="54" t="s">
        <v>7850</v>
      </c>
      <c r="F3150" s="54" t="s">
        <v>7850</v>
      </c>
      <c r="G3150" s="515" t="s">
        <v>7851</v>
      </c>
      <c r="H3150" s="54" t="s">
        <v>4202</v>
      </c>
      <c r="I3150" s="54">
        <v>1</v>
      </c>
      <c r="J3150" s="54">
        <v>4</v>
      </c>
      <c r="K3150" s="54">
        <v>2</v>
      </c>
      <c r="L3150" s="54">
        <v>999</v>
      </c>
      <c r="M3150" s="54">
        <v>0</v>
      </c>
      <c r="N3150" s="54">
        <v>1018</v>
      </c>
      <c r="O3150" s="501" t="s">
        <v>7852</v>
      </c>
      <c r="R3150" s="54">
        <v>1</v>
      </c>
      <c r="S3150" s="54">
        <v>1</v>
      </c>
      <c r="T3150" s="54">
        <v>5</v>
      </c>
      <c r="U3150" s="54">
        <v>100</v>
      </c>
      <c r="V3150" s="54">
        <v>1</v>
      </c>
      <c r="W3150" s="54">
        <v>1</v>
      </c>
      <c r="X3150" s="54">
        <v>1</v>
      </c>
      <c r="Y3150" s="54">
        <v>0</v>
      </c>
      <c r="Z3150" s="54">
        <v>0</v>
      </c>
      <c r="AA3150" s="54">
        <v>5</v>
      </c>
      <c r="AB3150" s="54">
        <v>2000</v>
      </c>
      <c r="AC3150" s="54">
        <v>57</v>
      </c>
      <c r="AD3150" s="502">
        <v>0</v>
      </c>
      <c r="AE3150" s="502">
        <v>5</v>
      </c>
      <c r="AF3150" s="502">
        <v>2</v>
      </c>
      <c r="AG3150" s="503"/>
      <c r="AH3150" s="503"/>
      <c r="AI3150" s="503"/>
      <c r="AJ3150" s="503"/>
      <c r="AK3150" s="503"/>
      <c r="AL3150" s="504"/>
      <c r="AM3150" s="504">
        <v>10</v>
      </c>
      <c r="AN3150" s="514"/>
      <c r="AO3150" s="504"/>
      <c r="AP3150" s="504"/>
      <c r="AS3150" s="54">
        <v>1</v>
      </c>
    </row>
    <row r="3151" s="54" customFormat="1" ht="27" customHeight="1" spans="1:45">
      <c r="A3151" s="54">
        <v>619420</v>
      </c>
      <c r="B3151" s="54">
        <v>1001</v>
      </c>
      <c r="C3151" s="54">
        <v>1</v>
      </c>
      <c r="D3151" s="54">
        <v>1001</v>
      </c>
      <c r="E3151" s="54" t="s">
        <v>7853</v>
      </c>
      <c r="F3151" s="54" t="s">
        <v>5546</v>
      </c>
      <c r="G3151" s="515" t="s">
        <v>7854</v>
      </c>
      <c r="H3151" s="54" t="s">
        <v>1825</v>
      </c>
      <c r="I3151" s="54">
        <v>1</v>
      </c>
      <c r="J3151" s="54">
        <v>5</v>
      </c>
      <c r="K3151" s="54">
        <v>2</v>
      </c>
      <c r="L3151" s="54">
        <v>999</v>
      </c>
      <c r="M3151" s="54">
        <v>0</v>
      </c>
      <c r="N3151" s="54">
        <v>1018</v>
      </c>
      <c r="O3151" s="501" t="s">
        <v>7855</v>
      </c>
      <c r="S3151" s="54">
        <v>1</v>
      </c>
      <c r="T3151" s="54">
        <v>5</v>
      </c>
      <c r="U3151" s="54">
        <v>100</v>
      </c>
      <c r="W3151" s="54">
        <v>1</v>
      </c>
      <c r="X3151" s="54">
        <v>1</v>
      </c>
      <c r="Y3151" s="54">
        <v>0</v>
      </c>
      <c r="Z3151" s="54">
        <v>0</v>
      </c>
      <c r="AA3151" s="54">
        <v>5</v>
      </c>
      <c r="AB3151" s="54">
        <v>2000</v>
      </c>
      <c r="AC3151" s="54">
        <v>70</v>
      </c>
      <c r="AD3151" s="502">
        <v>0</v>
      </c>
      <c r="AE3151" s="502">
        <v>5</v>
      </c>
      <c r="AF3151" s="502">
        <v>2</v>
      </c>
      <c r="AG3151" s="503"/>
      <c r="AH3151" s="503"/>
      <c r="AI3151" s="503"/>
      <c r="AJ3151" s="503"/>
      <c r="AK3151" s="503"/>
      <c r="AL3151" s="504"/>
      <c r="AM3151" s="504"/>
      <c r="AN3151" s="514"/>
      <c r="AO3151" s="504"/>
      <c r="AP3151" s="504"/>
      <c r="AS3151" s="54">
        <v>1</v>
      </c>
    </row>
    <row r="3152" s="54" customFormat="1" ht="27" customHeight="1" spans="1:45">
      <c r="A3152" s="54">
        <v>619421</v>
      </c>
      <c r="B3152" s="54">
        <v>1001</v>
      </c>
      <c r="C3152" s="54">
        <v>1</v>
      </c>
      <c r="D3152" s="54">
        <v>1001</v>
      </c>
      <c r="E3152" s="54" t="s">
        <v>7856</v>
      </c>
      <c r="F3152" s="54" t="s">
        <v>5546</v>
      </c>
      <c r="G3152" s="515" t="s">
        <v>7857</v>
      </c>
      <c r="H3152" s="54" t="s">
        <v>1825</v>
      </c>
      <c r="I3152" s="54">
        <v>1</v>
      </c>
      <c r="J3152" s="54">
        <v>5</v>
      </c>
      <c r="K3152" s="54">
        <v>2</v>
      </c>
      <c r="L3152" s="54">
        <v>999</v>
      </c>
      <c r="M3152" s="54">
        <v>0</v>
      </c>
      <c r="N3152" s="54">
        <v>1018</v>
      </c>
      <c r="O3152" s="501" t="s">
        <v>7858</v>
      </c>
      <c r="S3152" s="54">
        <v>1</v>
      </c>
      <c r="T3152" s="54">
        <v>5</v>
      </c>
      <c r="U3152" s="54">
        <v>100</v>
      </c>
      <c r="W3152" s="54">
        <v>1</v>
      </c>
      <c r="X3152" s="54">
        <v>1</v>
      </c>
      <c r="Y3152" s="54">
        <v>0</v>
      </c>
      <c r="Z3152" s="54">
        <v>0</v>
      </c>
      <c r="AA3152" s="54">
        <v>5</v>
      </c>
      <c r="AB3152" s="54">
        <v>2000</v>
      </c>
      <c r="AC3152" s="54">
        <v>70</v>
      </c>
      <c r="AD3152" s="502">
        <v>0</v>
      </c>
      <c r="AE3152" s="502">
        <v>5</v>
      </c>
      <c r="AF3152" s="502">
        <v>2</v>
      </c>
      <c r="AG3152" s="503"/>
      <c r="AH3152" s="503"/>
      <c r="AI3152" s="503"/>
      <c r="AJ3152" s="503"/>
      <c r="AK3152" s="503"/>
      <c r="AL3152" s="504"/>
      <c r="AM3152" s="504"/>
      <c r="AN3152" s="514"/>
      <c r="AO3152" s="504"/>
      <c r="AP3152" s="504"/>
      <c r="AS3152" s="54">
        <v>1</v>
      </c>
    </row>
    <row r="3153" s="54" customFormat="1" ht="27" customHeight="1" spans="1:45">
      <c r="A3153" s="54">
        <v>619422</v>
      </c>
      <c r="B3153" s="54">
        <v>1001</v>
      </c>
      <c r="C3153" s="54">
        <v>1</v>
      </c>
      <c r="D3153" s="54">
        <v>1001</v>
      </c>
      <c r="E3153" s="54" t="s">
        <v>7859</v>
      </c>
      <c r="F3153" s="54" t="s">
        <v>5550</v>
      </c>
      <c r="G3153" s="515" t="s">
        <v>7860</v>
      </c>
      <c r="H3153" s="54" t="s">
        <v>1531</v>
      </c>
      <c r="I3153" s="54">
        <v>1</v>
      </c>
      <c r="J3153" s="54">
        <v>5</v>
      </c>
      <c r="K3153" s="54">
        <v>2</v>
      </c>
      <c r="L3153" s="54">
        <v>999</v>
      </c>
      <c r="M3153" s="54">
        <v>0</v>
      </c>
      <c r="N3153" s="54">
        <v>1018</v>
      </c>
      <c r="O3153" s="501" t="s">
        <v>7861</v>
      </c>
      <c r="S3153" s="54">
        <v>1</v>
      </c>
      <c r="T3153" s="54">
        <v>5</v>
      </c>
      <c r="U3153" s="54">
        <v>100</v>
      </c>
      <c r="V3153" s="54"/>
      <c r="W3153" s="54">
        <v>1</v>
      </c>
      <c r="X3153" s="54">
        <v>1</v>
      </c>
      <c r="Y3153" s="54">
        <v>0</v>
      </c>
      <c r="Z3153" s="54">
        <v>0</v>
      </c>
      <c r="AA3153" s="54">
        <v>5</v>
      </c>
      <c r="AB3153" s="54">
        <v>2000</v>
      </c>
      <c r="AC3153" s="54">
        <v>70</v>
      </c>
      <c r="AD3153" s="502">
        <v>0</v>
      </c>
      <c r="AE3153" s="502">
        <v>5</v>
      </c>
      <c r="AF3153" s="502">
        <v>2</v>
      </c>
      <c r="AG3153" s="503"/>
      <c r="AH3153" s="503"/>
      <c r="AI3153" s="503"/>
      <c r="AJ3153" s="503"/>
      <c r="AK3153" s="503"/>
      <c r="AL3153" s="504"/>
      <c r="AM3153" s="504"/>
      <c r="AN3153" s="514"/>
      <c r="AO3153" s="504"/>
      <c r="AP3153" s="504"/>
      <c r="AS3153" s="54">
        <v>1</v>
      </c>
    </row>
    <row r="3154" spans="1:45">
      <c r="A3154" s="54">
        <v>619423</v>
      </c>
      <c r="B3154" s="54">
        <v>1001</v>
      </c>
      <c r="C3154" s="54">
        <v>6</v>
      </c>
      <c r="D3154" s="54">
        <v>1001</v>
      </c>
      <c r="E3154" s="54" t="s">
        <v>7862</v>
      </c>
      <c r="F3154" s="54" t="s">
        <v>7862</v>
      </c>
      <c r="G3154" s="54" t="s">
        <v>7863</v>
      </c>
      <c r="H3154" s="54" t="s">
        <v>1531</v>
      </c>
      <c r="I3154" s="54">
        <v>1</v>
      </c>
      <c r="J3154" s="54">
        <v>5</v>
      </c>
      <c r="K3154" s="54">
        <v>2</v>
      </c>
      <c r="L3154" s="54">
        <v>999</v>
      </c>
      <c r="M3154" s="54">
        <v>0</v>
      </c>
      <c r="N3154" s="54">
        <v>1018</v>
      </c>
      <c r="O3154" s="501" t="s">
        <v>7864</v>
      </c>
      <c r="S3154" s="54">
        <v>1</v>
      </c>
      <c r="T3154" s="54">
        <v>5</v>
      </c>
      <c r="U3154" s="54">
        <v>10</v>
      </c>
      <c r="V3154" s="54">
        <v>1</v>
      </c>
      <c r="W3154" s="54">
        <v>1</v>
      </c>
      <c r="X3154" s="54">
        <v>1</v>
      </c>
      <c r="Y3154" s="54">
        <v>0</v>
      </c>
      <c r="Z3154" s="54">
        <v>0</v>
      </c>
      <c r="AA3154" s="54">
        <v>5</v>
      </c>
      <c r="AB3154" s="54">
        <v>100</v>
      </c>
      <c r="AC3154" s="54">
        <v>56</v>
      </c>
      <c r="AD3154" s="502">
        <v>0</v>
      </c>
      <c r="AE3154" s="502">
        <v>5</v>
      </c>
      <c r="AF3154" s="502">
        <v>2</v>
      </c>
      <c r="AG3154" s="503"/>
      <c r="AH3154" s="503"/>
      <c r="AI3154" s="503"/>
      <c r="AJ3154" s="503"/>
      <c r="AK3154" s="503"/>
      <c r="AL3154" s="504"/>
      <c r="AM3154" s="504"/>
      <c r="AN3154" s="514"/>
      <c r="AO3154" s="504"/>
      <c r="AP3154" s="504"/>
      <c r="AS3154">
        <v>1</v>
      </c>
    </row>
    <row r="3155" s="3" customFormat="1" spans="1:45">
      <c r="A3155" s="3">
        <v>619424</v>
      </c>
      <c r="B3155" s="3">
        <v>1001</v>
      </c>
      <c r="C3155" s="3">
        <v>23</v>
      </c>
      <c r="D3155" s="3">
        <v>0</v>
      </c>
      <c r="E3155" s="51" t="s">
        <v>6961</v>
      </c>
      <c r="F3155" s="3" t="s">
        <v>6961</v>
      </c>
      <c r="G3155" s="3" t="s">
        <v>7865</v>
      </c>
      <c r="H3155" s="3" t="s">
        <v>1766</v>
      </c>
      <c r="I3155" s="3">
        <v>1</v>
      </c>
      <c r="J3155" s="3">
        <v>4</v>
      </c>
      <c r="K3155" s="33">
        <v>1</v>
      </c>
      <c r="L3155" s="3">
        <v>999</v>
      </c>
      <c r="M3155" s="3">
        <v>0</v>
      </c>
      <c r="O3155" s="2">
        <v>0</v>
      </c>
      <c r="S3155" s="33"/>
      <c r="V3155" s="33"/>
      <c r="Z3155" s="33"/>
      <c r="AD3155" s="62"/>
      <c r="AE3155" s="62"/>
      <c r="AF3155" s="62"/>
      <c r="AG3155" s="63"/>
      <c r="AH3155" s="63"/>
      <c r="AI3155" s="63"/>
      <c r="AJ3155" s="63"/>
      <c r="AK3155" s="63"/>
      <c r="AL3155" s="64"/>
      <c r="AM3155" s="64"/>
      <c r="AN3155" s="65"/>
      <c r="AO3155" s="64"/>
      <c r="AP3155" s="64"/>
      <c r="AS3155" s="3">
        <v>1</v>
      </c>
    </row>
    <row r="3156" s="3" customFormat="1" spans="1:45">
      <c r="A3156" s="3">
        <v>619425</v>
      </c>
      <c r="B3156" s="3">
        <v>1001</v>
      </c>
      <c r="C3156" s="3">
        <v>23</v>
      </c>
      <c r="D3156" s="3">
        <v>0</v>
      </c>
      <c r="E3156" s="51" t="s">
        <v>6962</v>
      </c>
      <c r="F3156" s="3" t="s">
        <v>6963</v>
      </c>
      <c r="G3156" s="3" t="s">
        <v>7865</v>
      </c>
      <c r="H3156" s="3" t="s">
        <v>1766</v>
      </c>
      <c r="I3156" s="3">
        <v>1</v>
      </c>
      <c r="J3156" s="3">
        <v>4</v>
      </c>
      <c r="K3156" s="33">
        <v>1</v>
      </c>
      <c r="L3156" s="3">
        <v>999</v>
      </c>
      <c r="M3156" s="3">
        <v>0</v>
      </c>
      <c r="O3156" s="2">
        <v>1</v>
      </c>
      <c r="S3156" s="33"/>
      <c r="V3156" s="33"/>
      <c r="Z3156" s="33"/>
      <c r="AD3156" s="62"/>
      <c r="AE3156" s="62"/>
      <c r="AF3156" s="62"/>
      <c r="AG3156" s="63"/>
      <c r="AH3156" s="63"/>
      <c r="AI3156" s="63"/>
      <c r="AJ3156" s="63"/>
      <c r="AK3156" s="63"/>
      <c r="AL3156" s="64"/>
      <c r="AM3156" s="64"/>
      <c r="AN3156" s="65"/>
      <c r="AO3156" s="64"/>
      <c r="AP3156" s="64"/>
      <c r="AS3156" s="3">
        <v>1</v>
      </c>
    </row>
    <row r="3157" s="3" customFormat="1" spans="1:45">
      <c r="A3157" s="3">
        <v>619426</v>
      </c>
      <c r="B3157" s="3">
        <v>1001</v>
      </c>
      <c r="C3157" s="3">
        <v>23</v>
      </c>
      <c r="D3157" s="3">
        <v>0</v>
      </c>
      <c r="E3157" s="51" t="s">
        <v>7000</v>
      </c>
      <c r="F3157" s="3" t="s">
        <v>6963</v>
      </c>
      <c r="G3157" s="3" t="s">
        <v>7865</v>
      </c>
      <c r="H3157" s="3" t="s">
        <v>1766</v>
      </c>
      <c r="I3157" s="3">
        <v>1</v>
      </c>
      <c r="J3157" s="3">
        <v>4</v>
      </c>
      <c r="K3157" s="33">
        <v>1</v>
      </c>
      <c r="L3157" s="3">
        <v>999</v>
      </c>
      <c r="M3157" s="3">
        <v>0</v>
      </c>
      <c r="O3157" s="2">
        <v>1</v>
      </c>
      <c r="S3157" s="33"/>
      <c r="V3157" s="33"/>
      <c r="Z3157" s="33"/>
      <c r="AD3157" s="62"/>
      <c r="AE3157" s="62"/>
      <c r="AF3157" s="62"/>
      <c r="AG3157" s="63"/>
      <c r="AH3157" s="63"/>
      <c r="AI3157" s="63"/>
      <c r="AJ3157" s="63"/>
      <c r="AK3157" s="63"/>
      <c r="AL3157" s="64"/>
      <c r="AM3157" s="64"/>
      <c r="AN3157" s="65"/>
      <c r="AO3157" s="64"/>
      <c r="AP3157" s="64"/>
      <c r="AS3157" s="3">
        <v>1</v>
      </c>
    </row>
    <row r="3158" s="3" customFormat="1" spans="1:45">
      <c r="A3158" s="3">
        <v>619427</v>
      </c>
      <c r="B3158" s="3">
        <v>1001</v>
      </c>
      <c r="C3158" s="3">
        <v>23</v>
      </c>
      <c r="D3158" s="3">
        <v>0</v>
      </c>
      <c r="E3158" s="51" t="s">
        <v>7001</v>
      </c>
      <c r="F3158" s="3" t="s">
        <v>6963</v>
      </c>
      <c r="G3158" s="3" t="s">
        <v>7865</v>
      </c>
      <c r="H3158" s="3" t="s">
        <v>1766</v>
      </c>
      <c r="I3158" s="3">
        <v>1</v>
      </c>
      <c r="J3158" s="3">
        <v>4</v>
      </c>
      <c r="K3158" s="33">
        <v>1</v>
      </c>
      <c r="L3158" s="3">
        <v>999</v>
      </c>
      <c r="M3158" s="3">
        <v>0</v>
      </c>
      <c r="O3158" s="2">
        <v>1</v>
      </c>
      <c r="S3158" s="33"/>
      <c r="V3158" s="33"/>
      <c r="Z3158" s="33"/>
      <c r="AD3158" s="62"/>
      <c r="AE3158" s="62"/>
      <c r="AF3158" s="62"/>
      <c r="AG3158" s="63"/>
      <c r="AH3158" s="63"/>
      <c r="AI3158" s="63"/>
      <c r="AJ3158" s="63"/>
      <c r="AK3158" s="63"/>
      <c r="AL3158" s="64"/>
      <c r="AM3158" s="64"/>
      <c r="AN3158" s="65"/>
      <c r="AO3158" s="64"/>
      <c r="AP3158" s="64"/>
      <c r="AS3158" s="3">
        <v>1</v>
      </c>
    </row>
    <row r="3159" s="3" customFormat="1" spans="1:45">
      <c r="A3159" s="3">
        <v>619428</v>
      </c>
      <c r="B3159" s="3">
        <v>1001</v>
      </c>
      <c r="C3159" s="3">
        <v>23</v>
      </c>
      <c r="D3159" s="3">
        <v>0</v>
      </c>
      <c r="E3159" s="51" t="s">
        <v>7002</v>
      </c>
      <c r="F3159" s="3" t="s">
        <v>6963</v>
      </c>
      <c r="G3159" s="3" t="s">
        <v>7865</v>
      </c>
      <c r="H3159" s="3" t="s">
        <v>1766</v>
      </c>
      <c r="I3159" s="3">
        <v>1</v>
      </c>
      <c r="J3159" s="3">
        <v>4</v>
      </c>
      <c r="K3159" s="33">
        <v>1</v>
      </c>
      <c r="L3159" s="3">
        <v>999</v>
      </c>
      <c r="M3159" s="3">
        <v>0</v>
      </c>
      <c r="O3159" s="2">
        <v>1</v>
      </c>
      <c r="S3159" s="33"/>
      <c r="V3159" s="33"/>
      <c r="Z3159" s="33"/>
      <c r="AD3159" s="62"/>
      <c r="AE3159" s="62"/>
      <c r="AF3159" s="62"/>
      <c r="AG3159" s="63"/>
      <c r="AH3159" s="63"/>
      <c r="AI3159" s="63"/>
      <c r="AJ3159" s="63"/>
      <c r="AK3159" s="63"/>
      <c r="AL3159" s="64"/>
      <c r="AM3159" s="64"/>
      <c r="AN3159" s="65"/>
      <c r="AO3159" s="64"/>
      <c r="AP3159" s="64"/>
      <c r="AS3159" s="3">
        <v>1</v>
      </c>
    </row>
    <row r="3160" s="3" customFormat="1" spans="1:45">
      <c r="A3160" s="3">
        <v>619429</v>
      </c>
      <c r="B3160" s="3">
        <v>1001</v>
      </c>
      <c r="C3160" s="3">
        <v>23</v>
      </c>
      <c r="D3160" s="3">
        <v>0</v>
      </c>
      <c r="E3160" s="51" t="s">
        <v>7003</v>
      </c>
      <c r="F3160" s="3" t="s">
        <v>6963</v>
      </c>
      <c r="G3160" s="3" t="s">
        <v>7865</v>
      </c>
      <c r="H3160" s="3" t="s">
        <v>1766</v>
      </c>
      <c r="I3160" s="3">
        <v>1</v>
      </c>
      <c r="J3160" s="3">
        <v>4</v>
      </c>
      <c r="K3160" s="33">
        <v>1</v>
      </c>
      <c r="L3160" s="339">
        <v>999</v>
      </c>
      <c r="M3160" s="339">
        <v>0</v>
      </c>
      <c r="O3160" s="2">
        <v>1</v>
      </c>
      <c r="S3160" s="254"/>
      <c r="T3160" s="500"/>
      <c r="U3160" s="54"/>
      <c r="V3160" s="254"/>
      <c r="W3160" s="54"/>
      <c r="X3160" s="500"/>
      <c r="Y3160" s="500"/>
      <c r="Z3160" s="33"/>
      <c r="AA3160" s="54"/>
      <c r="AB3160" s="54"/>
      <c r="AC3160" s="500"/>
      <c r="AD3160" s="62"/>
      <c r="AE3160" s="62"/>
      <c r="AF3160" s="62"/>
      <c r="AG3160" s="63"/>
      <c r="AH3160" s="63"/>
      <c r="AI3160" s="63"/>
      <c r="AJ3160" s="63"/>
      <c r="AK3160" s="63"/>
      <c r="AL3160" s="64"/>
      <c r="AM3160" s="64"/>
      <c r="AN3160" s="424"/>
      <c r="AO3160" s="256"/>
      <c r="AP3160" s="64"/>
      <c r="AS3160" s="3">
        <v>1</v>
      </c>
    </row>
    <row r="3161" s="54" customFormat="1" spans="1:45">
      <c r="A3161" s="54">
        <v>619430</v>
      </c>
      <c r="B3161" s="54">
        <v>1001</v>
      </c>
      <c r="C3161" s="54">
        <v>2</v>
      </c>
      <c r="D3161" s="54">
        <v>1001</v>
      </c>
      <c r="E3161" s="54" t="s">
        <v>7866</v>
      </c>
      <c r="F3161" s="54" t="s">
        <v>7866</v>
      </c>
      <c r="G3161" s="54" t="s">
        <v>7833</v>
      </c>
      <c r="H3161" s="54" t="s">
        <v>7867</v>
      </c>
      <c r="I3161" s="54">
        <v>1</v>
      </c>
      <c r="J3161" s="54">
        <v>5</v>
      </c>
      <c r="K3161" s="54">
        <v>1</v>
      </c>
      <c r="L3161" s="500">
        <v>999</v>
      </c>
      <c r="M3161" s="500">
        <v>0</v>
      </c>
      <c r="O3161" s="501"/>
      <c r="S3161" s="500">
        <v>1</v>
      </c>
      <c r="T3161" s="500">
        <v>5</v>
      </c>
      <c r="U3161" s="54">
        <v>50</v>
      </c>
      <c r="V3161" s="500">
        <v>1</v>
      </c>
      <c r="W3161" s="54">
        <v>1</v>
      </c>
      <c r="X3161" s="500">
        <v>1</v>
      </c>
      <c r="Y3161" s="500">
        <v>0</v>
      </c>
      <c r="Z3161" s="54">
        <v>0</v>
      </c>
      <c r="AA3161" s="54">
        <v>5</v>
      </c>
      <c r="AB3161" s="54">
        <v>500</v>
      </c>
      <c r="AC3161" s="500">
        <v>56</v>
      </c>
      <c r="AD3161" s="502"/>
      <c r="AE3161" s="502"/>
      <c r="AF3161" s="502"/>
      <c r="AG3161" s="503"/>
      <c r="AH3161" s="503"/>
      <c r="AI3161" s="503"/>
      <c r="AJ3161" s="503"/>
      <c r="AK3161" s="503"/>
      <c r="AL3161" s="504">
        <v>1</v>
      </c>
      <c r="AM3161" s="505"/>
      <c r="AN3161" s="506"/>
      <c r="AO3161" s="507"/>
      <c r="AP3161" s="504"/>
      <c r="AS3161" s="54">
        <v>1</v>
      </c>
    </row>
    <row r="3162" s="54" customFormat="1" spans="1:45">
      <c r="A3162" s="54">
        <v>619431</v>
      </c>
      <c r="B3162" s="54">
        <v>1001</v>
      </c>
      <c r="C3162" s="54">
        <v>2</v>
      </c>
      <c r="D3162" s="54">
        <v>1001</v>
      </c>
      <c r="E3162" s="54" t="s">
        <v>7868</v>
      </c>
      <c r="F3162" s="54" t="s">
        <v>7868</v>
      </c>
      <c r="G3162" s="54" t="s">
        <v>7834</v>
      </c>
      <c r="H3162" s="54" t="s">
        <v>7869</v>
      </c>
      <c r="I3162" s="54">
        <v>1</v>
      </c>
      <c r="J3162" s="54">
        <v>5</v>
      </c>
      <c r="K3162" s="54">
        <v>1</v>
      </c>
      <c r="L3162" s="500">
        <v>999</v>
      </c>
      <c r="M3162" s="500">
        <v>0</v>
      </c>
      <c r="N3162" s="54"/>
      <c r="O3162" s="501"/>
      <c r="S3162" s="500">
        <v>1</v>
      </c>
      <c r="T3162" s="500">
        <v>5</v>
      </c>
      <c r="U3162" s="54">
        <v>50</v>
      </c>
      <c r="V3162" s="500">
        <v>1</v>
      </c>
      <c r="W3162" s="54">
        <v>1</v>
      </c>
      <c r="X3162" s="500">
        <v>1</v>
      </c>
      <c r="Y3162" s="500">
        <v>0</v>
      </c>
      <c r="Z3162" s="54">
        <v>0</v>
      </c>
      <c r="AA3162" s="54">
        <v>5</v>
      </c>
      <c r="AB3162" s="54">
        <v>500</v>
      </c>
      <c r="AC3162" s="500">
        <v>56</v>
      </c>
      <c r="AD3162" s="502"/>
      <c r="AE3162" s="502"/>
      <c r="AF3162" s="502"/>
      <c r="AG3162" s="503"/>
      <c r="AH3162" s="503"/>
      <c r="AI3162" s="503"/>
      <c r="AJ3162" s="503"/>
      <c r="AK3162" s="503"/>
      <c r="AL3162" s="504">
        <v>1</v>
      </c>
      <c r="AM3162" s="505"/>
      <c r="AN3162" s="506"/>
      <c r="AO3162" s="507"/>
      <c r="AP3162" s="504"/>
      <c r="AS3162" s="54">
        <v>1</v>
      </c>
    </row>
    <row r="3163" s="54" customFormat="1" spans="1:45">
      <c r="A3163" s="54">
        <v>619432</v>
      </c>
      <c r="B3163" s="54">
        <v>1001</v>
      </c>
      <c r="C3163" s="54">
        <v>6</v>
      </c>
      <c r="D3163" s="54">
        <v>1001</v>
      </c>
      <c r="E3163" s="54" t="s">
        <v>7870</v>
      </c>
      <c r="F3163" s="54" t="s">
        <v>7870</v>
      </c>
      <c r="G3163" s="54" t="s">
        <v>7838</v>
      </c>
      <c r="H3163" s="54" t="s">
        <v>7871</v>
      </c>
      <c r="I3163" s="54">
        <v>1</v>
      </c>
      <c r="J3163" s="54">
        <v>5</v>
      </c>
      <c r="K3163" s="54">
        <v>2</v>
      </c>
      <c r="L3163" s="500">
        <v>999</v>
      </c>
      <c r="M3163" s="500">
        <v>0</v>
      </c>
      <c r="N3163" s="54">
        <v>1017</v>
      </c>
      <c r="O3163" s="501">
        <v>300066</v>
      </c>
      <c r="S3163" s="500">
        <v>0</v>
      </c>
      <c r="T3163" s="500">
        <v>5</v>
      </c>
      <c r="U3163" s="54">
        <v>100</v>
      </c>
      <c r="V3163" s="500">
        <v>1</v>
      </c>
      <c r="W3163" s="54">
        <v>0</v>
      </c>
      <c r="X3163" s="500">
        <v>1</v>
      </c>
      <c r="Y3163" s="500">
        <v>1</v>
      </c>
      <c r="Z3163" s="54">
        <v>0</v>
      </c>
      <c r="AA3163" s="54">
        <v>5</v>
      </c>
      <c r="AB3163" s="54">
        <v>150</v>
      </c>
      <c r="AC3163" s="500">
        <v>2</v>
      </c>
      <c r="AD3163" s="502"/>
      <c r="AE3163" s="502">
        <v>4</v>
      </c>
      <c r="AF3163" s="502">
        <v>2</v>
      </c>
      <c r="AG3163" s="503"/>
      <c r="AH3163" s="503"/>
      <c r="AI3163" s="503"/>
      <c r="AJ3163" s="503"/>
      <c r="AK3163" s="503"/>
      <c r="AL3163" s="504">
        <v>0</v>
      </c>
      <c r="AM3163" s="505"/>
      <c r="AN3163" s="506"/>
      <c r="AO3163" s="507"/>
      <c r="AP3163" s="504"/>
      <c r="AS3163" s="54">
        <v>1</v>
      </c>
    </row>
    <row r="3164" s="54" customFormat="1" spans="1:45">
      <c r="A3164" s="54">
        <v>619433</v>
      </c>
      <c r="B3164" s="54">
        <v>1001</v>
      </c>
      <c r="C3164" s="54">
        <v>6</v>
      </c>
      <c r="D3164" s="54">
        <v>1001</v>
      </c>
      <c r="E3164" s="54" t="s">
        <v>7872</v>
      </c>
      <c r="F3164" s="54" t="s">
        <v>7872</v>
      </c>
      <c r="G3164" s="54" t="s">
        <v>7873</v>
      </c>
      <c r="H3164" s="54" t="s">
        <v>1594</v>
      </c>
      <c r="I3164" s="54">
        <v>1</v>
      </c>
      <c r="J3164" s="54">
        <v>5</v>
      </c>
      <c r="K3164" s="54">
        <v>2</v>
      </c>
      <c r="L3164" s="522">
        <v>999</v>
      </c>
      <c r="M3164" s="522">
        <v>0</v>
      </c>
      <c r="N3164" s="54">
        <v>1017</v>
      </c>
      <c r="O3164" s="501">
        <v>300067</v>
      </c>
      <c r="S3164" s="522">
        <v>1</v>
      </c>
      <c r="T3164" s="522">
        <v>5</v>
      </c>
      <c r="U3164" s="54">
        <v>10</v>
      </c>
      <c r="V3164" s="522">
        <v>1</v>
      </c>
      <c r="W3164" s="54">
        <v>1</v>
      </c>
      <c r="X3164" s="522">
        <v>1</v>
      </c>
      <c r="Y3164" s="522">
        <v>0</v>
      </c>
      <c r="Z3164" s="54">
        <v>0</v>
      </c>
      <c r="AA3164" s="54">
        <v>5</v>
      </c>
      <c r="AB3164" s="54">
        <v>100</v>
      </c>
      <c r="AC3164" s="522">
        <v>56</v>
      </c>
      <c r="AD3164" s="502">
        <v>0</v>
      </c>
      <c r="AE3164" s="502">
        <v>4</v>
      </c>
      <c r="AF3164" s="502">
        <v>2</v>
      </c>
      <c r="AG3164" s="503"/>
      <c r="AH3164" s="503"/>
      <c r="AI3164" s="503"/>
      <c r="AJ3164" s="503"/>
      <c r="AK3164" s="503"/>
      <c r="AL3164" s="504"/>
      <c r="AM3164" s="505"/>
      <c r="AN3164" s="523"/>
      <c r="AO3164" s="524"/>
      <c r="AP3164" s="504"/>
      <c r="AS3164" s="54">
        <v>1</v>
      </c>
    </row>
    <row r="3165" s="54" customFormat="1" spans="1:45">
      <c r="A3165" s="54">
        <v>619434</v>
      </c>
      <c r="B3165" s="54">
        <v>1001</v>
      </c>
      <c r="C3165" s="54">
        <v>1</v>
      </c>
      <c r="D3165" s="54">
        <v>1001</v>
      </c>
      <c r="E3165" s="54" t="s">
        <v>7874</v>
      </c>
      <c r="F3165" s="54" t="s">
        <v>7874</v>
      </c>
      <c r="G3165" s="515" t="s">
        <v>7875</v>
      </c>
      <c r="H3165" s="54" t="s">
        <v>1594</v>
      </c>
      <c r="I3165" s="54">
        <v>1</v>
      </c>
      <c r="J3165" s="54">
        <v>5</v>
      </c>
      <c r="K3165" s="54">
        <v>2</v>
      </c>
      <c r="L3165" s="54">
        <v>999</v>
      </c>
      <c r="M3165" s="54">
        <v>0</v>
      </c>
      <c r="N3165" s="54">
        <v>1018</v>
      </c>
      <c r="O3165" s="501" t="s">
        <v>7876</v>
      </c>
      <c r="S3165" s="54">
        <v>1</v>
      </c>
      <c r="T3165" s="54">
        <v>5</v>
      </c>
      <c r="U3165" s="54">
        <v>100</v>
      </c>
      <c r="V3165" s="54"/>
      <c r="W3165" s="54">
        <v>1</v>
      </c>
      <c r="X3165" s="54">
        <v>1</v>
      </c>
      <c r="Y3165" s="54">
        <v>0</v>
      </c>
      <c r="Z3165" s="54">
        <v>0</v>
      </c>
      <c r="AA3165" s="54">
        <v>5</v>
      </c>
      <c r="AB3165" s="54">
        <v>2000</v>
      </c>
      <c r="AC3165" s="54">
        <v>70</v>
      </c>
      <c r="AD3165" s="502">
        <v>0</v>
      </c>
      <c r="AE3165" s="502">
        <v>5</v>
      </c>
      <c r="AF3165" s="502">
        <v>2</v>
      </c>
      <c r="AG3165" s="503"/>
      <c r="AH3165" s="503"/>
      <c r="AI3165" s="503"/>
      <c r="AJ3165" s="503"/>
      <c r="AK3165" s="503"/>
      <c r="AL3165" s="504"/>
      <c r="AM3165" s="504"/>
      <c r="AN3165" s="514"/>
      <c r="AO3165" s="504"/>
      <c r="AP3165" s="504"/>
      <c r="AS3165" s="54">
        <v>1</v>
      </c>
    </row>
    <row r="3166" s="54" customFormat="1" spans="1:45">
      <c r="A3166" s="54">
        <v>619435</v>
      </c>
      <c r="B3166" s="54">
        <v>1001</v>
      </c>
      <c r="C3166" s="54">
        <v>6</v>
      </c>
      <c r="D3166" s="54">
        <v>1001</v>
      </c>
      <c r="E3166" s="54" t="s">
        <v>7877</v>
      </c>
      <c r="F3166" s="54" t="s">
        <v>7877</v>
      </c>
      <c r="G3166" s="515" t="s">
        <v>7878</v>
      </c>
      <c r="H3166" s="54" t="s">
        <v>1825</v>
      </c>
      <c r="I3166" s="54">
        <v>1</v>
      </c>
      <c r="J3166" s="54">
        <v>5</v>
      </c>
      <c r="K3166" s="54">
        <v>2</v>
      </c>
      <c r="L3166" s="54">
        <v>999</v>
      </c>
      <c r="M3166" s="54">
        <v>0</v>
      </c>
      <c r="N3166" s="54">
        <v>1</v>
      </c>
      <c r="O3166" s="501" t="s">
        <v>7879</v>
      </c>
      <c r="S3166" s="54">
        <v>1</v>
      </c>
      <c r="T3166" s="54">
        <v>5</v>
      </c>
      <c r="U3166" s="54">
        <v>10</v>
      </c>
      <c r="V3166" s="54">
        <v>1</v>
      </c>
      <c r="W3166" s="54">
        <v>1</v>
      </c>
      <c r="X3166" s="54">
        <v>1</v>
      </c>
      <c r="Y3166" s="54">
        <v>0</v>
      </c>
      <c r="Z3166" s="54">
        <v>0</v>
      </c>
      <c r="AA3166" s="54">
        <v>5</v>
      </c>
      <c r="AB3166" s="54">
        <v>100</v>
      </c>
      <c r="AC3166" s="54">
        <v>56</v>
      </c>
      <c r="AD3166" s="502">
        <v>0</v>
      </c>
      <c r="AE3166" s="502">
        <v>4</v>
      </c>
      <c r="AF3166" s="502">
        <v>2</v>
      </c>
      <c r="AG3166" s="503"/>
      <c r="AH3166" s="503"/>
      <c r="AI3166" s="503"/>
      <c r="AJ3166" s="503"/>
      <c r="AK3166" s="503"/>
      <c r="AL3166" s="504"/>
      <c r="AM3166" s="504"/>
      <c r="AN3166" s="514"/>
      <c r="AO3166" s="504"/>
      <c r="AP3166" s="504"/>
      <c r="AS3166" s="54">
        <v>1</v>
      </c>
    </row>
    <row r="3167" s="54" customFormat="1" ht="81" customHeight="1" spans="1:45">
      <c r="A3167" s="54">
        <v>619436</v>
      </c>
      <c r="B3167" s="54">
        <v>1001</v>
      </c>
      <c r="C3167" s="54">
        <v>1</v>
      </c>
      <c r="D3167" s="54">
        <v>1001</v>
      </c>
      <c r="E3167" s="54" t="s">
        <v>7880</v>
      </c>
      <c r="F3167" s="54" t="s">
        <v>7880</v>
      </c>
      <c r="G3167" s="515" t="s">
        <v>7881</v>
      </c>
      <c r="H3167" s="54" t="s">
        <v>1825</v>
      </c>
      <c r="I3167" s="54">
        <v>1</v>
      </c>
      <c r="J3167" s="54">
        <v>5</v>
      </c>
      <c r="K3167" s="54">
        <v>2</v>
      </c>
      <c r="L3167" s="54">
        <v>999</v>
      </c>
      <c r="M3167" s="54">
        <v>0</v>
      </c>
      <c r="N3167" s="54">
        <v>1018</v>
      </c>
      <c r="O3167" s="501" t="s">
        <v>7882</v>
      </c>
      <c r="S3167" s="54">
        <v>1</v>
      </c>
      <c r="T3167" s="54">
        <v>5</v>
      </c>
      <c r="U3167" s="54">
        <v>100</v>
      </c>
      <c r="W3167" s="54">
        <v>1</v>
      </c>
      <c r="X3167" s="54">
        <v>1</v>
      </c>
      <c r="Y3167" s="54">
        <v>0</v>
      </c>
      <c r="Z3167" s="54">
        <v>0</v>
      </c>
      <c r="AA3167" s="54">
        <v>5</v>
      </c>
      <c r="AB3167" s="54">
        <v>2000</v>
      </c>
      <c r="AC3167" s="54">
        <v>70</v>
      </c>
      <c r="AD3167" s="502">
        <v>0</v>
      </c>
      <c r="AE3167" s="502">
        <v>5</v>
      </c>
      <c r="AF3167" s="502">
        <v>2</v>
      </c>
      <c r="AG3167" s="503"/>
      <c r="AH3167" s="503"/>
      <c r="AI3167" s="503"/>
      <c r="AJ3167" s="503"/>
      <c r="AK3167" s="503"/>
      <c r="AL3167" s="504"/>
      <c r="AM3167" s="504"/>
      <c r="AN3167" s="514"/>
      <c r="AO3167" s="504"/>
      <c r="AP3167" s="504"/>
      <c r="AS3167" s="54">
        <v>1</v>
      </c>
    </row>
    <row r="3168" s="54" customFormat="1" ht="27" customHeight="1" spans="1:45">
      <c r="A3168" s="54">
        <v>619437</v>
      </c>
      <c r="B3168" s="54">
        <v>1001</v>
      </c>
      <c r="C3168" s="54">
        <v>1</v>
      </c>
      <c r="D3168" s="54">
        <v>1001</v>
      </c>
      <c r="E3168" s="54" t="s">
        <v>5550</v>
      </c>
      <c r="F3168" s="54" t="s">
        <v>5550</v>
      </c>
      <c r="G3168" s="515" t="s">
        <v>7883</v>
      </c>
      <c r="H3168" s="54" t="s">
        <v>1531</v>
      </c>
      <c r="I3168" s="54">
        <v>1</v>
      </c>
      <c r="J3168" s="54">
        <v>5</v>
      </c>
      <c r="K3168" s="54">
        <v>2</v>
      </c>
      <c r="L3168" s="54">
        <v>999</v>
      </c>
      <c r="M3168" s="54">
        <v>0</v>
      </c>
      <c r="N3168" s="54">
        <v>1018</v>
      </c>
      <c r="O3168" s="501" t="s">
        <v>7884</v>
      </c>
      <c r="S3168" s="54">
        <v>1</v>
      </c>
      <c r="T3168" s="54">
        <v>5</v>
      </c>
      <c r="U3168" s="54">
        <v>100</v>
      </c>
      <c r="W3168" s="54">
        <v>1</v>
      </c>
      <c r="X3168" s="54">
        <v>1</v>
      </c>
      <c r="Y3168" s="54">
        <v>0</v>
      </c>
      <c r="Z3168" s="54">
        <v>0</v>
      </c>
      <c r="AA3168" s="54">
        <v>5</v>
      </c>
      <c r="AB3168" s="54">
        <v>2000</v>
      </c>
      <c r="AC3168" s="54">
        <v>70</v>
      </c>
      <c r="AD3168" s="502">
        <v>0</v>
      </c>
      <c r="AE3168" s="502">
        <v>5</v>
      </c>
      <c r="AF3168" s="502">
        <v>2</v>
      </c>
      <c r="AG3168" s="503"/>
      <c r="AH3168" s="503"/>
      <c r="AI3168" s="503"/>
      <c r="AJ3168" s="503"/>
      <c r="AK3168" s="503"/>
      <c r="AL3168" s="504"/>
      <c r="AM3168" s="504"/>
      <c r="AN3168" s="514"/>
      <c r="AO3168" s="504"/>
      <c r="AP3168" s="504"/>
      <c r="AS3168" s="54">
        <v>1</v>
      </c>
    </row>
    <row r="3169" s="54" customFormat="1" spans="1:45">
      <c r="A3169" s="54">
        <v>619438</v>
      </c>
      <c r="B3169" s="54">
        <v>1001</v>
      </c>
      <c r="C3169" s="54">
        <v>1</v>
      </c>
      <c r="D3169" s="54">
        <v>1001</v>
      </c>
      <c r="E3169" s="54" t="s">
        <v>5550</v>
      </c>
      <c r="F3169" s="54" t="s">
        <v>5550</v>
      </c>
      <c r="G3169" s="515" t="s">
        <v>7885</v>
      </c>
      <c r="H3169" s="54" t="s">
        <v>1531</v>
      </c>
      <c r="I3169" s="54">
        <v>1</v>
      </c>
      <c r="J3169" s="54">
        <v>5</v>
      </c>
      <c r="K3169" s="54">
        <v>2</v>
      </c>
      <c r="L3169" s="54">
        <v>999</v>
      </c>
      <c r="M3169" s="54">
        <v>0</v>
      </c>
      <c r="N3169" s="54">
        <v>1018</v>
      </c>
      <c r="O3169" s="501" t="s">
        <v>7886</v>
      </c>
      <c r="S3169" s="54">
        <v>1</v>
      </c>
      <c r="T3169" s="54">
        <v>5</v>
      </c>
      <c r="U3169" s="54">
        <v>100</v>
      </c>
      <c r="V3169" s="54"/>
      <c r="W3169" s="54">
        <v>1</v>
      </c>
      <c r="X3169" s="54">
        <v>1</v>
      </c>
      <c r="Y3169" s="54">
        <v>0</v>
      </c>
      <c r="Z3169" s="54">
        <v>0</v>
      </c>
      <c r="AA3169" s="54">
        <v>5</v>
      </c>
      <c r="AB3169" s="54">
        <v>2000</v>
      </c>
      <c r="AC3169" s="54">
        <v>70</v>
      </c>
      <c r="AD3169" s="502">
        <v>0</v>
      </c>
      <c r="AE3169" s="502">
        <v>5</v>
      </c>
      <c r="AF3169" s="502">
        <v>2</v>
      </c>
      <c r="AG3169" s="503"/>
      <c r="AH3169" s="503"/>
      <c r="AI3169" s="503"/>
      <c r="AJ3169" s="503"/>
      <c r="AK3169" s="503"/>
      <c r="AL3169" s="504"/>
      <c r="AM3169" s="504"/>
      <c r="AN3169" s="514"/>
      <c r="AO3169" s="504"/>
      <c r="AP3169" s="504"/>
      <c r="AS3169" s="54">
        <v>1</v>
      </c>
    </row>
    <row r="3170" s="54" customFormat="1" spans="1:45">
      <c r="A3170" s="54">
        <v>619439</v>
      </c>
      <c r="B3170" s="54">
        <v>1001</v>
      </c>
      <c r="C3170" s="54">
        <v>2</v>
      </c>
      <c r="D3170" s="54">
        <v>1001</v>
      </c>
      <c r="E3170" s="54" t="s">
        <v>1297</v>
      </c>
      <c r="F3170" s="54" t="s">
        <v>1297</v>
      </c>
      <c r="G3170" s="515" t="s">
        <v>7833</v>
      </c>
      <c r="H3170" s="54" t="s">
        <v>1299</v>
      </c>
      <c r="I3170" s="54">
        <v>1</v>
      </c>
      <c r="J3170" s="54">
        <v>5</v>
      </c>
      <c r="K3170" s="54">
        <v>1</v>
      </c>
      <c r="L3170" s="54">
        <v>999</v>
      </c>
      <c r="M3170" s="54">
        <v>0</v>
      </c>
      <c r="O3170" s="501"/>
      <c r="S3170" s="54">
        <v>1</v>
      </c>
      <c r="T3170" s="54">
        <v>5</v>
      </c>
      <c r="U3170" s="54">
        <v>50</v>
      </c>
      <c r="V3170" s="54">
        <v>1</v>
      </c>
      <c r="W3170" s="54">
        <v>1</v>
      </c>
      <c r="X3170" s="54">
        <v>1</v>
      </c>
      <c r="Y3170" s="54">
        <v>0</v>
      </c>
      <c r="Z3170" s="54">
        <v>0</v>
      </c>
      <c r="AA3170" s="54">
        <v>5</v>
      </c>
      <c r="AB3170" s="54">
        <v>500</v>
      </c>
      <c r="AC3170" s="54">
        <v>56</v>
      </c>
      <c r="AD3170" s="502"/>
      <c r="AE3170" s="502"/>
      <c r="AF3170" s="502"/>
      <c r="AG3170" s="503"/>
      <c r="AH3170" s="503"/>
      <c r="AI3170" s="503"/>
      <c r="AJ3170" s="503"/>
      <c r="AK3170" s="503"/>
      <c r="AL3170" s="504">
        <v>1</v>
      </c>
      <c r="AM3170" s="504"/>
      <c r="AN3170" s="514"/>
      <c r="AO3170" s="504"/>
      <c r="AP3170" s="504"/>
      <c r="AS3170" s="54">
        <v>1</v>
      </c>
    </row>
    <row r="3171" s="54" customFormat="1" spans="1:45">
      <c r="A3171" s="54">
        <v>619440</v>
      </c>
      <c r="B3171" s="54">
        <v>1001</v>
      </c>
      <c r="C3171" s="54">
        <v>2</v>
      </c>
      <c r="D3171" s="54">
        <v>1001</v>
      </c>
      <c r="E3171" s="54" t="s">
        <v>7887</v>
      </c>
      <c r="F3171" s="54" t="s">
        <v>7887</v>
      </c>
      <c r="G3171" s="515" t="s">
        <v>7834</v>
      </c>
      <c r="H3171" s="54" t="s">
        <v>7888</v>
      </c>
      <c r="I3171" s="54">
        <v>1</v>
      </c>
      <c r="J3171" s="54">
        <v>5</v>
      </c>
      <c r="K3171" s="54">
        <v>1</v>
      </c>
      <c r="L3171" s="54">
        <v>999</v>
      </c>
      <c r="M3171" s="54">
        <v>0</v>
      </c>
      <c r="N3171" s="54"/>
      <c r="O3171" s="501"/>
      <c r="S3171" s="54">
        <v>1</v>
      </c>
      <c r="T3171" s="54">
        <v>5</v>
      </c>
      <c r="U3171" s="54">
        <v>50</v>
      </c>
      <c r="V3171" s="54">
        <v>1</v>
      </c>
      <c r="W3171" s="54">
        <v>1</v>
      </c>
      <c r="X3171" s="54">
        <v>1</v>
      </c>
      <c r="Y3171" s="54">
        <v>0</v>
      </c>
      <c r="Z3171" s="54">
        <v>0</v>
      </c>
      <c r="AA3171" s="54">
        <v>5</v>
      </c>
      <c r="AB3171" s="54">
        <v>500</v>
      </c>
      <c r="AC3171" s="54">
        <v>56</v>
      </c>
      <c r="AD3171" s="502"/>
      <c r="AE3171" s="502"/>
      <c r="AF3171" s="502"/>
      <c r="AG3171" s="503"/>
      <c r="AH3171" s="503"/>
      <c r="AI3171" s="503"/>
      <c r="AJ3171" s="503"/>
      <c r="AK3171" s="503"/>
      <c r="AL3171" s="504">
        <v>1</v>
      </c>
      <c r="AM3171" s="504"/>
      <c r="AN3171" s="514"/>
      <c r="AO3171" s="504"/>
      <c r="AP3171" s="504"/>
      <c r="AS3171" s="54">
        <v>1</v>
      </c>
    </row>
    <row r="3172" s="54" customFormat="1" spans="1:45">
      <c r="A3172" s="54">
        <v>619441</v>
      </c>
      <c r="B3172" s="54">
        <v>1001</v>
      </c>
      <c r="C3172" s="54">
        <v>6</v>
      </c>
      <c r="D3172" s="54">
        <v>1001</v>
      </c>
      <c r="E3172" s="54" t="s">
        <v>7889</v>
      </c>
      <c r="F3172" s="54" t="s">
        <v>7889</v>
      </c>
      <c r="G3172" s="515" t="s">
        <v>7838</v>
      </c>
      <c r="H3172" s="54" t="s">
        <v>2369</v>
      </c>
      <c r="I3172" s="54">
        <v>1</v>
      </c>
      <c r="J3172" s="54">
        <v>5</v>
      </c>
      <c r="K3172" s="54">
        <v>2</v>
      </c>
      <c r="L3172" s="54">
        <v>999</v>
      </c>
      <c r="M3172" s="54">
        <v>0</v>
      </c>
      <c r="N3172" s="54">
        <v>1017</v>
      </c>
      <c r="O3172" s="501">
        <v>300066</v>
      </c>
      <c r="S3172" s="54">
        <v>0</v>
      </c>
      <c r="T3172" s="54">
        <v>5</v>
      </c>
      <c r="U3172" s="54">
        <v>100</v>
      </c>
      <c r="V3172" s="54">
        <v>1</v>
      </c>
      <c r="W3172" s="54">
        <v>0</v>
      </c>
      <c r="X3172" s="54">
        <v>1</v>
      </c>
      <c r="Y3172" s="54">
        <v>1</v>
      </c>
      <c r="Z3172" s="54">
        <v>0</v>
      </c>
      <c r="AA3172" s="54">
        <v>5</v>
      </c>
      <c r="AB3172" s="54">
        <v>150</v>
      </c>
      <c r="AC3172" s="54">
        <v>2</v>
      </c>
      <c r="AD3172" s="502"/>
      <c r="AE3172" s="502">
        <v>4</v>
      </c>
      <c r="AF3172" s="502">
        <v>2</v>
      </c>
      <c r="AG3172" s="503"/>
      <c r="AH3172" s="503"/>
      <c r="AI3172" s="503"/>
      <c r="AJ3172" s="503"/>
      <c r="AK3172" s="503"/>
      <c r="AL3172" s="504">
        <v>0</v>
      </c>
      <c r="AM3172" s="504"/>
      <c r="AN3172" s="514"/>
      <c r="AO3172" s="504"/>
      <c r="AP3172" s="504"/>
      <c r="AS3172" s="54">
        <v>1</v>
      </c>
    </row>
    <row r="3173" s="54" customFormat="1" spans="1:45">
      <c r="A3173" s="54">
        <v>619442</v>
      </c>
      <c r="B3173" s="54">
        <v>1001</v>
      </c>
      <c r="C3173" s="54">
        <v>1</v>
      </c>
      <c r="D3173" s="54">
        <v>1001</v>
      </c>
      <c r="E3173" s="54" t="s">
        <v>7890</v>
      </c>
      <c r="F3173" s="54" t="s">
        <v>7890</v>
      </c>
      <c r="G3173" s="515" t="s">
        <v>7891</v>
      </c>
      <c r="H3173" s="54" t="s">
        <v>7892</v>
      </c>
      <c r="I3173" s="54">
        <v>1</v>
      </c>
      <c r="J3173" s="54">
        <v>5</v>
      </c>
      <c r="K3173" s="54">
        <v>1</v>
      </c>
      <c r="L3173" s="516">
        <v>999</v>
      </c>
      <c r="M3173" s="516">
        <v>0</v>
      </c>
      <c r="N3173" s="54"/>
      <c r="O3173" s="501"/>
      <c r="S3173" s="516">
        <v>1</v>
      </c>
      <c r="T3173" s="516">
        <v>5</v>
      </c>
      <c r="U3173" s="54">
        <v>1</v>
      </c>
      <c r="V3173" s="516">
        <v>1</v>
      </c>
      <c r="W3173" s="54">
        <v>1</v>
      </c>
      <c r="X3173" s="516">
        <v>1</v>
      </c>
      <c r="Y3173" s="516">
        <v>0</v>
      </c>
      <c r="Z3173" s="54">
        <v>0</v>
      </c>
      <c r="AA3173" s="54">
        <v>5</v>
      </c>
      <c r="AB3173" s="54">
        <v>100</v>
      </c>
      <c r="AC3173" s="516">
        <v>900</v>
      </c>
      <c r="AD3173" s="502">
        <v>0</v>
      </c>
      <c r="AE3173" s="502">
        <v>4</v>
      </c>
      <c r="AF3173" s="502">
        <v>2</v>
      </c>
      <c r="AG3173" s="503"/>
      <c r="AH3173" s="503"/>
      <c r="AI3173" s="503"/>
      <c r="AJ3173" s="503"/>
      <c r="AK3173" s="503"/>
      <c r="AL3173" s="504"/>
      <c r="AM3173" s="504"/>
      <c r="AN3173" s="521"/>
      <c r="AO3173" s="520"/>
      <c r="AP3173" s="504"/>
      <c r="AS3173" s="54">
        <v>1</v>
      </c>
    </row>
    <row r="3174" s="54" customFormat="1" spans="1:45">
      <c r="A3174" s="54">
        <v>619443</v>
      </c>
      <c r="B3174" s="54">
        <v>1001</v>
      </c>
      <c r="C3174" s="54">
        <v>6</v>
      </c>
      <c r="D3174" s="54">
        <v>1001</v>
      </c>
      <c r="E3174" s="54" t="s">
        <v>7893</v>
      </c>
      <c r="F3174" s="54" t="s">
        <v>7893</v>
      </c>
      <c r="G3174" s="54" t="s">
        <v>7894</v>
      </c>
      <c r="H3174" s="54" t="s">
        <v>1594</v>
      </c>
      <c r="I3174" s="54">
        <v>1</v>
      </c>
      <c r="J3174" s="54">
        <v>5</v>
      </c>
      <c r="K3174" s="54">
        <v>2</v>
      </c>
      <c r="L3174" s="522">
        <v>999</v>
      </c>
      <c r="M3174" s="522">
        <v>0</v>
      </c>
      <c r="N3174" s="54">
        <v>1017</v>
      </c>
      <c r="O3174" s="501">
        <v>300068</v>
      </c>
      <c r="S3174" s="522">
        <v>1</v>
      </c>
      <c r="T3174" s="522">
        <v>5</v>
      </c>
      <c r="U3174" s="54">
        <v>10</v>
      </c>
      <c r="V3174" s="522">
        <v>1</v>
      </c>
      <c r="W3174" s="54">
        <v>1</v>
      </c>
      <c r="X3174" s="522">
        <v>1</v>
      </c>
      <c r="Y3174" s="522">
        <v>0</v>
      </c>
      <c r="Z3174" s="54">
        <v>0</v>
      </c>
      <c r="AA3174" s="54">
        <v>5</v>
      </c>
      <c r="AB3174" s="54">
        <v>100</v>
      </c>
      <c r="AC3174" s="522">
        <v>56</v>
      </c>
      <c r="AD3174" s="502">
        <v>0</v>
      </c>
      <c r="AE3174" s="502">
        <v>4</v>
      </c>
      <c r="AF3174" s="502">
        <v>2</v>
      </c>
      <c r="AG3174" s="503"/>
      <c r="AH3174" s="503"/>
      <c r="AI3174" s="503"/>
      <c r="AJ3174" s="503"/>
      <c r="AK3174" s="503"/>
      <c r="AL3174" s="504"/>
      <c r="AM3174" s="505"/>
      <c r="AN3174" s="523"/>
      <c r="AO3174" s="524"/>
      <c r="AP3174" s="504"/>
      <c r="AS3174" s="54">
        <v>1</v>
      </c>
    </row>
    <row r="3175" s="54" customFormat="1" spans="1:45">
      <c r="A3175" s="54">
        <v>619444</v>
      </c>
      <c r="B3175" s="54">
        <v>1001</v>
      </c>
      <c r="C3175" s="54">
        <v>6</v>
      </c>
      <c r="D3175" s="54">
        <v>1001</v>
      </c>
      <c r="E3175" s="54" t="s">
        <v>7895</v>
      </c>
      <c r="F3175" s="54" t="s">
        <v>7895</v>
      </c>
      <c r="G3175" s="515" t="s">
        <v>7896</v>
      </c>
      <c r="H3175" s="54" t="s">
        <v>1812</v>
      </c>
      <c r="I3175" s="54">
        <v>1</v>
      </c>
      <c r="J3175" s="54">
        <v>5</v>
      </c>
      <c r="K3175" s="54">
        <v>2</v>
      </c>
      <c r="L3175" s="54">
        <v>999</v>
      </c>
      <c r="M3175" s="54">
        <v>0</v>
      </c>
      <c r="N3175" s="54">
        <v>1</v>
      </c>
      <c r="O3175" s="501" t="s">
        <v>7897</v>
      </c>
      <c r="S3175" s="54">
        <v>1</v>
      </c>
      <c r="T3175" s="54">
        <v>5</v>
      </c>
      <c r="U3175" s="54">
        <v>10</v>
      </c>
      <c r="V3175" s="54">
        <v>1</v>
      </c>
      <c r="W3175" s="54">
        <v>1</v>
      </c>
      <c r="X3175" s="54">
        <v>1</v>
      </c>
      <c r="Y3175" s="54">
        <v>0</v>
      </c>
      <c r="Z3175" s="54">
        <v>0</v>
      </c>
      <c r="AA3175" s="54">
        <v>5</v>
      </c>
      <c r="AB3175" s="54">
        <v>100</v>
      </c>
      <c r="AC3175" s="54">
        <v>56</v>
      </c>
      <c r="AD3175" s="502">
        <v>0</v>
      </c>
      <c r="AE3175" s="502">
        <v>4</v>
      </c>
      <c r="AF3175" s="502">
        <v>2</v>
      </c>
      <c r="AG3175" s="503"/>
      <c r="AH3175" s="503"/>
      <c r="AI3175" s="503"/>
      <c r="AJ3175" s="503"/>
      <c r="AK3175" s="503"/>
      <c r="AL3175" s="504"/>
      <c r="AM3175" s="504"/>
      <c r="AN3175" s="514"/>
      <c r="AO3175" s="504"/>
      <c r="AP3175" s="504"/>
      <c r="AS3175" s="54">
        <v>1</v>
      </c>
    </row>
    <row r="3176" s="54" customFormat="1" ht="27" customHeight="1" spans="1:45">
      <c r="A3176" s="54">
        <v>619445</v>
      </c>
      <c r="B3176" s="54">
        <v>1001</v>
      </c>
      <c r="C3176" s="54">
        <v>1</v>
      </c>
      <c r="D3176" s="54">
        <v>1001</v>
      </c>
      <c r="E3176" s="54" t="s">
        <v>6262</v>
      </c>
      <c r="F3176" s="54" t="s">
        <v>6262</v>
      </c>
      <c r="G3176" s="515" t="s">
        <v>7898</v>
      </c>
      <c r="H3176" s="54" t="s">
        <v>1531</v>
      </c>
      <c r="I3176" s="54">
        <v>1</v>
      </c>
      <c r="J3176" s="54">
        <v>5</v>
      </c>
      <c r="K3176" s="54">
        <v>2</v>
      </c>
      <c r="L3176" s="54">
        <v>999</v>
      </c>
      <c r="M3176" s="54">
        <v>0</v>
      </c>
      <c r="N3176" s="54">
        <v>1018</v>
      </c>
      <c r="O3176" s="501" t="s">
        <v>7899</v>
      </c>
      <c r="S3176" s="54">
        <v>1</v>
      </c>
      <c r="T3176" s="54">
        <v>5</v>
      </c>
      <c r="U3176" s="54">
        <v>100</v>
      </c>
      <c r="W3176" s="54">
        <v>1</v>
      </c>
      <c r="X3176" s="54">
        <v>1</v>
      </c>
      <c r="Y3176" s="54">
        <v>0</v>
      </c>
      <c r="Z3176" s="54">
        <v>0</v>
      </c>
      <c r="AA3176" s="54">
        <v>5</v>
      </c>
      <c r="AB3176" s="54">
        <v>2000</v>
      </c>
      <c r="AC3176" s="54">
        <v>70</v>
      </c>
      <c r="AD3176" s="502">
        <v>0</v>
      </c>
      <c r="AE3176" s="502">
        <v>5</v>
      </c>
      <c r="AF3176" s="502">
        <v>2</v>
      </c>
      <c r="AG3176" s="503"/>
      <c r="AH3176" s="503"/>
      <c r="AI3176" s="503"/>
      <c r="AJ3176" s="503"/>
      <c r="AK3176" s="503"/>
      <c r="AL3176" s="504"/>
      <c r="AM3176" s="504"/>
      <c r="AN3176" s="514"/>
      <c r="AO3176" s="504"/>
      <c r="AP3176" s="504"/>
      <c r="AS3176" s="54">
        <v>1</v>
      </c>
    </row>
    <row r="3177" s="54" customFormat="1" spans="1:45">
      <c r="A3177" s="54">
        <v>619446</v>
      </c>
      <c r="B3177" s="54">
        <v>1001</v>
      </c>
      <c r="C3177" s="54">
        <v>1</v>
      </c>
      <c r="D3177" s="54">
        <v>1001</v>
      </c>
      <c r="E3177" s="54" t="s">
        <v>7900</v>
      </c>
      <c r="F3177" s="54" t="s">
        <v>5550</v>
      </c>
      <c r="G3177" s="515" t="s">
        <v>7901</v>
      </c>
      <c r="H3177" s="54" t="s">
        <v>1531</v>
      </c>
      <c r="I3177" s="54">
        <v>1</v>
      </c>
      <c r="J3177" s="54">
        <v>5</v>
      </c>
      <c r="K3177" s="54">
        <v>2</v>
      </c>
      <c r="L3177" s="54">
        <v>999</v>
      </c>
      <c r="M3177" s="54">
        <v>0</v>
      </c>
      <c r="N3177" s="54">
        <v>1018</v>
      </c>
      <c r="O3177" s="501" t="s">
        <v>7902</v>
      </c>
      <c r="S3177" s="54">
        <v>1</v>
      </c>
      <c r="T3177" s="54">
        <v>5</v>
      </c>
      <c r="U3177" s="54">
        <v>100</v>
      </c>
      <c r="W3177" s="54">
        <v>1</v>
      </c>
      <c r="X3177" s="54">
        <v>1</v>
      </c>
      <c r="Y3177" s="54">
        <v>0</v>
      </c>
      <c r="Z3177" s="54">
        <v>0</v>
      </c>
      <c r="AA3177" s="54">
        <v>5</v>
      </c>
      <c r="AB3177" s="54">
        <v>2000</v>
      </c>
      <c r="AC3177" s="54">
        <v>70</v>
      </c>
      <c r="AD3177" s="502">
        <v>0</v>
      </c>
      <c r="AE3177" s="502">
        <v>5</v>
      </c>
      <c r="AF3177" s="502">
        <v>2</v>
      </c>
      <c r="AG3177" s="503"/>
      <c r="AH3177" s="503"/>
      <c r="AI3177" s="503"/>
      <c r="AJ3177" s="503"/>
      <c r="AK3177" s="503"/>
      <c r="AL3177" s="504"/>
      <c r="AM3177" s="504"/>
      <c r="AN3177" s="514"/>
      <c r="AO3177" s="504"/>
      <c r="AP3177" s="504"/>
      <c r="AS3177" s="54">
        <v>1</v>
      </c>
    </row>
    <row r="3178" s="54" customFormat="1" spans="1:45">
      <c r="A3178" s="54">
        <v>619447</v>
      </c>
      <c r="B3178" s="54">
        <v>1001</v>
      </c>
      <c r="C3178" s="54">
        <v>1</v>
      </c>
      <c r="D3178" s="54">
        <v>1001</v>
      </c>
      <c r="E3178" s="54" t="s">
        <v>6773</v>
      </c>
      <c r="F3178" s="54" t="s">
        <v>5550</v>
      </c>
      <c r="G3178" s="515" t="s">
        <v>7903</v>
      </c>
      <c r="H3178" s="54" t="s">
        <v>1531</v>
      </c>
      <c r="I3178" s="54">
        <v>1</v>
      </c>
      <c r="J3178" s="54">
        <v>5</v>
      </c>
      <c r="K3178" s="54">
        <v>2</v>
      </c>
      <c r="L3178" s="54">
        <v>999</v>
      </c>
      <c r="M3178" s="54">
        <v>0</v>
      </c>
      <c r="N3178" s="54">
        <v>1018</v>
      </c>
      <c r="O3178" s="501" t="s">
        <v>7904</v>
      </c>
      <c r="S3178" s="54">
        <v>1</v>
      </c>
      <c r="T3178" s="54">
        <v>5</v>
      </c>
      <c r="U3178" s="54">
        <v>100</v>
      </c>
      <c r="W3178" s="54">
        <v>1</v>
      </c>
      <c r="X3178" s="54">
        <v>1</v>
      </c>
      <c r="Y3178" s="54">
        <v>0</v>
      </c>
      <c r="Z3178" s="54">
        <v>0</v>
      </c>
      <c r="AA3178" s="54">
        <v>5</v>
      </c>
      <c r="AB3178" s="54">
        <v>2000</v>
      </c>
      <c r="AC3178" s="54">
        <v>70</v>
      </c>
      <c r="AD3178" s="502">
        <v>0</v>
      </c>
      <c r="AE3178" s="502">
        <v>5</v>
      </c>
      <c r="AF3178" s="502">
        <v>2</v>
      </c>
      <c r="AG3178" s="503"/>
      <c r="AH3178" s="503"/>
      <c r="AI3178" s="503"/>
      <c r="AJ3178" s="503"/>
      <c r="AK3178" s="503"/>
      <c r="AL3178" s="504"/>
      <c r="AM3178" s="504"/>
      <c r="AN3178" s="514"/>
      <c r="AO3178" s="504"/>
      <c r="AP3178" s="504"/>
      <c r="AS3178" s="54">
        <v>1</v>
      </c>
    </row>
    <row r="3179" s="54" customFormat="1" spans="1:45">
      <c r="A3179" s="54">
        <v>619448</v>
      </c>
      <c r="B3179" s="54">
        <v>1001</v>
      </c>
      <c r="C3179" s="54">
        <v>1</v>
      </c>
      <c r="D3179" s="54">
        <v>1001</v>
      </c>
      <c r="E3179" s="54" t="s">
        <v>7905</v>
      </c>
      <c r="F3179" s="54" t="s">
        <v>5550</v>
      </c>
      <c r="G3179" s="515" t="s">
        <v>7906</v>
      </c>
      <c r="H3179" s="54" t="s">
        <v>1531</v>
      </c>
      <c r="I3179" s="54">
        <v>1</v>
      </c>
      <c r="J3179" s="54">
        <v>5</v>
      </c>
      <c r="K3179" s="54">
        <v>2</v>
      </c>
      <c r="L3179" s="54">
        <v>999</v>
      </c>
      <c r="M3179" s="54">
        <v>0</v>
      </c>
      <c r="N3179" s="54">
        <v>1018</v>
      </c>
      <c r="O3179" s="501" t="s">
        <v>7907</v>
      </c>
      <c r="S3179" s="54">
        <v>1</v>
      </c>
      <c r="T3179" s="54">
        <v>5</v>
      </c>
      <c r="U3179" s="54">
        <v>100</v>
      </c>
      <c r="W3179" s="54">
        <v>1</v>
      </c>
      <c r="X3179" s="54">
        <v>1</v>
      </c>
      <c r="Y3179" s="54">
        <v>0</v>
      </c>
      <c r="Z3179" s="54">
        <v>0</v>
      </c>
      <c r="AA3179" s="54">
        <v>5</v>
      </c>
      <c r="AB3179" s="54">
        <v>2000</v>
      </c>
      <c r="AC3179" s="54">
        <v>70</v>
      </c>
      <c r="AD3179" s="502">
        <v>0</v>
      </c>
      <c r="AE3179" s="502">
        <v>5</v>
      </c>
      <c r="AF3179" s="502">
        <v>2</v>
      </c>
      <c r="AG3179" s="503"/>
      <c r="AH3179" s="503"/>
      <c r="AI3179" s="503"/>
      <c r="AJ3179" s="503"/>
      <c r="AK3179" s="503"/>
      <c r="AL3179" s="504"/>
      <c r="AM3179" s="504"/>
      <c r="AN3179" s="514"/>
      <c r="AO3179" s="504"/>
      <c r="AP3179" s="504"/>
      <c r="AS3179" s="54">
        <v>1</v>
      </c>
    </row>
    <row r="3180" s="54" customFormat="1" ht="27" customHeight="1" spans="1:45">
      <c r="A3180" s="54">
        <v>619449</v>
      </c>
      <c r="B3180" s="54">
        <v>1001</v>
      </c>
      <c r="C3180" s="54">
        <v>1</v>
      </c>
      <c r="D3180" s="54">
        <v>1001</v>
      </c>
      <c r="E3180" s="54" t="s">
        <v>7908</v>
      </c>
      <c r="F3180" s="54" t="s">
        <v>5550</v>
      </c>
      <c r="G3180" s="515" t="s">
        <v>7909</v>
      </c>
      <c r="H3180" s="54" t="s">
        <v>1531</v>
      </c>
      <c r="I3180" s="54">
        <v>1</v>
      </c>
      <c r="J3180" s="54">
        <v>5</v>
      </c>
      <c r="K3180" s="54">
        <v>2</v>
      </c>
      <c r="L3180" s="54">
        <v>999</v>
      </c>
      <c r="M3180" s="54">
        <v>0</v>
      </c>
      <c r="N3180" s="54">
        <v>1018</v>
      </c>
      <c r="O3180" s="501" t="s">
        <v>7910</v>
      </c>
      <c r="S3180" s="54">
        <v>1</v>
      </c>
      <c r="T3180" s="54">
        <v>5</v>
      </c>
      <c r="U3180" s="54">
        <v>100</v>
      </c>
      <c r="W3180" s="54">
        <v>1</v>
      </c>
      <c r="X3180" s="54">
        <v>1</v>
      </c>
      <c r="Y3180" s="54">
        <v>0</v>
      </c>
      <c r="Z3180" s="54">
        <v>0</v>
      </c>
      <c r="AA3180" s="54">
        <v>5</v>
      </c>
      <c r="AB3180" s="54">
        <v>2000</v>
      </c>
      <c r="AC3180" s="54">
        <v>70</v>
      </c>
      <c r="AD3180" s="502">
        <v>0</v>
      </c>
      <c r="AE3180" s="502">
        <v>5</v>
      </c>
      <c r="AF3180" s="502">
        <v>2</v>
      </c>
      <c r="AG3180" s="503"/>
      <c r="AH3180" s="503"/>
      <c r="AI3180" s="503"/>
      <c r="AJ3180" s="503"/>
      <c r="AK3180" s="503"/>
      <c r="AL3180" s="504"/>
      <c r="AM3180" s="504"/>
      <c r="AN3180" s="514"/>
      <c r="AO3180" s="504"/>
      <c r="AP3180" s="504"/>
      <c r="AS3180" s="54">
        <v>1</v>
      </c>
    </row>
    <row r="3181" s="54" customFormat="1" ht="27" customHeight="1" spans="1:45">
      <c r="A3181" s="54">
        <v>619450</v>
      </c>
      <c r="B3181" s="54">
        <v>1001</v>
      </c>
      <c r="C3181" s="54">
        <v>1</v>
      </c>
      <c r="D3181" s="54">
        <v>1001</v>
      </c>
      <c r="E3181" s="54" t="s">
        <v>7911</v>
      </c>
      <c r="F3181" s="54" t="s">
        <v>7911</v>
      </c>
      <c r="G3181" s="515" t="s">
        <v>7912</v>
      </c>
      <c r="H3181" s="54" t="s">
        <v>1822</v>
      </c>
      <c r="I3181" s="54">
        <v>1</v>
      </c>
      <c r="J3181" s="54">
        <v>5</v>
      </c>
      <c r="K3181" s="54">
        <v>2</v>
      </c>
      <c r="L3181" s="54">
        <v>999</v>
      </c>
      <c r="M3181" s="54">
        <v>0</v>
      </c>
      <c r="N3181" s="54">
        <v>1018</v>
      </c>
      <c r="O3181" s="501" t="s">
        <v>7913</v>
      </c>
      <c r="S3181" s="54">
        <v>1</v>
      </c>
      <c r="T3181" s="54">
        <v>5</v>
      </c>
      <c r="U3181" s="54">
        <v>100</v>
      </c>
      <c r="V3181" s="54"/>
      <c r="W3181" s="54">
        <v>1</v>
      </c>
      <c r="X3181" s="54">
        <v>1</v>
      </c>
      <c r="Y3181" s="54">
        <v>0</v>
      </c>
      <c r="Z3181" s="54">
        <v>0</v>
      </c>
      <c r="AA3181" s="54">
        <v>5</v>
      </c>
      <c r="AB3181" s="54">
        <v>2000</v>
      </c>
      <c r="AC3181" s="54">
        <v>70</v>
      </c>
      <c r="AD3181" s="502">
        <v>0</v>
      </c>
      <c r="AE3181" s="502">
        <v>5</v>
      </c>
      <c r="AF3181" s="502">
        <v>2</v>
      </c>
      <c r="AG3181" s="503"/>
      <c r="AH3181" s="503"/>
      <c r="AI3181" s="503"/>
      <c r="AJ3181" s="503"/>
      <c r="AK3181" s="503"/>
      <c r="AL3181" s="504"/>
      <c r="AM3181" s="504"/>
      <c r="AN3181" s="514"/>
      <c r="AO3181" s="504"/>
      <c r="AP3181" s="504"/>
      <c r="AS3181" s="54">
        <v>1</v>
      </c>
    </row>
    <row r="3182" s="54" customFormat="1" ht="40.5" customHeight="1" spans="1:45">
      <c r="A3182" s="54">
        <v>619451</v>
      </c>
      <c r="B3182" s="54">
        <v>1001</v>
      </c>
      <c r="C3182" s="54">
        <v>6</v>
      </c>
      <c r="D3182" s="54">
        <v>1001</v>
      </c>
      <c r="E3182" s="54" t="s">
        <v>7914</v>
      </c>
      <c r="F3182" s="54" t="s">
        <v>7914</v>
      </c>
      <c r="G3182" s="515" t="s">
        <v>7915</v>
      </c>
      <c r="H3182" s="54" t="s">
        <v>1825</v>
      </c>
      <c r="I3182" s="54">
        <v>1</v>
      </c>
      <c r="J3182" s="54">
        <v>5</v>
      </c>
      <c r="K3182" s="54">
        <v>2</v>
      </c>
      <c r="L3182" s="516">
        <v>999</v>
      </c>
      <c r="M3182" s="516">
        <v>0</v>
      </c>
      <c r="N3182" s="54">
        <v>1</v>
      </c>
      <c r="O3182" s="501" t="s">
        <v>7916</v>
      </c>
      <c r="S3182" s="516">
        <v>1</v>
      </c>
      <c r="T3182" s="516">
        <v>5</v>
      </c>
      <c r="U3182" s="54">
        <v>10</v>
      </c>
      <c r="V3182" s="516">
        <v>1</v>
      </c>
      <c r="W3182" s="54">
        <v>1</v>
      </c>
      <c r="X3182" s="516">
        <v>1</v>
      </c>
      <c r="Y3182" s="516">
        <v>0</v>
      </c>
      <c r="Z3182" s="54">
        <v>0</v>
      </c>
      <c r="AA3182" s="54">
        <v>5</v>
      </c>
      <c r="AB3182" s="54">
        <v>100</v>
      </c>
      <c r="AC3182" s="516">
        <v>56</v>
      </c>
      <c r="AD3182" s="502">
        <v>0</v>
      </c>
      <c r="AE3182" s="502">
        <v>4</v>
      </c>
      <c r="AF3182" s="502">
        <v>2</v>
      </c>
      <c r="AG3182" s="503"/>
      <c r="AH3182" s="503"/>
      <c r="AI3182" s="503"/>
      <c r="AJ3182" s="503"/>
      <c r="AK3182" s="503"/>
      <c r="AL3182" s="504"/>
      <c r="AM3182" s="504"/>
      <c r="AN3182" s="521"/>
      <c r="AO3182" s="520"/>
      <c r="AP3182" s="504"/>
      <c r="AS3182" s="54">
        <v>1</v>
      </c>
    </row>
    <row r="3183" s="54" customFormat="1" spans="1:45">
      <c r="A3183" s="54">
        <v>619452</v>
      </c>
      <c r="B3183" s="54">
        <v>1001</v>
      </c>
      <c r="C3183" s="54">
        <v>6</v>
      </c>
      <c r="D3183" s="54">
        <v>1001</v>
      </c>
      <c r="E3183" s="54" t="s">
        <v>7917</v>
      </c>
      <c r="F3183" s="54" t="s">
        <v>7872</v>
      </c>
      <c r="G3183" s="54" t="s">
        <v>7873</v>
      </c>
      <c r="H3183" s="54" t="s">
        <v>1594</v>
      </c>
      <c r="I3183" s="54">
        <v>1</v>
      </c>
      <c r="J3183" s="54">
        <v>5</v>
      </c>
      <c r="K3183" s="54">
        <v>2</v>
      </c>
      <c r="L3183" s="500">
        <v>999</v>
      </c>
      <c r="M3183" s="500">
        <v>0</v>
      </c>
      <c r="N3183" s="54">
        <v>1017</v>
      </c>
      <c r="O3183" s="501">
        <v>300069</v>
      </c>
      <c r="S3183" s="500">
        <v>1</v>
      </c>
      <c r="T3183" s="500">
        <v>5</v>
      </c>
      <c r="U3183" s="54">
        <v>10</v>
      </c>
      <c r="V3183" s="500">
        <v>1</v>
      </c>
      <c r="W3183" s="54">
        <v>1</v>
      </c>
      <c r="X3183" s="500">
        <v>1</v>
      </c>
      <c r="Y3183" s="500">
        <v>0</v>
      </c>
      <c r="Z3183" s="54">
        <v>0</v>
      </c>
      <c r="AA3183" s="54">
        <v>5</v>
      </c>
      <c r="AB3183" s="54">
        <v>100</v>
      </c>
      <c r="AC3183" s="500">
        <v>56</v>
      </c>
      <c r="AD3183" s="502">
        <v>0</v>
      </c>
      <c r="AE3183" s="502">
        <v>4</v>
      </c>
      <c r="AF3183" s="502">
        <v>2</v>
      </c>
      <c r="AG3183" s="503"/>
      <c r="AH3183" s="503"/>
      <c r="AI3183" s="503"/>
      <c r="AJ3183" s="503"/>
      <c r="AK3183" s="503"/>
      <c r="AL3183" s="504"/>
      <c r="AM3183" s="505"/>
      <c r="AN3183" s="506"/>
      <c r="AO3183" s="507"/>
      <c r="AP3183" s="504"/>
      <c r="AS3183" s="54">
        <v>1</v>
      </c>
    </row>
    <row r="3184" s="54" customFormat="1" spans="1:45">
      <c r="A3184" s="54">
        <v>619453</v>
      </c>
      <c r="B3184" s="54">
        <v>1001</v>
      </c>
      <c r="C3184" s="54">
        <v>1</v>
      </c>
      <c r="D3184" s="54">
        <v>1001</v>
      </c>
      <c r="E3184" s="54" t="s">
        <v>7918</v>
      </c>
      <c r="F3184" s="54" t="s">
        <v>7918</v>
      </c>
      <c r="G3184" s="54" t="s">
        <v>7919</v>
      </c>
      <c r="H3184" s="54" t="s">
        <v>1822</v>
      </c>
      <c r="I3184" s="54">
        <v>1</v>
      </c>
      <c r="J3184" s="54">
        <v>5</v>
      </c>
      <c r="K3184" s="54">
        <v>2</v>
      </c>
      <c r="L3184" s="500">
        <v>999</v>
      </c>
      <c r="M3184" s="500">
        <v>0</v>
      </c>
      <c r="N3184" s="54">
        <v>1018</v>
      </c>
      <c r="O3184" s="501" t="s">
        <v>7920</v>
      </c>
      <c r="S3184" s="500">
        <v>1</v>
      </c>
      <c r="T3184" s="500">
        <v>5</v>
      </c>
      <c r="U3184" s="54">
        <v>100</v>
      </c>
      <c r="V3184" s="500"/>
      <c r="W3184" s="54">
        <v>1</v>
      </c>
      <c r="X3184" s="500">
        <v>1</v>
      </c>
      <c r="Y3184" s="500">
        <v>0</v>
      </c>
      <c r="Z3184" s="54">
        <v>0</v>
      </c>
      <c r="AA3184" s="54">
        <v>5</v>
      </c>
      <c r="AB3184" s="54">
        <v>2000</v>
      </c>
      <c r="AC3184" s="500">
        <v>70</v>
      </c>
      <c r="AD3184" s="502">
        <v>0</v>
      </c>
      <c r="AE3184" s="502">
        <v>5</v>
      </c>
      <c r="AF3184" s="502">
        <v>2</v>
      </c>
      <c r="AG3184" s="503"/>
      <c r="AH3184" s="503"/>
      <c r="AI3184" s="503"/>
      <c r="AJ3184" s="503"/>
      <c r="AK3184" s="503"/>
      <c r="AL3184" s="504"/>
      <c r="AM3184" s="505"/>
      <c r="AN3184" s="506"/>
      <c r="AO3184" s="507"/>
      <c r="AP3184" s="504"/>
      <c r="AS3184" s="54">
        <v>1</v>
      </c>
    </row>
    <row r="3185" s="54" customFormat="1" spans="1:45">
      <c r="A3185" s="54">
        <v>619454</v>
      </c>
      <c r="B3185" s="54">
        <v>1001</v>
      </c>
      <c r="C3185" s="54">
        <v>2</v>
      </c>
      <c r="D3185" s="54">
        <v>1001</v>
      </c>
      <c r="E3185" s="54" t="s">
        <v>1799</v>
      </c>
      <c r="F3185" s="54" t="s">
        <v>1799</v>
      </c>
      <c r="G3185" s="54" t="s">
        <v>7833</v>
      </c>
      <c r="H3185" s="54" t="s">
        <v>1801</v>
      </c>
      <c r="I3185" s="54">
        <v>1</v>
      </c>
      <c r="J3185" s="54">
        <v>5</v>
      </c>
      <c r="K3185" s="54">
        <v>1</v>
      </c>
      <c r="L3185" s="500">
        <v>999</v>
      </c>
      <c r="M3185" s="500">
        <v>0</v>
      </c>
      <c r="O3185" s="501"/>
      <c r="S3185" s="500">
        <v>1</v>
      </c>
      <c r="T3185" s="500">
        <v>5</v>
      </c>
      <c r="U3185" s="54">
        <v>50</v>
      </c>
      <c r="V3185" s="500">
        <v>1</v>
      </c>
      <c r="W3185" s="54">
        <v>1</v>
      </c>
      <c r="X3185" s="500">
        <v>1</v>
      </c>
      <c r="Y3185" s="500">
        <v>0</v>
      </c>
      <c r="Z3185" s="54">
        <v>0</v>
      </c>
      <c r="AA3185" s="54">
        <v>5</v>
      </c>
      <c r="AB3185" s="54">
        <v>500</v>
      </c>
      <c r="AC3185" s="500">
        <v>56</v>
      </c>
      <c r="AD3185" s="502"/>
      <c r="AE3185" s="502"/>
      <c r="AF3185" s="502"/>
      <c r="AG3185" s="503"/>
      <c r="AH3185" s="503"/>
      <c r="AI3185" s="503"/>
      <c r="AJ3185" s="503"/>
      <c r="AK3185" s="503"/>
      <c r="AL3185" s="504">
        <v>1</v>
      </c>
      <c r="AM3185" s="505"/>
      <c r="AN3185" s="506"/>
      <c r="AO3185" s="507"/>
      <c r="AP3185" s="504"/>
      <c r="AS3185" s="54">
        <v>1</v>
      </c>
    </row>
    <row r="3186" s="54" customFormat="1" spans="1:45">
      <c r="A3186" s="54">
        <v>619455</v>
      </c>
      <c r="B3186" s="54">
        <v>1001</v>
      </c>
      <c r="C3186" s="54">
        <v>2</v>
      </c>
      <c r="D3186" s="54">
        <v>1001</v>
      </c>
      <c r="E3186" s="54" t="s">
        <v>7921</v>
      </c>
      <c r="F3186" s="54" t="s">
        <v>7921</v>
      </c>
      <c r="G3186" s="54" t="s">
        <v>7834</v>
      </c>
      <c r="H3186" s="54" t="s">
        <v>1798</v>
      </c>
      <c r="I3186" s="54">
        <v>1</v>
      </c>
      <c r="J3186" s="54">
        <v>5</v>
      </c>
      <c r="K3186" s="54">
        <v>1</v>
      </c>
      <c r="L3186" s="500">
        <v>999</v>
      </c>
      <c r="M3186" s="500">
        <v>0</v>
      </c>
      <c r="N3186" s="54"/>
      <c r="O3186" s="501"/>
      <c r="S3186" s="500">
        <v>1</v>
      </c>
      <c r="T3186" s="500">
        <v>5</v>
      </c>
      <c r="U3186" s="54">
        <v>50</v>
      </c>
      <c r="V3186" s="500">
        <v>1</v>
      </c>
      <c r="W3186" s="54">
        <v>1</v>
      </c>
      <c r="X3186" s="500">
        <v>1</v>
      </c>
      <c r="Y3186" s="500">
        <v>0</v>
      </c>
      <c r="Z3186" s="54">
        <v>0</v>
      </c>
      <c r="AA3186" s="54">
        <v>5</v>
      </c>
      <c r="AB3186" s="54">
        <v>500</v>
      </c>
      <c r="AC3186" s="500">
        <v>56</v>
      </c>
      <c r="AD3186" s="502"/>
      <c r="AE3186" s="502"/>
      <c r="AF3186" s="502"/>
      <c r="AG3186" s="503"/>
      <c r="AH3186" s="503"/>
      <c r="AI3186" s="503"/>
      <c r="AJ3186" s="503"/>
      <c r="AK3186" s="503"/>
      <c r="AL3186" s="504">
        <v>1</v>
      </c>
      <c r="AM3186" s="505"/>
      <c r="AN3186" s="506"/>
      <c r="AO3186" s="507"/>
      <c r="AP3186" s="504"/>
      <c r="AS3186" s="54">
        <v>1</v>
      </c>
    </row>
    <row r="3187" s="54" customFormat="1" spans="1:45">
      <c r="A3187" s="54">
        <v>619456</v>
      </c>
      <c r="B3187" s="54">
        <v>1001</v>
      </c>
      <c r="C3187" s="54">
        <v>6</v>
      </c>
      <c r="D3187" s="54">
        <v>1001</v>
      </c>
      <c r="E3187" s="54" t="s">
        <v>7191</v>
      </c>
      <c r="F3187" s="54" t="s">
        <v>7191</v>
      </c>
      <c r="G3187" s="54" t="s">
        <v>7838</v>
      </c>
      <c r="H3187" s="54" t="s">
        <v>7193</v>
      </c>
      <c r="I3187" s="54">
        <v>1</v>
      </c>
      <c r="J3187" s="54">
        <v>5</v>
      </c>
      <c r="K3187" s="54">
        <v>2</v>
      </c>
      <c r="L3187" s="500">
        <v>999</v>
      </c>
      <c r="M3187" s="500">
        <v>0</v>
      </c>
      <c r="N3187" s="54">
        <v>1017</v>
      </c>
      <c r="O3187" s="501">
        <v>300066</v>
      </c>
      <c r="S3187" s="500">
        <v>0</v>
      </c>
      <c r="T3187" s="500">
        <v>5</v>
      </c>
      <c r="U3187" s="54">
        <v>100</v>
      </c>
      <c r="V3187" s="500">
        <v>1</v>
      </c>
      <c r="W3187" s="54">
        <v>0</v>
      </c>
      <c r="X3187" s="500">
        <v>1</v>
      </c>
      <c r="Y3187" s="500">
        <v>1</v>
      </c>
      <c r="Z3187" s="54">
        <v>0</v>
      </c>
      <c r="AA3187" s="54">
        <v>5</v>
      </c>
      <c r="AB3187" s="54">
        <v>150</v>
      </c>
      <c r="AC3187" s="500">
        <v>2</v>
      </c>
      <c r="AD3187" s="502"/>
      <c r="AE3187" s="502">
        <v>4</v>
      </c>
      <c r="AF3187" s="502">
        <v>2</v>
      </c>
      <c r="AG3187" s="503"/>
      <c r="AH3187" s="503"/>
      <c r="AI3187" s="503"/>
      <c r="AJ3187" s="503"/>
      <c r="AK3187" s="503"/>
      <c r="AL3187" s="504">
        <v>0</v>
      </c>
      <c r="AM3187" s="505"/>
      <c r="AN3187" s="506"/>
      <c r="AO3187" s="507"/>
      <c r="AP3187" s="504"/>
      <c r="AS3187" s="54">
        <v>1</v>
      </c>
    </row>
    <row r="3188" s="54" customFormat="1" spans="1:45">
      <c r="A3188" s="54">
        <v>619457</v>
      </c>
      <c r="B3188" s="54">
        <v>1001</v>
      </c>
      <c r="C3188" s="54">
        <v>2</v>
      </c>
      <c r="D3188" s="54">
        <v>1001</v>
      </c>
      <c r="E3188" s="54" t="s">
        <v>7922</v>
      </c>
      <c r="F3188" s="54" t="s">
        <v>7922</v>
      </c>
      <c r="G3188" s="54" t="s">
        <v>7923</v>
      </c>
      <c r="H3188" s="54" t="s">
        <v>6239</v>
      </c>
      <c r="I3188" s="54">
        <v>1</v>
      </c>
      <c r="J3188" s="54">
        <v>5</v>
      </c>
      <c r="K3188" s="54">
        <v>1</v>
      </c>
      <c r="L3188" s="522">
        <v>999</v>
      </c>
      <c r="M3188" s="522">
        <v>0</v>
      </c>
      <c r="N3188" s="54"/>
      <c r="O3188" s="501"/>
      <c r="S3188" s="522">
        <v>1</v>
      </c>
      <c r="T3188" s="522">
        <v>5</v>
      </c>
      <c r="U3188" s="54">
        <v>50</v>
      </c>
      <c r="V3188" s="522">
        <v>1</v>
      </c>
      <c r="W3188" s="54">
        <v>1</v>
      </c>
      <c r="X3188" s="522">
        <v>1</v>
      </c>
      <c r="Y3188" s="522">
        <v>0</v>
      </c>
      <c r="Z3188" s="54">
        <v>0</v>
      </c>
      <c r="AA3188" s="54">
        <v>5</v>
      </c>
      <c r="AB3188" s="54">
        <v>500</v>
      </c>
      <c r="AC3188" s="522">
        <v>56</v>
      </c>
      <c r="AD3188" s="502"/>
      <c r="AE3188" s="502"/>
      <c r="AF3188" s="502"/>
      <c r="AG3188" s="503"/>
      <c r="AH3188" s="503"/>
      <c r="AI3188" s="503"/>
      <c r="AJ3188" s="503"/>
      <c r="AK3188" s="503"/>
      <c r="AL3188" s="504">
        <v>1</v>
      </c>
      <c r="AM3188" s="505"/>
      <c r="AN3188" s="523"/>
      <c r="AO3188" s="524"/>
      <c r="AP3188" s="504"/>
      <c r="AS3188" s="54">
        <v>1</v>
      </c>
    </row>
    <row r="3189" s="54" customFormat="1" spans="1:45">
      <c r="A3189" s="54">
        <v>619458</v>
      </c>
      <c r="B3189" s="54">
        <v>1001</v>
      </c>
      <c r="C3189" s="54">
        <v>1</v>
      </c>
      <c r="D3189" s="54">
        <v>1001</v>
      </c>
      <c r="E3189" s="153" t="s">
        <v>7924</v>
      </c>
      <c r="F3189" s="153" t="s">
        <v>7924</v>
      </c>
      <c r="G3189" s="54" t="s">
        <v>7925</v>
      </c>
      <c r="H3189" s="54" t="s">
        <v>1822</v>
      </c>
      <c r="I3189" s="54">
        <v>1</v>
      </c>
      <c r="J3189" s="54">
        <v>5</v>
      </c>
      <c r="K3189" s="54">
        <v>2</v>
      </c>
      <c r="L3189" s="54">
        <v>999</v>
      </c>
      <c r="M3189" s="54">
        <v>0</v>
      </c>
      <c r="N3189" s="54">
        <v>1018</v>
      </c>
      <c r="O3189" s="54" t="s">
        <v>7926</v>
      </c>
      <c r="S3189" s="54">
        <v>1</v>
      </c>
      <c r="T3189" s="54">
        <v>5</v>
      </c>
      <c r="U3189" s="54">
        <v>100</v>
      </c>
      <c r="W3189" s="54">
        <v>1</v>
      </c>
      <c r="X3189" s="54">
        <v>1</v>
      </c>
      <c r="Y3189" s="54">
        <v>0</v>
      </c>
      <c r="Z3189" s="54">
        <v>0</v>
      </c>
      <c r="AA3189" s="54">
        <v>5</v>
      </c>
      <c r="AB3189" s="54">
        <v>2000</v>
      </c>
      <c r="AC3189" s="54">
        <v>70</v>
      </c>
      <c r="AD3189" s="502">
        <v>0</v>
      </c>
      <c r="AE3189" s="502">
        <v>5</v>
      </c>
      <c r="AF3189" s="502">
        <v>2</v>
      </c>
      <c r="AG3189" s="503"/>
      <c r="AH3189" s="503"/>
      <c r="AI3189" s="503"/>
      <c r="AJ3189" s="503"/>
      <c r="AK3189" s="503"/>
      <c r="AL3189" s="504"/>
      <c r="AM3189" s="504"/>
      <c r="AN3189" s="514"/>
      <c r="AO3189" s="504"/>
      <c r="AP3189" s="504"/>
      <c r="AS3189" s="54">
        <v>1</v>
      </c>
    </row>
    <row r="3190" s="54" customFormat="1" spans="1:45">
      <c r="A3190" s="54">
        <v>619459</v>
      </c>
      <c r="B3190" s="54">
        <v>1001</v>
      </c>
      <c r="C3190" s="54">
        <v>1</v>
      </c>
      <c r="D3190" s="54">
        <v>1001</v>
      </c>
      <c r="E3190" s="153" t="s">
        <v>7927</v>
      </c>
      <c r="F3190" s="153" t="s">
        <v>7927</v>
      </c>
      <c r="G3190" s="54" t="s">
        <v>7928</v>
      </c>
      <c r="H3190" s="54" t="s">
        <v>1822</v>
      </c>
      <c r="I3190" s="54">
        <v>1</v>
      </c>
      <c r="J3190" s="54">
        <v>5</v>
      </c>
      <c r="K3190" s="54">
        <v>2</v>
      </c>
      <c r="L3190" s="54">
        <v>999</v>
      </c>
      <c r="M3190" s="54">
        <v>0</v>
      </c>
      <c r="N3190" s="54">
        <v>1018</v>
      </c>
      <c r="O3190" s="54" t="s">
        <v>7929</v>
      </c>
      <c r="S3190" s="54">
        <v>1</v>
      </c>
      <c r="T3190" s="54">
        <v>5</v>
      </c>
      <c r="U3190" s="54">
        <v>100</v>
      </c>
      <c r="W3190" s="54">
        <v>1</v>
      </c>
      <c r="X3190" s="54">
        <v>1</v>
      </c>
      <c r="Y3190" s="54">
        <v>0</v>
      </c>
      <c r="Z3190" s="54">
        <v>0</v>
      </c>
      <c r="AA3190" s="54">
        <v>5</v>
      </c>
      <c r="AB3190" s="54">
        <v>2000</v>
      </c>
      <c r="AC3190" s="54">
        <v>70</v>
      </c>
      <c r="AD3190" s="502">
        <v>0</v>
      </c>
      <c r="AE3190" s="502">
        <v>5</v>
      </c>
      <c r="AF3190" s="502">
        <v>2</v>
      </c>
      <c r="AG3190" s="503"/>
      <c r="AH3190" s="503"/>
      <c r="AI3190" s="503"/>
      <c r="AJ3190" s="503"/>
      <c r="AK3190" s="503"/>
      <c r="AL3190" s="504"/>
      <c r="AM3190" s="504"/>
      <c r="AN3190" s="514"/>
      <c r="AO3190" s="504"/>
      <c r="AP3190" s="504"/>
      <c r="AS3190" s="54">
        <v>1</v>
      </c>
    </row>
    <row r="3191" s="54" customFormat="1" spans="1:45">
      <c r="A3191" s="54">
        <v>619460</v>
      </c>
      <c r="B3191" s="54">
        <v>1001</v>
      </c>
      <c r="C3191" s="54">
        <v>1</v>
      </c>
      <c r="D3191" s="54">
        <v>1001</v>
      </c>
      <c r="E3191" s="153" t="s">
        <v>7930</v>
      </c>
      <c r="F3191" s="153" t="s">
        <v>7930</v>
      </c>
      <c r="G3191" s="54" t="s">
        <v>7931</v>
      </c>
      <c r="H3191" s="54" t="s">
        <v>1822</v>
      </c>
      <c r="I3191" s="54">
        <v>1</v>
      </c>
      <c r="J3191" s="54">
        <v>5</v>
      </c>
      <c r="K3191" s="54">
        <v>2</v>
      </c>
      <c r="L3191" s="54">
        <v>999</v>
      </c>
      <c r="M3191" s="54">
        <v>0</v>
      </c>
      <c r="N3191" s="54">
        <v>1018</v>
      </c>
      <c r="O3191" s="54" t="s">
        <v>7932</v>
      </c>
      <c r="S3191" s="54">
        <v>1</v>
      </c>
      <c r="T3191" s="54">
        <v>5</v>
      </c>
      <c r="U3191" s="54">
        <v>100</v>
      </c>
      <c r="W3191" s="54">
        <v>1</v>
      </c>
      <c r="X3191" s="54">
        <v>1</v>
      </c>
      <c r="Y3191" s="54">
        <v>0</v>
      </c>
      <c r="Z3191" s="54">
        <v>0</v>
      </c>
      <c r="AA3191" s="54">
        <v>5</v>
      </c>
      <c r="AB3191" s="54">
        <v>2000</v>
      </c>
      <c r="AC3191" s="54">
        <v>70</v>
      </c>
      <c r="AD3191" s="502">
        <v>0</v>
      </c>
      <c r="AE3191" s="502">
        <v>5</v>
      </c>
      <c r="AF3191" s="502">
        <v>2</v>
      </c>
      <c r="AG3191" s="503"/>
      <c r="AH3191" s="503"/>
      <c r="AI3191" s="503"/>
      <c r="AJ3191" s="503"/>
      <c r="AK3191" s="503"/>
      <c r="AL3191" s="504"/>
      <c r="AM3191" s="504"/>
      <c r="AN3191" s="514"/>
      <c r="AO3191" s="504"/>
      <c r="AP3191" s="504"/>
      <c r="AS3191" s="54">
        <v>1</v>
      </c>
    </row>
    <row r="3192" s="54" customFormat="1" spans="1:45">
      <c r="A3192" s="54">
        <v>619461</v>
      </c>
      <c r="B3192" s="54">
        <v>1001</v>
      </c>
      <c r="C3192" s="54">
        <v>1</v>
      </c>
      <c r="D3192" s="54">
        <v>1001</v>
      </c>
      <c r="E3192" s="153" t="s">
        <v>7933</v>
      </c>
      <c r="F3192" s="153" t="s">
        <v>7933</v>
      </c>
      <c r="G3192" s="54" t="s">
        <v>7934</v>
      </c>
      <c r="H3192" s="54" t="s">
        <v>1822</v>
      </c>
      <c r="I3192" s="54">
        <v>1</v>
      </c>
      <c r="J3192" s="54">
        <v>5</v>
      </c>
      <c r="K3192" s="54">
        <v>2</v>
      </c>
      <c r="L3192" s="54">
        <v>999</v>
      </c>
      <c r="M3192" s="54">
        <v>0</v>
      </c>
      <c r="N3192" s="54">
        <v>1018</v>
      </c>
      <c r="O3192" s="54" t="s">
        <v>7935</v>
      </c>
      <c r="S3192" s="54">
        <v>1</v>
      </c>
      <c r="T3192" s="54">
        <v>5</v>
      </c>
      <c r="U3192" s="54">
        <v>100</v>
      </c>
      <c r="W3192" s="54">
        <v>1</v>
      </c>
      <c r="X3192" s="54">
        <v>1</v>
      </c>
      <c r="Y3192" s="54">
        <v>0</v>
      </c>
      <c r="Z3192" s="54">
        <v>0</v>
      </c>
      <c r="AA3192" s="54">
        <v>5</v>
      </c>
      <c r="AB3192" s="54">
        <v>2000</v>
      </c>
      <c r="AC3192" s="54">
        <v>70</v>
      </c>
      <c r="AD3192" s="502">
        <v>0</v>
      </c>
      <c r="AE3192" s="502">
        <v>5</v>
      </c>
      <c r="AF3192" s="502">
        <v>2</v>
      </c>
      <c r="AG3192" s="503"/>
      <c r="AH3192" s="503"/>
      <c r="AI3192" s="503"/>
      <c r="AJ3192" s="503"/>
      <c r="AK3192" s="503"/>
      <c r="AL3192" s="504"/>
      <c r="AM3192" s="504"/>
      <c r="AN3192" s="514"/>
      <c r="AO3192" s="504"/>
      <c r="AP3192" s="504"/>
      <c r="AS3192" s="54">
        <v>1</v>
      </c>
    </row>
    <row r="3193" s="54" customFormat="1" spans="1:45">
      <c r="A3193" s="54">
        <v>619462</v>
      </c>
      <c r="B3193" s="54">
        <v>1001</v>
      </c>
      <c r="C3193" s="54">
        <v>1</v>
      </c>
      <c r="D3193" s="54">
        <v>1001</v>
      </c>
      <c r="E3193" s="153" t="s">
        <v>7936</v>
      </c>
      <c r="F3193" s="153" t="s">
        <v>7936</v>
      </c>
      <c r="G3193" s="54" t="s">
        <v>7937</v>
      </c>
      <c r="H3193" s="54" t="s">
        <v>1822</v>
      </c>
      <c r="I3193" s="54">
        <v>1</v>
      </c>
      <c r="J3193" s="54">
        <v>5</v>
      </c>
      <c r="K3193" s="54">
        <v>2</v>
      </c>
      <c r="L3193" s="54">
        <v>999</v>
      </c>
      <c r="M3193" s="54">
        <v>0</v>
      </c>
      <c r="N3193" s="54">
        <v>1018</v>
      </c>
      <c r="O3193" s="54" t="s">
        <v>7938</v>
      </c>
      <c r="S3193" s="54">
        <v>1</v>
      </c>
      <c r="T3193" s="54">
        <v>5</v>
      </c>
      <c r="U3193" s="54">
        <v>100</v>
      </c>
      <c r="W3193" s="54">
        <v>1</v>
      </c>
      <c r="X3193" s="54">
        <v>1</v>
      </c>
      <c r="Y3193" s="54">
        <v>0</v>
      </c>
      <c r="Z3193" s="54">
        <v>0</v>
      </c>
      <c r="AA3193" s="54">
        <v>5</v>
      </c>
      <c r="AB3193" s="54">
        <v>2000</v>
      </c>
      <c r="AC3193" s="54">
        <v>70</v>
      </c>
      <c r="AD3193" s="502">
        <v>0</v>
      </c>
      <c r="AE3193" s="502">
        <v>5</v>
      </c>
      <c r="AF3193" s="502">
        <v>2</v>
      </c>
      <c r="AG3193" s="503"/>
      <c r="AH3193" s="503"/>
      <c r="AI3193" s="503"/>
      <c r="AJ3193" s="503"/>
      <c r="AK3193" s="503"/>
      <c r="AL3193" s="504"/>
      <c r="AM3193" s="504"/>
      <c r="AN3193" s="514"/>
      <c r="AO3193" s="504"/>
      <c r="AP3193" s="504"/>
      <c r="AS3193" s="54">
        <v>1</v>
      </c>
    </row>
    <row r="3194" s="54" customFormat="1" spans="1:45">
      <c r="A3194" s="54">
        <v>619463</v>
      </c>
      <c r="B3194" s="54">
        <v>1001</v>
      </c>
      <c r="C3194" s="54">
        <v>1</v>
      </c>
      <c r="D3194" s="54">
        <v>1001</v>
      </c>
      <c r="E3194" s="153" t="s">
        <v>7939</v>
      </c>
      <c r="F3194" s="153" t="s">
        <v>7939</v>
      </c>
      <c r="G3194" s="54" t="s">
        <v>7940</v>
      </c>
      <c r="H3194" s="54" t="s">
        <v>1822</v>
      </c>
      <c r="I3194" s="54">
        <v>1</v>
      </c>
      <c r="J3194" s="54">
        <v>5</v>
      </c>
      <c r="K3194" s="54">
        <v>2</v>
      </c>
      <c r="L3194" s="54">
        <v>999</v>
      </c>
      <c r="M3194" s="54">
        <v>0</v>
      </c>
      <c r="N3194" s="54">
        <v>1018</v>
      </c>
      <c r="O3194" s="54" t="s">
        <v>7941</v>
      </c>
      <c r="S3194" s="54">
        <v>1</v>
      </c>
      <c r="T3194" s="54">
        <v>5</v>
      </c>
      <c r="U3194" s="54">
        <v>100</v>
      </c>
      <c r="W3194" s="54">
        <v>1</v>
      </c>
      <c r="X3194" s="54">
        <v>1</v>
      </c>
      <c r="Y3194" s="54">
        <v>0</v>
      </c>
      <c r="Z3194" s="54">
        <v>0</v>
      </c>
      <c r="AA3194" s="54">
        <v>5</v>
      </c>
      <c r="AB3194" s="54">
        <v>2000</v>
      </c>
      <c r="AC3194" s="54">
        <v>70</v>
      </c>
      <c r="AD3194" s="502">
        <v>0</v>
      </c>
      <c r="AE3194" s="502">
        <v>5</v>
      </c>
      <c r="AF3194" s="502">
        <v>2</v>
      </c>
      <c r="AG3194" s="503"/>
      <c r="AH3194" s="503"/>
      <c r="AI3194" s="503"/>
      <c r="AJ3194" s="503"/>
      <c r="AK3194" s="503"/>
      <c r="AL3194" s="504"/>
      <c r="AM3194" s="504"/>
      <c r="AN3194" s="514"/>
      <c r="AO3194" s="504"/>
      <c r="AP3194" s="504"/>
      <c r="AS3194" s="54">
        <v>1</v>
      </c>
    </row>
    <row r="3195" s="54" customFormat="1" ht="27" customHeight="1" spans="1:45">
      <c r="A3195" s="54">
        <v>619464</v>
      </c>
      <c r="B3195" s="54">
        <v>1001</v>
      </c>
      <c r="C3195" s="54">
        <v>1</v>
      </c>
      <c r="D3195" s="54">
        <v>1001</v>
      </c>
      <c r="E3195" s="153" t="s">
        <v>7942</v>
      </c>
      <c r="F3195" s="153" t="s">
        <v>7942</v>
      </c>
      <c r="G3195" s="515" t="s">
        <v>7943</v>
      </c>
      <c r="H3195" s="54" t="s">
        <v>1822</v>
      </c>
      <c r="I3195" s="54">
        <v>1</v>
      </c>
      <c r="J3195" s="54">
        <v>5</v>
      </c>
      <c r="K3195" s="54">
        <v>2</v>
      </c>
      <c r="L3195" s="54">
        <v>999</v>
      </c>
      <c r="M3195" s="54">
        <v>0</v>
      </c>
      <c r="N3195" s="54">
        <v>1018</v>
      </c>
      <c r="O3195" s="501" t="s">
        <v>7944</v>
      </c>
      <c r="S3195" s="54">
        <v>1</v>
      </c>
      <c r="T3195" s="54">
        <v>5</v>
      </c>
      <c r="U3195" s="54">
        <v>100</v>
      </c>
      <c r="V3195" s="54"/>
      <c r="W3195" s="54">
        <v>1</v>
      </c>
      <c r="X3195" s="54">
        <v>1</v>
      </c>
      <c r="Y3195" s="54">
        <v>0</v>
      </c>
      <c r="Z3195" s="54">
        <v>0</v>
      </c>
      <c r="AA3195" s="54">
        <v>5</v>
      </c>
      <c r="AB3195" s="54">
        <v>2000</v>
      </c>
      <c r="AC3195" s="54">
        <v>70</v>
      </c>
      <c r="AD3195" s="502">
        <v>0</v>
      </c>
      <c r="AE3195" s="502">
        <v>5</v>
      </c>
      <c r="AF3195" s="502">
        <v>2</v>
      </c>
      <c r="AG3195" s="503"/>
      <c r="AH3195" s="503"/>
      <c r="AI3195" s="503"/>
      <c r="AJ3195" s="503"/>
      <c r="AK3195" s="503"/>
      <c r="AL3195" s="504"/>
      <c r="AM3195" s="504"/>
      <c r="AN3195" s="514"/>
      <c r="AO3195" s="504"/>
      <c r="AP3195" s="504"/>
      <c r="AS3195" s="54">
        <v>1</v>
      </c>
    </row>
    <row r="3196" s="54" customFormat="1" spans="1:45">
      <c r="A3196" s="54">
        <v>619465</v>
      </c>
      <c r="B3196" s="54">
        <v>1001</v>
      </c>
      <c r="C3196" s="54">
        <v>6</v>
      </c>
      <c r="D3196" s="54">
        <v>1001</v>
      </c>
      <c r="E3196" s="54" t="s">
        <v>7945</v>
      </c>
      <c r="F3196" s="54" t="s">
        <v>7945</v>
      </c>
      <c r="G3196" s="515" t="s">
        <v>7946</v>
      </c>
      <c r="H3196" s="54" t="s">
        <v>1931</v>
      </c>
      <c r="I3196" s="54">
        <v>1</v>
      </c>
      <c r="J3196" s="54">
        <v>5</v>
      </c>
      <c r="K3196" s="54">
        <v>2</v>
      </c>
      <c r="L3196" s="54">
        <v>999</v>
      </c>
      <c r="M3196" s="54">
        <v>0</v>
      </c>
      <c r="N3196" s="54">
        <v>1018</v>
      </c>
      <c r="O3196" s="501" t="s">
        <v>7947</v>
      </c>
      <c r="S3196" s="54">
        <v>1</v>
      </c>
      <c r="T3196" s="54">
        <v>5</v>
      </c>
      <c r="U3196" s="54">
        <v>1</v>
      </c>
      <c r="V3196" s="54">
        <v>1</v>
      </c>
      <c r="W3196" s="54">
        <v>1</v>
      </c>
      <c r="X3196" s="54">
        <v>1</v>
      </c>
      <c r="Y3196" s="54">
        <v>0</v>
      </c>
      <c r="Z3196" s="54">
        <v>0</v>
      </c>
      <c r="AA3196" s="54">
        <v>5</v>
      </c>
      <c r="AB3196" s="54">
        <v>100</v>
      </c>
      <c r="AC3196" s="54">
        <v>70</v>
      </c>
      <c r="AD3196" s="502">
        <v>0</v>
      </c>
      <c r="AE3196" s="502">
        <v>5</v>
      </c>
      <c r="AF3196" s="502">
        <v>2</v>
      </c>
      <c r="AG3196" s="503"/>
      <c r="AH3196" s="503"/>
      <c r="AI3196" s="503"/>
      <c r="AJ3196" s="503"/>
      <c r="AK3196" s="503"/>
      <c r="AL3196" s="504"/>
      <c r="AM3196" s="504"/>
      <c r="AN3196" s="514"/>
      <c r="AO3196" s="504"/>
      <c r="AP3196" s="504"/>
      <c r="AS3196" s="54">
        <v>1</v>
      </c>
    </row>
    <row r="3197" s="54" customFormat="1" spans="1:45">
      <c r="A3197" s="54">
        <v>619466</v>
      </c>
      <c r="B3197" s="54">
        <v>1001</v>
      </c>
      <c r="C3197" s="54">
        <v>6</v>
      </c>
      <c r="D3197" s="54">
        <v>1001</v>
      </c>
      <c r="E3197" s="54" t="s">
        <v>7948</v>
      </c>
      <c r="F3197" s="54" t="s">
        <v>7948</v>
      </c>
      <c r="G3197" s="515" t="s">
        <v>7949</v>
      </c>
      <c r="H3197" s="54" t="s">
        <v>1520</v>
      </c>
      <c r="I3197" s="54">
        <v>1</v>
      </c>
      <c r="J3197" s="54">
        <v>5</v>
      </c>
      <c r="K3197" s="54">
        <v>2</v>
      </c>
      <c r="L3197" s="54">
        <v>999</v>
      </c>
      <c r="M3197" s="54">
        <v>0</v>
      </c>
      <c r="N3197" s="54">
        <v>1017</v>
      </c>
      <c r="O3197" s="501">
        <v>300070</v>
      </c>
      <c r="S3197" s="54">
        <v>1</v>
      </c>
      <c r="T3197" s="54">
        <v>5</v>
      </c>
      <c r="U3197" s="54">
        <v>1</v>
      </c>
      <c r="V3197" s="54">
        <v>1</v>
      </c>
      <c r="W3197" s="54">
        <v>1</v>
      </c>
      <c r="X3197" s="54">
        <v>1</v>
      </c>
      <c r="Y3197" s="54">
        <v>0</v>
      </c>
      <c r="Z3197" s="54">
        <v>0</v>
      </c>
      <c r="AA3197" s="54">
        <v>5</v>
      </c>
      <c r="AB3197" s="54">
        <v>100</v>
      </c>
      <c r="AC3197" s="54">
        <v>70</v>
      </c>
      <c r="AD3197" s="502">
        <v>0</v>
      </c>
      <c r="AE3197" s="502">
        <v>1</v>
      </c>
      <c r="AF3197" s="502">
        <v>2</v>
      </c>
      <c r="AG3197" s="503"/>
      <c r="AH3197" s="503"/>
      <c r="AI3197" s="503"/>
      <c r="AJ3197" s="503"/>
      <c r="AK3197" s="503"/>
      <c r="AL3197" s="504"/>
      <c r="AM3197" s="504"/>
      <c r="AN3197" s="514"/>
      <c r="AO3197" s="504"/>
      <c r="AP3197" s="504"/>
      <c r="AS3197" s="54">
        <v>1</v>
      </c>
    </row>
    <row r="3198" s="54" customFormat="1" spans="1:45">
      <c r="A3198" s="54">
        <v>619467</v>
      </c>
      <c r="B3198" s="54">
        <v>1001</v>
      </c>
      <c r="C3198" s="54">
        <v>6</v>
      </c>
      <c r="D3198" s="54">
        <v>1001</v>
      </c>
      <c r="E3198" s="54" t="s">
        <v>7950</v>
      </c>
      <c r="F3198" s="54" t="s">
        <v>7950</v>
      </c>
      <c r="G3198" s="515" t="s">
        <v>7951</v>
      </c>
      <c r="H3198" s="54" t="s">
        <v>1520</v>
      </c>
      <c r="I3198" s="54">
        <v>1</v>
      </c>
      <c r="J3198" s="54">
        <v>5</v>
      </c>
      <c r="K3198" s="54">
        <v>2</v>
      </c>
      <c r="L3198" s="54">
        <v>999</v>
      </c>
      <c r="M3198" s="54">
        <v>0</v>
      </c>
      <c r="N3198" s="54">
        <v>1017</v>
      </c>
      <c r="O3198" s="501">
        <v>300071</v>
      </c>
      <c r="S3198" s="54">
        <v>1</v>
      </c>
      <c r="T3198" s="54">
        <v>5</v>
      </c>
      <c r="U3198" s="54">
        <v>1</v>
      </c>
      <c r="V3198" s="54">
        <v>1</v>
      </c>
      <c r="W3198" s="54">
        <v>1</v>
      </c>
      <c r="X3198" s="54">
        <v>1</v>
      </c>
      <c r="Y3198" s="54">
        <v>0</v>
      </c>
      <c r="Z3198" s="54">
        <v>0</v>
      </c>
      <c r="AA3198" s="54">
        <v>5</v>
      </c>
      <c r="AB3198" s="54">
        <v>100</v>
      </c>
      <c r="AC3198" s="54">
        <v>70</v>
      </c>
      <c r="AD3198" s="502">
        <v>0</v>
      </c>
      <c r="AE3198" s="502">
        <v>1</v>
      </c>
      <c r="AF3198" s="502">
        <v>2</v>
      </c>
      <c r="AG3198" s="503"/>
      <c r="AH3198" s="503"/>
      <c r="AI3198" s="503"/>
      <c r="AJ3198" s="503"/>
      <c r="AK3198" s="503"/>
      <c r="AL3198" s="504"/>
      <c r="AM3198" s="504"/>
      <c r="AN3198" s="514"/>
      <c r="AO3198" s="504"/>
      <c r="AP3198" s="504"/>
      <c r="AS3198" s="54">
        <v>1</v>
      </c>
    </row>
    <row r="3199" s="54" customFormat="1" spans="1:45">
      <c r="A3199" s="54">
        <v>619468</v>
      </c>
      <c r="B3199" s="54">
        <v>1001</v>
      </c>
      <c r="C3199" s="54">
        <v>6</v>
      </c>
      <c r="D3199" s="54">
        <v>1001</v>
      </c>
      <c r="E3199" s="54" t="s">
        <v>7952</v>
      </c>
      <c r="F3199" s="54" t="s">
        <v>7952</v>
      </c>
      <c r="G3199" s="515" t="s">
        <v>7953</v>
      </c>
      <c r="H3199" s="54" t="s">
        <v>1520</v>
      </c>
      <c r="I3199" s="54">
        <v>1</v>
      </c>
      <c r="J3199" s="54">
        <v>5</v>
      </c>
      <c r="K3199" s="54">
        <v>2</v>
      </c>
      <c r="L3199" s="54">
        <v>999</v>
      </c>
      <c r="M3199" s="54">
        <v>0</v>
      </c>
      <c r="N3199" s="54">
        <v>1017</v>
      </c>
      <c r="O3199" s="501">
        <v>300072</v>
      </c>
      <c r="S3199" s="54">
        <v>1</v>
      </c>
      <c r="T3199" s="54">
        <v>5</v>
      </c>
      <c r="U3199" s="54">
        <v>1</v>
      </c>
      <c r="V3199" s="54">
        <v>1</v>
      </c>
      <c r="W3199" s="54">
        <v>1</v>
      </c>
      <c r="X3199" s="54">
        <v>1</v>
      </c>
      <c r="Y3199" s="54">
        <v>0</v>
      </c>
      <c r="Z3199" s="54">
        <v>0</v>
      </c>
      <c r="AA3199" s="54">
        <v>5</v>
      </c>
      <c r="AB3199" s="54">
        <v>100</v>
      </c>
      <c r="AC3199" s="54">
        <v>70</v>
      </c>
      <c r="AD3199" s="502">
        <v>0</v>
      </c>
      <c r="AE3199" s="502">
        <v>1</v>
      </c>
      <c r="AF3199" s="502">
        <v>2</v>
      </c>
      <c r="AG3199" s="503"/>
      <c r="AH3199" s="503"/>
      <c r="AI3199" s="503"/>
      <c r="AJ3199" s="503"/>
      <c r="AK3199" s="503"/>
      <c r="AL3199" s="504"/>
      <c r="AM3199" s="504"/>
      <c r="AN3199" s="514"/>
      <c r="AO3199" s="504"/>
      <c r="AP3199" s="504"/>
      <c r="AS3199" s="54">
        <v>1</v>
      </c>
    </row>
    <row r="3200" s="54" customFormat="1" spans="1:45">
      <c r="A3200" s="54">
        <v>619469</v>
      </c>
      <c r="B3200" s="54">
        <v>1001</v>
      </c>
      <c r="C3200" s="54">
        <v>6</v>
      </c>
      <c r="D3200" s="54">
        <v>1001</v>
      </c>
      <c r="E3200" s="54" t="s">
        <v>7954</v>
      </c>
      <c r="F3200" s="54" t="s">
        <v>7954</v>
      </c>
      <c r="G3200" s="515" t="s">
        <v>7955</v>
      </c>
      <c r="H3200" s="54" t="s">
        <v>1520</v>
      </c>
      <c r="I3200" s="54">
        <v>1</v>
      </c>
      <c r="J3200" s="54">
        <v>5</v>
      </c>
      <c r="K3200" s="54">
        <v>2</v>
      </c>
      <c r="L3200" s="54">
        <v>999</v>
      </c>
      <c r="M3200" s="54">
        <v>0</v>
      </c>
      <c r="N3200" s="54">
        <v>1017</v>
      </c>
      <c r="O3200" s="501">
        <v>300073</v>
      </c>
      <c r="S3200" s="54">
        <v>1</v>
      </c>
      <c r="T3200" s="54">
        <v>5</v>
      </c>
      <c r="U3200" s="54">
        <v>1</v>
      </c>
      <c r="V3200" s="54">
        <v>1</v>
      </c>
      <c r="W3200" s="54">
        <v>1</v>
      </c>
      <c r="X3200" s="54">
        <v>1</v>
      </c>
      <c r="Y3200" s="54">
        <v>0</v>
      </c>
      <c r="Z3200" s="54">
        <v>0</v>
      </c>
      <c r="AA3200" s="54">
        <v>5</v>
      </c>
      <c r="AB3200" s="54">
        <v>100</v>
      </c>
      <c r="AC3200" s="54">
        <v>70</v>
      </c>
      <c r="AD3200" s="502">
        <v>0</v>
      </c>
      <c r="AE3200" s="502">
        <v>1</v>
      </c>
      <c r="AF3200" s="502">
        <v>2</v>
      </c>
      <c r="AG3200" s="503"/>
      <c r="AH3200" s="503"/>
      <c r="AI3200" s="503"/>
      <c r="AJ3200" s="503"/>
      <c r="AK3200" s="503"/>
      <c r="AL3200" s="504"/>
      <c r="AM3200" s="504"/>
      <c r="AN3200" s="514"/>
      <c r="AO3200" s="504"/>
      <c r="AP3200" s="504"/>
      <c r="AS3200" s="54">
        <v>1</v>
      </c>
    </row>
    <row r="3201" s="54" customFormat="1" spans="1:45">
      <c r="A3201" s="54">
        <v>619470</v>
      </c>
      <c r="B3201" s="54">
        <v>1001</v>
      </c>
      <c r="C3201" s="54">
        <v>1</v>
      </c>
      <c r="D3201" s="54">
        <v>1001</v>
      </c>
      <c r="E3201" s="54" t="s">
        <v>5550</v>
      </c>
      <c r="F3201" s="54" t="s">
        <v>5550</v>
      </c>
      <c r="G3201" s="515" t="s">
        <v>7956</v>
      </c>
      <c r="H3201" s="54" t="s">
        <v>1531</v>
      </c>
      <c r="I3201" s="54">
        <v>1</v>
      </c>
      <c r="J3201" s="54">
        <v>5</v>
      </c>
      <c r="K3201" s="54">
        <v>2</v>
      </c>
      <c r="L3201" s="54">
        <v>999</v>
      </c>
      <c r="M3201" s="54">
        <v>0</v>
      </c>
      <c r="N3201" s="54">
        <v>1018</v>
      </c>
      <c r="O3201" s="501" t="s">
        <v>7957</v>
      </c>
      <c r="S3201" s="54">
        <v>1</v>
      </c>
      <c r="T3201" s="54">
        <v>5</v>
      </c>
      <c r="U3201" s="54">
        <v>100</v>
      </c>
      <c r="W3201" s="54">
        <v>1</v>
      </c>
      <c r="X3201" s="54">
        <v>1</v>
      </c>
      <c r="Y3201" s="54">
        <v>0</v>
      </c>
      <c r="Z3201" s="54">
        <v>0</v>
      </c>
      <c r="AA3201" s="54">
        <v>5</v>
      </c>
      <c r="AB3201" s="54">
        <v>2000</v>
      </c>
      <c r="AC3201" s="54">
        <v>70</v>
      </c>
      <c r="AD3201" s="502">
        <v>0</v>
      </c>
      <c r="AE3201" s="502">
        <v>5</v>
      </c>
      <c r="AF3201" s="502">
        <v>2</v>
      </c>
      <c r="AG3201" s="503"/>
      <c r="AH3201" s="503"/>
      <c r="AI3201" s="503"/>
      <c r="AJ3201" s="503"/>
      <c r="AK3201" s="503"/>
      <c r="AL3201" s="504"/>
      <c r="AM3201" s="504"/>
      <c r="AN3201" s="514"/>
      <c r="AO3201" s="504"/>
      <c r="AP3201" s="504"/>
      <c r="AS3201" s="54">
        <v>1</v>
      </c>
    </row>
    <row r="3202" s="3" customFormat="1" spans="1:45">
      <c r="A3202" s="54">
        <v>619471</v>
      </c>
      <c r="B3202" s="3">
        <v>1001</v>
      </c>
      <c r="C3202" s="3">
        <v>1</v>
      </c>
      <c r="D3202" s="3">
        <v>1001</v>
      </c>
      <c r="E3202" s="3" t="s">
        <v>7958</v>
      </c>
      <c r="F3202" s="3" t="s">
        <v>7958</v>
      </c>
      <c r="G3202" s="3" t="s">
        <v>7959</v>
      </c>
      <c r="H3202" s="3" t="s">
        <v>1822</v>
      </c>
      <c r="I3202" s="3">
        <v>1</v>
      </c>
      <c r="J3202" s="3">
        <v>5</v>
      </c>
      <c r="K3202" s="3">
        <v>2</v>
      </c>
      <c r="L3202" s="3">
        <v>999</v>
      </c>
      <c r="M3202" s="3">
        <v>0</v>
      </c>
      <c r="N3202" s="3">
        <v>1018</v>
      </c>
      <c r="O3202" s="231" t="s">
        <v>7960</v>
      </c>
      <c r="S3202" s="3">
        <v>1</v>
      </c>
      <c r="T3202" s="3">
        <v>5</v>
      </c>
      <c r="U3202" s="3">
        <v>100</v>
      </c>
      <c r="W3202" s="3">
        <v>1</v>
      </c>
      <c r="X3202" s="3">
        <v>1</v>
      </c>
      <c r="Y3202" s="3">
        <v>0</v>
      </c>
      <c r="Z3202" s="3">
        <v>0</v>
      </c>
      <c r="AA3202" s="3">
        <v>5</v>
      </c>
      <c r="AB3202" s="3">
        <v>2000</v>
      </c>
      <c r="AC3202" s="3">
        <v>70</v>
      </c>
      <c r="AD3202" s="153">
        <v>0</v>
      </c>
      <c r="AE3202" s="153">
        <v>5</v>
      </c>
      <c r="AF3202" s="153">
        <v>2</v>
      </c>
      <c r="AG3202" s="337"/>
      <c r="AH3202" s="337"/>
      <c r="AI3202" s="337"/>
      <c r="AJ3202" s="337"/>
      <c r="AK3202" s="337"/>
      <c r="AL3202" s="234"/>
      <c r="AM3202" s="234"/>
      <c r="AN3202" s="476"/>
      <c r="AO3202" s="234"/>
      <c r="AP3202" s="234"/>
      <c r="AS3202" s="3">
        <v>1</v>
      </c>
    </row>
    <row r="3203" s="3" customFormat="1" spans="1:45">
      <c r="A3203" s="54">
        <v>619472</v>
      </c>
      <c r="B3203" s="3">
        <v>1001</v>
      </c>
      <c r="C3203" s="3">
        <v>1</v>
      </c>
      <c r="D3203" s="3">
        <v>1001</v>
      </c>
      <c r="E3203" s="3" t="s">
        <v>7961</v>
      </c>
      <c r="F3203" s="3" t="s">
        <v>7961</v>
      </c>
      <c r="G3203" s="3" t="s">
        <v>7962</v>
      </c>
      <c r="H3203" s="3" t="s">
        <v>1709</v>
      </c>
      <c r="I3203" s="3">
        <v>1</v>
      </c>
      <c r="J3203" s="3">
        <v>5</v>
      </c>
      <c r="K3203" s="3">
        <v>2</v>
      </c>
      <c r="L3203" s="3">
        <v>999</v>
      </c>
      <c r="M3203" s="3">
        <v>0</v>
      </c>
      <c r="N3203" s="3">
        <v>1018</v>
      </c>
      <c r="O3203" s="231" t="s">
        <v>7963</v>
      </c>
      <c r="S3203" s="3">
        <v>1</v>
      </c>
      <c r="T3203" s="3">
        <v>5</v>
      </c>
      <c r="U3203" s="3">
        <v>100</v>
      </c>
      <c r="V3203" s="54"/>
      <c r="W3203" s="3">
        <v>1</v>
      </c>
      <c r="X3203" s="3">
        <v>1</v>
      </c>
      <c r="Y3203" s="3">
        <v>0</v>
      </c>
      <c r="Z3203" s="3">
        <v>0</v>
      </c>
      <c r="AA3203" s="3">
        <v>5</v>
      </c>
      <c r="AB3203" s="3">
        <v>2000</v>
      </c>
      <c r="AC3203" s="3">
        <v>70</v>
      </c>
      <c r="AD3203" s="153">
        <v>0</v>
      </c>
      <c r="AE3203" s="153">
        <v>5</v>
      </c>
      <c r="AF3203" s="153">
        <v>2</v>
      </c>
      <c r="AG3203" s="337"/>
      <c r="AH3203" s="337"/>
      <c r="AI3203" s="337"/>
      <c r="AJ3203" s="337"/>
      <c r="AK3203" s="337"/>
      <c r="AL3203" s="234"/>
      <c r="AM3203" s="234"/>
      <c r="AN3203" s="476"/>
      <c r="AO3203" s="234"/>
      <c r="AP3203" s="234"/>
      <c r="AS3203" s="3">
        <v>1</v>
      </c>
    </row>
    <row r="3204" s="54" customFormat="1" spans="1:45">
      <c r="A3204" s="54">
        <v>619473</v>
      </c>
      <c r="B3204" s="54">
        <v>1001</v>
      </c>
      <c r="C3204" s="54">
        <v>6</v>
      </c>
      <c r="D3204" s="54">
        <v>1001</v>
      </c>
      <c r="E3204" s="516" t="s">
        <v>7964</v>
      </c>
      <c r="F3204" s="516" t="s">
        <v>7964</v>
      </c>
      <c r="G3204" s="515" t="s">
        <v>7965</v>
      </c>
      <c r="H3204" s="54" t="s">
        <v>1931</v>
      </c>
      <c r="I3204" s="54">
        <v>1</v>
      </c>
      <c r="J3204" s="54">
        <v>5</v>
      </c>
      <c r="K3204" s="54">
        <v>2</v>
      </c>
      <c r="L3204" s="54">
        <v>999</v>
      </c>
      <c r="M3204" s="54">
        <v>0</v>
      </c>
      <c r="N3204" s="54">
        <v>1018</v>
      </c>
      <c r="O3204" s="501" t="s">
        <v>7966</v>
      </c>
      <c r="S3204" s="54">
        <v>1</v>
      </c>
      <c r="T3204" s="54">
        <v>5</v>
      </c>
      <c r="U3204" s="54">
        <v>1</v>
      </c>
      <c r="V3204" s="54">
        <v>1</v>
      </c>
      <c r="W3204" s="54">
        <v>1</v>
      </c>
      <c r="X3204" s="54">
        <v>1</v>
      </c>
      <c r="Y3204" s="54">
        <v>0</v>
      </c>
      <c r="Z3204" s="54">
        <v>0</v>
      </c>
      <c r="AA3204" s="54">
        <v>5</v>
      </c>
      <c r="AB3204" s="54">
        <v>100</v>
      </c>
      <c r="AC3204" s="54">
        <v>70</v>
      </c>
      <c r="AD3204" s="502">
        <v>0</v>
      </c>
      <c r="AE3204" s="502">
        <v>5</v>
      </c>
      <c r="AF3204" s="502">
        <v>2</v>
      </c>
      <c r="AG3204" s="503"/>
      <c r="AH3204" s="503"/>
      <c r="AI3204" s="503"/>
      <c r="AJ3204" s="503"/>
      <c r="AK3204" s="503"/>
      <c r="AL3204" s="504"/>
      <c r="AM3204" s="504"/>
      <c r="AN3204" s="514"/>
      <c r="AO3204" s="504"/>
      <c r="AP3204" s="504"/>
      <c r="AS3204" s="54">
        <v>1</v>
      </c>
    </row>
    <row r="3205" s="54" customFormat="1" spans="1:45">
      <c r="A3205" s="54">
        <v>619474</v>
      </c>
      <c r="B3205" s="54">
        <v>1001</v>
      </c>
      <c r="C3205" s="54">
        <v>6</v>
      </c>
      <c r="D3205" s="54">
        <v>1001</v>
      </c>
      <c r="E3205" s="525" t="s">
        <v>7967</v>
      </c>
      <c r="F3205" s="525" t="s">
        <v>7967</v>
      </c>
      <c r="G3205" s="515" t="s">
        <v>7968</v>
      </c>
      <c r="H3205" s="54" t="s">
        <v>1520</v>
      </c>
      <c r="I3205" s="54">
        <v>1</v>
      </c>
      <c r="J3205" s="54">
        <v>5</v>
      </c>
      <c r="K3205" s="54">
        <v>2</v>
      </c>
      <c r="L3205" s="54">
        <v>999</v>
      </c>
      <c r="M3205" s="54">
        <v>0</v>
      </c>
      <c r="N3205" s="54">
        <v>1017</v>
      </c>
      <c r="O3205">
        <v>300074</v>
      </c>
      <c r="S3205" s="54">
        <v>1</v>
      </c>
      <c r="T3205" s="54">
        <v>5</v>
      </c>
      <c r="U3205" s="54">
        <v>1</v>
      </c>
      <c r="V3205" s="54">
        <v>1</v>
      </c>
      <c r="W3205" s="54">
        <v>1</v>
      </c>
      <c r="X3205" s="54">
        <v>1</v>
      </c>
      <c r="Y3205" s="54">
        <v>0</v>
      </c>
      <c r="Z3205" s="54">
        <v>0</v>
      </c>
      <c r="AA3205" s="54">
        <v>5</v>
      </c>
      <c r="AB3205" s="54">
        <v>100</v>
      </c>
      <c r="AC3205" s="54">
        <v>70</v>
      </c>
      <c r="AD3205" s="502">
        <v>0</v>
      </c>
      <c r="AE3205" s="502">
        <v>1</v>
      </c>
      <c r="AF3205" s="502">
        <v>2</v>
      </c>
      <c r="AG3205" s="503"/>
      <c r="AH3205" s="503"/>
      <c r="AI3205" s="503"/>
      <c r="AJ3205" s="503"/>
      <c r="AK3205" s="503"/>
      <c r="AL3205" s="504"/>
      <c r="AM3205" s="504"/>
      <c r="AN3205" s="514"/>
      <c r="AO3205" s="504"/>
      <c r="AP3205" s="504"/>
      <c r="AS3205" s="54">
        <v>1</v>
      </c>
    </row>
    <row r="3206" s="54" customFormat="1" spans="1:45">
      <c r="A3206" s="54">
        <v>619475</v>
      </c>
      <c r="B3206" s="54">
        <v>1001</v>
      </c>
      <c r="C3206" s="54">
        <v>6</v>
      </c>
      <c r="D3206" s="54">
        <v>1001</v>
      </c>
      <c r="E3206" s="525" t="s">
        <v>7969</v>
      </c>
      <c r="F3206" s="525" t="s">
        <v>7969</v>
      </c>
      <c r="G3206" s="515" t="s">
        <v>7970</v>
      </c>
      <c r="H3206" s="54" t="s">
        <v>1520</v>
      </c>
      <c r="I3206" s="54">
        <v>1</v>
      </c>
      <c r="J3206" s="54">
        <v>5</v>
      </c>
      <c r="K3206" s="54">
        <v>2</v>
      </c>
      <c r="L3206" s="54">
        <v>999</v>
      </c>
      <c r="M3206" s="54">
        <v>0</v>
      </c>
      <c r="N3206" s="54">
        <v>1017</v>
      </c>
      <c r="O3206">
        <v>300075</v>
      </c>
      <c r="S3206" s="54">
        <v>1</v>
      </c>
      <c r="T3206" s="54">
        <v>5</v>
      </c>
      <c r="U3206" s="54">
        <v>1</v>
      </c>
      <c r="V3206" s="54">
        <v>1</v>
      </c>
      <c r="W3206" s="54">
        <v>1</v>
      </c>
      <c r="X3206" s="54">
        <v>1</v>
      </c>
      <c r="Y3206" s="54">
        <v>0</v>
      </c>
      <c r="Z3206" s="54">
        <v>0</v>
      </c>
      <c r="AA3206" s="54">
        <v>5</v>
      </c>
      <c r="AB3206" s="54">
        <v>100</v>
      </c>
      <c r="AC3206" s="54">
        <v>70</v>
      </c>
      <c r="AD3206" s="502">
        <v>0</v>
      </c>
      <c r="AE3206" s="502">
        <v>1</v>
      </c>
      <c r="AF3206" s="502">
        <v>2</v>
      </c>
      <c r="AG3206" s="503"/>
      <c r="AH3206" s="503"/>
      <c r="AI3206" s="503"/>
      <c r="AJ3206" s="503"/>
      <c r="AK3206" s="503"/>
      <c r="AL3206" s="504"/>
      <c r="AM3206" s="504"/>
      <c r="AN3206" s="514"/>
      <c r="AO3206" s="504"/>
      <c r="AP3206" s="504"/>
      <c r="AS3206" s="54">
        <v>1</v>
      </c>
    </row>
    <row r="3207" s="54" customFormat="1" spans="1:45">
      <c r="A3207" s="54">
        <v>619476</v>
      </c>
      <c r="B3207" s="54">
        <v>1001</v>
      </c>
      <c r="C3207" s="54">
        <v>6</v>
      </c>
      <c r="D3207" s="54">
        <v>1001</v>
      </c>
      <c r="E3207" s="525" t="s">
        <v>7971</v>
      </c>
      <c r="F3207" s="525" t="s">
        <v>7971</v>
      </c>
      <c r="G3207" s="515" t="s">
        <v>7972</v>
      </c>
      <c r="H3207" s="54" t="s">
        <v>1520</v>
      </c>
      <c r="I3207" s="54">
        <v>1</v>
      </c>
      <c r="J3207" s="54">
        <v>5</v>
      </c>
      <c r="K3207" s="54">
        <v>2</v>
      </c>
      <c r="L3207" s="54">
        <v>999</v>
      </c>
      <c r="M3207" s="54">
        <v>0</v>
      </c>
      <c r="N3207" s="54">
        <v>1017</v>
      </c>
      <c r="O3207">
        <v>300076</v>
      </c>
      <c r="S3207" s="54">
        <v>1</v>
      </c>
      <c r="T3207" s="54">
        <v>5</v>
      </c>
      <c r="U3207" s="54">
        <v>1</v>
      </c>
      <c r="V3207" s="54">
        <v>1</v>
      </c>
      <c r="W3207" s="54">
        <v>1</v>
      </c>
      <c r="X3207" s="54">
        <v>1</v>
      </c>
      <c r="Y3207" s="54">
        <v>0</v>
      </c>
      <c r="Z3207" s="54">
        <v>0</v>
      </c>
      <c r="AA3207" s="54">
        <v>5</v>
      </c>
      <c r="AB3207" s="54">
        <v>100</v>
      </c>
      <c r="AC3207" s="54">
        <v>70</v>
      </c>
      <c r="AD3207" s="502">
        <v>0</v>
      </c>
      <c r="AE3207" s="502">
        <v>1</v>
      </c>
      <c r="AF3207" s="502">
        <v>2</v>
      </c>
      <c r="AG3207" s="503"/>
      <c r="AH3207" s="503"/>
      <c r="AI3207" s="503"/>
      <c r="AJ3207" s="503"/>
      <c r="AK3207" s="503"/>
      <c r="AL3207" s="504"/>
      <c r="AM3207" s="504"/>
      <c r="AN3207" s="514"/>
      <c r="AO3207" s="504"/>
      <c r="AP3207" s="504"/>
      <c r="AS3207" s="54">
        <v>1</v>
      </c>
    </row>
    <row r="3208" s="54" customFormat="1" spans="1:45">
      <c r="A3208" s="54">
        <v>619477</v>
      </c>
      <c r="B3208" s="54">
        <v>1001</v>
      </c>
      <c r="C3208" s="54">
        <v>6</v>
      </c>
      <c r="D3208" s="54">
        <v>1001</v>
      </c>
      <c r="E3208" s="526" t="s">
        <v>7973</v>
      </c>
      <c r="F3208" s="526" t="s">
        <v>7973</v>
      </c>
      <c r="G3208" s="515" t="s">
        <v>7974</v>
      </c>
      <c r="H3208" s="54" t="s">
        <v>1520</v>
      </c>
      <c r="I3208" s="54">
        <v>1</v>
      </c>
      <c r="J3208" s="54">
        <v>5</v>
      </c>
      <c r="K3208" s="54">
        <v>2</v>
      </c>
      <c r="L3208" s="54">
        <v>999</v>
      </c>
      <c r="M3208" s="54">
        <v>0</v>
      </c>
      <c r="N3208" s="54">
        <v>1017</v>
      </c>
      <c r="O3208">
        <v>300077</v>
      </c>
      <c r="S3208" s="54">
        <v>1</v>
      </c>
      <c r="T3208" s="54">
        <v>5</v>
      </c>
      <c r="U3208" s="54">
        <v>1</v>
      </c>
      <c r="V3208" s="54">
        <v>1</v>
      </c>
      <c r="W3208" s="54">
        <v>1</v>
      </c>
      <c r="X3208" s="54">
        <v>1</v>
      </c>
      <c r="Y3208" s="54">
        <v>0</v>
      </c>
      <c r="Z3208" s="54">
        <v>0</v>
      </c>
      <c r="AA3208" s="54">
        <v>5</v>
      </c>
      <c r="AB3208" s="54">
        <v>100</v>
      </c>
      <c r="AC3208" s="54">
        <v>70</v>
      </c>
      <c r="AD3208" s="502">
        <v>0</v>
      </c>
      <c r="AE3208" s="502">
        <v>1</v>
      </c>
      <c r="AF3208" s="502">
        <v>2</v>
      </c>
      <c r="AG3208" s="503"/>
      <c r="AH3208" s="503"/>
      <c r="AI3208" s="503"/>
      <c r="AJ3208" s="503"/>
      <c r="AK3208" s="503"/>
      <c r="AL3208" s="504"/>
      <c r="AM3208" s="504"/>
      <c r="AN3208" s="514"/>
      <c r="AO3208" s="504"/>
      <c r="AP3208" s="504"/>
      <c r="AS3208" s="54">
        <v>1</v>
      </c>
    </row>
    <row r="3209" s="54" customFormat="1" ht="27" customHeight="1" spans="1:45">
      <c r="A3209" s="54">
        <v>619478</v>
      </c>
      <c r="B3209" s="54">
        <v>1001</v>
      </c>
      <c r="C3209" s="54">
        <v>1</v>
      </c>
      <c r="D3209" s="54">
        <v>1001</v>
      </c>
      <c r="E3209" s="54" t="s">
        <v>5550</v>
      </c>
      <c r="F3209" s="54" t="s">
        <v>5550</v>
      </c>
      <c r="G3209" s="515" t="s">
        <v>7975</v>
      </c>
      <c r="H3209" s="54" t="s">
        <v>1531</v>
      </c>
      <c r="I3209" s="54">
        <v>1</v>
      </c>
      <c r="J3209" s="54">
        <v>5</v>
      </c>
      <c r="K3209" s="54">
        <v>2</v>
      </c>
      <c r="L3209" s="54">
        <v>999</v>
      </c>
      <c r="M3209" s="54">
        <v>0</v>
      </c>
      <c r="N3209" s="54">
        <v>1018</v>
      </c>
      <c r="O3209" s="501" t="s">
        <v>7976</v>
      </c>
      <c r="S3209" s="54">
        <v>1</v>
      </c>
      <c r="T3209" s="54">
        <v>5</v>
      </c>
      <c r="U3209" s="54">
        <v>100</v>
      </c>
      <c r="V3209" s="54"/>
      <c r="W3209" s="54">
        <v>1</v>
      </c>
      <c r="X3209" s="54">
        <v>1</v>
      </c>
      <c r="Y3209" s="54">
        <v>0</v>
      </c>
      <c r="Z3209" s="54">
        <v>0</v>
      </c>
      <c r="AA3209" s="54">
        <v>5</v>
      </c>
      <c r="AB3209" s="54">
        <v>2000</v>
      </c>
      <c r="AC3209" s="54">
        <v>70</v>
      </c>
      <c r="AD3209" s="502">
        <v>0</v>
      </c>
      <c r="AE3209" s="502">
        <v>5</v>
      </c>
      <c r="AF3209" s="502">
        <v>2</v>
      </c>
      <c r="AG3209" s="503"/>
      <c r="AH3209" s="503"/>
      <c r="AI3209" s="503"/>
      <c r="AJ3209" s="503"/>
      <c r="AK3209" s="503"/>
      <c r="AL3209" s="504"/>
      <c r="AM3209" s="504"/>
      <c r="AN3209" s="514"/>
      <c r="AO3209" s="504"/>
      <c r="AP3209" s="504"/>
      <c r="AS3209" s="54">
        <v>1</v>
      </c>
    </row>
    <row r="3210" s="54" customFormat="1" spans="1:45">
      <c r="A3210" s="54">
        <v>619479</v>
      </c>
      <c r="B3210" s="54">
        <v>1001</v>
      </c>
      <c r="C3210" s="54">
        <v>6</v>
      </c>
      <c r="D3210" s="54">
        <v>1001</v>
      </c>
      <c r="E3210" s="54" t="s">
        <v>7977</v>
      </c>
      <c r="F3210" s="54" t="s">
        <v>7977</v>
      </c>
      <c r="G3210" s="515" t="s">
        <v>7978</v>
      </c>
      <c r="H3210" s="54" t="s">
        <v>1825</v>
      </c>
      <c r="I3210" s="54">
        <v>1</v>
      </c>
      <c r="J3210" s="54">
        <v>5</v>
      </c>
      <c r="K3210" s="54">
        <v>2</v>
      </c>
      <c r="L3210" s="516">
        <v>999</v>
      </c>
      <c r="M3210" s="516">
        <v>0</v>
      </c>
      <c r="N3210" s="54">
        <v>1</v>
      </c>
      <c r="O3210" s="501" t="s">
        <v>7979</v>
      </c>
      <c r="S3210" s="516">
        <v>1</v>
      </c>
      <c r="T3210" s="516">
        <v>5</v>
      </c>
      <c r="U3210" s="54">
        <v>10</v>
      </c>
      <c r="V3210" s="516">
        <v>1</v>
      </c>
      <c r="W3210" s="54">
        <v>1</v>
      </c>
      <c r="X3210" s="516">
        <v>1</v>
      </c>
      <c r="Y3210" s="516">
        <v>0</v>
      </c>
      <c r="Z3210" s="54">
        <v>0</v>
      </c>
      <c r="AA3210" s="54">
        <v>5</v>
      </c>
      <c r="AB3210" s="54">
        <v>100</v>
      </c>
      <c r="AC3210" s="516">
        <v>56</v>
      </c>
      <c r="AD3210" s="502">
        <v>0</v>
      </c>
      <c r="AE3210" s="502">
        <v>4</v>
      </c>
      <c r="AF3210" s="502">
        <v>2</v>
      </c>
      <c r="AG3210" s="503"/>
      <c r="AH3210" s="503"/>
      <c r="AI3210" s="503"/>
      <c r="AJ3210" s="503"/>
      <c r="AK3210" s="503"/>
      <c r="AL3210" s="504"/>
      <c r="AM3210" s="504"/>
      <c r="AN3210" s="521"/>
      <c r="AO3210" s="520"/>
      <c r="AP3210" s="504"/>
      <c r="AS3210" s="54">
        <v>1</v>
      </c>
    </row>
    <row r="3211" s="54" customFormat="1" spans="1:45">
      <c r="A3211" s="54">
        <v>619480</v>
      </c>
      <c r="B3211" s="54">
        <v>1001</v>
      </c>
      <c r="C3211" s="54">
        <v>6</v>
      </c>
      <c r="D3211" s="54">
        <v>1001</v>
      </c>
      <c r="E3211" s="54" t="s">
        <v>7980</v>
      </c>
      <c r="F3211" s="54" t="s">
        <v>7980</v>
      </c>
      <c r="G3211" s="54" t="s">
        <v>7873</v>
      </c>
      <c r="H3211" s="54" t="s">
        <v>1594</v>
      </c>
      <c r="I3211" s="54">
        <v>1</v>
      </c>
      <c r="J3211" s="54">
        <v>5</v>
      </c>
      <c r="K3211" s="54">
        <v>2</v>
      </c>
      <c r="L3211" s="500">
        <v>999</v>
      </c>
      <c r="M3211" s="500">
        <v>0</v>
      </c>
      <c r="N3211" s="54">
        <v>1017</v>
      </c>
      <c r="O3211">
        <v>300078</v>
      </c>
      <c r="S3211" s="500">
        <v>1</v>
      </c>
      <c r="T3211" s="500">
        <v>5</v>
      </c>
      <c r="U3211" s="54">
        <v>10</v>
      </c>
      <c r="V3211" s="500">
        <v>1</v>
      </c>
      <c r="W3211" s="54">
        <v>1</v>
      </c>
      <c r="X3211" s="500">
        <v>1</v>
      </c>
      <c r="Y3211" s="500">
        <v>0</v>
      </c>
      <c r="Z3211" s="54">
        <v>0</v>
      </c>
      <c r="AA3211" s="54">
        <v>5</v>
      </c>
      <c r="AB3211" s="54">
        <v>100</v>
      </c>
      <c r="AC3211" s="500">
        <v>56</v>
      </c>
      <c r="AD3211" s="502">
        <v>0</v>
      </c>
      <c r="AE3211" s="502">
        <v>4</v>
      </c>
      <c r="AF3211" s="502">
        <v>2</v>
      </c>
      <c r="AG3211" s="503"/>
      <c r="AH3211" s="503"/>
      <c r="AI3211" s="503"/>
      <c r="AJ3211" s="503"/>
      <c r="AK3211" s="503"/>
      <c r="AL3211" s="504"/>
      <c r="AM3211" s="505"/>
      <c r="AN3211" s="506"/>
      <c r="AO3211" s="507"/>
      <c r="AP3211" s="504"/>
      <c r="AS3211" s="54">
        <v>1</v>
      </c>
    </row>
    <row r="3212" s="3" customFormat="1" ht="16.5" customHeight="1" spans="1:45">
      <c r="A3212" s="3">
        <v>619481</v>
      </c>
      <c r="B3212" s="3">
        <v>1001</v>
      </c>
      <c r="C3212" s="3">
        <v>6</v>
      </c>
      <c r="D3212" s="3">
        <v>1001</v>
      </c>
      <c r="E3212" s="3" t="s">
        <v>7981</v>
      </c>
      <c r="F3212" s="3" t="s">
        <v>7981</v>
      </c>
      <c r="G3212" s="3" t="s">
        <v>7982</v>
      </c>
      <c r="H3212" s="3" t="s">
        <v>1712</v>
      </c>
      <c r="I3212" s="3">
        <v>1</v>
      </c>
      <c r="J3212" s="3">
        <v>5</v>
      </c>
      <c r="K3212" s="3">
        <v>2</v>
      </c>
      <c r="L3212" s="128">
        <v>999</v>
      </c>
      <c r="M3212" s="128">
        <v>0</v>
      </c>
      <c r="N3212" s="54">
        <v>1</v>
      </c>
      <c r="O3212" s="527" t="s">
        <v>7983</v>
      </c>
      <c r="S3212" s="128">
        <v>1</v>
      </c>
      <c r="T3212" s="128">
        <v>5</v>
      </c>
      <c r="U3212" s="3">
        <v>10</v>
      </c>
      <c r="V3212" s="128">
        <v>1</v>
      </c>
      <c r="W3212" s="3">
        <v>1</v>
      </c>
      <c r="X3212" s="128">
        <v>1</v>
      </c>
      <c r="Y3212" s="128">
        <v>0</v>
      </c>
      <c r="Z3212" s="3">
        <v>0</v>
      </c>
      <c r="AA3212" s="3">
        <v>5</v>
      </c>
      <c r="AB3212" s="3">
        <v>100</v>
      </c>
      <c r="AC3212" s="128">
        <v>56</v>
      </c>
      <c r="AD3212" s="153">
        <v>0</v>
      </c>
      <c r="AE3212" s="153">
        <v>4</v>
      </c>
      <c r="AF3212" s="153">
        <v>2</v>
      </c>
      <c r="AG3212" s="337"/>
      <c r="AH3212" s="337"/>
      <c r="AI3212" s="337"/>
      <c r="AJ3212" s="337"/>
      <c r="AK3212" s="337"/>
      <c r="AL3212" s="234"/>
      <c r="AM3212" s="485"/>
      <c r="AN3212" s="157"/>
      <c r="AO3212" s="156"/>
      <c r="AP3212" s="234"/>
      <c r="AS3212" s="3">
        <v>1</v>
      </c>
    </row>
    <row r="3213" s="3" customFormat="1" ht="16.5" customHeight="1" spans="1:45">
      <c r="A3213" s="3">
        <v>619482</v>
      </c>
      <c r="B3213" s="3">
        <v>1001</v>
      </c>
      <c r="C3213" s="3">
        <v>6</v>
      </c>
      <c r="D3213" s="3">
        <v>1001</v>
      </c>
      <c r="E3213" s="3" t="s">
        <v>7984</v>
      </c>
      <c r="F3213" s="3" t="s">
        <v>7984</v>
      </c>
      <c r="G3213" s="3" t="s">
        <v>7985</v>
      </c>
      <c r="H3213" s="3" t="s">
        <v>1794</v>
      </c>
      <c r="I3213" s="3">
        <v>1</v>
      </c>
      <c r="J3213" s="3">
        <v>5</v>
      </c>
      <c r="K3213" s="3">
        <v>2</v>
      </c>
      <c r="L3213" s="128">
        <v>999</v>
      </c>
      <c r="M3213" s="128">
        <v>0</v>
      </c>
      <c r="N3213" s="54">
        <v>1</v>
      </c>
      <c r="O3213" s="527" t="s">
        <v>7986</v>
      </c>
      <c r="S3213" s="128">
        <v>1</v>
      </c>
      <c r="T3213" s="128">
        <v>5</v>
      </c>
      <c r="U3213" s="3">
        <v>10</v>
      </c>
      <c r="V3213" s="128">
        <v>1</v>
      </c>
      <c r="W3213" s="3">
        <v>1</v>
      </c>
      <c r="X3213" s="128">
        <v>1</v>
      </c>
      <c r="Y3213" s="128">
        <v>0</v>
      </c>
      <c r="Z3213" s="3">
        <v>0</v>
      </c>
      <c r="AA3213" s="3">
        <v>5</v>
      </c>
      <c r="AB3213" s="3">
        <v>100</v>
      </c>
      <c r="AC3213" s="128">
        <v>56</v>
      </c>
      <c r="AD3213" s="153">
        <v>0</v>
      </c>
      <c r="AE3213" s="153">
        <v>4</v>
      </c>
      <c r="AF3213" s="153">
        <v>2</v>
      </c>
      <c r="AG3213" s="337"/>
      <c r="AH3213" s="337"/>
      <c r="AI3213" s="337"/>
      <c r="AJ3213" s="337"/>
      <c r="AK3213" s="337"/>
      <c r="AL3213" s="234"/>
      <c r="AM3213" s="485"/>
      <c r="AN3213" s="157"/>
      <c r="AO3213" s="156"/>
      <c r="AP3213" s="234"/>
      <c r="AS3213" s="3">
        <v>1</v>
      </c>
    </row>
    <row r="3214" s="3" customFormat="1" ht="16.5" customHeight="1" spans="1:45">
      <c r="A3214" s="3">
        <v>619483</v>
      </c>
      <c r="B3214" s="3">
        <v>1001</v>
      </c>
      <c r="C3214" s="3">
        <v>6</v>
      </c>
      <c r="D3214" s="3">
        <v>1001</v>
      </c>
      <c r="E3214" s="3" t="s">
        <v>7987</v>
      </c>
      <c r="F3214" s="3" t="s">
        <v>7987</v>
      </c>
      <c r="G3214" s="3" t="s">
        <v>7988</v>
      </c>
      <c r="H3214" s="3" t="s">
        <v>1709</v>
      </c>
      <c r="I3214" s="3">
        <v>1</v>
      </c>
      <c r="J3214" s="3">
        <v>5</v>
      </c>
      <c r="K3214" s="3">
        <v>2</v>
      </c>
      <c r="L3214" s="128">
        <v>999</v>
      </c>
      <c r="M3214" s="128">
        <v>0</v>
      </c>
      <c r="N3214" s="54">
        <v>1</v>
      </c>
      <c r="O3214" s="527" t="s">
        <v>7989</v>
      </c>
      <c r="S3214" s="128">
        <v>1</v>
      </c>
      <c r="T3214" s="128">
        <v>5</v>
      </c>
      <c r="U3214" s="3">
        <v>10</v>
      </c>
      <c r="V3214" s="128">
        <v>1</v>
      </c>
      <c r="W3214" s="3">
        <v>1</v>
      </c>
      <c r="X3214" s="128">
        <v>1</v>
      </c>
      <c r="Y3214" s="128">
        <v>0</v>
      </c>
      <c r="Z3214" s="3">
        <v>0</v>
      </c>
      <c r="AA3214" s="3">
        <v>5</v>
      </c>
      <c r="AB3214" s="3">
        <v>100</v>
      </c>
      <c r="AC3214" s="128">
        <v>56</v>
      </c>
      <c r="AD3214" s="153">
        <v>0</v>
      </c>
      <c r="AE3214" s="153">
        <v>4</v>
      </c>
      <c r="AF3214" s="153">
        <v>2</v>
      </c>
      <c r="AG3214" s="337"/>
      <c r="AH3214" s="337"/>
      <c r="AI3214" s="337"/>
      <c r="AJ3214" s="337"/>
      <c r="AK3214" s="337"/>
      <c r="AL3214" s="234"/>
      <c r="AM3214" s="485"/>
      <c r="AN3214" s="157"/>
      <c r="AO3214" s="156"/>
      <c r="AP3214" s="234"/>
      <c r="AS3214" s="3">
        <v>1</v>
      </c>
    </row>
    <row r="3215" s="3" customFormat="1" ht="16.5" customHeight="1" spans="1:45">
      <c r="A3215" s="3">
        <v>619484</v>
      </c>
      <c r="B3215" s="3">
        <v>1001</v>
      </c>
      <c r="C3215" s="3">
        <v>6</v>
      </c>
      <c r="D3215" s="3">
        <v>1001</v>
      </c>
      <c r="E3215" s="3" t="s">
        <v>7990</v>
      </c>
      <c r="F3215" s="3" t="s">
        <v>7990</v>
      </c>
      <c r="G3215" s="3" t="s">
        <v>7991</v>
      </c>
      <c r="H3215" s="3" t="s">
        <v>1717</v>
      </c>
      <c r="I3215" s="3">
        <v>1</v>
      </c>
      <c r="J3215" s="3">
        <v>5</v>
      </c>
      <c r="K3215" s="3">
        <v>2</v>
      </c>
      <c r="L3215" s="128">
        <v>999</v>
      </c>
      <c r="M3215" s="128">
        <v>0</v>
      </c>
      <c r="N3215" s="54">
        <v>1</v>
      </c>
      <c r="O3215" s="527" t="s">
        <v>7992</v>
      </c>
      <c r="S3215" s="128">
        <v>1</v>
      </c>
      <c r="T3215" s="128">
        <v>5</v>
      </c>
      <c r="U3215" s="3">
        <v>10</v>
      </c>
      <c r="V3215" s="128">
        <v>1</v>
      </c>
      <c r="W3215" s="3">
        <v>1</v>
      </c>
      <c r="X3215" s="128">
        <v>1</v>
      </c>
      <c r="Y3215" s="128">
        <v>0</v>
      </c>
      <c r="Z3215" s="3">
        <v>0</v>
      </c>
      <c r="AA3215" s="3">
        <v>5</v>
      </c>
      <c r="AB3215" s="3">
        <v>100</v>
      </c>
      <c r="AC3215" s="128">
        <v>56</v>
      </c>
      <c r="AD3215" s="153">
        <v>0</v>
      </c>
      <c r="AE3215" s="153">
        <v>4</v>
      </c>
      <c r="AF3215" s="153">
        <v>2</v>
      </c>
      <c r="AG3215" s="337"/>
      <c r="AH3215" s="337"/>
      <c r="AI3215" s="337"/>
      <c r="AJ3215" s="337"/>
      <c r="AK3215" s="337"/>
      <c r="AL3215" s="234"/>
      <c r="AM3215" s="485"/>
      <c r="AN3215" s="157"/>
      <c r="AO3215" s="156"/>
      <c r="AP3215" s="234"/>
      <c r="AS3215" s="3">
        <v>1</v>
      </c>
    </row>
    <row r="3216" s="3" customFormat="1" ht="16.5" customHeight="1" spans="1:45">
      <c r="A3216" s="3">
        <v>619485</v>
      </c>
      <c r="B3216" s="3">
        <v>1001</v>
      </c>
      <c r="C3216" s="3">
        <v>6</v>
      </c>
      <c r="D3216" s="3">
        <v>1001</v>
      </c>
      <c r="E3216" s="3" t="s">
        <v>7993</v>
      </c>
      <c r="F3216" s="3" t="s">
        <v>7993</v>
      </c>
      <c r="G3216" s="3" t="s">
        <v>7994</v>
      </c>
      <c r="H3216" s="3" t="s">
        <v>7995</v>
      </c>
      <c r="I3216" s="3">
        <v>1</v>
      </c>
      <c r="J3216" s="3">
        <v>5</v>
      </c>
      <c r="K3216" s="3">
        <v>2</v>
      </c>
      <c r="L3216" s="395">
        <v>999</v>
      </c>
      <c r="M3216" s="395">
        <v>0</v>
      </c>
      <c r="N3216" s="54">
        <v>1</v>
      </c>
      <c r="O3216" s="527" t="s">
        <v>7996</v>
      </c>
      <c r="S3216" s="395">
        <v>1</v>
      </c>
      <c r="T3216" s="395">
        <v>5</v>
      </c>
      <c r="U3216" s="3">
        <v>10</v>
      </c>
      <c r="V3216" s="395">
        <v>1</v>
      </c>
      <c r="W3216" s="3">
        <v>1</v>
      </c>
      <c r="X3216" s="395">
        <v>1</v>
      </c>
      <c r="Y3216" s="395">
        <v>0</v>
      </c>
      <c r="Z3216" s="3">
        <v>0</v>
      </c>
      <c r="AA3216" s="3">
        <v>5</v>
      </c>
      <c r="AB3216" s="3">
        <v>100</v>
      </c>
      <c r="AC3216" s="395">
        <v>56</v>
      </c>
      <c r="AD3216" s="153">
        <v>0</v>
      </c>
      <c r="AE3216" s="153">
        <v>4</v>
      </c>
      <c r="AF3216" s="153">
        <v>2</v>
      </c>
      <c r="AG3216" s="337"/>
      <c r="AH3216" s="337"/>
      <c r="AI3216" s="337"/>
      <c r="AJ3216" s="337"/>
      <c r="AK3216" s="337"/>
      <c r="AL3216" s="234"/>
      <c r="AM3216" s="485"/>
      <c r="AN3216" s="396"/>
      <c r="AO3216" s="342"/>
      <c r="AP3216" s="234"/>
      <c r="AS3216" s="3">
        <v>1</v>
      </c>
    </row>
    <row r="3217" s="3" customFormat="1" spans="1:45">
      <c r="A3217" s="3">
        <v>619486</v>
      </c>
      <c r="B3217" s="3">
        <v>1001</v>
      </c>
      <c r="C3217" s="3">
        <v>1</v>
      </c>
      <c r="D3217" s="3">
        <v>1001</v>
      </c>
      <c r="E3217" s="3" t="s">
        <v>5550</v>
      </c>
      <c r="F3217" s="3" t="s">
        <v>5550</v>
      </c>
      <c r="G3217" s="151" t="s">
        <v>7997</v>
      </c>
      <c r="H3217" s="3" t="s">
        <v>1531</v>
      </c>
      <c r="I3217" s="3">
        <v>1</v>
      </c>
      <c r="J3217" s="3">
        <v>5</v>
      </c>
      <c r="K3217" s="3">
        <v>2</v>
      </c>
      <c r="L3217" s="339">
        <v>999</v>
      </c>
      <c r="M3217" s="339">
        <v>0</v>
      </c>
      <c r="N3217" s="3">
        <v>1018</v>
      </c>
      <c r="O3217" s="231" t="s">
        <v>7998</v>
      </c>
      <c r="S3217" s="339">
        <v>1</v>
      </c>
      <c r="T3217" s="339">
        <v>5</v>
      </c>
      <c r="U3217" s="3">
        <v>100</v>
      </c>
      <c r="V3217" s="500"/>
      <c r="W3217" s="3">
        <v>1</v>
      </c>
      <c r="X3217" s="339">
        <v>1</v>
      </c>
      <c r="Y3217" s="339">
        <v>0</v>
      </c>
      <c r="Z3217" s="3">
        <v>0</v>
      </c>
      <c r="AA3217" s="3">
        <v>5</v>
      </c>
      <c r="AB3217" s="3">
        <v>2000</v>
      </c>
      <c r="AC3217" s="339">
        <v>70</v>
      </c>
      <c r="AD3217" s="153">
        <v>0</v>
      </c>
      <c r="AE3217" s="153">
        <v>5</v>
      </c>
      <c r="AF3217" s="153">
        <v>2</v>
      </c>
      <c r="AG3217" s="337"/>
      <c r="AH3217" s="337"/>
      <c r="AI3217" s="337"/>
      <c r="AJ3217" s="337"/>
      <c r="AK3217" s="337"/>
      <c r="AL3217" s="234"/>
      <c r="AM3217" s="234"/>
      <c r="AN3217" s="479"/>
      <c r="AO3217" s="341"/>
      <c r="AP3217" s="234"/>
      <c r="AS3217" s="3">
        <v>1</v>
      </c>
    </row>
    <row r="3218" s="54" customFormat="1" spans="1:45">
      <c r="A3218" s="3">
        <v>619487</v>
      </c>
      <c r="B3218" s="54">
        <v>1001</v>
      </c>
      <c r="C3218" s="54">
        <v>6</v>
      </c>
      <c r="D3218" s="54">
        <v>1001</v>
      </c>
      <c r="E3218" s="54" t="s">
        <v>7999</v>
      </c>
      <c r="F3218" s="54" t="s">
        <v>7999</v>
      </c>
      <c r="G3218" s="54" t="s">
        <v>8000</v>
      </c>
      <c r="H3218" s="54" t="s">
        <v>1587</v>
      </c>
      <c r="I3218" s="54">
        <v>1</v>
      </c>
      <c r="J3218" s="54">
        <v>5</v>
      </c>
      <c r="K3218" s="54">
        <v>2</v>
      </c>
      <c r="L3218" s="500">
        <v>999</v>
      </c>
      <c r="M3218" s="500">
        <v>0</v>
      </c>
      <c r="N3218" s="54">
        <v>1018</v>
      </c>
      <c r="O3218" s="501" t="s">
        <v>8001</v>
      </c>
      <c r="S3218" s="500">
        <v>1</v>
      </c>
      <c r="T3218" s="500">
        <v>5</v>
      </c>
      <c r="U3218" s="54">
        <v>1</v>
      </c>
      <c r="V3218" s="500">
        <v>1</v>
      </c>
      <c r="W3218" s="54">
        <v>1</v>
      </c>
      <c r="X3218" s="500">
        <v>1</v>
      </c>
      <c r="Y3218" s="500">
        <v>0</v>
      </c>
      <c r="Z3218" s="54">
        <v>0</v>
      </c>
      <c r="AA3218" s="54">
        <v>5</v>
      </c>
      <c r="AB3218" s="54">
        <v>100</v>
      </c>
      <c r="AC3218" s="500">
        <v>70</v>
      </c>
      <c r="AD3218" s="502">
        <v>0</v>
      </c>
      <c r="AE3218" s="502">
        <v>5</v>
      </c>
      <c r="AF3218" s="502">
        <v>2</v>
      </c>
      <c r="AG3218" s="503"/>
      <c r="AH3218" s="503"/>
      <c r="AI3218" s="503"/>
      <c r="AJ3218" s="503"/>
      <c r="AK3218" s="503"/>
      <c r="AL3218" s="504"/>
      <c r="AM3218" s="505"/>
      <c r="AN3218" s="506"/>
      <c r="AO3218" s="507"/>
      <c r="AP3218" s="504"/>
      <c r="AS3218" s="54">
        <v>1</v>
      </c>
    </row>
    <row r="3219" s="54" customFormat="1" spans="1:45">
      <c r="A3219" s="3">
        <v>619488</v>
      </c>
      <c r="B3219" s="54">
        <v>1001</v>
      </c>
      <c r="C3219" s="54">
        <v>6</v>
      </c>
      <c r="D3219" s="54">
        <v>1001</v>
      </c>
      <c r="E3219" s="54" t="s">
        <v>7733</v>
      </c>
      <c r="F3219" s="54" t="s">
        <v>7733</v>
      </c>
      <c r="G3219" s="54" t="s">
        <v>7734</v>
      </c>
      <c r="H3219" s="54" t="s">
        <v>1588</v>
      </c>
      <c r="I3219" s="54">
        <v>1</v>
      </c>
      <c r="J3219" s="54">
        <v>5</v>
      </c>
      <c r="K3219" s="54">
        <v>2</v>
      </c>
      <c r="L3219" s="500">
        <v>999</v>
      </c>
      <c r="M3219" s="500">
        <v>0</v>
      </c>
      <c r="N3219" s="54">
        <v>1018</v>
      </c>
      <c r="O3219" s="501" t="s">
        <v>8002</v>
      </c>
      <c r="S3219" s="500">
        <v>1</v>
      </c>
      <c r="T3219" s="500">
        <v>5</v>
      </c>
      <c r="U3219" s="54">
        <v>1</v>
      </c>
      <c r="V3219" s="500">
        <v>1</v>
      </c>
      <c r="W3219" s="54">
        <v>1</v>
      </c>
      <c r="X3219" s="500">
        <v>1</v>
      </c>
      <c r="Y3219" s="500">
        <v>0</v>
      </c>
      <c r="Z3219" s="54">
        <v>0</v>
      </c>
      <c r="AA3219" s="54">
        <v>5</v>
      </c>
      <c r="AB3219" s="54">
        <v>100</v>
      </c>
      <c r="AC3219" s="500">
        <v>70</v>
      </c>
      <c r="AD3219" s="502">
        <v>0</v>
      </c>
      <c r="AE3219" s="502">
        <v>5</v>
      </c>
      <c r="AF3219" s="502">
        <v>2</v>
      </c>
      <c r="AG3219" s="503"/>
      <c r="AH3219" s="503"/>
      <c r="AI3219" s="503"/>
      <c r="AJ3219" s="503"/>
      <c r="AK3219" s="503"/>
      <c r="AL3219" s="504"/>
      <c r="AM3219" s="505"/>
      <c r="AN3219" s="506"/>
      <c r="AO3219" s="507"/>
      <c r="AP3219" s="504"/>
      <c r="AS3219" s="54">
        <v>1</v>
      </c>
    </row>
    <row r="3220" s="54" customFormat="1" spans="1:45">
      <c r="A3220" s="3">
        <v>619489</v>
      </c>
      <c r="B3220" s="54">
        <v>1001</v>
      </c>
      <c r="C3220" s="54">
        <v>2</v>
      </c>
      <c r="D3220" s="54">
        <v>1001</v>
      </c>
      <c r="E3220" s="54" t="s">
        <v>8003</v>
      </c>
      <c r="F3220" s="54" t="s">
        <v>8003</v>
      </c>
      <c r="G3220" s="54" t="s">
        <v>7923</v>
      </c>
      <c r="H3220" s="54" t="s">
        <v>6191</v>
      </c>
      <c r="I3220" s="54">
        <v>1</v>
      </c>
      <c r="J3220" s="54">
        <v>5</v>
      </c>
      <c r="K3220" s="54">
        <v>1</v>
      </c>
      <c r="L3220" s="500">
        <v>999</v>
      </c>
      <c r="M3220" s="500">
        <v>0</v>
      </c>
      <c r="N3220" s="54"/>
      <c r="O3220" s="501"/>
      <c r="S3220" s="500">
        <v>1</v>
      </c>
      <c r="T3220" s="500">
        <v>5</v>
      </c>
      <c r="U3220" s="54">
        <v>50</v>
      </c>
      <c r="V3220" s="500">
        <v>1</v>
      </c>
      <c r="W3220" s="54">
        <v>1</v>
      </c>
      <c r="X3220" s="500">
        <v>1</v>
      </c>
      <c r="Y3220" s="500">
        <v>0</v>
      </c>
      <c r="Z3220" s="54">
        <v>0</v>
      </c>
      <c r="AA3220" s="54">
        <v>5</v>
      </c>
      <c r="AB3220" s="54">
        <v>500</v>
      </c>
      <c r="AC3220" s="500">
        <v>56</v>
      </c>
      <c r="AD3220" s="502"/>
      <c r="AE3220" s="502"/>
      <c r="AF3220" s="502"/>
      <c r="AG3220" s="503"/>
      <c r="AH3220" s="503"/>
      <c r="AI3220" s="503"/>
      <c r="AJ3220" s="503"/>
      <c r="AK3220" s="503"/>
      <c r="AL3220" s="504">
        <v>1</v>
      </c>
      <c r="AM3220" s="505"/>
      <c r="AN3220" s="506"/>
      <c r="AO3220" s="507"/>
      <c r="AP3220" s="504"/>
      <c r="AS3220" s="54">
        <v>1</v>
      </c>
    </row>
    <row r="3221" s="54" customFormat="1" spans="1:45">
      <c r="A3221" s="3">
        <v>619490</v>
      </c>
      <c r="B3221" s="54">
        <v>1001</v>
      </c>
      <c r="C3221" s="54">
        <v>6</v>
      </c>
      <c r="D3221" s="54">
        <v>1001</v>
      </c>
      <c r="E3221" s="54" t="s">
        <v>8004</v>
      </c>
      <c r="F3221" s="54" t="s">
        <v>8004</v>
      </c>
      <c r="G3221" s="54" t="s">
        <v>8005</v>
      </c>
      <c r="H3221" s="54" t="s">
        <v>1712</v>
      </c>
      <c r="I3221" s="54">
        <v>1</v>
      </c>
      <c r="J3221" s="54">
        <v>5</v>
      </c>
      <c r="K3221" s="54">
        <v>2</v>
      </c>
      <c r="L3221" s="522">
        <v>999</v>
      </c>
      <c r="M3221" s="522">
        <v>0</v>
      </c>
      <c r="N3221" s="54">
        <v>1017</v>
      </c>
      <c r="O3221">
        <v>300079</v>
      </c>
      <c r="S3221" s="522">
        <v>0</v>
      </c>
      <c r="T3221" s="522">
        <v>5</v>
      </c>
      <c r="U3221" s="54">
        <v>100</v>
      </c>
      <c r="V3221" s="522">
        <v>1</v>
      </c>
      <c r="W3221" s="54">
        <v>1</v>
      </c>
      <c r="X3221" s="522">
        <v>1</v>
      </c>
      <c r="Y3221" s="522">
        <v>1</v>
      </c>
      <c r="Z3221" s="54">
        <v>0</v>
      </c>
      <c r="AA3221" s="54">
        <v>5</v>
      </c>
      <c r="AB3221" s="54">
        <v>150</v>
      </c>
      <c r="AC3221" s="522">
        <v>2</v>
      </c>
      <c r="AD3221" s="502"/>
      <c r="AE3221" s="502">
        <v>4</v>
      </c>
      <c r="AF3221" s="502">
        <v>2</v>
      </c>
      <c r="AG3221" s="503"/>
      <c r="AH3221" s="503"/>
      <c r="AI3221" s="503"/>
      <c r="AJ3221" s="503"/>
      <c r="AK3221" s="503"/>
      <c r="AL3221" s="504">
        <v>0</v>
      </c>
      <c r="AM3221" s="505"/>
      <c r="AN3221" s="523"/>
      <c r="AO3221" s="524"/>
      <c r="AP3221" s="504"/>
      <c r="AS3221" s="54">
        <v>1</v>
      </c>
    </row>
    <row r="3222" s="54" customFormat="1" spans="1:45">
      <c r="A3222" s="3">
        <v>619491</v>
      </c>
      <c r="B3222" s="54">
        <v>1001</v>
      </c>
      <c r="C3222" s="54">
        <v>1</v>
      </c>
      <c r="D3222" s="54">
        <v>1001</v>
      </c>
      <c r="E3222" s="54" t="s">
        <v>5550</v>
      </c>
      <c r="F3222" s="54" t="s">
        <v>5550</v>
      </c>
      <c r="G3222" s="515" t="s">
        <v>8006</v>
      </c>
      <c r="H3222" s="54" t="s">
        <v>1531</v>
      </c>
      <c r="I3222" s="54">
        <v>1</v>
      </c>
      <c r="J3222" s="54">
        <v>5</v>
      </c>
      <c r="K3222" s="54">
        <v>2</v>
      </c>
      <c r="L3222" s="54">
        <v>999</v>
      </c>
      <c r="M3222" s="54">
        <v>0</v>
      </c>
      <c r="N3222" s="54">
        <v>1018</v>
      </c>
      <c r="O3222" s="501" t="s">
        <v>8007</v>
      </c>
      <c r="S3222" s="54">
        <v>1</v>
      </c>
      <c r="T3222" s="54">
        <v>5</v>
      </c>
      <c r="U3222" s="54">
        <v>100</v>
      </c>
      <c r="W3222" s="54">
        <v>1</v>
      </c>
      <c r="X3222" s="54">
        <v>1</v>
      </c>
      <c r="Y3222" s="54">
        <v>0</v>
      </c>
      <c r="Z3222" s="54">
        <v>0</v>
      </c>
      <c r="AA3222" s="54">
        <v>5</v>
      </c>
      <c r="AB3222" s="54">
        <v>2000</v>
      </c>
      <c r="AC3222" s="54">
        <v>70</v>
      </c>
      <c r="AD3222" s="502">
        <v>0</v>
      </c>
      <c r="AE3222" s="502">
        <v>5</v>
      </c>
      <c r="AF3222" s="502">
        <v>2</v>
      </c>
      <c r="AG3222" s="503"/>
      <c r="AH3222" s="503"/>
      <c r="AI3222" s="503"/>
      <c r="AJ3222" s="503"/>
      <c r="AK3222" s="503"/>
      <c r="AL3222" s="504"/>
      <c r="AM3222" s="504"/>
      <c r="AN3222" s="514"/>
      <c r="AO3222" s="504"/>
      <c r="AP3222" s="504"/>
      <c r="AS3222" s="54">
        <v>1</v>
      </c>
    </row>
    <row r="3223" s="3" customFormat="1" spans="1:45">
      <c r="A3223" s="3">
        <v>619492</v>
      </c>
      <c r="B3223" s="3">
        <v>1001</v>
      </c>
      <c r="C3223" s="3">
        <v>1</v>
      </c>
      <c r="D3223" s="3">
        <v>1001</v>
      </c>
      <c r="E3223" s="3" t="s">
        <v>5550</v>
      </c>
      <c r="F3223" s="3" t="s">
        <v>5550</v>
      </c>
      <c r="G3223" s="151" t="s">
        <v>8008</v>
      </c>
      <c r="H3223" s="3" t="s">
        <v>1531</v>
      </c>
      <c r="I3223" s="3">
        <v>1</v>
      </c>
      <c r="J3223" s="3">
        <v>5</v>
      </c>
      <c r="K3223" s="3">
        <v>2</v>
      </c>
      <c r="L3223" s="3">
        <v>999</v>
      </c>
      <c r="M3223" s="3">
        <v>0</v>
      </c>
      <c r="N3223" s="3">
        <v>1018</v>
      </c>
      <c r="O3223" s="231" t="s">
        <v>8009</v>
      </c>
      <c r="S3223" s="3">
        <v>1</v>
      </c>
      <c r="T3223" s="3">
        <v>5</v>
      </c>
      <c r="U3223" s="3">
        <v>100</v>
      </c>
      <c r="W3223" s="3">
        <v>1</v>
      </c>
      <c r="X3223" s="3">
        <v>1</v>
      </c>
      <c r="Y3223" s="3">
        <v>0</v>
      </c>
      <c r="Z3223" s="3">
        <v>0</v>
      </c>
      <c r="AA3223" s="3">
        <v>5</v>
      </c>
      <c r="AB3223" s="3">
        <v>2000</v>
      </c>
      <c r="AC3223" s="3">
        <v>70</v>
      </c>
      <c r="AD3223" s="153">
        <v>0</v>
      </c>
      <c r="AE3223" s="153">
        <v>5</v>
      </c>
      <c r="AF3223" s="153">
        <v>2</v>
      </c>
      <c r="AG3223" s="337"/>
      <c r="AH3223" s="337"/>
      <c r="AI3223" s="337"/>
      <c r="AJ3223" s="337"/>
      <c r="AK3223" s="337"/>
      <c r="AL3223" s="234"/>
      <c r="AM3223" s="234"/>
      <c r="AN3223" s="476"/>
      <c r="AO3223" s="234"/>
      <c r="AP3223" s="234"/>
      <c r="AS3223" s="3">
        <v>1</v>
      </c>
    </row>
    <row r="3224" s="3" customFormat="1" spans="1:45">
      <c r="A3224" s="3">
        <v>619493</v>
      </c>
      <c r="B3224" s="3">
        <v>1001</v>
      </c>
      <c r="C3224" s="3">
        <v>1</v>
      </c>
      <c r="D3224" s="3">
        <v>1001</v>
      </c>
      <c r="E3224" s="54" t="s">
        <v>8010</v>
      </c>
      <c r="F3224" s="54" t="s">
        <v>8010</v>
      </c>
      <c r="G3224" s="54" t="s">
        <v>8011</v>
      </c>
      <c r="H3224" s="54" t="s">
        <v>1794</v>
      </c>
      <c r="I3224" s="3">
        <v>1</v>
      </c>
      <c r="J3224" s="3">
        <v>5</v>
      </c>
      <c r="K3224" s="3">
        <v>2</v>
      </c>
      <c r="L3224" s="3">
        <v>999</v>
      </c>
      <c r="M3224" s="3">
        <v>0</v>
      </c>
      <c r="N3224" s="3">
        <v>1018</v>
      </c>
      <c r="O3224" s="231" t="s">
        <v>8012</v>
      </c>
      <c r="S3224" s="3">
        <v>1</v>
      </c>
      <c r="T3224" s="3">
        <v>5</v>
      </c>
      <c r="U3224" s="3">
        <v>100</v>
      </c>
      <c r="V3224" s="54"/>
      <c r="W3224" s="3">
        <v>1</v>
      </c>
      <c r="X3224" s="3">
        <v>1</v>
      </c>
      <c r="Y3224" s="3">
        <v>0</v>
      </c>
      <c r="Z3224" s="3">
        <v>0</v>
      </c>
      <c r="AA3224" s="3">
        <v>5</v>
      </c>
      <c r="AB3224" s="3">
        <v>2000</v>
      </c>
      <c r="AC3224" s="3">
        <v>70</v>
      </c>
      <c r="AD3224" s="153">
        <v>0</v>
      </c>
      <c r="AE3224" s="153">
        <v>5</v>
      </c>
      <c r="AF3224" s="153">
        <v>2</v>
      </c>
      <c r="AG3224" s="337"/>
      <c r="AH3224" s="337"/>
      <c r="AI3224" s="337"/>
      <c r="AJ3224" s="337"/>
      <c r="AK3224" s="337"/>
      <c r="AL3224" s="234"/>
      <c r="AM3224" s="234"/>
      <c r="AN3224" s="476"/>
      <c r="AO3224" s="234"/>
      <c r="AP3224" s="234"/>
      <c r="AS3224" s="3">
        <v>1</v>
      </c>
    </row>
    <row r="3225" s="54" customFormat="1" spans="1:45">
      <c r="A3225" s="3">
        <v>619494</v>
      </c>
      <c r="B3225" s="54">
        <v>1001</v>
      </c>
      <c r="C3225" s="54">
        <v>6</v>
      </c>
      <c r="D3225" s="54">
        <v>1001</v>
      </c>
      <c r="E3225" s="54" t="s">
        <v>8013</v>
      </c>
      <c r="F3225" s="54" t="s">
        <v>8013</v>
      </c>
      <c r="G3225" s="515" t="s">
        <v>8014</v>
      </c>
      <c r="H3225" s="54" t="s">
        <v>8015</v>
      </c>
      <c r="I3225" s="54">
        <v>1</v>
      </c>
      <c r="J3225" s="54">
        <v>5</v>
      </c>
      <c r="K3225" s="54">
        <v>2</v>
      </c>
      <c r="L3225" s="54">
        <v>999</v>
      </c>
      <c r="M3225" s="54">
        <v>0</v>
      </c>
      <c r="N3225" s="54">
        <v>1</v>
      </c>
      <c r="O3225" s="501" t="s">
        <v>8016</v>
      </c>
      <c r="S3225" s="54">
        <v>1</v>
      </c>
      <c r="T3225" s="54">
        <v>5</v>
      </c>
      <c r="U3225" s="54">
        <v>10</v>
      </c>
      <c r="V3225" s="54">
        <v>1</v>
      </c>
      <c r="W3225" s="54">
        <v>1</v>
      </c>
      <c r="X3225" s="54">
        <v>1</v>
      </c>
      <c r="Y3225" s="54">
        <v>0</v>
      </c>
      <c r="Z3225" s="54">
        <v>0</v>
      </c>
      <c r="AA3225" s="54">
        <v>5</v>
      </c>
      <c r="AB3225" s="54">
        <v>100</v>
      </c>
      <c r="AC3225" s="54">
        <v>56</v>
      </c>
      <c r="AD3225" s="502">
        <v>0</v>
      </c>
      <c r="AE3225" s="502">
        <v>4</v>
      </c>
      <c r="AF3225" s="502">
        <v>2</v>
      </c>
      <c r="AG3225" s="503"/>
      <c r="AH3225" s="503"/>
      <c r="AI3225" s="503"/>
      <c r="AJ3225" s="503"/>
      <c r="AK3225" s="503"/>
      <c r="AL3225" s="504"/>
      <c r="AM3225" s="504"/>
      <c r="AN3225" s="514"/>
      <c r="AO3225" s="504"/>
      <c r="AP3225" s="504"/>
      <c r="AS3225" s="54">
        <v>1</v>
      </c>
    </row>
    <row r="3226" s="3" customFormat="1" spans="1:45">
      <c r="A3226" s="3">
        <v>619495</v>
      </c>
      <c r="B3226" s="3">
        <v>1001</v>
      </c>
      <c r="C3226" s="3">
        <v>1</v>
      </c>
      <c r="D3226" s="3">
        <v>1001</v>
      </c>
      <c r="E3226" s="54" t="s">
        <v>8017</v>
      </c>
      <c r="F3226" s="54" t="s">
        <v>8017</v>
      </c>
      <c r="G3226" s="54" t="s">
        <v>8018</v>
      </c>
      <c r="H3226" s="54" t="s">
        <v>1812</v>
      </c>
      <c r="I3226" s="3">
        <v>1</v>
      </c>
      <c r="J3226" s="3">
        <v>5</v>
      </c>
      <c r="K3226" s="3">
        <v>2</v>
      </c>
      <c r="L3226" s="3">
        <v>999</v>
      </c>
      <c r="M3226" s="3">
        <v>0</v>
      </c>
      <c r="N3226" s="3">
        <v>1018</v>
      </c>
      <c r="O3226" s="231" t="s">
        <v>8019</v>
      </c>
      <c r="S3226" s="3">
        <v>1</v>
      </c>
      <c r="T3226" s="3">
        <v>5</v>
      </c>
      <c r="U3226" s="3">
        <v>100</v>
      </c>
      <c r="W3226" s="3">
        <v>1</v>
      </c>
      <c r="X3226" s="3">
        <v>1</v>
      </c>
      <c r="Y3226" s="3">
        <v>0</v>
      </c>
      <c r="Z3226" s="3">
        <v>0</v>
      </c>
      <c r="AA3226" s="3">
        <v>5</v>
      </c>
      <c r="AB3226" s="3">
        <v>2000</v>
      </c>
      <c r="AC3226" s="3">
        <v>70</v>
      </c>
      <c r="AD3226" s="153">
        <v>0</v>
      </c>
      <c r="AE3226" s="153">
        <v>5</v>
      </c>
      <c r="AF3226" s="153">
        <v>2</v>
      </c>
      <c r="AG3226" s="337"/>
      <c r="AH3226" s="337"/>
      <c r="AI3226" s="337"/>
      <c r="AJ3226" s="337"/>
      <c r="AK3226" s="337"/>
      <c r="AL3226" s="234"/>
      <c r="AM3226" s="234"/>
      <c r="AN3226" s="476"/>
      <c r="AO3226" s="234"/>
      <c r="AP3226" s="234"/>
      <c r="AS3226" s="3">
        <v>1</v>
      </c>
    </row>
    <row r="3227" s="3" customFormat="1" spans="1:45">
      <c r="A3227" s="3">
        <v>619496</v>
      </c>
      <c r="B3227" s="3">
        <v>1001</v>
      </c>
      <c r="C3227" s="3">
        <v>1</v>
      </c>
      <c r="D3227" s="3">
        <v>1001</v>
      </c>
      <c r="E3227" s="3" t="s">
        <v>5550</v>
      </c>
      <c r="F3227" s="3" t="s">
        <v>5550</v>
      </c>
      <c r="G3227" s="151" t="s">
        <v>8020</v>
      </c>
      <c r="H3227" s="3" t="s">
        <v>1531</v>
      </c>
      <c r="I3227" s="3">
        <v>1</v>
      </c>
      <c r="J3227" s="3">
        <v>5</v>
      </c>
      <c r="K3227" s="3">
        <v>2</v>
      </c>
      <c r="L3227" s="3">
        <v>999</v>
      </c>
      <c r="M3227" s="3">
        <v>0</v>
      </c>
      <c r="N3227" s="3">
        <v>1018</v>
      </c>
      <c r="O3227" s="231" t="s">
        <v>8021</v>
      </c>
      <c r="S3227" s="3">
        <v>1</v>
      </c>
      <c r="T3227" s="3">
        <v>5</v>
      </c>
      <c r="U3227" s="3">
        <v>100</v>
      </c>
      <c r="V3227" s="3"/>
      <c r="W3227" s="3">
        <v>1</v>
      </c>
      <c r="X3227" s="3">
        <v>1</v>
      </c>
      <c r="Y3227" s="3">
        <v>0</v>
      </c>
      <c r="Z3227" s="3">
        <v>0</v>
      </c>
      <c r="AA3227" s="3">
        <v>5</v>
      </c>
      <c r="AB3227" s="3">
        <v>2000</v>
      </c>
      <c r="AC3227" s="3">
        <v>70</v>
      </c>
      <c r="AD3227" s="153">
        <v>0</v>
      </c>
      <c r="AE3227" s="153">
        <v>5</v>
      </c>
      <c r="AF3227" s="153">
        <v>2</v>
      </c>
      <c r="AG3227" s="337"/>
      <c r="AH3227" s="337"/>
      <c r="AI3227" s="337"/>
      <c r="AJ3227" s="337"/>
      <c r="AK3227" s="337"/>
      <c r="AL3227" s="234"/>
      <c r="AM3227" s="234"/>
      <c r="AN3227" s="476"/>
      <c r="AO3227" s="234"/>
      <c r="AP3227" s="234"/>
      <c r="AS3227" s="3">
        <v>1</v>
      </c>
    </row>
    <row r="3228" s="3" customFormat="1" ht="27" customHeight="1" spans="1:45">
      <c r="A3228" s="3">
        <v>619497</v>
      </c>
      <c r="B3228" s="3">
        <v>1001</v>
      </c>
      <c r="C3228" s="3">
        <v>6</v>
      </c>
      <c r="D3228" s="3">
        <v>1001</v>
      </c>
      <c r="E3228" s="3" t="s">
        <v>8022</v>
      </c>
      <c r="F3228" s="3" t="s">
        <v>8022</v>
      </c>
      <c r="G3228" s="151" t="s">
        <v>8023</v>
      </c>
      <c r="H3228" s="3" t="s">
        <v>1825</v>
      </c>
      <c r="I3228" s="3">
        <v>1</v>
      </c>
      <c r="J3228" s="3">
        <v>5</v>
      </c>
      <c r="K3228" s="3">
        <v>2</v>
      </c>
      <c r="L3228" s="3">
        <v>999</v>
      </c>
      <c r="M3228" s="3">
        <v>0</v>
      </c>
      <c r="N3228" s="3">
        <v>1</v>
      </c>
      <c r="O3228" s="231" t="s">
        <v>8024</v>
      </c>
      <c r="S3228" s="3">
        <v>1</v>
      </c>
      <c r="T3228" s="3">
        <v>5</v>
      </c>
      <c r="U3228" s="3">
        <v>10</v>
      </c>
      <c r="V3228" s="3">
        <v>1</v>
      </c>
      <c r="W3228" s="3">
        <v>1</v>
      </c>
      <c r="X3228" s="3">
        <v>1</v>
      </c>
      <c r="Y3228" s="3">
        <v>0</v>
      </c>
      <c r="Z3228" s="3">
        <v>0</v>
      </c>
      <c r="AA3228" s="3">
        <v>5</v>
      </c>
      <c r="AB3228" s="3">
        <v>100</v>
      </c>
      <c r="AC3228" s="3">
        <v>56</v>
      </c>
      <c r="AD3228" s="153">
        <v>0</v>
      </c>
      <c r="AE3228" s="153">
        <v>4</v>
      </c>
      <c r="AF3228" s="153">
        <v>2</v>
      </c>
      <c r="AG3228" s="337"/>
      <c r="AH3228" s="337"/>
      <c r="AI3228" s="337"/>
      <c r="AJ3228" s="337"/>
      <c r="AK3228" s="337"/>
      <c r="AL3228" s="234"/>
      <c r="AM3228" s="234"/>
      <c r="AN3228" s="476"/>
      <c r="AO3228" s="234"/>
      <c r="AP3228" s="234"/>
      <c r="AS3228" s="3">
        <v>1</v>
      </c>
    </row>
    <row r="3229" s="3" customFormat="1" spans="1:45">
      <c r="A3229" s="3">
        <v>619498</v>
      </c>
      <c r="B3229" s="3">
        <v>1001</v>
      </c>
      <c r="C3229" s="3">
        <v>1</v>
      </c>
      <c r="D3229" s="3">
        <v>1001</v>
      </c>
      <c r="E3229" s="3" t="s">
        <v>8025</v>
      </c>
      <c r="F3229" s="3" t="s">
        <v>8025</v>
      </c>
      <c r="G3229" s="151" t="s">
        <v>8026</v>
      </c>
      <c r="H3229" s="3" t="s">
        <v>1531</v>
      </c>
      <c r="I3229" s="3">
        <v>1</v>
      </c>
      <c r="J3229" s="3">
        <v>5</v>
      </c>
      <c r="K3229" s="3">
        <v>2</v>
      </c>
      <c r="L3229" s="339">
        <v>999</v>
      </c>
      <c r="M3229" s="339">
        <v>0</v>
      </c>
      <c r="N3229" s="3">
        <v>1018</v>
      </c>
      <c r="O3229" s="231" t="s">
        <v>8027</v>
      </c>
      <c r="S3229" s="339">
        <v>1</v>
      </c>
      <c r="T3229" s="339">
        <v>5</v>
      </c>
      <c r="U3229" s="3">
        <v>100</v>
      </c>
      <c r="V3229" s="128"/>
      <c r="W3229" s="3">
        <v>1</v>
      </c>
      <c r="X3229" s="339">
        <v>1</v>
      </c>
      <c r="Y3229" s="339">
        <v>0</v>
      </c>
      <c r="Z3229" s="3">
        <v>0</v>
      </c>
      <c r="AA3229" s="3">
        <v>5</v>
      </c>
      <c r="AB3229" s="3">
        <v>2000</v>
      </c>
      <c r="AC3229" s="339">
        <v>70</v>
      </c>
      <c r="AD3229" s="153">
        <v>0</v>
      </c>
      <c r="AE3229" s="153">
        <v>5</v>
      </c>
      <c r="AF3229" s="153">
        <v>2</v>
      </c>
      <c r="AG3229" s="337"/>
      <c r="AH3229" s="337"/>
      <c r="AI3229" s="337"/>
      <c r="AJ3229" s="337"/>
      <c r="AK3229" s="337"/>
      <c r="AL3229" s="234"/>
      <c r="AM3229" s="234"/>
      <c r="AN3229" s="479"/>
      <c r="AO3229" s="341"/>
      <c r="AP3229" s="234"/>
      <c r="AS3229" s="3">
        <v>1</v>
      </c>
    </row>
    <row r="3230" s="3" customFormat="1" spans="1:45">
      <c r="A3230" s="3">
        <v>619499</v>
      </c>
      <c r="B3230" s="3">
        <v>1001</v>
      </c>
      <c r="C3230" s="3">
        <v>6</v>
      </c>
      <c r="D3230" s="3">
        <v>1001</v>
      </c>
      <c r="E3230" s="3" t="s">
        <v>8028</v>
      </c>
      <c r="F3230" s="3" t="s">
        <v>8028</v>
      </c>
      <c r="G3230" s="3" t="s">
        <v>7873</v>
      </c>
      <c r="H3230" s="3" t="s">
        <v>1594</v>
      </c>
      <c r="I3230" s="3">
        <v>1</v>
      </c>
      <c r="J3230" s="3">
        <v>5</v>
      </c>
      <c r="K3230" s="3">
        <v>2</v>
      </c>
      <c r="L3230" s="128">
        <v>999</v>
      </c>
      <c r="M3230" s="128">
        <v>0</v>
      </c>
      <c r="N3230" s="3">
        <v>1017</v>
      </c>
      <c r="O3230">
        <v>300080</v>
      </c>
      <c r="S3230" s="128">
        <v>1</v>
      </c>
      <c r="T3230" s="128">
        <v>5</v>
      </c>
      <c r="U3230" s="339">
        <v>10</v>
      </c>
      <c r="V3230" s="128">
        <v>1</v>
      </c>
      <c r="W3230" s="3">
        <v>1</v>
      </c>
      <c r="X3230" s="128">
        <v>1</v>
      </c>
      <c r="Y3230" s="128">
        <v>0</v>
      </c>
      <c r="Z3230" s="3">
        <v>0</v>
      </c>
      <c r="AA3230" s="3">
        <v>5</v>
      </c>
      <c r="AB3230" s="3">
        <v>100</v>
      </c>
      <c r="AC3230" s="128">
        <v>56</v>
      </c>
      <c r="AD3230" s="153">
        <v>0</v>
      </c>
      <c r="AE3230" s="153">
        <v>4</v>
      </c>
      <c r="AF3230" s="153">
        <v>2</v>
      </c>
      <c r="AG3230" s="337"/>
      <c r="AH3230" s="337"/>
      <c r="AI3230" s="337"/>
      <c r="AJ3230" s="337"/>
      <c r="AK3230" s="337"/>
      <c r="AL3230" s="234"/>
      <c r="AM3230" s="485"/>
      <c r="AN3230" s="157"/>
      <c r="AO3230" s="156"/>
      <c r="AP3230" s="234"/>
      <c r="AQ3230" s="3"/>
      <c r="AR3230" s="3"/>
      <c r="AS3230" s="3">
        <v>1</v>
      </c>
    </row>
    <row r="3231" s="3" customFormat="1" spans="1:45">
      <c r="A3231" s="3">
        <v>619500</v>
      </c>
      <c r="B3231" s="3">
        <v>1001</v>
      </c>
      <c r="C3231" s="3">
        <v>1</v>
      </c>
      <c r="D3231" s="3">
        <v>1001</v>
      </c>
      <c r="E3231" s="3" t="s">
        <v>5640</v>
      </c>
      <c r="F3231" s="3" t="s">
        <v>5640</v>
      </c>
      <c r="G3231" s="54" t="s">
        <v>8029</v>
      </c>
      <c r="H3231" s="3" t="s">
        <v>5642</v>
      </c>
      <c r="I3231" s="3">
        <v>1</v>
      </c>
      <c r="J3231" s="3">
        <v>5</v>
      </c>
      <c r="K3231" s="3">
        <v>1</v>
      </c>
      <c r="L3231" s="128">
        <v>999</v>
      </c>
      <c r="M3231" s="128">
        <v>0</v>
      </c>
      <c r="O3231" s="231"/>
      <c r="S3231" s="128">
        <v>1</v>
      </c>
      <c r="T3231" s="128">
        <v>5</v>
      </c>
      <c r="U3231" s="128">
        <v>1</v>
      </c>
      <c r="V3231" s="128">
        <v>1</v>
      </c>
      <c r="W3231" s="3">
        <v>1</v>
      </c>
      <c r="X3231" s="128">
        <v>1</v>
      </c>
      <c r="Y3231" s="128">
        <v>0</v>
      </c>
      <c r="Z3231" s="3">
        <v>0</v>
      </c>
      <c r="AA3231" s="3">
        <v>5</v>
      </c>
      <c r="AB3231" s="3">
        <v>100</v>
      </c>
      <c r="AC3231" s="128">
        <v>900</v>
      </c>
      <c r="AD3231" s="153">
        <v>0</v>
      </c>
      <c r="AE3231" s="153"/>
      <c r="AF3231" s="153"/>
      <c r="AG3231" s="337"/>
      <c r="AH3231" s="337"/>
      <c r="AI3231" s="337"/>
      <c r="AJ3231" s="337"/>
      <c r="AK3231" s="337"/>
      <c r="AL3231" s="234">
        <v>1</v>
      </c>
      <c r="AM3231" s="485"/>
      <c r="AN3231" s="157"/>
      <c r="AO3231" s="156"/>
      <c r="AP3231" s="234"/>
      <c r="AQ3231" s="3" t="s">
        <v>5643</v>
      </c>
      <c r="AR3231" s="3">
        <v>1</v>
      </c>
      <c r="AS3231" s="3">
        <v>1</v>
      </c>
    </row>
    <row r="3232" s="3" customFormat="1" spans="1:45">
      <c r="A3232" s="3">
        <v>619501</v>
      </c>
      <c r="B3232" s="339">
        <v>1001</v>
      </c>
      <c r="C3232" s="339">
        <v>1</v>
      </c>
      <c r="D3232" s="339">
        <v>1001</v>
      </c>
      <c r="E3232" s="3" t="s">
        <v>5644</v>
      </c>
      <c r="F3232" s="3" t="s">
        <v>5644</v>
      </c>
      <c r="G3232" s="54" t="s">
        <v>8030</v>
      </c>
      <c r="H3232" s="3" t="s">
        <v>5646</v>
      </c>
      <c r="I3232" s="3">
        <v>1</v>
      </c>
      <c r="J3232" s="3">
        <v>5</v>
      </c>
      <c r="K3232" s="3">
        <v>1</v>
      </c>
      <c r="L3232" s="395">
        <v>999</v>
      </c>
      <c r="M3232" s="395">
        <v>0</v>
      </c>
      <c r="N3232" s="128"/>
      <c r="O3232" s="231"/>
      <c r="S3232" s="128">
        <v>1</v>
      </c>
      <c r="T3232" s="128">
        <v>5</v>
      </c>
      <c r="U3232" s="128">
        <v>1</v>
      </c>
      <c r="V3232" s="128">
        <v>1</v>
      </c>
      <c r="W3232" s="339">
        <v>1</v>
      </c>
      <c r="X3232" s="128">
        <v>1</v>
      </c>
      <c r="Y3232" s="395">
        <v>0</v>
      </c>
      <c r="Z3232" s="3">
        <v>0</v>
      </c>
      <c r="AA3232" s="3">
        <v>5</v>
      </c>
      <c r="AB3232" s="3">
        <v>100</v>
      </c>
      <c r="AC3232" s="128">
        <v>900</v>
      </c>
      <c r="AD3232" s="153">
        <v>0</v>
      </c>
      <c r="AE3232" s="477"/>
      <c r="AF3232" s="477"/>
      <c r="AG3232" s="478"/>
      <c r="AH3232" s="478"/>
      <c r="AI3232" s="478"/>
      <c r="AJ3232" s="478"/>
      <c r="AK3232" s="478"/>
      <c r="AL3232" s="341">
        <v>1</v>
      </c>
      <c r="AM3232" s="528"/>
      <c r="AN3232" s="157"/>
      <c r="AO3232" s="156"/>
      <c r="AP3232" s="234"/>
      <c r="AQ3232" s="3" t="s">
        <v>5643</v>
      </c>
      <c r="AR3232" s="3">
        <v>1</v>
      </c>
      <c r="AS3232" s="3">
        <v>1</v>
      </c>
    </row>
    <row r="3233" s="3" customFormat="1" spans="1:45">
      <c r="A3233" s="3">
        <v>619502</v>
      </c>
      <c r="B3233" s="529">
        <v>1001</v>
      </c>
      <c r="C3233" s="395">
        <v>6</v>
      </c>
      <c r="D3233" s="395">
        <v>1001</v>
      </c>
      <c r="E3233" s="3" t="s">
        <v>6195</v>
      </c>
      <c r="F3233" s="3" t="s">
        <v>6195</v>
      </c>
      <c r="G3233" s="3" t="s">
        <v>6116</v>
      </c>
      <c r="H3233" s="3" t="s">
        <v>5646</v>
      </c>
      <c r="I3233" s="3">
        <v>1</v>
      </c>
      <c r="J3233" s="3">
        <v>4</v>
      </c>
      <c r="K3233" s="3">
        <v>2</v>
      </c>
      <c r="L3233" s="3">
        <v>999</v>
      </c>
      <c r="M3233" s="3">
        <v>0</v>
      </c>
      <c r="N3233" s="395">
        <v>1017</v>
      </c>
      <c r="O3233">
        <v>300081</v>
      </c>
      <c r="S3233" s="395">
        <v>1</v>
      </c>
      <c r="T3233" s="395">
        <v>5</v>
      </c>
      <c r="U3233" s="395">
        <v>1</v>
      </c>
      <c r="V3233" s="395">
        <v>1</v>
      </c>
      <c r="W3233" s="395">
        <v>1</v>
      </c>
      <c r="X3233" s="395">
        <v>1</v>
      </c>
      <c r="Y3233" s="3">
        <v>0</v>
      </c>
      <c r="Z3233" s="3">
        <v>0</v>
      </c>
      <c r="AA3233" s="3">
        <v>5</v>
      </c>
      <c r="AB3233" s="3">
        <v>100</v>
      </c>
      <c r="AC3233" s="395">
        <v>0</v>
      </c>
      <c r="AD3233" s="153">
        <v>0</v>
      </c>
      <c r="AE3233" s="475">
        <v>4</v>
      </c>
      <c r="AF3233" s="475">
        <v>2</v>
      </c>
      <c r="AG3233" s="530"/>
      <c r="AH3233" s="530"/>
      <c r="AI3233" s="530"/>
      <c r="AJ3233" s="530"/>
      <c r="AK3233" s="530"/>
      <c r="AL3233" s="342"/>
      <c r="AM3233" s="342"/>
      <c r="AN3233" s="396"/>
      <c r="AO3233" s="342"/>
      <c r="AP3233" s="234"/>
      <c r="AQ3233" s="343"/>
      <c r="AS3233" s="3">
        <v>1</v>
      </c>
    </row>
    <row r="3234" s="3" customFormat="1" ht="27" customHeight="1" spans="1:45">
      <c r="A3234" s="3">
        <v>619503</v>
      </c>
      <c r="B3234" s="3">
        <v>1001</v>
      </c>
      <c r="C3234" s="3">
        <v>1</v>
      </c>
      <c r="D3234" s="3">
        <v>1001</v>
      </c>
      <c r="E3234" s="3" t="s">
        <v>5550</v>
      </c>
      <c r="F3234" s="3" t="s">
        <v>5550</v>
      </c>
      <c r="G3234" s="151" t="s">
        <v>8031</v>
      </c>
      <c r="H3234" s="3" t="s">
        <v>1531</v>
      </c>
      <c r="I3234" s="3">
        <v>1</v>
      </c>
      <c r="J3234" s="3">
        <v>5</v>
      </c>
      <c r="K3234" s="3">
        <v>2</v>
      </c>
      <c r="L3234" s="3">
        <v>999</v>
      </c>
      <c r="M3234" s="3">
        <v>0</v>
      </c>
      <c r="N3234" s="3">
        <v>1018</v>
      </c>
      <c r="O3234" s="231" t="s">
        <v>8032</v>
      </c>
      <c r="S3234" s="3">
        <v>1</v>
      </c>
      <c r="T3234" s="3">
        <v>5</v>
      </c>
      <c r="U3234" s="3">
        <v>100</v>
      </c>
      <c r="V3234" s="33"/>
      <c r="W3234" s="3">
        <v>1</v>
      </c>
      <c r="X3234" s="3">
        <v>1</v>
      </c>
      <c r="Y3234" s="3">
        <v>0</v>
      </c>
      <c r="Z3234" s="3">
        <v>0</v>
      </c>
      <c r="AA3234" s="3">
        <v>5</v>
      </c>
      <c r="AB3234" s="3">
        <v>2000</v>
      </c>
      <c r="AC3234" s="3">
        <v>70</v>
      </c>
      <c r="AD3234" s="153">
        <v>0</v>
      </c>
      <c r="AE3234" s="153">
        <v>5</v>
      </c>
      <c r="AF3234" s="153">
        <v>2</v>
      </c>
      <c r="AG3234" s="337"/>
      <c r="AH3234" s="337"/>
      <c r="AI3234" s="337"/>
      <c r="AJ3234" s="337"/>
      <c r="AK3234" s="337"/>
      <c r="AL3234" s="234"/>
      <c r="AM3234" s="234"/>
      <c r="AN3234" s="476"/>
      <c r="AO3234" s="234"/>
      <c r="AP3234" s="234"/>
      <c r="AQ3234"/>
      <c r="AS3234" s="3">
        <v>1</v>
      </c>
    </row>
    <row r="3235" spans="1:45">
      <c r="A3235" s="3">
        <v>619504</v>
      </c>
      <c r="B3235">
        <v>1001</v>
      </c>
      <c r="C3235">
        <v>6</v>
      </c>
      <c r="D3235">
        <v>1001</v>
      </c>
      <c r="E3235" t="s">
        <v>8033</v>
      </c>
      <c r="F3235" t="s">
        <v>6494</v>
      </c>
      <c r="G3235" t="s">
        <v>8034</v>
      </c>
      <c r="H3235" t="s">
        <v>1825</v>
      </c>
      <c r="I3235">
        <v>1</v>
      </c>
      <c r="J3235">
        <v>5</v>
      </c>
      <c r="K3235" s="33">
        <v>2</v>
      </c>
      <c r="L3235">
        <v>999</v>
      </c>
      <c r="M3235">
        <v>0</v>
      </c>
      <c r="N3235">
        <v>1018</v>
      </c>
      <c r="O3235" s="2" t="s">
        <v>8035</v>
      </c>
      <c r="S3235" s="33">
        <v>1</v>
      </c>
      <c r="T3235">
        <v>5</v>
      </c>
      <c r="U3235">
        <v>1</v>
      </c>
      <c r="V3235" s="33">
        <v>1</v>
      </c>
      <c r="W3235">
        <v>1</v>
      </c>
      <c r="X3235">
        <v>1</v>
      </c>
      <c r="Y3235">
        <v>0</v>
      </c>
      <c r="Z3235" s="33">
        <v>0</v>
      </c>
      <c r="AA3235">
        <v>5</v>
      </c>
      <c r="AB3235">
        <v>100</v>
      </c>
      <c r="AC3235">
        <v>70</v>
      </c>
      <c r="AD3235" s="62">
        <v>0</v>
      </c>
      <c r="AE3235" s="62">
        <v>5</v>
      </c>
      <c r="AF3235" s="62">
        <v>2</v>
      </c>
      <c r="AG3235" s="503"/>
      <c r="AH3235" s="503"/>
      <c r="AI3235" s="503"/>
      <c r="AJ3235" s="503"/>
      <c r="AK3235" s="503"/>
      <c r="AL3235" s="504"/>
      <c r="AM3235" s="504"/>
      <c r="AN3235" s="514"/>
      <c r="AO3235" s="504"/>
      <c r="AP3235" s="504"/>
      <c r="AQ3235" t="s">
        <v>5546</v>
      </c>
      <c r="AS3235">
        <v>1</v>
      </c>
    </row>
    <row r="3236" s="54" customFormat="1" spans="1:45">
      <c r="A3236" s="3">
        <v>619505</v>
      </c>
      <c r="B3236" s="54">
        <v>1001</v>
      </c>
      <c r="C3236" s="54">
        <v>6</v>
      </c>
      <c r="D3236" s="54">
        <v>1001</v>
      </c>
      <c r="E3236" s="54" t="s">
        <v>8036</v>
      </c>
      <c r="F3236" s="54" t="s">
        <v>8036</v>
      </c>
      <c r="G3236" s="515" t="s">
        <v>8037</v>
      </c>
      <c r="H3236" s="54" t="s">
        <v>1587</v>
      </c>
      <c r="I3236" s="54">
        <v>1</v>
      </c>
      <c r="J3236" s="54">
        <v>5</v>
      </c>
      <c r="K3236" s="54">
        <v>2</v>
      </c>
      <c r="L3236" s="54">
        <v>999</v>
      </c>
      <c r="M3236" s="54">
        <v>0</v>
      </c>
      <c r="N3236" s="54">
        <v>1017</v>
      </c>
      <c r="O3236">
        <v>300082</v>
      </c>
      <c r="S3236" s="54">
        <v>1</v>
      </c>
      <c r="T3236" s="54">
        <v>5</v>
      </c>
      <c r="U3236" s="54">
        <v>10</v>
      </c>
      <c r="V3236" s="54">
        <v>1</v>
      </c>
      <c r="W3236" s="54">
        <v>1</v>
      </c>
      <c r="X3236" s="54">
        <v>1</v>
      </c>
      <c r="Y3236" s="54">
        <v>0</v>
      </c>
      <c r="Z3236" s="54">
        <v>0</v>
      </c>
      <c r="AA3236" s="54">
        <v>5</v>
      </c>
      <c r="AB3236" s="54">
        <v>100</v>
      </c>
      <c r="AC3236" s="54">
        <v>56</v>
      </c>
      <c r="AD3236" s="502">
        <v>0</v>
      </c>
      <c r="AE3236" s="502">
        <v>4</v>
      </c>
      <c r="AF3236" s="502">
        <v>2</v>
      </c>
      <c r="AG3236" s="503"/>
      <c r="AH3236" s="503"/>
      <c r="AI3236" s="503"/>
      <c r="AJ3236" s="503"/>
      <c r="AK3236" s="503"/>
      <c r="AL3236" s="504"/>
      <c r="AM3236" s="504"/>
      <c r="AN3236" s="514"/>
      <c r="AO3236" s="504"/>
      <c r="AP3236" s="504"/>
      <c r="AS3236" s="54">
        <v>1</v>
      </c>
    </row>
    <row r="3237" s="3" customFormat="1" spans="1:45">
      <c r="A3237" s="3">
        <v>619506</v>
      </c>
      <c r="B3237" s="3">
        <v>1001</v>
      </c>
      <c r="C3237" s="3">
        <v>1</v>
      </c>
      <c r="D3237" s="3">
        <v>1001</v>
      </c>
      <c r="E3237" s="3" t="s">
        <v>5550</v>
      </c>
      <c r="F3237" s="3" t="s">
        <v>5550</v>
      </c>
      <c r="G3237" s="151" t="s">
        <v>8038</v>
      </c>
      <c r="H3237" s="3" t="s">
        <v>1531</v>
      </c>
      <c r="I3237" s="3">
        <v>1</v>
      </c>
      <c r="J3237" s="3">
        <v>5</v>
      </c>
      <c r="K3237" s="3">
        <v>2</v>
      </c>
      <c r="L3237" s="3">
        <v>999</v>
      </c>
      <c r="M3237" s="3">
        <v>0</v>
      </c>
      <c r="N3237" s="3">
        <v>1018</v>
      </c>
      <c r="O3237" s="231" t="s">
        <v>8039</v>
      </c>
      <c r="S3237" s="3">
        <v>1</v>
      </c>
      <c r="T3237" s="3">
        <v>5</v>
      </c>
      <c r="U3237" s="3">
        <v>100</v>
      </c>
      <c r="W3237" s="3">
        <v>1</v>
      </c>
      <c r="X3237" s="3">
        <v>1</v>
      </c>
      <c r="Y3237" s="3">
        <v>0</v>
      </c>
      <c r="Z3237" s="3">
        <v>0</v>
      </c>
      <c r="AA3237" s="3">
        <v>5</v>
      </c>
      <c r="AB3237" s="3">
        <v>2000</v>
      </c>
      <c r="AC3237" s="3">
        <v>70</v>
      </c>
      <c r="AD3237" s="153">
        <v>0</v>
      </c>
      <c r="AE3237" s="153">
        <v>5</v>
      </c>
      <c r="AF3237" s="153">
        <v>2</v>
      </c>
      <c r="AG3237" s="337"/>
      <c r="AH3237" s="337"/>
      <c r="AI3237" s="337"/>
      <c r="AJ3237" s="337"/>
      <c r="AK3237" s="337"/>
      <c r="AL3237" s="234"/>
      <c r="AM3237" s="234"/>
      <c r="AN3237" s="476"/>
      <c r="AO3237" s="234"/>
      <c r="AP3237" s="234"/>
      <c r="AS3237" s="3">
        <v>1</v>
      </c>
    </row>
    <row r="3238" s="3" customFormat="1" ht="27" customHeight="1" spans="1:45">
      <c r="A3238" s="3">
        <v>619507</v>
      </c>
      <c r="B3238" s="3">
        <v>1001</v>
      </c>
      <c r="C3238" s="3">
        <v>1</v>
      </c>
      <c r="D3238" s="3">
        <v>1001</v>
      </c>
      <c r="E3238" s="3" t="s">
        <v>5550</v>
      </c>
      <c r="F3238" s="3" t="s">
        <v>5550</v>
      </c>
      <c r="G3238" s="151" t="s">
        <v>8040</v>
      </c>
      <c r="H3238" s="3" t="s">
        <v>1531</v>
      </c>
      <c r="I3238" s="3">
        <v>1</v>
      </c>
      <c r="J3238" s="3">
        <v>5</v>
      </c>
      <c r="K3238" s="3">
        <v>2</v>
      </c>
      <c r="L3238" s="3">
        <v>999</v>
      </c>
      <c r="M3238" s="3">
        <v>0</v>
      </c>
      <c r="N3238" s="3">
        <v>1018</v>
      </c>
      <c r="O3238" s="231" t="s">
        <v>8041</v>
      </c>
      <c r="R3238" s="33"/>
      <c r="S3238" s="3">
        <v>1</v>
      </c>
      <c r="T3238" s="3">
        <v>5</v>
      </c>
      <c r="U3238" s="3">
        <v>100</v>
      </c>
      <c r="V3238" s="33"/>
      <c r="W3238" s="3">
        <v>1</v>
      </c>
      <c r="X3238" s="3">
        <v>1</v>
      </c>
      <c r="Y3238" s="3">
        <v>0</v>
      </c>
      <c r="Z3238" s="3">
        <v>0</v>
      </c>
      <c r="AA3238" s="3">
        <v>5</v>
      </c>
      <c r="AB3238" s="3">
        <v>2000</v>
      </c>
      <c r="AC3238" s="3">
        <v>70</v>
      </c>
      <c r="AD3238" s="153">
        <v>0</v>
      </c>
      <c r="AE3238" s="153">
        <v>5</v>
      </c>
      <c r="AF3238" s="153">
        <v>2</v>
      </c>
      <c r="AG3238" s="337"/>
      <c r="AH3238" s="337"/>
      <c r="AI3238" s="337"/>
      <c r="AJ3238" s="337"/>
      <c r="AK3238" s="337"/>
      <c r="AL3238" s="234"/>
      <c r="AM3238" s="234"/>
      <c r="AN3238" s="476"/>
      <c r="AO3238" s="234"/>
      <c r="AP3238" s="234"/>
      <c r="AS3238" s="3">
        <v>1</v>
      </c>
    </row>
    <row r="3239" s="54" customFormat="1" spans="1:45">
      <c r="A3239" s="3">
        <v>619508</v>
      </c>
      <c r="B3239" s="54">
        <v>1001</v>
      </c>
      <c r="C3239" s="54">
        <v>6</v>
      </c>
      <c r="D3239" s="54">
        <v>1001</v>
      </c>
      <c r="E3239" s="54" t="s">
        <v>8042</v>
      </c>
      <c r="F3239" s="54" t="s">
        <v>8042</v>
      </c>
      <c r="G3239" s="54" t="s">
        <v>8043</v>
      </c>
      <c r="H3239" s="54" t="s">
        <v>1818</v>
      </c>
      <c r="I3239" s="54">
        <v>1</v>
      </c>
      <c r="J3239" s="54">
        <v>5</v>
      </c>
      <c r="K3239" s="33">
        <v>2</v>
      </c>
      <c r="L3239" s="54">
        <v>999</v>
      </c>
      <c r="M3239" s="54">
        <v>0</v>
      </c>
      <c r="N3239" s="54">
        <v>1018</v>
      </c>
      <c r="O3239" s="2" t="s">
        <v>8044</v>
      </c>
      <c r="R3239" s="33"/>
      <c r="S3239" s="33">
        <v>1</v>
      </c>
      <c r="T3239" s="54">
        <v>5</v>
      </c>
      <c r="U3239" s="54">
        <v>1000</v>
      </c>
      <c r="V3239" s="33">
        <v>1</v>
      </c>
      <c r="W3239" s="54">
        <v>1</v>
      </c>
      <c r="X3239" s="54">
        <v>1</v>
      </c>
      <c r="Y3239" s="54">
        <v>0</v>
      </c>
      <c r="Z3239" s="33">
        <v>0</v>
      </c>
      <c r="AA3239" s="54">
        <v>5</v>
      </c>
      <c r="AB3239" s="54">
        <v>10000</v>
      </c>
      <c r="AC3239" s="54">
        <v>56</v>
      </c>
      <c r="AD3239" s="445">
        <v>0</v>
      </c>
      <c r="AE3239" s="62">
        <v>5</v>
      </c>
      <c r="AF3239" s="62">
        <v>2</v>
      </c>
      <c r="AG3239" s="63"/>
      <c r="AH3239" s="63"/>
      <c r="AI3239" s="63"/>
      <c r="AJ3239" s="63"/>
      <c r="AK3239" s="63"/>
      <c r="AL3239" s="64"/>
      <c r="AM3239" s="64"/>
      <c r="AN3239" s="65"/>
      <c r="AO3239" s="64"/>
      <c r="AP3239" s="64"/>
      <c r="AS3239" s="54">
        <v>1</v>
      </c>
    </row>
    <row r="3240" s="3" customFormat="1" spans="1:45">
      <c r="A3240" s="3">
        <v>619509</v>
      </c>
      <c r="B3240" s="3">
        <v>1001</v>
      </c>
      <c r="C3240" s="3">
        <v>1</v>
      </c>
      <c r="D3240" s="3">
        <v>1001</v>
      </c>
      <c r="E3240" s="3" t="s">
        <v>8045</v>
      </c>
      <c r="F3240" s="3" t="s">
        <v>8045</v>
      </c>
      <c r="G3240" s="151" t="s">
        <v>8046</v>
      </c>
      <c r="H3240" s="3" t="s">
        <v>1531</v>
      </c>
      <c r="I3240" s="3">
        <v>1</v>
      </c>
      <c r="J3240" s="3">
        <v>5</v>
      </c>
      <c r="K3240" s="3">
        <v>2</v>
      </c>
      <c r="L3240" s="3">
        <v>999</v>
      </c>
      <c r="M3240" s="3">
        <v>0</v>
      </c>
      <c r="N3240" s="3">
        <v>1018</v>
      </c>
      <c r="O3240" s="231" t="s">
        <v>8047</v>
      </c>
      <c r="S3240" s="3">
        <v>1</v>
      </c>
      <c r="T3240" s="3">
        <v>5</v>
      </c>
      <c r="U3240" s="3">
        <v>100</v>
      </c>
      <c r="W3240" s="3">
        <v>1</v>
      </c>
      <c r="X3240" s="3">
        <v>1</v>
      </c>
      <c r="Y3240" s="3">
        <v>0</v>
      </c>
      <c r="Z3240" s="3">
        <v>0</v>
      </c>
      <c r="AA3240" s="3">
        <v>5</v>
      </c>
      <c r="AB3240" s="3">
        <v>2000</v>
      </c>
      <c r="AC3240" s="3">
        <v>70</v>
      </c>
      <c r="AD3240" s="153">
        <v>0</v>
      </c>
      <c r="AE3240" s="153">
        <v>5</v>
      </c>
      <c r="AF3240" s="153">
        <v>2</v>
      </c>
      <c r="AG3240" s="337"/>
      <c r="AH3240" s="337"/>
      <c r="AI3240" s="337"/>
      <c r="AJ3240" s="337"/>
      <c r="AK3240" s="337"/>
      <c r="AL3240" s="234"/>
      <c r="AM3240" s="234"/>
      <c r="AN3240" s="476"/>
      <c r="AO3240" s="234"/>
      <c r="AP3240" s="234"/>
      <c r="AS3240" s="3">
        <v>1</v>
      </c>
    </row>
    <row r="3241" s="3" customFormat="1" ht="40.5" customHeight="1" spans="1:45">
      <c r="A3241" s="3">
        <v>619510</v>
      </c>
      <c r="B3241" s="3">
        <v>1001</v>
      </c>
      <c r="C3241" s="3">
        <v>1</v>
      </c>
      <c r="D3241" s="3">
        <v>1001</v>
      </c>
      <c r="E3241" s="3" t="s">
        <v>8048</v>
      </c>
      <c r="F3241" s="3" t="s">
        <v>8048</v>
      </c>
      <c r="G3241" s="151" t="s">
        <v>8049</v>
      </c>
      <c r="H3241" s="3" t="s">
        <v>1531</v>
      </c>
      <c r="I3241" s="3">
        <v>1</v>
      </c>
      <c r="J3241" s="3">
        <v>5</v>
      </c>
      <c r="K3241" s="3">
        <v>2</v>
      </c>
      <c r="L3241" s="3">
        <v>999</v>
      </c>
      <c r="M3241" s="3">
        <v>0</v>
      </c>
      <c r="N3241" s="3">
        <v>1018</v>
      </c>
      <c r="O3241" s="231" t="s">
        <v>8050</v>
      </c>
      <c r="S3241" s="3">
        <v>1</v>
      </c>
      <c r="T3241" s="3">
        <v>5</v>
      </c>
      <c r="U3241" s="3">
        <v>100</v>
      </c>
      <c r="V3241" s="54"/>
      <c r="W3241" s="3">
        <v>1</v>
      </c>
      <c r="X3241" s="3">
        <v>1</v>
      </c>
      <c r="Y3241" s="3">
        <v>0</v>
      </c>
      <c r="Z3241" s="3">
        <v>0</v>
      </c>
      <c r="AA3241" s="3">
        <v>5</v>
      </c>
      <c r="AB3241" s="3">
        <v>2000</v>
      </c>
      <c r="AC3241" s="3">
        <v>70</v>
      </c>
      <c r="AD3241" s="153">
        <v>0</v>
      </c>
      <c r="AE3241" s="153">
        <v>5</v>
      </c>
      <c r="AF3241" s="153">
        <v>2</v>
      </c>
      <c r="AG3241" s="337"/>
      <c r="AH3241" s="337"/>
      <c r="AI3241" s="337"/>
      <c r="AJ3241" s="337"/>
      <c r="AK3241" s="337"/>
      <c r="AL3241" s="234"/>
      <c r="AM3241" s="234"/>
      <c r="AN3241" s="476"/>
      <c r="AO3241" s="234"/>
      <c r="AP3241" s="234"/>
      <c r="AS3241" s="3">
        <v>1</v>
      </c>
    </row>
    <row r="3242" s="54" customFormat="1" ht="27" customHeight="1" spans="1:45">
      <c r="A3242" s="3">
        <v>619511</v>
      </c>
      <c r="B3242" s="54">
        <v>1001</v>
      </c>
      <c r="C3242" s="54">
        <v>6</v>
      </c>
      <c r="D3242" s="54">
        <v>1001</v>
      </c>
      <c r="E3242" s="54" t="s">
        <v>8051</v>
      </c>
      <c r="F3242" s="54" t="s">
        <v>8051</v>
      </c>
      <c r="G3242" s="515" t="s">
        <v>8052</v>
      </c>
      <c r="H3242" s="54" t="s">
        <v>1588</v>
      </c>
      <c r="I3242" s="54">
        <v>1</v>
      </c>
      <c r="J3242" s="54">
        <v>5</v>
      </c>
      <c r="K3242" s="54">
        <v>2</v>
      </c>
      <c r="L3242" s="54">
        <v>999</v>
      </c>
      <c r="M3242" s="54">
        <v>0</v>
      </c>
      <c r="N3242" s="54">
        <v>1017</v>
      </c>
      <c r="O3242">
        <v>300084</v>
      </c>
      <c r="R3242" s="8"/>
      <c r="S3242" s="54">
        <v>1</v>
      </c>
      <c r="T3242" s="54">
        <v>5</v>
      </c>
      <c r="U3242" s="54">
        <v>10</v>
      </c>
      <c r="V3242" s="54">
        <v>1</v>
      </c>
      <c r="W3242" s="54">
        <v>1</v>
      </c>
      <c r="X3242" s="516">
        <v>1</v>
      </c>
      <c r="Y3242" s="54">
        <v>0</v>
      </c>
      <c r="Z3242" s="54">
        <v>0</v>
      </c>
      <c r="AA3242" s="54">
        <v>5</v>
      </c>
      <c r="AB3242" s="54">
        <v>100</v>
      </c>
      <c r="AC3242" s="54">
        <v>56</v>
      </c>
      <c r="AD3242" s="502">
        <v>0</v>
      </c>
      <c r="AE3242" s="502">
        <v>4</v>
      </c>
      <c r="AF3242" s="502">
        <v>2</v>
      </c>
      <c r="AG3242" s="503"/>
      <c r="AH3242" s="503"/>
      <c r="AI3242" s="503"/>
      <c r="AJ3242" s="503"/>
      <c r="AK3242" s="503"/>
      <c r="AL3242" s="504"/>
      <c r="AM3242" s="504"/>
      <c r="AN3242" s="514"/>
      <c r="AO3242" s="504"/>
      <c r="AP3242" s="504"/>
      <c r="AS3242" s="54">
        <v>1</v>
      </c>
    </row>
    <row r="3243" spans="1:45">
      <c r="A3243" s="3">
        <v>619512</v>
      </c>
      <c r="B3243" s="54">
        <v>1001</v>
      </c>
      <c r="C3243" s="54">
        <v>6</v>
      </c>
      <c r="D3243" s="54">
        <v>1001</v>
      </c>
      <c r="E3243" s="54" t="s">
        <v>8053</v>
      </c>
      <c r="F3243" s="54" t="s">
        <v>8053</v>
      </c>
      <c r="G3243" s="515" t="s">
        <v>8054</v>
      </c>
      <c r="H3243" s="54" t="s">
        <v>1589</v>
      </c>
      <c r="I3243">
        <v>1</v>
      </c>
      <c r="J3243">
        <v>5</v>
      </c>
      <c r="K3243" s="33">
        <v>2</v>
      </c>
      <c r="L3243">
        <v>999</v>
      </c>
      <c r="M3243">
        <v>0</v>
      </c>
      <c r="N3243">
        <v>1018</v>
      </c>
      <c r="O3243" s="2" t="s">
        <v>8055</v>
      </c>
      <c r="R3243" s="236"/>
      <c r="S3243" s="33">
        <v>1</v>
      </c>
      <c r="T3243">
        <v>5</v>
      </c>
      <c r="U3243">
        <v>1</v>
      </c>
      <c r="W3243">
        <v>1</v>
      </c>
      <c r="X3243" s="236">
        <v>1</v>
      </c>
      <c r="Y3243">
        <v>0</v>
      </c>
      <c r="Z3243" s="33">
        <v>0</v>
      </c>
      <c r="AA3243">
        <v>5</v>
      </c>
      <c r="AB3243">
        <v>100</v>
      </c>
      <c r="AC3243">
        <v>70</v>
      </c>
      <c r="AD3243" s="12">
        <v>0</v>
      </c>
      <c r="AE3243" s="12">
        <v>5</v>
      </c>
      <c r="AF3243" s="12">
        <v>2</v>
      </c>
      <c r="AG3243" s="430"/>
      <c r="AH3243" s="430"/>
      <c r="AI3243" s="430"/>
      <c r="AJ3243" s="430"/>
      <c r="AK3243" s="430"/>
      <c r="AL3243" s="214"/>
      <c r="AM3243" s="214"/>
      <c r="AN3243" s="431"/>
      <c r="AO3243" s="214"/>
      <c r="AP3243" s="214"/>
      <c r="AS3243">
        <v>1</v>
      </c>
    </row>
    <row r="3244" s="3" customFormat="1" ht="27" customHeight="1" spans="1:45">
      <c r="A3244" s="3">
        <v>619513</v>
      </c>
      <c r="B3244" s="3">
        <v>1001</v>
      </c>
      <c r="C3244" s="339">
        <v>1</v>
      </c>
      <c r="D3244" s="339">
        <v>1001</v>
      </c>
      <c r="E3244" s="3" t="s">
        <v>5550</v>
      </c>
      <c r="F3244" s="3" t="s">
        <v>5550</v>
      </c>
      <c r="G3244" s="151" t="s">
        <v>8056</v>
      </c>
      <c r="H3244" s="3" t="s">
        <v>1531</v>
      </c>
      <c r="I3244" s="3">
        <v>1</v>
      </c>
      <c r="J3244" s="3">
        <v>5</v>
      </c>
      <c r="K3244" s="339">
        <v>2</v>
      </c>
      <c r="L3244" s="339">
        <v>999</v>
      </c>
      <c r="M3244" s="339">
        <v>0</v>
      </c>
      <c r="N3244" s="3">
        <v>1018</v>
      </c>
      <c r="O3244" s="231" t="s">
        <v>8057</v>
      </c>
      <c r="S3244" s="339">
        <v>1</v>
      </c>
      <c r="T3244" s="339">
        <v>5</v>
      </c>
      <c r="U3244" s="339">
        <v>100</v>
      </c>
      <c r="V3244" s="8"/>
      <c r="W3244" s="3">
        <v>1</v>
      </c>
      <c r="X3244" s="339">
        <v>1</v>
      </c>
      <c r="Y3244" s="3">
        <v>0</v>
      </c>
      <c r="Z3244" s="3">
        <v>0</v>
      </c>
      <c r="AA3244" s="3">
        <v>5</v>
      </c>
      <c r="AB3244" s="3">
        <v>2000</v>
      </c>
      <c r="AC3244" s="339">
        <v>70</v>
      </c>
      <c r="AD3244" s="153">
        <v>0</v>
      </c>
      <c r="AE3244" s="477">
        <v>5</v>
      </c>
      <c r="AF3244" s="477">
        <v>2</v>
      </c>
      <c r="AG3244" s="478"/>
      <c r="AH3244" s="478"/>
      <c r="AI3244" s="337"/>
      <c r="AJ3244" s="337"/>
      <c r="AK3244" s="337"/>
      <c r="AL3244" s="341"/>
      <c r="AM3244" s="234"/>
      <c r="AN3244" s="476"/>
      <c r="AO3244" s="234"/>
      <c r="AP3244" s="234"/>
      <c r="AS3244" s="3">
        <v>1</v>
      </c>
    </row>
    <row r="3245" spans="1:45">
      <c r="A3245" s="3">
        <v>619514</v>
      </c>
      <c r="B3245">
        <v>1001</v>
      </c>
      <c r="C3245" s="236">
        <v>6</v>
      </c>
      <c r="D3245" s="236">
        <v>1001</v>
      </c>
      <c r="E3245" t="s">
        <v>8058</v>
      </c>
      <c r="F3245" t="s">
        <v>8058</v>
      </c>
      <c r="G3245" t="s">
        <v>8059</v>
      </c>
      <c r="H3245" t="s">
        <v>1763</v>
      </c>
      <c r="I3245">
        <v>1</v>
      </c>
      <c r="J3245" s="69">
        <v>5</v>
      </c>
      <c r="K3245" s="236">
        <v>2</v>
      </c>
      <c r="L3245" s="236">
        <v>999</v>
      </c>
      <c r="M3245" s="236">
        <v>0</v>
      </c>
      <c r="N3245">
        <v>1018</v>
      </c>
      <c r="O3245" t="s">
        <v>8060</v>
      </c>
      <c r="S3245" s="236">
        <v>1</v>
      </c>
      <c r="T3245" s="236">
        <v>5</v>
      </c>
      <c r="U3245" s="236">
        <v>1</v>
      </c>
      <c r="V3245" s="236"/>
      <c r="W3245">
        <v>1</v>
      </c>
      <c r="X3245" s="236">
        <v>1</v>
      </c>
      <c r="Y3245">
        <v>0</v>
      </c>
      <c r="Z3245" s="33">
        <v>0</v>
      </c>
      <c r="AA3245">
        <v>5</v>
      </c>
      <c r="AB3245">
        <v>100</v>
      </c>
      <c r="AC3245" s="236">
        <v>70</v>
      </c>
      <c r="AD3245" s="12">
        <v>0</v>
      </c>
      <c r="AE3245" s="456">
        <v>5</v>
      </c>
      <c r="AF3245" s="456">
        <v>2</v>
      </c>
      <c r="AG3245" s="484"/>
      <c r="AH3245" s="484"/>
      <c r="AI3245" s="430"/>
      <c r="AJ3245" s="430"/>
      <c r="AK3245" s="430"/>
      <c r="AL3245" s="482"/>
      <c r="AM3245" s="214"/>
      <c r="AN3245" s="431"/>
      <c r="AO3245" s="214"/>
      <c r="AP3245" s="214"/>
      <c r="AS3245">
        <v>1</v>
      </c>
    </row>
    <row r="3246" spans="1:45">
      <c r="A3246" s="3">
        <v>619515</v>
      </c>
      <c r="B3246">
        <v>1001</v>
      </c>
      <c r="C3246">
        <v>2</v>
      </c>
      <c r="D3246">
        <v>1001</v>
      </c>
      <c r="E3246" t="s">
        <v>1764</v>
      </c>
      <c r="F3246" t="s">
        <v>1764</v>
      </c>
      <c r="G3246" t="s">
        <v>7833</v>
      </c>
      <c r="H3246" t="s">
        <v>1766</v>
      </c>
      <c r="I3246">
        <v>1</v>
      </c>
      <c r="J3246">
        <v>5</v>
      </c>
      <c r="K3246" s="33">
        <v>1</v>
      </c>
      <c r="L3246">
        <v>999</v>
      </c>
      <c r="M3246">
        <v>0</v>
      </c>
      <c r="S3246" s="33">
        <v>1</v>
      </c>
      <c r="T3246">
        <v>5</v>
      </c>
      <c r="U3246">
        <v>50</v>
      </c>
      <c r="V3246" s="33">
        <v>1</v>
      </c>
      <c r="W3246">
        <v>1</v>
      </c>
      <c r="X3246">
        <v>1</v>
      </c>
      <c r="Y3246">
        <v>0</v>
      </c>
      <c r="Z3246" s="33">
        <v>0</v>
      </c>
      <c r="AA3246">
        <v>5</v>
      </c>
      <c r="AB3246">
        <v>500</v>
      </c>
      <c r="AC3246">
        <v>56</v>
      </c>
      <c r="AD3246" s="12"/>
      <c r="AE3246" s="12"/>
      <c r="AF3246" s="12"/>
      <c r="AG3246" s="430"/>
      <c r="AH3246" s="430"/>
      <c r="AI3246" s="430"/>
      <c r="AJ3246" s="430"/>
      <c r="AK3246" s="430"/>
      <c r="AL3246" s="214">
        <v>1</v>
      </c>
      <c r="AM3246" s="214"/>
      <c r="AN3246" s="431"/>
      <c r="AO3246" s="214"/>
      <c r="AP3246" s="214"/>
      <c r="AS3246">
        <v>1</v>
      </c>
    </row>
    <row r="3247" spans="1:45">
      <c r="A3247" s="3">
        <v>619516</v>
      </c>
      <c r="B3247">
        <v>1001</v>
      </c>
      <c r="C3247">
        <v>2</v>
      </c>
      <c r="D3247">
        <v>1001</v>
      </c>
      <c r="E3247" t="s">
        <v>1785</v>
      </c>
      <c r="F3247" t="s">
        <v>1785</v>
      </c>
      <c r="G3247" t="s">
        <v>7834</v>
      </c>
      <c r="H3247" t="s">
        <v>1787</v>
      </c>
      <c r="I3247">
        <v>1</v>
      </c>
      <c r="J3247">
        <v>5</v>
      </c>
      <c r="K3247" s="33">
        <v>1</v>
      </c>
      <c r="L3247">
        <v>999</v>
      </c>
      <c r="M3247">
        <v>0</v>
      </c>
      <c r="N3247"/>
      <c r="O3247"/>
      <c r="S3247" s="33">
        <v>1</v>
      </c>
      <c r="T3247">
        <v>5</v>
      </c>
      <c r="U3247">
        <v>50</v>
      </c>
      <c r="V3247" s="33">
        <v>1</v>
      </c>
      <c r="W3247">
        <v>1</v>
      </c>
      <c r="X3247">
        <v>1</v>
      </c>
      <c r="Y3247">
        <v>0</v>
      </c>
      <c r="Z3247" s="33">
        <v>0</v>
      </c>
      <c r="AA3247">
        <v>5</v>
      </c>
      <c r="AB3247">
        <v>500</v>
      </c>
      <c r="AC3247">
        <v>56</v>
      </c>
      <c r="AD3247" s="12"/>
      <c r="AE3247" s="12"/>
      <c r="AF3247" s="12"/>
      <c r="AG3247" s="430"/>
      <c r="AH3247" s="430"/>
      <c r="AI3247" s="430"/>
      <c r="AJ3247" s="430"/>
      <c r="AK3247" s="430"/>
      <c r="AL3247" s="214">
        <v>1</v>
      </c>
      <c r="AM3247" s="214"/>
      <c r="AN3247" s="431"/>
      <c r="AO3247" s="214"/>
      <c r="AP3247" s="214"/>
      <c r="AS3247">
        <v>1</v>
      </c>
    </row>
    <row r="3248" spans="1:45">
      <c r="A3248" s="3">
        <v>619517</v>
      </c>
      <c r="B3248">
        <v>1001</v>
      </c>
      <c r="C3248">
        <v>6</v>
      </c>
      <c r="D3248">
        <v>1001</v>
      </c>
      <c r="E3248" t="s">
        <v>1789</v>
      </c>
      <c r="F3248" t="s">
        <v>1789</v>
      </c>
      <c r="G3248" t="s">
        <v>7838</v>
      </c>
      <c r="H3248" t="s">
        <v>1791</v>
      </c>
      <c r="I3248">
        <v>1</v>
      </c>
      <c r="J3248" s="51">
        <v>5</v>
      </c>
      <c r="K3248" s="33">
        <v>2</v>
      </c>
      <c r="L3248">
        <v>999</v>
      </c>
      <c r="M3248">
        <v>0</v>
      </c>
      <c r="N3248">
        <v>1017</v>
      </c>
      <c r="O3248">
        <v>300083</v>
      </c>
      <c r="S3248" s="33">
        <v>0</v>
      </c>
      <c r="T3248">
        <v>5</v>
      </c>
      <c r="U3248">
        <v>100</v>
      </c>
      <c r="V3248" s="33">
        <v>1</v>
      </c>
      <c r="W3248">
        <v>0</v>
      </c>
      <c r="X3248">
        <v>1</v>
      </c>
      <c r="Y3248">
        <v>1</v>
      </c>
      <c r="Z3248" s="33">
        <v>0</v>
      </c>
      <c r="AA3248">
        <v>5</v>
      </c>
      <c r="AB3248">
        <v>150</v>
      </c>
      <c r="AC3248">
        <v>2</v>
      </c>
      <c r="AD3248" s="12"/>
      <c r="AE3248" s="12">
        <v>4</v>
      </c>
      <c r="AF3248" s="12">
        <v>2</v>
      </c>
      <c r="AG3248" s="430"/>
      <c r="AH3248" s="430"/>
      <c r="AI3248" s="430"/>
      <c r="AJ3248" s="430"/>
      <c r="AK3248" s="430"/>
      <c r="AL3248" s="214">
        <v>0</v>
      </c>
      <c r="AM3248" s="214"/>
      <c r="AN3248" s="431"/>
      <c r="AO3248" s="214"/>
      <c r="AP3248" s="214"/>
      <c r="AS3248">
        <v>1</v>
      </c>
    </row>
    <row r="3249" s="54" customFormat="1" spans="1:45">
      <c r="A3249" s="3">
        <v>619518</v>
      </c>
      <c r="B3249" s="54">
        <v>1001</v>
      </c>
      <c r="C3249" s="54">
        <v>6</v>
      </c>
      <c r="D3249" s="54">
        <v>1001</v>
      </c>
      <c r="E3249" s="54" t="s">
        <v>8061</v>
      </c>
      <c r="F3249" s="54" t="s">
        <v>8061</v>
      </c>
      <c r="G3249" s="515" t="s">
        <v>8062</v>
      </c>
      <c r="H3249" s="54" t="s">
        <v>1931</v>
      </c>
      <c r="I3249" s="54">
        <v>1</v>
      </c>
      <c r="J3249" s="54">
        <v>5</v>
      </c>
      <c r="K3249" s="54">
        <v>2</v>
      </c>
      <c r="L3249" s="54">
        <v>999</v>
      </c>
      <c r="M3249" s="54">
        <v>0</v>
      </c>
      <c r="N3249" s="54">
        <v>1018</v>
      </c>
      <c r="O3249" s="501" t="s">
        <v>8063</v>
      </c>
      <c r="S3249" s="54">
        <v>1</v>
      </c>
      <c r="T3249" s="54">
        <v>5</v>
      </c>
      <c r="U3249" s="54">
        <v>1</v>
      </c>
      <c r="V3249" s="54">
        <v>1</v>
      </c>
      <c r="W3249" s="54">
        <v>1</v>
      </c>
      <c r="X3249" s="54">
        <v>1</v>
      </c>
      <c r="Y3249" s="54">
        <v>0</v>
      </c>
      <c r="Z3249" s="54">
        <v>0</v>
      </c>
      <c r="AA3249" s="54">
        <v>5</v>
      </c>
      <c r="AB3249" s="54">
        <v>100</v>
      </c>
      <c r="AC3249" s="54">
        <v>70</v>
      </c>
      <c r="AD3249" s="502">
        <v>0</v>
      </c>
      <c r="AE3249" s="502">
        <v>5</v>
      </c>
      <c r="AF3249" s="502">
        <v>2</v>
      </c>
      <c r="AG3249" s="503"/>
      <c r="AH3249" s="503"/>
      <c r="AI3249" s="503"/>
      <c r="AJ3249" s="503"/>
      <c r="AK3249" s="503"/>
      <c r="AL3249" s="504"/>
      <c r="AM3249" s="504"/>
      <c r="AN3249" s="514"/>
      <c r="AO3249" s="504"/>
      <c r="AP3249" s="504"/>
      <c r="AS3249" s="54">
        <v>1</v>
      </c>
    </row>
    <row r="3250" s="3" customFormat="1" spans="1:45">
      <c r="A3250" s="3">
        <v>619519</v>
      </c>
      <c r="B3250" s="3">
        <v>1001</v>
      </c>
      <c r="C3250" s="3">
        <v>1</v>
      </c>
      <c r="D3250" s="3">
        <v>1001</v>
      </c>
      <c r="E3250" s="3" t="s">
        <v>8064</v>
      </c>
      <c r="F3250" s="3" t="s">
        <v>8064</v>
      </c>
      <c r="G3250" s="151" t="s">
        <v>8065</v>
      </c>
      <c r="H3250" s="3" t="s">
        <v>8066</v>
      </c>
      <c r="I3250" s="3">
        <v>1</v>
      </c>
      <c r="J3250" s="3">
        <v>5</v>
      </c>
      <c r="K3250" s="3">
        <v>2</v>
      </c>
      <c r="L3250" s="3">
        <v>999</v>
      </c>
      <c r="M3250" s="3">
        <v>0</v>
      </c>
      <c r="N3250" s="3">
        <v>1018</v>
      </c>
      <c r="O3250" s="231" t="s">
        <v>8067</v>
      </c>
      <c r="S3250" s="3">
        <v>1</v>
      </c>
      <c r="T3250" s="3">
        <v>5</v>
      </c>
      <c r="U3250" s="3">
        <v>100</v>
      </c>
      <c r="W3250" s="3">
        <v>1</v>
      </c>
      <c r="X3250" s="3">
        <v>1</v>
      </c>
      <c r="Y3250" s="3">
        <v>0</v>
      </c>
      <c r="Z3250" s="3">
        <v>0</v>
      </c>
      <c r="AA3250" s="3">
        <v>5</v>
      </c>
      <c r="AB3250" s="3">
        <v>2000</v>
      </c>
      <c r="AC3250" s="3">
        <v>70</v>
      </c>
      <c r="AD3250" s="153">
        <v>0</v>
      </c>
      <c r="AE3250" s="153">
        <v>5</v>
      </c>
      <c r="AF3250" s="153">
        <v>2</v>
      </c>
      <c r="AG3250" s="337"/>
      <c r="AH3250" s="337"/>
      <c r="AI3250" s="337"/>
      <c r="AJ3250" s="337"/>
      <c r="AK3250" s="337"/>
      <c r="AL3250" s="234"/>
      <c r="AM3250" s="234"/>
      <c r="AN3250" s="476"/>
      <c r="AO3250" s="234"/>
      <c r="AP3250" s="234"/>
      <c r="AS3250" s="3">
        <v>1</v>
      </c>
    </row>
    <row r="3251" s="3" customFormat="1" spans="1:45">
      <c r="A3251" s="3">
        <v>619520</v>
      </c>
      <c r="B3251" s="3">
        <v>1001</v>
      </c>
      <c r="C3251" s="3">
        <v>1</v>
      </c>
      <c r="D3251" s="3">
        <v>1001</v>
      </c>
      <c r="E3251" s="3" t="s">
        <v>5550</v>
      </c>
      <c r="F3251" s="3" t="s">
        <v>5550</v>
      </c>
      <c r="G3251" s="151" t="s">
        <v>8068</v>
      </c>
      <c r="H3251" s="3" t="s">
        <v>1531</v>
      </c>
      <c r="I3251" s="3">
        <v>1</v>
      </c>
      <c r="J3251" s="3">
        <v>5</v>
      </c>
      <c r="K3251" s="3">
        <v>2</v>
      </c>
      <c r="L3251" s="3">
        <v>999</v>
      </c>
      <c r="M3251" s="3">
        <v>0</v>
      </c>
      <c r="N3251" s="3">
        <v>1018</v>
      </c>
      <c r="O3251" s="231" t="s">
        <v>8069</v>
      </c>
      <c r="S3251" s="3">
        <v>1</v>
      </c>
      <c r="T3251" s="3">
        <v>5</v>
      </c>
      <c r="U3251" s="3">
        <v>100</v>
      </c>
      <c r="V3251" s="33"/>
      <c r="W3251" s="3">
        <v>1</v>
      </c>
      <c r="X3251" s="3">
        <v>1</v>
      </c>
      <c r="Y3251" s="3">
        <v>0</v>
      </c>
      <c r="Z3251" s="3">
        <v>0</v>
      </c>
      <c r="AA3251" s="3">
        <v>5</v>
      </c>
      <c r="AB3251" s="3">
        <v>2000</v>
      </c>
      <c r="AC3251" s="3">
        <v>70</v>
      </c>
      <c r="AD3251" s="153">
        <v>0</v>
      </c>
      <c r="AE3251" s="153">
        <v>5</v>
      </c>
      <c r="AF3251" s="153">
        <v>2</v>
      </c>
      <c r="AG3251" s="337"/>
      <c r="AH3251" s="337"/>
      <c r="AI3251" s="337"/>
      <c r="AJ3251" s="337"/>
      <c r="AK3251" s="337"/>
      <c r="AL3251" s="234"/>
      <c r="AM3251" s="234"/>
      <c r="AN3251" s="476"/>
      <c r="AO3251" s="234"/>
      <c r="AP3251" s="234"/>
      <c r="AS3251" s="3">
        <v>1</v>
      </c>
    </row>
    <row r="3252" spans="1:45">
      <c r="A3252" s="3">
        <v>619521</v>
      </c>
      <c r="B3252">
        <v>1001</v>
      </c>
      <c r="C3252" s="238">
        <v>6</v>
      </c>
      <c r="D3252" s="238">
        <v>1001</v>
      </c>
      <c r="E3252" t="s">
        <v>8070</v>
      </c>
      <c r="F3252" t="s">
        <v>8070</v>
      </c>
      <c r="G3252" t="s">
        <v>7838</v>
      </c>
      <c r="H3252" t="s">
        <v>1667</v>
      </c>
      <c r="I3252">
        <v>1</v>
      </c>
      <c r="J3252" s="51">
        <v>5</v>
      </c>
      <c r="K3252" s="254">
        <v>2</v>
      </c>
      <c r="L3252" s="238">
        <v>999</v>
      </c>
      <c r="M3252" s="238">
        <v>0</v>
      </c>
      <c r="N3252">
        <v>1017</v>
      </c>
      <c r="O3252">
        <v>300085</v>
      </c>
      <c r="S3252" s="254">
        <v>0</v>
      </c>
      <c r="T3252" s="238">
        <v>5</v>
      </c>
      <c r="U3252" s="238">
        <v>100</v>
      </c>
      <c r="V3252" s="254">
        <v>1</v>
      </c>
      <c r="W3252">
        <v>0</v>
      </c>
      <c r="X3252" s="238">
        <v>1</v>
      </c>
      <c r="Y3252">
        <v>1</v>
      </c>
      <c r="Z3252" s="33">
        <v>0</v>
      </c>
      <c r="AA3252">
        <v>5</v>
      </c>
      <c r="AB3252">
        <v>150</v>
      </c>
      <c r="AC3252" s="238">
        <v>2</v>
      </c>
      <c r="AD3252" s="12"/>
      <c r="AE3252" s="432">
        <v>4</v>
      </c>
      <c r="AF3252" s="432">
        <v>2</v>
      </c>
      <c r="AG3252" s="433"/>
      <c r="AH3252" s="433"/>
      <c r="AI3252" s="430"/>
      <c r="AJ3252" s="430"/>
      <c r="AK3252" s="430"/>
      <c r="AL3252" s="434">
        <v>0</v>
      </c>
      <c r="AM3252" s="214"/>
      <c r="AN3252" s="431"/>
      <c r="AO3252" s="214"/>
      <c r="AP3252" s="214"/>
      <c r="AS3252">
        <v>1</v>
      </c>
    </row>
    <row r="3253" s="3" customFormat="1" spans="1:45">
      <c r="A3253" s="3">
        <v>619522</v>
      </c>
      <c r="B3253" s="3">
        <v>1001</v>
      </c>
      <c r="C3253" s="395">
        <v>1</v>
      </c>
      <c r="D3253" s="395">
        <v>1001</v>
      </c>
      <c r="E3253" s="3" t="s">
        <v>8071</v>
      </c>
      <c r="F3253" s="3" t="s">
        <v>8071</v>
      </c>
      <c r="G3253" s="3" t="s">
        <v>7671</v>
      </c>
      <c r="H3253" s="3" t="s">
        <v>1667</v>
      </c>
      <c r="I3253" s="3">
        <v>1</v>
      </c>
      <c r="J3253" s="151">
        <v>5</v>
      </c>
      <c r="K3253" s="395">
        <v>2</v>
      </c>
      <c r="L3253" s="395">
        <v>999</v>
      </c>
      <c r="M3253" s="395">
        <v>0</v>
      </c>
      <c r="N3253" s="3">
        <v>1017</v>
      </c>
      <c r="O3253">
        <v>300086</v>
      </c>
      <c r="S3253" s="395">
        <v>1</v>
      </c>
      <c r="T3253" s="395">
        <v>5</v>
      </c>
      <c r="U3253" s="395">
        <v>200</v>
      </c>
      <c r="V3253" s="395">
        <v>1</v>
      </c>
      <c r="W3253" s="3">
        <v>1</v>
      </c>
      <c r="X3253" s="395">
        <v>1</v>
      </c>
      <c r="Y3253" s="3">
        <v>0</v>
      </c>
      <c r="Z3253" s="3">
        <v>0</v>
      </c>
      <c r="AA3253" s="3">
        <v>5</v>
      </c>
      <c r="AB3253" s="3">
        <v>7600</v>
      </c>
      <c r="AC3253" s="395">
        <v>110</v>
      </c>
      <c r="AD3253" s="153">
        <v>0</v>
      </c>
      <c r="AE3253" s="475">
        <v>4</v>
      </c>
      <c r="AF3253" s="475">
        <v>2</v>
      </c>
      <c r="AG3253" s="530"/>
      <c r="AH3253" s="530">
        <v>1</v>
      </c>
      <c r="AI3253" s="337"/>
      <c r="AJ3253" s="337"/>
      <c r="AK3253" s="337"/>
      <c r="AL3253" s="342">
        <v>1</v>
      </c>
      <c r="AM3253" s="234"/>
      <c r="AN3253" s="476"/>
      <c r="AO3253" s="234"/>
      <c r="AP3253" s="234"/>
      <c r="AS3253" s="3">
        <v>1</v>
      </c>
    </row>
    <row r="3254" s="3" customFormat="1" spans="1:45">
      <c r="A3254" s="3">
        <v>619523</v>
      </c>
      <c r="B3254" s="3">
        <v>1001</v>
      </c>
      <c r="C3254" s="3">
        <v>1</v>
      </c>
      <c r="D3254" s="3">
        <v>1001</v>
      </c>
      <c r="E3254" s="3" t="s">
        <v>6218</v>
      </c>
      <c r="F3254" s="3" t="s">
        <v>6218</v>
      </c>
      <c r="G3254" s="3" t="s">
        <v>7286</v>
      </c>
      <c r="H3254" s="3" t="s">
        <v>6220</v>
      </c>
      <c r="I3254" s="3">
        <v>1</v>
      </c>
      <c r="J3254" s="3">
        <v>2</v>
      </c>
      <c r="K3254" s="33">
        <v>1</v>
      </c>
      <c r="L3254" s="3">
        <v>999</v>
      </c>
      <c r="M3254" s="3">
        <v>0</v>
      </c>
      <c r="O3254" s="2"/>
      <c r="S3254" s="33">
        <v>1</v>
      </c>
      <c r="T3254" s="3">
        <v>5</v>
      </c>
      <c r="U3254" s="3">
        <v>50</v>
      </c>
      <c r="V3254" s="33">
        <v>1</v>
      </c>
      <c r="W3254" s="3">
        <v>1</v>
      </c>
      <c r="X3254" s="3">
        <v>1</v>
      </c>
      <c r="Y3254" s="3">
        <v>0</v>
      </c>
      <c r="Z3254" s="33">
        <v>0</v>
      </c>
      <c r="AA3254" s="3">
        <v>5</v>
      </c>
      <c r="AB3254" s="3">
        <v>500</v>
      </c>
      <c r="AC3254" s="3">
        <v>56</v>
      </c>
      <c r="AD3254" s="62"/>
      <c r="AE3254" s="62"/>
      <c r="AF3254" s="62"/>
      <c r="AG3254" s="63"/>
      <c r="AH3254" s="63"/>
      <c r="AI3254" s="63"/>
      <c r="AJ3254" s="63"/>
      <c r="AK3254" s="63"/>
      <c r="AL3254" s="64">
        <v>1</v>
      </c>
      <c r="AM3254" s="64"/>
      <c r="AN3254" s="65"/>
      <c r="AO3254" s="64"/>
      <c r="AP3254" s="64"/>
      <c r="AS3254" s="3">
        <v>1</v>
      </c>
    </row>
    <row r="3255" s="3" customFormat="1" spans="1:45">
      <c r="A3255" s="3">
        <v>619524</v>
      </c>
      <c r="B3255" s="3">
        <v>1001</v>
      </c>
      <c r="C3255" s="3">
        <v>1</v>
      </c>
      <c r="D3255" s="3">
        <v>1001</v>
      </c>
      <c r="E3255" s="3" t="s">
        <v>7287</v>
      </c>
      <c r="F3255" s="3" t="s">
        <v>7287</v>
      </c>
      <c r="G3255" s="3" t="s">
        <v>7288</v>
      </c>
      <c r="H3255" s="3" t="s">
        <v>1804</v>
      </c>
      <c r="I3255" s="3">
        <v>1</v>
      </c>
      <c r="J3255" s="3">
        <v>3</v>
      </c>
      <c r="K3255" s="33">
        <v>1</v>
      </c>
      <c r="L3255" s="339">
        <v>999</v>
      </c>
      <c r="M3255" s="339">
        <v>0</v>
      </c>
      <c r="O3255" s="2"/>
      <c r="S3255" s="254">
        <v>1</v>
      </c>
      <c r="T3255" s="339">
        <v>5</v>
      </c>
      <c r="U3255" s="339">
        <v>100</v>
      </c>
      <c r="V3255" s="254">
        <v>1</v>
      </c>
      <c r="W3255" s="3">
        <v>1</v>
      </c>
      <c r="X3255" s="339">
        <v>1</v>
      </c>
      <c r="Y3255" s="339">
        <v>0</v>
      </c>
      <c r="Z3255" s="33">
        <v>0</v>
      </c>
      <c r="AA3255" s="3">
        <v>5</v>
      </c>
      <c r="AB3255" s="3">
        <v>1000</v>
      </c>
      <c r="AC3255" s="339">
        <v>56</v>
      </c>
      <c r="AD3255" s="62"/>
      <c r="AE3255" s="62"/>
      <c r="AF3255" s="62"/>
      <c r="AG3255" s="63"/>
      <c r="AH3255" s="63"/>
      <c r="AI3255" s="63"/>
      <c r="AJ3255" s="63"/>
      <c r="AK3255" s="63"/>
      <c r="AL3255" s="64">
        <v>1</v>
      </c>
      <c r="AM3255" s="64"/>
      <c r="AN3255" s="424"/>
      <c r="AO3255" s="256"/>
      <c r="AP3255" s="64"/>
      <c r="AQ3255"/>
      <c r="AR3255"/>
      <c r="AS3255" s="3">
        <v>1</v>
      </c>
    </row>
    <row r="3256" spans="1:45">
      <c r="A3256" s="3">
        <v>619525</v>
      </c>
      <c r="B3256">
        <v>1001</v>
      </c>
      <c r="C3256" s="238">
        <v>1</v>
      </c>
      <c r="D3256" s="238">
        <v>1001</v>
      </c>
      <c r="E3256" t="s">
        <v>7669</v>
      </c>
      <c r="F3256" t="s">
        <v>7669</v>
      </c>
      <c r="G3256" t="s">
        <v>7522</v>
      </c>
      <c r="H3256" t="s">
        <v>4086</v>
      </c>
      <c r="I3256">
        <v>1</v>
      </c>
      <c r="J3256">
        <v>5</v>
      </c>
      <c r="K3256" s="254">
        <v>1</v>
      </c>
      <c r="L3256" s="8">
        <v>999</v>
      </c>
      <c r="M3256" s="8">
        <v>0</v>
      </c>
      <c r="N3256"/>
      <c r="O3256"/>
      <c r="S3256" s="8">
        <v>1</v>
      </c>
      <c r="T3256" s="8">
        <v>5</v>
      </c>
      <c r="U3256" s="8">
        <v>200</v>
      </c>
      <c r="V3256" s="8">
        <v>1</v>
      </c>
      <c r="W3256">
        <v>1</v>
      </c>
      <c r="X3256" s="8">
        <v>1</v>
      </c>
      <c r="Y3256" s="236">
        <v>0</v>
      </c>
      <c r="Z3256" s="33">
        <v>0</v>
      </c>
      <c r="AA3256">
        <v>5</v>
      </c>
      <c r="AB3256">
        <v>100</v>
      </c>
      <c r="AC3256" s="8">
        <v>900</v>
      </c>
      <c r="AD3256" s="12">
        <v>0</v>
      </c>
      <c r="AE3256" s="432">
        <v>4</v>
      </c>
      <c r="AF3256" s="432">
        <v>2</v>
      </c>
      <c r="AG3256" s="433"/>
      <c r="AH3256" s="433"/>
      <c r="AI3256" s="430"/>
      <c r="AJ3256" s="430"/>
      <c r="AK3256" s="430"/>
      <c r="AL3256" s="434">
        <v>1</v>
      </c>
      <c r="AM3256" s="4"/>
      <c r="AN3256" s="481"/>
      <c r="AO3256" s="482"/>
      <c r="AP3256" s="214"/>
      <c r="AQ3256" t="s">
        <v>7669</v>
      </c>
      <c r="AR3256">
        <v>1</v>
      </c>
      <c r="AS3256">
        <v>1</v>
      </c>
    </row>
    <row r="3257" spans="1:45">
      <c r="A3257" s="3">
        <v>619526</v>
      </c>
      <c r="B3257">
        <v>1001</v>
      </c>
      <c r="C3257" s="236">
        <v>6</v>
      </c>
      <c r="D3257" s="236">
        <v>1001</v>
      </c>
      <c r="E3257" t="s">
        <v>8072</v>
      </c>
      <c r="F3257" t="s">
        <v>8072</v>
      </c>
      <c r="G3257" t="s">
        <v>8073</v>
      </c>
      <c r="H3257" t="s">
        <v>1763</v>
      </c>
      <c r="I3257">
        <v>1</v>
      </c>
      <c r="J3257" s="69">
        <v>5</v>
      </c>
      <c r="K3257" s="236">
        <v>2</v>
      </c>
      <c r="L3257" s="236">
        <v>999</v>
      </c>
      <c r="M3257" s="236">
        <v>0</v>
      </c>
      <c r="N3257">
        <v>1018</v>
      </c>
      <c r="O3257" t="s">
        <v>8074</v>
      </c>
      <c r="S3257" s="236">
        <v>1</v>
      </c>
      <c r="T3257" s="236">
        <v>5</v>
      </c>
      <c r="U3257" s="236">
        <v>1</v>
      </c>
      <c r="V3257" s="236"/>
      <c r="W3257">
        <v>1</v>
      </c>
      <c r="X3257" s="236">
        <v>1</v>
      </c>
      <c r="Y3257">
        <v>0</v>
      </c>
      <c r="Z3257" s="33">
        <v>0</v>
      </c>
      <c r="AA3257">
        <v>5</v>
      </c>
      <c r="AB3257">
        <v>100</v>
      </c>
      <c r="AC3257" s="236">
        <v>70</v>
      </c>
      <c r="AD3257" s="12">
        <v>0</v>
      </c>
      <c r="AE3257" s="456">
        <v>5</v>
      </c>
      <c r="AF3257" s="456">
        <v>2</v>
      </c>
      <c r="AG3257" s="484"/>
      <c r="AH3257" s="484"/>
      <c r="AI3257" s="430"/>
      <c r="AJ3257" s="430"/>
      <c r="AK3257" s="430"/>
      <c r="AL3257" s="482"/>
      <c r="AM3257" s="214"/>
      <c r="AN3257" s="431"/>
      <c r="AO3257" s="214"/>
      <c r="AP3257" s="214"/>
      <c r="AS3257">
        <v>1</v>
      </c>
    </row>
    <row r="3258" s="3" customFormat="1" ht="40.5" customHeight="1" spans="1:45">
      <c r="A3258" s="3">
        <v>619527</v>
      </c>
      <c r="B3258" s="3">
        <v>1001</v>
      </c>
      <c r="C3258" s="3">
        <v>1</v>
      </c>
      <c r="D3258" s="3">
        <v>1001</v>
      </c>
      <c r="E3258" s="3" t="s">
        <v>8075</v>
      </c>
      <c r="F3258" s="3" t="s">
        <v>8075</v>
      </c>
      <c r="G3258" s="151" t="s">
        <v>8076</v>
      </c>
      <c r="H3258" s="3" t="s">
        <v>1531</v>
      </c>
      <c r="I3258" s="3">
        <v>1</v>
      </c>
      <c r="J3258" s="3">
        <v>5</v>
      </c>
      <c r="K3258" s="3">
        <v>2</v>
      </c>
      <c r="L3258" s="3">
        <v>999</v>
      </c>
      <c r="M3258" s="3">
        <v>0</v>
      </c>
      <c r="N3258" s="3">
        <v>1018</v>
      </c>
      <c r="O3258" s="231" t="s">
        <v>8077</v>
      </c>
      <c r="S3258" s="3">
        <v>1</v>
      </c>
      <c r="T3258" s="3">
        <v>5</v>
      </c>
      <c r="U3258" s="3">
        <v>100</v>
      </c>
      <c r="W3258" s="3">
        <v>1</v>
      </c>
      <c r="X3258" s="3">
        <v>1</v>
      </c>
      <c r="Y3258" s="3">
        <v>0</v>
      </c>
      <c r="Z3258" s="3">
        <v>0</v>
      </c>
      <c r="AA3258" s="3">
        <v>5</v>
      </c>
      <c r="AB3258" s="3">
        <v>2000</v>
      </c>
      <c r="AC3258" s="3">
        <v>70</v>
      </c>
      <c r="AD3258" s="153">
        <v>0</v>
      </c>
      <c r="AE3258" s="153">
        <v>5</v>
      </c>
      <c r="AF3258" s="153">
        <v>2</v>
      </c>
      <c r="AG3258" s="337"/>
      <c r="AH3258" s="337"/>
      <c r="AI3258" s="337"/>
      <c r="AJ3258" s="337"/>
      <c r="AK3258" s="337"/>
      <c r="AL3258" s="234"/>
      <c r="AM3258" s="234"/>
      <c r="AN3258" s="476"/>
      <c r="AO3258" s="234"/>
      <c r="AP3258" s="234"/>
      <c r="AS3258" s="3">
        <v>1</v>
      </c>
    </row>
    <row r="3259" s="3" customFormat="1" spans="1:45">
      <c r="A3259" s="3">
        <v>619528</v>
      </c>
      <c r="B3259" s="3">
        <v>1001</v>
      </c>
      <c r="C3259" s="3">
        <v>1</v>
      </c>
      <c r="D3259" s="3">
        <v>1001</v>
      </c>
      <c r="E3259" s="3" t="s">
        <v>5550</v>
      </c>
      <c r="F3259" s="3" t="s">
        <v>5550</v>
      </c>
      <c r="G3259" s="151" t="s">
        <v>8078</v>
      </c>
      <c r="H3259" s="339" t="s">
        <v>1531</v>
      </c>
      <c r="I3259" s="3">
        <v>1</v>
      </c>
      <c r="J3259" s="3">
        <v>5</v>
      </c>
      <c r="K3259" s="3">
        <v>2</v>
      </c>
      <c r="L3259" s="3">
        <v>999</v>
      </c>
      <c r="M3259" s="3">
        <v>0</v>
      </c>
      <c r="N3259" s="3">
        <v>1018</v>
      </c>
      <c r="O3259" s="231" t="s">
        <v>8079</v>
      </c>
      <c r="S3259" s="3">
        <v>1</v>
      </c>
      <c r="T3259" s="3">
        <v>5</v>
      </c>
      <c r="U3259" s="3">
        <v>100</v>
      </c>
      <c r="V3259" s="33"/>
      <c r="W3259" s="3">
        <v>1</v>
      </c>
      <c r="X3259" s="3">
        <v>1</v>
      </c>
      <c r="Y3259" s="3">
        <v>0</v>
      </c>
      <c r="Z3259" s="3">
        <v>0</v>
      </c>
      <c r="AA3259" s="3">
        <v>5</v>
      </c>
      <c r="AB3259" s="339">
        <v>2000</v>
      </c>
      <c r="AC3259" s="3">
        <v>70</v>
      </c>
      <c r="AD3259" s="153">
        <v>0</v>
      </c>
      <c r="AE3259" s="153">
        <v>5</v>
      </c>
      <c r="AF3259" s="153">
        <v>2</v>
      </c>
      <c r="AG3259" s="337"/>
      <c r="AH3259" s="337"/>
      <c r="AI3259" s="337"/>
      <c r="AJ3259" s="337"/>
      <c r="AK3259" s="337"/>
      <c r="AL3259" s="234"/>
      <c r="AM3259" s="234"/>
      <c r="AN3259" s="476"/>
      <c r="AO3259" s="234"/>
      <c r="AP3259" s="234"/>
      <c r="AS3259" s="3">
        <v>1</v>
      </c>
    </row>
    <row r="3260" s="3" customFormat="1" spans="1:45">
      <c r="A3260" s="3">
        <v>619529</v>
      </c>
      <c r="B3260" s="339">
        <v>1001</v>
      </c>
      <c r="C3260" s="339">
        <v>6</v>
      </c>
      <c r="D3260" s="339">
        <v>1001</v>
      </c>
      <c r="E3260" s="339" t="s">
        <v>8080</v>
      </c>
      <c r="F3260" s="339" t="s">
        <v>8080</v>
      </c>
      <c r="G3260" s="339" t="s">
        <v>8081</v>
      </c>
      <c r="H3260" s="8" t="s">
        <v>1431</v>
      </c>
      <c r="I3260" s="339">
        <v>1</v>
      </c>
      <c r="J3260" s="339">
        <v>5</v>
      </c>
      <c r="K3260" s="254">
        <v>2</v>
      </c>
      <c r="L3260" s="339">
        <v>999</v>
      </c>
      <c r="M3260" s="339">
        <v>0</v>
      </c>
      <c r="N3260" s="339">
        <v>1018</v>
      </c>
      <c r="O3260" s="2" t="s">
        <v>8082</v>
      </c>
      <c r="Q3260" s="128"/>
      <c r="R3260" s="128"/>
      <c r="S3260" s="254">
        <v>1</v>
      </c>
      <c r="T3260" s="339">
        <v>5</v>
      </c>
      <c r="U3260" s="339">
        <v>200</v>
      </c>
      <c r="V3260" s="254">
        <v>1</v>
      </c>
      <c r="W3260" s="339">
        <v>1</v>
      </c>
      <c r="X3260" s="339">
        <v>1</v>
      </c>
      <c r="Y3260" s="339">
        <v>0</v>
      </c>
      <c r="Z3260" s="254">
        <v>0</v>
      </c>
      <c r="AA3260" s="339">
        <v>5</v>
      </c>
      <c r="AB3260" s="8">
        <v>1000</v>
      </c>
      <c r="AC3260" s="339">
        <v>56</v>
      </c>
      <c r="AD3260" s="432">
        <v>0</v>
      </c>
      <c r="AE3260" s="432">
        <v>5</v>
      </c>
      <c r="AF3260" s="432">
        <v>2</v>
      </c>
      <c r="AG3260" s="433"/>
      <c r="AH3260" s="433"/>
      <c r="AI3260" s="433"/>
      <c r="AJ3260" s="433"/>
      <c r="AK3260" s="433"/>
      <c r="AL3260" s="434"/>
      <c r="AM3260" s="434"/>
      <c r="AN3260" s="435"/>
      <c r="AO3260" s="434"/>
      <c r="AP3260" s="434"/>
      <c r="AQ3260" s="128"/>
      <c r="AR3260" s="128"/>
      <c r="AS3260" s="3">
        <v>1</v>
      </c>
    </row>
    <row r="3261" s="3" customFormat="1" spans="1:45">
      <c r="A3261" s="3">
        <v>619530</v>
      </c>
      <c r="B3261" s="395">
        <v>1001</v>
      </c>
      <c r="C3261" s="395">
        <v>6</v>
      </c>
      <c r="D3261" s="395">
        <v>1001</v>
      </c>
      <c r="E3261" s="128" t="s">
        <v>8083</v>
      </c>
      <c r="F3261" s="128" t="s">
        <v>8083</v>
      </c>
      <c r="G3261" s="128" t="s">
        <v>8084</v>
      </c>
      <c r="H3261" s="395" t="s">
        <v>1667</v>
      </c>
      <c r="I3261" s="128">
        <v>1</v>
      </c>
      <c r="J3261" s="128">
        <v>5</v>
      </c>
      <c r="K3261" s="128">
        <v>2</v>
      </c>
      <c r="L3261" s="128">
        <v>999</v>
      </c>
      <c r="M3261" s="128">
        <v>0</v>
      </c>
      <c r="N3261" s="395">
        <v>1018</v>
      </c>
      <c r="O3261" s="343" t="s">
        <v>8085</v>
      </c>
      <c r="Q3261" s="128"/>
      <c r="R3261" s="128"/>
      <c r="S3261" s="128">
        <v>1</v>
      </c>
      <c r="T3261" s="128">
        <v>5</v>
      </c>
      <c r="U3261" s="128">
        <v>200</v>
      </c>
      <c r="V3261" s="128">
        <v>1</v>
      </c>
      <c r="W3261" s="128">
        <v>1</v>
      </c>
      <c r="X3261" s="128">
        <v>1</v>
      </c>
      <c r="Y3261" s="128">
        <v>0</v>
      </c>
      <c r="Z3261" s="128">
        <v>0</v>
      </c>
      <c r="AA3261" s="128">
        <v>5</v>
      </c>
      <c r="AB3261" s="128">
        <v>1000</v>
      </c>
      <c r="AC3261" s="128">
        <v>56</v>
      </c>
      <c r="AD3261" s="154">
        <v>0</v>
      </c>
      <c r="AE3261" s="154">
        <v>5</v>
      </c>
      <c r="AF3261" s="154">
        <v>2</v>
      </c>
      <c r="AG3261" s="154"/>
      <c r="AH3261" s="154"/>
      <c r="AI3261" s="154"/>
      <c r="AJ3261" s="154"/>
      <c r="AK3261" s="154"/>
      <c r="AL3261" s="128"/>
      <c r="AM3261" s="128"/>
      <c r="AN3261" s="128"/>
      <c r="AO3261" s="128"/>
      <c r="AP3261" s="128"/>
      <c r="AQ3261" s="128"/>
      <c r="AR3261" s="128"/>
      <c r="AS3261" s="3">
        <v>1</v>
      </c>
    </row>
    <row r="3262" s="3" customFormat="1" spans="1:45">
      <c r="A3262" s="3">
        <v>619531</v>
      </c>
      <c r="B3262" s="339">
        <v>1001</v>
      </c>
      <c r="C3262" s="339">
        <v>6</v>
      </c>
      <c r="D3262" s="339">
        <v>1001</v>
      </c>
      <c r="E3262" s="128" t="s">
        <v>8086</v>
      </c>
      <c r="F3262" s="128" t="s">
        <v>8086</v>
      </c>
      <c r="G3262" s="128" t="s">
        <v>8087</v>
      </c>
      <c r="H3262" s="3" t="s">
        <v>1531</v>
      </c>
      <c r="I3262" s="128">
        <v>1</v>
      </c>
      <c r="J3262" s="128">
        <v>5</v>
      </c>
      <c r="K3262" s="128">
        <v>2</v>
      </c>
      <c r="L3262" s="128">
        <v>999</v>
      </c>
      <c r="M3262" s="128">
        <v>0</v>
      </c>
      <c r="N3262" s="339">
        <v>1018</v>
      </c>
      <c r="O3262" s="343" t="s">
        <v>8088</v>
      </c>
      <c r="Q3262" s="128"/>
      <c r="R3262" s="128"/>
      <c r="S3262" s="128">
        <v>0</v>
      </c>
      <c r="T3262" s="128">
        <v>5</v>
      </c>
      <c r="U3262" s="128">
        <v>100</v>
      </c>
      <c r="V3262" s="128">
        <v>1</v>
      </c>
      <c r="W3262" s="128">
        <v>0</v>
      </c>
      <c r="X3262" s="128">
        <v>1</v>
      </c>
      <c r="Y3262" s="128">
        <v>0</v>
      </c>
      <c r="Z3262" s="128">
        <v>0</v>
      </c>
      <c r="AA3262" s="128">
        <v>5</v>
      </c>
      <c r="AB3262" s="128">
        <v>150</v>
      </c>
      <c r="AC3262" s="128">
        <v>2</v>
      </c>
      <c r="AD3262" s="154"/>
      <c r="AE3262" s="154">
        <v>5</v>
      </c>
      <c r="AF3262" s="154">
        <v>2</v>
      </c>
      <c r="AG3262" s="154"/>
      <c r="AH3262" s="154"/>
      <c r="AI3262" s="154"/>
      <c r="AJ3262" s="154"/>
      <c r="AK3262" s="154"/>
      <c r="AL3262" s="128">
        <v>0</v>
      </c>
      <c r="AM3262" s="128"/>
      <c r="AN3262" s="128"/>
      <c r="AO3262" s="128"/>
      <c r="AP3262" s="128"/>
      <c r="AQ3262" s="128"/>
      <c r="AR3262" s="128"/>
      <c r="AS3262" s="3">
        <v>1</v>
      </c>
    </row>
    <row r="3263" s="3" customFormat="1" spans="1:45">
      <c r="A3263" s="3">
        <v>619532</v>
      </c>
      <c r="B3263" s="395">
        <v>1001</v>
      </c>
      <c r="C3263" s="395">
        <v>6</v>
      </c>
      <c r="D3263" s="395">
        <v>1001</v>
      </c>
      <c r="E3263" s="128" t="s">
        <v>5550</v>
      </c>
      <c r="F3263" s="128" t="s">
        <v>5550</v>
      </c>
      <c r="G3263" s="128" t="s">
        <v>8089</v>
      </c>
      <c r="H3263" s="3" t="s">
        <v>1531</v>
      </c>
      <c r="I3263" s="128">
        <v>1</v>
      </c>
      <c r="J3263" s="128">
        <v>5</v>
      </c>
      <c r="K3263" s="128">
        <v>2</v>
      </c>
      <c r="L3263" s="128">
        <v>999</v>
      </c>
      <c r="M3263" s="128">
        <v>0</v>
      </c>
      <c r="N3263" s="395">
        <v>1018</v>
      </c>
      <c r="O3263" s="343" t="s">
        <v>8090</v>
      </c>
      <c r="Q3263" s="128"/>
      <c r="R3263" s="128"/>
      <c r="S3263" s="128">
        <v>0</v>
      </c>
      <c r="T3263" s="128">
        <v>5</v>
      </c>
      <c r="U3263" s="128">
        <v>100</v>
      </c>
      <c r="V3263" s="128">
        <v>1</v>
      </c>
      <c r="W3263" s="128">
        <v>0</v>
      </c>
      <c r="X3263" s="128">
        <v>1</v>
      </c>
      <c r="Y3263" s="128">
        <v>0</v>
      </c>
      <c r="Z3263" s="128">
        <v>0</v>
      </c>
      <c r="AA3263" s="128">
        <v>5</v>
      </c>
      <c r="AB3263" s="128">
        <v>150</v>
      </c>
      <c r="AC3263" s="128">
        <v>2</v>
      </c>
      <c r="AD3263" s="154"/>
      <c r="AE3263" s="154">
        <v>5</v>
      </c>
      <c r="AF3263" s="154">
        <v>2</v>
      </c>
      <c r="AG3263" s="154"/>
      <c r="AH3263" s="154"/>
      <c r="AI3263" s="154"/>
      <c r="AJ3263" s="154"/>
      <c r="AK3263" s="154"/>
      <c r="AL3263" s="128">
        <v>0</v>
      </c>
      <c r="AM3263" s="128"/>
      <c r="AN3263" s="128"/>
      <c r="AO3263" s="128"/>
      <c r="AP3263" s="128"/>
      <c r="AQ3263" s="128"/>
      <c r="AR3263" s="128"/>
      <c r="AS3263" s="3">
        <v>1</v>
      </c>
    </row>
    <row r="3264" s="3" customFormat="1" spans="1:45">
      <c r="A3264" s="3">
        <v>619533</v>
      </c>
      <c r="B3264" s="339">
        <v>1001</v>
      </c>
      <c r="C3264" s="339">
        <v>6</v>
      </c>
      <c r="D3264" s="339">
        <v>1001</v>
      </c>
      <c r="E3264" s="128" t="s">
        <v>8091</v>
      </c>
      <c r="F3264" s="128" t="s">
        <v>8091</v>
      </c>
      <c r="G3264" s="128" t="s">
        <v>8092</v>
      </c>
      <c r="H3264" s="3" t="s">
        <v>1531</v>
      </c>
      <c r="I3264" s="128">
        <v>1</v>
      </c>
      <c r="J3264" s="128">
        <v>5</v>
      </c>
      <c r="K3264" s="128">
        <v>2</v>
      </c>
      <c r="L3264" s="128">
        <v>999</v>
      </c>
      <c r="M3264" s="128">
        <v>0</v>
      </c>
      <c r="N3264" s="339">
        <v>1018</v>
      </c>
      <c r="O3264" s="343" t="s">
        <v>8093</v>
      </c>
      <c r="Q3264" s="128"/>
      <c r="R3264" s="128"/>
      <c r="S3264" s="128">
        <v>0</v>
      </c>
      <c r="T3264" s="128">
        <v>5</v>
      </c>
      <c r="U3264" s="128">
        <v>100</v>
      </c>
      <c r="V3264" s="128">
        <v>1</v>
      </c>
      <c r="W3264" s="128">
        <v>0</v>
      </c>
      <c r="X3264" s="128">
        <v>1</v>
      </c>
      <c r="Y3264" s="128">
        <v>0</v>
      </c>
      <c r="Z3264" s="128">
        <v>0</v>
      </c>
      <c r="AA3264" s="128">
        <v>5</v>
      </c>
      <c r="AB3264" s="128">
        <v>150</v>
      </c>
      <c r="AC3264" s="128">
        <v>2</v>
      </c>
      <c r="AD3264" s="154"/>
      <c r="AE3264" s="154">
        <v>5</v>
      </c>
      <c r="AF3264" s="154">
        <v>2</v>
      </c>
      <c r="AG3264" s="154"/>
      <c r="AH3264" s="154"/>
      <c r="AI3264" s="154"/>
      <c r="AJ3264" s="154"/>
      <c r="AK3264" s="154"/>
      <c r="AL3264" s="128">
        <v>0</v>
      </c>
      <c r="AM3264" s="128"/>
      <c r="AN3264" s="128"/>
      <c r="AO3264" s="128"/>
      <c r="AP3264" s="128"/>
      <c r="AQ3264" s="128"/>
      <c r="AR3264" s="128"/>
      <c r="AS3264" s="3">
        <v>1</v>
      </c>
    </row>
    <row r="3265" s="3" customFormat="1" spans="1:45">
      <c r="A3265" s="3">
        <v>619534</v>
      </c>
      <c r="B3265" s="395">
        <v>1001</v>
      </c>
      <c r="C3265" s="395">
        <v>6</v>
      </c>
      <c r="D3265" s="395">
        <v>1001</v>
      </c>
      <c r="E3265" s="128" t="s">
        <v>8094</v>
      </c>
      <c r="F3265" s="128" t="s">
        <v>8094</v>
      </c>
      <c r="G3265" s="128" t="s">
        <v>8095</v>
      </c>
      <c r="H3265" s="339" t="s">
        <v>1531</v>
      </c>
      <c r="I3265" s="128">
        <v>1</v>
      </c>
      <c r="J3265" s="128">
        <v>5</v>
      </c>
      <c r="K3265" s="128">
        <v>2</v>
      </c>
      <c r="L3265" s="128">
        <v>999</v>
      </c>
      <c r="M3265" s="128">
        <v>0</v>
      </c>
      <c r="N3265" s="128">
        <v>1018</v>
      </c>
      <c r="O3265" s="343" t="s">
        <v>8096</v>
      </c>
      <c r="Q3265" s="128"/>
      <c r="R3265" s="128"/>
      <c r="S3265" s="128">
        <v>0</v>
      </c>
      <c r="T3265" s="128">
        <v>5</v>
      </c>
      <c r="U3265" s="128">
        <v>100</v>
      </c>
      <c r="V3265" s="128">
        <v>1</v>
      </c>
      <c r="W3265" s="128">
        <v>0</v>
      </c>
      <c r="X3265" s="128">
        <v>1</v>
      </c>
      <c r="Y3265" s="128">
        <v>0</v>
      </c>
      <c r="Z3265" s="128">
        <v>0</v>
      </c>
      <c r="AA3265" s="128">
        <v>5</v>
      </c>
      <c r="AB3265" s="128">
        <v>150</v>
      </c>
      <c r="AC3265" s="128">
        <v>2</v>
      </c>
      <c r="AD3265" s="154"/>
      <c r="AE3265" s="154">
        <v>5</v>
      </c>
      <c r="AF3265" s="154">
        <v>2</v>
      </c>
      <c r="AG3265" s="154"/>
      <c r="AH3265" s="154"/>
      <c r="AI3265" s="154"/>
      <c r="AJ3265" s="154"/>
      <c r="AK3265" s="154"/>
      <c r="AL3265" s="128">
        <v>0</v>
      </c>
      <c r="AM3265" s="128"/>
      <c r="AN3265" s="128"/>
      <c r="AO3265" s="128"/>
      <c r="AP3265" s="128"/>
      <c r="AQ3265" s="128"/>
      <c r="AR3265" s="128"/>
      <c r="AS3265" s="3">
        <v>1</v>
      </c>
    </row>
    <row r="3266" s="3" customFormat="1" spans="1:45">
      <c r="A3266" s="3">
        <v>619535</v>
      </c>
      <c r="B3266" s="339">
        <v>1001</v>
      </c>
      <c r="C3266" s="339">
        <v>2</v>
      </c>
      <c r="D3266" s="339">
        <v>1001</v>
      </c>
      <c r="E3266" s="128" t="s">
        <v>8097</v>
      </c>
      <c r="F3266" s="128" t="s">
        <v>7686</v>
      </c>
      <c r="G3266" s="128" t="s">
        <v>7522</v>
      </c>
      <c r="H3266" s="128" t="s">
        <v>1937</v>
      </c>
      <c r="I3266" s="128">
        <v>1</v>
      </c>
      <c r="J3266" s="128">
        <v>5</v>
      </c>
      <c r="K3266" s="128">
        <v>1</v>
      </c>
      <c r="L3266" s="128">
        <v>999</v>
      </c>
      <c r="M3266" s="128">
        <v>0</v>
      </c>
      <c r="N3266" s="128"/>
      <c r="O3266" s="343"/>
      <c r="Q3266" s="128"/>
      <c r="R3266" s="128"/>
      <c r="S3266" s="128">
        <v>1</v>
      </c>
      <c r="T3266" s="128">
        <v>5</v>
      </c>
      <c r="U3266" s="128">
        <v>50</v>
      </c>
      <c r="V3266" s="128">
        <v>1</v>
      </c>
      <c r="W3266" s="128">
        <v>1</v>
      </c>
      <c r="X3266" s="128">
        <v>1</v>
      </c>
      <c r="Y3266" s="128">
        <v>0</v>
      </c>
      <c r="Z3266" s="128">
        <v>0</v>
      </c>
      <c r="AA3266" s="128">
        <v>5</v>
      </c>
      <c r="AB3266" s="128">
        <v>500</v>
      </c>
      <c r="AC3266" s="128">
        <v>56</v>
      </c>
      <c r="AD3266" s="154"/>
      <c r="AE3266" s="154"/>
      <c r="AF3266" s="154"/>
      <c r="AG3266" s="154"/>
      <c r="AH3266" s="154"/>
      <c r="AI3266" s="154"/>
      <c r="AJ3266" s="154"/>
      <c r="AK3266" s="154"/>
      <c r="AL3266" s="128">
        <v>1</v>
      </c>
      <c r="AM3266" s="128"/>
      <c r="AN3266" s="128"/>
      <c r="AO3266" s="128"/>
      <c r="AP3266" s="128"/>
      <c r="AQ3266" s="128"/>
      <c r="AR3266" s="128"/>
      <c r="AS3266" s="3">
        <v>1</v>
      </c>
    </row>
    <row r="3267" s="3" customFormat="1" spans="1:45">
      <c r="A3267" s="3">
        <v>619536</v>
      </c>
      <c r="B3267" s="395">
        <v>1001</v>
      </c>
      <c r="C3267" s="395">
        <v>2</v>
      </c>
      <c r="D3267" s="395">
        <v>1001</v>
      </c>
      <c r="E3267" s="128" t="s">
        <v>8098</v>
      </c>
      <c r="F3267" s="128" t="s">
        <v>7687</v>
      </c>
      <c r="G3267" s="128" t="s">
        <v>7522</v>
      </c>
      <c r="H3267" s="128" t="s">
        <v>2026</v>
      </c>
      <c r="I3267" s="128">
        <v>1</v>
      </c>
      <c r="J3267" s="128">
        <v>5</v>
      </c>
      <c r="K3267" s="128">
        <v>1</v>
      </c>
      <c r="L3267" s="128">
        <v>999</v>
      </c>
      <c r="M3267" s="128">
        <v>0</v>
      </c>
      <c r="N3267" s="128"/>
      <c r="O3267" s="343"/>
      <c r="Q3267" s="128"/>
      <c r="R3267" s="128"/>
      <c r="S3267" s="128">
        <v>1</v>
      </c>
      <c r="T3267" s="128">
        <v>5</v>
      </c>
      <c r="U3267" s="128">
        <v>50</v>
      </c>
      <c r="V3267" s="128">
        <v>1</v>
      </c>
      <c r="W3267" s="128">
        <v>1</v>
      </c>
      <c r="X3267" s="128">
        <v>1</v>
      </c>
      <c r="Y3267" s="128">
        <v>0</v>
      </c>
      <c r="Z3267" s="128">
        <v>0</v>
      </c>
      <c r="AA3267" s="128">
        <v>5</v>
      </c>
      <c r="AB3267" s="128">
        <v>500</v>
      </c>
      <c r="AC3267" s="128">
        <v>56</v>
      </c>
      <c r="AD3267" s="154"/>
      <c r="AE3267" s="154"/>
      <c r="AF3267" s="154"/>
      <c r="AG3267" s="154"/>
      <c r="AH3267" s="154"/>
      <c r="AI3267" s="154"/>
      <c r="AJ3267" s="154"/>
      <c r="AK3267" s="154"/>
      <c r="AL3267" s="128">
        <v>1</v>
      </c>
      <c r="AM3267" s="128"/>
      <c r="AN3267" s="128"/>
      <c r="AO3267" s="128"/>
      <c r="AP3267" s="128"/>
      <c r="AQ3267" s="128"/>
      <c r="AR3267" s="128"/>
      <c r="AS3267" s="3">
        <v>1</v>
      </c>
    </row>
    <row r="3268" s="3" customFormat="1" spans="1:45">
      <c r="A3268" s="3">
        <v>619537</v>
      </c>
      <c r="B3268" s="339">
        <v>1001</v>
      </c>
      <c r="C3268" s="339">
        <v>6</v>
      </c>
      <c r="D3268" s="339">
        <v>1001</v>
      </c>
      <c r="E3268" s="128" t="s">
        <v>8099</v>
      </c>
      <c r="F3268" s="128" t="s">
        <v>8099</v>
      </c>
      <c r="G3268" s="128" t="s">
        <v>7838</v>
      </c>
      <c r="H3268" s="395" t="s">
        <v>1667</v>
      </c>
      <c r="I3268" s="395">
        <v>1</v>
      </c>
      <c r="J3268" s="395">
        <v>5</v>
      </c>
      <c r="K3268" s="395">
        <v>2</v>
      </c>
      <c r="L3268" s="395">
        <v>999</v>
      </c>
      <c r="M3268" s="395">
        <v>0</v>
      </c>
      <c r="N3268" s="395">
        <v>1017</v>
      </c>
      <c r="O3268" s="343">
        <v>300089</v>
      </c>
      <c r="Q3268" s="395"/>
      <c r="R3268" s="395"/>
      <c r="S3268" s="395">
        <v>0</v>
      </c>
      <c r="T3268" s="395">
        <v>5</v>
      </c>
      <c r="U3268" s="395">
        <v>100</v>
      </c>
      <c r="V3268" s="395">
        <v>1</v>
      </c>
      <c r="W3268" s="395">
        <v>0</v>
      </c>
      <c r="X3268" s="395">
        <v>1</v>
      </c>
      <c r="Y3268" s="395">
        <v>0</v>
      </c>
      <c r="Z3268" s="395">
        <v>0</v>
      </c>
      <c r="AA3268" s="395">
        <v>5</v>
      </c>
      <c r="AB3268" s="395">
        <v>150</v>
      </c>
      <c r="AC3268" s="395">
        <v>2</v>
      </c>
      <c r="AD3268" s="475"/>
      <c r="AE3268" s="475">
        <v>4</v>
      </c>
      <c r="AF3268" s="475">
        <v>2</v>
      </c>
      <c r="AG3268" s="475"/>
      <c r="AH3268" s="475"/>
      <c r="AI3268" s="475"/>
      <c r="AJ3268" s="475"/>
      <c r="AK3268" s="475"/>
      <c r="AL3268" s="395">
        <v>0</v>
      </c>
      <c r="AM3268" s="395"/>
      <c r="AN3268" s="395"/>
      <c r="AO3268" s="395"/>
      <c r="AP3268" s="395"/>
      <c r="AQ3268" s="395"/>
      <c r="AR3268" s="395"/>
      <c r="AS3268" s="3">
        <v>1</v>
      </c>
    </row>
    <row r="3269" s="3" customFormat="1" spans="1:45">
      <c r="A3269" s="3">
        <v>619538</v>
      </c>
      <c r="B3269" s="128">
        <v>1001</v>
      </c>
      <c r="C3269" s="128">
        <v>6</v>
      </c>
      <c r="D3269" s="128">
        <v>1001</v>
      </c>
      <c r="E3269" s="128" t="s">
        <v>5550</v>
      </c>
      <c r="F3269" s="128" t="s">
        <v>5550</v>
      </c>
      <c r="G3269" s="128" t="s">
        <v>8100</v>
      </c>
      <c r="H3269" s="3" t="s">
        <v>1531</v>
      </c>
      <c r="I3269" s="3">
        <v>1</v>
      </c>
      <c r="J3269" s="3">
        <v>5</v>
      </c>
      <c r="K3269" s="3">
        <v>2</v>
      </c>
      <c r="L3269" s="3">
        <v>999</v>
      </c>
      <c r="M3269" s="3">
        <v>0</v>
      </c>
      <c r="N3269" s="3">
        <v>1018</v>
      </c>
      <c r="O3269" s="231" t="s">
        <v>8101</v>
      </c>
      <c r="S3269" s="3">
        <v>1</v>
      </c>
      <c r="T3269" s="3">
        <v>5</v>
      </c>
      <c r="U3269" s="3">
        <v>100</v>
      </c>
      <c r="W3269" s="3">
        <v>1</v>
      </c>
      <c r="X3269" s="3">
        <v>1</v>
      </c>
      <c r="Y3269" s="3">
        <v>0</v>
      </c>
      <c r="Z3269" s="3">
        <v>0</v>
      </c>
      <c r="AA3269" s="3">
        <v>5</v>
      </c>
      <c r="AB3269" s="3">
        <v>2000</v>
      </c>
      <c r="AC3269" s="3">
        <v>70</v>
      </c>
      <c r="AD3269" s="153">
        <v>0</v>
      </c>
      <c r="AE3269" s="153">
        <v>5</v>
      </c>
      <c r="AF3269" s="153">
        <v>2</v>
      </c>
      <c r="AG3269" s="337"/>
      <c r="AH3269" s="337"/>
      <c r="AI3269" s="337"/>
      <c r="AJ3269" s="337"/>
      <c r="AK3269" s="337"/>
      <c r="AL3269" s="234"/>
      <c r="AM3269" s="234"/>
      <c r="AN3269" s="476"/>
      <c r="AO3269" s="234"/>
      <c r="AP3269" s="234"/>
      <c r="AS3269" s="3">
        <v>1</v>
      </c>
    </row>
    <row r="3270" s="3" customFormat="1" spans="1:45">
      <c r="A3270" s="3">
        <v>619539</v>
      </c>
      <c r="B3270" s="128">
        <v>1001</v>
      </c>
      <c r="C3270" s="128">
        <v>6</v>
      </c>
      <c r="D3270" s="128">
        <v>1001</v>
      </c>
      <c r="E3270" s="128" t="s">
        <v>5550</v>
      </c>
      <c r="F3270" s="128" t="s">
        <v>5550</v>
      </c>
      <c r="G3270" s="128" t="s">
        <v>8102</v>
      </c>
      <c r="H3270" s="3" t="s">
        <v>1531</v>
      </c>
      <c r="I3270" s="3">
        <v>1</v>
      </c>
      <c r="J3270" s="3">
        <v>5</v>
      </c>
      <c r="K3270" s="3">
        <v>2</v>
      </c>
      <c r="L3270" s="3">
        <v>999</v>
      </c>
      <c r="M3270" s="3">
        <v>0</v>
      </c>
      <c r="N3270" s="3">
        <v>1018</v>
      </c>
      <c r="O3270" s="231" t="s">
        <v>8103</v>
      </c>
      <c r="S3270" s="3">
        <v>1</v>
      </c>
      <c r="T3270" s="3">
        <v>5</v>
      </c>
      <c r="U3270" s="3">
        <v>100</v>
      </c>
      <c r="W3270" s="3">
        <v>1</v>
      </c>
      <c r="X3270" s="3">
        <v>1</v>
      </c>
      <c r="Y3270" s="3">
        <v>0</v>
      </c>
      <c r="Z3270" s="3">
        <v>0</v>
      </c>
      <c r="AA3270" s="3">
        <v>5</v>
      </c>
      <c r="AB3270" s="3">
        <v>2000</v>
      </c>
      <c r="AC3270" s="3">
        <v>70</v>
      </c>
      <c r="AD3270" s="153">
        <v>0</v>
      </c>
      <c r="AE3270" s="153">
        <v>5</v>
      </c>
      <c r="AF3270" s="153">
        <v>2</v>
      </c>
      <c r="AG3270" s="337"/>
      <c r="AH3270" s="337"/>
      <c r="AI3270" s="337"/>
      <c r="AJ3270" s="337"/>
      <c r="AK3270" s="337"/>
      <c r="AL3270" s="234"/>
      <c r="AM3270" s="234"/>
      <c r="AN3270" s="476"/>
      <c r="AO3270" s="234"/>
      <c r="AP3270" s="234"/>
      <c r="AS3270" s="3">
        <v>1</v>
      </c>
    </row>
    <row r="3271" s="3" customFormat="1" spans="1:45">
      <c r="A3271" s="3">
        <v>619540</v>
      </c>
      <c r="B3271" s="128">
        <v>1001</v>
      </c>
      <c r="C3271" s="128">
        <v>6</v>
      </c>
      <c r="D3271" s="128">
        <v>1001</v>
      </c>
      <c r="E3271" s="128" t="s">
        <v>5550</v>
      </c>
      <c r="F3271" s="128" t="s">
        <v>5550</v>
      </c>
      <c r="G3271" s="128" t="s">
        <v>8104</v>
      </c>
      <c r="H3271" s="3" t="s">
        <v>1531</v>
      </c>
      <c r="I3271" s="3">
        <v>1</v>
      </c>
      <c r="J3271" s="3">
        <v>5</v>
      </c>
      <c r="K3271" s="3">
        <v>2</v>
      </c>
      <c r="L3271" s="3">
        <v>999</v>
      </c>
      <c r="M3271" s="3">
        <v>0</v>
      </c>
      <c r="N3271" s="3">
        <v>1018</v>
      </c>
      <c r="O3271" s="231" t="s">
        <v>8105</v>
      </c>
      <c r="S3271" s="3">
        <v>1</v>
      </c>
      <c r="T3271" s="3">
        <v>5</v>
      </c>
      <c r="U3271" s="3">
        <v>100</v>
      </c>
      <c r="W3271" s="3">
        <v>1</v>
      </c>
      <c r="X3271" s="3">
        <v>1</v>
      </c>
      <c r="Y3271" s="3">
        <v>0</v>
      </c>
      <c r="Z3271" s="3">
        <v>0</v>
      </c>
      <c r="AA3271" s="3">
        <v>5</v>
      </c>
      <c r="AB3271" s="3">
        <v>2000</v>
      </c>
      <c r="AC3271" s="3">
        <v>70</v>
      </c>
      <c r="AD3271" s="153">
        <v>0</v>
      </c>
      <c r="AE3271" s="153">
        <v>5</v>
      </c>
      <c r="AF3271" s="153">
        <v>2</v>
      </c>
      <c r="AG3271" s="337"/>
      <c r="AH3271" s="337"/>
      <c r="AI3271" s="337"/>
      <c r="AJ3271" s="337"/>
      <c r="AK3271" s="337"/>
      <c r="AL3271" s="234"/>
      <c r="AM3271" s="234"/>
      <c r="AN3271" s="476"/>
      <c r="AO3271" s="234"/>
      <c r="AP3271" s="234"/>
      <c r="AS3271" s="3">
        <v>1</v>
      </c>
    </row>
    <row r="3272" s="3" customFormat="1" spans="1:45">
      <c r="A3272" s="3">
        <v>619541</v>
      </c>
      <c r="B3272" s="128">
        <v>1001</v>
      </c>
      <c r="C3272" s="128">
        <v>6</v>
      </c>
      <c r="D3272" s="128">
        <v>1001</v>
      </c>
      <c r="E3272" s="128" t="s">
        <v>5550</v>
      </c>
      <c r="F3272" s="128" t="s">
        <v>5550</v>
      </c>
      <c r="G3272" s="128" t="s">
        <v>8106</v>
      </c>
      <c r="H3272" s="3" t="s">
        <v>1531</v>
      </c>
      <c r="I3272" s="3">
        <v>1</v>
      </c>
      <c r="J3272" s="3">
        <v>5</v>
      </c>
      <c r="K3272" s="3">
        <v>2</v>
      </c>
      <c r="L3272" s="3">
        <v>999</v>
      </c>
      <c r="M3272" s="3">
        <v>0</v>
      </c>
      <c r="N3272" s="3">
        <v>1018</v>
      </c>
      <c r="O3272" s="231" t="s">
        <v>8107</v>
      </c>
      <c r="S3272" s="3">
        <v>1</v>
      </c>
      <c r="T3272" s="3">
        <v>5</v>
      </c>
      <c r="U3272" s="3">
        <v>100</v>
      </c>
      <c r="W3272" s="3">
        <v>1</v>
      </c>
      <c r="X3272" s="3">
        <v>1</v>
      </c>
      <c r="Y3272" s="3">
        <v>0</v>
      </c>
      <c r="Z3272" s="3">
        <v>0</v>
      </c>
      <c r="AA3272" s="3">
        <v>5</v>
      </c>
      <c r="AB3272" s="3">
        <v>2000</v>
      </c>
      <c r="AC3272" s="3">
        <v>70</v>
      </c>
      <c r="AD3272" s="153">
        <v>0</v>
      </c>
      <c r="AE3272" s="153">
        <v>5</v>
      </c>
      <c r="AF3272" s="153">
        <v>2</v>
      </c>
      <c r="AG3272" s="337"/>
      <c r="AH3272" s="337"/>
      <c r="AI3272" s="337"/>
      <c r="AJ3272" s="337"/>
      <c r="AK3272" s="337"/>
      <c r="AL3272" s="234"/>
      <c r="AM3272" s="234"/>
      <c r="AN3272" s="476"/>
      <c r="AO3272" s="234"/>
      <c r="AP3272" s="234"/>
      <c r="AS3272" s="3">
        <v>1</v>
      </c>
    </row>
    <row r="3273" s="3" customFormat="1" spans="1:45">
      <c r="A3273" s="3">
        <v>619542</v>
      </c>
      <c r="B3273" s="128">
        <v>1001</v>
      </c>
      <c r="C3273" s="128">
        <v>6</v>
      </c>
      <c r="D3273" s="128">
        <v>1001</v>
      </c>
      <c r="E3273" s="128" t="s">
        <v>5550</v>
      </c>
      <c r="F3273" s="128" t="s">
        <v>5550</v>
      </c>
      <c r="G3273" s="128" t="s">
        <v>8108</v>
      </c>
      <c r="H3273" s="3" t="s">
        <v>1531</v>
      </c>
      <c r="I3273" s="3">
        <v>1</v>
      </c>
      <c r="J3273" s="3">
        <v>5</v>
      </c>
      <c r="K3273" s="3">
        <v>2</v>
      </c>
      <c r="L3273" s="3">
        <v>999</v>
      </c>
      <c r="M3273" s="3">
        <v>0</v>
      </c>
      <c r="N3273" s="3">
        <v>1018</v>
      </c>
      <c r="O3273" s="231" t="s">
        <v>8109</v>
      </c>
      <c r="S3273" s="3">
        <v>1</v>
      </c>
      <c r="T3273" s="3">
        <v>5</v>
      </c>
      <c r="U3273" s="3">
        <v>100</v>
      </c>
      <c r="W3273" s="3">
        <v>1</v>
      </c>
      <c r="X3273" s="3">
        <v>1</v>
      </c>
      <c r="Y3273" s="3">
        <v>0</v>
      </c>
      <c r="Z3273" s="3">
        <v>0</v>
      </c>
      <c r="AA3273" s="3">
        <v>5</v>
      </c>
      <c r="AB3273" s="3">
        <v>2000</v>
      </c>
      <c r="AC3273" s="3">
        <v>70</v>
      </c>
      <c r="AD3273" s="153">
        <v>0</v>
      </c>
      <c r="AE3273" s="153">
        <v>5</v>
      </c>
      <c r="AF3273" s="153">
        <v>2</v>
      </c>
      <c r="AG3273" s="337"/>
      <c r="AH3273" s="337"/>
      <c r="AI3273" s="337"/>
      <c r="AJ3273" s="337"/>
      <c r="AK3273" s="337"/>
      <c r="AL3273" s="234"/>
      <c r="AM3273" s="234"/>
      <c r="AN3273" s="476"/>
      <c r="AO3273" s="234"/>
      <c r="AP3273" s="234"/>
      <c r="AS3273" s="3">
        <v>1</v>
      </c>
    </row>
    <row r="3274" s="3" customFormat="1" spans="1:45">
      <c r="A3274" s="3">
        <v>619543</v>
      </c>
      <c r="B3274" s="395">
        <v>1001</v>
      </c>
      <c r="C3274" s="395">
        <v>6</v>
      </c>
      <c r="D3274" s="395">
        <v>1001</v>
      </c>
      <c r="E3274" s="395" t="s">
        <v>5550</v>
      </c>
      <c r="F3274" s="395" t="s">
        <v>5550</v>
      </c>
      <c r="G3274" s="128" t="s">
        <v>8110</v>
      </c>
      <c r="H3274" s="339" t="s">
        <v>1531</v>
      </c>
      <c r="I3274" s="3">
        <v>1</v>
      </c>
      <c r="J3274" s="3">
        <v>5</v>
      </c>
      <c r="K3274" s="3">
        <v>2</v>
      </c>
      <c r="L3274" s="3">
        <v>999</v>
      </c>
      <c r="M3274" s="3">
        <v>0</v>
      </c>
      <c r="N3274" s="3">
        <v>1018</v>
      </c>
      <c r="O3274" s="231" t="s">
        <v>8111</v>
      </c>
      <c r="S3274" s="3">
        <v>1</v>
      </c>
      <c r="T3274" s="3">
        <v>5</v>
      </c>
      <c r="U3274" s="3">
        <v>100</v>
      </c>
      <c r="V3274" s="3"/>
      <c r="W3274" s="3">
        <v>1</v>
      </c>
      <c r="X3274" s="3">
        <v>1</v>
      </c>
      <c r="Y3274" s="3">
        <v>0</v>
      </c>
      <c r="Z3274" s="3">
        <v>0</v>
      </c>
      <c r="AA3274" s="3">
        <v>5</v>
      </c>
      <c r="AB3274" s="339">
        <v>2000</v>
      </c>
      <c r="AC3274" s="3">
        <v>70</v>
      </c>
      <c r="AD3274" s="153">
        <v>0</v>
      </c>
      <c r="AE3274" s="153">
        <v>5</v>
      </c>
      <c r="AF3274" s="153">
        <v>2</v>
      </c>
      <c r="AG3274" s="337"/>
      <c r="AH3274" s="337"/>
      <c r="AI3274" s="337"/>
      <c r="AJ3274" s="337"/>
      <c r="AK3274" s="337"/>
      <c r="AL3274" s="234"/>
      <c r="AM3274" s="234"/>
      <c r="AN3274" s="476"/>
      <c r="AO3274" s="234"/>
      <c r="AP3274" s="234"/>
      <c r="AS3274" s="3">
        <v>1</v>
      </c>
    </row>
    <row r="3275" spans="1:45">
      <c r="A3275" s="3">
        <v>619544</v>
      </c>
      <c r="B3275" s="339">
        <v>1001</v>
      </c>
      <c r="C3275" s="339">
        <v>6</v>
      </c>
      <c r="D3275" s="339">
        <v>1001</v>
      </c>
      <c r="E3275" s="339" t="s">
        <v>8112</v>
      </c>
      <c r="F3275" s="339" t="s">
        <v>6989</v>
      </c>
      <c r="G3275" s="8" t="s">
        <v>8113</v>
      </c>
      <c r="H3275" s="236" t="s">
        <v>1431</v>
      </c>
      <c r="I3275" s="3">
        <v>1</v>
      </c>
      <c r="J3275" s="3">
        <v>5</v>
      </c>
      <c r="K3275" s="3">
        <v>2</v>
      </c>
      <c r="L3275" s="3">
        <v>999</v>
      </c>
      <c r="M3275" s="3">
        <v>0</v>
      </c>
      <c r="N3275" s="3">
        <v>1018</v>
      </c>
      <c r="O3275" t="s">
        <v>8114</v>
      </c>
      <c r="P3275" s="3"/>
      <c r="Q3275" s="3"/>
      <c r="R3275" s="3"/>
      <c r="S3275" s="3">
        <v>1</v>
      </c>
      <c r="T3275" s="3">
        <v>5</v>
      </c>
      <c r="U3275" s="3">
        <v>100</v>
      </c>
      <c r="V3275" s="3">
        <v>1</v>
      </c>
      <c r="W3275" s="3">
        <v>1</v>
      </c>
      <c r="X3275" s="3">
        <v>1</v>
      </c>
      <c r="Y3275" s="3">
        <v>0</v>
      </c>
      <c r="Z3275" s="3">
        <v>0</v>
      </c>
      <c r="AA3275" s="3">
        <v>5</v>
      </c>
      <c r="AB3275" s="395">
        <v>1000</v>
      </c>
      <c r="AC3275" s="3">
        <v>56</v>
      </c>
      <c r="AD3275" s="153">
        <v>0</v>
      </c>
      <c r="AE3275" s="153">
        <v>5</v>
      </c>
      <c r="AF3275" s="153">
        <v>2</v>
      </c>
      <c r="AG3275" s="337"/>
      <c r="AH3275" s="337"/>
      <c r="AI3275" s="337"/>
      <c r="AJ3275" s="337"/>
      <c r="AK3275" s="337"/>
      <c r="AL3275" s="234"/>
      <c r="AM3275" s="234"/>
      <c r="AN3275" s="476"/>
      <c r="AO3275" s="234"/>
      <c r="AP3275" s="234"/>
      <c r="AQ3275" s="3"/>
      <c r="AR3275" s="3"/>
      <c r="AS3275">
        <v>1</v>
      </c>
    </row>
    <row r="3276" spans="1:45">
      <c r="A3276" s="3">
        <v>619545</v>
      </c>
      <c r="B3276" s="128">
        <v>1001</v>
      </c>
      <c r="C3276" s="128">
        <v>6</v>
      </c>
      <c r="D3276" s="128">
        <v>1001</v>
      </c>
      <c r="E3276" s="128" t="s">
        <v>5550</v>
      </c>
      <c r="F3276" s="128" t="s">
        <v>5550</v>
      </c>
      <c r="G3276" s="128" t="s">
        <v>8115</v>
      </c>
      <c r="H3276" s="3" t="s">
        <v>1531</v>
      </c>
      <c r="I3276" s="3">
        <v>1</v>
      </c>
      <c r="J3276" s="3">
        <v>5</v>
      </c>
      <c r="K3276" s="3">
        <v>2</v>
      </c>
      <c r="L3276" s="3">
        <v>999</v>
      </c>
      <c r="M3276" s="3">
        <v>0</v>
      </c>
      <c r="N3276" s="3">
        <v>1018</v>
      </c>
      <c r="O3276" s="231" t="s">
        <v>8116</v>
      </c>
      <c r="P3276" s="3"/>
      <c r="Q3276" s="3"/>
      <c r="R3276" s="3"/>
      <c r="S3276" s="3">
        <v>1</v>
      </c>
      <c r="T3276" s="3">
        <v>5</v>
      </c>
      <c r="U3276" s="3">
        <v>100</v>
      </c>
      <c r="V3276" s="3"/>
      <c r="W3276" s="3">
        <v>1</v>
      </c>
      <c r="X3276" s="3">
        <v>1</v>
      </c>
      <c r="Y3276" s="3">
        <v>0</v>
      </c>
      <c r="Z3276" s="3">
        <v>0</v>
      </c>
      <c r="AA3276" s="3">
        <v>5</v>
      </c>
      <c r="AB3276" s="3">
        <v>2000</v>
      </c>
      <c r="AC3276" s="3">
        <v>70</v>
      </c>
      <c r="AD3276" s="153">
        <v>0</v>
      </c>
      <c r="AE3276" s="153">
        <v>5</v>
      </c>
      <c r="AF3276" s="153">
        <v>2</v>
      </c>
      <c r="AG3276" s="337"/>
      <c r="AH3276" s="337"/>
      <c r="AI3276" s="337"/>
      <c r="AJ3276" s="337"/>
      <c r="AK3276" s="337"/>
      <c r="AL3276" s="234"/>
      <c r="AM3276" s="234"/>
      <c r="AN3276" s="476"/>
      <c r="AO3276" s="234"/>
      <c r="AP3276" s="234"/>
      <c r="AQ3276" s="3"/>
      <c r="AR3276" s="3"/>
      <c r="AS3276">
        <v>1</v>
      </c>
    </row>
    <row r="3277" spans="1:45">
      <c r="A3277" s="3">
        <v>619546</v>
      </c>
      <c r="B3277" s="128">
        <v>1001</v>
      </c>
      <c r="C3277" s="128">
        <v>6</v>
      </c>
      <c r="D3277" s="128">
        <v>1001</v>
      </c>
      <c r="E3277" s="128" t="s">
        <v>5550</v>
      </c>
      <c r="F3277" s="128" t="s">
        <v>5550</v>
      </c>
      <c r="G3277" s="128" t="s">
        <v>8117</v>
      </c>
      <c r="H3277" s="3" t="s">
        <v>1531</v>
      </c>
      <c r="I3277" s="3">
        <v>1</v>
      </c>
      <c r="J3277" s="3">
        <v>5</v>
      </c>
      <c r="K3277" s="3">
        <v>2</v>
      </c>
      <c r="L3277" s="3">
        <v>999</v>
      </c>
      <c r="M3277" s="3">
        <v>0</v>
      </c>
      <c r="N3277" s="3">
        <v>1018</v>
      </c>
      <c r="O3277" s="231" t="s">
        <v>8118</v>
      </c>
      <c r="P3277" s="3"/>
      <c r="Q3277" s="3"/>
      <c r="R3277" s="3"/>
      <c r="S3277" s="3">
        <v>1</v>
      </c>
      <c r="T3277" s="3">
        <v>5</v>
      </c>
      <c r="U3277" s="3">
        <v>100</v>
      </c>
      <c r="V3277" s="3"/>
      <c r="W3277" s="3">
        <v>1</v>
      </c>
      <c r="X3277" s="3">
        <v>1</v>
      </c>
      <c r="Y3277" s="3">
        <v>0</v>
      </c>
      <c r="Z3277" s="3">
        <v>0</v>
      </c>
      <c r="AA3277" s="3">
        <v>5</v>
      </c>
      <c r="AB3277" s="3">
        <v>2000</v>
      </c>
      <c r="AC3277" s="3">
        <v>70</v>
      </c>
      <c r="AD3277" s="153">
        <v>0</v>
      </c>
      <c r="AE3277" s="153">
        <v>5</v>
      </c>
      <c r="AF3277" s="153">
        <v>2</v>
      </c>
      <c r="AG3277" s="337"/>
      <c r="AH3277" s="337"/>
      <c r="AI3277" s="337"/>
      <c r="AJ3277" s="337"/>
      <c r="AK3277" s="337"/>
      <c r="AL3277" s="234"/>
      <c r="AM3277" s="234"/>
      <c r="AN3277" s="476"/>
      <c r="AO3277" s="234"/>
      <c r="AP3277" s="234"/>
      <c r="AQ3277" s="3"/>
      <c r="AR3277" s="3"/>
      <c r="AS3277">
        <v>1</v>
      </c>
    </row>
    <row r="3278" spans="1:45">
      <c r="A3278" s="3">
        <v>619547</v>
      </c>
      <c r="B3278" s="128">
        <v>1001</v>
      </c>
      <c r="C3278" s="128">
        <v>6</v>
      </c>
      <c r="D3278" s="128">
        <v>1001</v>
      </c>
      <c r="E3278" s="128" t="s">
        <v>5550</v>
      </c>
      <c r="F3278" s="128" t="s">
        <v>5550</v>
      </c>
      <c r="G3278" s="128" t="s">
        <v>8119</v>
      </c>
      <c r="H3278" s="3" t="s">
        <v>1531</v>
      </c>
      <c r="I3278" s="3">
        <v>1</v>
      </c>
      <c r="J3278" s="3">
        <v>5</v>
      </c>
      <c r="K3278" s="3">
        <v>2</v>
      </c>
      <c r="L3278" s="3">
        <v>999</v>
      </c>
      <c r="M3278" s="3">
        <v>0</v>
      </c>
      <c r="N3278" s="3">
        <v>1018</v>
      </c>
      <c r="O3278" s="231" t="s">
        <v>8120</v>
      </c>
      <c r="P3278" s="3"/>
      <c r="Q3278" s="3"/>
      <c r="R3278" s="3"/>
      <c r="S3278" s="3">
        <v>1</v>
      </c>
      <c r="T3278" s="3">
        <v>5</v>
      </c>
      <c r="U3278" s="3">
        <v>100</v>
      </c>
      <c r="V3278" s="3"/>
      <c r="W3278" s="3">
        <v>1</v>
      </c>
      <c r="X3278" s="3">
        <v>1</v>
      </c>
      <c r="Y3278" s="3">
        <v>0</v>
      </c>
      <c r="Z3278" s="3">
        <v>0</v>
      </c>
      <c r="AA3278" s="3">
        <v>5</v>
      </c>
      <c r="AB3278" s="3">
        <v>2000</v>
      </c>
      <c r="AC3278" s="3">
        <v>70</v>
      </c>
      <c r="AD3278" s="153">
        <v>0</v>
      </c>
      <c r="AE3278" s="153">
        <v>5</v>
      </c>
      <c r="AF3278" s="153">
        <v>2</v>
      </c>
      <c r="AG3278" s="337"/>
      <c r="AH3278" s="337"/>
      <c r="AI3278" s="337"/>
      <c r="AJ3278" s="337"/>
      <c r="AK3278" s="337"/>
      <c r="AL3278" s="234"/>
      <c r="AM3278" s="234"/>
      <c r="AN3278" s="476"/>
      <c r="AO3278" s="234"/>
      <c r="AP3278" s="234"/>
      <c r="AQ3278" s="3"/>
      <c r="AR3278" s="3"/>
      <c r="AS3278">
        <v>1</v>
      </c>
    </row>
    <row r="3279" spans="1:45">
      <c r="A3279" s="3">
        <v>619548</v>
      </c>
      <c r="B3279" s="128">
        <v>1001</v>
      </c>
      <c r="C3279" s="128">
        <v>6</v>
      </c>
      <c r="D3279" s="128">
        <v>1001</v>
      </c>
      <c r="E3279" s="128" t="s">
        <v>8121</v>
      </c>
      <c r="F3279" s="128" t="s">
        <v>8121</v>
      </c>
      <c r="G3279" s="128" t="s">
        <v>8122</v>
      </c>
      <c r="H3279" s="3" t="s">
        <v>1585</v>
      </c>
      <c r="I3279" s="3">
        <v>1</v>
      </c>
      <c r="J3279" s="3">
        <v>5</v>
      </c>
      <c r="K3279" s="3">
        <v>2</v>
      </c>
      <c r="L3279" s="3">
        <v>999</v>
      </c>
      <c r="M3279" s="3">
        <v>0</v>
      </c>
      <c r="N3279" s="3">
        <v>1018</v>
      </c>
      <c r="O3279" s="231" t="s">
        <v>8123</v>
      </c>
      <c r="P3279" s="3"/>
      <c r="Q3279" s="3"/>
      <c r="R3279" s="3"/>
      <c r="S3279" s="3">
        <v>1</v>
      </c>
      <c r="T3279" s="3">
        <v>5</v>
      </c>
      <c r="U3279" s="3">
        <v>400</v>
      </c>
      <c r="V3279" s="3">
        <v>1</v>
      </c>
      <c r="W3279" s="3">
        <v>1</v>
      </c>
      <c r="X3279" s="3">
        <v>1</v>
      </c>
      <c r="Y3279" s="3">
        <v>0</v>
      </c>
      <c r="Z3279" s="3">
        <v>0</v>
      </c>
      <c r="AA3279" s="3">
        <v>5</v>
      </c>
      <c r="AB3279" s="3">
        <v>4000</v>
      </c>
      <c r="AC3279" s="3">
        <v>56</v>
      </c>
      <c r="AD3279" s="153">
        <v>0</v>
      </c>
      <c r="AE3279" s="153">
        <v>5</v>
      </c>
      <c r="AF3279" s="153">
        <v>2</v>
      </c>
      <c r="AG3279" s="337"/>
      <c r="AH3279" s="337"/>
      <c r="AI3279" s="337"/>
      <c r="AJ3279" s="337"/>
      <c r="AK3279" s="337"/>
      <c r="AL3279" s="234">
        <v>1</v>
      </c>
      <c r="AM3279" s="234"/>
      <c r="AN3279" s="476"/>
      <c r="AO3279" s="234"/>
      <c r="AP3279" s="234"/>
      <c r="AQ3279" s="3"/>
      <c r="AR3279" s="3"/>
      <c r="AS3279">
        <v>1</v>
      </c>
    </row>
    <row r="3280" spans="1:45">
      <c r="A3280" s="3">
        <v>619549</v>
      </c>
      <c r="B3280" s="128">
        <v>1001</v>
      </c>
      <c r="C3280" s="128">
        <v>6</v>
      </c>
      <c r="D3280" s="128">
        <v>1001</v>
      </c>
      <c r="E3280" s="128" t="s">
        <v>5550</v>
      </c>
      <c r="F3280" s="128" t="s">
        <v>5550</v>
      </c>
      <c r="G3280" s="128" t="s">
        <v>8124</v>
      </c>
      <c r="H3280" s="3" t="s">
        <v>1531</v>
      </c>
      <c r="I3280" s="3">
        <v>1</v>
      </c>
      <c r="J3280" s="3">
        <v>5</v>
      </c>
      <c r="K3280" s="3">
        <v>2</v>
      </c>
      <c r="L3280" s="3">
        <v>999</v>
      </c>
      <c r="M3280" s="3">
        <v>0</v>
      </c>
      <c r="N3280" s="3">
        <v>1018</v>
      </c>
      <c r="O3280" s="231" t="s">
        <v>8125</v>
      </c>
      <c r="P3280" s="3"/>
      <c r="Q3280" s="3"/>
      <c r="R3280" s="3"/>
      <c r="S3280" s="3">
        <v>1</v>
      </c>
      <c r="T3280" s="3">
        <v>5</v>
      </c>
      <c r="U3280" s="3">
        <v>100</v>
      </c>
      <c r="V3280" s="3"/>
      <c r="W3280" s="3">
        <v>1</v>
      </c>
      <c r="X3280" s="3">
        <v>1</v>
      </c>
      <c r="Y3280" s="3">
        <v>0</v>
      </c>
      <c r="Z3280" s="3">
        <v>0</v>
      </c>
      <c r="AA3280" s="3">
        <v>5</v>
      </c>
      <c r="AB3280" s="3">
        <v>2000</v>
      </c>
      <c r="AC3280" s="3">
        <v>70</v>
      </c>
      <c r="AD3280" s="153">
        <v>0</v>
      </c>
      <c r="AE3280" s="153">
        <v>5</v>
      </c>
      <c r="AF3280" s="153">
        <v>2</v>
      </c>
      <c r="AG3280" s="337"/>
      <c r="AH3280" s="337"/>
      <c r="AI3280" s="337"/>
      <c r="AJ3280" s="337"/>
      <c r="AK3280" s="337"/>
      <c r="AL3280" s="234"/>
      <c r="AM3280" s="234"/>
      <c r="AN3280" s="476"/>
      <c r="AO3280" s="234"/>
      <c r="AP3280" s="234"/>
      <c r="AQ3280" s="3"/>
      <c r="AR3280" s="3"/>
      <c r="AS3280">
        <v>1</v>
      </c>
    </row>
    <row r="3281" spans="1:45">
      <c r="A3281" s="3">
        <v>619550</v>
      </c>
      <c r="B3281" s="128">
        <v>1001</v>
      </c>
      <c r="C3281" s="128">
        <v>6</v>
      </c>
      <c r="D3281" s="128">
        <v>1001</v>
      </c>
      <c r="E3281" s="128" t="s">
        <v>5874</v>
      </c>
      <c r="F3281" s="128" t="s">
        <v>5874</v>
      </c>
      <c r="G3281" s="128" t="s">
        <v>8126</v>
      </c>
      <c r="H3281" s="3" t="s">
        <v>1531</v>
      </c>
      <c r="I3281" s="3">
        <v>1</v>
      </c>
      <c r="J3281" s="3">
        <v>5</v>
      </c>
      <c r="K3281" s="3">
        <v>2</v>
      </c>
      <c r="L3281" s="3">
        <v>999</v>
      </c>
      <c r="M3281" s="3">
        <v>0</v>
      </c>
      <c r="N3281" s="3">
        <v>1018</v>
      </c>
      <c r="O3281" s="231" t="s">
        <v>8127</v>
      </c>
      <c r="P3281" s="3"/>
      <c r="Q3281" s="3"/>
      <c r="R3281" s="3"/>
      <c r="S3281" s="3">
        <v>1</v>
      </c>
      <c r="T3281" s="3">
        <v>5</v>
      </c>
      <c r="U3281" s="3">
        <v>100</v>
      </c>
      <c r="V3281" s="3"/>
      <c r="W3281" s="3">
        <v>1</v>
      </c>
      <c r="X3281" s="3">
        <v>1</v>
      </c>
      <c r="Y3281" s="3">
        <v>0</v>
      </c>
      <c r="Z3281" s="3">
        <v>0</v>
      </c>
      <c r="AA3281" s="3">
        <v>5</v>
      </c>
      <c r="AB3281" s="3">
        <v>2000</v>
      </c>
      <c r="AC3281" s="3">
        <v>70</v>
      </c>
      <c r="AD3281" s="153">
        <v>0</v>
      </c>
      <c r="AE3281" s="153">
        <v>5</v>
      </c>
      <c r="AF3281" s="153">
        <v>2</v>
      </c>
      <c r="AG3281" s="337"/>
      <c r="AH3281" s="337"/>
      <c r="AI3281" s="337"/>
      <c r="AJ3281" s="337"/>
      <c r="AK3281" s="337"/>
      <c r="AL3281" s="234"/>
      <c r="AM3281" s="234"/>
      <c r="AN3281" s="476"/>
      <c r="AO3281" s="234"/>
      <c r="AP3281" s="234"/>
      <c r="AQ3281" s="3"/>
      <c r="AR3281" s="3"/>
      <c r="AS3281">
        <v>1</v>
      </c>
    </row>
    <row r="3282" spans="1:45">
      <c r="A3282" s="3">
        <v>619551</v>
      </c>
      <c r="B3282" s="128">
        <v>1001</v>
      </c>
      <c r="C3282" s="128">
        <v>6</v>
      </c>
      <c r="D3282" s="128">
        <v>1001</v>
      </c>
      <c r="E3282" s="128" t="s">
        <v>5550</v>
      </c>
      <c r="F3282" s="128" t="s">
        <v>5550</v>
      </c>
      <c r="G3282" s="128" t="s">
        <v>8128</v>
      </c>
      <c r="H3282" s="3" t="s">
        <v>1531</v>
      </c>
      <c r="I3282" s="3">
        <v>1</v>
      </c>
      <c r="J3282" s="3">
        <v>5</v>
      </c>
      <c r="K3282" s="3">
        <v>2</v>
      </c>
      <c r="L3282" s="3">
        <v>999</v>
      </c>
      <c r="M3282" s="3">
        <v>0</v>
      </c>
      <c r="N3282" s="3">
        <v>1018</v>
      </c>
      <c r="O3282" s="231" t="s">
        <v>8129</v>
      </c>
      <c r="P3282" s="3"/>
      <c r="Q3282" s="3"/>
      <c r="R3282" s="3"/>
      <c r="S3282" s="3">
        <v>1</v>
      </c>
      <c r="T3282" s="3">
        <v>5</v>
      </c>
      <c r="U3282" s="3">
        <v>100</v>
      </c>
      <c r="V3282" s="3"/>
      <c r="W3282" s="3">
        <v>1</v>
      </c>
      <c r="X3282" s="3">
        <v>1</v>
      </c>
      <c r="Y3282" s="3">
        <v>0</v>
      </c>
      <c r="Z3282" s="3">
        <v>0</v>
      </c>
      <c r="AA3282" s="3">
        <v>5</v>
      </c>
      <c r="AB3282" s="3">
        <v>2000</v>
      </c>
      <c r="AC3282" s="3">
        <v>70</v>
      </c>
      <c r="AD3282" s="153">
        <v>0</v>
      </c>
      <c r="AE3282" s="153">
        <v>5</v>
      </c>
      <c r="AF3282" s="153">
        <v>2</v>
      </c>
      <c r="AG3282" s="337"/>
      <c r="AH3282" s="337"/>
      <c r="AI3282" s="337"/>
      <c r="AJ3282" s="337"/>
      <c r="AK3282" s="337"/>
      <c r="AL3282" s="234"/>
      <c r="AM3282" s="234"/>
      <c r="AN3282" s="476"/>
      <c r="AO3282" s="234"/>
      <c r="AP3282" s="234"/>
      <c r="AQ3282" s="3"/>
      <c r="AR3282" s="3"/>
      <c r="AS3282">
        <v>1</v>
      </c>
    </row>
    <row r="3283" spans="1:45">
      <c r="A3283" s="3">
        <v>619552</v>
      </c>
      <c r="B3283" s="128">
        <v>1001</v>
      </c>
      <c r="C3283" s="128">
        <v>6</v>
      </c>
      <c r="D3283" s="128">
        <v>1001</v>
      </c>
      <c r="E3283" s="128" t="s">
        <v>5550</v>
      </c>
      <c r="F3283" s="128" t="s">
        <v>5550</v>
      </c>
      <c r="G3283" s="128" t="s">
        <v>8130</v>
      </c>
      <c r="H3283" s="3" t="s">
        <v>1531</v>
      </c>
      <c r="I3283" s="3">
        <v>1</v>
      </c>
      <c r="J3283" s="3">
        <v>5</v>
      </c>
      <c r="K3283" s="3">
        <v>2</v>
      </c>
      <c r="L3283" s="3">
        <v>999</v>
      </c>
      <c r="M3283" s="3">
        <v>0</v>
      </c>
      <c r="N3283" s="3">
        <v>1018</v>
      </c>
      <c r="O3283" s="231" t="s">
        <v>8131</v>
      </c>
      <c r="P3283" s="3"/>
      <c r="Q3283" s="3"/>
      <c r="R3283" s="3"/>
      <c r="S3283" s="3">
        <v>1</v>
      </c>
      <c r="T3283" s="3">
        <v>5</v>
      </c>
      <c r="U3283" s="3">
        <v>100</v>
      </c>
      <c r="V3283" s="3"/>
      <c r="W3283" s="3">
        <v>1</v>
      </c>
      <c r="X3283" s="3">
        <v>1</v>
      </c>
      <c r="Y3283" s="3">
        <v>0</v>
      </c>
      <c r="Z3283" s="3">
        <v>0</v>
      </c>
      <c r="AA3283" s="3">
        <v>5</v>
      </c>
      <c r="AB3283" s="3">
        <v>2000</v>
      </c>
      <c r="AC3283" s="3">
        <v>70</v>
      </c>
      <c r="AD3283" s="153">
        <v>0</v>
      </c>
      <c r="AE3283" s="153">
        <v>5</v>
      </c>
      <c r="AF3283" s="153">
        <v>2</v>
      </c>
      <c r="AG3283" s="337"/>
      <c r="AH3283" s="337"/>
      <c r="AI3283" s="337"/>
      <c r="AJ3283" s="337"/>
      <c r="AK3283" s="337"/>
      <c r="AL3283" s="234"/>
      <c r="AM3283" s="234"/>
      <c r="AN3283" s="476"/>
      <c r="AO3283" s="234"/>
      <c r="AP3283" s="234"/>
      <c r="AQ3283" s="3"/>
      <c r="AR3283" s="3"/>
      <c r="AS3283">
        <v>1</v>
      </c>
    </row>
    <row r="3284" spans="1:45">
      <c r="A3284" s="3">
        <v>619553</v>
      </c>
      <c r="B3284" s="128">
        <v>1001</v>
      </c>
      <c r="C3284" s="128">
        <v>1</v>
      </c>
      <c r="D3284" s="128">
        <v>1001</v>
      </c>
      <c r="E3284" s="128" t="s">
        <v>5546</v>
      </c>
      <c r="F3284" s="128" t="s">
        <v>5546</v>
      </c>
      <c r="G3284" s="128" t="s">
        <v>8132</v>
      </c>
      <c r="H3284" s="3" t="s">
        <v>1825</v>
      </c>
      <c r="I3284" s="3">
        <v>1</v>
      </c>
      <c r="J3284" s="3">
        <v>5</v>
      </c>
      <c r="K3284" s="3">
        <v>2</v>
      </c>
      <c r="L3284" s="3">
        <v>999</v>
      </c>
      <c r="M3284" s="3">
        <v>0</v>
      </c>
      <c r="N3284" s="3">
        <v>1018</v>
      </c>
      <c r="O3284" s="231" t="s">
        <v>8133</v>
      </c>
      <c r="P3284" s="3"/>
      <c r="Q3284" s="3"/>
      <c r="R3284" s="3"/>
      <c r="S3284" s="3">
        <v>1</v>
      </c>
      <c r="T3284" s="3">
        <v>5</v>
      </c>
      <c r="U3284" s="3">
        <v>100</v>
      </c>
      <c r="V3284" s="3"/>
      <c r="W3284" s="3">
        <v>1</v>
      </c>
      <c r="X3284" s="3">
        <v>1</v>
      </c>
      <c r="Y3284" s="3">
        <v>0</v>
      </c>
      <c r="Z3284" s="3">
        <v>0</v>
      </c>
      <c r="AA3284" s="3">
        <v>5</v>
      </c>
      <c r="AB3284" s="3">
        <v>2000</v>
      </c>
      <c r="AC3284" s="3">
        <v>70</v>
      </c>
      <c r="AD3284" s="153">
        <v>0</v>
      </c>
      <c r="AE3284" s="153">
        <v>5</v>
      </c>
      <c r="AF3284" s="153">
        <v>2</v>
      </c>
      <c r="AG3284" s="337"/>
      <c r="AH3284" s="337"/>
      <c r="AI3284" s="337"/>
      <c r="AJ3284" s="337"/>
      <c r="AK3284" s="337"/>
      <c r="AL3284" s="234"/>
      <c r="AM3284" s="234"/>
      <c r="AN3284" s="476"/>
      <c r="AO3284" s="234"/>
      <c r="AP3284" s="234"/>
      <c r="AQ3284" s="3"/>
      <c r="AR3284" s="3"/>
      <c r="AS3284">
        <v>1</v>
      </c>
    </row>
    <row r="3285" spans="1:45">
      <c r="A3285" s="3">
        <v>619554</v>
      </c>
      <c r="B3285" s="128">
        <v>1001</v>
      </c>
      <c r="C3285" s="128">
        <v>6</v>
      </c>
      <c r="D3285" s="128">
        <v>1001</v>
      </c>
      <c r="E3285" s="128" t="s">
        <v>5550</v>
      </c>
      <c r="F3285" s="128" t="s">
        <v>5550</v>
      </c>
      <c r="G3285" s="128" t="s">
        <v>8134</v>
      </c>
      <c r="H3285" s="3" t="s">
        <v>1531</v>
      </c>
      <c r="I3285" s="3">
        <v>1</v>
      </c>
      <c r="J3285" s="3">
        <v>5</v>
      </c>
      <c r="K3285" s="3">
        <v>2</v>
      </c>
      <c r="L3285" s="3">
        <v>999</v>
      </c>
      <c r="M3285" s="3">
        <v>0</v>
      </c>
      <c r="N3285" s="3">
        <v>1018</v>
      </c>
      <c r="O3285" s="231" t="s">
        <v>8135</v>
      </c>
      <c r="P3285" s="3"/>
      <c r="Q3285" s="3"/>
      <c r="R3285" s="3"/>
      <c r="S3285" s="3">
        <v>1</v>
      </c>
      <c r="T3285" s="3">
        <v>5</v>
      </c>
      <c r="U3285" s="3">
        <v>100</v>
      </c>
      <c r="V3285" s="3"/>
      <c r="W3285" s="3">
        <v>1</v>
      </c>
      <c r="X3285" s="3">
        <v>1</v>
      </c>
      <c r="Y3285" s="3">
        <v>0</v>
      </c>
      <c r="Z3285" s="3">
        <v>0</v>
      </c>
      <c r="AA3285" s="3">
        <v>5</v>
      </c>
      <c r="AB3285" s="3">
        <v>2000</v>
      </c>
      <c r="AC3285" s="3">
        <v>70</v>
      </c>
      <c r="AD3285" s="153">
        <v>0</v>
      </c>
      <c r="AE3285" s="153">
        <v>5</v>
      </c>
      <c r="AF3285" s="153">
        <v>2</v>
      </c>
      <c r="AG3285" s="337"/>
      <c r="AH3285" s="337"/>
      <c r="AI3285" s="337"/>
      <c r="AJ3285" s="337"/>
      <c r="AK3285" s="337"/>
      <c r="AL3285" s="234"/>
      <c r="AM3285" s="234"/>
      <c r="AN3285" s="476"/>
      <c r="AO3285" s="234"/>
      <c r="AP3285" s="234"/>
      <c r="AQ3285" s="3"/>
      <c r="AR3285" s="3"/>
      <c r="AS3285">
        <v>1</v>
      </c>
    </row>
    <row r="3286" spans="1:45">
      <c r="A3286" s="3">
        <v>619555</v>
      </c>
      <c r="B3286" s="128">
        <v>1001</v>
      </c>
      <c r="C3286" s="128">
        <v>1</v>
      </c>
      <c r="D3286" s="128">
        <v>1001</v>
      </c>
      <c r="E3286" s="128" t="s">
        <v>5546</v>
      </c>
      <c r="F3286" s="128" t="s">
        <v>5546</v>
      </c>
      <c r="G3286" s="128" t="s">
        <v>8136</v>
      </c>
      <c r="H3286" s="3" t="s">
        <v>1825</v>
      </c>
      <c r="I3286" s="3">
        <v>1</v>
      </c>
      <c r="J3286" s="3">
        <v>5</v>
      </c>
      <c r="K3286" s="3">
        <v>2</v>
      </c>
      <c r="L3286" s="3">
        <v>999</v>
      </c>
      <c r="M3286" s="3">
        <v>0</v>
      </c>
      <c r="N3286" s="3">
        <v>1018</v>
      </c>
      <c r="O3286" s="231" t="s">
        <v>8137</v>
      </c>
      <c r="P3286" s="3"/>
      <c r="Q3286" s="3"/>
      <c r="R3286" s="3"/>
      <c r="S3286" s="3">
        <v>1</v>
      </c>
      <c r="T3286" s="3">
        <v>5</v>
      </c>
      <c r="U3286" s="3">
        <v>100</v>
      </c>
      <c r="V3286" s="3"/>
      <c r="W3286" s="3">
        <v>1</v>
      </c>
      <c r="X3286" s="3">
        <v>1</v>
      </c>
      <c r="Y3286" s="3">
        <v>0</v>
      </c>
      <c r="Z3286" s="3">
        <v>0</v>
      </c>
      <c r="AA3286" s="3">
        <v>5</v>
      </c>
      <c r="AB3286" s="3">
        <v>2000</v>
      </c>
      <c r="AC3286" s="3">
        <v>70</v>
      </c>
      <c r="AD3286" s="153">
        <v>0</v>
      </c>
      <c r="AE3286" s="153">
        <v>5</v>
      </c>
      <c r="AF3286" s="153">
        <v>2</v>
      </c>
      <c r="AG3286" s="337"/>
      <c r="AH3286" s="337"/>
      <c r="AI3286" s="337"/>
      <c r="AJ3286" s="337"/>
      <c r="AK3286" s="337"/>
      <c r="AL3286" s="234"/>
      <c r="AM3286" s="234"/>
      <c r="AN3286" s="476"/>
      <c r="AO3286" s="234"/>
      <c r="AP3286" s="234"/>
      <c r="AQ3286" s="3"/>
      <c r="AR3286" s="3"/>
      <c r="AS3286">
        <v>1</v>
      </c>
    </row>
    <row r="3287" spans="1:45">
      <c r="A3287" s="3">
        <v>619556</v>
      </c>
      <c r="B3287" s="128">
        <v>1001</v>
      </c>
      <c r="C3287" s="128">
        <v>1</v>
      </c>
      <c r="D3287" s="128">
        <v>1001</v>
      </c>
      <c r="E3287" s="128" t="s">
        <v>5550</v>
      </c>
      <c r="F3287" s="128" t="s">
        <v>5550</v>
      </c>
      <c r="G3287" s="128" t="s">
        <v>7829</v>
      </c>
      <c r="H3287" s="3" t="s">
        <v>1531</v>
      </c>
      <c r="I3287" s="3">
        <v>1</v>
      </c>
      <c r="J3287" s="3">
        <v>5</v>
      </c>
      <c r="K3287" s="3">
        <v>2</v>
      </c>
      <c r="L3287" s="3">
        <v>999</v>
      </c>
      <c r="M3287" s="3">
        <v>0</v>
      </c>
      <c r="N3287" s="3">
        <v>1018</v>
      </c>
      <c r="O3287" s="231" t="s">
        <v>7830</v>
      </c>
      <c r="P3287" s="3"/>
      <c r="Q3287" s="3"/>
      <c r="R3287" s="3"/>
      <c r="S3287" s="3">
        <v>1</v>
      </c>
      <c r="T3287" s="3">
        <v>5</v>
      </c>
      <c r="U3287" s="3">
        <v>100</v>
      </c>
      <c r="V3287" s="3"/>
      <c r="W3287" s="3">
        <v>1</v>
      </c>
      <c r="X3287" s="3">
        <v>1</v>
      </c>
      <c r="Y3287" s="3">
        <v>0</v>
      </c>
      <c r="Z3287" s="3">
        <v>0</v>
      </c>
      <c r="AA3287" s="3">
        <v>5</v>
      </c>
      <c r="AB3287" s="3">
        <v>2000</v>
      </c>
      <c r="AC3287" s="3">
        <v>70</v>
      </c>
      <c r="AD3287" s="153">
        <v>0</v>
      </c>
      <c r="AE3287" s="153">
        <v>5</v>
      </c>
      <c r="AF3287" s="153">
        <v>2</v>
      </c>
      <c r="AG3287" s="337"/>
      <c r="AH3287" s="337"/>
      <c r="AI3287" s="337"/>
      <c r="AJ3287" s="337"/>
      <c r="AK3287" s="337"/>
      <c r="AL3287" s="234"/>
      <c r="AM3287" s="234"/>
      <c r="AN3287" s="476"/>
      <c r="AO3287" s="234"/>
      <c r="AP3287" s="234"/>
      <c r="AQ3287" s="3"/>
      <c r="AR3287" s="3"/>
      <c r="AS3287">
        <v>1</v>
      </c>
    </row>
    <row r="3288" spans="1:45">
      <c r="A3288" s="3">
        <v>619557</v>
      </c>
      <c r="B3288" s="128">
        <v>1001</v>
      </c>
      <c r="C3288" s="128">
        <v>1</v>
      </c>
      <c r="D3288" s="128">
        <v>1001</v>
      </c>
      <c r="E3288" s="128" t="s">
        <v>6280</v>
      </c>
      <c r="F3288" s="128" t="s">
        <v>6280</v>
      </c>
      <c r="G3288" s="128" t="s">
        <v>7831</v>
      </c>
      <c r="H3288" s="3" t="s">
        <v>1531</v>
      </c>
      <c r="I3288" s="3">
        <v>1</v>
      </c>
      <c r="J3288" s="3">
        <v>5</v>
      </c>
      <c r="K3288" s="3">
        <v>2</v>
      </c>
      <c r="L3288" s="3">
        <v>999</v>
      </c>
      <c r="M3288" s="3">
        <v>0</v>
      </c>
      <c r="N3288" s="3">
        <v>1018</v>
      </c>
      <c r="O3288" s="231" t="s">
        <v>7832</v>
      </c>
      <c r="P3288" s="3"/>
      <c r="Q3288" s="3"/>
      <c r="R3288" s="3"/>
      <c r="S3288" s="3">
        <v>1</v>
      </c>
      <c r="T3288" s="3">
        <v>5</v>
      </c>
      <c r="U3288" s="3">
        <v>100</v>
      </c>
      <c r="V3288" s="3"/>
      <c r="W3288" s="3">
        <v>1</v>
      </c>
      <c r="X3288" s="3">
        <v>1</v>
      </c>
      <c r="Y3288" s="3">
        <v>0</v>
      </c>
      <c r="Z3288" s="3">
        <v>0</v>
      </c>
      <c r="AA3288" s="3">
        <v>5</v>
      </c>
      <c r="AB3288" s="3">
        <v>2000</v>
      </c>
      <c r="AC3288" s="3">
        <v>70</v>
      </c>
      <c r="AD3288" s="153">
        <v>0</v>
      </c>
      <c r="AE3288" s="153">
        <v>5</v>
      </c>
      <c r="AF3288" s="153">
        <v>2</v>
      </c>
      <c r="AG3288" s="337"/>
      <c r="AH3288" s="337"/>
      <c r="AI3288" s="337"/>
      <c r="AJ3288" s="337"/>
      <c r="AK3288" s="337"/>
      <c r="AL3288" s="234"/>
      <c r="AM3288" s="234"/>
      <c r="AN3288" s="476"/>
      <c r="AO3288" s="234"/>
      <c r="AP3288" s="234"/>
      <c r="AQ3288" s="3"/>
      <c r="AR3288" s="3"/>
      <c r="AS3288">
        <v>1</v>
      </c>
    </row>
    <row r="3289" spans="1:45">
      <c r="A3289" s="3">
        <v>619558</v>
      </c>
      <c r="B3289" s="128">
        <v>1001</v>
      </c>
      <c r="C3289" s="128">
        <v>6</v>
      </c>
      <c r="D3289" s="128">
        <v>1001</v>
      </c>
      <c r="E3289" s="128" t="s">
        <v>5550</v>
      </c>
      <c r="F3289" s="128" t="s">
        <v>5550</v>
      </c>
      <c r="G3289" s="128" t="s">
        <v>8138</v>
      </c>
      <c r="H3289" s="3" t="s">
        <v>1531</v>
      </c>
      <c r="I3289" s="3">
        <v>1</v>
      </c>
      <c r="J3289" s="3">
        <v>5</v>
      </c>
      <c r="K3289" s="3">
        <v>2</v>
      </c>
      <c r="L3289" s="3">
        <v>999</v>
      </c>
      <c r="M3289" s="3">
        <v>0</v>
      </c>
      <c r="N3289" s="3">
        <v>1018</v>
      </c>
      <c r="O3289" s="231" t="s">
        <v>8139</v>
      </c>
      <c r="P3289" s="3"/>
      <c r="Q3289" s="3"/>
      <c r="R3289" s="3"/>
      <c r="S3289" s="3">
        <v>1</v>
      </c>
      <c r="T3289" s="3">
        <v>5</v>
      </c>
      <c r="U3289" s="3">
        <v>100</v>
      </c>
      <c r="V3289" s="3"/>
      <c r="W3289" s="3">
        <v>1</v>
      </c>
      <c r="X3289" s="3">
        <v>1</v>
      </c>
      <c r="Y3289" s="3">
        <v>0</v>
      </c>
      <c r="Z3289" s="3">
        <v>0</v>
      </c>
      <c r="AA3289" s="3">
        <v>5</v>
      </c>
      <c r="AB3289" s="3">
        <v>2000</v>
      </c>
      <c r="AC3289" s="3">
        <v>70</v>
      </c>
      <c r="AD3289" s="153">
        <v>0</v>
      </c>
      <c r="AE3289" s="153">
        <v>5</v>
      </c>
      <c r="AF3289" s="153">
        <v>2</v>
      </c>
      <c r="AG3289" s="337"/>
      <c r="AH3289" s="337"/>
      <c r="AI3289" s="337"/>
      <c r="AJ3289" s="337"/>
      <c r="AK3289" s="337"/>
      <c r="AL3289" s="234"/>
      <c r="AM3289" s="234"/>
      <c r="AN3289" s="476"/>
      <c r="AO3289" s="234"/>
      <c r="AP3289" s="234"/>
      <c r="AQ3289" s="3"/>
      <c r="AR3289" s="3"/>
      <c r="AS3289">
        <v>1</v>
      </c>
    </row>
    <row r="3290" spans="1:45">
      <c r="A3290" s="3">
        <v>619559</v>
      </c>
      <c r="B3290" s="128">
        <v>1001</v>
      </c>
      <c r="C3290" s="128">
        <v>6</v>
      </c>
      <c r="D3290" s="128">
        <v>1001</v>
      </c>
      <c r="E3290" s="128" t="s">
        <v>8140</v>
      </c>
      <c r="F3290" s="128" t="s">
        <v>8140</v>
      </c>
      <c r="G3290" s="128" t="s">
        <v>8141</v>
      </c>
      <c r="H3290" s="3" t="s">
        <v>1667</v>
      </c>
      <c r="I3290" s="3">
        <v>1</v>
      </c>
      <c r="J3290" s="3">
        <v>5</v>
      </c>
      <c r="K3290" s="3">
        <v>2</v>
      </c>
      <c r="L3290" s="3">
        <v>999</v>
      </c>
      <c r="M3290" s="3">
        <v>0</v>
      </c>
      <c r="N3290" s="3">
        <v>1017</v>
      </c>
      <c r="O3290" s="231">
        <v>300092</v>
      </c>
      <c r="P3290" s="3"/>
      <c r="Q3290" s="3"/>
      <c r="R3290" s="3"/>
      <c r="S3290" s="3">
        <v>1</v>
      </c>
      <c r="T3290" s="3">
        <v>5</v>
      </c>
      <c r="U3290" s="3">
        <v>100</v>
      </c>
      <c r="V3290" s="3"/>
      <c r="W3290" s="3">
        <v>1</v>
      </c>
      <c r="X3290" s="3">
        <v>1</v>
      </c>
      <c r="Y3290" s="3">
        <v>0</v>
      </c>
      <c r="Z3290" s="3">
        <v>0</v>
      </c>
      <c r="AA3290" s="3">
        <v>5</v>
      </c>
      <c r="AB3290" s="3">
        <v>2000</v>
      </c>
      <c r="AC3290" s="3">
        <v>56</v>
      </c>
      <c r="AD3290" s="153">
        <v>0</v>
      </c>
      <c r="AE3290" s="153">
        <v>4</v>
      </c>
      <c r="AF3290" s="153">
        <v>2</v>
      </c>
      <c r="AG3290" s="337"/>
      <c r="AH3290" s="337"/>
      <c r="AI3290" s="337"/>
      <c r="AJ3290" s="337"/>
      <c r="AK3290" s="337"/>
      <c r="AL3290" s="234"/>
      <c r="AM3290" s="234"/>
      <c r="AN3290" s="476"/>
      <c r="AO3290" s="234"/>
      <c r="AP3290" s="234"/>
      <c r="AQ3290" s="3"/>
      <c r="AR3290" s="3"/>
      <c r="AS3290">
        <v>1</v>
      </c>
    </row>
    <row r="3291" spans="1:45">
      <c r="A3291" s="3">
        <v>619560</v>
      </c>
      <c r="B3291" s="128">
        <v>1001</v>
      </c>
      <c r="C3291" s="128">
        <v>1</v>
      </c>
      <c r="D3291" s="128">
        <v>1001</v>
      </c>
      <c r="E3291" s="128" t="s">
        <v>5727</v>
      </c>
      <c r="F3291" s="128" t="s">
        <v>5727</v>
      </c>
      <c r="G3291" s="128" t="s">
        <v>7522</v>
      </c>
      <c r="H3291" s="3" t="s">
        <v>1804</v>
      </c>
      <c r="I3291" s="3">
        <v>1</v>
      </c>
      <c r="J3291" s="3">
        <v>3</v>
      </c>
      <c r="K3291" s="3">
        <v>1</v>
      </c>
      <c r="L3291" s="3">
        <v>999</v>
      </c>
      <c r="M3291" s="3">
        <v>0</v>
      </c>
      <c r="N3291" s="3"/>
      <c r="O3291" s="231"/>
      <c r="P3291" s="3"/>
      <c r="Q3291" s="3"/>
      <c r="R3291" s="3"/>
      <c r="S3291" s="3">
        <v>1</v>
      </c>
      <c r="T3291" s="3">
        <v>5</v>
      </c>
      <c r="U3291" s="3">
        <v>200</v>
      </c>
      <c r="V3291" s="3">
        <v>1</v>
      </c>
      <c r="W3291" s="3">
        <v>1</v>
      </c>
      <c r="X3291" s="3">
        <v>1</v>
      </c>
      <c r="Y3291" s="3">
        <v>0</v>
      </c>
      <c r="Z3291" s="3">
        <v>0</v>
      </c>
      <c r="AA3291" s="3">
        <v>5</v>
      </c>
      <c r="AB3291" s="3">
        <v>1000</v>
      </c>
      <c r="AC3291" s="3">
        <v>900</v>
      </c>
      <c r="AD3291" s="153">
        <v>0</v>
      </c>
      <c r="AE3291" s="153">
        <v>4</v>
      </c>
      <c r="AF3291" s="153">
        <v>2</v>
      </c>
      <c r="AG3291" s="337"/>
      <c r="AH3291" s="337"/>
      <c r="AI3291" s="337"/>
      <c r="AJ3291" s="337"/>
      <c r="AK3291" s="337"/>
      <c r="AL3291" s="234">
        <v>1</v>
      </c>
      <c r="AM3291" s="234"/>
      <c r="AN3291" s="476"/>
      <c r="AO3291" s="234"/>
      <c r="AP3291" s="234"/>
      <c r="AQ3291" s="3"/>
      <c r="AR3291" s="3">
        <v>1</v>
      </c>
      <c r="AS3291">
        <v>1</v>
      </c>
    </row>
    <row r="3292" spans="1:45">
      <c r="A3292" s="3">
        <v>619561</v>
      </c>
      <c r="B3292" s="128">
        <v>1001</v>
      </c>
      <c r="C3292" s="128">
        <v>1</v>
      </c>
      <c r="D3292" s="128">
        <v>1001</v>
      </c>
      <c r="E3292" s="128" t="s">
        <v>5724</v>
      </c>
      <c r="F3292" s="128" t="s">
        <v>5724</v>
      </c>
      <c r="G3292" s="128" t="s">
        <v>7522</v>
      </c>
      <c r="H3292" s="3" t="s">
        <v>5726</v>
      </c>
      <c r="I3292" s="3">
        <v>1</v>
      </c>
      <c r="J3292" s="3">
        <v>5</v>
      </c>
      <c r="K3292" s="3">
        <v>1</v>
      </c>
      <c r="L3292" s="3">
        <v>999</v>
      </c>
      <c r="M3292" s="3">
        <v>0</v>
      </c>
      <c r="N3292" s="3"/>
      <c r="O3292" s="231"/>
      <c r="P3292" s="3"/>
      <c r="Q3292" s="3"/>
      <c r="R3292" s="3"/>
      <c r="S3292" s="3">
        <v>1</v>
      </c>
      <c r="T3292" s="3">
        <v>5</v>
      </c>
      <c r="U3292" s="3">
        <v>200</v>
      </c>
      <c r="V3292" s="3">
        <v>1</v>
      </c>
      <c r="W3292" s="3">
        <v>1</v>
      </c>
      <c r="X3292" s="3">
        <v>1</v>
      </c>
      <c r="Y3292" s="3">
        <v>0</v>
      </c>
      <c r="Z3292" s="3">
        <v>0</v>
      </c>
      <c r="AA3292" s="3">
        <v>5</v>
      </c>
      <c r="AB3292" s="3">
        <v>1000</v>
      </c>
      <c r="AC3292" s="3">
        <v>900</v>
      </c>
      <c r="AD3292" s="153">
        <v>0</v>
      </c>
      <c r="AE3292" s="153">
        <v>4</v>
      </c>
      <c r="AF3292" s="153">
        <v>2</v>
      </c>
      <c r="AG3292" s="337"/>
      <c r="AH3292" s="337"/>
      <c r="AI3292" s="337"/>
      <c r="AJ3292" s="337"/>
      <c r="AK3292" s="337"/>
      <c r="AL3292" s="234">
        <v>1</v>
      </c>
      <c r="AM3292" s="234"/>
      <c r="AN3292" s="476"/>
      <c r="AO3292" s="234"/>
      <c r="AP3292" s="234"/>
      <c r="AQ3292" s="3"/>
      <c r="AR3292" s="3">
        <v>1</v>
      </c>
      <c r="AS3292">
        <v>1</v>
      </c>
    </row>
    <row r="3293" spans="1:45">
      <c r="A3293" s="3">
        <v>619562</v>
      </c>
      <c r="B3293" s="128">
        <v>1001</v>
      </c>
      <c r="C3293" s="128">
        <v>6</v>
      </c>
      <c r="D3293" s="128">
        <v>1001</v>
      </c>
      <c r="E3293" s="128" t="s">
        <v>8142</v>
      </c>
      <c r="F3293" s="128" t="s">
        <v>8142</v>
      </c>
      <c r="G3293" s="128" t="s">
        <v>7671</v>
      </c>
      <c r="H3293" s="3" t="s">
        <v>1812</v>
      </c>
      <c r="I3293" s="3">
        <v>1</v>
      </c>
      <c r="J3293" s="3">
        <v>5</v>
      </c>
      <c r="K3293" s="3">
        <v>2</v>
      </c>
      <c r="L3293" s="3">
        <v>999</v>
      </c>
      <c r="M3293" s="3">
        <v>0</v>
      </c>
      <c r="N3293" s="3">
        <v>1017</v>
      </c>
      <c r="O3293" s="231">
        <v>300093</v>
      </c>
      <c r="P3293" s="3"/>
      <c r="Q3293" s="3"/>
      <c r="R3293" s="3"/>
      <c r="S3293" s="3">
        <v>1</v>
      </c>
      <c r="T3293" s="3">
        <v>5</v>
      </c>
      <c r="U3293" s="3">
        <v>1</v>
      </c>
      <c r="V3293" s="3"/>
      <c r="W3293" s="3">
        <v>1</v>
      </c>
      <c r="X3293" s="3">
        <v>1</v>
      </c>
      <c r="Y3293" s="3">
        <v>0</v>
      </c>
      <c r="Z3293" s="3">
        <v>0</v>
      </c>
      <c r="AA3293" s="3">
        <v>5</v>
      </c>
      <c r="AB3293" s="3">
        <v>100</v>
      </c>
      <c r="AC3293" s="3">
        <v>70</v>
      </c>
      <c r="AD3293" s="153">
        <v>0</v>
      </c>
      <c r="AE3293" s="153">
        <v>4</v>
      </c>
      <c r="AF3293" s="153">
        <v>2</v>
      </c>
      <c r="AG3293" s="337"/>
      <c r="AH3293" s="337"/>
      <c r="AI3293" s="337"/>
      <c r="AJ3293" s="337"/>
      <c r="AK3293" s="337"/>
      <c r="AL3293" s="234"/>
      <c r="AM3293" s="234"/>
      <c r="AN3293" s="476"/>
      <c r="AO3293" s="234"/>
      <c r="AP3293" s="234"/>
      <c r="AQ3293" s="3"/>
      <c r="AR3293" s="3"/>
      <c r="AS3293">
        <v>1</v>
      </c>
    </row>
    <row r="3294" spans="1:45">
      <c r="A3294" s="3">
        <v>619563</v>
      </c>
      <c r="B3294" s="128">
        <v>1001</v>
      </c>
      <c r="C3294" s="128">
        <v>1</v>
      </c>
      <c r="D3294" s="128">
        <v>1001</v>
      </c>
      <c r="E3294" s="128" t="s">
        <v>8143</v>
      </c>
      <c r="F3294" s="128" t="s">
        <v>8143</v>
      </c>
      <c r="G3294" s="128" t="s">
        <v>8144</v>
      </c>
      <c r="H3294" s="3" t="s">
        <v>1905</v>
      </c>
      <c r="I3294" s="3">
        <v>1</v>
      </c>
      <c r="J3294" s="3">
        <v>5</v>
      </c>
      <c r="K3294" s="3">
        <v>1</v>
      </c>
      <c r="L3294" s="3">
        <v>999</v>
      </c>
      <c r="M3294" s="3">
        <v>0</v>
      </c>
      <c r="N3294" s="3"/>
      <c r="O3294" s="231"/>
      <c r="P3294" s="3"/>
      <c r="Q3294" s="3"/>
      <c r="R3294" s="3"/>
      <c r="S3294" s="3">
        <v>1</v>
      </c>
      <c r="T3294" s="3">
        <v>5</v>
      </c>
      <c r="U3294" s="3">
        <v>200</v>
      </c>
      <c r="V3294" s="3">
        <v>1</v>
      </c>
      <c r="W3294" s="3">
        <v>1</v>
      </c>
      <c r="X3294" s="3">
        <v>1</v>
      </c>
      <c r="Y3294" s="3">
        <v>0</v>
      </c>
      <c r="Z3294" s="3">
        <v>0</v>
      </c>
      <c r="AA3294" s="3">
        <v>5</v>
      </c>
      <c r="AB3294" s="3">
        <v>100</v>
      </c>
      <c r="AC3294" s="3">
        <v>900</v>
      </c>
      <c r="AD3294" s="153">
        <v>0</v>
      </c>
      <c r="AE3294" s="153">
        <v>4</v>
      </c>
      <c r="AF3294" s="153">
        <v>2</v>
      </c>
      <c r="AG3294" s="337"/>
      <c r="AH3294" s="337"/>
      <c r="AI3294" s="337"/>
      <c r="AJ3294" s="337"/>
      <c r="AK3294" s="337"/>
      <c r="AL3294" s="234">
        <v>1</v>
      </c>
      <c r="AM3294" s="234"/>
      <c r="AN3294" s="476"/>
      <c r="AO3294" s="234"/>
      <c r="AP3294" s="234"/>
      <c r="AQ3294" s="3"/>
      <c r="AR3294" s="3">
        <v>1</v>
      </c>
      <c r="AS3294">
        <v>1</v>
      </c>
    </row>
    <row r="3295" spans="1:45">
      <c r="A3295" s="3">
        <v>619564</v>
      </c>
      <c r="B3295" s="128">
        <v>1001</v>
      </c>
      <c r="C3295" s="128">
        <v>1</v>
      </c>
      <c r="D3295" s="128">
        <v>1001</v>
      </c>
      <c r="E3295" s="128" t="s">
        <v>8145</v>
      </c>
      <c r="F3295" s="128" t="s">
        <v>8145</v>
      </c>
      <c r="G3295" s="128" t="s">
        <v>8144</v>
      </c>
      <c r="H3295" s="3" t="s">
        <v>5531</v>
      </c>
      <c r="I3295" s="3">
        <v>1</v>
      </c>
      <c r="J3295" s="3">
        <v>5</v>
      </c>
      <c r="K3295" s="3">
        <v>1</v>
      </c>
      <c r="L3295" s="3">
        <v>999</v>
      </c>
      <c r="M3295" s="3">
        <v>0</v>
      </c>
      <c r="N3295" s="3"/>
      <c r="O3295" s="231"/>
      <c r="P3295" s="3"/>
      <c r="Q3295" s="3"/>
      <c r="R3295" s="3"/>
      <c r="S3295" s="3">
        <v>1</v>
      </c>
      <c r="T3295" s="3">
        <v>5</v>
      </c>
      <c r="U3295" s="3">
        <v>200</v>
      </c>
      <c r="V3295" s="3">
        <v>1</v>
      </c>
      <c r="W3295" s="3">
        <v>1</v>
      </c>
      <c r="X3295" s="3">
        <v>1</v>
      </c>
      <c r="Y3295" s="3">
        <v>0</v>
      </c>
      <c r="Z3295" s="3">
        <v>0</v>
      </c>
      <c r="AA3295" s="3">
        <v>5</v>
      </c>
      <c r="AB3295" s="3">
        <v>100</v>
      </c>
      <c r="AC3295" s="3">
        <v>900</v>
      </c>
      <c r="AD3295" s="153">
        <v>0</v>
      </c>
      <c r="AE3295" s="153">
        <v>4</v>
      </c>
      <c r="AF3295" s="153">
        <v>2</v>
      </c>
      <c r="AG3295" s="337"/>
      <c r="AH3295" s="337"/>
      <c r="AI3295" s="337"/>
      <c r="AJ3295" s="337"/>
      <c r="AK3295" s="337"/>
      <c r="AL3295" s="234">
        <v>1</v>
      </c>
      <c r="AM3295" s="234"/>
      <c r="AN3295" s="476"/>
      <c r="AO3295" s="234"/>
      <c r="AP3295" s="234"/>
      <c r="AQ3295" s="3"/>
      <c r="AR3295" s="3">
        <v>1</v>
      </c>
      <c r="AS3295">
        <v>1</v>
      </c>
    </row>
    <row r="3296" spans="1:45">
      <c r="A3296" s="3">
        <v>619565</v>
      </c>
      <c r="B3296" s="128">
        <v>1001</v>
      </c>
      <c r="C3296" s="128">
        <v>6</v>
      </c>
      <c r="D3296" s="128">
        <v>1001</v>
      </c>
      <c r="E3296" s="128" t="s">
        <v>8146</v>
      </c>
      <c r="F3296" s="128" t="s">
        <v>8146</v>
      </c>
      <c r="G3296" s="128" t="s">
        <v>8147</v>
      </c>
      <c r="H3296" s="3" t="s">
        <v>1531</v>
      </c>
      <c r="I3296" s="3">
        <v>1</v>
      </c>
      <c r="J3296" s="3">
        <v>5</v>
      </c>
      <c r="K3296" s="3">
        <v>2</v>
      </c>
      <c r="L3296" s="3">
        <v>999</v>
      </c>
      <c r="M3296" s="3">
        <v>0</v>
      </c>
      <c r="N3296" s="3">
        <v>1018</v>
      </c>
      <c r="O3296" s="231" t="s">
        <v>8148</v>
      </c>
      <c r="P3296" s="3"/>
      <c r="Q3296" s="3"/>
      <c r="R3296" s="3"/>
      <c r="S3296" s="3">
        <v>1</v>
      </c>
      <c r="T3296" s="3">
        <v>5</v>
      </c>
      <c r="U3296" s="3">
        <v>100</v>
      </c>
      <c r="V3296" s="3"/>
      <c r="W3296" s="3">
        <v>1</v>
      </c>
      <c r="X3296" s="3">
        <v>1</v>
      </c>
      <c r="Y3296" s="3">
        <v>0</v>
      </c>
      <c r="Z3296" s="3">
        <v>0</v>
      </c>
      <c r="AA3296" s="3">
        <v>5</v>
      </c>
      <c r="AB3296" s="3">
        <v>2000</v>
      </c>
      <c r="AC3296" s="3">
        <v>70</v>
      </c>
      <c r="AD3296" s="153">
        <v>0</v>
      </c>
      <c r="AE3296" s="153">
        <v>5</v>
      </c>
      <c r="AF3296" s="153">
        <v>2</v>
      </c>
      <c r="AG3296" s="337"/>
      <c r="AH3296" s="337"/>
      <c r="AI3296" s="337"/>
      <c r="AJ3296" s="337"/>
      <c r="AK3296" s="337"/>
      <c r="AL3296" s="234"/>
      <c r="AM3296" s="234"/>
      <c r="AN3296" s="476"/>
      <c r="AO3296" s="234"/>
      <c r="AP3296" s="234"/>
      <c r="AQ3296" s="3"/>
      <c r="AR3296" s="3"/>
      <c r="AS3296">
        <v>1</v>
      </c>
    </row>
    <row r="3297" spans="1:45">
      <c r="A3297" s="3">
        <v>619566</v>
      </c>
      <c r="B3297" s="128">
        <v>1001</v>
      </c>
      <c r="C3297" s="128">
        <v>6</v>
      </c>
      <c r="D3297" s="128">
        <v>1001</v>
      </c>
      <c r="E3297" s="128" t="s">
        <v>8149</v>
      </c>
      <c r="F3297" s="128" t="s">
        <v>8149</v>
      </c>
      <c r="G3297" s="128" t="s">
        <v>8150</v>
      </c>
      <c r="H3297" s="3" t="s">
        <v>1531</v>
      </c>
      <c r="I3297" s="3">
        <v>1</v>
      </c>
      <c r="J3297" s="3">
        <v>5</v>
      </c>
      <c r="K3297" s="3">
        <v>2</v>
      </c>
      <c r="L3297" s="3">
        <v>999</v>
      </c>
      <c r="M3297" s="3">
        <v>0</v>
      </c>
      <c r="N3297" s="3">
        <v>1018</v>
      </c>
      <c r="O3297" s="231" t="s">
        <v>8151</v>
      </c>
      <c r="P3297" s="3"/>
      <c r="Q3297" s="3"/>
      <c r="R3297" s="3"/>
      <c r="S3297" s="3">
        <v>1</v>
      </c>
      <c r="T3297" s="3">
        <v>5</v>
      </c>
      <c r="U3297" s="3">
        <v>100</v>
      </c>
      <c r="V3297" s="3"/>
      <c r="W3297" s="3">
        <v>1</v>
      </c>
      <c r="X3297" s="3">
        <v>1</v>
      </c>
      <c r="Y3297" s="3">
        <v>0</v>
      </c>
      <c r="Z3297" s="3">
        <v>0</v>
      </c>
      <c r="AA3297" s="3">
        <v>5</v>
      </c>
      <c r="AB3297" s="3">
        <v>2000</v>
      </c>
      <c r="AC3297" s="3">
        <v>70</v>
      </c>
      <c r="AD3297" s="153">
        <v>0</v>
      </c>
      <c r="AE3297" s="153">
        <v>5</v>
      </c>
      <c r="AF3297" s="153">
        <v>2</v>
      </c>
      <c r="AG3297" s="337"/>
      <c r="AH3297" s="337"/>
      <c r="AI3297" s="337"/>
      <c r="AJ3297" s="337"/>
      <c r="AK3297" s="337"/>
      <c r="AL3297" s="234"/>
      <c r="AM3297" s="234"/>
      <c r="AN3297" s="476"/>
      <c r="AO3297" s="234"/>
      <c r="AP3297" s="234"/>
      <c r="AQ3297" s="3"/>
      <c r="AR3297" s="3"/>
      <c r="AS3297">
        <v>1</v>
      </c>
    </row>
    <row r="3298" spans="1:45">
      <c r="A3298" s="3">
        <v>619567</v>
      </c>
      <c r="B3298" s="128">
        <v>1001</v>
      </c>
      <c r="C3298" s="128">
        <v>6</v>
      </c>
      <c r="D3298" s="128">
        <v>1001</v>
      </c>
      <c r="E3298" s="128" t="s">
        <v>5550</v>
      </c>
      <c r="F3298" s="128" t="s">
        <v>5550</v>
      </c>
      <c r="G3298" s="128" t="s">
        <v>8152</v>
      </c>
      <c r="H3298" s="3" t="s">
        <v>1531</v>
      </c>
      <c r="I3298" s="3">
        <v>1</v>
      </c>
      <c r="J3298" s="3">
        <v>5</v>
      </c>
      <c r="K3298" s="3">
        <v>2</v>
      </c>
      <c r="L3298" s="3">
        <v>999</v>
      </c>
      <c r="M3298" s="3">
        <v>0</v>
      </c>
      <c r="N3298" s="3">
        <v>1018</v>
      </c>
      <c r="O3298" s="231" t="s">
        <v>8153</v>
      </c>
      <c r="P3298" s="3"/>
      <c r="Q3298" s="3"/>
      <c r="R3298" s="3"/>
      <c r="S3298" s="3">
        <v>1</v>
      </c>
      <c r="T3298" s="3">
        <v>5</v>
      </c>
      <c r="U3298" s="3">
        <v>100</v>
      </c>
      <c r="V3298" s="3"/>
      <c r="W3298" s="3">
        <v>1</v>
      </c>
      <c r="X3298" s="3">
        <v>1</v>
      </c>
      <c r="Y3298" s="3">
        <v>0</v>
      </c>
      <c r="Z3298" s="3">
        <v>0</v>
      </c>
      <c r="AA3298" s="3">
        <v>5</v>
      </c>
      <c r="AB3298" s="3">
        <v>2000</v>
      </c>
      <c r="AC3298" s="3">
        <v>70</v>
      </c>
      <c r="AD3298" s="153">
        <v>0</v>
      </c>
      <c r="AE3298" s="153">
        <v>5</v>
      </c>
      <c r="AF3298" s="153">
        <v>2</v>
      </c>
      <c r="AG3298" s="337"/>
      <c r="AH3298" s="337"/>
      <c r="AI3298" s="337"/>
      <c r="AJ3298" s="337"/>
      <c r="AK3298" s="337"/>
      <c r="AL3298" s="234"/>
      <c r="AM3298" s="234"/>
      <c r="AN3298" s="476"/>
      <c r="AO3298" s="234"/>
      <c r="AP3298" s="234"/>
      <c r="AQ3298" s="3"/>
      <c r="AR3298" s="3"/>
      <c r="AS3298">
        <v>1</v>
      </c>
    </row>
    <row r="3299" spans="1:45">
      <c r="A3299" s="3">
        <v>619568</v>
      </c>
      <c r="B3299" s="128">
        <v>1001</v>
      </c>
      <c r="C3299" s="128">
        <v>6</v>
      </c>
      <c r="D3299" s="128">
        <v>1001</v>
      </c>
      <c r="E3299" s="128" t="s">
        <v>5550</v>
      </c>
      <c r="F3299" s="128" t="s">
        <v>5550</v>
      </c>
      <c r="G3299" s="128" t="s">
        <v>8154</v>
      </c>
      <c r="H3299" s="3" t="s">
        <v>1531</v>
      </c>
      <c r="I3299" s="3">
        <v>1</v>
      </c>
      <c r="J3299" s="3">
        <v>5</v>
      </c>
      <c r="K3299" s="3">
        <v>2</v>
      </c>
      <c r="L3299" s="3">
        <v>999</v>
      </c>
      <c r="M3299" s="3">
        <v>0</v>
      </c>
      <c r="N3299" s="3">
        <v>1018</v>
      </c>
      <c r="O3299" s="231" t="s">
        <v>8155</v>
      </c>
      <c r="P3299" s="3"/>
      <c r="Q3299" s="3"/>
      <c r="R3299" s="3"/>
      <c r="S3299" s="3">
        <v>1</v>
      </c>
      <c r="T3299" s="3">
        <v>5</v>
      </c>
      <c r="U3299" s="3">
        <v>100</v>
      </c>
      <c r="V3299" s="3"/>
      <c r="W3299" s="3">
        <v>1</v>
      </c>
      <c r="X3299" s="3">
        <v>1</v>
      </c>
      <c r="Y3299" s="3">
        <v>0</v>
      </c>
      <c r="Z3299" s="3">
        <v>0</v>
      </c>
      <c r="AA3299" s="3">
        <v>5</v>
      </c>
      <c r="AB3299" s="3">
        <v>2000</v>
      </c>
      <c r="AC3299" s="3">
        <v>70</v>
      </c>
      <c r="AD3299" s="153">
        <v>0</v>
      </c>
      <c r="AE3299" s="153">
        <v>5</v>
      </c>
      <c r="AF3299" s="153">
        <v>2</v>
      </c>
      <c r="AG3299" s="337"/>
      <c r="AH3299" s="337"/>
      <c r="AI3299" s="337"/>
      <c r="AJ3299" s="337"/>
      <c r="AK3299" s="337"/>
      <c r="AL3299" s="234"/>
      <c r="AM3299" s="234"/>
      <c r="AN3299" s="476"/>
      <c r="AO3299" s="234"/>
      <c r="AP3299" s="234"/>
      <c r="AQ3299" s="3"/>
      <c r="AR3299" s="3"/>
      <c r="AS3299">
        <v>1</v>
      </c>
    </row>
    <row r="3300" spans="1:45">
      <c r="A3300" s="3">
        <v>619569</v>
      </c>
      <c r="B3300" s="128">
        <v>1001</v>
      </c>
      <c r="C3300" s="128">
        <v>6</v>
      </c>
      <c r="D3300" s="128">
        <v>1001</v>
      </c>
      <c r="E3300" s="128" t="s">
        <v>6985</v>
      </c>
      <c r="F3300" s="128" t="s">
        <v>6985</v>
      </c>
      <c r="G3300" s="128" t="s">
        <v>8156</v>
      </c>
      <c r="H3300" s="3" t="s">
        <v>204</v>
      </c>
      <c r="I3300" s="3">
        <v>1</v>
      </c>
      <c r="J3300" s="3">
        <v>5</v>
      </c>
      <c r="K3300" s="3">
        <v>2</v>
      </c>
      <c r="L3300" s="3">
        <v>999</v>
      </c>
      <c r="M3300" s="3">
        <v>0</v>
      </c>
      <c r="N3300" s="3">
        <v>1018</v>
      </c>
      <c r="O3300" s="231" t="s">
        <v>8157</v>
      </c>
      <c r="P3300" s="3"/>
      <c r="Q3300" s="3"/>
      <c r="R3300" s="3"/>
      <c r="S3300" s="3">
        <v>1</v>
      </c>
      <c r="T3300" s="3">
        <v>5</v>
      </c>
      <c r="U3300" s="3">
        <v>100</v>
      </c>
      <c r="V3300" s="3">
        <v>1</v>
      </c>
      <c r="W3300" s="3">
        <v>1</v>
      </c>
      <c r="X3300" s="3">
        <v>1</v>
      </c>
      <c r="Y3300" s="3">
        <v>0</v>
      </c>
      <c r="Z3300" s="3">
        <v>0</v>
      </c>
      <c r="AA3300" s="3">
        <v>5</v>
      </c>
      <c r="AB3300" s="3">
        <v>1000</v>
      </c>
      <c r="AC3300" s="3">
        <v>56</v>
      </c>
      <c r="AD3300" s="153">
        <v>0</v>
      </c>
      <c r="AE3300" s="153">
        <v>5</v>
      </c>
      <c r="AF3300" s="153">
        <v>2</v>
      </c>
      <c r="AG3300" s="337"/>
      <c r="AH3300" s="337"/>
      <c r="AI3300" s="337"/>
      <c r="AJ3300" s="337"/>
      <c r="AK3300" s="337"/>
      <c r="AL3300" s="234"/>
      <c r="AM3300" s="234"/>
      <c r="AN3300" s="476"/>
      <c r="AO3300" s="234"/>
      <c r="AP3300" s="234"/>
      <c r="AQ3300" s="3"/>
      <c r="AR3300" s="3"/>
      <c r="AS3300">
        <v>1</v>
      </c>
    </row>
    <row r="3301" spans="1:45">
      <c r="A3301" s="3">
        <v>619570</v>
      </c>
      <c r="B3301" s="128">
        <v>1001</v>
      </c>
      <c r="C3301" s="128">
        <v>6</v>
      </c>
      <c r="D3301" s="128">
        <v>1001</v>
      </c>
      <c r="E3301" s="128" t="s">
        <v>5550</v>
      </c>
      <c r="F3301" s="128" t="s">
        <v>5550</v>
      </c>
      <c r="G3301" s="128" t="s">
        <v>8158</v>
      </c>
      <c r="H3301" s="3" t="s">
        <v>1531</v>
      </c>
      <c r="I3301" s="3">
        <v>1</v>
      </c>
      <c r="J3301" s="3">
        <v>5</v>
      </c>
      <c r="K3301" s="3">
        <v>2</v>
      </c>
      <c r="L3301" s="3">
        <v>999</v>
      </c>
      <c r="M3301" s="3">
        <v>0</v>
      </c>
      <c r="N3301" s="3">
        <v>1018</v>
      </c>
      <c r="O3301" s="231" t="s">
        <v>8159</v>
      </c>
      <c r="P3301" s="3"/>
      <c r="Q3301" s="3"/>
      <c r="R3301" s="3"/>
      <c r="S3301" s="3">
        <v>1</v>
      </c>
      <c r="T3301" s="3">
        <v>5</v>
      </c>
      <c r="U3301" s="3">
        <v>100</v>
      </c>
      <c r="V3301" s="3"/>
      <c r="W3301" s="3">
        <v>1</v>
      </c>
      <c r="X3301" s="3">
        <v>1</v>
      </c>
      <c r="Y3301" s="3">
        <v>0</v>
      </c>
      <c r="Z3301" s="3">
        <v>0</v>
      </c>
      <c r="AA3301" s="3">
        <v>5</v>
      </c>
      <c r="AB3301" s="3">
        <v>2000</v>
      </c>
      <c r="AC3301" s="3">
        <v>70</v>
      </c>
      <c r="AD3301" s="153">
        <v>0</v>
      </c>
      <c r="AE3301" s="153">
        <v>5</v>
      </c>
      <c r="AF3301" s="153">
        <v>2</v>
      </c>
      <c r="AG3301" s="337"/>
      <c r="AH3301" s="337"/>
      <c r="AI3301" s="337"/>
      <c r="AJ3301" s="337"/>
      <c r="AK3301" s="337"/>
      <c r="AL3301" s="234"/>
      <c r="AM3301" s="234"/>
      <c r="AN3301" s="476"/>
      <c r="AO3301" s="234"/>
      <c r="AP3301" s="234"/>
      <c r="AQ3301" s="3"/>
      <c r="AR3301" s="3"/>
      <c r="AS3301">
        <v>1</v>
      </c>
    </row>
    <row r="3302" spans="1:45">
      <c r="A3302" s="3">
        <v>619571</v>
      </c>
      <c r="B3302" s="128">
        <v>1001</v>
      </c>
      <c r="C3302" s="128">
        <v>6</v>
      </c>
      <c r="D3302" s="128">
        <v>1001</v>
      </c>
      <c r="E3302" s="128" t="s">
        <v>5550</v>
      </c>
      <c r="F3302" s="128" t="s">
        <v>5550</v>
      </c>
      <c r="G3302" s="128" t="s">
        <v>8160</v>
      </c>
      <c r="H3302" s="3" t="s">
        <v>1531</v>
      </c>
      <c r="I3302" s="3">
        <v>1</v>
      </c>
      <c r="J3302" s="3">
        <v>5</v>
      </c>
      <c r="K3302" s="3">
        <v>2</v>
      </c>
      <c r="L3302" s="3">
        <v>999</v>
      </c>
      <c r="M3302" s="3">
        <v>0</v>
      </c>
      <c r="N3302" s="3">
        <v>1018</v>
      </c>
      <c r="O3302" s="231" t="s">
        <v>8161</v>
      </c>
      <c r="P3302" s="3"/>
      <c r="Q3302" s="3"/>
      <c r="R3302" s="3"/>
      <c r="S3302" s="3">
        <v>1</v>
      </c>
      <c r="T3302" s="3">
        <v>5</v>
      </c>
      <c r="U3302" s="3">
        <v>100</v>
      </c>
      <c r="V3302" s="3"/>
      <c r="W3302" s="3">
        <v>1</v>
      </c>
      <c r="X3302" s="3">
        <v>1</v>
      </c>
      <c r="Y3302" s="3">
        <v>0</v>
      </c>
      <c r="Z3302" s="3">
        <v>0</v>
      </c>
      <c r="AA3302" s="3">
        <v>5</v>
      </c>
      <c r="AB3302" s="3">
        <v>2000</v>
      </c>
      <c r="AC3302" s="3">
        <v>70</v>
      </c>
      <c r="AD3302" s="153">
        <v>0</v>
      </c>
      <c r="AE3302" s="153">
        <v>5</v>
      </c>
      <c r="AF3302" s="153">
        <v>2</v>
      </c>
      <c r="AG3302" s="337"/>
      <c r="AH3302" s="337"/>
      <c r="AI3302" s="337"/>
      <c r="AJ3302" s="337"/>
      <c r="AK3302" s="337"/>
      <c r="AL3302" s="234"/>
      <c r="AM3302" s="234"/>
      <c r="AN3302" s="476"/>
      <c r="AO3302" s="234"/>
      <c r="AP3302" s="234"/>
      <c r="AQ3302" s="3"/>
      <c r="AR3302" s="3"/>
      <c r="AS3302">
        <v>1</v>
      </c>
    </row>
    <row r="3303" spans="1:45">
      <c r="A3303" s="3">
        <v>619572</v>
      </c>
      <c r="B3303" s="128">
        <v>1001</v>
      </c>
      <c r="C3303" s="128">
        <v>6</v>
      </c>
      <c r="D3303" s="128">
        <v>1001</v>
      </c>
      <c r="E3303" s="128" t="s">
        <v>8162</v>
      </c>
      <c r="F3303" s="128" t="s">
        <v>8162</v>
      </c>
      <c r="G3303" s="128" t="s">
        <v>8163</v>
      </c>
      <c r="H3303" s="3" t="s">
        <v>1667</v>
      </c>
      <c r="I3303" s="3">
        <v>1</v>
      </c>
      <c r="J3303" s="3">
        <v>5</v>
      </c>
      <c r="K3303" s="3">
        <v>2</v>
      </c>
      <c r="L3303" s="3">
        <v>999</v>
      </c>
      <c r="M3303" s="3">
        <v>0</v>
      </c>
      <c r="N3303" s="3">
        <v>1017</v>
      </c>
      <c r="O3303" s="231">
        <v>300096</v>
      </c>
      <c r="P3303" s="3"/>
      <c r="Q3303" s="3"/>
      <c r="R3303" s="3"/>
      <c r="S3303" s="3">
        <v>1</v>
      </c>
      <c r="T3303" s="3">
        <v>5</v>
      </c>
      <c r="U3303" s="3">
        <v>100</v>
      </c>
      <c r="V3303" s="3"/>
      <c r="W3303" s="3">
        <v>1</v>
      </c>
      <c r="X3303" s="3">
        <v>1</v>
      </c>
      <c r="Y3303" s="3">
        <v>0</v>
      </c>
      <c r="Z3303" s="3">
        <v>0</v>
      </c>
      <c r="AA3303" s="3">
        <v>5</v>
      </c>
      <c r="AB3303" s="3">
        <v>2000</v>
      </c>
      <c r="AC3303" s="3">
        <v>56</v>
      </c>
      <c r="AD3303" s="153">
        <v>0</v>
      </c>
      <c r="AE3303" s="153">
        <v>4</v>
      </c>
      <c r="AF3303" s="153">
        <v>2</v>
      </c>
      <c r="AG3303" s="337"/>
      <c r="AH3303" s="337"/>
      <c r="AI3303" s="337"/>
      <c r="AJ3303" s="337"/>
      <c r="AK3303" s="337"/>
      <c r="AL3303" s="234"/>
      <c r="AM3303" s="234"/>
      <c r="AN3303" s="476"/>
      <c r="AO3303" s="234"/>
      <c r="AP3303" s="234"/>
      <c r="AQ3303" s="3"/>
      <c r="AR3303" s="3"/>
      <c r="AS3303">
        <v>1</v>
      </c>
    </row>
    <row r="3304" spans="1:45">
      <c r="A3304" s="3">
        <v>619573</v>
      </c>
      <c r="B3304" s="128">
        <v>1001</v>
      </c>
      <c r="C3304" s="128">
        <v>6</v>
      </c>
      <c r="D3304" s="128">
        <v>1001</v>
      </c>
      <c r="E3304" s="128" t="s">
        <v>8164</v>
      </c>
      <c r="F3304" s="128" t="s">
        <v>8164</v>
      </c>
      <c r="G3304" s="128" t="s">
        <v>8165</v>
      </c>
      <c r="H3304" s="3" t="s">
        <v>1531</v>
      </c>
      <c r="I3304" s="3">
        <v>1</v>
      </c>
      <c r="J3304" s="3">
        <v>5</v>
      </c>
      <c r="K3304" s="3">
        <v>2</v>
      </c>
      <c r="L3304" s="3">
        <v>999</v>
      </c>
      <c r="M3304" s="3">
        <v>0</v>
      </c>
      <c r="N3304" s="3">
        <v>1018</v>
      </c>
      <c r="O3304" s="231" t="s">
        <v>8166</v>
      </c>
      <c r="P3304" s="3"/>
      <c r="Q3304" s="3"/>
      <c r="R3304" s="3"/>
      <c r="S3304" s="3">
        <v>1</v>
      </c>
      <c r="T3304" s="3">
        <v>5</v>
      </c>
      <c r="U3304" s="3">
        <v>100</v>
      </c>
      <c r="V3304" s="3"/>
      <c r="W3304" s="3">
        <v>1</v>
      </c>
      <c r="X3304" s="3">
        <v>1</v>
      </c>
      <c r="Y3304" s="3">
        <v>0</v>
      </c>
      <c r="Z3304" s="3">
        <v>0</v>
      </c>
      <c r="AA3304" s="3">
        <v>5</v>
      </c>
      <c r="AB3304" s="3">
        <v>2000</v>
      </c>
      <c r="AC3304" s="3">
        <v>70</v>
      </c>
      <c r="AD3304" s="153">
        <v>0</v>
      </c>
      <c r="AE3304" s="153">
        <v>5</v>
      </c>
      <c r="AF3304" s="153">
        <v>2</v>
      </c>
      <c r="AG3304" s="337"/>
      <c r="AH3304" s="337"/>
      <c r="AI3304" s="337"/>
      <c r="AJ3304" s="337"/>
      <c r="AK3304" s="337"/>
      <c r="AL3304" s="234"/>
      <c r="AM3304" s="234"/>
      <c r="AN3304" s="476"/>
      <c r="AO3304" s="234"/>
      <c r="AP3304" s="234"/>
      <c r="AQ3304" s="3"/>
      <c r="AR3304" s="3"/>
      <c r="AS3304">
        <v>1</v>
      </c>
    </row>
    <row r="3305" spans="1:45">
      <c r="A3305" s="3">
        <v>619574</v>
      </c>
      <c r="B3305" s="128">
        <v>1001</v>
      </c>
      <c r="C3305" s="128">
        <v>6</v>
      </c>
      <c r="D3305" s="128">
        <v>1001</v>
      </c>
      <c r="E3305" s="128" t="s">
        <v>7822</v>
      </c>
      <c r="F3305" s="128" t="s">
        <v>7822</v>
      </c>
      <c r="G3305" s="128" t="s">
        <v>8167</v>
      </c>
      <c r="H3305" s="3" t="s">
        <v>1531</v>
      </c>
      <c r="I3305" s="3">
        <v>1</v>
      </c>
      <c r="J3305" s="3">
        <v>5</v>
      </c>
      <c r="K3305" s="3">
        <v>2</v>
      </c>
      <c r="L3305" s="3">
        <v>999</v>
      </c>
      <c r="M3305" s="3">
        <v>0</v>
      </c>
      <c r="N3305" s="3">
        <v>1018</v>
      </c>
      <c r="O3305" s="231" t="s">
        <v>7824</v>
      </c>
      <c r="P3305" s="3"/>
      <c r="Q3305" s="3"/>
      <c r="R3305" s="3"/>
      <c r="S3305" s="3">
        <v>1</v>
      </c>
      <c r="T3305" s="3">
        <v>5</v>
      </c>
      <c r="U3305" s="3">
        <v>100</v>
      </c>
      <c r="V3305" s="3"/>
      <c r="W3305" s="3">
        <v>1</v>
      </c>
      <c r="X3305" s="3">
        <v>1</v>
      </c>
      <c r="Y3305" s="3">
        <v>0</v>
      </c>
      <c r="Z3305" s="3">
        <v>0</v>
      </c>
      <c r="AA3305" s="3">
        <v>5</v>
      </c>
      <c r="AB3305" s="3">
        <v>2000</v>
      </c>
      <c r="AC3305" s="3">
        <v>70</v>
      </c>
      <c r="AD3305" s="153">
        <v>0</v>
      </c>
      <c r="AE3305" s="153">
        <v>5</v>
      </c>
      <c r="AF3305" s="153">
        <v>2</v>
      </c>
      <c r="AG3305" s="337"/>
      <c r="AH3305" s="337"/>
      <c r="AI3305" s="337"/>
      <c r="AJ3305" s="337"/>
      <c r="AK3305" s="337"/>
      <c r="AL3305" s="234"/>
      <c r="AM3305" s="234"/>
      <c r="AN3305" s="476"/>
      <c r="AO3305" s="234"/>
      <c r="AP3305" s="234"/>
      <c r="AQ3305" s="3"/>
      <c r="AR3305" s="3"/>
      <c r="AS3305">
        <v>1</v>
      </c>
    </row>
    <row r="3306" spans="1:45">
      <c r="A3306" s="3">
        <v>619575</v>
      </c>
      <c r="B3306" s="128">
        <v>1001</v>
      </c>
      <c r="C3306" s="128">
        <v>6</v>
      </c>
      <c r="D3306" s="128">
        <v>1001</v>
      </c>
      <c r="E3306" s="128" t="s">
        <v>5550</v>
      </c>
      <c r="F3306" s="128" t="s">
        <v>5550</v>
      </c>
      <c r="G3306" s="128" t="s">
        <v>8168</v>
      </c>
      <c r="H3306" s="3" t="s">
        <v>1531</v>
      </c>
      <c r="I3306" s="3">
        <v>1</v>
      </c>
      <c r="J3306" s="3">
        <v>5</v>
      </c>
      <c r="K3306" s="3">
        <v>2</v>
      </c>
      <c r="L3306" s="3">
        <v>999</v>
      </c>
      <c r="M3306" s="3">
        <v>0</v>
      </c>
      <c r="N3306" s="3">
        <v>1018</v>
      </c>
      <c r="O3306" s="231" t="s">
        <v>8169</v>
      </c>
      <c r="P3306" s="3"/>
      <c r="Q3306" s="3"/>
      <c r="R3306" s="3"/>
      <c r="S3306" s="3">
        <v>1</v>
      </c>
      <c r="T3306" s="3">
        <v>5</v>
      </c>
      <c r="U3306" s="3">
        <v>100</v>
      </c>
      <c r="V3306" s="3"/>
      <c r="W3306" s="3">
        <v>1</v>
      </c>
      <c r="X3306" s="3">
        <v>1</v>
      </c>
      <c r="Y3306" s="3">
        <v>0</v>
      </c>
      <c r="Z3306" s="3">
        <v>0</v>
      </c>
      <c r="AA3306" s="3">
        <v>5</v>
      </c>
      <c r="AB3306" s="3">
        <v>2000</v>
      </c>
      <c r="AC3306" s="3">
        <v>70</v>
      </c>
      <c r="AD3306" s="153">
        <v>0</v>
      </c>
      <c r="AE3306" s="153">
        <v>5</v>
      </c>
      <c r="AF3306" s="153">
        <v>2</v>
      </c>
      <c r="AG3306" s="337"/>
      <c r="AH3306" s="337"/>
      <c r="AI3306" s="337"/>
      <c r="AJ3306" s="337"/>
      <c r="AK3306" s="337"/>
      <c r="AL3306" s="234"/>
      <c r="AM3306" s="234"/>
      <c r="AN3306" s="476"/>
      <c r="AO3306" s="234"/>
      <c r="AP3306" s="234"/>
      <c r="AQ3306" s="3"/>
      <c r="AR3306" s="3"/>
      <c r="AS3306">
        <v>1</v>
      </c>
    </row>
    <row r="3307" spans="1:45">
      <c r="A3307" s="3">
        <v>619576</v>
      </c>
      <c r="B3307" s="128">
        <v>1001</v>
      </c>
      <c r="C3307" s="128">
        <v>6</v>
      </c>
      <c r="D3307" s="128">
        <v>1001</v>
      </c>
      <c r="E3307" s="128" t="s">
        <v>8170</v>
      </c>
      <c r="F3307" s="128" t="s">
        <v>8170</v>
      </c>
      <c r="G3307" s="128" t="s">
        <v>8171</v>
      </c>
      <c r="H3307" s="3" t="s">
        <v>1531</v>
      </c>
      <c r="I3307" s="3">
        <v>1</v>
      </c>
      <c r="J3307" s="3">
        <v>5</v>
      </c>
      <c r="K3307" s="3">
        <v>2</v>
      </c>
      <c r="L3307" s="3">
        <v>999</v>
      </c>
      <c r="M3307" s="3">
        <v>0</v>
      </c>
      <c r="N3307" s="3">
        <v>1018</v>
      </c>
      <c r="O3307" s="231" t="s">
        <v>8172</v>
      </c>
      <c r="P3307" s="3"/>
      <c r="Q3307" s="3"/>
      <c r="R3307" s="3"/>
      <c r="S3307" s="3">
        <v>1</v>
      </c>
      <c r="T3307" s="3">
        <v>5</v>
      </c>
      <c r="U3307" s="3">
        <v>100</v>
      </c>
      <c r="V3307" s="3"/>
      <c r="W3307" s="3">
        <v>1</v>
      </c>
      <c r="X3307" s="3">
        <v>1</v>
      </c>
      <c r="Y3307" s="3">
        <v>0</v>
      </c>
      <c r="Z3307" s="3">
        <v>0</v>
      </c>
      <c r="AA3307" s="3">
        <v>5</v>
      </c>
      <c r="AB3307" s="3">
        <v>2000</v>
      </c>
      <c r="AC3307" s="3">
        <v>70</v>
      </c>
      <c r="AD3307" s="153">
        <v>0</v>
      </c>
      <c r="AE3307" s="153">
        <v>5</v>
      </c>
      <c r="AF3307" s="153">
        <v>2</v>
      </c>
      <c r="AG3307" s="337"/>
      <c r="AH3307" s="337"/>
      <c r="AI3307" s="337"/>
      <c r="AJ3307" s="337"/>
      <c r="AK3307" s="337"/>
      <c r="AL3307" s="234"/>
      <c r="AM3307" s="234"/>
      <c r="AN3307" s="476"/>
      <c r="AO3307" s="234"/>
      <c r="AP3307" s="234"/>
      <c r="AQ3307" s="3"/>
      <c r="AR3307" s="3"/>
      <c r="AS3307">
        <v>1</v>
      </c>
    </row>
    <row r="3308" spans="1:45">
      <c r="A3308" s="3">
        <v>619577</v>
      </c>
      <c r="B3308" s="128">
        <v>1001</v>
      </c>
      <c r="C3308" s="128">
        <v>6</v>
      </c>
      <c r="D3308" s="128">
        <v>1001</v>
      </c>
      <c r="E3308" s="128" t="s">
        <v>8173</v>
      </c>
      <c r="F3308" s="128" t="s">
        <v>8173</v>
      </c>
      <c r="G3308" s="128" t="s">
        <v>8174</v>
      </c>
      <c r="H3308" s="3" t="s">
        <v>1531</v>
      </c>
      <c r="I3308" s="3">
        <v>1</v>
      </c>
      <c r="J3308" s="3">
        <v>5</v>
      </c>
      <c r="K3308" s="3">
        <v>2</v>
      </c>
      <c r="L3308" s="3">
        <v>999</v>
      </c>
      <c r="M3308" s="3">
        <v>0</v>
      </c>
      <c r="N3308" s="3">
        <v>1018</v>
      </c>
      <c r="O3308" s="231" t="s">
        <v>8175</v>
      </c>
      <c r="P3308" s="3"/>
      <c r="Q3308" s="3"/>
      <c r="R3308" s="3"/>
      <c r="S3308" s="3">
        <v>1</v>
      </c>
      <c r="T3308" s="3">
        <v>5</v>
      </c>
      <c r="U3308" s="3">
        <v>100</v>
      </c>
      <c r="V3308" s="3"/>
      <c r="W3308" s="3">
        <v>1</v>
      </c>
      <c r="X3308" s="3">
        <v>1</v>
      </c>
      <c r="Y3308" s="3">
        <v>0</v>
      </c>
      <c r="Z3308" s="3">
        <v>0</v>
      </c>
      <c r="AA3308" s="3">
        <v>5</v>
      </c>
      <c r="AB3308" s="3">
        <v>2000</v>
      </c>
      <c r="AC3308" s="3">
        <v>70</v>
      </c>
      <c r="AD3308" s="153">
        <v>0</v>
      </c>
      <c r="AE3308" s="153">
        <v>5</v>
      </c>
      <c r="AF3308" s="153">
        <v>2</v>
      </c>
      <c r="AG3308" s="337"/>
      <c r="AH3308" s="337"/>
      <c r="AI3308" s="337"/>
      <c r="AJ3308" s="337"/>
      <c r="AK3308" s="337"/>
      <c r="AL3308" s="234"/>
      <c r="AM3308" s="234"/>
      <c r="AN3308" s="476"/>
      <c r="AO3308" s="234"/>
      <c r="AP3308" s="234"/>
      <c r="AQ3308" s="3"/>
      <c r="AR3308" s="3"/>
      <c r="AS3308">
        <v>1</v>
      </c>
    </row>
    <row r="3309" spans="1:45">
      <c r="A3309" s="3">
        <v>619578</v>
      </c>
      <c r="B3309" s="128">
        <v>1001</v>
      </c>
      <c r="C3309" s="128">
        <v>6</v>
      </c>
      <c r="D3309" s="128">
        <v>1001</v>
      </c>
      <c r="E3309" s="128" t="s">
        <v>5550</v>
      </c>
      <c r="F3309" s="128" t="s">
        <v>5550</v>
      </c>
      <c r="G3309" s="128" t="s">
        <v>8176</v>
      </c>
      <c r="H3309" s="3" t="s">
        <v>1531</v>
      </c>
      <c r="I3309" s="3">
        <v>1</v>
      </c>
      <c r="J3309" s="3">
        <v>5</v>
      </c>
      <c r="K3309" s="3">
        <v>2</v>
      </c>
      <c r="L3309" s="3">
        <v>999</v>
      </c>
      <c r="M3309" s="3">
        <v>0</v>
      </c>
      <c r="N3309" s="3">
        <v>1018</v>
      </c>
      <c r="O3309" s="231" t="s">
        <v>8177</v>
      </c>
      <c r="P3309" s="3"/>
      <c r="Q3309" s="3"/>
      <c r="R3309" s="3"/>
      <c r="S3309" s="3">
        <v>1</v>
      </c>
      <c r="T3309" s="3">
        <v>5</v>
      </c>
      <c r="U3309" s="3">
        <v>100</v>
      </c>
      <c r="V3309" s="3"/>
      <c r="W3309" s="3">
        <v>1</v>
      </c>
      <c r="X3309" s="3">
        <v>1</v>
      </c>
      <c r="Y3309" s="3">
        <v>0</v>
      </c>
      <c r="Z3309" s="3">
        <v>0</v>
      </c>
      <c r="AA3309" s="3">
        <v>5</v>
      </c>
      <c r="AB3309" s="3">
        <v>2000</v>
      </c>
      <c r="AC3309" s="3">
        <v>70</v>
      </c>
      <c r="AD3309" s="153">
        <v>0</v>
      </c>
      <c r="AE3309" s="153">
        <v>5</v>
      </c>
      <c r="AF3309" s="153">
        <v>2</v>
      </c>
      <c r="AG3309" s="337"/>
      <c r="AH3309" s="337"/>
      <c r="AI3309" s="337"/>
      <c r="AJ3309" s="337"/>
      <c r="AK3309" s="337"/>
      <c r="AL3309" s="234"/>
      <c r="AM3309" s="234"/>
      <c r="AN3309" s="476"/>
      <c r="AO3309" s="234"/>
      <c r="AP3309" s="234"/>
      <c r="AQ3309" s="3"/>
      <c r="AR3309" s="3"/>
      <c r="AS3309">
        <v>1</v>
      </c>
    </row>
    <row r="3310" spans="1:45">
      <c r="A3310" s="3">
        <v>619579</v>
      </c>
      <c r="B3310" s="128">
        <v>1001</v>
      </c>
      <c r="C3310" s="128">
        <v>6</v>
      </c>
      <c r="D3310" s="128">
        <v>1001</v>
      </c>
      <c r="E3310" s="128" t="s">
        <v>7914</v>
      </c>
      <c r="F3310" s="128" t="s">
        <v>7914</v>
      </c>
      <c r="G3310" s="128" t="s">
        <v>8178</v>
      </c>
      <c r="H3310" s="3" t="s">
        <v>1825</v>
      </c>
      <c r="I3310" s="3">
        <v>1</v>
      </c>
      <c r="J3310" s="3">
        <v>5</v>
      </c>
      <c r="K3310" s="3">
        <v>2</v>
      </c>
      <c r="L3310" s="3">
        <v>999</v>
      </c>
      <c r="M3310" s="3">
        <v>0</v>
      </c>
      <c r="N3310" s="3">
        <v>1</v>
      </c>
      <c r="O3310" s="231" t="s">
        <v>8179</v>
      </c>
      <c r="P3310" s="3"/>
      <c r="Q3310" s="3"/>
      <c r="R3310" s="3"/>
      <c r="S3310" s="3">
        <v>1</v>
      </c>
      <c r="T3310" s="3">
        <v>5</v>
      </c>
      <c r="U3310" s="3">
        <v>100</v>
      </c>
      <c r="V3310" s="3"/>
      <c r="W3310" s="3">
        <v>1</v>
      </c>
      <c r="X3310" s="3">
        <v>1</v>
      </c>
      <c r="Y3310" s="3">
        <v>0</v>
      </c>
      <c r="Z3310" s="3">
        <v>0</v>
      </c>
      <c r="AA3310" s="3">
        <v>5</v>
      </c>
      <c r="AB3310" s="3">
        <v>2000</v>
      </c>
      <c r="AC3310" s="3">
        <v>56</v>
      </c>
      <c r="AD3310" s="153">
        <v>0</v>
      </c>
      <c r="AE3310" s="153">
        <v>4</v>
      </c>
      <c r="AF3310" s="153">
        <v>2</v>
      </c>
      <c r="AG3310" s="337"/>
      <c r="AH3310" s="337"/>
      <c r="AI3310" s="337"/>
      <c r="AJ3310" s="337"/>
      <c r="AK3310" s="337"/>
      <c r="AL3310" s="234"/>
      <c r="AM3310" s="234"/>
      <c r="AN3310" s="476"/>
      <c r="AO3310" s="234"/>
      <c r="AP3310" s="234"/>
      <c r="AQ3310" s="3"/>
      <c r="AR3310" s="3"/>
      <c r="AS3310">
        <v>1</v>
      </c>
    </row>
    <row r="3311" spans="1:45">
      <c r="A3311" s="3">
        <v>619580</v>
      </c>
      <c r="B3311" s="128">
        <v>1001</v>
      </c>
      <c r="C3311" s="128">
        <v>6</v>
      </c>
      <c r="D3311" s="128">
        <v>1001</v>
      </c>
      <c r="E3311" s="128" t="s">
        <v>7872</v>
      </c>
      <c r="F3311" s="128" t="s">
        <v>7872</v>
      </c>
      <c r="G3311" s="128" t="s">
        <v>8180</v>
      </c>
      <c r="H3311" s="3" t="s">
        <v>1594</v>
      </c>
      <c r="I3311" s="3">
        <v>1</v>
      </c>
      <c r="J3311" s="3">
        <v>5</v>
      </c>
      <c r="K3311" s="3">
        <v>2</v>
      </c>
      <c r="L3311" s="3">
        <v>999</v>
      </c>
      <c r="M3311" s="3">
        <v>0</v>
      </c>
      <c r="N3311" s="3">
        <v>1017</v>
      </c>
      <c r="O3311" s="231">
        <v>300097</v>
      </c>
      <c r="P3311" s="3"/>
      <c r="Q3311" s="3"/>
      <c r="R3311" s="3"/>
      <c r="S3311" s="3">
        <v>1</v>
      </c>
      <c r="T3311" s="3">
        <v>5</v>
      </c>
      <c r="U3311" s="3">
        <v>100</v>
      </c>
      <c r="V3311" s="3"/>
      <c r="W3311" s="3">
        <v>1</v>
      </c>
      <c r="X3311" s="3">
        <v>1</v>
      </c>
      <c r="Y3311" s="3">
        <v>0</v>
      </c>
      <c r="Z3311" s="3">
        <v>0</v>
      </c>
      <c r="AA3311" s="3">
        <v>5</v>
      </c>
      <c r="AB3311" s="3">
        <v>2000</v>
      </c>
      <c r="AC3311" s="3">
        <v>56</v>
      </c>
      <c r="AD3311" s="153">
        <v>0</v>
      </c>
      <c r="AE3311" s="153">
        <v>4</v>
      </c>
      <c r="AF3311" s="153">
        <v>2</v>
      </c>
      <c r="AG3311" s="337"/>
      <c r="AH3311" s="337"/>
      <c r="AI3311" s="337"/>
      <c r="AJ3311" s="337"/>
      <c r="AK3311" s="337"/>
      <c r="AL3311" s="234"/>
      <c r="AM3311" s="234"/>
      <c r="AN3311" s="476"/>
      <c r="AO3311" s="234"/>
      <c r="AP3311" s="234"/>
      <c r="AQ3311" s="3"/>
      <c r="AR3311" s="3"/>
      <c r="AS3311">
        <v>1</v>
      </c>
    </row>
    <row r="3312" spans="1:45">
      <c r="A3312" s="3">
        <v>619581</v>
      </c>
      <c r="B3312" s="128">
        <v>1001</v>
      </c>
      <c r="C3312" s="128">
        <v>6</v>
      </c>
      <c r="D3312" s="128">
        <v>1001</v>
      </c>
      <c r="E3312" s="128" t="s">
        <v>8181</v>
      </c>
      <c r="F3312" s="128" t="s">
        <v>8181</v>
      </c>
      <c r="G3312" s="128" t="s">
        <v>8182</v>
      </c>
      <c r="H3312" s="3" t="s">
        <v>7193</v>
      </c>
      <c r="I3312" s="3">
        <v>1</v>
      </c>
      <c r="J3312" s="3">
        <v>5</v>
      </c>
      <c r="K3312" s="3">
        <v>2</v>
      </c>
      <c r="L3312" s="3">
        <v>999</v>
      </c>
      <c r="M3312" s="3">
        <v>0</v>
      </c>
      <c r="N3312" s="3">
        <v>1017</v>
      </c>
      <c r="O3312" s="231">
        <v>300098</v>
      </c>
      <c r="P3312" s="3"/>
      <c r="Q3312" s="3"/>
      <c r="R3312" s="3"/>
      <c r="S3312" s="3">
        <v>1</v>
      </c>
      <c r="T3312" s="3">
        <v>5</v>
      </c>
      <c r="U3312" s="3">
        <v>100</v>
      </c>
      <c r="V3312" s="3"/>
      <c r="W3312" s="3">
        <v>1</v>
      </c>
      <c r="X3312" s="3">
        <v>1</v>
      </c>
      <c r="Y3312" s="3">
        <v>0</v>
      </c>
      <c r="Z3312" s="3">
        <v>0</v>
      </c>
      <c r="AA3312" s="3">
        <v>5</v>
      </c>
      <c r="AB3312" s="3">
        <v>2000</v>
      </c>
      <c r="AC3312" s="3">
        <v>56</v>
      </c>
      <c r="AD3312" s="153">
        <v>0</v>
      </c>
      <c r="AE3312" s="153">
        <v>4</v>
      </c>
      <c r="AF3312" s="153">
        <v>2</v>
      </c>
      <c r="AG3312" s="337"/>
      <c r="AH3312" s="337"/>
      <c r="AI3312" s="337"/>
      <c r="AJ3312" s="337"/>
      <c r="AK3312" s="337"/>
      <c r="AL3312" s="234"/>
      <c r="AM3312" s="234"/>
      <c r="AN3312" s="476"/>
      <c r="AO3312" s="234"/>
      <c r="AP3312" s="234"/>
      <c r="AQ3312" s="3"/>
      <c r="AR3312" s="3"/>
      <c r="AS3312">
        <v>1</v>
      </c>
    </row>
    <row r="3313" spans="1:45">
      <c r="A3313" s="3">
        <v>619582</v>
      </c>
      <c r="B3313" s="128">
        <v>1001</v>
      </c>
      <c r="C3313" s="128">
        <v>6</v>
      </c>
      <c r="D3313" s="128">
        <v>1001</v>
      </c>
      <c r="E3313" s="128" t="s">
        <v>8183</v>
      </c>
      <c r="F3313" s="128" t="s">
        <v>8183</v>
      </c>
      <c r="G3313" s="128" t="s">
        <v>8184</v>
      </c>
      <c r="H3313" s="3" t="s">
        <v>204</v>
      </c>
      <c r="I3313" s="3">
        <v>1</v>
      </c>
      <c r="J3313" s="3">
        <v>5</v>
      </c>
      <c r="K3313" s="3">
        <v>2</v>
      </c>
      <c r="L3313" s="3">
        <v>999</v>
      </c>
      <c r="M3313" s="3">
        <v>0</v>
      </c>
      <c r="N3313" s="3">
        <v>1018</v>
      </c>
      <c r="O3313" s="231" t="s">
        <v>8185</v>
      </c>
      <c r="P3313" s="3"/>
      <c r="Q3313" s="3"/>
      <c r="R3313" s="3"/>
      <c r="S3313" s="3">
        <v>1</v>
      </c>
      <c r="T3313" s="3">
        <v>5</v>
      </c>
      <c r="U3313" s="3">
        <v>200</v>
      </c>
      <c r="V3313" s="3"/>
      <c r="W3313" s="3">
        <v>1</v>
      </c>
      <c r="X3313" s="3">
        <v>1</v>
      </c>
      <c r="Y3313" s="3">
        <v>0</v>
      </c>
      <c r="Z3313" s="3">
        <v>0</v>
      </c>
      <c r="AA3313" s="3">
        <v>5</v>
      </c>
      <c r="AB3313" s="3">
        <v>2000</v>
      </c>
      <c r="AC3313" s="3">
        <v>56</v>
      </c>
      <c r="AD3313" s="153">
        <v>0</v>
      </c>
      <c r="AE3313" s="153">
        <v>5</v>
      </c>
      <c r="AF3313" s="153">
        <v>2</v>
      </c>
      <c r="AG3313" s="337"/>
      <c r="AH3313" s="337"/>
      <c r="AI3313" s="337"/>
      <c r="AJ3313" s="337"/>
      <c r="AK3313" s="337"/>
      <c r="AL3313" s="234"/>
      <c r="AM3313" s="234"/>
      <c r="AN3313" s="476"/>
      <c r="AO3313" s="234"/>
      <c r="AP3313" s="234"/>
      <c r="AQ3313" s="3"/>
      <c r="AR3313" s="3"/>
      <c r="AS3313">
        <v>1</v>
      </c>
    </row>
    <row r="3314" spans="1:45">
      <c r="A3314" s="3">
        <v>619583</v>
      </c>
      <c r="B3314" s="128">
        <v>1001</v>
      </c>
      <c r="C3314" s="128">
        <v>6</v>
      </c>
      <c r="D3314" s="128">
        <v>1001</v>
      </c>
      <c r="E3314" s="128" t="s">
        <v>8186</v>
      </c>
      <c r="F3314" s="128" t="s">
        <v>8186</v>
      </c>
      <c r="G3314" s="128" t="s">
        <v>8187</v>
      </c>
      <c r="H3314" s="3" t="s">
        <v>1531</v>
      </c>
      <c r="I3314" s="3">
        <v>1</v>
      </c>
      <c r="J3314" s="3">
        <v>5</v>
      </c>
      <c r="K3314" s="3">
        <v>2</v>
      </c>
      <c r="L3314" s="3">
        <v>999</v>
      </c>
      <c r="M3314" s="3">
        <v>0</v>
      </c>
      <c r="N3314" s="3">
        <v>1018</v>
      </c>
      <c r="O3314" s="231" t="s">
        <v>8188</v>
      </c>
      <c r="P3314" s="3"/>
      <c r="Q3314" s="3"/>
      <c r="R3314" s="3"/>
      <c r="S3314" s="3">
        <v>1</v>
      </c>
      <c r="T3314" s="3">
        <v>5</v>
      </c>
      <c r="U3314" s="3">
        <v>100</v>
      </c>
      <c r="V3314" s="3"/>
      <c r="W3314" s="3">
        <v>1</v>
      </c>
      <c r="X3314" s="3">
        <v>1</v>
      </c>
      <c r="Y3314" s="3">
        <v>0</v>
      </c>
      <c r="Z3314" s="3">
        <v>0</v>
      </c>
      <c r="AA3314" s="3">
        <v>5</v>
      </c>
      <c r="AB3314" s="3">
        <v>2000</v>
      </c>
      <c r="AC3314" s="3">
        <v>70</v>
      </c>
      <c r="AD3314" s="153">
        <v>0</v>
      </c>
      <c r="AE3314" s="153">
        <v>5</v>
      </c>
      <c r="AF3314" s="153">
        <v>2</v>
      </c>
      <c r="AG3314" s="337"/>
      <c r="AH3314" s="337"/>
      <c r="AI3314" s="337"/>
      <c r="AJ3314" s="337"/>
      <c r="AK3314" s="337"/>
      <c r="AL3314" s="234"/>
      <c r="AM3314" s="234"/>
      <c r="AN3314" s="476"/>
      <c r="AO3314" s="234"/>
      <c r="AP3314" s="234"/>
      <c r="AQ3314" s="3"/>
      <c r="AR3314" s="3"/>
      <c r="AS3314">
        <v>1</v>
      </c>
    </row>
    <row r="3315" spans="1:45">
      <c r="A3315" s="3">
        <v>619584</v>
      </c>
      <c r="B3315" s="128">
        <v>1001</v>
      </c>
      <c r="C3315" s="128">
        <v>1</v>
      </c>
      <c r="D3315" s="128">
        <v>1001</v>
      </c>
      <c r="E3315" s="128" t="s">
        <v>8189</v>
      </c>
      <c r="F3315" s="128" t="s">
        <v>8189</v>
      </c>
      <c r="G3315" s="128" t="s">
        <v>8190</v>
      </c>
      <c r="H3315" s="3" t="s">
        <v>5485</v>
      </c>
      <c r="I3315" s="3">
        <v>1</v>
      </c>
      <c r="J3315" s="3">
        <v>5</v>
      </c>
      <c r="K3315" s="3">
        <v>1</v>
      </c>
      <c r="L3315" s="3">
        <v>999</v>
      </c>
      <c r="M3315" s="3">
        <v>0</v>
      </c>
      <c r="N3315" s="3"/>
      <c r="O3315" s="231"/>
      <c r="P3315" s="3"/>
      <c r="Q3315" s="3"/>
      <c r="R3315" s="3"/>
      <c r="S3315" s="3">
        <v>1</v>
      </c>
      <c r="T3315" s="3">
        <v>5</v>
      </c>
      <c r="U3315" s="3">
        <v>200</v>
      </c>
      <c r="V3315" s="3">
        <v>1</v>
      </c>
      <c r="W3315" s="3">
        <v>1</v>
      </c>
      <c r="X3315" s="3">
        <v>1</v>
      </c>
      <c r="Y3315" s="3">
        <v>0</v>
      </c>
      <c r="Z3315" s="3">
        <v>0</v>
      </c>
      <c r="AA3315" s="3">
        <v>5</v>
      </c>
      <c r="AB3315" s="3">
        <v>1000</v>
      </c>
      <c r="AC3315" s="3">
        <v>900</v>
      </c>
      <c r="AD3315" s="153">
        <v>0</v>
      </c>
      <c r="AE3315" s="153">
        <v>4</v>
      </c>
      <c r="AF3315" s="153">
        <v>2</v>
      </c>
      <c r="AG3315" s="337"/>
      <c r="AH3315" s="337"/>
      <c r="AI3315" s="337"/>
      <c r="AJ3315" s="337"/>
      <c r="AK3315" s="337"/>
      <c r="AL3315" s="234">
        <v>1</v>
      </c>
      <c r="AM3315" s="234"/>
      <c r="AN3315" s="476"/>
      <c r="AO3315" s="234"/>
      <c r="AP3315" s="234"/>
      <c r="AQ3315" s="3"/>
      <c r="AR3315" s="3">
        <v>1</v>
      </c>
      <c r="AS3315">
        <v>1</v>
      </c>
    </row>
    <row r="3316" spans="1:45">
      <c r="A3316" s="3">
        <v>619585</v>
      </c>
      <c r="B3316" s="128">
        <v>1001</v>
      </c>
      <c r="C3316" s="128">
        <v>1</v>
      </c>
      <c r="D3316" s="128">
        <v>1001</v>
      </c>
      <c r="E3316" s="128" t="s">
        <v>8191</v>
      </c>
      <c r="F3316" s="128" t="s">
        <v>8191</v>
      </c>
      <c r="G3316" s="128" t="s">
        <v>8192</v>
      </c>
      <c r="H3316" s="3" t="s">
        <v>5487</v>
      </c>
      <c r="I3316" s="3">
        <v>1</v>
      </c>
      <c r="J3316" s="3">
        <v>5</v>
      </c>
      <c r="K3316" s="3">
        <v>1</v>
      </c>
      <c r="L3316" s="3">
        <v>999</v>
      </c>
      <c r="M3316" s="3">
        <v>0</v>
      </c>
      <c r="N3316" s="3"/>
      <c r="O3316" s="231"/>
      <c r="P3316" s="3"/>
      <c r="Q3316" s="3"/>
      <c r="R3316" s="3"/>
      <c r="S3316" s="3">
        <v>1</v>
      </c>
      <c r="T3316" s="3">
        <v>5</v>
      </c>
      <c r="U3316" s="3">
        <v>200</v>
      </c>
      <c r="V3316" s="3">
        <v>1</v>
      </c>
      <c r="W3316" s="3">
        <v>1</v>
      </c>
      <c r="X3316" s="3">
        <v>1</v>
      </c>
      <c r="Y3316" s="3">
        <v>0</v>
      </c>
      <c r="Z3316" s="3">
        <v>0</v>
      </c>
      <c r="AA3316" s="3">
        <v>5</v>
      </c>
      <c r="AB3316" s="3">
        <v>1000</v>
      </c>
      <c r="AC3316" s="3">
        <v>900</v>
      </c>
      <c r="AD3316" s="153">
        <v>0</v>
      </c>
      <c r="AE3316" s="153">
        <v>4</v>
      </c>
      <c r="AF3316" s="153">
        <v>2</v>
      </c>
      <c r="AG3316" s="337"/>
      <c r="AH3316" s="337"/>
      <c r="AI3316" s="337"/>
      <c r="AJ3316" s="337"/>
      <c r="AK3316" s="337"/>
      <c r="AL3316" s="234">
        <v>1</v>
      </c>
      <c r="AM3316" s="234"/>
      <c r="AN3316" s="476"/>
      <c r="AO3316" s="234"/>
      <c r="AP3316" s="234"/>
      <c r="AQ3316" s="3"/>
      <c r="AR3316" s="3">
        <v>1</v>
      </c>
      <c r="AS3316">
        <v>1</v>
      </c>
    </row>
    <row r="3317" spans="1:45">
      <c r="A3317" s="3">
        <v>619586</v>
      </c>
      <c r="B3317" s="128">
        <v>1001</v>
      </c>
      <c r="C3317" s="128">
        <v>6</v>
      </c>
      <c r="D3317" s="128">
        <v>1001</v>
      </c>
      <c r="E3317" s="128" t="s">
        <v>8193</v>
      </c>
      <c r="F3317" s="128" t="s">
        <v>8193</v>
      </c>
      <c r="G3317" s="128" t="s">
        <v>8194</v>
      </c>
      <c r="H3317" s="3" t="s">
        <v>1667</v>
      </c>
      <c r="I3317" s="3">
        <v>1</v>
      </c>
      <c r="J3317" s="3">
        <v>5</v>
      </c>
      <c r="K3317" s="3">
        <v>2</v>
      </c>
      <c r="L3317" s="3">
        <v>999</v>
      </c>
      <c r="M3317" s="3">
        <v>0</v>
      </c>
      <c r="N3317" s="3">
        <v>1017</v>
      </c>
      <c r="O3317" s="231">
        <v>300100</v>
      </c>
      <c r="P3317" s="3"/>
      <c r="Q3317" s="3"/>
      <c r="R3317" s="3"/>
      <c r="S3317" s="3">
        <v>1</v>
      </c>
      <c r="T3317" s="3">
        <v>5</v>
      </c>
      <c r="U3317" s="3">
        <v>100</v>
      </c>
      <c r="V3317" s="3"/>
      <c r="W3317" s="3">
        <v>1</v>
      </c>
      <c r="X3317" s="3">
        <v>1</v>
      </c>
      <c r="Y3317" s="3">
        <v>0</v>
      </c>
      <c r="Z3317" s="3">
        <v>0</v>
      </c>
      <c r="AA3317" s="3">
        <v>5</v>
      </c>
      <c r="AB3317" s="3">
        <v>2000</v>
      </c>
      <c r="AC3317" s="3">
        <v>56</v>
      </c>
      <c r="AD3317" s="153">
        <v>0</v>
      </c>
      <c r="AE3317" s="153">
        <v>4</v>
      </c>
      <c r="AF3317" s="153">
        <v>2</v>
      </c>
      <c r="AG3317" s="337"/>
      <c r="AH3317" s="337"/>
      <c r="AI3317" s="337"/>
      <c r="AJ3317" s="337"/>
      <c r="AK3317" s="337"/>
      <c r="AL3317" s="234"/>
      <c r="AM3317" s="234"/>
      <c r="AN3317" s="476"/>
      <c r="AO3317" s="234"/>
      <c r="AP3317" s="234"/>
      <c r="AQ3317" s="3"/>
      <c r="AR3317" s="3"/>
      <c r="AS3317">
        <v>1</v>
      </c>
    </row>
    <row r="3318" spans="1:45">
      <c r="A3318" s="3">
        <v>619587</v>
      </c>
      <c r="B3318" s="128">
        <v>1001</v>
      </c>
      <c r="C3318" s="128">
        <v>6</v>
      </c>
      <c r="D3318" s="128">
        <v>1001</v>
      </c>
      <c r="E3318" s="128" t="s">
        <v>8195</v>
      </c>
      <c r="F3318" s="128" t="s">
        <v>8195</v>
      </c>
      <c r="G3318" s="128" t="s">
        <v>8196</v>
      </c>
      <c r="H3318" s="3" t="s">
        <v>1531</v>
      </c>
      <c r="I3318" s="3">
        <v>1</v>
      </c>
      <c r="J3318" s="3">
        <v>5</v>
      </c>
      <c r="K3318" s="3">
        <v>2</v>
      </c>
      <c r="L3318" s="3">
        <v>999</v>
      </c>
      <c r="M3318" s="3">
        <v>0</v>
      </c>
      <c r="N3318" s="3">
        <v>1018</v>
      </c>
      <c r="O3318" s="231" t="s">
        <v>8166</v>
      </c>
      <c r="P3318" s="3"/>
      <c r="Q3318" s="3"/>
      <c r="R3318" s="3"/>
      <c r="S3318" s="3">
        <v>1</v>
      </c>
      <c r="T3318" s="3">
        <v>5</v>
      </c>
      <c r="U3318" s="3">
        <v>100</v>
      </c>
      <c r="V3318" s="3"/>
      <c r="W3318" s="3">
        <v>1</v>
      </c>
      <c r="X3318" s="3">
        <v>1</v>
      </c>
      <c r="Y3318" s="3">
        <v>0</v>
      </c>
      <c r="Z3318" s="3">
        <v>0</v>
      </c>
      <c r="AA3318" s="3">
        <v>5</v>
      </c>
      <c r="AB3318" s="3">
        <v>2000</v>
      </c>
      <c r="AC3318" s="3">
        <v>70</v>
      </c>
      <c r="AD3318" s="153">
        <v>0</v>
      </c>
      <c r="AE3318" s="153">
        <v>5</v>
      </c>
      <c r="AF3318" s="153">
        <v>2</v>
      </c>
      <c r="AG3318" s="337"/>
      <c r="AH3318" s="337"/>
      <c r="AI3318" s="337"/>
      <c r="AJ3318" s="337"/>
      <c r="AK3318" s="337"/>
      <c r="AL3318" s="234"/>
      <c r="AM3318" s="234"/>
      <c r="AN3318" s="476"/>
      <c r="AO3318" s="234"/>
      <c r="AP3318" s="234"/>
      <c r="AQ3318" s="3"/>
      <c r="AR3318" s="3"/>
      <c r="AS3318">
        <v>1</v>
      </c>
    </row>
    <row r="3319" spans="1:45">
      <c r="A3319" s="3">
        <v>619588</v>
      </c>
      <c r="B3319" s="128">
        <v>1001</v>
      </c>
      <c r="C3319" s="128">
        <v>6</v>
      </c>
      <c r="D3319" s="128">
        <v>1001</v>
      </c>
      <c r="E3319" s="128" t="s">
        <v>5550</v>
      </c>
      <c r="F3319" s="128" t="s">
        <v>5550</v>
      </c>
      <c r="G3319" s="128" t="s">
        <v>8197</v>
      </c>
      <c r="H3319" s="3" t="s">
        <v>1531</v>
      </c>
      <c r="I3319" s="3">
        <v>1</v>
      </c>
      <c r="J3319" s="3">
        <v>5</v>
      </c>
      <c r="K3319" s="3">
        <v>2</v>
      </c>
      <c r="L3319" s="3">
        <v>999</v>
      </c>
      <c r="M3319" s="3">
        <v>0</v>
      </c>
      <c r="N3319" s="3">
        <v>1018</v>
      </c>
      <c r="O3319" s="231" t="s">
        <v>8198</v>
      </c>
      <c r="P3319" s="3"/>
      <c r="Q3319" s="3"/>
      <c r="R3319" s="3"/>
      <c r="S3319" s="3">
        <v>1</v>
      </c>
      <c r="T3319" s="3">
        <v>5</v>
      </c>
      <c r="U3319" s="3">
        <v>100</v>
      </c>
      <c r="V3319" s="3"/>
      <c r="W3319" s="3">
        <v>1</v>
      </c>
      <c r="X3319" s="3">
        <v>1</v>
      </c>
      <c r="Y3319" s="3">
        <v>0</v>
      </c>
      <c r="Z3319" s="3">
        <v>0</v>
      </c>
      <c r="AA3319" s="3">
        <v>5</v>
      </c>
      <c r="AB3319" s="3">
        <v>2000</v>
      </c>
      <c r="AC3319" s="3">
        <v>70</v>
      </c>
      <c r="AD3319" s="153">
        <v>0</v>
      </c>
      <c r="AE3319" s="153">
        <v>5</v>
      </c>
      <c r="AF3319" s="153">
        <v>2</v>
      </c>
      <c r="AG3319" s="337"/>
      <c r="AH3319" s="337"/>
      <c r="AI3319" s="337"/>
      <c r="AJ3319" s="337"/>
      <c r="AK3319" s="337"/>
      <c r="AL3319" s="234"/>
      <c r="AM3319" s="234"/>
      <c r="AN3319" s="476"/>
      <c r="AO3319" s="234"/>
      <c r="AP3319" s="234"/>
      <c r="AQ3319" s="3"/>
      <c r="AR3319" s="3"/>
      <c r="AS3319">
        <v>1</v>
      </c>
    </row>
    <row r="3320" spans="1:45">
      <c r="A3320" s="3">
        <v>619589</v>
      </c>
      <c r="B3320" s="128">
        <v>1001</v>
      </c>
      <c r="C3320" s="128">
        <v>6</v>
      </c>
      <c r="D3320" s="128">
        <v>1001</v>
      </c>
      <c r="E3320" s="128" t="s">
        <v>5550</v>
      </c>
      <c r="F3320" s="128" t="s">
        <v>5550</v>
      </c>
      <c r="G3320" s="128" t="s">
        <v>8199</v>
      </c>
      <c r="H3320" s="3" t="s">
        <v>1531</v>
      </c>
      <c r="I3320" s="3">
        <v>1</v>
      </c>
      <c r="J3320" s="3">
        <v>5</v>
      </c>
      <c r="K3320" s="3">
        <v>2</v>
      </c>
      <c r="L3320" s="3">
        <v>999</v>
      </c>
      <c r="M3320" s="3">
        <v>0</v>
      </c>
      <c r="N3320" s="3">
        <v>1018</v>
      </c>
      <c r="O3320" s="231" t="s">
        <v>8200</v>
      </c>
      <c r="P3320" s="3"/>
      <c r="Q3320" s="3"/>
      <c r="R3320" s="3"/>
      <c r="S3320" s="3">
        <v>1</v>
      </c>
      <c r="T3320" s="3">
        <v>5</v>
      </c>
      <c r="U3320" s="3">
        <v>100</v>
      </c>
      <c r="V3320" s="3"/>
      <c r="W3320" s="3">
        <v>1</v>
      </c>
      <c r="X3320" s="3">
        <v>1</v>
      </c>
      <c r="Y3320" s="3">
        <v>0</v>
      </c>
      <c r="Z3320" s="3">
        <v>0</v>
      </c>
      <c r="AA3320" s="3">
        <v>5</v>
      </c>
      <c r="AB3320" s="3">
        <v>2000</v>
      </c>
      <c r="AC3320" s="3">
        <v>70</v>
      </c>
      <c r="AD3320" s="153">
        <v>0</v>
      </c>
      <c r="AE3320" s="153">
        <v>5</v>
      </c>
      <c r="AF3320" s="153">
        <v>2</v>
      </c>
      <c r="AG3320" s="337"/>
      <c r="AH3320" s="337"/>
      <c r="AI3320" s="337"/>
      <c r="AJ3320" s="337"/>
      <c r="AK3320" s="337"/>
      <c r="AL3320" s="234"/>
      <c r="AM3320" s="234"/>
      <c r="AN3320" s="476"/>
      <c r="AO3320" s="234"/>
      <c r="AP3320" s="234"/>
      <c r="AQ3320" s="3"/>
      <c r="AR3320" s="3"/>
      <c r="AS3320">
        <v>1</v>
      </c>
    </row>
    <row r="3321" spans="1:45">
      <c r="A3321" s="3">
        <v>619590</v>
      </c>
      <c r="B3321" s="128">
        <v>1001</v>
      </c>
      <c r="C3321" s="128">
        <v>6</v>
      </c>
      <c r="D3321" s="128">
        <v>1001</v>
      </c>
      <c r="E3321" s="128" t="s">
        <v>5550</v>
      </c>
      <c r="F3321" s="128" t="s">
        <v>5550</v>
      </c>
      <c r="G3321" s="128" t="s">
        <v>8201</v>
      </c>
      <c r="H3321" s="3" t="s">
        <v>1531</v>
      </c>
      <c r="I3321" s="3">
        <v>1</v>
      </c>
      <c r="J3321" s="3">
        <v>5</v>
      </c>
      <c r="K3321" s="3">
        <v>2</v>
      </c>
      <c r="L3321" s="3">
        <v>999</v>
      </c>
      <c r="M3321" s="3">
        <v>0</v>
      </c>
      <c r="N3321" s="3">
        <v>1018</v>
      </c>
      <c r="O3321" s="231" t="s">
        <v>8202</v>
      </c>
      <c r="P3321" s="3"/>
      <c r="Q3321" s="3"/>
      <c r="R3321" s="3"/>
      <c r="S3321" s="3">
        <v>1</v>
      </c>
      <c r="T3321" s="3">
        <v>5</v>
      </c>
      <c r="U3321" s="3">
        <v>100</v>
      </c>
      <c r="V3321" s="3"/>
      <c r="W3321" s="3">
        <v>1</v>
      </c>
      <c r="X3321" s="3">
        <v>1</v>
      </c>
      <c r="Y3321" s="3">
        <v>0</v>
      </c>
      <c r="Z3321" s="3">
        <v>0</v>
      </c>
      <c r="AA3321" s="3">
        <v>5</v>
      </c>
      <c r="AB3321" s="3">
        <v>2000</v>
      </c>
      <c r="AC3321" s="3">
        <v>70</v>
      </c>
      <c r="AD3321" s="153">
        <v>0</v>
      </c>
      <c r="AE3321" s="153">
        <v>5</v>
      </c>
      <c r="AF3321" s="153">
        <v>2</v>
      </c>
      <c r="AG3321" s="337"/>
      <c r="AH3321" s="337"/>
      <c r="AI3321" s="337"/>
      <c r="AJ3321" s="337"/>
      <c r="AK3321" s="337"/>
      <c r="AL3321" s="234"/>
      <c r="AM3321" s="234"/>
      <c r="AN3321" s="476"/>
      <c r="AO3321" s="234"/>
      <c r="AP3321" s="234"/>
      <c r="AQ3321" s="3"/>
      <c r="AR3321" s="3"/>
      <c r="AS3321">
        <v>1</v>
      </c>
    </row>
    <row r="3322" spans="1:45">
      <c r="A3322" s="3">
        <v>619591</v>
      </c>
      <c r="B3322" s="128">
        <v>1001</v>
      </c>
      <c r="C3322" s="128">
        <v>6</v>
      </c>
      <c r="D3322" s="128">
        <v>1001</v>
      </c>
      <c r="E3322" s="128" t="s">
        <v>8203</v>
      </c>
      <c r="F3322" s="128" t="s">
        <v>8203</v>
      </c>
      <c r="G3322" s="128" t="s">
        <v>8204</v>
      </c>
      <c r="H3322" s="3" t="s">
        <v>1531</v>
      </c>
      <c r="I3322" s="3">
        <v>1</v>
      </c>
      <c r="J3322" s="3">
        <v>5</v>
      </c>
      <c r="K3322" s="3">
        <v>2</v>
      </c>
      <c r="L3322" s="3">
        <v>999</v>
      </c>
      <c r="M3322" s="3">
        <v>0</v>
      </c>
      <c r="N3322" s="3">
        <v>1018</v>
      </c>
      <c r="O3322" s="231" t="s">
        <v>8205</v>
      </c>
      <c r="P3322" s="3"/>
      <c r="Q3322" s="3"/>
      <c r="R3322" s="3"/>
      <c r="S3322" s="3">
        <v>1</v>
      </c>
      <c r="T3322" s="3">
        <v>5</v>
      </c>
      <c r="U3322" s="3">
        <v>100</v>
      </c>
      <c r="V3322" s="3"/>
      <c r="W3322" s="3">
        <v>1</v>
      </c>
      <c r="X3322" s="3">
        <v>1</v>
      </c>
      <c r="Y3322" s="3">
        <v>0</v>
      </c>
      <c r="Z3322" s="3">
        <v>0</v>
      </c>
      <c r="AA3322" s="3">
        <v>5</v>
      </c>
      <c r="AB3322" s="3">
        <v>2000</v>
      </c>
      <c r="AC3322" s="3">
        <v>70</v>
      </c>
      <c r="AD3322" s="153">
        <v>0</v>
      </c>
      <c r="AE3322" s="153">
        <v>5</v>
      </c>
      <c r="AF3322" s="153">
        <v>2</v>
      </c>
      <c r="AG3322" s="337"/>
      <c r="AH3322" s="337"/>
      <c r="AI3322" s="337"/>
      <c r="AJ3322" s="337"/>
      <c r="AK3322" s="337"/>
      <c r="AL3322" s="234"/>
      <c r="AM3322" s="234"/>
      <c r="AN3322" s="476"/>
      <c r="AO3322" s="234"/>
      <c r="AP3322" s="234"/>
      <c r="AQ3322" s="3"/>
      <c r="AR3322" s="3"/>
      <c r="AS3322">
        <v>1</v>
      </c>
    </row>
    <row r="3323" spans="1:45">
      <c r="A3323" s="3">
        <v>619592</v>
      </c>
      <c r="B3323" s="128">
        <v>1001</v>
      </c>
      <c r="C3323" s="128">
        <v>6</v>
      </c>
      <c r="D3323" s="128">
        <v>1001</v>
      </c>
      <c r="E3323" s="128" t="s">
        <v>5550</v>
      </c>
      <c r="F3323" s="128" t="s">
        <v>5550</v>
      </c>
      <c r="G3323" s="128" t="s">
        <v>8206</v>
      </c>
      <c r="H3323" s="3" t="s">
        <v>1531</v>
      </c>
      <c r="I3323" s="3">
        <v>1</v>
      </c>
      <c r="J3323" s="3">
        <v>5</v>
      </c>
      <c r="K3323" s="3">
        <v>2</v>
      </c>
      <c r="L3323" s="3">
        <v>999</v>
      </c>
      <c r="M3323" s="3">
        <v>0</v>
      </c>
      <c r="N3323" s="3">
        <v>1018</v>
      </c>
      <c r="O3323" s="231" t="s">
        <v>8207</v>
      </c>
      <c r="P3323" s="3"/>
      <c r="Q3323" s="3"/>
      <c r="R3323" s="3"/>
      <c r="S3323" s="3">
        <v>1</v>
      </c>
      <c r="T3323" s="3">
        <v>5</v>
      </c>
      <c r="U3323" s="3">
        <v>100</v>
      </c>
      <c r="V3323" s="3"/>
      <c r="W3323" s="3">
        <v>1</v>
      </c>
      <c r="X3323" s="3">
        <v>1</v>
      </c>
      <c r="Y3323" s="3">
        <v>0</v>
      </c>
      <c r="Z3323" s="3">
        <v>0</v>
      </c>
      <c r="AA3323" s="3">
        <v>5</v>
      </c>
      <c r="AB3323" s="3">
        <v>2000</v>
      </c>
      <c r="AC3323" s="3">
        <v>70</v>
      </c>
      <c r="AD3323" s="153">
        <v>0</v>
      </c>
      <c r="AE3323" s="153">
        <v>5</v>
      </c>
      <c r="AF3323" s="153">
        <v>2</v>
      </c>
      <c r="AG3323" s="337"/>
      <c r="AH3323" s="337"/>
      <c r="AI3323" s="337"/>
      <c r="AJ3323" s="337"/>
      <c r="AK3323" s="337"/>
      <c r="AL3323" s="234"/>
      <c r="AM3323" s="234"/>
      <c r="AN3323" s="476"/>
      <c r="AO3323" s="234"/>
      <c r="AP3323" s="234"/>
      <c r="AQ3323" s="3"/>
      <c r="AR3323" s="3"/>
      <c r="AS3323">
        <v>1</v>
      </c>
    </row>
    <row r="3324" spans="1:45">
      <c r="A3324" s="3">
        <v>619593</v>
      </c>
      <c r="B3324" s="128">
        <v>1001</v>
      </c>
      <c r="C3324" s="128">
        <v>1</v>
      </c>
      <c r="D3324" s="128">
        <v>1001</v>
      </c>
      <c r="E3324" s="128" t="s">
        <v>6451</v>
      </c>
      <c r="F3324" s="128" t="s">
        <v>6451</v>
      </c>
      <c r="G3324" s="128" t="s">
        <v>7486</v>
      </c>
      <c r="H3324" s="3" t="s">
        <v>6223</v>
      </c>
      <c r="I3324" s="3">
        <v>1</v>
      </c>
      <c r="J3324" s="3">
        <v>5</v>
      </c>
      <c r="K3324" s="3">
        <v>1</v>
      </c>
      <c r="L3324" s="3">
        <v>999</v>
      </c>
      <c r="M3324" s="3">
        <v>0</v>
      </c>
      <c r="N3324" s="3"/>
      <c r="O3324" s="231"/>
      <c r="P3324" s="3"/>
      <c r="Q3324" s="3"/>
      <c r="R3324" s="3"/>
      <c r="S3324" s="3">
        <v>1</v>
      </c>
      <c r="T3324" s="3">
        <v>5</v>
      </c>
      <c r="U3324" s="3">
        <v>1</v>
      </c>
      <c r="V3324" s="3">
        <v>1</v>
      </c>
      <c r="W3324" s="3">
        <v>1</v>
      </c>
      <c r="X3324" s="3">
        <v>1</v>
      </c>
      <c r="Y3324" s="3">
        <v>0</v>
      </c>
      <c r="Z3324" s="3">
        <v>0</v>
      </c>
      <c r="AA3324" s="3">
        <v>5</v>
      </c>
      <c r="AB3324" s="3">
        <v>100</v>
      </c>
      <c r="AC3324" s="3">
        <v>900</v>
      </c>
      <c r="AD3324" s="153">
        <v>0</v>
      </c>
      <c r="AE3324" s="153">
        <v>4</v>
      </c>
      <c r="AF3324" s="153">
        <v>2</v>
      </c>
      <c r="AG3324" s="337"/>
      <c r="AH3324" s="337"/>
      <c r="AI3324" s="337"/>
      <c r="AJ3324" s="337"/>
      <c r="AK3324" s="337"/>
      <c r="AL3324" s="234">
        <v>1</v>
      </c>
      <c r="AM3324" s="234"/>
      <c r="AN3324" s="476"/>
      <c r="AO3324" s="234"/>
      <c r="AP3324" s="234"/>
      <c r="AQ3324" s="3" t="s">
        <v>6119</v>
      </c>
      <c r="AR3324" s="3">
        <v>1</v>
      </c>
      <c r="AS3324">
        <v>1</v>
      </c>
    </row>
    <row r="3325" spans="1:45">
      <c r="A3325" s="3">
        <v>619594</v>
      </c>
      <c r="B3325" s="128">
        <v>1001</v>
      </c>
      <c r="C3325" s="128">
        <v>1</v>
      </c>
      <c r="D3325" s="128">
        <v>1001</v>
      </c>
      <c r="E3325" s="128" t="s">
        <v>7487</v>
      </c>
      <c r="F3325" s="128" t="s">
        <v>7487</v>
      </c>
      <c r="G3325" s="128" t="s">
        <v>7486</v>
      </c>
      <c r="H3325" s="3" t="s">
        <v>6231</v>
      </c>
      <c r="I3325" s="3">
        <v>1</v>
      </c>
      <c r="J3325" s="3">
        <v>5</v>
      </c>
      <c r="K3325" s="3">
        <v>1</v>
      </c>
      <c r="L3325" s="3">
        <v>999</v>
      </c>
      <c r="M3325" s="3">
        <v>0</v>
      </c>
      <c r="N3325" s="3"/>
      <c r="O3325" s="231"/>
      <c r="P3325" s="3"/>
      <c r="Q3325" s="3"/>
      <c r="R3325" s="3"/>
      <c r="S3325" s="3">
        <v>1</v>
      </c>
      <c r="T3325" s="3">
        <v>5</v>
      </c>
      <c r="U3325" s="3">
        <v>1</v>
      </c>
      <c r="V3325" s="3">
        <v>1</v>
      </c>
      <c r="W3325" s="3">
        <v>1</v>
      </c>
      <c r="X3325" s="3">
        <v>1</v>
      </c>
      <c r="Y3325" s="3">
        <v>0</v>
      </c>
      <c r="Z3325" s="3">
        <v>0</v>
      </c>
      <c r="AA3325" s="3">
        <v>5</v>
      </c>
      <c r="AB3325" s="3">
        <v>100</v>
      </c>
      <c r="AC3325" s="3">
        <v>900</v>
      </c>
      <c r="AD3325" s="153">
        <v>0</v>
      </c>
      <c r="AE3325" s="153">
        <v>4</v>
      </c>
      <c r="AF3325" s="153">
        <v>2</v>
      </c>
      <c r="AG3325" s="337"/>
      <c r="AH3325" s="337"/>
      <c r="AI3325" s="337"/>
      <c r="AJ3325" s="337"/>
      <c r="AK3325" s="337"/>
      <c r="AL3325" s="234">
        <v>1</v>
      </c>
      <c r="AM3325" s="234"/>
      <c r="AN3325" s="476"/>
      <c r="AO3325" s="234"/>
      <c r="AP3325" s="234"/>
      <c r="AQ3325" s="3" t="s">
        <v>6122</v>
      </c>
      <c r="AR3325" s="3">
        <v>1</v>
      </c>
      <c r="AS3325">
        <v>1</v>
      </c>
    </row>
    <row r="3326" spans="1:45">
      <c r="A3326" s="3">
        <v>619595</v>
      </c>
      <c r="B3326" s="128">
        <v>1001</v>
      </c>
      <c r="C3326" s="128">
        <v>6</v>
      </c>
      <c r="D3326" s="128">
        <v>1001</v>
      </c>
      <c r="E3326" s="128" t="s">
        <v>5431</v>
      </c>
      <c r="F3326" s="128" t="s">
        <v>5431</v>
      </c>
      <c r="G3326" s="128" t="s">
        <v>7488</v>
      </c>
      <c r="H3326" s="3" t="s">
        <v>1836</v>
      </c>
      <c r="I3326" s="3">
        <v>1</v>
      </c>
      <c r="J3326" s="3">
        <v>5</v>
      </c>
      <c r="K3326" s="3">
        <v>2</v>
      </c>
      <c r="L3326" s="3">
        <v>999</v>
      </c>
      <c r="M3326" s="3">
        <v>0</v>
      </c>
      <c r="N3326" s="3">
        <v>1017</v>
      </c>
      <c r="O3326" s="231">
        <v>300101</v>
      </c>
      <c r="P3326" s="3"/>
      <c r="Q3326" s="3"/>
      <c r="R3326" s="3"/>
      <c r="S3326" s="3">
        <v>1</v>
      </c>
      <c r="T3326" s="3">
        <v>5</v>
      </c>
      <c r="U3326" s="3">
        <v>1</v>
      </c>
      <c r="V3326" s="3">
        <v>1</v>
      </c>
      <c r="W3326" s="3">
        <v>1</v>
      </c>
      <c r="X3326" s="3">
        <v>1</v>
      </c>
      <c r="Y3326" s="3">
        <v>0</v>
      </c>
      <c r="Z3326" s="3">
        <v>0</v>
      </c>
      <c r="AA3326" s="3">
        <v>5</v>
      </c>
      <c r="AB3326" s="3">
        <v>100</v>
      </c>
      <c r="AC3326" s="3">
        <v>70</v>
      </c>
      <c r="AD3326" s="153">
        <v>0</v>
      </c>
      <c r="AE3326" s="153">
        <v>4</v>
      </c>
      <c r="AF3326" s="153">
        <v>2</v>
      </c>
      <c r="AG3326" s="337"/>
      <c r="AH3326" s="337"/>
      <c r="AI3326" s="337"/>
      <c r="AJ3326" s="337"/>
      <c r="AK3326" s="337"/>
      <c r="AL3326" s="234"/>
      <c r="AM3326" s="234"/>
      <c r="AN3326" s="476"/>
      <c r="AO3326" s="234"/>
      <c r="AP3326" s="234"/>
      <c r="AQ3326" s="3"/>
      <c r="AR3326" s="3"/>
      <c r="AS3326">
        <v>1</v>
      </c>
    </row>
    <row r="3327" spans="1:45">
      <c r="A3327" s="3">
        <v>619596</v>
      </c>
      <c r="B3327" s="128">
        <v>1001</v>
      </c>
      <c r="C3327" s="128">
        <v>6</v>
      </c>
      <c r="D3327" s="128">
        <v>1001</v>
      </c>
      <c r="E3327" s="128" t="s">
        <v>8208</v>
      </c>
      <c r="F3327" s="128" t="s">
        <v>8208</v>
      </c>
      <c r="G3327" s="128" t="s">
        <v>7488</v>
      </c>
      <c r="H3327" s="3" t="s">
        <v>1531</v>
      </c>
      <c r="I3327" s="3">
        <v>1</v>
      </c>
      <c r="J3327" s="3">
        <v>5</v>
      </c>
      <c r="K3327" s="3">
        <v>2</v>
      </c>
      <c r="L3327" s="3">
        <v>999</v>
      </c>
      <c r="M3327" s="3">
        <v>0</v>
      </c>
      <c r="N3327" s="3">
        <v>1017</v>
      </c>
      <c r="O3327" s="231">
        <v>300102</v>
      </c>
      <c r="P3327" s="3"/>
      <c r="Q3327" s="3"/>
      <c r="R3327" s="3"/>
      <c r="S3327" s="3">
        <v>1</v>
      </c>
      <c r="T3327" s="3">
        <v>5</v>
      </c>
      <c r="U3327" s="3">
        <v>100</v>
      </c>
      <c r="V3327" s="3"/>
      <c r="W3327" s="3">
        <v>1</v>
      </c>
      <c r="X3327" s="3">
        <v>1</v>
      </c>
      <c r="Y3327" s="3">
        <v>0</v>
      </c>
      <c r="Z3327" s="3">
        <v>0</v>
      </c>
      <c r="AA3327" s="3">
        <v>5</v>
      </c>
      <c r="AB3327" s="3">
        <v>100</v>
      </c>
      <c r="AC3327" s="3">
        <v>70</v>
      </c>
      <c r="AD3327" s="153">
        <v>0</v>
      </c>
      <c r="AE3327" s="153">
        <v>4</v>
      </c>
      <c r="AF3327" s="153">
        <v>2</v>
      </c>
      <c r="AG3327" s="337"/>
      <c r="AH3327" s="337"/>
      <c r="AI3327" s="337"/>
      <c r="AJ3327" s="337"/>
      <c r="AK3327" s="337"/>
      <c r="AL3327" s="234"/>
      <c r="AM3327" s="234"/>
      <c r="AN3327" s="476"/>
      <c r="AO3327" s="234"/>
      <c r="AP3327" s="234"/>
      <c r="AQ3327" s="3" t="s">
        <v>7714</v>
      </c>
      <c r="AR3327" s="3"/>
      <c r="AS3327">
        <v>1</v>
      </c>
    </row>
    <row r="3328" spans="1:45">
      <c r="A3328" s="3">
        <v>619597</v>
      </c>
      <c r="B3328" s="128">
        <v>1001</v>
      </c>
      <c r="C3328" s="128">
        <v>6</v>
      </c>
      <c r="D3328" s="128">
        <v>1001</v>
      </c>
      <c r="E3328" s="128" t="s">
        <v>5550</v>
      </c>
      <c r="F3328" s="128" t="s">
        <v>5550</v>
      </c>
      <c r="G3328" s="128" t="s">
        <v>8209</v>
      </c>
      <c r="H3328" s="3" t="s">
        <v>1531</v>
      </c>
      <c r="I3328" s="3">
        <v>1</v>
      </c>
      <c r="J3328" s="3">
        <v>5</v>
      </c>
      <c r="K3328" s="3">
        <v>2</v>
      </c>
      <c r="L3328" s="3">
        <v>999</v>
      </c>
      <c r="M3328" s="3">
        <v>0</v>
      </c>
      <c r="N3328" s="3">
        <v>1018</v>
      </c>
      <c r="O3328" s="231" t="s">
        <v>8210</v>
      </c>
      <c r="P3328" s="3"/>
      <c r="Q3328" s="3"/>
      <c r="R3328" s="3"/>
      <c r="S3328" s="3">
        <v>1</v>
      </c>
      <c r="T3328" s="3">
        <v>5</v>
      </c>
      <c r="U3328" s="3">
        <v>100</v>
      </c>
      <c r="V3328" s="3"/>
      <c r="W3328" s="3">
        <v>1</v>
      </c>
      <c r="X3328" s="3">
        <v>1</v>
      </c>
      <c r="Y3328" s="3">
        <v>0</v>
      </c>
      <c r="Z3328" s="3">
        <v>0</v>
      </c>
      <c r="AA3328" s="3">
        <v>5</v>
      </c>
      <c r="AB3328" s="3">
        <v>2000</v>
      </c>
      <c r="AC3328" s="3">
        <v>70</v>
      </c>
      <c r="AD3328" s="153">
        <v>0</v>
      </c>
      <c r="AE3328" s="153">
        <v>5</v>
      </c>
      <c r="AF3328" s="153">
        <v>2</v>
      </c>
      <c r="AG3328" s="337"/>
      <c r="AH3328" s="337"/>
      <c r="AI3328" s="337"/>
      <c r="AJ3328" s="337"/>
      <c r="AK3328" s="337"/>
      <c r="AL3328" s="234"/>
      <c r="AM3328" s="234"/>
      <c r="AN3328" s="476"/>
      <c r="AO3328" s="234"/>
      <c r="AP3328" s="234"/>
      <c r="AQ3328" s="3"/>
      <c r="AR3328" s="3"/>
      <c r="AS3328">
        <v>1</v>
      </c>
    </row>
    <row r="3329" spans="1:45">
      <c r="A3329" s="3">
        <v>619598</v>
      </c>
      <c r="B3329" s="128">
        <v>1001</v>
      </c>
      <c r="C3329" s="128">
        <v>6</v>
      </c>
      <c r="D3329" s="128">
        <v>1001</v>
      </c>
      <c r="E3329" s="128" t="s">
        <v>5550</v>
      </c>
      <c r="F3329" s="128" t="s">
        <v>5550</v>
      </c>
      <c r="G3329" s="128" t="s">
        <v>8211</v>
      </c>
      <c r="H3329" s="3" t="s">
        <v>1531</v>
      </c>
      <c r="I3329" s="3">
        <v>1</v>
      </c>
      <c r="J3329" s="3">
        <v>5</v>
      </c>
      <c r="K3329" s="3">
        <v>2</v>
      </c>
      <c r="L3329" s="3">
        <v>999</v>
      </c>
      <c r="M3329" s="3">
        <v>0</v>
      </c>
      <c r="N3329" s="3">
        <v>1018</v>
      </c>
      <c r="O3329" s="231" t="s">
        <v>8212</v>
      </c>
      <c r="P3329" s="3"/>
      <c r="Q3329" s="3"/>
      <c r="R3329" s="3"/>
      <c r="S3329" s="3">
        <v>1</v>
      </c>
      <c r="T3329" s="3">
        <v>5</v>
      </c>
      <c r="U3329" s="3">
        <v>100</v>
      </c>
      <c r="V3329" s="3"/>
      <c r="W3329" s="3">
        <v>1</v>
      </c>
      <c r="X3329" s="3">
        <v>1</v>
      </c>
      <c r="Y3329" s="3">
        <v>0</v>
      </c>
      <c r="Z3329" s="3">
        <v>0</v>
      </c>
      <c r="AA3329" s="3">
        <v>5</v>
      </c>
      <c r="AB3329" s="3">
        <v>2000</v>
      </c>
      <c r="AC3329" s="3">
        <v>70</v>
      </c>
      <c r="AD3329" s="153">
        <v>0</v>
      </c>
      <c r="AE3329" s="153">
        <v>5</v>
      </c>
      <c r="AF3329" s="153">
        <v>2</v>
      </c>
      <c r="AG3329" s="337"/>
      <c r="AH3329" s="337"/>
      <c r="AI3329" s="337"/>
      <c r="AJ3329" s="337"/>
      <c r="AK3329" s="337"/>
      <c r="AL3329" s="234"/>
      <c r="AM3329" s="234"/>
      <c r="AN3329" s="476"/>
      <c r="AO3329" s="234"/>
      <c r="AP3329" s="234"/>
      <c r="AQ3329" s="3"/>
      <c r="AR3329" s="3"/>
      <c r="AS3329">
        <v>1</v>
      </c>
    </row>
    <row r="3330" spans="1:45">
      <c r="A3330" s="3">
        <v>619599</v>
      </c>
      <c r="B3330" s="128">
        <v>1001</v>
      </c>
      <c r="C3330" s="128">
        <v>6</v>
      </c>
      <c r="D3330" s="128">
        <v>1001</v>
      </c>
      <c r="E3330" s="128" t="s">
        <v>8183</v>
      </c>
      <c r="F3330" s="128" t="s">
        <v>8183</v>
      </c>
      <c r="G3330" s="128" t="s">
        <v>8213</v>
      </c>
      <c r="H3330" s="3" t="s">
        <v>204</v>
      </c>
      <c r="I3330" s="3">
        <v>1</v>
      </c>
      <c r="J3330" s="3">
        <v>5</v>
      </c>
      <c r="K3330" s="3">
        <v>2</v>
      </c>
      <c r="L3330" s="3">
        <v>999</v>
      </c>
      <c r="M3330" s="3">
        <v>0</v>
      </c>
      <c r="N3330" s="3">
        <v>1018</v>
      </c>
      <c r="O3330" s="231" t="s">
        <v>8214</v>
      </c>
      <c r="P3330" s="3"/>
      <c r="Q3330" s="3"/>
      <c r="R3330" s="3"/>
      <c r="S3330" s="3">
        <v>1</v>
      </c>
      <c r="T3330" s="3">
        <v>5</v>
      </c>
      <c r="U3330" s="3">
        <v>200</v>
      </c>
      <c r="V3330" s="3"/>
      <c r="W3330" s="3">
        <v>1</v>
      </c>
      <c r="X3330" s="3">
        <v>1</v>
      </c>
      <c r="Y3330" s="3">
        <v>0</v>
      </c>
      <c r="Z3330" s="3">
        <v>0</v>
      </c>
      <c r="AA3330" s="3">
        <v>5</v>
      </c>
      <c r="AB3330" s="3">
        <v>2000</v>
      </c>
      <c r="AC3330" s="3">
        <v>56</v>
      </c>
      <c r="AD3330" s="153">
        <v>0</v>
      </c>
      <c r="AE3330" s="153">
        <v>5</v>
      </c>
      <c r="AF3330" s="153">
        <v>2</v>
      </c>
      <c r="AG3330" s="337"/>
      <c r="AH3330" s="337"/>
      <c r="AI3330" s="337"/>
      <c r="AJ3330" s="337"/>
      <c r="AK3330" s="337"/>
      <c r="AL3330" s="234"/>
      <c r="AM3330" s="234"/>
      <c r="AN3330" s="476"/>
      <c r="AO3330" s="234"/>
      <c r="AP3330" s="234"/>
      <c r="AQ3330" s="3"/>
      <c r="AR3330" s="3"/>
      <c r="AS3330">
        <v>1</v>
      </c>
    </row>
    <row r="3331" spans="1:45">
      <c r="A3331" s="3">
        <v>619600</v>
      </c>
      <c r="B3331" s="128">
        <v>1001</v>
      </c>
      <c r="C3331" s="128">
        <v>6</v>
      </c>
      <c r="D3331" s="128">
        <v>1001</v>
      </c>
      <c r="E3331" s="128" t="s">
        <v>8215</v>
      </c>
      <c r="F3331" s="128" t="s">
        <v>8215</v>
      </c>
      <c r="G3331" s="128" t="s">
        <v>8216</v>
      </c>
      <c r="H3331" s="3" t="s">
        <v>1667</v>
      </c>
      <c r="I3331" s="3">
        <v>1</v>
      </c>
      <c r="J3331" s="3">
        <v>5</v>
      </c>
      <c r="K3331" s="3">
        <v>2</v>
      </c>
      <c r="L3331" s="3">
        <v>999</v>
      </c>
      <c r="M3331" s="3">
        <v>0</v>
      </c>
      <c r="N3331" s="3">
        <v>1017</v>
      </c>
      <c r="O3331" s="231">
        <v>300103</v>
      </c>
      <c r="P3331" s="3"/>
      <c r="Q3331" s="3"/>
      <c r="R3331" s="3"/>
      <c r="S3331" s="3">
        <v>1</v>
      </c>
      <c r="T3331" s="3">
        <v>5</v>
      </c>
      <c r="U3331" s="3">
        <v>100</v>
      </c>
      <c r="V3331" s="3"/>
      <c r="W3331" s="3">
        <v>1</v>
      </c>
      <c r="X3331" s="3">
        <v>1</v>
      </c>
      <c r="Y3331" s="3">
        <v>0</v>
      </c>
      <c r="Z3331" s="3">
        <v>0</v>
      </c>
      <c r="AA3331" s="3">
        <v>5</v>
      </c>
      <c r="AB3331" s="3">
        <v>2000</v>
      </c>
      <c r="AC3331" s="3">
        <v>56</v>
      </c>
      <c r="AD3331" s="153">
        <v>0</v>
      </c>
      <c r="AE3331" s="153">
        <v>4</v>
      </c>
      <c r="AF3331" s="153">
        <v>2</v>
      </c>
      <c r="AG3331" s="337"/>
      <c r="AH3331" s="337"/>
      <c r="AI3331" s="337"/>
      <c r="AJ3331" s="337"/>
      <c r="AK3331" s="337"/>
      <c r="AL3331" s="234"/>
      <c r="AM3331" s="234"/>
      <c r="AN3331" s="476"/>
      <c r="AO3331" s="234"/>
      <c r="AP3331" s="234"/>
      <c r="AQ3331" s="3"/>
      <c r="AR3331" s="3"/>
      <c r="AS3331">
        <v>1</v>
      </c>
    </row>
    <row r="3332" spans="1:45">
      <c r="A3332" s="3">
        <v>619601</v>
      </c>
      <c r="B3332" s="128">
        <v>1001</v>
      </c>
      <c r="C3332" s="128">
        <v>6</v>
      </c>
      <c r="D3332" s="128">
        <v>1001</v>
      </c>
      <c r="E3332" s="128" t="s">
        <v>8217</v>
      </c>
      <c r="F3332" s="128" t="s">
        <v>8217</v>
      </c>
      <c r="G3332" s="128" t="s">
        <v>8218</v>
      </c>
      <c r="H3332" s="3" t="s">
        <v>1431</v>
      </c>
      <c r="I3332" s="3">
        <v>1</v>
      </c>
      <c r="J3332" s="3">
        <v>5</v>
      </c>
      <c r="K3332" s="3">
        <v>2</v>
      </c>
      <c r="L3332" s="3">
        <v>999</v>
      </c>
      <c r="M3332" s="3">
        <v>0</v>
      </c>
      <c r="N3332" s="3">
        <v>1018</v>
      </c>
      <c r="O3332" s="231" t="s">
        <v>8219</v>
      </c>
      <c r="P3332" s="3"/>
      <c r="Q3332" s="3"/>
      <c r="R3332" s="3"/>
      <c r="S3332" s="3">
        <v>1</v>
      </c>
      <c r="T3332" s="3">
        <v>5</v>
      </c>
      <c r="U3332" s="3">
        <v>200</v>
      </c>
      <c r="V3332" s="3">
        <v>1</v>
      </c>
      <c r="W3332" s="3">
        <v>1</v>
      </c>
      <c r="X3332" s="3">
        <v>1</v>
      </c>
      <c r="Y3332" s="3">
        <v>0</v>
      </c>
      <c r="Z3332" s="3">
        <v>0</v>
      </c>
      <c r="AA3332" s="3">
        <v>5</v>
      </c>
      <c r="AB3332" s="3">
        <v>1000</v>
      </c>
      <c r="AC3332" s="3">
        <v>56</v>
      </c>
      <c r="AD3332" s="153">
        <v>0</v>
      </c>
      <c r="AE3332" s="153">
        <v>5</v>
      </c>
      <c r="AF3332" s="153">
        <v>2</v>
      </c>
      <c r="AG3332" s="337"/>
      <c r="AH3332" s="337"/>
      <c r="AI3332" s="337"/>
      <c r="AJ3332" s="337"/>
      <c r="AK3332" s="337"/>
      <c r="AL3332" s="234"/>
      <c r="AM3332" s="234"/>
      <c r="AN3332" s="476"/>
      <c r="AO3332" s="234"/>
      <c r="AP3332" s="234"/>
      <c r="AQ3332" s="3"/>
      <c r="AR3332" s="3"/>
      <c r="AS3332">
        <v>1</v>
      </c>
    </row>
    <row r="3333" spans="1:45">
      <c r="A3333" s="3">
        <v>619602</v>
      </c>
      <c r="B3333" s="128">
        <v>1001</v>
      </c>
      <c r="C3333" s="128">
        <v>6</v>
      </c>
      <c r="D3333" s="128">
        <v>1001</v>
      </c>
      <c r="E3333" s="128" t="s">
        <v>8220</v>
      </c>
      <c r="F3333" s="128" t="s">
        <v>8220</v>
      </c>
      <c r="G3333" s="128" t="s">
        <v>8221</v>
      </c>
      <c r="H3333" s="3" t="s">
        <v>1594</v>
      </c>
      <c r="I3333" s="3">
        <v>1</v>
      </c>
      <c r="J3333" s="3">
        <v>5</v>
      </c>
      <c r="K3333" s="3">
        <v>2</v>
      </c>
      <c r="L3333" s="3">
        <v>999</v>
      </c>
      <c r="M3333" s="3">
        <v>0</v>
      </c>
      <c r="N3333" s="3">
        <v>1</v>
      </c>
      <c r="O3333" s="231" t="s">
        <v>8222</v>
      </c>
      <c r="P3333" s="3"/>
      <c r="Q3333" s="3"/>
      <c r="R3333" s="3"/>
      <c r="S3333" s="3">
        <v>1</v>
      </c>
      <c r="T3333" s="3">
        <v>5</v>
      </c>
      <c r="U3333" s="3">
        <v>100</v>
      </c>
      <c r="V3333" s="3">
        <v>1</v>
      </c>
      <c r="W3333" s="3">
        <v>1</v>
      </c>
      <c r="X3333" s="3">
        <v>1</v>
      </c>
      <c r="Y3333" s="3">
        <v>0</v>
      </c>
      <c r="Z3333" s="3">
        <v>0</v>
      </c>
      <c r="AA3333" s="3">
        <v>5</v>
      </c>
      <c r="AB3333" s="3">
        <v>100</v>
      </c>
      <c r="AC3333" s="3">
        <v>56</v>
      </c>
      <c r="AD3333" s="153">
        <v>0</v>
      </c>
      <c r="AE3333" s="153">
        <v>4</v>
      </c>
      <c r="AF3333" s="153">
        <v>2</v>
      </c>
      <c r="AG3333" s="337"/>
      <c r="AH3333" s="337"/>
      <c r="AI3333" s="337"/>
      <c r="AJ3333" s="337"/>
      <c r="AK3333" s="337"/>
      <c r="AL3333" s="234"/>
      <c r="AM3333" s="234"/>
      <c r="AN3333" s="476"/>
      <c r="AO3333" s="234"/>
      <c r="AP3333" s="234"/>
      <c r="AQ3333" s="3"/>
      <c r="AR3333" s="3"/>
      <c r="AS3333">
        <v>1</v>
      </c>
    </row>
    <row r="3334" spans="1:45">
      <c r="A3334" s="3">
        <v>619603</v>
      </c>
      <c r="B3334" s="128">
        <v>1001</v>
      </c>
      <c r="C3334" s="128">
        <v>6</v>
      </c>
      <c r="D3334" s="128">
        <v>1001</v>
      </c>
      <c r="E3334" s="128" t="s">
        <v>8223</v>
      </c>
      <c r="F3334" s="128" t="s">
        <v>8223</v>
      </c>
      <c r="G3334" s="128" t="s">
        <v>8224</v>
      </c>
      <c r="H3334" s="3" t="s">
        <v>1531</v>
      </c>
      <c r="I3334" s="3">
        <v>1</v>
      </c>
      <c r="J3334" s="3">
        <v>5</v>
      </c>
      <c r="K3334" s="3">
        <v>2</v>
      </c>
      <c r="L3334" s="3">
        <v>999</v>
      </c>
      <c r="M3334" s="3">
        <v>0</v>
      </c>
      <c r="N3334" s="3">
        <v>1018</v>
      </c>
      <c r="O3334" s="231" t="s">
        <v>8225</v>
      </c>
      <c r="P3334" s="3"/>
      <c r="Q3334" s="3"/>
      <c r="R3334" s="3"/>
      <c r="S3334" s="3">
        <v>1</v>
      </c>
      <c r="T3334" s="3">
        <v>5</v>
      </c>
      <c r="U3334" s="3">
        <v>100</v>
      </c>
      <c r="V3334" s="3"/>
      <c r="W3334" s="3">
        <v>1</v>
      </c>
      <c r="X3334" s="3">
        <v>1</v>
      </c>
      <c r="Y3334" s="3">
        <v>0</v>
      </c>
      <c r="Z3334" s="3">
        <v>0</v>
      </c>
      <c r="AA3334" s="3">
        <v>5</v>
      </c>
      <c r="AB3334" s="3">
        <v>2000</v>
      </c>
      <c r="AC3334" s="3">
        <v>70</v>
      </c>
      <c r="AD3334" s="153">
        <v>0</v>
      </c>
      <c r="AE3334" s="153">
        <v>5</v>
      </c>
      <c r="AF3334" s="153">
        <v>2</v>
      </c>
      <c r="AG3334" s="337"/>
      <c r="AH3334" s="337"/>
      <c r="AI3334" s="337"/>
      <c r="AJ3334" s="337"/>
      <c r="AK3334" s="337"/>
      <c r="AL3334" s="234"/>
      <c r="AM3334" s="234"/>
      <c r="AN3334" s="476"/>
      <c r="AO3334" s="234"/>
      <c r="AP3334" s="234"/>
      <c r="AQ3334" s="3"/>
      <c r="AR3334" s="3"/>
      <c r="AS3334">
        <v>1</v>
      </c>
    </row>
    <row r="3335" spans="1:45">
      <c r="A3335" s="3">
        <v>619604</v>
      </c>
      <c r="B3335" s="128">
        <v>1001</v>
      </c>
      <c r="C3335" s="128">
        <v>6</v>
      </c>
      <c r="D3335" s="128">
        <v>1001</v>
      </c>
      <c r="E3335" s="128" t="s">
        <v>8226</v>
      </c>
      <c r="F3335" s="128" t="s">
        <v>8226</v>
      </c>
      <c r="G3335" s="128" t="s">
        <v>8227</v>
      </c>
      <c r="H3335" s="3" t="s">
        <v>1531</v>
      </c>
      <c r="I3335" s="3">
        <v>1</v>
      </c>
      <c r="J3335" s="3">
        <v>5</v>
      </c>
      <c r="K3335" s="3">
        <v>2</v>
      </c>
      <c r="L3335" s="3">
        <v>999</v>
      </c>
      <c r="M3335" s="3">
        <v>0</v>
      </c>
      <c r="N3335" s="3">
        <v>1018</v>
      </c>
      <c r="O3335" s="231" t="s">
        <v>8228</v>
      </c>
      <c r="P3335" s="3"/>
      <c r="Q3335" s="3"/>
      <c r="R3335" s="3"/>
      <c r="S3335" s="3">
        <v>1</v>
      </c>
      <c r="T3335" s="3">
        <v>5</v>
      </c>
      <c r="U3335" s="3">
        <v>100</v>
      </c>
      <c r="V3335" s="3"/>
      <c r="W3335" s="3">
        <v>1</v>
      </c>
      <c r="X3335" s="3">
        <v>1</v>
      </c>
      <c r="Y3335" s="3">
        <v>0</v>
      </c>
      <c r="Z3335" s="3">
        <v>0</v>
      </c>
      <c r="AA3335" s="3">
        <v>5</v>
      </c>
      <c r="AB3335" s="3">
        <v>2000</v>
      </c>
      <c r="AC3335" s="3">
        <v>70</v>
      </c>
      <c r="AD3335" s="153">
        <v>0</v>
      </c>
      <c r="AE3335" s="153">
        <v>5</v>
      </c>
      <c r="AF3335" s="153">
        <v>2</v>
      </c>
      <c r="AG3335" s="337"/>
      <c r="AH3335" s="337"/>
      <c r="AI3335" s="337"/>
      <c r="AJ3335" s="337"/>
      <c r="AK3335" s="337"/>
      <c r="AL3335" s="234"/>
      <c r="AM3335" s="234"/>
      <c r="AN3335" s="476"/>
      <c r="AO3335" s="234"/>
      <c r="AP3335" s="234"/>
      <c r="AQ3335" s="3"/>
      <c r="AR3335" s="3"/>
      <c r="AS3335">
        <v>1</v>
      </c>
    </row>
    <row r="3336" spans="1:45">
      <c r="A3336" s="3">
        <v>619605</v>
      </c>
      <c r="B3336" s="128">
        <v>1001</v>
      </c>
      <c r="C3336" s="128">
        <v>6</v>
      </c>
      <c r="D3336" s="128">
        <v>1001</v>
      </c>
      <c r="E3336" s="128" t="s">
        <v>8229</v>
      </c>
      <c r="F3336" s="128" t="s">
        <v>8229</v>
      </c>
      <c r="G3336" s="128" t="s">
        <v>8230</v>
      </c>
      <c r="H3336" s="3" t="s">
        <v>1531</v>
      </c>
      <c r="I3336" s="3">
        <v>1</v>
      </c>
      <c r="J3336" s="3">
        <v>5</v>
      </c>
      <c r="K3336" s="3">
        <v>2</v>
      </c>
      <c r="L3336" s="3">
        <v>999</v>
      </c>
      <c r="M3336" s="3">
        <v>0</v>
      </c>
      <c r="N3336" s="3">
        <v>1018</v>
      </c>
      <c r="O3336" s="231" t="s">
        <v>8231</v>
      </c>
      <c r="P3336" s="3"/>
      <c r="Q3336" s="3"/>
      <c r="R3336" s="3"/>
      <c r="S3336" s="3">
        <v>1</v>
      </c>
      <c r="T3336" s="3">
        <v>5</v>
      </c>
      <c r="U3336" s="3">
        <v>100</v>
      </c>
      <c r="V3336" s="3"/>
      <c r="W3336" s="3">
        <v>1</v>
      </c>
      <c r="X3336" s="3">
        <v>1</v>
      </c>
      <c r="Y3336" s="3">
        <v>0</v>
      </c>
      <c r="Z3336" s="3">
        <v>0</v>
      </c>
      <c r="AA3336" s="3">
        <v>5</v>
      </c>
      <c r="AB3336" s="3">
        <v>2000</v>
      </c>
      <c r="AC3336" s="3">
        <v>70</v>
      </c>
      <c r="AD3336" s="153">
        <v>0</v>
      </c>
      <c r="AE3336" s="153">
        <v>5</v>
      </c>
      <c r="AF3336" s="153">
        <v>2</v>
      </c>
      <c r="AG3336" s="337"/>
      <c r="AH3336" s="337"/>
      <c r="AI3336" s="337"/>
      <c r="AJ3336" s="337"/>
      <c r="AK3336" s="337"/>
      <c r="AL3336" s="234"/>
      <c r="AM3336" s="234"/>
      <c r="AN3336" s="476"/>
      <c r="AO3336" s="234"/>
      <c r="AP3336" s="234"/>
      <c r="AQ3336" s="3"/>
      <c r="AR3336" s="3"/>
      <c r="AS3336">
        <v>1</v>
      </c>
    </row>
    <row r="3337" spans="1:45">
      <c r="A3337" s="3">
        <v>619606</v>
      </c>
      <c r="B3337" s="128">
        <v>1001</v>
      </c>
      <c r="C3337" s="128">
        <v>6</v>
      </c>
      <c r="D3337" s="128">
        <v>1001</v>
      </c>
      <c r="E3337" s="128" t="s">
        <v>5550</v>
      </c>
      <c r="F3337" s="128" t="s">
        <v>5550</v>
      </c>
      <c r="G3337" s="128" t="s">
        <v>8232</v>
      </c>
      <c r="H3337" s="3" t="s">
        <v>1531</v>
      </c>
      <c r="I3337" s="3">
        <v>1</v>
      </c>
      <c r="J3337" s="3">
        <v>5</v>
      </c>
      <c r="K3337" s="3">
        <v>2</v>
      </c>
      <c r="L3337" s="3">
        <v>999</v>
      </c>
      <c r="M3337" s="3">
        <v>0</v>
      </c>
      <c r="N3337" s="3">
        <v>1018</v>
      </c>
      <c r="O3337" s="231" t="s">
        <v>8233</v>
      </c>
      <c r="P3337" s="3"/>
      <c r="Q3337" s="3"/>
      <c r="R3337" s="3"/>
      <c r="S3337" s="3">
        <v>1</v>
      </c>
      <c r="T3337" s="3">
        <v>5</v>
      </c>
      <c r="U3337" s="3">
        <v>100</v>
      </c>
      <c r="V3337" s="3"/>
      <c r="W3337" s="3">
        <v>1</v>
      </c>
      <c r="X3337" s="3">
        <v>1</v>
      </c>
      <c r="Y3337" s="3">
        <v>0</v>
      </c>
      <c r="Z3337" s="3">
        <v>0</v>
      </c>
      <c r="AA3337" s="3">
        <v>5</v>
      </c>
      <c r="AB3337" s="3">
        <v>2000</v>
      </c>
      <c r="AC3337" s="3">
        <v>70</v>
      </c>
      <c r="AD3337" s="153">
        <v>0</v>
      </c>
      <c r="AE3337" s="153">
        <v>5</v>
      </c>
      <c r="AF3337" s="153">
        <v>2</v>
      </c>
      <c r="AG3337" s="337"/>
      <c r="AH3337" s="337"/>
      <c r="AI3337" s="337"/>
      <c r="AJ3337" s="337"/>
      <c r="AK3337" s="337"/>
      <c r="AL3337" s="234"/>
      <c r="AM3337" s="234"/>
      <c r="AN3337" s="476"/>
      <c r="AO3337" s="234"/>
      <c r="AP3337" s="234"/>
      <c r="AQ3337" s="3"/>
      <c r="AR3337" s="3"/>
      <c r="AS3337">
        <v>1</v>
      </c>
    </row>
    <row r="3338" spans="1:45">
      <c r="A3338" s="3">
        <v>619607</v>
      </c>
      <c r="B3338" s="128">
        <v>1001</v>
      </c>
      <c r="C3338" s="128">
        <v>6</v>
      </c>
      <c r="D3338" s="128">
        <v>1001</v>
      </c>
      <c r="E3338" s="128" t="s">
        <v>8234</v>
      </c>
      <c r="F3338" s="128" t="s">
        <v>8234</v>
      </c>
      <c r="G3338" s="395" t="s">
        <v>8235</v>
      </c>
      <c r="H3338" s="3" t="s">
        <v>1825</v>
      </c>
      <c r="I3338" s="3">
        <v>1</v>
      </c>
      <c r="J3338" s="3">
        <v>5</v>
      </c>
      <c r="K3338" s="3">
        <v>2</v>
      </c>
      <c r="L3338" s="3">
        <v>999</v>
      </c>
      <c r="M3338" s="3">
        <v>0</v>
      </c>
      <c r="N3338" s="3">
        <v>1018</v>
      </c>
      <c r="O3338" s="231" t="s">
        <v>8236</v>
      </c>
      <c r="P3338" s="3"/>
      <c r="Q3338" s="3"/>
      <c r="R3338" s="3"/>
      <c r="S3338" s="3">
        <v>1</v>
      </c>
      <c r="T3338" s="3">
        <v>5</v>
      </c>
      <c r="U3338" s="3">
        <v>100</v>
      </c>
      <c r="V3338" s="3"/>
      <c r="W3338" s="3">
        <v>1</v>
      </c>
      <c r="X3338" s="3">
        <v>1</v>
      </c>
      <c r="Y3338" s="3">
        <v>0</v>
      </c>
      <c r="Z3338" s="3">
        <v>0</v>
      </c>
      <c r="AA3338" s="3">
        <v>5</v>
      </c>
      <c r="AB3338" s="3">
        <v>2000</v>
      </c>
      <c r="AC3338" s="3">
        <v>70</v>
      </c>
      <c r="AD3338" s="153">
        <v>0</v>
      </c>
      <c r="AE3338" s="153">
        <v>5</v>
      </c>
      <c r="AF3338" s="153">
        <v>2</v>
      </c>
      <c r="AG3338" s="337"/>
      <c r="AH3338" s="337"/>
      <c r="AI3338" s="337"/>
      <c r="AJ3338" s="337"/>
      <c r="AK3338" s="337"/>
      <c r="AL3338" s="234"/>
      <c r="AM3338" s="234"/>
      <c r="AN3338" s="476"/>
      <c r="AO3338" s="234"/>
      <c r="AP3338" s="234"/>
      <c r="AQ3338" s="3"/>
      <c r="AR3338" s="3"/>
      <c r="AS3338">
        <v>1</v>
      </c>
    </row>
    <row r="3339" spans="1:45">
      <c r="A3339" s="3">
        <v>619608</v>
      </c>
      <c r="B3339" s="128">
        <v>1001</v>
      </c>
      <c r="C3339" s="128">
        <v>6</v>
      </c>
      <c r="D3339" s="128">
        <v>1001</v>
      </c>
      <c r="E3339" s="128" t="s">
        <v>6494</v>
      </c>
      <c r="F3339" s="128" t="s">
        <v>6494</v>
      </c>
      <c r="G3339" s="238" t="s">
        <v>8237</v>
      </c>
      <c r="H3339" s="3" t="s">
        <v>1825</v>
      </c>
      <c r="I3339" s="3">
        <v>1</v>
      </c>
      <c r="J3339" s="3">
        <v>5</v>
      </c>
      <c r="K3339" s="3">
        <v>2</v>
      </c>
      <c r="L3339" s="3">
        <v>999</v>
      </c>
      <c r="M3339" s="3">
        <v>0</v>
      </c>
      <c r="N3339" s="3">
        <v>1018</v>
      </c>
      <c r="O3339" s="2" t="s">
        <v>8238</v>
      </c>
      <c r="P3339" s="3"/>
      <c r="Q3339" s="3"/>
      <c r="R3339" s="3"/>
      <c r="S3339" s="3">
        <v>1</v>
      </c>
      <c r="T3339" s="3">
        <v>5</v>
      </c>
      <c r="U3339" s="3">
        <v>100</v>
      </c>
      <c r="V3339" s="3"/>
      <c r="W3339" s="3">
        <v>1</v>
      </c>
      <c r="X3339" s="3">
        <v>1</v>
      </c>
      <c r="Y3339" s="3">
        <v>0</v>
      </c>
      <c r="Z3339" s="3">
        <v>0</v>
      </c>
      <c r="AA3339" s="3">
        <v>5</v>
      </c>
      <c r="AB3339" s="3">
        <v>2000</v>
      </c>
      <c r="AC3339" s="3">
        <v>70</v>
      </c>
      <c r="AD3339" s="153">
        <v>0</v>
      </c>
      <c r="AE3339" s="153">
        <v>5</v>
      </c>
      <c r="AF3339" s="153">
        <v>2</v>
      </c>
      <c r="AG3339" s="337"/>
      <c r="AH3339" s="337"/>
      <c r="AI3339" s="337"/>
      <c r="AJ3339" s="337"/>
      <c r="AK3339" s="337"/>
      <c r="AL3339" s="234"/>
      <c r="AM3339" s="234"/>
      <c r="AN3339" s="476"/>
      <c r="AO3339" s="234"/>
      <c r="AP3339" s="234"/>
      <c r="AQ3339" s="3"/>
      <c r="AR3339" s="3"/>
      <c r="AS3339">
        <v>1</v>
      </c>
    </row>
    <row r="3340" spans="1:45">
      <c r="A3340" s="3">
        <v>619609</v>
      </c>
      <c r="B3340" s="128">
        <v>1001</v>
      </c>
      <c r="C3340" s="128">
        <v>6</v>
      </c>
      <c r="D3340" s="128">
        <v>1001</v>
      </c>
      <c r="E3340" s="128" t="s">
        <v>5550</v>
      </c>
      <c r="F3340" s="128" t="s">
        <v>5550</v>
      </c>
      <c r="G3340" s="128" t="s">
        <v>8239</v>
      </c>
      <c r="H3340" s="3" t="s">
        <v>1531</v>
      </c>
      <c r="I3340" s="3">
        <v>1</v>
      </c>
      <c r="J3340" s="3">
        <v>5</v>
      </c>
      <c r="K3340" s="3">
        <v>2</v>
      </c>
      <c r="L3340" s="3">
        <v>999</v>
      </c>
      <c r="M3340" s="3">
        <v>0</v>
      </c>
      <c r="N3340" s="3">
        <v>1018</v>
      </c>
      <c r="O3340" s="231" t="s">
        <v>8240</v>
      </c>
      <c r="P3340" s="3"/>
      <c r="Q3340" s="3"/>
      <c r="R3340" s="3"/>
      <c r="S3340" s="3">
        <v>1</v>
      </c>
      <c r="T3340" s="3">
        <v>5</v>
      </c>
      <c r="U3340" s="3">
        <v>100</v>
      </c>
      <c r="V3340" s="3"/>
      <c r="W3340" s="3">
        <v>1</v>
      </c>
      <c r="X3340" s="3">
        <v>1</v>
      </c>
      <c r="Y3340" s="3">
        <v>0</v>
      </c>
      <c r="Z3340" s="3">
        <v>0</v>
      </c>
      <c r="AA3340" s="3">
        <v>5</v>
      </c>
      <c r="AB3340" s="3">
        <v>2000</v>
      </c>
      <c r="AC3340" s="3">
        <v>70</v>
      </c>
      <c r="AD3340" s="153">
        <v>0</v>
      </c>
      <c r="AE3340" s="153">
        <v>5</v>
      </c>
      <c r="AF3340" s="153">
        <v>2</v>
      </c>
      <c r="AG3340" s="337"/>
      <c r="AH3340" s="337"/>
      <c r="AI3340" s="337"/>
      <c r="AJ3340" s="337"/>
      <c r="AK3340" s="337"/>
      <c r="AL3340" s="234"/>
      <c r="AM3340" s="234"/>
      <c r="AN3340" s="476"/>
      <c r="AO3340" s="234"/>
      <c r="AP3340" s="234"/>
      <c r="AQ3340" s="3"/>
      <c r="AR3340" s="3"/>
      <c r="AS3340">
        <v>1</v>
      </c>
    </row>
    <row r="3341" spans="1:45">
      <c r="A3341" s="3">
        <v>619610</v>
      </c>
      <c r="B3341" s="128">
        <v>1001</v>
      </c>
      <c r="C3341" s="128">
        <v>1</v>
      </c>
      <c r="D3341" s="128">
        <v>1001</v>
      </c>
      <c r="E3341" s="128" t="s">
        <v>8241</v>
      </c>
      <c r="F3341" s="128" t="s">
        <v>8241</v>
      </c>
      <c r="G3341" s="128" t="s">
        <v>8242</v>
      </c>
      <c r="H3341" s="3" t="s">
        <v>5642</v>
      </c>
      <c r="I3341" s="3">
        <v>1</v>
      </c>
      <c r="J3341" s="3">
        <v>5</v>
      </c>
      <c r="K3341" s="3">
        <v>1</v>
      </c>
      <c r="L3341" s="3">
        <v>999</v>
      </c>
      <c r="M3341" s="3">
        <v>0</v>
      </c>
      <c r="N3341" s="3"/>
      <c r="O3341" s="231"/>
      <c r="P3341" s="3"/>
      <c r="Q3341" s="3"/>
      <c r="R3341" s="3"/>
      <c r="S3341" s="3">
        <v>1</v>
      </c>
      <c r="T3341" s="3">
        <v>5</v>
      </c>
      <c r="U3341" s="3">
        <v>1</v>
      </c>
      <c r="V3341" s="3">
        <v>1</v>
      </c>
      <c r="W3341" s="3">
        <v>1</v>
      </c>
      <c r="X3341" s="3">
        <v>1</v>
      </c>
      <c r="Y3341" s="3">
        <v>0</v>
      </c>
      <c r="Z3341" s="3">
        <v>0</v>
      </c>
      <c r="AA3341" s="3">
        <v>5</v>
      </c>
      <c r="AB3341" s="3">
        <v>100</v>
      </c>
      <c r="AC3341" s="3">
        <v>900</v>
      </c>
      <c r="AD3341" s="153">
        <v>0</v>
      </c>
      <c r="AE3341" s="153"/>
      <c r="AF3341" s="153"/>
      <c r="AG3341" s="337"/>
      <c r="AH3341" s="337"/>
      <c r="AI3341" s="337"/>
      <c r="AJ3341" s="337"/>
      <c r="AK3341" s="337"/>
      <c r="AL3341" s="234">
        <v>1</v>
      </c>
      <c r="AM3341" s="234"/>
      <c r="AN3341" s="476"/>
      <c r="AO3341" s="234"/>
      <c r="AP3341" s="234"/>
      <c r="AQ3341" s="3" t="s">
        <v>5643</v>
      </c>
      <c r="AR3341" s="3">
        <v>1</v>
      </c>
      <c r="AS3341">
        <v>1</v>
      </c>
    </row>
    <row r="3342" spans="1:45">
      <c r="A3342" s="3">
        <v>619611</v>
      </c>
      <c r="B3342" s="128">
        <v>1001</v>
      </c>
      <c r="C3342" s="128">
        <v>1</v>
      </c>
      <c r="D3342" s="128">
        <v>1001</v>
      </c>
      <c r="E3342" s="128" t="s">
        <v>8243</v>
      </c>
      <c r="F3342" s="128" t="s">
        <v>8243</v>
      </c>
      <c r="G3342" s="128" t="s">
        <v>8244</v>
      </c>
      <c r="H3342" s="3" t="s">
        <v>5646</v>
      </c>
      <c r="I3342" s="3">
        <v>1</v>
      </c>
      <c r="J3342" s="3">
        <v>5</v>
      </c>
      <c r="K3342" s="3">
        <v>1</v>
      </c>
      <c r="L3342" s="3">
        <v>999</v>
      </c>
      <c r="M3342" s="3">
        <v>0</v>
      </c>
      <c r="N3342" s="3"/>
      <c r="O3342" s="231"/>
      <c r="P3342" s="3"/>
      <c r="Q3342" s="3"/>
      <c r="R3342" s="3"/>
      <c r="S3342" s="3">
        <v>1</v>
      </c>
      <c r="T3342" s="3">
        <v>5</v>
      </c>
      <c r="U3342" s="3">
        <v>1</v>
      </c>
      <c r="V3342" s="3">
        <v>1</v>
      </c>
      <c r="W3342" s="3">
        <v>1</v>
      </c>
      <c r="X3342" s="3">
        <v>1</v>
      </c>
      <c r="Y3342" s="3">
        <v>0</v>
      </c>
      <c r="Z3342" s="3">
        <v>0</v>
      </c>
      <c r="AA3342" s="3">
        <v>5</v>
      </c>
      <c r="AB3342" s="3">
        <v>100</v>
      </c>
      <c r="AC3342" s="3">
        <v>900</v>
      </c>
      <c r="AD3342" s="153">
        <v>0</v>
      </c>
      <c r="AE3342" s="153"/>
      <c r="AF3342" s="153"/>
      <c r="AG3342" s="337"/>
      <c r="AH3342" s="337"/>
      <c r="AI3342" s="337"/>
      <c r="AJ3342" s="337"/>
      <c r="AK3342" s="337"/>
      <c r="AL3342" s="234">
        <v>1</v>
      </c>
      <c r="AM3342" s="234"/>
      <c r="AN3342" s="476"/>
      <c r="AO3342" s="234"/>
      <c r="AP3342" s="234"/>
      <c r="AQ3342" s="3" t="s">
        <v>5643</v>
      </c>
      <c r="AR3342" s="3">
        <v>1</v>
      </c>
      <c r="AS3342">
        <v>1</v>
      </c>
    </row>
    <row r="3343" spans="1:45">
      <c r="A3343" s="3">
        <v>619612</v>
      </c>
      <c r="B3343" s="128">
        <v>1001</v>
      </c>
      <c r="C3343" s="128">
        <v>6</v>
      </c>
      <c r="D3343" s="128">
        <v>1001</v>
      </c>
      <c r="E3343" s="128" t="s">
        <v>8245</v>
      </c>
      <c r="F3343" s="128" t="s">
        <v>8245</v>
      </c>
      <c r="G3343" s="128" t="s">
        <v>7488</v>
      </c>
      <c r="H3343" s="3" t="s">
        <v>5625</v>
      </c>
      <c r="I3343" s="3">
        <v>1</v>
      </c>
      <c r="J3343" s="3">
        <v>5</v>
      </c>
      <c r="K3343" s="3">
        <v>2</v>
      </c>
      <c r="L3343" s="3">
        <v>999</v>
      </c>
      <c r="M3343" s="3">
        <v>0</v>
      </c>
      <c r="N3343" s="3">
        <v>1017</v>
      </c>
      <c r="O3343" s="231">
        <v>300104</v>
      </c>
      <c r="P3343" s="3"/>
      <c r="Q3343" s="3"/>
      <c r="R3343" s="3"/>
      <c r="S3343" s="3">
        <v>1</v>
      </c>
      <c r="T3343" s="3">
        <v>5</v>
      </c>
      <c r="U3343" s="3">
        <v>1</v>
      </c>
      <c r="V3343" s="3">
        <v>1</v>
      </c>
      <c r="W3343" s="3">
        <v>1</v>
      </c>
      <c r="X3343" s="3">
        <v>1</v>
      </c>
      <c r="Y3343" s="3">
        <v>0</v>
      </c>
      <c r="Z3343" s="3">
        <v>0</v>
      </c>
      <c r="AA3343" s="3">
        <v>5</v>
      </c>
      <c r="AB3343" s="3">
        <v>100</v>
      </c>
      <c r="AC3343" s="3">
        <v>56</v>
      </c>
      <c r="AD3343" s="153">
        <v>0</v>
      </c>
      <c r="AE3343" s="153">
        <v>4</v>
      </c>
      <c r="AF3343" s="153">
        <v>2</v>
      </c>
      <c r="AG3343" s="337"/>
      <c r="AH3343" s="337"/>
      <c r="AI3343" s="337"/>
      <c r="AJ3343" s="337"/>
      <c r="AK3343" s="337"/>
      <c r="AL3343" s="234">
        <v>1</v>
      </c>
      <c r="AM3343" s="234"/>
      <c r="AN3343" s="476"/>
      <c r="AO3343" s="234"/>
      <c r="AP3343" s="234"/>
      <c r="AQ3343" s="3"/>
      <c r="AR3343" s="3"/>
      <c r="AS3343">
        <v>1</v>
      </c>
    </row>
    <row r="3344" spans="1:45">
      <c r="A3344" s="3">
        <v>619613</v>
      </c>
      <c r="B3344" s="128">
        <v>1001</v>
      </c>
      <c r="C3344" s="128">
        <v>6</v>
      </c>
      <c r="D3344" s="128">
        <v>1001</v>
      </c>
      <c r="E3344" s="128" t="s">
        <v>8025</v>
      </c>
      <c r="F3344" s="128" t="s">
        <v>8025</v>
      </c>
      <c r="G3344" s="128" t="s">
        <v>8246</v>
      </c>
      <c r="H3344" s="3" t="s">
        <v>1531</v>
      </c>
      <c r="I3344" s="3">
        <v>1</v>
      </c>
      <c r="J3344" s="3">
        <v>5</v>
      </c>
      <c r="K3344" s="3">
        <v>2</v>
      </c>
      <c r="L3344" s="3">
        <v>999</v>
      </c>
      <c r="M3344" s="3">
        <v>0</v>
      </c>
      <c r="N3344" s="3">
        <v>1018</v>
      </c>
      <c r="O3344" s="231" t="s">
        <v>8027</v>
      </c>
      <c r="P3344" s="3"/>
      <c r="Q3344" s="3"/>
      <c r="R3344" s="3"/>
      <c r="S3344" s="3">
        <v>1</v>
      </c>
      <c r="T3344" s="3">
        <v>5</v>
      </c>
      <c r="U3344" s="3">
        <v>100</v>
      </c>
      <c r="V3344" s="3"/>
      <c r="W3344" s="3">
        <v>1</v>
      </c>
      <c r="X3344" s="3">
        <v>1</v>
      </c>
      <c r="Y3344" s="3">
        <v>0</v>
      </c>
      <c r="Z3344" s="3">
        <v>0</v>
      </c>
      <c r="AA3344" s="3">
        <v>5</v>
      </c>
      <c r="AB3344" s="3">
        <v>2000</v>
      </c>
      <c r="AC3344" s="3">
        <v>70</v>
      </c>
      <c r="AD3344" s="153">
        <v>0</v>
      </c>
      <c r="AE3344" s="153">
        <v>5</v>
      </c>
      <c r="AF3344" s="153">
        <v>2</v>
      </c>
      <c r="AG3344" s="337"/>
      <c r="AH3344" s="337"/>
      <c r="AI3344" s="337"/>
      <c r="AJ3344" s="337"/>
      <c r="AK3344" s="337"/>
      <c r="AL3344" s="234"/>
      <c r="AM3344" s="234"/>
      <c r="AN3344" s="476"/>
      <c r="AO3344" s="234"/>
      <c r="AP3344" s="234"/>
      <c r="AQ3344" s="3"/>
      <c r="AR3344" s="3"/>
      <c r="AS3344">
        <v>1</v>
      </c>
    </row>
    <row r="3345" spans="1:45">
      <c r="A3345" s="3">
        <v>619614</v>
      </c>
      <c r="B3345" s="128">
        <v>1001</v>
      </c>
      <c r="C3345" s="128">
        <v>6</v>
      </c>
      <c r="D3345" s="128">
        <v>1001</v>
      </c>
      <c r="E3345" s="128" t="s">
        <v>8247</v>
      </c>
      <c r="F3345" s="128" t="s">
        <v>8247</v>
      </c>
      <c r="G3345" s="128" t="s">
        <v>8248</v>
      </c>
      <c r="H3345" s="3" t="s">
        <v>1667</v>
      </c>
      <c r="I3345" s="3">
        <v>1</v>
      </c>
      <c r="J3345" s="3">
        <v>5</v>
      </c>
      <c r="K3345" s="3">
        <v>2</v>
      </c>
      <c r="L3345" s="3">
        <v>999</v>
      </c>
      <c r="M3345" s="3">
        <v>0</v>
      </c>
      <c r="N3345" s="3">
        <v>1017</v>
      </c>
      <c r="O3345" s="231">
        <v>300105</v>
      </c>
      <c r="P3345" s="3"/>
      <c r="Q3345" s="3"/>
      <c r="R3345" s="3"/>
      <c r="S3345" s="3">
        <v>1</v>
      </c>
      <c r="T3345" s="3">
        <v>5</v>
      </c>
      <c r="U3345" s="3">
        <v>100</v>
      </c>
      <c r="V3345" s="3"/>
      <c r="W3345" s="3">
        <v>1</v>
      </c>
      <c r="X3345" s="3">
        <v>1</v>
      </c>
      <c r="Y3345" s="3">
        <v>0</v>
      </c>
      <c r="Z3345" s="3">
        <v>0</v>
      </c>
      <c r="AA3345" s="3">
        <v>5</v>
      </c>
      <c r="AB3345" s="3">
        <v>2000</v>
      </c>
      <c r="AC3345" s="3">
        <v>56</v>
      </c>
      <c r="AD3345" s="153">
        <v>0</v>
      </c>
      <c r="AE3345" s="153">
        <v>4</v>
      </c>
      <c r="AF3345" s="153">
        <v>2</v>
      </c>
      <c r="AG3345" s="337"/>
      <c r="AH3345" s="337"/>
      <c r="AI3345" s="337"/>
      <c r="AJ3345" s="337"/>
      <c r="AK3345" s="337"/>
      <c r="AL3345" s="234"/>
      <c r="AM3345" s="234"/>
      <c r="AN3345" s="476"/>
      <c r="AO3345" s="234"/>
      <c r="AP3345" s="234"/>
      <c r="AQ3345" s="3"/>
      <c r="AR3345" s="3"/>
      <c r="AS3345">
        <v>1</v>
      </c>
    </row>
    <row r="3346" spans="1:45">
      <c r="A3346" s="3">
        <v>619615</v>
      </c>
      <c r="B3346" s="128">
        <v>1001</v>
      </c>
      <c r="C3346" s="128">
        <v>6</v>
      </c>
      <c r="D3346" s="128">
        <v>1001</v>
      </c>
      <c r="E3346" s="128" t="s">
        <v>8249</v>
      </c>
      <c r="F3346" s="128" t="s">
        <v>8249</v>
      </c>
      <c r="G3346" s="128" t="s">
        <v>8250</v>
      </c>
      <c r="H3346" s="3" t="s">
        <v>1667</v>
      </c>
      <c r="I3346" s="3">
        <v>1</v>
      </c>
      <c r="J3346" s="3">
        <v>5</v>
      </c>
      <c r="K3346" s="3">
        <v>2</v>
      </c>
      <c r="L3346" s="3">
        <v>999</v>
      </c>
      <c r="M3346" s="3">
        <v>0</v>
      </c>
      <c r="N3346" s="3">
        <v>1017</v>
      </c>
      <c r="O3346" s="231">
        <v>300106</v>
      </c>
      <c r="P3346" s="3"/>
      <c r="Q3346" s="3"/>
      <c r="R3346" s="3"/>
      <c r="S3346" s="3">
        <v>1</v>
      </c>
      <c r="T3346" s="3">
        <v>5</v>
      </c>
      <c r="U3346" s="3">
        <v>100</v>
      </c>
      <c r="V3346" s="3"/>
      <c r="W3346" s="3">
        <v>1</v>
      </c>
      <c r="X3346" s="3">
        <v>1</v>
      </c>
      <c r="Y3346" s="3">
        <v>0</v>
      </c>
      <c r="Z3346" s="3">
        <v>0</v>
      </c>
      <c r="AA3346" s="3">
        <v>5</v>
      </c>
      <c r="AB3346" s="3">
        <v>2000</v>
      </c>
      <c r="AC3346" s="3">
        <v>56</v>
      </c>
      <c r="AD3346" s="153">
        <v>0</v>
      </c>
      <c r="AE3346" s="153">
        <v>4</v>
      </c>
      <c r="AF3346" s="153">
        <v>2</v>
      </c>
      <c r="AG3346" s="337"/>
      <c r="AH3346" s="337"/>
      <c r="AI3346" s="337"/>
      <c r="AJ3346" s="337"/>
      <c r="AK3346" s="337"/>
      <c r="AL3346" s="234"/>
      <c r="AM3346" s="234"/>
      <c r="AN3346" s="476"/>
      <c r="AO3346" s="234"/>
      <c r="AP3346" s="234"/>
      <c r="AQ3346" s="3"/>
      <c r="AR3346" s="3"/>
      <c r="AS3346">
        <v>1</v>
      </c>
    </row>
    <row r="3347" spans="1:45">
      <c r="A3347" s="3">
        <v>619616</v>
      </c>
      <c r="B3347" s="128">
        <v>1001</v>
      </c>
      <c r="C3347" s="128">
        <v>6</v>
      </c>
      <c r="D3347" s="128">
        <v>1001</v>
      </c>
      <c r="E3347" s="128" t="s">
        <v>8251</v>
      </c>
      <c r="F3347" s="128" t="s">
        <v>8251</v>
      </c>
      <c r="G3347" s="128" t="s">
        <v>8252</v>
      </c>
      <c r="H3347" s="3" t="s">
        <v>1531</v>
      </c>
      <c r="I3347" s="3">
        <v>1</v>
      </c>
      <c r="J3347" s="3">
        <v>5</v>
      </c>
      <c r="K3347" s="3">
        <v>2</v>
      </c>
      <c r="L3347" s="3">
        <v>999</v>
      </c>
      <c r="M3347" s="3">
        <v>0</v>
      </c>
      <c r="N3347" s="3">
        <v>1018</v>
      </c>
      <c r="O3347" s="231" t="s">
        <v>8253</v>
      </c>
      <c r="P3347" s="3"/>
      <c r="Q3347" s="3"/>
      <c r="R3347" s="3"/>
      <c r="S3347" s="3">
        <v>1</v>
      </c>
      <c r="T3347" s="3">
        <v>5</v>
      </c>
      <c r="U3347" s="3">
        <v>100</v>
      </c>
      <c r="V3347" s="3"/>
      <c r="W3347" s="3">
        <v>1</v>
      </c>
      <c r="X3347" s="3">
        <v>1</v>
      </c>
      <c r="Y3347" s="3">
        <v>0</v>
      </c>
      <c r="Z3347" s="3">
        <v>0</v>
      </c>
      <c r="AA3347" s="3">
        <v>5</v>
      </c>
      <c r="AB3347" s="3">
        <v>2000</v>
      </c>
      <c r="AC3347" s="3">
        <v>70</v>
      </c>
      <c r="AD3347" s="153">
        <v>0</v>
      </c>
      <c r="AE3347" s="153">
        <v>5</v>
      </c>
      <c r="AF3347" s="153">
        <v>2</v>
      </c>
      <c r="AG3347" s="337"/>
      <c r="AH3347" s="337"/>
      <c r="AI3347" s="337"/>
      <c r="AJ3347" s="337"/>
      <c r="AK3347" s="337"/>
      <c r="AL3347" s="234"/>
      <c r="AM3347" s="234"/>
      <c r="AN3347" s="476"/>
      <c r="AO3347" s="234"/>
      <c r="AP3347" s="234"/>
      <c r="AQ3347" s="3"/>
      <c r="AR3347" s="3"/>
      <c r="AS3347">
        <v>1</v>
      </c>
    </row>
    <row r="3348" spans="1:45">
      <c r="A3348" s="3">
        <v>619617</v>
      </c>
      <c r="B3348" s="128">
        <v>1001</v>
      </c>
      <c r="C3348" s="128">
        <v>6</v>
      </c>
      <c r="D3348" s="128">
        <v>1001</v>
      </c>
      <c r="E3348" s="128" t="s">
        <v>5550</v>
      </c>
      <c r="F3348" s="128" t="s">
        <v>5550</v>
      </c>
      <c r="G3348" s="128" t="s">
        <v>8254</v>
      </c>
      <c r="H3348" s="3" t="s">
        <v>1531</v>
      </c>
      <c r="I3348" s="3">
        <v>1</v>
      </c>
      <c r="J3348" s="3">
        <v>5</v>
      </c>
      <c r="K3348" s="3">
        <v>2</v>
      </c>
      <c r="L3348" s="3">
        <v>999</v>
      </c>
      <c r="M3348" s="3">
        <v>0</v>
      </c>
      <c r="N3348" s="3">
        <v>1018</v>
      </c>
      <c r="O3348" s="231" t="s">
        <v>8255</v>
      </c>
      <c r="P3348" s="3"/>
      <c r="Q3348" s="3"/>
      <c r="R3348" s="3"/>
      <c r="S3348" s="3">
        <v>1</v>
      </c>
      <c r="T3348" s="3">
        <v>5</v>
      </c>
      <c r="U3348" s="3">
        <v>100</v>
      </c>
      <c r="V3348" s="3"/>
      <c r="W3348" s="3">
        <v>1</v>
      </c>
      <c r="X3348" s="3">
        <v>1</v>
      </c>
      <c r="Y3348" s="3">
        <v>0</v>
      </c>
      <c r="Z3348" s="3">
        <v>0</v>
      </c>
      <c r="AA3348" s="3">
        <v>5</v>
      </c>
      <c r="AB3348" s="3">
        <v>2000</v>
      </c>
      <c r="AC3348" s="3">
        <v>70</v>
      </c>
      <c r="AD3348" s="153">
        <v>0</v>
      </c>
      <c r="AE3348" s="153">
        <v>5</v>
      </c>
      <c r="AF3348" s="153">
        <v>2</v>
      </c>
      <c r="AG3348" s="337"/>
      <c r="AH3348" s="337"/>
      <c r="AI3348" s="337"/>
      <c r="AJ3348" s="337"/>
      <c r="AK3348" s="337"/>
      <c r="AL3348" s="234"/>
      <c r="AM3348" s="234"/>
      <c r="AN3348" s="476"/>
      <c r="AO3348" s="234"/>
      <c r="AP3348" s="234"/>
      <c r="AQ3348" s="3"/>
      <c r="AR3348" s="3"/>
      <c r="AS3348">
        <v>1</v>
      </c>
    </row>
    <row r="3349" spans="1:45">
      <c r="A3349" s="3">
        <v>619618</v>
      </c>
      <c r="B3349" s="128">
        <v>1001</v>
      </c>
      <c r="C3349" s="128">
        <v>6</v>
      </c>
      <c r="D3349" s="128">
        <v>1001</v>
      </c>
      <c r="E3349" s="128" t="s">
        <v>5550</v>
      </c>
      <c r="F3349" s="128" t="s">
        <v>5550</v>
      </c>
      <c r="G3349" s="128" t="s">
        <v>8256</v>
      </c>
      <c r="H3349" s="3" t="s">
        <v>1531</v>
      </c>
      <c r="I3349" s="3">
        <v>1</v>
      </c>
      <c r="J3349" s="3">
        <v>5</v>
      </c>
      <c r="K3349" s="3">
        <v>2</v>
      </c>
      <c r="L3349" s="3">
        <v>999</v>
      </c>
      <c r="M3349" s="3">
        <v>0</v>
      </c>
      <c r="N3349" s="3">
        <v>1018</v>
      </c>
      <c r="O3349" s="231" t="s">
        <v>8257</v>
      </c>
      <c r="P3349" s="3"/>
      <c r="Q3349" s="3"/>
      <c r="R3349" s="3"/>
      <c r="S3349" s="3">
        <v>1</v>
      </c>
      <c r="T3349" s="3">
        <v>5</v>
      </c>
      <c r="U3349" s="3">
        <v>100</v>
      </c>
      <c r="V3349" s="3"/>
      <c r="W3349" s="3">
        <v>1</v>
      </c>
      <c r="X3349" s="3">
        <v>1</v>
      </c>
      <c r="Y3349" s="3">
        <v>0</v>
      </c>
      <c r="Z3349" s="3">
        <v>0</v>
      </c>
      <c r="AA3349" s="3">
        <v>5</v>
      </c>
      <c r="AB3349" s="3">
        <v>2000</v>
      </c>
      <c r="AC3349" s="3">
        <v>70</v>
      </c>
      <c r="AD3349" s="153">
        <v>0</v>
      </c>
      <c r="AE3349" s="153">
        <v>5</v>
      </c>
      <c r="AF3349" s="153">
        <v>2</v>
      </c>
      <c r="AG3349" s="337"/>
      <c r="AH3349" s="337"/>
      <c r="AI3349" s="337"/>
      <c r="AJ3349" s="337"/>
      <c r="AK3349" s="337"/>
      <c r="AL3349" s="234"/>
      <c r="AM3349" s="234"/>
      <c r="AN3349" s="476"/>
      <c r="AO3349" s="234"/>
      <c r="AP3349" s="234"/>
      <c r="AQ3349" s="3"/>
      <c r="AR3349" s="3"/>
      <c r="AS3349">
        <v>1</v>
      </c>
    </row>
    <row r="3350" spans="1:45">
      <c r="A3350" s="3">
        <v>619619</v>
      </c>
      <c r="B3350" s="128">
        <v>1001</v>
      </c>
      <c r="C3350" s="128">
        <v>6</v>
      </c>
      <c r="D3350" s="128">
        <v>1001</v>
      </c>
      <c r="E3350" s="128" t="s">
        <v>8220</v>
      </c>
      <c r="F3350" s="128" t="s">
        <v>8220</v>
      </c>
      <c r="G3350" s="128" t="s">
        <v>8258</v>
      </c>
      <c r="H3350" s="3" t="s">
        <v>1594</v>
      </c>
      <c r="I3350" s="3">
        <v>1</v>
      </c>
      <c r="J3350" s="3">
        <v>5</v>
      </c>
      <c r="K3350" s="3">
        <v>2</v>
      </c>
      <c r="L3350" s="3">
        <v>999</v>
      </c>
      <c r="M3350" s="3">
        <v>0</v>
      </c>
      <c r="N3350" s="3">
        <v>1</v>
      </c>
      <c r="O3350" s="231" t="s">
        <v>8259</v>
      </c>
      <c r="P3350" s="3"/>
      <c r="Q3350" s="3"/>
      <c r="R3350" s="3"/>
      <c r="S3350" s="3">
        <v>1</v>
      </c>
      <c r="T3350" s="3">
        <v>5</v>
      </c>
      <c r="U3350" s="3">
        <v>100</v>
      </c>
      <c r="V3350" s="3">
        <v>1</v>
      </c>
      <c r="W3350" s="3">
        <v>1</v>
      </c>
      <c r="X3350" s="3">
        <v>1</v>
      </c>
      <c r="Y3350" s="3">
        <v>0</v>
      </c>
      <c r="Z3350" s="3">
        <v>0</v>
      </c>
      <c r="AA3350" s="3">
        <v>5</v>
      </c>
      <c r="AB3350" s="3">
        <v>100</v>
      </c>
      <c r="AC3350" s="3">
        <v>56</v>
      </c>
      <c r="AD3350" s="153">
        <v>0</v>
      </c>
      <c r="AE3350" s="153">
        <v>4</v>
      </c>
      <c r="AF3350" s="153">
        <v>2</v>
      </c>
      <c r="AG3350" s="337"/>
      <c r="AH3350" s="337"/>
      <c r="AI3350" s="337"/>
      <c r="AJ3350" s="337"/>
      <c r="AK3350" s="337"/>
      <c r="AL3350" s="234"/>
      <c r="AM3350" s="234"/>
      <c r="AN3350" s="476"/>
      <c r="AO3350" s="234"/>
      <c r="AP3350" s="234"/>
      <c r="AQ3350" s="3"/>
      <c r="AR3350" s="3"/>
      <c r="AS3350">
        <v>1</v>
      </c>
    </row>
    <row r="3351" spans="1:45">
      <c r="A3351" s="3">
        <v>619620</v>
      </c>
      <c r="B3351" s="128">
        <v>1001</v>
      </c>
      <c r="C3351" s="128">
        <v>6</v>
      </c>
      <c r="D3351" s="128">
        <v>1001</v>
      </c>
      <c r="E3351" s="128" t="s">
        <v>5550</v>
      </c>
      <c r="F3351" s="128" t="s">
        <v>5550</v>
      </c>
      <c r="G3351" s="128" t="s">
        <v>8260</v>
      </c>
      <c r="H3351" s="3" t="s">
        <v>1531</v>
      </c>
      <c r="I3351" s="3">
        <v>1</v>
      </c>
      <c r="J3351" s="3">
        <v>5</v>
      </c>
      <c r="K3351" s="3">
        <v>2</v>
      </c>
      <c r="L3351" s="3">
        <v>999</v>
      </c>
      <c r="M3351" s="3">
        <v>0</v>
      </c>
      <c r="N3351" s="3">
        <v>1018</v>
      </c>
      <c r="O3351" s="231" t="s">
        <v>8261</v>
      </c>
      <c r="P3351" s="3"/>
      <c r="Q3351" s="3"/>
      <c r="R3351" s="3"/>
      <c r="S3351" s="3">
        <v>1</v>
      </c>
      <c r="T3351" s="3">
        <v>5</v>
      </c>
      <c r="U3351" s="3">
        <v>100</v>
      </c>
      <c r="V3351" s="3"/>
      <c r="W3351" s="3">
        <v>1</v>
      </c>
      <c r="X3351" s="3">
        <v>1</v>
      </c>
      <c r="Y3351" s="3">
        <v>0</v>
      </c>
      <c r="Z3351" s="3">
        <v>0</v>
      </c>
      <c r="AA3351" s="3">
        <v>5</v>
      </c>
      <c r="AB3351" s="3">
        <v>2000</v>
      </c>
      <c r="AC3351" s="3">
        <v>70</v>
      </c>
      <c r="AD3351" s="153">
        <v>0</v>
      </c>
      <c r="AE3351" s="153">
        <v>5</v>
      </c>
      <c r="AF3351" s="153">
        <v>2</v>
      </c>
      <c r="AG3351" s="337"/>
      <c r="AH3351" s="337"/>
      <c r="AI3351" s="337"/>
      <c r="AJ3351" s="337"/>
      <c r="AK3351" s="337"/>
      <c r="AL3351" s="234"/>
      <c r="AM3351" s="234"/>
      <c r="AN3351" s="476"/>
      <c r="AO3351" s="234"/>
      <c r="AP3351" s="234"/>
      <c r="AQ3351" s="3"/>
      <c r="AR3351" s="3"/>
      <c r="AS3351">
        <v>1</v>
      </c>
    </row>
    <row r="3352" spans="1:45">
      <c r="A3352" s="3">
        <v>619621</v>
      </c>
      <c r="B3352" s="128">
        <v>1001</v>
      </c>
      <c r="C3352" s="128">
        <v>6</v>
      </c>
      <c r="D3352" s="128">
        <v>1001</v>
      </c>
      <c r="E3352" s="128" t="s">
        <v>8262</v>
      </c>
      <c r="F3352" s="128" t="s">
        <v>8262</v>
      </c>
      <c r="G3352" s="128" t="s">
        <v>8263</v>
      </c>
      <c r="H3352" s="3" t="s">
        <v>1667</v>
      </c>
      <c r="I3352" s="3">
        <v>1</v>
      </c>
      <c r="J3352" s="3">
        <v>5</v>
      </c>
      <c r="K3352" s="3">
        <v>2</v>
      </c>
      <c r="L3352" s="3">
        <v>999</v>
      </c>
      <c r="M3352" s="3">
        <v>0</v>
      </c>
      <c r="N3352" s="3">
        <v>1017</v>
      </c>
      <c r="O3352" s="231">
        <v>300107</v>
      </c>
      <c r="P3352" s="3"/>
      <c r="Q3352" s="3"/>
      <c r="R3352" s="3"/>
      <c r="S3352" s="3">
        <v>1</v>
      </c>
      <c r="T3352" s="3">
        <v>5</v>
      </c>
      <c r="U3352" s="3">
        <v>100</v>
      </c>
      <c r="V3352" s="3"/>
      <c r="W3352" s="3">
        <v>1</v>
      </c>
      <c r="X3352" s="3">
        <v>1</v>
      </c>
      <c r="Y3352" s="3">
        <v>0</v>
      </c>
      <c r="Z3352" s="3">
        <v>0</v>
      </c>
      <c r="AA3352" s="3">
        <v>5</v>
      </c>
      <c r="AB3352" s="3">
        <v>2000</v>
      </c>
      <c r="AC3352" s="3">
        <v>56</v>
      </c>
      <c r="AD3352" s="153">
        <v>0</v>
      </c>
      <c r="AE3352" s="153">
        <v>4</v>
      </c>
      <c r="AF3352" s="153">
        <v>2</v>
      </c>
      <c r="AG3352" s="337"/>
      <c r="AH3352" s="337"/>
      <c r="AI3352" s="337"/>
      <c r="AJ3352" s="337"/>
      <c r="AK3352" s="337"/>
      <c r="AL3352" s="234"/>
      <c r="AM3352" s="234"/>
      <c r="AN3352" s="476"/>
      <c r="AO3352" s="234"/>
      <c r="AP3352" s="234"/>
      <c r="AQ3352" s="3"/>
      <c r="AR3352" s="3"/>
      <c r="AS3352">
        <v>1</v>
      </c>
    </row>
    <row r="3353" spans="1:45">
      <c r="A3353" s="3">
        <v>619622</v>
      </c>
      <c r="B3353" s="128">
        <v>1001</v>
      </c>
      <c r="C3353" s="128">
        <v>6</v>
      </c>
      <c r="D3353" s="128">
        <v>1001</v>
      </c>
      <c r="E3353" s="128" t="s">
        <v>5550</v>
      </c>
      <c r="F3353" s="128" t="s">
        <v>5550</v>
      </c>
      <c r="G3353" s="128" t="s">
        <v>8264</v>
      </c>
      <c r="H3353" s="3" t="s">
        <v>1531</v>
      </c>
      <c r="I3353" s="3">
        <v>1</v>
      </c>
      <c r="J3353" s="3">
        <v>5</v>
      </c>
      <c r="K3353" s="3">
        <v>2</v>
      </c>
      <c r="L3353" s="3">
        <v>999</v>
      </c>
      <c r="M3353" s="3">
        <v>0</v>
      </c>
      <c r="N3353" s="3">
        <v>1018</v>
      </c>
      <c r="O3353" s="231" t="s">
        <v>8265</v>
      </c>
      <c r="P3353" s="3"/>
      <c r="Q3353" s="3"/>
      <c r="R3353" s="3"/>
      <c r="S3353" s="3">
        <v>1</v>
      </c>
      <c r="T3353" s="3">
        <v>5</v>
      </c>
      <c r="U3353" s="3">
        <v>100</v>
      </c>
      <c r="V3353" s="3"/>
      <c r="W3353" s="3">
        <v>1</v>
      </c>
      <c r="X3353" s="3">
        <v>1</v>
      </c>
      <c r="Y3353" s="3">
        <v>0</v>
      </c>
      <c r="Z3353" s="3">
        <v>0</v>
      </c>
      <c r="AA3353" s="3">
        <v>5</v>
      </c>
      <c r="AB3353" s="3">
        <v>2000</v>
      </c>
      <c r="AC3353" s="3">
        <v>70</v>
      </c>
      <c r="AD3353" s="153">
        <v>0</v>
      </c>
      <c r="AE3353" s="153">
        <v>5</v>
      </c>
      <c r="AF3353" s="153">
        <v>2</v>
      </c>
      <c r="AG3353" s="337"/>
      <c r="AH3353" s="337"/>
      <c r="AI3353" s="337"/>
      <c r="AJ3353" s="337"/>
      <c r="AK3353" s="337"/>
      <c r="AL3353" s="234"/>
      <c r="AM3353" s="234"/>
      <c r="AN3353" s="476"/>
      <c r="AO3353" s="234"/>
      <c r="AP3353" s="234"/>
      <c r="AQ3353" s="3"/>
      <c r="AR3353" s="3"/>
      <c r="AS3353">
        <v>1</v>
      </c>
    </row>
    <row r="3354" spans="1:45">
      <c r="A3354" s="3">
        <v>619623</v>
      </c>
      <c r="B3354" s="128">
        <v>1001</v>
      </c>
      <c r="C3354" s="128">
        <v>1</v>
      </c>
      <c r="D3354" s="128">
        <v>1001</v>
      </c>
      <c r="E3354" s="128" t="s">
        <v>8266</v>
      </c>
      <c r="F3354" s="128" t="s">
        <v>8266</v>
      </c>
      <c r="G3354" s="128" t="s">
        <v>8267</v>
      </c>
      <c r="H3354" s="3" t="s">
        <v>8268</v>
      </c>
      <c r="I3354" s="3">
        <v>1</v>
      </c>
      <c r="J3354" s="3">
        <v>5</v>
      </c>
      <c r="K3354" s="3">
        <v>1</v>
      </c>
      <c r="L3354" s="3">
        <v>999</v>
      </c>
      <c r="M3354" s="3">
        <v>0</v>
      </c>
      <c r="N3354" s="3"/>
      <c r="O3354" s="231"/>
      <c r="P3354" s="3"/>
      <c r="Q3354" s="3"/>
      <c r="R3354" s="3"/>
      <c r="S3354" s="3">
        <v>1</v>
      </c>
      <c r="T3354" s="3">
        <v>5</v>
      </c>
      <c r="U3354" s="3">
        <v>1</v>
      </c>
      <c r="V3354" s="3">
        <v>1</v>
      </c>
      <c r="W3354" s="3">
        <v>1</v>
      </c>
      <c r="X3354" s="3">
        <v>1</v>
      </c>
      <c r="Y3354" s="3">
        <v>0</v>
      </c>
      <c r="Z3354" s="3">
        <v>0</v>
      </c>
      <c r="AA3354" s="3">
        <v>5</v>
      </c>
      <c r="AB3354" s="3">
        <v>100</v>
      </c>
      <c r="AC3354" s="3">
        <v>900</v>
      </c>
      <c r="AD3354" s="153">
        <v>0</v>
      </c>
      <c r="AE3354" s="153"/>
      <c r="AF3354" s="153"/>
      <c r="AG3354" s="337"/>
      <c r="AH3354" s="337"/>
      <c r="AI3354" s="337"/>
      <c r="AJ3354" s="337"/>
      <c r="AK3354" s="337"/>
      <c r="AL3354" s="234">
        <v>1</v>
      </c>
      <c r="AM3354" s="234"/>
      <c r="AN3354" s="476"/>
      <c r="AO3354" s="234"/>
      <c r="AP3354" s="234"/>
      <c r="AQ3354" s="3"/>
      <c r="AR3354" s="3">
        <v>1</v>
      </c>
      <c r="AS3354">
        <v>1</v>
      </c>
    </row>
    <row r="3355" spans="1:45">
      <c r="A3355" s="3">
        <v>619624</v>
      </c>
      <c r="B3355" s="128">
        <v>1001</v>
      </c>
      <c r="C3355" s="128">
        <v>6</v>
      </c>
      <c r="D3355" s="128">
        <v>1001</v>
      </c>
      <c r="E3355" s="128" t="s">
        <v>8183</v>
      </c>
      <c r="F3355" s="128" t="s">
        <v>8183</v>
      </c>
      <c r="G3355" s="128" t="s">
        <v>8269</v>
      </c>
      <c r="H3355" s="3" t="s">
        <v>204</v>
      </c>
      <c r="I3355" s="3">
        <v>1</v>
      </c>
      <c r="J3355" s="3">
        <v>5</v>
      </c>
      <c r="K3355" s="3">
        <v>2</v>
      </c>
      <c r="L3355" s="3">
        <v>999</v>
      </c>
      <c r="M3355" s="3">
        <v>0</v>
      </c>
      <c r="N3355" s="3">
        <v>1018</v>
      </c>
      <c r="O3355" s="231" t="s">
        <v>8270</v>
      </c>
      <c r="P3355" s="3"/>
      <c r="Q3355" s="3"/>
      <c r="R3355" s="3"/>
      <c r="S3355" s="3">
        <v>1</v>
      </c>
      <c r="T3355" s="3">
        <v>5</v>
      </c>
      <c r="U3355" s="3">
        <v>200</v>
      </c>
      <c r="V3355" s="3"/>
      <c r="W3355" s="3">
        <v>1</v>
      </c>
      <c r="X3355" s="3">
        <v>1</v>
      </c>
      <c r="Y3355" s="3">
        <v>0</v>
      </c>
      <c r="Z3355" s="3">
        <v>0</v>
      </c>
      <c r="AA3355" s="3">
        <v>5</v>
      </c>
      <c r="AB3355" s="3">
        <v>2000</v>
      </c>
      <c r="AC3355" s="3">
        <v>56</v>
      </c>
      <c r="AD3355" s="153">
        <v>0</v>
      </c>
      <c r="AE3355" s="153">
        <v>5</v>
      </c>
      <c r="AF3355" s="153">
        <v>2</v>
      </c>
      <c r="AG3355" s="337"/>
      <c r="AH3355" s="337"/>
      <c r="AI3355" s="337"/>
      <c r="AJ3355" s="337"/>
      <c r="AK3355" s="337"/>
      <c r="AL3355" s="234"/>
      <c r="AM3355" s="234"/>
      <c r="AN3355" s="476"/>
      <c r="AO3355" s="234"/>
      <c r="AP3355" s="234"/>
      <c r="AQ3355" s="3"/>
      <c r="AR3355" s="3"/>
      <c r="AS3355">
        <v>1</v>
      </c>
    </row>
    <row r="3356" spans="1:45">
      <c r="A3356" s="3">
        <v>619625</v>
      </c>
      <c r="B3356" s="128">
        <v>1001</v>
      </c>
      <c r="C3356" s="128">
        <v>6</v>
      </c>
      <c r="D3356" s="128">
        <v>1001</v>
      </c>
      <c r="E3356" s="128" t="s">
        <v>8271</v>
      </c>
      <c r="F3356" s="128" t="s">
        <v>8271</v>
      </c>
      <c r="G3356" s="128" t="s">
        <v>8272</v>
      </c>
      <c r="H3356" s="3" t="s">
        <v>1531</v>
      </c>
      <c r="I3356" s="3">
        <v>1</v>
      </c>
      <c r="J3356" s="3">
        <v>5</v>
      </c>
      <c r="K3356" s="3">
        <v>2</v>
      </c>
      <c r="L3356" s="3">
        <v>999</v>
      </c>
      <c r="M3356" s="3">
        <v>0</v>
      </c>
      <c r="N3356" s="3">
        <v>1018</v>
      </c>
      <c r="O3356" s="231" t="s">
        <v>8273</v>
      </c>
      <c r="P3356" s="3"/>
      <c r="Q3356" s="3"/>
      <c r="R3356" s="3"/>
      <c r="S3356" s="3">
        <v>1</v>
      </c>
      <c r="T3356" s="3">
        <v>5</v>
      </c>
      <c r="U3356" s="3">
        <v>100</v>
      </c>
      <c r="V3356" s="3"/>
      <c r="W3356" s="3">
        <v>1</v>
      </c>
      <c r="X3356" s="3">
        <v>1</v>
      </c>
      <c r="Y3356" s="3">
        <v>0</v>
      </c>
      <c r="Z3356" s="3">
        <v>0</v>
      </c>
      <c r="AA3356" s="3">
        <v>5</v>
      </c>
      <c r="AB3356" s="3">
        <v>2000</v>
      </c>
      <c r="AC3356" s="3">
        <v>70</v>
      </c>
      <c r="AD3356" s="153">
        <v>0</v>
      </c>
      <c r="AE3356" s="153">
        <v>5</v>
      </c>
      <c r="AF3356" s="153">
        <v>2</v>
      </c>
      <c r="AG3356" s="337"/>
      <c r="AH3356" s="337"/>
      <c r="AI3356" s="337"/>
      <c r="AJ3356" s="337"/>
      <c r="AK3356" s="337"/>
      <c r="AL3356" s="234"/>
      <c r="AM3356" s="234"/>
      <c r="AN3356" s="476"/>
      <c r="AO3356" s="234"/>
      <c r="AP3356" s="234"/>
      <c r="AQ3356" s="3"/>
      <c r="AR3356" s="3"/>
      <c r="AS3356">
        <v>1</v>
      </c>
    </row>
    <row r="3357" spans="1:45">
      <c r="A3357" s="3">
        <v>619626</v>
      </c>
      <c r="B3357" s="128">
        <v>1001</v>
      </c>
      <c r="C3357" s="128">
        <v>6</v>
      </c>
      <c r="D3357" s="128">
        <v>1001</v>
      </c>
      <c r="E3357" s="128" t="s">
        <v>8274</v>
      </c>
      <c r="F3357" s="128" t="s">
        <v>8274</v>
      </c>
      <c r="G3357" s="128" t="s">
        <v>8275</v>
      </c>
      <c r="H3357" s="3" t="s">
        <v>1587</v>
      </c>
      <c r="I3357" s="3">
        <v>1</v>
      </c>
      <c r="J3357" s="3">
        <v>5</v>
      </c>
      <c r="K3357" s="3">
        <v>2</v>
      </c>
      <c r="L3357" s="3">
        <v>999</v>
      </c>
      <c r="M3357" s="3">
        <v>0</v>
      </c>
      <c r="N3357" s="3">
        <v>1017</v>
      </c>
      <c r="O3357" s="231">
        <v>300108</v>
      </c>
      <c r="P3357" s="3"/>
      <c r="Q3357" s="3"/>
      <c r="R3357" s="3"/>
      <c r="S3357" s="3">
        <v>1</v>
      </c>
      <c r="T3357" s="3">
        <v>5</v>
      </c>
      <c r="U3357" s="3">
        <v>10</v>
      </c>
      <c r="V3357" s="3">
        <v>1</v>
      </c>
      <c r="W3357" s="3">
        <v>1</v>
      </c>
      <c r="X3357" s="3">
        <v>1</v>
      </c>
      <c r="Y3357" s="3">
        <v>0</v>
      </c>
      <c r="Z3357" s="3">
        <v>0</v>
      </c>
      <c r="AA3357" s="3">
        <v>5</v>
      </c>
      <c r="AB3357" s="3">
        <v>100</v>
      </c>
      <c r="AC3357" s="3">
        <v>56</v>
      </c>
      <c r="AD3357" s="153">
        <v>0</v>
      </c>
      <c r="AE3357" s="153">
        <v>4</v>
      </c>
      <c r="AF3357" s="153">
        <v>2</v>
      </c>
      <c r="AG3357" s="337"/>
      <c r="AH3357" s="337"/>
      <c r="AI3357" s="337"/>
      <c r="AJ3357" s="337"/>
      <c r="AK3357" s="337"/>
      <c r="AL3357" s="234"/>
      <c r="AM3357" s="234"/>
      <c r="AN3357" s="476"/>
      <c r="AO3357" s="234"/>
      <c r="AP3357" s="234"/>
      <c r="AQ3357" s="3"/>
      <c r="AR3357" s="3"/>
      <c r="AS3357">
        <v>1</v>
      </c>
    </row>
    <row r="3358" spans="1:45">
      <c r="A3358" s="3">
        <v>619627</v>
      </c>
      <c r="B3358" s="128">
        <v>1001</v>
      </c>
      <c r="C3358" s="128">
        <v>6</v>
      </c>
      <c r="D3358" s="128">
        <v>1001</v>
      </c>
      <c r="E3358" s="128" t="s">
        <v>5550</v>
      </c>
      <c r="F3358" s="128" t="s">
        <v>5550</v>
      </c>
      <c r="G3358" s="128" t="s">
        <v>8276</v>
      </c>
      <c r="H3358" s="3" t="s">
        <v>1531</v>
      </c>
      <c r="I3358" s="3">
        <v>1</v>
      </c>
      <c r="J3358" s="3">
        <v>5</v>
      </c>
      <c r="K3358" s="3">
        <v>2</v>
      </c>
      <c r="L3358" s="3">
        <v>999</v>
      </c>
      <c r="M3358" s="3">
        <v>0</v>
      </c>
      <c r="N3358" s="3">
        <v>1018</v>
      </c>
      <c r="O3358" s="231" t="s">
        <v>8277</v>
      </c>
      <c r="P3358" s="3"/>
      <c r="Q3358" s="3"/>
      <c r="R3358" s="3"/>
      <c r="S3358" s="3">
        <v>1</v>
      </c>
      <c r="T3358" s="3">
        <v>5</v>
      </c>
      <c r="U3358" s="3">
        <v>100</v>
      </c>
      <c r="V3358" s="3"/>
      <c r="W3358" s="3">
        <v>1</v>
      </c>
      <c r="X3358" s="3">
        <v>1</v>
      </c>
      <c r="Y3358" s="3">
        <v>0</v>
      </c>
      <c r="Z3358" s="3">
        <v>0</v>
      </c>
      <c r="AA3358" s="3">
        <v>5</v>
      </c>
      <c r="AB3358" s="3">
        <v>2000</v>
      </c>
      <c r="AC3358" s="3">
        <v>70</v>
      </c>
      <c r="AD3358" s="153">
        <v>0</v>
      </c>
      <c r="AE3358" s="153">
        <v>5</v>
      </c>
      <c r="AF3358" s="153">
        <v>2</v>
      </c>
      <c r="AG3358" s="337"/>
      <c r="AH3358" s="337"/>
      <c r="AI3358" s="337"/>
      <c r="AJ3358" s="337"/>
      <c r="AK3358" s="337"/>
      <c r="AL3358" s="234"/>
      <c r="AM3358" s="234"/>
      <c r="AN3358" s="476"/>
      <c r="AO3358" s="234"/>
      <c r="AP3358" s="234"/>
      <c r="AQ3358" s="3"/>
      <c r="AR3358" s="3"/>
      <c r="AS3358">
        <v>1</v>
      </c>
    </row>
    <row r="3359" spans="1:45">
      <c r="A3359" s="3">
        <v>619628</v>
      </c>
      <c r="B3359" s="128">
        <v>1001</v>
      </c>
      <c r="C3359" s="128">
        <v>6</v>
      </c>
      <c r="D3359" s="128">
        <v>1001</v>
      </c>
      <c r="E3359" s="128" t="s">
        <v>7431</v>
      </c>
      <c r="F3359" s="128" t="s">
        <v>7431</v>
      </c>
      <c r="G3359" s="128" t="s">
        <v>8278</v>
      </c>
      <c r="H3359" s="3" t="s">
        <v>1531</v>
      </c>
      <c r="I3359" s="3">
        <v>1</v>
      </c>
      <c r="J3359" s="3">
        <v>5</v>
      </c>
      <c r="K3359" s="3">
        <v>2</v>
      </c>
      <c r="L3359" s="3">
        <v>999</v>
      </c>
      <c r="M3359" s="3">
        <v>0</v>
      </c>
      <c r="N3359" s="3">
        <v>1018</v>
      </c>
      <c r="O3359" s="231" t="s">
        <v>8279</v>
      </c>
      <c r="P3359" s="3"/>
      <c r="Q3359" s="3"/>
      <c r="R3359" s="3"/>
      <c r="S3359" s="3">
        <v>1</v>
      </c>
      <c r="T3359" s="3">
        <v>5</v>
      </c>
      <c r="U3359" s="3">
        <v>100</v>
      </c>
      <c r="V3359" s="3"/>
      <c r="W3359" s="3">
        <v>1</v>
      </c>
      <c r="X3359" s="3">
        <v>1</v>
      </c>
      <c r="Y3359" s="3">
        <v>0</v>
      </c>
      <c r="Z3359" s="3">
        <v>0</v>
      </c>
      <c r="AA3359" s="3">
        <v>5</v>
      </c>
      <c r="AB3359" s="3">
        <v>2000</v>
      </c>
      <c r="AC3359" s="3">
        <v>70</v>
      </c>
      <c r="AD3359" s="153">
        <v>0</v>
      </c>
      <c r="AE3359" s="153">
        <v>5</v>
      </c>
      <c r="AF3359" s="153">
        <v>2</v>
      </c>
      <c r="AG3359" s="337"/>
      <c r="AH3359" s="337"/>
      <c r="AI3359" s="337"/>
      <c r="AJ3359" s="337"/>
      <c r="AK3359" s="337"/>
      <c r="AL3359" s="234"/>
      <c r="AM3359" s="234"/>
      <c r="AN3359" s="476"/>
      <c r="AO3359" s="234"/>
      <c r="AP3359" s="234"/>
      <c r="AQ3359" s="3"/>
      <c r="AR3359" s="3"/>
      <c r="AS3359">
        <v>1</v>
      </c>
    </row>
    <row r="3360" spans="1:45">
      <c r="A3360" s="3">
        <v>619629</v>
      </c>
      <c r="B3360" s="128">
        <v>1001</v>
      </c>
      <c r="C3360" s="128">
        <v>1</v>
      </c>
      <c r="D3360" s="128">
        <v>1001</v>
      </c>
      <c r="E3360" s="128" t="s">
        <v>8280</v>
      </c>
      <c r="F3360" s="128" t="s">
        <v>8280</v>
      </c>
      <c r="G3360" s="128"/>
      <c r="H3360" s="3" t="s">
        <v>1667</v>
      </c>
      <c r="I3360" s="3">
        <v>1</v>
      </c>
      <c r="J3360" s="3">
        <v>5</v>
      </c>
      <c r="K3360" s="3">
        <v>1</v>
      </c>
      <c r="L3360" s="3">
        <v>999</v>
      </c>
      <c r="M3360" s="3">
        <v>0</v>
      </c>
      <c r="N3360" s="3"/>
      <c r="O3360" s="231"/>
      <c r="P3360" s="3"/>
      <c r="Q3360" s="3"/>
      <c r="R3360" s="3"/>
      <c r="S3360" s="3"/>
      <c r="T3360" s="3">
        <v>5</v>
      </c>
      <c r="U3360" s="3">
        <v>100</v>
      </c>
      <c r="V3360" s="3"/>
      <c r="W3360" s="3">
        <v>1</v>
      </c>
      <c r="X3360" s="3">
        <v>1</v>
      </c>
      <c r="Y3360" s="3">
        <v>0</v>
      </c>
      <c r="Z3360" s="3">
        <v>0</v>
      </c>
      <c r="AA3360" s="3">
        <v>5</v>
      </c>
      <c r="AB3360" s="3">
        <v>2000</v>
      </c>
      <c r="AC3360" s="3">
        <v>56</v>
      </c>
      <c r="AD3360" s="153"/>
      <c r="AE3360" s="153"/>
      <c r="AF3360" s="153"/>
      <c r="AG3360" s="337"/>
      <c r="AH3360" s="337"/>
      <c r="AI3360" s="337"/>
      <c r="AJ3360" s="337"/>
      <c r="AK3360" s="337"/>
      <c r="AL3360" s="234"/>
      <c r="AM3360" s="234"/>
      <c r="AN3360" s="476"/>
      <c r="AO3360" s="234"/>
      <c r="AP3360" s="234"/>
      <c r="AQ3360" s="3"/>
      <c r="AR3360" s="3"/>
      <c r="AS3360">
        <v>1</v>
      </c>
    </row>
    <row r="3361" spans="1:45">
      <c r="A3361" s="3">
        <v>619630</v>
      </c>
      <c r="B3361" s="128">
        <v>1001</v>
      </c>
      <c r="C3361" s="128">
        <v>1</v>
      </c>
      <c r="D3361" s="128">
        <v>1001</v>
      </c>
      <c r="E3361" s="128" t="s">
        <v>1785</v>
      </c>
      <c r="F3361" s="128" t="s">
        <v>1785</v>
      </c>
      <c r="G3361" s="128" t="s">
        <v>8281</v>
      </c>
      <c r="H3361" s="3" t="s">
        <v>1787</v>
      </c>
      <c r="I3361" s="3">
        <v>1</v>
      </c>
      <c r="J3361" s="3">
        <v>5</v>
      </c>
      <c r="K3361" s="3">
        <v>1</v>
      </c>
      <c r="L3361" s="3">
        <v>999</v>
      </c>
      <c r="M3361" s="3">
        <v>0</v>
      </c>
      <c r="N3361" s="3"/>
      <c r="O3361" s="231"/>
      <c r="P3361" s="3"/>
      <c r="Q3361" s="3"/>
      <c r="R3361" s="3"/>
      <c r="S3361" s="3">
        <v>1</v>
      </c>
      <c r="T3361" s="3">
        <v>5</v>
      </c>
      <c r="U3361" s="3">
        <v>50</v>
      </c>
      <c r="V3361" s="3">
        <v>1</v>
      </c>
      <c r="W3361" s="3">
        <v>1</v>
      </c>
      <c r="X3361" s="3">
        <v>1</v>
      </c>
      <c r="Y3361" s="3">
        <v>0</v>
      </c>
      <c r="Z3361" s="3">
        <v>0</v>
      </c>
      <c r="AA3361" s="3">
        <v>5</v>
      </c>
      <c r="AB3361" s="3">
        <v>500</v>
      </c>
      <c r="AC3361" s="3">
        <v>56</v>
      </c>
      <c r="AD3361" s="153"/>
      <c r="AE3361" s="153"/>
      <c r="AF3361" s="153"/>
      <c r="AG3361" s="337"/>
      <c r="AH3361" s="337"/>
      <c r="AI3361" s="337"/>
      <c r="AJ3361" s="337"/>
      <c r="AK3361" s="337"/>
      <c r="AL3361" s="234">
        <v>1</v>
      </c>
      <c r="AM3361" s="234"/>
      <c r="AN3361" s="476"/>
      <c r="AO3361" s="234"/>
      <c r="AP3361" s="234"/>
      <c r="AQ3361" s="3"/>
      <c r="AR3361" s="3"/>
      <c r="AS3361">
        <v>1</v>
      </c>
    </row>
    <row r="3362" spans="1:45">
      <c r="A3362" s="3">
        <v>619631</v>
      </c>
      <c r="B3362" s="128">
        <v>1001</v>
      </c>
      <c r="C3362" s="128">
        <v>6</v>
      </c>
      <c r="D3362" s="128">
        <v>1001</v>
      </c>
      <c r="E3362" s="128" t="s">
        <v>8282</v>
      </c>
      <c r="F3362" s="128" t="s">
        <v>8282</v>
      </c>
      <c r="G3362" s="128" t="s">
        <v>8283</v>
      </c>
      <c r="H3362" s="3" t="s">
        <v>1531</v>
      </c>
      <c r="I3362" s="3">
        <v>1</v>
      </c>
      <c r="J3362" s="3">
        <v>5</v>
      </c>
      <c r="K3362" s="3">
        <v>2</v>
      </c>
      <c r="L3362" s="3">
        <v>999</v>
      </c>
      <c r="M3362" s="3">
        <v>0</v>
      </c>
      <c r="N3362" s="3">
        <v>1018</v>
      </c>
      <c r="O3362" s="231" t="s">
        <v>8284</v>
      </c>
      <c r="P3362" s="3"/>
      <c r="Q3362" s="3"/>
      <c r="R3362" s="3"/>
      <c r="S3362" s="3">
        <v>1</v>
      </c>
      <c r="T3362" s="3">
        <v>5</v>
      </c>
      <c r="U3362" s="3">
        <v>100</v>
      </c>
      <c r="V3362" s="3"/>
      <c r="W3362" s="3">
        <v>1</v>
      </c>
      <c r="X3362" s="3">
        <v>1</v>
      </c>
      <c r="Y3362" s="3">
        <v>0</v>
      </c>
      <c r="Z3362" s="3">
        <v>0</v>
      </c>
      <c r="AA3362" s="3">
        <v>5</v>
      </c>
      <c r="AB3362" s="3">
        <v>2000</v>
      </c>
      <c r="AC3362" s="3">
        <v>70</v>
      </c>
      <c r="AD3362" s="153">
        <v>0</v>
      </c>
      <c r="AE3362" s="153">
        <v>5</v>
      </c>
      <c r="AF3362" s="153">
        <v>2</v>
      </c>
      <c r="AG3362" s="337"/>
      <c r="AH3362" s="337"/>
      <c r="AI3362" s="337"/>
      <c r="AJ3362" s="337"/>
      <c r="AK3362" s="337"/>
      <c r="AL3362" s="234"/>
      <c r="AM3362" s="234"/>
      <c r="AN3362" s="476"/>
      <c r="AO3362" s="234"/>
      <c r="AP3362" s="234"/>
      <c r="AQ3362" s="3"/>
      <c r="AR3362" s="3"/>
      <c r="AS3362">
        <v>1</v>
      </c>
    </row>
    <row r="3363" spans="1:45">
      <c r="A3363" s="3">
        <v>619632</v>
      </c>
      <c r="B3363" s="128">
        <v>1001</v>
      </c>
      <c r="C3363" s="128">
        <v>6</v>
      </c>
      <c r="D3363" s="128">
        <v>1001</v>
      </c>
      <c r="E3363" s="128" t="s">
        <v>8285</v>
      </c>
      <c r="F3363" s="128" t="s">
        <v>8285</v>
      </c>
      <c r="G3363" s="128" t="s">
        <v>8286</v>
      </c>
      <c r="H3363" s="3" t="s">
        <v>1825</v>
      </c>
      <c r="I3363" s="3">
        <v>1</v>
      </c>
      <c r="J3363" s="3">
        <v>5</v>
      </c>
      <c r="K3363" s="3">
        <v>2</v>
      </c>
      <c r="L3363" s="3">
        <v>999</v>
      </c>
      <c r="M3363" s="3">
        <v>0</v>
      </c>
      <c r="N3363" s="3">
        <v>1018</v>
      </c>
      <c r="O3363" s="231" t="s">
        <v>8287</v>
      </c>
      <c r="P3363" s="3"/>
      <c r="Q3363" s="3"/>
      <c r="R3363" s="3"/>
      <c r="S3363" s="3">
        <v>1</v>
      </c>
      <c r="T3363" s="3">
        <v>5</v>
      </c>
      <c r="U3363" s="3">
        <v>100</v>
      </c>
      <c r="V3363" s="3"/>
      <c r="W3363" s="3">
        <v>1</v>
      </c>
      <c r="X3363" s="3">
        <v>1</v>
      </c>
      <c r="Y3363" s="3">
        <v>0</v>
      </c>
      <c r="Z3363" s="3">
        <v>0</v>
      </c>
      <c r="AA3363" s="3">
        <v>5</v>
      </c>
      <c r="AB3363" s="3">
        <v>2000</v>
      </c>
      <c r="AC3363" s="3">
        <v>70</v>
      </c>
      <c r="AD3363" s="153">
        <v>0</v>
      </c>
      <c r="AE3363" s="153">
        <v>5</v>
      </c>
      <c r="AF3363" s="153">
        <v>2</v>
      </c>
      <c r="AG3363" s="337"/>
      <c r="AH3363" s="337"/>
      <c r="AI3363" s="337"/>
      <c r="AJ3363" s="337"/>
      <c r="AK3363" s="337"/>
      <c r="AL3363" s="234"/>
      <c r="AM3363" s="234"/>
      <c r="AN3363" s="476"/>
      <c r="AO3363" s="234"/>
      <c r="AP3363" s="234"/>
      <c r="AQ3363" s="3"/>
      <c r="AR3363" s="3"/>
      <c r="AS3363">
        <v>1</v>
      </c>
    </row>
    <row r="3364" spans="1:45">
      <c r="A3364" s="3">
        <v>619633</v>
      </c>
      <c r="B3364" s="128">
        <v>1001</v>
      </c>
      <c r="C3364" s="128">
        <v>6</v>
      </c>
      <c r="D3364" s="128">
        <v>1001</v>
      </c>
      <c r="E3364" s="128" t="s">
        <v>8288</v>
      </c>
      <c r="F3364" s="128" t="s">
        <v>8288</v>
      </c>
      <c r="G3364" s="128" t="s">
        <v>8289</v>
      </c>
      <c r="H3364" s="3" t="s">
        <v>1531</v>
      </c>
      <c r="I3364" s="3">
        <v>1</v>
      </c>
      <c r="J3364" s="3">
        <v>5</v>
      </c>
      <c r="K3364" s="3">
        <v>2</v>
      </c>
      <c r="L3364" s="3">
        <v>999</v>
      </c>
      <c r="M3364" s="3">
        <v>0</v>
      </c>
      <c r="N3364" s="3">
        <v>1</v>
      </c>
      <c r="O3364" s="231" t="s">
        <v>8290</v>
      </c>
      <c r="P3364" s="3"/>
      <c r="Q3364" s="3"/>
      <c r="R3364" s="3"/>
      <c r="S3364" s="3">
        <v>1</v>
      </c>
      <c r="T3364" s="3">
        <v>5</v>
      </c>
      <c r="U3364" s="3">
        <v>100</v>
      </c>
      <c r="V3364" s="3"/>
      <c r="W3364" s="3">
        <v>1</v>
      </c>
      <c r="X3364" s="3">
        <v>1</v>
      </c>
      <c r="Y3364" s="3">
        <v>0</v>
      </c>
      <c r="Z3364" s="3">
        <v>0</v>
      </c>
      <c r="AA3364" s="3">
        <v>5</v>
      </c>
      <c r="AB3364" s="3">
        <v>2000</v>
      </c>
      <c r="AC3364" s="3">
        <v>56</v>
      </c>
      <c r="AD3364" s="153">
        <v>0</v>
      </c>
      <c r="AE3364" s="153">
        <v>4</v>
      </c>
      <c r="AF3364" s="153">
        <v>2</v>
      </c>
      <c r="AG3364" s="337"/>
      <c r="AH3364" s="337"/>
      <c r="AI3364" s="337"/>
      <c r="AJ3364" s="337"/>
      <c r="AK3364" s="337"/>
      <c r="AL3364" s="234"/>
      <c r="AM3364" s="234"/>
      <c r="AN3364" s="476"/>
      <c r="AO3364" s="234"/>
      <c r="AP3364" s="234"/>
      <c r="AQ3364" s="3"/>
      <c r="AR3364" s="3"/>
      <c r="AS3364">
        <v>1</v>
      </c>
    </row>
    <row r="3365" spans="1:45">
      <c r="A3365" s="3">
        <v>619634</v>
      </c>
      <c r="B3365" s="128">
        <v>1001</v>
      </c>
      <c r="C3365" s="128">
        <v>6</v>
      </c>
      <c r="D3365" s="128">
        <v>1001</v>
      </c>
      <c r="E3365" s="128" t="s">
        <v>8291</v>
      </c>
      <c r="F3365" s="128" t="s">
        <v>8291</v>
      </c>
      <c r="G3365" s="128" t="s">
        <v>8292</v>
      </c>
      <c r="H3365" s="3" t="s">
        <v>1825</v>
      </c>
      <c r="I3365" s="3">
        <v>1</v>
      </c>
      <c r="J3365" s="3">
        <v>5</v>
      </c>
      <c r="K3365" s="3">
        <v>2</v>
      </c>
      <c r="L3365" s="3">
        <v>999</v>
      </c>
      <c r="M3365" s="3">
        <v>0</v>
      </c>
      <c r="N3365" s="3">
        <v>1018</v>
      </c>
      <c r="O3365" s="231" t="s">
        <v>8293</v>
      </c>
      <c r="P3365" s="3"/>
      <c r="Q3365" s="3"/>
      <c r="R3365" s="3"/>
      <c r="S3365" s="3">
        <v>1</v>
      </c>
      <c r="T3365" s="3">
        <v>5</v>
      </c>
      <c r="U3365" s="3">
        <v>100</v>
      </c>
      <c r="V3365" s="3"/>
      <c r="W3365" s="3">
        <v>1</v>
      </c>
      <c r="X3365" s="3">
        <v>1</v>
      </c>
      <c r="Y3365" s="3">
        <v>0</v>
      </c>
      <c r="Z3365" s="3">
        <v>0</v>
      </c>
      <c r="AA3365" s="3">
        <v>5</v>
      </c>
      <c r="AB3365" s="3">
        <v>2000</v>
      </c>
      <c r="AC3365" s="3">
        <v>70</v>
      </c>
      <c r="AD3365" s="153">
        <v>0</v>
      </c>
      <c r="AE3365" s="153">
        <v>5</v>
      </c>
      <c r="AF3365" s="153">
        <v>2</v>
      </c>
      <c r="AG3365" s="337"/>
      <c r="AH3365" s="337"/>
      <c r="AI3365" s="337"/>
      <c r="AJ3365" s="337"/>
      <c r="AK3365" s="337"/>
      <c r="AL3365" s="234"/>
      <c r="AM3365" s="234"/>
      <c r="AN3365" s="476"/>
      <c r="AO3365" s="234"/>
      <c r="AP3365" s="234"/>
      <c r="AQ3365" s="3"/>
      <c r="AR3365" s="3"/>
      <c r="AS3365">
        <v>1</v>
      </c>
    </row>
    <row r="3366" spans="1:45">
      <c r="A3366" s="3">
        <v>619635</v>
      </c>
      <c r="B3366" s="128">
        <v>1001</v>
      </c>
      <c r="C3366" s="128">
        <v>6</v>
      </c>
      <c r="D3366" s="128">
        <v>1001</v>
      </c>
      <c r="E3366" s="128" t="s">
        <v>8294</v>
      </c>
      <c r="F3366" s="128" t="s">
        <v>8294</v>
      </c>
      <c r="G3366" s="128" t="s">
        <v>8295</v>
      </c>
      <c r="H3366" s="3" t="s">
        <v>1531</v>
      </c>
      <c r="I3366" s="3">
        <v>1</v>
      </c>
      <c r="J3366" s="3">
        <v>5</v>
      </c>
      <c r="K3366" s="3">
        <v>2</v>
      </c>
      <c r="L3366" s="3">
        <v>999</v>
      </c>
      <c r="M3366" s="3">
        <v>0</v>
      </c>
      <c r="N3366" s="3">
        <v>1018</v>
      </c>
      <c r="O3366" s="231" t="s">
        <v>8296</v>
      </c>
      <c r="P3366" s="3"/>
      <c r="Q3366" s="3"/>
      <c r="R3366" s="3"/>
      <c r="S3366" s="3">
        <v>1</v>
      </c>
      <c r="T3366" s="3">
        <v>5</v>
      </c>
      <c r="U3366" s="3">
        <v>100</v>
      </c>
      <c r="V3366" s="3"/>
      <c r="W3366" s="3">
        <v>1</v>
      </c>
      <c r="X3366" s="3">
        <v>1</v>
      </c>
      <c r="Y3366" s="3">
        <v>0</v>
      </c>
      <c r="Z3366" s="3">
        <v>0</v>
      </c>
      <c r="AA3366" s="3">
        <v>5</v>
      </c>
      <c r="AB3366" s="3">
        <v>2000</v>
      </c>
      <c r="AC3366" s="3">
        <v>70</v>
      </c>
      <c r="AD3366" s="153">
        <v>0</v>
      </c>
      <c r="AE3366" s="153">
        <v>5</v>
      </c>
      <c r="AF3366" s="153">
        <v>2</v>
      </c>
      <c r="AG3366" s="337"/>
      <c r="AH3366" s="337"/>
      <c r="AI3366" s="337"/>
      <c r="AJ3366" s="337"/>
      <c r="AK3366" s="337"/>
      <c r="AL3366" s="234"/>
      <c r="AM3366" s="234"/>
      <c r="AN3366" s="476"/>
      <c r="AO3366" s="234"/>
      <c r="AP3366" s="234"/>
      <c r="AQ3366" s="3"/>
      <c r="AR3366" s="3"/>
      <c r="AS3366">
        <v>1</v>
      </c>
    </row>
    <row r="3367" spans="1:45">
      <c r="A3367" s="3">
        <v>619636</v>
      </c>
      <c r="B3367" s="128">
        <v>1001</v>
      </c>
      <c r="C3367" s="128">
        <v>6</v>
      </c>
      <c r="D3367" s="128">
        <v>1001</v>
      </c>
      <c r="E3367" s="128" t="s">
        <v>8297</v>
      </c>
      <c r="F3367" s="128" t="s">
        <v>8297</v>
      </c>
      <c r="G3367" s="128" t="s">
        <v>8298</v>
      </c>
      <c r="H3367" s="3" t="s">
        <v>1531</v>
      </c>
      <c r="I3367" s="3">
        <v>1</v>
      </c>
      <c r="J3367" s="3">
        <v>5</v>
      </c>
      <c r="K3367" s="3">
        <v>2</v>
      </c>
      <c r="L3367" s="3">
        <v>999</v>
      </c>
      <c r="M3367" s="3">
        <v>0</v>
      </c>
      <c r="N3367" s="3">
        <v>1018</v>
      </c>
      <c r="O3367" s="231" t="s">
        <v>8299</v>
      </c>
      <c r="P3367" s="3"/>
      <c r="Q3367" s="3"/>
      <c r="R3367" s="3"/>
      <c r="S3367" s="3">
        <v>1</v>
      </c>
      <c r="T3367" s="3">
        <v>5</v>
      </c>
      <c r="U3367" s="3">
        <v>100</v>
      </c>
      <c r="V3367" s="3"/>
      <c r="W3367" s="3">
        <v>1</v>
      </c>
      <c r="X3367" s="3">
        <v>1</v>
      </c>
      <c r="Y3367" s="3">
        <v>0</v>
      </c>
      <c r="Z3367" s="3">
        <v>0</v>
      </c>
      <c r="AA3367" s="3">
        <v>5</v>
      </c>
      <c r="AB3367" s="3">
        <v>2000</v>
      </c>
      <c r="AC3367" s="3">
        <v>70</v>
      </c>
      <c r="AD3367" s="153">
        <v>0</v>
      </c>
      <c r="AE3367" s="153">
        <v>5</v>
      </c>
      <c r="AF3367" s="153">
        <v>2</v>
      </c>
      <c r="AG3367" s="337"/>
      <c r="AH3367" s="337"/>
      <c r="AI3367" s="337"/>
      <c r="AJ3367" s="337"/>
      <c r="AK3367" s="337"/>
      <c r="AL3367" s="234"/>
      <c r="AM3367" s="234"/>
      <c r="AN3367" s="476"/>
      <c r="AO3367" s="234"/>
      <c r="AP3367" s="234"/>
      <c r="AQ3367" s="3"/>
      <c r="AR3367" s="3"/>
      <c r="AS3367">
        <v>1</v>
      </c>
    </row>
    <row r="3368" spans="1:45">
      <c r="A3368" s="3">
        <v>619637</v>
      </c>
      <c r="B3368" s="128">
        <v>1001</v>
      </c>
      <c r="C3368" s="128">
        <v>6</v>
      </c>
      <c r="D3368" s="128">
        <v>1001</v>
      </c>
      <c r="E3368" s="128" t="s">
        <v>8300</v>
      </c>
      <c r="F3368" s="128" t="s">
        <v>8300</v>
      </c>
      <c r="G3368" s="128" t="s">
        <v>8301</v>
      </c>
      <c r="H3368" s="3" t="s">
        <v>1825</v>
      </c>
      <c r="I3368" s="3">
        <v>1</v>
      </c>
      <c r="J3368" s="3">
        <v>5</v>
      </c>
      <c r="K3368" s="3">
        <v>2</v>
      </c>
      <c r="L3368" s="3">
        <v>999</v>
      </c>
      <c r="M3368" s="3">
        <v>0</v>
      </c>
      <c r="N3368" s="3">
        <v>1018</v>
      </c>
      <c r="O3368" s="231" t="s">
        <v>8302</v>
      </c>
      <c r="P3368" s="3"/>
      <c r="Q3368" s="3"/>
      <c r="R3368" s="3"/>
      <c r="S3368" s="3">
        <v>1</v>
      </c>
      <c r="T3368" s="3">
        <v>5</v>
      </c>
      <c r="U3368" s="3">
        <v>100</v>
      </c>
      <c r="V3368" s="3"/>
      <c r="W3368" s="3">
        <v>1</v>
      </c>
      <c r="X3368" s="3">
        <v>1</v>
      </c>
      <c r="Y3368" s="3">
        <v>0</v>
      </c>
      <c r="Z3368" s="3">
        <v>0</v>
      </c>
      <c r="AA3368" s="3">
        <v>5</v>
      </c>
      <c r="AB3368" s="3">
        <v>2000</v>
      </c>
      <c r="AC3368" s="3">
        <v>70</v>
      </c>
      <c r="AD3368" s="153">
        <v>0</v>
      </c>
      <c r="AE3368" s="153">
        <v>5</v>
      </c>
      <c r="AF3368" s="153">
        <v>2</v>
      </c>
      <c r="AG3368" s="337"/>
      <c r="AH3368" s="337"/>
      <c r="AI3368" s="337"/>
      <c r="AJ3368" s="337"/>
      <c r="AK3368" s="337"/>
      <c r="AL3368" s="234"/>
      <c r="AM3368" s="234"/>
      <c r="AN3368" s="476"/>
      <c r="AO3368" s="234"/>
      <c r="AP3368" s="234"/>
      <c r="AQ3368" s="3"/>
      <c r="AR3368" s="3"/>
      <c r="AS3368">
        <v>1</v>
      </c>
    </row>
    <row r="3369" spans="1:45">
      <c r="A3369" s="3">
        <v>619638</v>
      </c>
      <c r="B3369" s="128">
        <v>1001</v>
      </c>
      <c r="C3369" s="128">
        <v>6</v>
      </c>
      <c r="D3369" s="128">
        <v>1001</v>
      </c>
      <c r="E3369" s="128" t="s">
        <v>8303</v>
      </c>
      <c r="F3369" s="128" t="s">
        <v>8303</v>
      </c>
      <c r="G3369" s="128" t="s">
        <v>8304</v>
      </c>
      <c r="H3369" s="3" t="s">
        <v>1531</v>
      </c>
      <c r="I3369" s="3">
        <v>1</v>
      </c>
      <c r="J3369" s="3">
        <v>5</v>
      </c>
      <c r="K3369" s="3">
        <v>2</v>
      </c>
      <c r="L3369" s="3">
        <v>999</v>
      </c>
      <c r="M3369" s="3">
        <v>0</v>
      </c>
      <c r="N3369" s="3">
        <v>1018</v>
      </c>
      <c r="O3369" s="231" t="s">
        <v>8305</v>
      </c>
      <c r="P3369" s="3"/>
      <c r="Q3369" s="3"/>
      <c r="R3369" s="3"/>
      <c r="S3369" s="3">
        <v>1</v>
      </c>
      <c r="T3369" s="3">
        <v>5</v>
      </c>
      <c r="U3369" s="3">
        <v>100</v>
      </c>
      <c r="V3369" s="3"/>
      <c r="W3369" s="3">
        <v>1</v>
      </c>
      <c r="X3369" s="3">
        <v>1</v>
      </c>
      <c r="Y3369" s="3">
        <v>0</v>
      </c>
      <c r="Z3369" s="3">
        <v>0</v>
      </c>
      <c r="AA3369" s="3">
        <v>5</v>
      </c>
      <c r="AB3369" s="3">
        <v>2000</v>
      </c>
      <c r="AC3369" s="3">
        <v>70</v>
      </c>
      <c r="AD3369" s="153">
        <v>0</v>
      </c>
      <c r="AE3369" s="153">
        <v>5</v>
      </c>
      <c r="AF3369" s="153">
        <v>2</v>
      </c>
      <c r="AG3369" s="337"/>
      <c r="AH3369" s="337"/>
      <c r="AI3369" s="337"/>
      <c r="AJ3369" s="337"/>
      <c r="AK3369" s="337"/>
      <c r="AL3369" s="234"/>
      <c r="AM3369" s="234"/>
      <c r="AN3369" s="476"/>
      <c r="AO3369" s="234"/>
      <c r="AP3369" s="234"/>
      <c r="AQ3369" s="3"/>
      <c r="AR3369" s="3"/>
      <c r="AS3369">
        <v>1</v>
      </c>
    </row>
    <row r="3370" spans="1:45">
      <c r="A3370" s="3">
        <v>619639</v>
      </c>
      <c r="B3370" s="128">
        <v>1001</v>
      </c>
      <c r="C3370" s="128">
        <v>6</v>
      </c>
      <c r="D3370" s="128">
        <v>1001</v>
      </c>
      <c r="E3370" s="128" t="s">
        <v>8306</v>
      </c>
      <c r="F3370" s="128" t="s">
        <v>8306</v>
      </c>
      <c r="G3370" s="128" t="s">
        <v>8307</v>
      </c>
      <c r="H3370" s="3" t="s">
        <v>1588</v>
      </c>
      <c r="I3370" s="3">
        <v>1</v>
      </c>
      <c r="J3370" s="3">
        <v>5</v>
      </c>
      <c r="K3370" s="3">
        <v>2</v>
      </c>
      <c r="L3370" s="3">
        <v>999</v>
      </c>
      <c r="M3370" s="3">
        <v>0</v>
      </c>
      <c r="N3370" s="3">
        <v>1017</v>
      </c>
      <c r="O3370" s="231">
        <v>300110</v>
      </c>
      <c r="P3370" s="3"/>
      <c r="Q3370" s="3"/>
      <c r="R3370" s="3"/>
      <c r="S3370" s="3">
        <v>1</v>
      </c>
      <c r="T3370" s="3">
        <v>5</v>
      </c>
      <c r="U3370" s="3">
        <v>10</v>
      </c>
      <c r="V3370" s="3">
        <v>1</v>
      </c>
      <c r="W3370" s="3">
        <v>1</v>
      </c>
      <c r="X3370" s="3">
        <v>1</v>
      </c>
      <c r="Y3370" s="3">
        <v>0</v>
      </c>
      <c r="Z3370" s="3">
        <v>0</v>
      </c>
      <c r="AA3370" s="3">
        <v>5</v>
      </c>
      <c r="AB3370" s="3">
        <v>100</v>
      </c>
      <c r="AC3370" s="3">
        <v>56</v>
      </c>
      <c r="AD3370" s="153">
        <v>0</v>
      </c>
      <c r="AE3370" s="153">
        <v>4</v>
      </c>
      <c r="AF3370" s="153">
        <v>2</v>
      </c>
      <c r="AG3370" s="337"/>
      <c r="AH3370" s="337"/>
      <c r="AI3370" s="337"/>
      <c r="AJ3370" s="337"/>
      <c r="AK3370" s="337"/>
      <c r="AL3370" s="234"/>
      <c r="AM3370" s="234"/>
      <c r="AN3370" s="476"/>
      <c r="AO3370" s="234"/>
      <c r="AP3370" s="234"/>
      <c r="AQ3370" s="3"/>
      <c r="AR3370" s="3"/>
      <c r="AS3370">
        <v>1</v>
      </c>
    </row>
    <row r="3371" spans="1:45">
      <c r="A3371" s="3">
        <v>619640</v>
      </c>
      <c r="B3371" s="128">
        <v>1001</v>
      </c>
      <c r="C3371" s="128">
        <v>6</v>
      </c>
      <c r="D3371" s="128">
        <v>1001</v>
      </c>
      <c r="E3371" s="128" t="s">
        <v>8308</v>
      </c>
      <c r="F3371" s="128" t="s">
        <v>8308</v>
      </c>
      <c r="G3371" s="128" t="s">
        <v>8309</v>
      </c>
      <c r="H3371" s="3" t="s">
        <v>1589</v>
      </c>
      <c r="I3371" s="3">
        <v>1</v>
      </c>
      <c r="J3371" s="3">
        <v>5</v>
      </c>
      <c r="K3371" s="3">
        <v>2</v>
      </c>
      <c r="L3371" s="3">
        <v>999</v>
      </c>
      <c r="M3371" s="3">
        <v>0</v>
      </c>
      <c r="N3371" s="3">
        <v>1018</v>
      </c>
      <c r="O3371" s="231" t="s">
        <v>8310</v>
      </c>
      <c r="P3371" s="3"/>
      <c r="Q3371" s="3"/>
      <c r="R3371" s="3"/>
      <c r="S3371" s="3">
        <v>1</v>
      </c>
      <c r="T3371" s="3">
        <v>5</v>
      </c>
      <c r="U3371" s="3">
        <v>1</v>
      </c>
      <c r="V3371" s="3"/>
      <c r="W3371" s="3">
        <v>1</v>
      </c>
      <c r="X3371" s="3">
        <v>1</v>
      </c>
      <c r="Y3371" s="3">
        <v>0</v>
      </c>
      <c r="Z3371" s="3">
        <v>0</v>
      </c>
      <c r="AA3371" s="3">
        <v>5</v>
      </c>
      <c r="AB3371" s="3">
        <v>100</v>
      </c>
      <c r="AC3371" s="3">
        <v>70</v>
      </c>
      <c r="AD3371" s="153">
        <v>0</v>
      </c>
      <c r="AE3371" s="153">
        <v>5</v>
      </c>
      <c r="AF3371" s="153">
        <v>2</v>
      </c>
      <c r="AG3371" s="337"/>
      <c r="AH3371" s="337"/>
      <c r="AI3371" s="337"/>
      <c r="AJ3371" s="337"/>
      <c r="AK3371" s="337"/>
      <c r="AL3371" s="234"/>
      <c r="AM3371" s="234"/>
      <c r="AN3371" s="476"/>
      <c r="AO3371" s="234"/>
      <c r="AP3371" s="234"/>
      <c r="AQ3371" s="3"/>
      <c r="AR3371" s="3"/>
      <c r="AS3371">
        <v>1</v>
      </c>
    </row>
    <row r="3372" spans="1:45">
      <c r="A3372" s="3">
        <v>619641</v>
      </c>
      <c r="B3372" s="128">
        <v>1001</v>
      </c>
      <c r="C3372" s="128">
        <v>6</v>
      </c>
      <c r="D3372" s="128">
        <v>1001</v>
      </c>
      <c r="E3372" s="128" t="s">
        <v>8311</v>
      </c>
      <c r="F3372" s="128" t="s">
        <v>8311</v>
      </c>
      <c r="G3372" s="128" t="s">
        <v>8312</v>
      </c>
      <c r="H3372" s="3" t="s">
        <v>1531</v>
      </c>
      <c r="I3372" s="3">
        <v>1</v>
      </c>
      <c r="J3372" s="3">
        <v>5</v>
      </c>
      <c r="K3372" s="3">
        <v>2</v>
      </c>
      <c r="L3372" s="3">
        <v>999</v>
      </c>
      <c r="M3372" s="3">
        <v>0</v>
      </c>
      <c r="N3372" s="3">
        <v>1</v>
      </c>
      <c r="O3372" s="231" t="s">
        <v>8313</v>
      </c>
      <c r="P3372" s="3"/>
      <c r="Q3372" s="3"/>
      <c r="R3372" s="3"/>
      <c r="S3372" s="3">
        <v>1</v>
      </c>
      <c r="T3372" s="3">
        <v>5</v>
      </c>
      <c r="U3372" s="3">
        <v>100</v>
      </c>
      <c r="V3372" s="3"/>
      <c r="W3372" s="3">
        <v>1</v>
      </c>
      <c r="X3372" s="3">
        <v>1</v>
      </c>
      <c r="Y3372" s="3">
        <v>0</v>
      </c>
      <c r="Z3372" s="3">
        <v>0</v>
      </c>
      <c r="AA3372" s="3">
        <v>5</v>
      </c>
      <c r="AB3372" s="3">
        <v>2000</v>
      </c>
      <c r="AC3372" s="3">
        <v>56</v>
      </c>
      <c r="AD3372" s="153">
        <v>0</v>
      </c>
      <c r="AE3372" s="153">
        <v>4</v>
      </c>
      <c r="AF3372" s="153">
        <v>2</v>
      </c>
      <c r="AG3372" s="337"/>
      <c r="AH3372" s="337"/>
      <c r="AI3372" s="337"/>
      <c r="AJ3372" s="337"/>
      <c r="AK3372" s="337"/>
      <c r="AL3372" s="234"/>
      <c r="AM3372" s="234"/>
      <c r="AN3372" s="476"/>
      <c r="AO3372" s="234"/>
      <c r="AP3372" s="234"/>
      <c r="AQ3372" s="3"/>
      <c r="AR3372" s="3"/>
      <c r="AS3372">
        <v>1</v>
      </c>
    </row>
    <row r="3373" spans="1:45">
      <c r="A3373" s="3">
        <v>619642</v>
      </c>
      <c r="B3373" s="128">
        <v>1001</v>
      </c>
      <c r="C3373" s="128">
        <v>6</v>
      </c>
      <c r="D3373" s="128">
        <v>1001</v>
      </c>
      <c r="E3373" s="128" t="s">
        <v>8314</v>
      </c>
      <c r="F3373" s="128" t="s">
        <v>8314</v>
      </c>
      <c r="G3373" s="128" t="s">
        <v>8312</v>
      </c>
      <c r="H3373" s="3" t="s">
        <v>1531</v>
      </c>
      <c r="I3373" s="3">
        <v>1</v>
      </c>
      <c r="J3373" s="3">
        <v>5</v>
      </c>
      <c r="K3373" s="3">
        <v>2</v>
      </c>
      <c r="L3373" s="3">
        <v>999</v>
      </c>
      <c r="M3373" s="3">
        <v>0</v>
      </c>
      <c r="N3373" s="3">
        <v>1</v>
      </c>
      <c r="O3373" s="231" t="s">
        <v>8315</v>
      </c>
      <c r="P3373" s="3"/>
      <c r="Q3373" s="3"/>
      <c r="R3373" s="3"/>
      <c r="S3373" s="3">
        <v>1</v>
      </c>
      <c r="T3373" s="3">
        <v>5</v>
      </c>
      <c r="U3373" s="3">
        <v>100</v>
      </c>
      <c r="V3373" s="3"/>
      <c r="W3373" s="3">
        <v>1</v>
      </c>
      <c r="X3373" s="3">
        <v>1</v>
      </c>
      <c r="Y3373" s="3">
        <v>0</v>
      </c>
      <c r="Z3373" s="3">
        <v>0</v>
      </c>
      <c r="AA3373" s="3">
        <v>5</v>
      </c>
      <c r="AB3373" s="3">
        <v>2000</v>
      </c>
      <c r="AC3373" s="3">
        <v>56</v>
      </c>
      <c r="AD3373" s="153">
        <v>0</v>
      </c>
      <c r="AE3373" s="153">
        <v>4</v>
      </c>
      <c r="AF3373" s="153">
        <v>2</v>
      </c>
      <c r="AG3373" s="337"/>
      <c r="AH3373" s="337"/>
      <c r="AI3373" s="337"/>
      <c r="AJ3373" s="337"/>
      <c r="AK3373" s="337"/>
      <c r="AL3373" s="234"/>
      <c r="AM3373" s="234"/>
      <c r="AN3373" s="476"/>
      <c r="AO3373" s="234"/>
      <c r="AP3373" s="234"/>
      <c r="AQ3373" s="3"/>
      <c r="AR3373" s="3"/>
      <c r="AS3373">
        <v>1</v>
      </c>
    </row>
    <row r="3374" spans="1:45">
      <c r="A3374" s="3">
        <v>619643</v>
      </c>
      <c r="B3374" s="128">
        <v>1001</v>
      </c>
      <c r="C3374" s="128">
        <v>6</v>
      </c>
      <c r="D3374" s="128">
        <v>1001</v>
      </c>
      <c r="E3374" s="128" t="s">
        <v>8316</v>
      </c>
      <c r="F3374" s="128" t="s">
        <v>8316</v>
      </c>
      <c r="G3374" s="128" t="s">
        <v>8312</v>
      </c>
      <c r="H3374" s="3" t="s">
        <v>1531</v>
      </c>
      <c r="I3374" s="3">
        <v>1</v>
      </c>
      <c r="J3374" s="3">
        <v>5</v>
      </c>
      <c r="K3374" s="3">
        <v>2</v>
      </c>
      <c r="L3374" s="3">
        <v>999</v>
      </c>
      <c r="M3374" s="3">
        <v>0</v>
      </c>
      <c r="N3374" s="3">
        <v>1</v>
      </c>
      <c r="O3374" s="231" t="s">
        <v>8317</v>
      </c>
      <c r="P3374" s="3"/>
      <c r="Q3374" s="3"/>
      <c r="R3374" s="3"/>
      <c r="S3374" s="3">
        <v>1</v>
      </c>
      <c r="T3374" s="3">
        <v>5</v>
      </c>
      <c r="U3374" s="3">
        <v>100</v>
      </c>
      <c r="V3374" s="3"/>
      <c r="W3374" s="3">
        <v>1</v>
      </c>
      <c r="X3374" s="3">
        <v>1</v>
      </c>
      <c r="Y3374" s="3">
        <v>0</v>
      </c>
      <c r="Z3374" s="3">
        <v>0</v>
      </c>
      <c r="AA3374" s="3">
        <v>5</v>
      </c>
      <c r="AB3374" s="3">
        <v>2000</v>
      </c>
      <c r="AC3374" s="3">
        <v>56</v>
      </c>
      <c r="AD3374" s="153">
        <v>0</v>
      </c>
      <c r="AE3374" s="153">
        <v>4</v>
      </c>
      <c r="AF3374" s="153">
        <v>2</v>
      </c>
      <c r="AG3374" s="337"/>
      <c r="AH3374" s="337"/>
      <c r="AI3374" s="337"/>
      <c r="AJ3374" s="337"/>
      <c r="AK3374" s="337"/>
      <c r="AL3374" s="234"/>
      <c r="AM3374" s="234"/>
      <c r="AN3374" s="476"/>
      <c r="AO3374" s="234"/>
      <c r="AP3374" s="234"/>
      <c r="AQ3374" s="3"/>
      <c r="AR3374" s="3"/>
      <c r="AS3374">
        <v>1</v>
      </c>
    </row>
    <row r="3375" spans="1:45">
      <c r="A3375" s="3">
        <v>619644</v>
      </c>
      <c r="B3375" s="128">
        <v>1001</v>
      </c>
      <c r="C3375" s="128">
        <v>6</v>
      </c>
      <c r="D3375" s="128">
        <v>1001</v>
      </c>
      <c r="E3375" s="128" t="s">
        <v>8318</v>
      </c>
      <c r="F3375" s="128" t="s">
        <v>8318</v>
      </c>
      <c r="G3375" s="128" t="s">
        <v>8312</v>
      </c>
      <c r="H3375" s="3" t="s">
        <v>1531</v>
      </c>
      <c r="I3375" s="3">
        <v>1</v>
      </c>
      <c r="J3375" s="3">
        <v>5</v>
      </c>
      <c r="K3375" s="3">
        <v>2</v>
      </c>
      <c r="L3375" s="3">
        <v>999</v>
      </c>
      <c r="M3375" s="3">
        <v>0</v>
      </c>
      <c r="N3375" s="3">
        <v>1</v>
      </c>
      <c r="O3375" s="231" t="s">
        <v>8319</v>
      </c>
      <c r="P3375" s="3"/>
      <c r="Q3375" s="3"/>
      <c r="R3375" s="3"/>
      <c r="S3375" s="3">
        <v>1</v>
      </c>
      <c r="T3375" s="3">
        <v>5</v>
      </c>
      <c r="U3375" s="3">
        <v>100</v>
      </c>
      <c r="V3375" s="3"/>
      <c r="W3375" s="3">
        <v>1</v>
      </c>
      <c r="X3375" s="3">
        <v>1</v>
      </c>
      <c r="Y3375" s="3">
        <v>0</v>
      </c>
      <c r="Z3375" s="3">
        <v>0</v>
      </c>
      <c r="AA3375" s="3">
        <v>5</v>
      </c>
      <c r="AB3375" s="3">
        <v>2000</v>
      </c>
      <c r="AC3375" s="3">
        <v>56</v>
      </c>
      <c r="AD3375" s="153">
        <v>0</v>
      </c>
      <c r="AE3375" s="153">
        <v>4</v>
      </c>
      <c r="AF3375" s="153">
        <v>2</v>
      </c>
      <c r="AG3375" s="337"/>
      <c r="AH3375" s="337"/>
      <c r="AI3375" s="337"/>
      <c r="AJ3375" s="337"/>
      <c r="AK3375" s="337"/>
      <c r="AL3375" s="234"/>
      <c r="AM3375" s="234"/>
      <c r="AN3375" s="476"/>
      <c r="AO3375" s="234"/>
      <c r="AP3375" s="234"/>
      <c r="AQ3375" s="3"/>
      <c r="AR3375" s="3"/>
      <c r="AS3375">
        <v>1</v>
      </c>
    </row>
    <row r="3376" spans="1:45">
      <c r="A3376" s="3">
        <v>619645</v>
      </c>
      <c r="B3376" s="128">
        <v>1001</v>
      </c>
      <c r="C3376" s="128">
        <v>6</v>
      </c>
      <c r="D3376" s="128">
        <v>1001</v>
      </c>
      <c r="E3376" s="128" t="s">
        <v>8320</v>
      </c>
      <c r="F3376" s="128" t="s">
        <v>8320</v>
      </c>
      <c r="G3376" s="128" t="s">
        <v>8321</v>
      </c>
      <c r="H3376" s="3" t="s">
        <v>1825</v>
      </c>
      <c r="I3376" s="3">
        <v>1</v>
      </c>
      <c r="J3376" s="3">
        <v>5</v>
      </c>
      <c r="K3376" s="3">
        <v>2</v>
      </c>
      <c r="L3376" s="3">
        <v>999</v>
      </c>
      <c r="M3376" s="3">
        <v>0</v>
      </c>
      <c r="N3376" s="3">
        <v>1018</v>
      </c>
      <c r="O3376" s="231" t="s">
        <v>8322</v>
      </c>
      <c r="P3376" s="3"/>
      <c r="Q3376" s="3"/>
      <c r="R3376" s="3"/>
      <c r="S3376" s="3">
        <v>1</v>
      </c>
      <c r="T3376" s="3">
        <v>5</v>
      </c>
      <c r="U3376" s="3">
        <v>100</v>
      </c>
      <c r="V3376" s="3"/>
      <c r="W3376" s="3">
        <v>1</v>
      </c>
      <c r="X3376" s="3">
        <v>1</v>
      </c>
      <c r="Y3376" s="3">
        <v>0</v>
      </c>
      <c r="Z3376" s="3">
        <v>0</v>
      </c>
      <c r="AA3376" s="3">
        <v>5</v>
      </c>
      <c r="AB3376" s="3">
        <v>2000</v>
      </c>
      <c r="AC3376" s="3">
        <v>70</v>
      </c>
      <c r="AD3376" s="153">
        <v>0</v>
      </c>
      <c r="AE3376" s="153">
        <v>5</v>
      </c>
      <c r="AF3376" s="153">
        <v>2</v>
      </c>
      <c r="AG3376" s="337"/>
      <c r="AH3376" s="337"/>
      <c r="AI3376" s="337"/>
      <c r="AJ3376" s="337"/>
      <c r="AK3376" s="337"/>
      <c r="AL3376" s="234"/>
      <c r="AM3376" s="234"/>
      <c r="AN3376" s="476"/>
      <c r="AO3376" s="234"/>
      <c r="AP3376" s="234"/>
      <c r="AQ3376" s="3"/>
      <c r="AR3376" s="3"/>
      <c r="AS3376">
        <v>1</v>
      </c>
    </row>
    <row r="3377" spans="1:45">
      <c r="A3377" s="3">
        <v>619646</v>
      </c>
      <c r="B3377" s="128">
        <v>1001</v>
      </c>
      <c r="C3377" s="128">
        <v>6</v>
      </c>
      <c r="D3377" s="128">
        <v>1001</v>
      </c>
      <c r="E3377" s="128" t="s">
        <v>8323</v>
      </c>
      <c r="F3377" s="128" t="s">
        <v>8323</v>
      </c>
      <c r="G3377" s="128" t="s">
        <v>8324</v>
      </c>
      <c r="H3377" s="3" t="s">
        <v>1531</v>
      </c>
      <c r="I3377" s="3">
        <v>1</v>
      </c>
      <c r="J3377" s="3">
        <v>5</v>
      </c>
      <c r="K3377" s="3">
        <v>2</v>
      </c>
      <c r="L3377" s="3">
        <v>999</v>
      </c>
      <c r="M3377" s="3">
        <v>0</v>
      </c>
      <c r="N3377" s="3">
        <v>1018</v>
      </c>
      <c r="O3377" s="231" t="s">
        <v>8325</v>
      </c>
      <c r="P3377" s="3"/>
      <c r="Q3377" s="3"/>
      <c r="R3377" s="3"/>
      <c r="S3377" s="3">
        <v>1</v>
      </c>
      <c r="T3377" s="3">
        <v>5</v>
      </c>
      <c r="U3377" s="3">
        <v>100</v>
      </c>
      <c r="V3377" s="3"/>
      <c r="W3377" s="3">
        <v>1</v>
      </c>
      <c r="X3377" s="3">
        <v>1</v>
      </c>
      <c r="Y3377" s="3">
        <v>0</v>
      </c>
      <c r="Z3377" s="3">
        <v>0</v>
      </c>
      <c r="AA3377" s="3">
        <v>5</v>
      </c>
      <c r="AB3377" s="3">
        <v>2000</v>
      </c>
      <c r="AC3377" s="3">
        <v>70</v>
      </c>
      <c r="AD3377" s="153">
        <v>0</v>
      </c>
      <c r="AE3377" s="153">
        <v>5</v>
      </c>
      <c r="AF3377" s="153">
        <v>2</v>
      </c>
      <c r="AG3377" s="337"/>
      <c r="AH3377" s="337"/>
      <c r="AI3377" s="337"/>
      <c r="AJ3377" s="337"/>
      <c r="AK3377" s="337"/>
      <c r="AL3377" s="234"/>
      <c r="AM3377" s="234"/>
      <c r="AN3377" s="476"/>
      <c r="AO3377" s="234"/>
      <c r="AP3377" s="234"/>
      <c r="AQ3377" s="3"/>
      <c r="AR3377" s="3"/>
      <c r="AS3377">
        <v>1</v>
      </c>
    </row>
    <row r="3378" spans="1:45">
      <c r="A3378" s="3">
        <v>619647</v>
      </c>
      <c r="B3378" s="128">
        <v>1001</v>
      </c>
      <c r="C3378" s="128">
        <v>1</v>
      </c>
      <c r="D3378" s="128">
        <v>1001</v>
      </c>
      <c r="E3378" s="128" t="s">
        <v>1789</v>
      </c>
      <c r="F3378" s="128" t="s">
        <v>1789</v>
      </c>
      <c r="G3378" s="128" t="s">
        <v>8281</v>
      </c>
      <c r="H3378" s="3" t="s">
        <v>1791</v>
      </c>
      <c r="I3378" s="3">
        <v>1</v>
      </c>
      <c r="J3378" s="3">
        <v>5</v>
      </c>
      <c r="K3378" s="3">
        <v>1</v>
      </c>
      <c r="L3378" s="3">
        <v>999</v>
      </c>
      <c r="M3378" s="3">
        <v>0</v>
      </c>
      <c r="N3378" s="3"/>
      <c r="O3378" s="231"/>
      <c r="P3378" s="3"/>
      <c r="Q3378" s="3"/>
      <c r="R3378" s="3"/>
      <c r="S3378" s="3">
        <v>1</v>
      </c>
      <c r="T3378" s="3">
        <v>5</v>
      </c>
      <c r="U3378" s="3">
        <v>50</v>
      </c>
      <c r="V3378" s="3">
        <v>1</v>
      </c>
      <c r="W3378" s="3">
        <v>1</v>
      </c>
      <c r="X3378" s="3">
        <v>1</v>
      </c>
      <c r="Y3378" s="3">
        <v>0</v>
      </c>
      <c r="Z3378" s="3">
        <v>0</v>
      </c>
      <c r="AA3378" s="3">
        <v>5</v>
      </c>
      <c r="AB3378" s="3">
        <v>500</v>
      </c>
      <c r="AC3378" s="3">
        <v>56</v>
      </c>
      <c r="AD3378" s="153"/>
      <c r="AE3378" s="153"/>
      <c r="AF3378" s="153"/>
      <c r="AG3378" s="337"/>
      <c r="AH3378" s="337"/>
      <c r="AI3378" s="337"/>
      <c r="AJ3378" s="337"/>
      <c r="AK3378" s="337"/>
      <c r="AL3378" s="234">
        <v>1</v>
      </c>
      <c r="AM3378" s="234"/>
      <c r="AN3378" s="476"/>
      <c r="AO3378" s="234"/>
      <c r="AP3378" s="234"/>
      <c r="AQ3378" s="3"/>
      <c r="AR3378" s="3"/>
      <c r="AS3378">
        <v>1</v>
      </c>
    </row>
    <row r="3379" spans="1:45">
      <c r="A3379" s="3">
        <v>619648</v>
      </c>
      <c r="B3379" s="128">
        <v>1001</v>
      </c>
      <c r="C3379" s="128">
        <v>6</v>
      </c>
      <c r="D3379" s="128">
        <v>1001</v>
      </c>
      <c r="E3379" s="128" t="s">
        <v>8326</v>
      </c>
      <c r="F3379" s="128" t="s">
        <v>8326</v>
      </c>
      <c r="G3379" s="128" t="s">
        <v>7838</v>
      </c>
      <c r="H3379" s="3" t="s">
        <v>8327</v>
      </c>
      <c r="I3379" s="3">
        <v>1</v>
      </c>
      <c r="J3379" s="3">
        <v>5</v>
      </c>
      <c r="K3379" s="3">
        <v>2</v>
      </c>
      <c r="L3379" s="3">
        <v>999</v>
      </c>
      <c r="M3379" s="3">
        <v>0</v>
      </c>
      <c r="N3379" s="3">
        <v>1017</v>
      </c>
      <c r="O3379" s="231">
        <v>300111</v>
      </c>
      <c r="P3379" s="3"/>
      <c r="Q3379" s="3"/>
      <c r="R3379" s="3"/>
      <c r="S3379" s="3">
        <v>0</v>
      </c>
      <c r="T3379" s="3">
        <v>5</v>
      </c>
      <c r="U3379" s="3">
        <v>100</v>
      </c>
      <c r="V3379" s="3">
        <v>1</v>
      </c>
      <c r="W3379" s="3">
        <v>0</v>
      </c>
      <c r="X3379" s="3">
        <v>1</v>
      </c>
      <c r="Y3379" s="3">
        <v>1</v>
      </c>
      <c r="Z3379" s="3">
        <v>0</v>
      </c>
      <c r="AA3379" s="3">
        <v>5</v>
      </c>
      <c r="AB3379" s="3">
        <v>150</v>
      </c>
      <c r="AC3379" s="3">
        <v>2</v>
      </c>
      <c r="AD3379" s="153"/>
      <c r="AE3379" s="153">
        <v>4</v>
      </c>
      <c r="AF3379" s="153">
        <v>2</v>
      </c>
      <c r="AG3379" s="337"/>
      <c r="AH3379" s="337"/>
      <c r="AI3379" s="337"/>
      <c r="AJ3379" s="337"/>
      <c r="AK3379" s="337"/>
      <c r="AL3379" s="234">
        <v>0</v>
      </c>
      <c r="AM3379" s="234"/>
      <c r="AN3379" s="476"/>
      <c r="AO3379" s="234"/>
      <c r="AP3379" s="234"/>
      <c r="AQ3379" s="3"/>
      <c r="AR3379" s="3"/>
      <c r="AS3379">
        <v>1</v>
      </c>
    </row>
    <row r="3380" spans="1:45">
      <c r="A3380" s="3">
        <v>619649</v>
      </c>
      <c r="B3380" s="128">
        <v>1001</v>
      </c>
      <c r="C3380" s="128">
        <v>6</v>
      </c>
      <c r="D3380" s="128">
        <v>1001</v>
      </c>
      <c r="E3380" s="128" t="s">
        <v>5550</v>
      </c>
      <c r="F3380" s="128" t="s">
        <v>5550</v>
      </c>
      <c r="G3380" s="128" t="s">
        <v>8328</v>
      </c>
      <c r="H3380" s="3" t="s">
        <v>1531</v>
      </c>
      <c r="I3380" s="3">
        <v>1</v>
      </c>
      <c r="J3380" s="3">
        <v>5</v>
      </c>
      <c r="K3380" s="3">
        <v>2</v>
      </c>
      <c r="L3380" s="3">
        <v>999</v>
      </c>
      <c r="M3380" s="3">
        <v>0</v>
      </c>
      <c r="N3380" s="3">
        <v>1018</v>
      </c>
      <c r="O3380" s="231" t="s">
        <v>8329</v>
      </c>
      <c r="P3380" s="3"/>
      <c r="Q3380" s="3"/>
      <c r="R3380" s="3"/>
      <c r="S3380" s="3">
        <v>1</v>
      </c>
      <c r="T3380" s="3">
        <v>5</v>
      </c>
      <c r="U3380" s="3">
        <v>100</v>
      </c>
      <c r="V3380" s="3"/>
      <c r="W3380" s="3">
        <v>1</v>
      </c>
      <c r="X3380" s="3">
        <v>1</v>
      </c>
      <c r="Y3380" s="3">
        <v>0</v>
      </c>
      <c r="Z3380" s="3">
        <v>0</v>
      </c>
      <c r="AA3380" s="3">
        <v>5</v>
      </c>
      <c r="AB3380" s="3">
        <v>2000</v>
      </c>
      <c r="AC3380" s="3">
        <v>70</v>
      </c>
      <c r="AD3380" s="153">
        <v>0</v>
      </c>
      <c r="AE3380" s="153">
        <v>5</v>
      </c>
      <c r="AF3380" s="153">
        <v>2</v>
      </c>
      <c r="AG3380" s="337"/>
      <c r="AH3380" s="337"/>
      <c r="AI3380" s="337"/>
      <c r="AJ3380" s="337"/>
      <c r="AK3380" s="337"/>
      <c r="AL3380" s="234"/>
      <c r="AM3380" s="234"/>
      <c r="AN3380" s="476"/>
      <c r="AO3380" s="234"/>
      <c r="AP3380" s="234"/>
      <c r="AQ3380" s="3"/>
      <c r="AR3380" s="3"/>
      <c r="AS3380">
        <v>1</v>
      </c>
    </row>
    <row r="3381" s="33" customFormat="1" spans="1:45">
      <c r="A3381" s="33">
        <v>681001</v>
      </c>
      <c r="B3381" s="87">
        <v>1001</v>
      </c>
      <c r="C3381" s="87">
        <v>1</v>
      </c>
      <c r="D3381" s="87">
        <v>1001</v>
      </c>
      <c r="E3381" s="87" t="s">
        <v>8330</v>
      </c>
      <c r="F3381" s="87" t="s">
        <v>8330</v>
      </c>
      <c r="G3381" s="87" t="s">
        <v>8331</v>
      </c>
      <c r="H3381" s="33" t="s">
        <v>8332</v>
      </c>
      <c r="I3381" s="33">
        <v>1</v>
      </c>
      <c r="J3381" s="33">
        <v>5</v>
      </c>
      <c r="K3381" s="33">
        <v>1</v>
      </c>
      <c r="L3381" s="33">
        <v>999</v>
      </c>
      <c r="M3381" s="33">
        <v>0</v>
      </c>
      <c r="O3381" s="94"/>
      <c r="S3381" s="33">
        <v>1</v>
      </c>
      <c r="T3381" s="33">
        <v>5</v>
      </c>
      <c r="U3381" s="33">
        <v>1</v>
      </c>
      <c r="V3381" s="33">
        <v>1</v>
      </c>
      <c r="W3381" s="33">
        <v>1</v>
      </c>
      <c r="X3381" s="33">
        <v>1</v>
      </c>
      <c r="Y3381" s="33">
        <v>0</v>
      </c>
      <c r="Z3381" s="33">
        <v>0</v>
      </c>
      <c r="AA3381" s="33">
        <v>5</v>
      </c>
      <c r="AB3381" s="33">
        <v>500</v>
      </c>
      <c r="AC3381" s="33">
        <v>900</v>
      </c>
      <c r="AD3381" s="95"/>
      <c r="AE3381" s="95"/>
      <c r="AF3381" s="95"/>
      <c r="AG3381" s="346"/>
      <c r="AH3381" s="346"/>
      <c r="AI3381" s="346"/>
      <c r="AJ3381" s="346"/>
      <c r="AK3381" s="346"/>
      <c r="AL3381" s="347">
        <v>1</v>
      </c>
      <c r="AM3381" s="347"/>
      <c r="AN3381" s="531"/>
      <c r="AO3381" s="347"/>
      <c r="AP3381" s="347"/>
      <c r="AS3381" s="33">
        <v>1</v>
      </c>
    </row>
    <row r="3382" s="33" customFormat="1" spans="1:45">
      <c r="A3382" s="33">
        <v>681002</v>
      </c>
      <c r="B3382" s="87">
        <v>1001</v>
      </c>
      <c r="C3382" s="87">
        <v>1</v>
      </c>
      <c r="D3382" s="87">
        <v>1001</v>
      </c>
      <c r="E3382" s="87" t="s">
        <v>8333</v>
      </c>
      <c r="F3382" s="87" t="s">
        <v>8333</v>
      </c>
      <c r="G3382" s="87" t="s">
        <v>8334</v>
      </c>
      <c r="H3382" s="33" t="s">
        <v>8335</v>
      </c>
      <c r="I3382" s="33">
        <v>1</v>
      </c>
      <c r="J3382" s="33">
        <v>1</v>
      </c>
      <c r="K3382" s="33">
        <v>1</v>
      </c>
      <c r="L3382" s="33">
        <v>999</v>
      </c>
      <c r="M3382" s="33">
        <v>0</v>
      </c>
      <c r="O3382" s="94"/>
      <c r="S3382" s="33">
        <v>1</v>
      </c>
      <c r="T3382" s="33">
        <v>5</v>
      </c>
      <c r="U3382" s="33">
        <v>1</v>
      </c>
      <c r="V3382" s="33">
        <v>1</v>
      </c>
      <c r="W3382" s="33">
        <v>1</v>
      </c>
      <c r="X3382" s="33">
        <v>1</v>
      </c>
      <c r="Y3382" s="33">
        <v>0</v>
      </c>
      <c r="Z3382" s="33">
        <v>0</v>
      </c>
      <c r="AA3382" s="33">
        <v>5</v>
      </c>
      <c r="AB3382" s="33">
        <v>500</v>
      </c>
      <c r="AC3382" s="33">
        <v>900</v>
      </c>
      <c r="AD3382" s="95"/>
      <c r="AE3382" s="95"/>
      <c r="AF3382" s="95"/>
      <c r="AG3382" s="346"/>
      <c r="AH3382" s="346"/>
      <c r="AI3382" s="346"/>
      <c r="AJ3382" s="346"/>
      <c r="AK3382" s="346"/>
      <c r="AL3382" s="347">
        <v>1</v>
      </c>
      <c r="AM3382" s="347"/>
      <c r="AN3382" s="531"/>
      <c r="AO3382" s="347"/>
      <c r="AP3382" s="347"/>
      <c r="AS3382" s="33">
        <v>1</v>
      </c>
    </row>
    <row r="3383" s="33" customFormat="1" spans="1:45">
      <c r="A3383" s="33">
        <v>681003</v>
      </c>
      <c r="B3383" s="87">
        <v>1001</v>
      </c>
      <c r="C3383" s="87">
        <v>1</v>
      </c>
      <c r="D3383" s="87">
        <v>1001</v>
      </c>
      <c r="E3383" s="87" t="s">
        <v>8336</v>
      </c>
      <c r="F3383" s="87" t="s">
        <v>8336</v>
      </c>
      <c r="G3383" s="87" t="s">
        <v>8337</v>
      </c>
      <c r="H3383" s="33" t="s">
        <v>8338</v>
      </c>
      <c r="I3383" s="33">
        <v>1</v>
      </c>
      <c r="J3383" s="33">
        <v>5</v>
      </c>
      <c r="K3383" s="33">
        <v>1</v>
      </c>
      <c r="L3383" s="33">
        <v>999</v>
      </c>
      <c r="M3383" s="33">
        <v>0</v>
      </c>
      <c r="O3383" s="94"/>
      <c r="S3383" s="33">
        <v>1</v>
      </c>
      <c r="T3383" s="33">
        <v>5</v>
      </c>
      <c r="U3383" s="33">
        <v>1</v>
      </c>
      <c r="V3383" s="33">
        <v>1</v>
      </c>
      <c r="W3383" s="33">
        <v>1</v>
      </c>
      <c r="X3383" s="33">
        <v>1</v>
      </c>
      <c r="Y3383" s="33">
        <v>0</v>
      </c>
      <c r="Z3383" s="33">
        <v>0</v>
      </c>
      <c r="AA3383" s="33">
        <v>5</v>
      </c>
      <c r="AB3383" s="33">
        <v>500</v>
      </c>
      <c r="AC3383" s="33">
        <v>900</v>
      </c>
      <c r="AD3383" s="95"/>
      <c r="AE3383" s="95"/>
      <c r="AF3383" s="95"/>
      <c r="AG3383" s="346"/>
      <c r="AH3383" s="346"/>
      <c r="AI3383" s="346"/>
      <c r="AJ3383" s="346"/>
      <c r="AK3383" s="346"/>
      <c r="AL3383" s="347">
        <v>1</v>
      </c>
      <c r="AM3383" s="347"/>
      <c r="AN3383" s="531"/>
      <c r="AO3383" s="347"/>
      <c r="AP3383" s="347"/>
      <c r="AS3383" s="33">
        <v>1</v>
      </c>
    </row>
    <row r="3384" s="33" customFormat="1" spans="1:45">
      <c r="A3384" s="33">
        <v>681004</v>
      </c>
      <c r="B3384" s="248">
        <v>1001</v>
      </c>
      <c r="C3384" s="248">
        <v>1</v>
      </c>
      <c r="D3384" s="248">
        <v>1001</v>
      </c>
      <c r="E3384" s="248" t="s">
        <v>8339</v>
      </c>
      <c r="F3384" s="248" t="s">
        <v>8339</v>
      </c>
      <c r="G3384" s="248" t="s">
        <v>8340</v>
      </c>
      <c r="H3384" s="33" t="s">
        <v>8341</v>
      </c>
      <c r="I3384" s="33">
        <v>1</v>
      </c>
      <c r="J3384" s="33">
        <v>1</v>
      </c>
      <c r="K3384" s="33">
        <v>1</v>
      </c>
      <c r="L3384" s="33">
        <v>999</v>
      </c>
      <c r="M3384" s="33">
        <v>0</v>
      </c>
      <c r="O3384" s="94"/>
      <c r="S3384" s="33">
        <v>1</v>
      </c>
      <c r="T3384" s="33">
        <v>5</v>
      </c>
      <c r="U3384" s="33">
        <v>1</v>
      </c>
      <c r="V3384" s="254">
        <v>1</v>
      </c>
      <c r="W3384" s="33">
        <v>1</v>
      </c>
      <c r="X3384" s="33">
        <v>1</v>
      </c>
      <c r="Y3384" s="33">
        <v>0</v>
      </c>
      <c r="Z3384" s="33">
        <v>0</v>
      </c>
      <c r="AA3384" s="33">
        <v>5</v>
      </c>
      <c r="AB3384" s="33">
        <v>500</v>
      </c>
      <c r="AC3384" s="33">
        <v>900</v>
      </c>
      <c r="AD3384" s="95"/>
      <c r="AE3384" s="95"/>
      <c r="AF3384" s="95"/>
      <c r="AG3384" s="346"/>
      <c r="AH3384" s="346"/>
      <c r="AI3384" s="346"/>
      <c r="AJ3384" s="346"/>
      <c r="AK3384" s="346"/>
      <c r="AL3384" s="347">
        <v>1</v>
      </c>
      <c r="AM3384" s="347"/>
      <c r="AN3384" s="532"/>
      <c r="AO3384" s="351"/>
      <c r="AP3384" s="347"/>
      <c r="AS3384" s="33">
        <v>1</v>
      </c>
    </row>
    <row r="3385" spans="1:45">
      <c r="A3385">
        <v>720002</v>
      </c>
      <c r="B3385">
        <v>1001</v>
      </c>
      <c r="C3385">
        <v>2</v>
      </c>
      <c r="D3385">
        <v>1001</v>
      </c>
      <c r="E3385" s="486" t="s">
        <v>8342</v>
      </c>
      <c r="F3385" t="s">
        <v>8342</v>
      </c>
      <c r="G3385" t="s">
        <v>8343</v>
      </c>
      <c r="H3385" t="s">
        <v>8344</v>
      </c>
      <c r="I3385">
        <v>1</v>
      </c>
      <c r="J3385">
        <v>1</v>
      </c>
      <c r="K3385" s="33">
        <v>1</v>
      </c>
      <c r="L3385">
        <v>999</v>
      </c>
      <c r="M3385">
        <v>0</v>
      </c>
      <c r="S3385" s="33">
        <v>1</v>
      </c>
      <c r="T3385">
        <v>5</v>
      </c>
      <c r="U3385">
        <v>5</v>
      </c>
      <c r="V3385" s="87">
        <v>1</v>
      </c>
      <c r="W3385">
        <v>1</v>
      </c>
      <c r="X3385">
        <v>1</v>
      </c>
      <c r="Y3385">
        <v>0</v>
      </c>
      <c r="Z3385" s="33">
        <v>0</v>
      </c>
      <c r="AA3385">
        <v>5</v>
      </c>
      <c r="AB3385">
        <v>500</v>
      </c>
      <c r="AC3385">
        <v>888</v>
      </c>
      <c r="AL3385" s="64">
        <v>1</v>
      </c>
      <c r="AN3385" s="93"/>
      <c r="AO3385" s="92"/>
      <c r="AS3385">
        <v>1</v>
      </c>
    </row>
    <row r="3386" spans="1:45">
      <c r="A3386">
        <v>720003</v>
      </c>
      <c r="B3386">
        <v>1001</v>
      </c>
      <c r="C3386">
        <v>2</v>
      </c>
      <c r="D3386">
        <v>1001</v>
      </c>
      <c r="E3386" s="486" t="s">
        <v>8345</v>
      </c>
      <c r="F3386" t="s">
        <v>8345</v>
      </c>
      <c r="G3386" t="s">
        <v>8343</v>
      </c>
      <c r="H3386" t="s">
        <v>8346</v>
      </c>
      <c r="I3386">
        <v>1</v>
      </c>
      <c r="J3386">
        <v>1</v>
      </c>
      <c r="K3386" s="33">
        <v>1</v>
      </c>
      <c r="L3386">
        <v>999</v>
      </c>
      <c r="M3386">
        <v>0</v>
      </c>
      <c r="S3386" s="33">
        <v>1</v>
      </c>
      <c r="T3386">
        <v>5</v>
      </c>
      <c r="U3386">
        <v>5</v>
      </c>
      <c r="V3386" s="87">
        <v>1</v>
      </c>
      <c r="W3386">
        <v>1</v>
      </c>
      <c r="X3386">
        <v>1</v>
      </c>
      <c r="Y3386">
        <v>0</v>
      </c>
      <c r="Z3386" s="33">
        <v>0</v>
      </c>
      <c r="AA3386">
        <v>5</v>
      </c>
      <c r="AB3386">
        <v>500</v>
      </c>
      <c r="AC3386">
        <v>888</v>
      </c>
      <c r="AL3386" s="64">
        <v>1</v>
      </c>
      <c r="AN3386" s="93"/>
      <c r="AO3386" s="92"/>
      <c r="AS3386">
        <v>1</v>
      </c>
    </row>
    <row r="3387" spans="1:45">
      <c r="A3387">
        <v>720004</v>
      </c>
      <c r="B3387">
        <v>1001</v>
      </c>
      <c r="C3387">
        <v>2</v>
      </c>
      <c r="D3387">
        <v>1001</v>
      </c>
      <c r="E3387" s="486" t="s">
        <v>8347</v>
      </c>
      <c r="F3387" t="s">
        <v>8347</v>
      </c>
      <c r="G3387" t="s">
        <v>8343</v>
      </c>
      <c r="H3387" t="s">
        <v>8348</v>
      </c>
      <c r="I3387">
        <v>1</v>
      </c>
      <c r="J3387">
        <v>1</v>
      </c>
      <c r="K3387" s="33">
        <v>1</v>
      </c>
      <c r="L3387">
        <v>999</v>
      </c>
      <c r="M3387">
        <v>0</v>
      </c>
      <c r="S3387" s="33">
        <v>1</v>
      </c>
      <c r="T3387">
        <v>5</v>
      </c>
      <c r="U3387">
        <v>5</v>
      </c>
      <c r="V3387" s="87">
        <v>1</v>
      </c>
      <c r="W3387">
        <v>1</v>
      </c>
      <c r="X3387">
        <v>1</v>
      </c>
      <c r="Y3387">
        <v>0</v>
      </c>
      <c r="Z3387" s="33">
        <v>0</v>
      </c>
      <c r="AA3387">
        <v>5</v>
      </c>
      <c r="AB3387">
        <v>500</v>
      </c>
      <c r="AC3387">
        <v>888</v>
      </c>
      <c r="AL3387" s="64">
        <v>1</v>
      </c>
      <c r="AN3387" s="93"/>
      <c r="AO3387" s="92"/>
      <c r="AS3387">
        <v>1</v>
      </c>
    </row>
    <row r="3388" spans="1:45">
      <c r="A3388">
        <v>721001</v>
      </c>
      <c r="B3388">
        <v>1001</v>
      </c>
      <c r="C3388">
        <v>2</v>
      </c>
      <c r="D3388">
        <v>1001</v>
      </c>
      <c r="E3388" s="486" t="s">
        <v>8349</v>
      </c>
      <c r="F3388" t="s">
        <v>8349</v>
      </c>
      <c r="G3388" t="s">
        <v>8350</v>
      </c>
      <c r="H3388" t="s">
        <v>8351</v>
      </c>
      <c r="I3388">
        <v>1</v>
      </c>
      <c r="J3388">
        <v>1</v>
      </c>
      <c r="K3388" s="33">
        <v>1</v>
      </c>
      <c r="L3388">
        <v>999</v>
      </c>
      <c r="M3388">
        <v>0</v>
      </c>
      <c r="S3388" s="33">
        <v>1</v>
      </c>
      <c r="T3388">
        <v>5</v>
      </c>
      <c r="U3388">
        <v>5</v>
      </c>
      <c r="V3388" s="87">
        <v>1</v>
      </c>
      <c r="W3388">
        <v>1</v>
      </c>
      <c r="X3388">
        <v>1</v>
      </c>
      <c r="Y3388">
        <v>0</v>
      </c>
      <c r="Z3388" s="33">
        <v>0</v>
      </c>
      <c r="AA3388">
        <v>5</v>
      </c>
      <c r="AB3388">
        <v>500</v>
      </c>
      <c r="AC3388">
        <v>888</v>
      </c>
      <c r="AL3388" s="64">
        <v>1</v>
      </c>
      <c r="AN3388" s="93"/>
      <c r="AO3388" s="92"/>
      <c r="AS3388">
        <v>1</v>
      </c>
    </row>
    <row r="3389" spans="1:45">
      <c r="A3389">
        <v>721002</v>
      </c>
      <c r="B3389">
        <v>1001</v>
      </c>
      <c r="C3389">
        <v>2</v>
      </c>
      <c r="D3389">
        <v>1001</v>
      </c>
      <c r="E3389" s="486" t="s">
        <v>8352</v>
      </c>
      <c r="F3389" t="s">
        <v>8352</v>
      </c>
      <c r="G3389" t="s">
        <v>8353</v>
      </c>
      <c r="H3389" t="s">
        <v>8354</v>
      </c>
      <c r="I3389">
        <v>1</v>
      </c>
      <c r="J3389">
        <v>1</v>
      </c>
      <c r="K3389" s="33">
        <v>1</v>
      </c>
      <c r="L3389">
        <v>999</v>
      </c>
      <c r="M3389">
        <v>0</v>
      </c>
      <c r="S3389" s="33">
        <v>1</v>
      </c>
      <c r="T3389">
        <v>5</v>
      </c>
      <c r="U3389">
        <v>5</v>
      </c>
      <c r="V3389" s="87">
        <v>1</v>
      </c>
      <c r="W3389">
        <v>1</v>
      </c>
      <c r="X3389">
        <v>1</v>
      </c>
      <c r="Y3389">
        <v>0</v>
      </c>
      <c r="Z3389" s="33">
        <v>0</v>
      </c>
      <c r="AA3389">
        <v>5</v>
      </c>
      <c r="AB3389">
        <v>500</v>
      </c>
      <c r="AC3389">
        <v>888</v>
      </c>
      <c r="AL3389" s="64">
        <v>1</v>
      </c>
      <c r="AN3389" s="93"/>
      <c r="AO3389" s="92"/>
      <c r="AS3389">
        <v>1</v>
      </c>
    </row>
    <row r="3390" spans="1:45">
      <c r="A3390">
        <v>721003</v>
      </c>
      <c r="B3390">
        <v>1001</v>
      </c>
      <c r="C3390">
        <v>2</v>
      </c>
      <c r="D3390">
        <v>1001</v>
      </c>
      <c r="E3390" s="486" t="s">
        <v>8355</v>
      </c>
      <c r="F3390" t="s">
        <v>8355</v>
      </c>
      <c r="G3390" t="s">
        <v>8356</v>
      </c>
      <c r="H3390" t="s">
        <v>8357</v>
      </c>
      <c r="I3390">
        <v>1</v>
      </c>
      <c r="J3390">
        <v>1</v>
      </c>
      <c r="K3390" s="33">
        <v>1</v>
      </c>
      <c r="L3390">
        <v>999</v>
      </c>
      <c r="M3390">
        <v>0</v>
      </c>
      <c r="S3390" s="33">
        <v>1</v>
      </c>
      <c r="T3390">
        <v>5</v>
      </c>
      <c r="U3390">
        <v>5</v>
      </c>
      <c r="V3390" s="87">
        <v>1</v>
      </c>
      <c r="W3390">
        <v>1</v>
      </c>
      <c r="X3390">
        <v>1</v>
      </c>
      <c r="Y3390">
        <v>0</v>
      </c>
      <c r="Z3390" s="33">
        <v>0</v>
      </c>
      <c r="AA3390">
        <v>5</v>
      </c>
      <c r="AB3390">
        <v>500</v>
      </c>
      <c r="AC3390">
        <v>888</v>
      </c>
      <c r="AL3390" s="64">
        <v>1</v>
      </c>
      <c r="AN3390" s="93"/>
      <c r="AO3390" s="92"/>
      <c r="AS3390">
        <v>1</v>
      </c>
    </row>
    <row r="3391" spans="1:45">
      <c r="A3391">
        <v>721004</v>
      </c>
      <c r="B3391">
        <v>1001</v>
      </c>
      <c r="C3391">
        <v>2</v>
      </c>
      <c r="D3391">
        <v>1001</v>
      </c>
      <c r="E3391" s="486" t="s">
        <v>8358</v>
      </c>
      <c r="F3391" t="s">
        <v>8358</v>
      </c>
      <c r="G3391" t="s">
        <v>8359</v>
      </c>
      <c r="H3391" t="s">
        <v>8360</v>
      </c>
      <c r="I3391">
        <v>1</v>
      </c>
      <c r="J3391">
        <v>1</v>
      </c>
      <c r="K3391" s="33">
        <v>1</v>
      </c>
      <c r="L3391">
        <v>999</v>
      </c>
      <c r="M3391">
        <v>0</v>
      </c>
      <c r="S3391" s="33">
        <v>1</v>
      </c>
      <c r="T3391">
        <v>5</v>
      </c>
      <c r="U3391">
        <v>5</v>
      </c>
      <c r="V3391" s="87">
        <v>1</v>
      </c>
      <c r="W3391">
        <v>1</v>
      </c>
      <c r="X3391">
        <v>1</v>
      </c>
      <c r="Y3391">
        <v>0</v>
      </c>
      <c r="Z3391" s="33">
        <v>0</v>
      </c>
      <c r="AA3391">
        <v>5</v>
      </c>
      <c r="AB3391">
        <v>500</v>
      </c>
      <c r="AC3391">
        <v>888</v>
      </c>
      <c r="AL3391" s="64">
        <v>1</v>
      </c>
      <c r="AN3391" s="93"/>
      <c r="AO3391" s="92"/>
      <c r="AS3391">
        <v>1</v>
      </c>
    </row>
    <row r="3392" spans="1:45">
      <c r="A3392">
        <v>721005</v>
      </c>
      <c r="B3392">
        <v>1001</v>
      </c>
      <c r="C3392">
        <v>2</v>
      </c>
      <c r="D3392">
        <v>1001</v>
      </c>
      <c r="E3392" s="486" t="s">
        <v>8361</v>
      </c>
      <c r="F3392" t="s">
        <v>8361</v>
      </c>
      <c r="G3392" t="s">
        <v>8362</v>
      </c>
      <c r="H3392" t="s">
        <v>8363</v>
      </c>
      <c r="I3392">
        <v>1</v>
      </c>
      <c r="J3392">
        <v>1</v>
      </c>
      <c r="K3392" s="33">
        <v>1</v>
      </c>
      <c r="L3392">
        <v>999</v>
      </c>
      <c r="M3392">
        <v>0</v>
      </c>
      <c r="N3392" s="35"/>
      <c r="O3392" s="110"/>
      <c r="S3392" s="33">
        <v>1</v>
      </c>
      <c r="T3392">
        <v>5</v>
      </c>
      <c r="U3392">
        <v>5</v>
      </c>
      <c r="V3392" s="87">
        <v>1</v>
      </c>
      <c r="W3392">
        <v>1</v>
      </c>
      <c r="X3392">
        <v>1</v>
      </c>
      <c r="Y3392">
        <v>0</v>
      </c>
      <c r="Z3392" s="33">
        <v>0</v>
      </c>
      <c r="AA3392">
        <v>5</v>
      </c>
      <c r="AB3392">
        <v>500</v>
      </c>
      <c r="AC3392">
        <v>888</v>
      </c>
      <c r="AD3392" s="112"/>
      <c r="AE3392" s="112"/>
      <c r="AF3392" s="112"/>
      <c r="AG3392" s="113"/>
      <c r="AH3392" s="113"/>
      <c r="AI3392" s="113"/>
      <c r="AJ3392" s="113"/>
      <c r="AK3392" s="113"/>
      <c r="AL3392" s="64">
        <v>1</v>
      </c>
      <c r="AM3392" s="114"/>
      <c r="AN3392" s="93"/>
      <c r="AO3392" s="92"/>
      <c r="AP3392" s="114"/>
      <c r="AS3392">
        <v>1</v>
      </c>
    </row>
    <row r="3393" s="35" customFormat="1" spans="1:45">
      <c r="A3393" s="35">
        <v>721100</v>
      </c>
      <c r="B3393" s="35">
        <v>1001</v>
      </c>
      <c r="C3393" s="35">
        <v>2</v>
      </c>
      <c r="D3393" s="35">
        <v>1001</v>
      </c>
      <c r="E3393" s="35" t="s">
        <v>8364</v>
      </c>
      <c r="F3393" s="35" t="s">
        <v>8364</v>
      </c>
      <c r="G3393" s="35" t="s">
        <v>8365</v>
      </c>
      <c r="H3393" s="35" t="s">
        <v>8366</v>
      </c>
      <c r="I3393" s="35">
        <v>1</v>
      </c>
      <c r="J3393" s="35">
        <v>2</v>
      </c>
      <c r="K3393" s="35">
        <v>1</v>
      </c>
      <c r="L3393" s="35">
        <v>999</v>
      </c>
      <c r="M3393" s="35">
        <v>0</v>
      </c>
      <c r="N3393" s="35">
        <v>1052</v>
      </c>
      <c r="O3393" s="110">
        <v>1000</v>
      </c>
      <c r="S3393" s="35">
        <v>1</v>
      </c>
      <c r="T3393" s="35">
        <v>5</v>
      </c>
      <c r="U3393" s="35">
        <v>5</v>
      </c>
      <c r="V3393" s="111">
        <v>1</v>
      </c>
      <c r="W3393" s="35">
        <v>1</v>
      </c>
      <c r="X3393" s="35">
        <v>1</v>
      </c>
      <c r="Y3393" s="35">
        <v>0</v>
      </c>
      <c r="Z3393" s="35">
        <v>0</v>
      </c>
      <c r="AA3393" s="35">
        <v>5</v>
      </c>
      <c r="AB3393" s="35">
        <v>500</v>
      </c>
      <c r="AC3393" s="35">
        <v>888</v>
      </c>
      <c r="AD3393" s="112"/>
      <c r="AE3393" s="112"/>
      <c r="AF3393" s="112"/>
      <c r="AG3393" s="113"/>
      <c r="AH3393" s="113"/>
      <c r="AI3393" s="113"/>
      <c r="AJ3393" s="113"/>
      <c r="AK3393" s="113"/>
      <c r="AL3393" s="114">
        <v>1</v>
      </c>
      <c r="AM3393" s="114"/>
      <c r="AN3393" s="115"/>
      <c r="AO3393" s="116"/>
      <c r="AP3393" s="114"/>
      <c r="AS3393" s="35">
        <v>1</v>
      </c>
    </row>
    <row r="3394" s="35" customFormat="1" spans="1:45">
      <c r="A3394" s="35">
        <v>721101</v>
      </c>
      <c r="B3394" s="35">
        <v>1001</v>
      </c>
      <c r="C3394" s="35">
        <v>2</v>
      </c>
      <c r="D3394" s="35">
        <v>1001</v>
      </c>
      <c r="E3394" s="35" t="s">
        <v>8367</v>
      </c>
      <c r="F3394" s="35" t="s">
        <v>8367</v>
      </c>
      <c r="G3394" s="35" t="s">
        <v>8368</v>
      </c>
      <c r="H3394" s="35" t="s">
        <v>8369</v>
      </c>
      <c r="I3394" s="35">
        <v>1</v>
      </c>
      <c r="J3394" s="35">
        <v>3</v>
      </c>
      <c r="K3394" s="35">
        <v>1</v>
      </c>
      <c r="L3394" s="35">
        <v>999</v>
      </c>
      <c r="M3394" s="35">
        <v>0</v>
      </c>
      <c r="N3394" s="35">
        <v>1052</v>
      </c>
      <c r="O3394" s="110">
        <v>5000</v>
      </c>
      <c r="S3394" s="35">
        <v>1</v>
      </c>
      <c r="T3394" s="35">
        <v>5</v>
      </c>
      <c r="U3394" s="35">
        <v>5</v>
      </c>
      <c r="V3394" s="111">
        <v>1</v>
      </c>
      <c r="W3394" s="35">
        <v>1</v>
      </c>
      <c r="X3394" s="35">
        <v>1</v>
      </c>
      <c r="Y3394" s="35">
        <v>0</v>
      </c>
      <c r="Z3394" s="35">
        <v>0</v>
      </c>
      <c r="AA3394" s="35">
        <v>5</v>
      </c>
      <c r="AB3394" s="35">
        <v>500</v>
      </c>
      <c r="AC3394" s="35">
        <v>888</v>
      </c>
      <c r="AD3394" s="112"/>
      <c r="AE3394" s="112"/>
      <c r="AF3394" s="112"/>
      <c r="AG3394" s="113"/>
      <c r="AH3394" s="113"/>
      <c r="AI3394" s="113"/>
      <c r="AJ3394" s="113"/>
      <c r="AK3394" s="113"/>
      <c r="AL3394" s="114">
        <v>1</v>
      </c>
      <c r="AM3394" s="114"/>
      <c r="AN3394" s="115"/>
      <c r="AO3394" s="116"/>
      <c r="AP3394" s="114"/>
      <c r="AS3394" s="35">
        <v>1</v>
      </c>
    </row>
    <row r="3395" s="35" customFormat="1" spans="1:45">
      <c r="A3395" s="35">
        <v>721102</v>
      </c>
      <c r="B3395" s="35">
        <v>1001</v>
      </c>
      <c r="C3395" s="35">
        <v>2</v>
      </c>
      <c r="D3395" s="35">
        <v>1001</v>
      </c>
      <c r="E3395" s="35" t="s">
        <v>8370</v>
      </c>
      <c r="F3395" s="35" t="s">
        <v>8370</v>
      </c>
      <c r="G3395" s="35" t="s">
        <v>8371</v>
      </c>
      <c r="H3395" s="35" t="s">
        <v>8372</v>
      </c>
      <c r="I3395" s="35">
        <v>1</v>
      </c>
      <c r="J3395" s="35">
        <v>5</v>
      </c>
      <c r="K3395" s="35">
        <v>1</v>
      </c>
      <c r="L3395" s="35">
        <v>999</v>
      </c>
      <c r="M3395" s="35">
        <v>0</v>
      </c>
      <c r="N3395" s="35">
        <v>1052</v>
      </c>
      <c r="O3395" s="110">
        <v>10000</v>
      </c>
      <c r="S3395" s="35">
        <v>1</v>
      </c>
      <c r="T3395" s="35">
        <v>5</v>
      </c>
      <c r="U3395" s="35">
        <v>5</v>
      </c>
      <c r="V3395" s="111">
        <v>1</v>
      </c>
      <c r="W3395" s="35">
        <v>1</v>
      </c>
      <c r="X3395" s="35">
        <v>1</v>
      </c>
      <c r="Y3395" s="35">
        <v>0</v>
      </c>
      <c r="Z3395" s="35">
        <v>0</v>
      </c>
      <c r="AA3395" s="35">
        <v>5</v>
      </c>
      <c r="AB3395" s="35">
        <v>500</v>
      </c>
      <c r="AC3395" s="35">
        <v>888</v>
      </c>
      <c r="AD3395" s="112"/>
      <c r="AE3395" s="112"/>
      <c r="AF3395" s="112"/>
      <c r="AG3395" s="113"/>
      <c r="AH3395" s="113"/>
      <c r="AI3395" s="113"/>
      <c r="AJ3395" s="113"/>
      <c r="AK3395" s="113"/>
      <c r="AL3395" s="114">
        <v>1</v>
      </c>
      <c r="AM3395" s="114"/>
      <c r="AN3395" s="115"/>
      <c r="AO3395" s="116"/>
      <c r="AP3395" s="114"/>
      <c r="AS3395" s="35">
        <v>1</v>
      </c>
    </row>
    <row r="3396" s="35" customFormat="1" spans="1:45">
      <c r="A3396" s="35">
        <v>721103</v>
      </c>
      <c r="B3396" s="35">
        <v>1001</v>
      </c>
      <c r="C3396" s="35">
        <v>2</v>
      </c>
      <c r="D3396" s="35">
        <v>1001</v>
      </c>
      <c r="E3396" s="35" t="s">
        <v>8373</v>
      </c>
      <c r="F3396" s="35" t="s">
        <v>8373</v>
      </c>
      <c r="G3396" s="35" t="s">
        <v>8374</v>
      </c>
      <c r="H3396" s="35" t="s">
        <v>8351</v>
      </c>
      <c r="I3396" s="35">
        <v>1</v>
      </c>
      <c r="J3396" s="35">
        <v>1</v>
      </c>
      <c r="K3396" s="35">
        <v>1</v>
      </c>
      <c r="L3396" s="35">
        <v>999</v>
      </c>
      <c r="M3396" s="35">
        <v>0</v>
      </c>
      <c r="N3396" s="110"/>
      <c r="S3396" s="35">
        <v>1</v>
      </c>
      <c r="T3396" s="35">
        <v>5</v>
      </c>
      <c r="U3396" s="35">
        <v>5</v>
      </c>
      <c r="V3396" s="111">
        <v>1</v>
      </c>
      <c r="W3396" s="35">
        <v>1</v>
      </c>
      <c r="X3396" s="35">
        <v>1</v>
      </c>
      <c r="Y3396" s="35">
        <v>0</v>
      </c>
      <c r="Z3396" s="35">
        <v>0</v>
      </c>
      <c r="AA3396" s="35">
        <v>5</v>
      </c>
      <c r="AB3396" s="35">
        <v>500</v>
      </c>
      <c r="AC3396" s="35">
        <v>888</v>
      </c>
      <c r="AD3396" s="112"/>
      <c r="AE3396" s="112"/>
      <c r="AF3396" s="112"/>
      <c r="AG3396" s="113"/>
      <c r="AH3396" s="113"/>
      <c r="AI3396" s="113"/>
      <c r="AJ3396" s="113"/>
      <c r="AK3396" s="113"/>
      <c r="AL3396" s="114">
        <v>1</v>
      </c>
      <c r="AM3396" s="114"/>
      <c r="AN3396" s="115"/>
      <c r="AO3396" s="116"/>
      <c r="AP3396" s="114"/>
      <c r="AS3396" s="35">
        <v>1</v>
      </c>
    </row>
    <row r="3397" s="35" customFormat="1" spans="1:45">
      <c r="A3397" s="35">
        <v>721104</v>
      </c>
      <c r="B3397" s="35">
        <v>1001</v>
      </c>
      <c r="C3397" s="35">
        <v>2</v>
      </c>
      <c r="D3397" s="35">
        <v>1001</v>
      </c>
      <c r="E3397" s="35" t="s">
        <v>8375</v>
      </c>
      <c r="F3397" s="35" t="s">
        <v>8375</v>
      </c>
      <c r="G3397" s="35" t="s">
        <v>8376</v>
      </c>
      <c r="H3397" s="35" t="s">
        <v>8354</v>
      </c>
      <c r="I3397" s="35">
        <v>1</v>
      </c>
      <c r="J3397" s="35">
        <v>1</v>
      </c>
      <c r="K3397" s="35">
        <v>1</v>
      </c>
      <c r="L3397" s="35">
        <v>999</v>
      </c>
      <c r="M3397" s="35">
        <v>0</v>
      </c>
      <c r="N3397" s="110"/>
      <c r="S3397" s="35">
        <v>1</v>
      </c>
      <c r="T3397" s="35">
        <v>5</v>
      </c>
      <c r="U3397" s="35">
        <v>5</v>
      </c>
      <c r="V3397" s="111">
        <v>1</v>
      </c>
      <c r="W3397" s="35">
        <v>1</v>
      </c>
      <c r="X3397" s="35">
        <v>1</v>
      </c>
      <c r="Y3397" s="35">
        <v>0</v>
      </c>
      <c r="Z3397" s="35">
        <v>0</v>
      </c>
      <c r="AA3397" s="35">
        <v>5</v>
      </c>
      <c r="AB3397" s="35">
        <v>500</v>
      </c>
      <c r="AC3397" s="35">
        <v>888</v>
      </c>
      <c r="AD3397" s="112"/>
      <c r="AE3397" s="112"/>
      <c r="AF3397" s="112"/>
      <c r="AG3397" s="113"/>
      <c r="AH3397" s="113"/>
      <c r="AI3397" s="113"/>
      <c r="AJ3397" s="113"/>
      <c r="AK3397" s="113"/>
      <c r="AL3397" s="114">
        <v>1</v>
      </c>
      <c r="AM3397" s="114"/>
      <c r="AN3397" s="115"/>
      <c r="AO3397" s="116"/>
      <c r="AP3397" s="114"/>
      <c r="AS3397" s="35">
        <v>1</v>
      </c>
    </row>
    <row r="3398" s="35" customFormat="1" spans="1:45">
      <c r="A3398" s="35">
        <v>721105</v>
      </c>
      <c r="B3398" s="35">
        <v>1001</v>
      </c>
      <c r="C3398" s="35">
        <v>2</v>
      </c>
      <c r="D3398" s="35">
        <v>1001</v>
      </c>
      <c r="E3398" s="35" t="s">
        <v>8377</v>
      </c>
      <c r="F3398" s="35" t="s">
        <v>8377</v>
      </c>
      <c r="G3398" s="35" t="s">
        <v>8378</v>
      </c>
      <c r="H3398" s="35" t="s">
        <v>8357</v>
      </c>
      <c r="I3398" s="35">
        <v>1</v>
      </c>
      <c r="J3398" s="35">
        <v>1</v>
      </c>
      <c r="K3398" s="35">
        <v>1</v>
      </c>
      <c r="L3398" s="35">
        <v>999</v>
      </c>
      <c r="M3398" s="35">
        <v>0</v>
      </c>
      <c r="N3398" s="110"/>
      <c r="S3398" s="35">
        <v>1</v>
      </c>
      <c r="T3398" s="35">
        <v>5</v>
      </c>
      <c r="U3398" s="35">
        <v>5</v>
      </c>
      <c r="V3398" s="111">
        <v>1</v>
      </c>
      <c r="W3398" s="35">
        <v>1</v>
      </c>
      <c r="X3398" s="35">
        <v>1</v>
      </c>
      <c r="Y3398" s="35">
        <v>0</v>
      </c>
      <c r="Z3398" s="35">
        <v>0</v>
      </c>
      <c r="AA3398" s="35">
        <v>5</v>
      </c>
      <c r="AB3398" s="35">
        <v>500</v>
      </c>
      <c r="AC3398" s="35">
        <v>888</v>
      </c>
      <c r="AD3398" s="112"/>
      <c r="AE3398" s="112"/>
      <c r="AF3398" s="112"/>
      <c r="AG3398" s="113"/>
      <c r="AH3398" s="113"/>
      <c r="AI3398" s="113"/>
      <c r="AJ3398" s="113"/>
      <c r="AK3398" s="113"/>
      <c r="AL3398" s="114">
        <v>1</v>
      </c>
      <c r="AM3398" s="114"/>
      <c r="AN3398" s="115"/>
      <c r="AO3398" s="116"/>
      <c r="AP3398" s="114"/>
      <c r="AS3398" s="35">
        <v>1</v>
      </c>
    </row>
    <row r="3399" s="35" customFormat="1" spans="1:45">
      <c r="A3399" s="35">
        <v>721106</v>
      </c>
      <c r="B3399" s="35">
        <v>1001</v>
      </c>
      <c r="C3399" s="35">
        <v>2</v>
      </c>
      <c r="D3399" s="35">
        <v>1001</v>
      </c>
      <c r="E3399" s="35" t="s">
        <v>8379</v>
      </c>
      <c r="F3399" s="35" t="s">
        <v>8379</v>
      </c>
      <c r="G3399" s="35" t="s">
        <v>8380</v>
      </c>
      <c r="H3399" s="35" t="s">
        <v>8360</v>
      </c>
      <c r="I3399" s="35">
        <v>1</v>
      </c>
      <c r="J3399" s="35">
        <v>1</v>
      </c>
      <c r="K3399" s="35">
        <v>1</v>
      </c>
      <c r="L3399" s="35">
        <v>999</v>
      </c>
      <c r="M3399" s="35">
        <v>0</v>
      </c>
      <c r="N3399" s="110"/>
      <c r="S3399" s="35">
        <v>1</v>
      </c>
      <c r="T3399" s="35">
        <v>5</v>
      </c>
      <c r="U3399" s="35">
        <v>5</v>
      </c>
      <c r="V3399" s="111">
        <v>1</v>
      </c>
      <c r="W3399" s="35">
        <v>1</v>
      </c>
      <c r="X3399" s="35">
        <v>1</v>
      </c>
      <c r="Y3399" s="35">
        <v>0</v>
      </c>
      <c r="Z3399" s="35">
        <v>0</v>
      </c>
      <c r="AA3399" s="35">
        <v>5</v>
      </c>
      <c r="AB3399" s="35">
        <v>500</v>
      </c>
      <c r="AC3399" s="35">
        <v>888</v>
      </c>
      <c r="AD3399" s="112"/>
      <c r="AE3399" s="112"/>
      <c r="AF3399" s="112"/>
      <c r="AG3399" s="113"/>
      <c r="AH3399" s="113"/>
      <c r="AI3399" s="113"/>
      <c r="AJ3399" s="113"/>
      <c r="AK3399" s="113"/>
      <c r="AL3399" s="114">
        <v>1</v>
      </c>
      <c r="AM3399" s="114"/>
      <c r="AN3399" s="115"/>
      <c r="AO3399" s="116"/>
      <c r="AP3399" s="114"/>
      <c r="AS3399" s="35">
        <v>1</v>
      </c>
    </row>
    <row r="3400" s="35" customFormat="1" spans="1:45">
      <c r="A3400" s="35">
        <v>721107</v>
      </c>
      <c r="B3400" s="35">
        <v>1001</v>
      </c>
      <c r="C3400" s="35">
        <v>2</v>
      </c>
      <c r="D3400" s="35">
        <v>1001</v>
      </c>
      <c r="E3400" s="35" t="s">
        <v>8381</v>
      </c>
      <c r="F3400" s="35" t="s">
        <v>8381</v>
      </c>
      <c r="G3400" s="35" t="s">
        <v>8382</v>
      </c>
      <c r="H3400" s="35" t="s">
        <v>8363</v>
      </c>
      <c r="I3400" s="35">
        <v>1</v>
      </c>
      <c r="J3400" s="35">
        <v>1</v>
      </c>
      <c r="K3400" s="35">
        <v>1</v>
      </c>
      <c r="L3400" s="35">
        <v>999</v>
      </c>
      <c r="M3400" s="35">
        <v>0</v>
      </c>
      <c r="N3400" s="110"/>
      <c r="S3400" s="35">
        <v>1</v>
      </c>
      <c r="T3400" s="35">
        <v>5</v>
      </c>
      <c r="U3400" s="35">
        <v>5</v>
      </c>
      <c r="V3400" s="111">
        <v>1</v>
      </c>
      <c r="W3400" s="35">
        <v>1</v>
      </c>
      <c r="X3400" s="35">
        <v>1</v>
      </c>
      <c r="Y3400" s="35">
        <v>0</v>
      </c>
      <c r="Z3400" s="35">
        <v>0</v>
      </c>
      <c r="AA3400" s="35">
        <v>5</v>
      </c>
      <c r="AB3400" s="35">
        <v>500</v>
      </c>
      <c r="AC3400" s="35">
        <v>888</v>
      </c>
      <c r="AD3400" s="112"/>
      <c r="AE3400" s="112"/>
      <c r="AF3400" s="112"/>
      <c r="AG3400" s="113"/>
      <c r="AH3400" s="113"/>
      <c r="AI3400" s="113"/>
      <c r="AJ3400" s="113"/>
      <c r="AK3400" s="113"/>
      <c r="AL3400" s="114">
        <v>1</v>
      </c>
      <c r="AM3400" s="114"/>
      <c r="AN3400" s="115"/>
      <c r="AO3400" s="116"/>
      <c r="AP3400" s="114"/>
      <c r="AS3400" s="35">
        <v>1</v>
      </c>
    </row>
    <row r="3401" s="35" customFormat="1" spans="1:45">
      <c r="A3401" s="35">
        <v>721108</v>
      </c>
      <c r="B3401" s="35">
        <v>1001</v>
      </c>
      <c r="C3401" s="35">
        <v>2</v>
      </c>
      <c r="D3401" s="35">
        <v>1001</v>
      </c>
      <c r="E3401" s="35" t="s">
        <v>8383</v>
      </c>
      <c r="F3401" s="35" t="s">
        <v>8383</v>
      </c>
      <c r="G3401" s="35" t="s">
        <v>8384</v>
      </c>
      <c r="H3401" s="35" t="s">
        <v>8351</v>
      </c>
      <c r="I3401" s="35">
        <v>1</v>
      </c>
      <c r="J3401" s="35">
        <v>1</v>
      </c>
      <c r="K3401" s="35">
        <v>1</v>
      </c>
      <c r="L3401" s="35">
        <v>999</v>
      </c>
      <c r="M3401" s="35">
        <v>0</v>
      </c>
      <c r="N3401" s="110"/>
      <c r="S3401" s="35">
        <v>1</v>
      </c>
      <c r="T3401" s="35">
        <v>5</v>
      </c>
      <c r="U3401" s="35">
        <v>5</v>
      </c>
      <c r="V3401" s="111">
        <v>1</v>
      </c>
      <c r="W3401" s="35">
        <v>1</v>
      </c>
      <c r="X3401" s="35">
        <v>1</v>
      </c>
      <c r="Y3401" s="35">
        <v>0</v>
      </c>
      <c r="Z3401" s="35">
        <v>0</v>
      </c>
      <c r="AA3401" s="35">
        <v>5</v>
      </c>
      <c r="AB3401" s="35">
        <v>500</v>
      </c>
      <c r="AC3401" s="35">
        <v>888</v>
      </c>
      <c r="AD3401" s="112"/>
      <c r="AE3401" s="112"/>
      <c r="AF3401" s="112"/>
      <c r="AG3401" s="113"/>
      <c r="AH3401" s="113"/>
      <c r="AI3401" s="113"/>
      <c r="AJ3401" s="113"/>
      <c r="AK3401" s="113"/>
      <c r="AL3401" s="114">
        <v>1</v>
      </c>
      <c r="AM3401" s="114"/>
      <c r="AN3401" s="115"/>
      <c r="AO3401" s="116"/>
      <c r="AP3401" s="114"/>
      <c r="AS3401" s="35">
        <v>1</v>
      </c>
    </row>
    <row r="3402" s="35" customFormat="1" spans="1:45">
      <c r="A3402" s="35">
        <v>721109</v>
      </c>
      <c r="B3402" s="35">
        <v>1001</v>
      </c>
      <c r="C3402" s="35">
        <v>2</v>
      </c>
      <c r="D3402" s="35">
        <v>1001</v>
      </c>
      <c r="E3402" s="35" t="s">
        <v>8385</v>
      </c>
      <c r="F3402" s="35" t="s">
        <v>8385</v>
      </c>
      <c r="G3402" s="35" t="s">
        <v>8386</v>
      </c>
      <c r="H3402" s="35" t="s">
        <v>8354</v>
      </c>
      <c r="I3402" s="35">
        <v>1</v>
      </c>
      <c r="J3402" s="35">
        <v>1</v>
      </c>
      <c r="K3402" s="35">
        <v>1</v>
      </c>
      <c r="L3402" s="35">
        <v>999</v>
      </c>
      <c r="M3402" s="35">
        <v>0</v>
      </c>
      <c r="N3402" s="110"/>
      <c r="S3402" s="35">
        <v>1</v>
      </c>
      <c r="T3402" s="35">
        <v>5</v>
      </c>
      <c r="U3402" s="35">
        <v>5</v>
      </c>
      <c r="V3402" s="111">
        <v>1</v>
      </c>
      <c r="W3402" s="35">
        <v>1</v>
      </c>
      <c r="X3402" s="35">
        <v>1</v>
      </c>
      <c r="Y3402" s="35">
        <v>0</v>
      </c>
      <c r="Z3402" s="35">
        <v>0</v>
      </c>
      <c r="AA3402" s="35">
        <v>5</v>
      </c>
      <c r="AB3402" s="35">
        <v>500</v>
      </c>
      <c r="AC3402" s="35">
        <v>888</v>
      </c>
      <c r="AD3402" s="112"/>
      <c r="AE3402" s="112"/>
      <c r="AF3402" s="112"/>
      <c r="AG3402" s="113"/>
      <c r="AH3402" s="113"/>
      <c r="AI3402" s="113"/>
      <c r="AJ3402" s="113"/>
      <c r="AK3402" s="113"/>
      <c r="AL3402" s="114">
        <v>1</v>
      </c>
      <c r="AM3402" s="114"/>
      <c r="AN3402" s="115"/>
      <c r="AO3402" s="116"/>
      <c r="AP3402" s="114"/>
      <c r="AS3402" s="35">
        <v>1</v>
      </c>
    </row>
    <row r="3403" s="35" customFormat="1" spans="1:45">
      <c r="A3403" s="35">
        <v>721110</v>
      </c>
      <c r="B3403" s="35">
        <v>1001</v>
      </c>
      <c r="C3403" s="35">
        <v>2</v>
      </c>
      <c r="D3403" s="35">
        <v>1001</v>
      </c>
      <c r="E3403" s="35" t="s">
        <v>8387</v>
      </c>
      <c r="F3403" s="35" t="s">
        <v>8387</v>
      </c>
      <c r="G3403" s="35" t="s">
        <v>8388</v>
      </c>
      <c r="H3403" s="35" t="s">
        <v>8357</v>
      </c>
      <c r="I3403" s="35">
        <v>1</v>
      </c>
      <c r="J3403" s="35">
        <v>1</v>
      </c>
      <c r="K3403" s="35">
        <v>1</v>
      </c>
      <c r="L3403" s="35">
        <v>999</v>
      </c>
      <c r="M3403" s="35">
        <v>0</v>
      </c>
      <c r="N3403" s="110"/>
      <c r="S3403" s="35">
        <v>1</v>
      </c>
      <c r="T3403" s="35">
        <v>5</v>
      </c>
      <c r="U3403" s="35">
        <v>5</v>
      </c>
      <c r="V3403" s="111">
        <v>1</v>
      </c>
      <c r="W3403" s="35">
        <v>1</v>
      </c>
      <c r="X3403" s="35">
        <v>1</v>
      </c>
      <c r="Y3403" s="35">
        <v>0</v>
      </c>
      <c r="Z3403" s="35">
        <v>0</v>
      </c>
      <c r="AA3403" s="35">
        <v>5</v>
      </c>
      <c r="AB3403" s="35">
        <v>500</v>
      </c>
      <c r="AC3403" s="35">
        <v>888</v>
      </c>
      <c r="AD3403" s="112"/>
      <c r="AE3403" s="112"/>
      <c r="AF3403" s="112"/>
      <c r="AG3403" s="113"/>
      <c r="AH3403" s="113"/>
      <c r="AI3403" s="113"/>
      <c r="AJ3403" s="113"/>
      <c r="AK3403" s="113"/>
      <c r="AL3403" s="114">
        <v>1</v>
      </c>
      <c r="AM3403" s="114"/>
      <c r="AN3403" s="115"/>
      <c r="AO3403" s="116"/>
      <c r="AP3403" s="114"/>
      <c r="AS3403" s="35">
        <v>1</v>
      </c>
    </row>
    <row r="3404" s="35" customFormat="1" spans="1:45">
      <c r="A3404" s="35">
        <v>721111</v>
      </c>
      <c r="B3404" s="35">
        <v>1001</v>
      </c>
      <c r="C3404" s="35">
        <v>2</v>
      </c>
      <c r="D3404" s="35">
        <v>1001</v>
      </c>
      <c r="E3404" s="35" t="s">
        <v>8389</v>
      </c>
      <c r="F3404" s="35" t="s">
        <v>8389</v>
      </c>
      <c r="G3404" s="35" t="s">
        <v>8390</v>
      </c>
      <c r="H3404" s="35" t="s">
        <v>8360</v>
      </c>
      <c r="I3404" s="35">
        <v>1</v>
      </c>
      <c r="J3404" s="35">
        <v>1</v>
      </c>
      <c r="K3404" s="35">
        <v>1</v>
      </c>
      <c r="L3404" s="35">
        <v>999</v>
      </c>
      <c r="M3404" s="35">
        <v>0</v>
      </c>
      <c r="N3404" s="110"/>
      <c r="S3404" s="35">
        <v>1</v>
      </c>
      <c r="T3404" s="35">
        <v>5</v>
      </c>
      <c r="U3404" s="35">
        <v>5</v>
      </c>
      <c r="V3404" s="111">
        <v>1</v>
      </c>
      <c r="W3404" s="35">
        <v>1</v>
      </c>
      <c r="X3404" s="35">
        <v>1</v>
      </c>
      <c r="Y3404" s="35">
        <v>0</v>
      </c>
      <c r="Z3404" s="35">
        <v>0</v>
      </c>
      <c r="AA3404" s="35">
        <v>5</v>
      </c>
      <c r="AB3404" s="35">
        <v>500</v>
      </c>
      <c r="AC3404" s="35">
        <v>888</v>
      </c>
      <c r="AD3404" s="112"/>
      <c r="AE3404" s="112"/>
      <c r="AF3404" s="112"/>
      <c r="AG3404" s="113"/>
      <c r="AH3404" s="113"/>
      <c r="AI3404" s="113"/>
      <c r="AJ3404" s="113"/>
      <c r="AK3404" s="113"/>
      <c r="AL3404" s="114">
        <v>1</v>
      </c>
      <c r="AM3404" s="114"/>
      <c r="AN3404" s="115"/>
      <c r="AO3404" s="116"/>
      <c r="AP3404" s="114"/>
      <c r="AS3404" s="35">
        <v>1</v>
      </c>
    </row>
    <row r="3405" s="35" customFormat="1" spans="1:45">
      <c r="A3405" s="35">
        <v>721112</v>
      </c>
      <c r="B3405" s="35">
        <v>1001</v>
      </c>
      <c r="C3405" s="35">
        <v>2</v>
      </c>
      <c r="D3405" s="35">
        <v>1001</v>
      </c>
      <c r="E3405" s="35" t="s">
        <v>8391</v>
      </c>
      <c r="F3405" s="35" t="s">
        <v>8391</v>
      </c>
      <c r="G3405" s="35" t="s">
        <v>8392</v>
      </c>
      <c r="H3405" s="35" t="s">
        <v>8363</v>
      </c>
      <c r="I3405" s="35">
        <v>1</v>
      </c>
      <c r="J3405" s="35">
        <v>1</v>
      </c>
      <c r="K3405" s="35">
        <v>1</v>
      </c>
      <c r="L3405" s="35">
        <v>999</v>
      </c>
      <c r="M3405" s="35">
        <v>0</v>
      </c>
      <c r="N3405" s="110"/>
      <c r="S3405" s="35">
        <v>1</v>
      </c>
      <c r="T3405" s="35">
        <v>5</v>
      </c>
      <c r="U3405" s="35">
        <v>5</v>
      </c>
      <c r="V3405" s="111">
        <v>1</v>
      </c>
      <c r="W3405" s="35">
        <v>1</v>
      </c>
      <c r="X3405" s="35">
        <v>1</v>
      </c>
      <c r="Y3405" s="35">
        <v>0</v>
      </c>
      <c r="Z3405" s="35">
        <v>0</v>
      </c>
      <c r="AA3405" s="35">
        <v>5</v>
      </c>
      <c r="AB3405" s="35">
        <v>500</v>
      </c>
      <c r="AC3405" s="35">
        <v>888</v>
      </c>
      <c r="AD3405" s="112"/>
      <c r="AE3405" s="112"/>
      <c r="AF3405" s="112"/>
      <c r="AG3405" s="113"/>
      <c r="AH3405" s="113"/>
      <c r="AI3405" s="113"/>
      <c r="AJ3405" s="113"/>
      <c r="AK3405" s="113"/>
      <c r="AL3405" s="114">
        <v>1</v>
      </c>
      <c r="AM3405" s="114"/>
      <c r="AN3405" s="115"/>
      <c r="AO3405" s="116"/>
      <c r="AP3405" s="114"/>
      <c r="AS3405" s="35">
        <v>1</v>
      </c>
    </row>
    <row r="3406" s="35" customFormat="1" spans="1:45">
      <c r="A3406" s="35">
        <v>721113</v>
      </c>
      <c r="B3406" s="35">
        <v>1001</v>
      </c>
      <c r="C3406" s="35">
        <v>2</v>
      </c>
      <c r="D3406" s="35">
        <v>1001</v>
      </c>
      <c r="E3406" s="35" t="s">
        <v>8393</v>
      </c>
      <c r="F3406" s="35" t="s">
        <v>8393</v>
      </c>
      <c r="G3406" s="35" t="s">
        <v>8394</v>
      </c>
      <c r="H3406" s="35" t="s">
        <v>8360</v>
      </c>
      <c r="I3406" s="35">
        <v>1</v>
      </c>
      <c r="J3406" s="35">
        <v>1</v>
      </c>
      <c r="K3406" s="35">
        <v>1</v>
      </c>
      <c r="L3406" s="35">
        <v>999</v>
      </c>
      <c r="M3406" s="35">
        <v>0</v>
      </c>
      <c r="N3406" s="110"/>
      <c r="S3406" s="35">
        <v>1</v>
      </c>
      <c r="T3406" s="35">
        <v>5</v>
      </c>
      <c r="U3406" s="35">
        <v>5</v>
      </c>
      <c r="V3406" s="111">
        <v>1</v>
      </c>
      <c r="W3406" s="35">
        <v>1</v>
      </c>
      <c r="X3406" s="35">
        <v>1</v>
      </c>
      <c r="Y3406" s="35">
        <v>0</v>
      </c>
      <c r="Z3406" s="35">
        <v>0</v>
      </c>
      <c r="AA3406" s="35">
        <v>5</v>
      </c>
      <c r="AB3406" s="35">
        <v>500</v>
      </c>
      <c r="AC3406" s="35">
        <v>888</v>
      </c>
      <c r="AD3406" s="112"/>
      <c r="AE3406" s="112"/>
      <c r="AF3406" s="112"/>
      <c r="AG3406" s="113"/>
      <c r="AH3406" s="113"/>
      <c r="AI3406" s="113"/>
      <c r="AJ3406" s="113"/>
      <c r="AK3406" s="113"/>
      <c r="AL3406" s="114">
        <v>1</v>
      </c>
      <c r="AM3406" s="114"/>
      <c r="AN3406" s="115"/>
      <c r="AO3406" s="116"/>
      <c r="AP3406" s="114"/>
      <c r="AS3406" s="35">
        <v>1</v>
      </c>
    </row>
    <row r="3407" s="35" customFormat="1" spans="1:45">
      <c r="A3407" s="35">
        <v>721114</v>
      </c>
      <c r="B3407" s="35">
        <v>1001</v>
      </c>
      <c r="C3407" s="35">
        <v>2</v>
      </c>
      <c r="D3407" s="35">
        <v>1001</v>
      </c>
      <c r="E3407" s="35" t="s">
        <v>8395</v>
      </c>
      <c r="F3407" s="35" t="s">
        <v>8395</v>
      </c>
      <c r="G3407" s="35" t="s">
        <v>8396</v>
      </c>
      <c r="H3407" s="35" t="s">
        <v>8363</v>
      </c>
      <c r="I3407" s="35">
        <v>1</v>
      </c>
      <c r="J3407" s="35">
        <v>1</v>
      </c>
      <c r="K3407" s="35">
        <v>1</v>
      </c>
      <c r="L3407" s="35">
        <v>999</v>
      </c>
      <c r="M3407" s="35">
        <v>0</v>
      </c>
      <c r="N3407" s="110"/>
      <c r="O3407" s="2"/>
      <c r="S3407" s="35">
        <v>1</v>
      </c>
      <c r="T3407" s="35">
        <v>5</v>
      </c>
      <c r="U3407" s="35">
        <v>5</v>
      </c>
      <c r="V3407" s="533">
        <v>1</v>
      </c>
      <c r="W3407" s="35">
        <v>1</v>
      </c>
      <c r="X3407" s="35">
        <v>1</v>
      </c>
      <c r="Y3407" s="35">
        <v>0</v>
      </c>
      <c r="Z3407" s="35">
        <v>0</v>
      </c>
      <c r="AA3407" s="35">
        <v>5</v>
      </c>
      <c r="AB3407" s="35">
        <v>500</v>
      </c>
      <c r="AC3407" s="35">
        <v>888</v>
      </c>
      <c r="AD3407" s="112"/>
      <c r="AE3407" s="112"/>
      <c r="AF3407" s="112"/>
      <c r="AG3407" s="113"/>
      <c r="AH3407" s="113"/>
      <c r="AI3407" s="113"/>
      <c r="AJ3407" s="113"/>
      <c r="AK3407" s="113"/>
      <c r="AL3407" s="114">
        <v>1</v>
      </c>
      <c r="AM3407" s="114"/>
      <c r="AN3407" s="534"/>
      <c r="AO3407" s="535"/>
      <c r="AP3407" s="114"/>
      <c r="AS3407" s="35">
        <v>1</v>
      </c>
    </row>
    <row r="3408" spans="1:45">
      <c r="A3408">
        <v>711200</v>
      </c>
      <c r="B3408">
        <v>1001</v>
      </c>
      <c r="C3408">
        <v>2</v>
      </c>
      <c r="D3408">
        <v>1001</v>
      </c>
      <c r="E3408" t="s">
        <v>8397</v>
      </c>
      <c r="F3408" t="s">
        <v>8397</v>
      </c>
      <c r="G3408" t="s">
        <v>8398</v>
      </c>
      <c r="H3408" t="s">
        <v>8399</v>
      </c>
      <c r="I3408">
        <v>1</v>
      </c>
      <c r="J3408">
        <v>1</v>
      </c>
      <c r="K3408" s="33">
        <v>2</v>
      </c>
      <c r="L3408">
        <v>999</v>
      </c>
      <c r="M3408">
        <v>0</v>
      </c>
      <c r="N3408">
        <v>1055</v>
      </c>
      <c r="O3408" s="2">
        <v>1</v>
      </c>
      <c r="S3408" s="33">
        <v>1</v>
      </c>
      <c r="T3408">
        <v>5</v>
      </c>
      <c r="U3408">
        <v>5</v>
      </c>
      <c r="V3408" s="33">
        <v>1</v>
      </c>
      <c r="W3408">
        <v>1</v>
      </c>
      <c r="X3408">
        <v>1</v>
      </c>
      <c r="Y3408">
        <v>0</v>
      </c>
      <c r="Z3408" s="33">
        <v>0</v>
      </c>
      <c r="AA3408">
        <v>5</v>
      </c>
      <c r="AB3408">
        <v>500</v>
      </c>
      <c r="AC3408">
        <v>888</v>
      </c>
      <c r="AE3408" s="62">
        <v>1</v>
      </c>
      <c r="AF3408" s="62">
        <v>1</v>
      </c>
      <c r="AL3408" s="64">
        <v>1</v>
      </c>
      <c r="AS3408">
        <v>1</v>
      </c>
    </row>
    <row r="3409" spans="1:45">
      <c r="A3409">
        <v>711201</v>
      </c>
      <c r="B3409">
        <v>1001</v>
      </c>
      <c r="C3409">
        <v>2</v>
      </c>
      <c r="D3409">
        <v>1001</v>
      </c>
      <c r="E3409" t="s">
        <v>8400</v>
      </c>
      <c r="F3409" t="s">
        <v>8400</v>
      </c>
      <c r="G3409" t="s">
        <v>8401</v>
      </c>
      <c r="H3409" t="s">
        <v>8399</v>
      </c>
      <c r="I3409">
        <v>1</v>
      </c>
      <c r="J3409">
        <v>1</v>
      </c>
      <c r="K3409" s="33">
        <v>2</v>
      </c>
      <c r="L3409">
        <v>999</v>
      </c>
      <c r="M3409">
        <v>0</v>
      </c>
      <c r="N3409">
        <v>1055</v>
      </c>
      <c r="O3409" s="2">
        <v>2</v>
      </c>
      <c r="S3409" s="33">
        <v>1</v>
      </c>
      <c r="T3409">
        <v>5</v>
      </c>
      <c r="U3409">
        <v>5</v>
      </c>
      <c r="V3409" s="33">
        <v>1</v>
      </c>
      <c r="W3409">
        <v>1</v>
      </c>
      <c r="X3409">
        <v>1</v>
      </c>
      <c r="Y3409">
        <v>0</v>
      </c>
      <c r="Z3409" s="33">
        <v>0</v>
      </c>
      <c r="AA3409">
        <v>5</v>
      </c>
      <c r="AB3409">
        <v>500</v>
      </c>
      <c r="AC3409">
        <v>888</v>
      </c>
      <c r="AE3409" s="62">
        <v>1</v>
      </c>
      <c r="AF3409" s="62">
        <v>1</v>
      </c>
      <c r="AL3409" s="64">
        <v>1</v>
      </c>
      <c r="AQ3409"/>
      <c r="AS3409">
        <v>1</v>
      </c>
    </row>
    <row r="3410" spans="1:45">
      <c r="A3410">
        <v>712020</v>
      </c>
      <c r="B3410">
        <v>1001</v>
      </c>
      <c r="C3410">
        <v>1</v>
      </c>
      <c r="D3410">
        <v>1001</v>
      </c>
      <c r="E3410" t="s">
        <v>8402</v>
      </c>
      <c r="F3410" t="s">
        <v>8402</v>
      </c>
      <c r="G3410" t="s">
        <v>8403</v>
      </c>
      <c r="H3410" t="s">
        <v>6135</v>
      </c>
      <c r="I3410">
        <v>1</v>
      </c>
      <c r="J3410">
        <v>4</v>
      </c>
      <c r="K3410" s="33">
        <v>2</v>
      </c>
      <c r="L3410">
        <v>999</v>
      </c>
      <c r="M3410">
        <v>0</v>
      </c>
      <c r="N3410">
        <v>1021</v>
      </c>
      <c r="O3410" s="2">
        <v>1</v>
      </c>
      <c r="S3410" s="33">
        <v>1</v>
      </c>
      <c r="T3410">
        <v>5</v>
      </c>
      <c r="U3410">
        <v>170</v>
      </c>
      <c r="V3410" s="33">
        <v>1</v>
      </c>
      <c r="W3410">
        <v>1</v>
      </c>
      <c r="X3410">
        <v>1</v>
      </c>
      <c r="Y3410">
        <v>0</v>
      </c>
      <c r="Z3410" s="33">
        <v>0</v>
      </c>
      <c r="AA3410">
        <v>5</v>
      </c>
      <c r="AB3410">
        <v>6460</v>
      </c>
      <c r="AC3410">
        <v>10000</v>
      </c>
      <c r="AD3410" s="388"/>
      <c r="AE3410" s="62">
        <v>4</v>
      </c>
      <c r="AF3410" s="62">
        <v>1</v>
      </c>
      <c r="AG3410" s="390"/>
      <c r="AH3410" s="390"/>
      <c r="AI3410" s="390"/>
      <c r="AJ3410" s="390"/>
      <c r="AK3410" s="390"/>
      <c r="AL3410" s="64">
        <v>1</v>
      </c>
      <c r="AM3410" s="391"/>
      <c r="AN3410" s="536"/>
      <c r="AO3410" s="391"/>
      <c r="AP3410" s="391"/>
      <c r="AQ3410" t="s">
        <v>8402</v>
      </c>
      <c r="AS3410">
        <v>1</v>
      </c>
    </row>
    <row r="3411" s="50" customFormat="1" spans="1:45">
      <c r="A3411" s="50">
        <v>720006</v>
      </c>
      <c r="B3411" s="50">
        <v>1001</v>
      </c>
      <c r="C3411" s="50">
        <v>1</v>
      </c>
      <c r="D3411" s="50">
        <v>3</v>
      </c>
      <c r="E3411" s="50" t="s">
        <v>8404</v>
      </c>
      <c r="F3411" s="50" t="s">
        <v>8404</v>
      </c>
      <c r="G3411" s="50" t="s">
        <v>8405</v>
      </c>
      <c r="H3411" s="50" t="s">
        <v>2383</v>
      </c>
      <c r="I3411" s="50">
        <v>1</v>
      </c>
      <c r="J3411" s="50">
        <v>2</v>
      </c>
      <c r="K3411" s="50">
        <v>1</v>
      </c>
      <c r="L3411" s="50">
        <v>999</v>
      </c>
      <c r="M3411" s="50">
        <v>0</v>
      </c>
      <c r="O3411" s="537"/>
      <c r="S3411" s="50">
        <v>0</v>
      </c>
      <c r="T3411" s="50">
        <v>5</v>
      </c>
      <c r="U3411" s="50">
        <v>0</v>
      </c>
      <c r="V3411" s="50">
        <v>1</v>
      </c>
      <c r="W3411" s="50">
        <v>1</v>
      </c>
      <c r="X3411" s="50">
        <v>1</v>
      </c>
      <c r="Y3411" s="50">
        <v>0</v>
      </c>
      <c r="Z3411" s="50">
        <v>0</v>
      </c>
      <c r="AA3411" s="50">
        <v>5</v>
      </c>
      <c r="AB3411" s="50">
        <v>0</v>
      </c>
      <c r="AC3411" s="50">
        <v>0</v>
      </c>
      <c r="AD3411" s="388">
        <v>0</v>
      </c>
      <c r="AE3411" s="388">
        <v>0</v>
      </c>
      <c r="AF3411" s="388">
        <v>0</v>
      </c>
      <c r="AG3411" s="390"/>
      <c r="AH3411" s="390">
        <v>1</v>
      </c>
      <c r="AI3411" s="390"/>
      <c r="AJ3411" s="390"/>
      <c r="AK3411" s="390"/>
      <c r="AL3411" s="391">
        <v>1</v>
      </c>
      <c r="AM3411" s="391"/>
      <c r="AN3411" s="536"/>
      <c r="AO3411" s="391"/>
      <c r="AP3411" s="391"/>
      <c r="AS3411" s="50">
        <v>1</v>
      </c>
    </row>
    <row r="3412" s="56" customFormat="1" spans="1:45">
      <c r="A3412" s="56">
        <v>720007</v>
      </c>
      <c r="B3412" s="56">
        <v>1001</v>
      </c>
      <c r="C3412" s="56">
        <v>1</v>
      </c>
      <c r="D3412" s="56">
        <v>3</v>
      </c>
      <c r="E3412" s="56" t="s">
        <v>8406</v>
      </c>
      <c r="F3412" s="56" t="s">
        <v>8406</v>
      </c>
      <c r="G3412" s="56" t="s">
        <v>8407</v>
      </c>
      <c r="H3412" s="56" t="s">
        <v>1364</v>
      </c>
      <c r="I3412" s="56">
        <v>1</v>
      </c>
      <c r="J3412" s="56">
        <v>2</v>
      </c>
      <c r="K3412" s="56">
        <v>1</v>
      </c>
      <c r="L3412" s="56">
        <v>999</v>
      </c>
      <c r="M3412" s="56">
        <v>0</v>
      </c>
      <c r="O3412" s="538"/>
      <c r="S3412" s="56">
        <v>0</v>
      </c>
      <c r="T3412" s="56">
        <v>5</v>
      </c>
      <c r="U3412" s="56">
        <v>0</v>
      </c>
      <c r="V3412" s="56">
        <v>1</v>
      </c>
      <c r="W3412" s="56">
        <v>1</v>
      </c>
      <c r="X3412" s="56">
        <v>1</v>
      </c>
      <c r="Y3412" s="56">
        <v>0</v>
      </c>
      <c r="Z3412" s="56">
        <v>0</v>
      </c>
      <c r="AA3412" s="56">
        <v>5</v>
      </c>
      <c r="AB3412" s="56">
        <v>0</v>
      </c>
      <c r="AC3412" s="56">
        <v>0</v>
      </c>
      <c r="AD3412" s="539">
        <v>0</v>
      </c>
      <c r="AE3412" s="539">
        <v>0</v>
      </c>
      <c r="AF3412" s="539">
        <v>0</v>
      </c>
      <c r="AG3412" s="540"/>
      <c r="AH3412" s="540">
        <v>1</v>
      </c>
      <c r="AI3412" s="540"/>
      <c r="AJ3412" s="540"/>
      <c r="AK3412" s="540"/>
      <c r="AL3412" s="541">
        <v>1</v>
      </c>
      <c r="AM3412" s="541"/>
      <c r="AN3412" s="542"/>
      <c r="AO3412" s="541"/>
      <c r="AP3412" s="541"/>
      <c r="AS3412" s="56">
        <v>1</v>
      </c>
    </row>
    <row r="3413" s="56" customFormat="1" spans="1:45">
      <c r="A3413" s="56">
        <v>720008</v>
      </c>
      <c r="B3413" s="56">
        <v>1001</v>
      </c>
      <c r="C3413" s="56">
        <v>1</v>
      </c>
      <c r="D3413" s="56">
        <v>3</v>
      </c>
      <c r="E3413" s="56" t="s">
        <v>8408</v>
      </c>
      <c r="F3413" s="56" t="s">
        <v>8408</v>
      </c>
      <c r="G3413" s="56" t="s">
        <v>8409</v>
      </c>
      <c r="H3413" s="56" t="s">
        <v>5066</v>
      </c>
      <c r="I3413" s="56">
        <v>1</v>
      </c>
      <c r="J3413" s="56">
        <v>2</v>
      </c>
      <c r="K3413" s="56">
        <v>1</v>
      </c>
      <c r="L3413" s="56">
        <v>999</v>
      </c>
      <c r="M3413" s="56">
        <v>0</v>
      </c>
      <c r="O3413" s="538"/>
      <c r="S3413" s="56">
        <v>0</v>
      </c>
      <c r="T3413" s="56">
        <v>5</v>
      </c>
      <c r="U3413" s="56">
        <v>0</v>
      </c>
      <c r="V3413" s="56">
        <v>1</v>
      </c>
      <c r="W3413" s="56">
        <v>1</v>
      </c>
      <c r="X3413" s="56">
        <v>1</v>
      </c>
      <c r="Y3413" s="56">
        <v>0</v>
      </c>
      <c r="Z3413" s="56">
        <v>0</v>
      </c>
      <c r="AA3413" s="56">
        <v>5</v>
      </c>
      <c r="AB3413" s="56">
        <v>0</v>
      </c>
      <c r="AC3413" s="56">
        <v>0</v>
      </c>
      <c r="AD3413" s="539">
        <v>0</v>
      </c>
      <c r="AE3413" s="539">
        <v>0</v>
      </c>
      <c r="AF3413" s="539">
        <v>0</v>
      </c>
      <c r="AG3413" s="540"/>
      <c r="AH3413" s="540">
        <v>1</v>
      </c>
      <c r="AI3413" s="540"/>
      <c r="AJ3413" s="540"/>
      <c r="AK3413" s="540"/>
      <c r="AL3413" s="541">
        <v>1</v>
      </c>
      <c r="AM3413" s="541"/>
      <c r="AN3413" s="542"/>
      <c r="AO3413" s="541"/>
      <c r="AP3413" s="541"/>
      <c r="AS3413" s="56">
        <v>1</v>
      </c>
    </row>
    <row r="3414" s="56" customFormat="1" spans="1:45">
      <c r="A3414" s="56">
        <v>720009</v>
      </c>
      <c r="B3414" s="56">
        <v>1001</v>
      </c>
      <c r="C3414" s="56">
        <v>1</v>
      </c>
      <c r="D3414" s="56">
        <v>3</v>
      </c>
      <c r="E3414" s="56" t="s">
        <v>8410</v>
      </c>
      <c r="F3414" s="56" t="s">
        <v>8410</v>
      </c>
      <c r="G3414" s="56" t="s">
        <v>8411</v>
      </c>
      <c r="H3414" s="56" t="s">
        <v>1290</v>
      </c>
      <c r="I3414" s="56">
        <v>1</v>
      </c>
      <c r="J3414" s="56">
        <v>2</v>
      </c>
      <c r="K3414" s="56">
        <v>1</v>
      </c>
      <c r="L3414" s="56">
        <v>999</v>
      </c>
      <c r="M3414" s="56">
        <v>0</v>
      </c>
      <c r="O3414" s="538"/>
      <c r="S3414" s="56">
        <v>0</v>
      </c>
      <c r="T3414" s="56">
        <v>5</v>
      </c>
      <c r="U3414" s="56">
        <v>0</v>
      </c>
      <c r="V3414" s="56">
        <v>1</v>
      </c>
      <c r="W3414" s="56">
        <v>1</v>
      </c>
      <c r="X3414" s="56">
        <v>1</v>
      </c>
      <c r="Y3414" s="56">
        <v>0</v>
      </c>
      <c r="Z3414" s="56">
        <v>0</v>
      </c>
      <c r="AA3414" s="56">
        <v>5</v>
      </c>
      <c r="AB3414" s="56">
        <v>0</v>
      </c>
      <c r="AC3414" s="56">
        <v>0</v>
      </c>
      <c r="AD3414" s="539">
        <v>0</v>
      </c>
      <c r="AE3414" s="539">
        <v>0</v>
      </c>
      <c r="AF3414" s="539">
        <v>0</v>
      </c>
      <c r="AG3414" s="540"/>
      <c r="AH3414" s="540">
        <v>1</v>
      </c>
      <c r="AI3414" s="540"/>
      <c r="AJ3414" s="540"/>
      <c r="AK3414" s="540"/>
      <c r="AL3414" s="541">
        <v>1</v>
      </c>
      <c r="AM3414" s="541"/>
      <c r="AN3414" s="542"/>
      <c r="AO3414" s="541"/>
      <c r="AP3414" s="541"/>
      <c r="AS3414" s="56">
        <v>1</v>
      </c>
    </row>
    <row r="3415" s="56" customFormat="1" spans="1:45">
      <c r="A3415" s="56">
        <v>720010</v>
      </c>
      <c r="B3415" s="56">
        <v>1001</v>
      </c>
      <c r="C3415" s="56">
        <v>1</v>
      </c>
      <c r="D3415" s="56">
        <v>3</v>
      </c>
      <c r="E3415" s="56" t="s">
        <v>7866</v>
      </c>
      <c r="F3415" s="56" t="s">
        <v>7866</v>
      </c>
      <c r="G3415" s="56" t="s">
        <v>8412</v>
      </c>
      <c r="H3415" s="56" t="s">
        <v>5923</v>
      </c>
      <c r="I3415" s="56">
        <v>1</v>
      </c>
      <c r="J3415" s="56">
        <v>2</v>
      </c>
      <c r="K3415" s="56">
        <v>1</v>
      </c>
      <c r="L3415" s="56">
        <v>999</v>
      </c>
      <c r="M3415" s="56">
        <v>0</v>
      </c>
      <c r="O3415" s="538"/>
      <c r="S3415" s="56">
        <v>0</v>
      </c>
      <c r="T3415" s="56">
        <v>5</v>
      </c>
      <c r="U3415" s="56">
        <v>0</v>
      </c>
      <c r="V3415" s="56">
        <v>1</v>
      </c>
      <c r="W3415" s="56">
        <v>1</v>
      </c>
      <c r="X3415" s="56">
        <v>1</v>
      </c>
      <c r="Y3415" s="56">
        <v>0</v>
      </c>
      <c r="Z3415" s="56">
        <v>0</v>
      </c>
      <c r="AA3415" s="56">
        <v>5</v>
      </c>
      <c r="AB3415" s="56">
        <v>0</v>
      </c>
      <c r="AC3415" s="56">
        <v>0</v>
      </c>
      <c r="AD3415" s="539">
        <v>0</v>
      </c>
      <c r="AE3415" s="539">
        <v>0</v>
      </c>
      <c r="AF3415" s="539">
        <v>0</v>
      </c>
      <c r="AG3415" s="540"/>
      <c r="AH3415" s="540">
        <v>1</v>
      </c>
      <c r="AI3415" s="540"/>
      <c r="AJ3415" s="540"/>
      <c r="AK3415" s="540"/>
      <c r="AL3415" s="541">
        <v>1</v>
      </c>
      <c r="AM3415" s="541"/>
      <c r="AN3415" s="542"/>
      <c r="AO3415" s="541"/>
      <c r="AP3415" s="541"/>
      <c r="AS3415" s="56">
        <v>1</v>
      </c>
    </row>
    <row r="3416" s="56" customFormat="1" spans="1:45">
      <c r="A3416" s="56">
        <v>720011</v>
      </c>
      <c r="B3416" s="56">
        <v>1001</v>
      </c>
      <c r="C3416" s="56">
        <v>1</v>
      </c>
      <c r="D3416" s="56">
        <v>3</v>
      </c>
      <c r="E3416" s="56" t="s">
        <v>8413</v>
      </c>
      <c r="F3416" s="56" t="s">
        <v>8413</v>
      </c>
      <c r="G3416" s="56" t="s">
        <v>8414</v>
      </c>
      <c r="H3416" s="56" t="s">
        <v>1836</v>
      </c>
      <c r="I3416" s="56">
        <v>1</v>
      </c>
      <c r="J3416" s="56">
        <v>2</v>
      </c>
      <c r="K3416" s="56">
        <v>1</v>
      </c>
      <c r="L3416" s="56">
        <v>999</v>
      </c>
      <c r="M3416" s="56">
        <v>0</v>
      </c>
      <c r="O3416" s="538"/>
      <c r="S3416" s="56">
        <v>0</v>
      </c>
      <c r="T3416" s="56">
        <v>5</v>
      </c>
      <c r="U3416" s="56">
        <v>0</v>
      </c>
      <c r="V3416" s="56">
        <v>1</v>
      </c>
      <c r="W3416" s="56">
        <v>1</v>
      </c>
      <c r="X3416" s="56">
        <v>1</v>
      </c>
      <c r="Y3416" s="56">
        <v>0</v>
      </c>
      <c r="Z3416" s="56">
        <v>0</v>
      </c>
      <c r="AA3416" s="56">
        <v>5</v>
      </c>
      <c r="AB3416" s="56">
        <v>0</v>
      </c>
      <c r="AC3416" s="56">
        <v>0</v>
      </c>
      <c r="AD3416" s="539">
        <v>0</v>
      </c>
      <c r="AE3416" s="539">
        <v>0</v>
      </c>
      <c r="AF3416" s="539">
        <v>0</v>
      </c>
      <c r="AG3416" s="540"/>
      <c r="AH3416" s="540">
        <v>1</v>
      </c>
      <c r="AI3416" s="540"/>
      <c r="AJ3416" s="540"/>
      <c r="AK3416" s="540"/>
      <c r="AL3416" s="541">
        <v>1</v>
      </c>
      <c r="AM3416" s="541"/>
      <c r="AN3416" s="542"/>
      <c r="AO3416" s="541"/>
      <c r="AP3416" s="541"/>
      <c r="AS3416" s="56">
        <v>1</v>
      </c>
    </row>
    <row r="3417" s="56" customFormat="1" spans="1:45">
      <c r="A3417" s="56">
        <v>720012</v>
      </c>
      <c r="B3417" s="56">
        <v>1001</v>
      </c>
      <c r="C3417" s="56">
        <v>1</v>
      </c>
      <c r="D3417" s="56">
        <v>3</v>
      </c>
      <c r="E3417" s="56" t="s">
        <v>8415</v>
      </c>
      <c r="F3417" s="56" t="s">
        <v>8415</v>
      </c>
      <c r="G3417" s="56" t="s">
        <v>8416</v>
      </c>
      <c r="H3417" s="56" t="s">
        <v>1470</v>
      </c>
      <c r="I3417" s="56">
        <v>1</v>
      </c>
      <c r="J3417" s="56">
        <v>2</v>
      </c>
      <c r="K3417" s="56">
        <v>1</v>
      </c>
      <c r="L3417" s="56">
        <v>999</v>
      </c>
      <c r="M3417" s="56">
        <v>0</v>
      </c>
      <c r="O3417" s="538"/>
      <c r="S3417" s="56">
        <v>0</v>
      </c>
      <c r="T3417" s="56">
        <v>5</v>
      </c>
      <c r="U3417" s="56">
        <v>0</v>
      </c>
      <c r="V3417" s="56">
        <v>1</v>
      </c>
      <c r="W3417" s="56">
        <v>1</v>
      </c>
      <c r="X3417" s="56">
        <v>1</v>
      </c>
      <c r="Y3417" s="56">
        <v>0</v>
      </c>
      <c r="Z3417" s="56">
        <v>0</v>
      </c>
      <c r="AA3417" s="56">
        <v>5</v>
      </c>
      <c r="AB3417" s="56">
        <v>0</v>
      </c>
      <c r="AC3417" s="56">
        <v>0</v>
      </c>
      <c r="AD3417" s="539">
        <v>0</v>
      </c>
      <c r="AE3417" s="539">
        <v>0</v>
      </c>
      <c r="AF3417" s="539">
        <v>0</v>
      </c>
      <c r="AG3417" s="540"/>
      <c r="AH3417" s="540">
        <v>1</v>
      </c>
      <c r="AI3417" s="540"/>
      <c r="AJ3417" s="540"/>
      <c r="AK3417" s="540"/>
      <c r="AL3417" s="541">
        <v>1</v>
      </c>
      <c r="AM3417" s="541"/>
      <c r="AN3417" s="542"/>
      <c r="AO3417" s="541"/>
      <c r="AP3417" s="541"/>
      <c r="AS3417" s="56">
        <v>1</v>
      </c>
    </row>
    <row r="3418" s="56" customFormat="1" spans="1:45">
      <c r="A3418" s="56">
        <v>720013</v>
      </c>
      <c r="B3418" s="56">
        <v>1001</v>
      </c>
      <c r="C3418" s="56">
        <v>1</v>
      </c>
      <c r="D3418" s="56">
        <v>3</v>
      </c>
      <c r="E3418" s="56" t="s">
        <v>8417</v>
      </c>
      <c r="F3418" s="56" t="s">
        <v>8417</v>
      </c>
      <c r="G3418" s="56" t="s">
        <v>8418</v>
      </c>
      <c r="H3418" s="56" t="s">
        <v>1692</v>
      </c>
      <c r="I3418" s="56">
        <v>1</v>
      </c>
      <c r="J3418" s="56">
        <v>2</v>
      </c>
      <c r="K3418" s="56">
        <v>1</v>
      </c>
      <c r="L3418" s="56">
        <v>999</v>
      </c>
      <c r="M3418" s="56">
        <v>0</v>
      </c>
      <c r="O3418" s="538"/>
      <c r="S3418" s="56">
        <v>0</v>
      </c>
      <c r="T3418" s="56">
        <v>5</v>
      </c>
      <c r="U3418" s="56">
        <v>0</v>
      </c>
      <c r="V3418" s="56">
        <v>1</v>
      </c>
      <c r="W3418" s="56">
        <v>1</v>
      </c>
      <c r="X3418" s="56">
        <v>1</v>
      </c>
      <c r="Y3418" s="56">
        <v>0</v>
      </c>
      <c r="Z3418" s="56">
        <v>0</v>
      </c>
      <c r="AA3418" s="56">
        <v>5</v>
      </c>
      <c r="AB3418" s="56">
        <v>0</v>
      </c>
      <c r="AC3418" s="56">
        <v>0</v>
      </c>
      <c r="AD3418" s="539">
        <v>0</v>
      </c>
      <c r="AE3418" s="539">
        <v>0</v>
      </c>
      <c r="AF3418" s="539">
        <v>0</v>
      </c>
      <c r="AG3418" s="540"/>
      <c r="AH3418" s="540">
        <v>1</v>
      </c>
      <c r="AI3418" s="540"/>
      <c r="AJ3418" s="540"/>
      <c r="AK3418" s="540"/>
      <c r="AL3418" s="541">
        <v>1</v>
      </c>
      <c r="AM3418" s="541"/>
      <c r="AN3418" s="542"/>
      <c r="AO3418" s="541"/>
      <c r="AP3418" s="541"/>
      <c r="AS3418" s="56">
        <v>1</v>
      </c>
    </row>
    <row r="3419" s="56" customFormat="1" spans="1:45">
      <c r="A3419" s="56">
        <v>720014</v>
      </c>
      <c r="B3419" s="56">
        <v>1001</v>
      </c>
      <c r="C3419" s="56">
        <v>1</v>
      </c>
      <c r="D3419" s="56">
        <v>3</v>
      </c>
      <c r="E3419" s="56" t="s">
        <v>2464</v>
      </c>
      <c r="F3419" s="56" t="s">
        <v>2464</v>
      </c>
      <c r="G3419" s="56" t="s">
        <v>8419</v>
      </c>
      <c r="H3419" s="56" t="s">
        <v>2361</v>
      </c>
      <c r="I3419" s="56">
        <v>1</v>
      </c>
      <c r="J3419" s="56">
        <v>2</v>
      </c>
      <c r="K3419" s="56">
        <v>1</v>
      </c>
      <c r="L3419" s="56">
        <v>999</v>
      </c>
      <c r="M3419" s="56">
        <v>0</v>
      </c>
      <c r="O3419" s="538"/>
      <c r="S3419" s="56">
        <v>0</v>
      </c>
      <c r="T3419" s="56">
        <v>5</v>
      </c>
      <c r="U3419" s="56">
        <v>0</v>
      </c>
      <c r="V3419" s="56">
        <v>1</v>
      </c>
      <c r="W3419" s="56">
        <v>1</v>
      </c>
      <c r="X3419" s="56">
        <v>1</v>
      </c>
      <c r="Y3419" s="56">
        <v>0</v>
      </c>
      <c r="Z3419" s="56">
        <v>0</v>
      </c>
      <c r="AA3419" s="56">
        <v>5</v>
      </c>
      <c r="AB3419" s="56">
        <v>0</v>
      </c>
      <c r="AC3419" s="56">
        <v>0</v>
      </c>
      <c r="AD3419" s="539">
        <v>0</v>
      </c>
      <c r="AE3419" s="539">
        <v>0</v>
      </c>
      <c r="AF3419" s="539">
        <v>0</v>
      </c>
      <c r="AG3419" s="540"/>
      <c r="AH3419" s="540">
        <v>1</v>
      </c>
      <c r="AI3419" s="540"/>
      <c r="AJ3419" s="540"/>
      <c r="AK3419" s="540"/>
      <c r="AL3419" s="541">
        <v>1</v>
      </c>
      <c r="AM3419" s="541"/>
      <c r="AN3419" s="542"/>
      <c r="AO3419" s="541"/>
      <c r="AP3419" s="541"/>
      <c r="AS3419" s="56">
        <v>1</v>
      </c>
    </row>
    <row r="3420" s="56" customFormat="1" spans="1:45">
      <c r="A3420" s="56">
        <v>720015</v>
      </c>
      <c r="B3420" s="56">
        <v>1001</v>
      </c>
      <c r="C3420" s="56">
        <v>1</v>
      </c>
      <c r="D3420" s="56">
        <v>3</v>
      </c>
      <c r="E3420" s="56" t="s">
        <v>8420</v>
      </c>
      <c r="F3420" s="56" t="s">
        <v>8420</v>
      </c>
      <c r="G3420" s="56" t="s">
        <v>8421</v>
      </c>
      <c r="H3420" s="56" t="s">
        <v>1364</v>
      </c>
      <c r="I3420" s="56">
        <v>1</v>
      </c>
      <c r="J3420" s="56">
        <v>2</v>
      </c>
      <c r="K3420" s="56">
        <v>1</v>
      </c>
      <c r="L3420" s="56">
        <v>999</v>
      </c>
      <c r="M3420" s="56">
        <v>0</v>
      </c>
      <c r="O3420" s="538"/>
      <c r="S3420" s="56">
        <v>0</v>
      </c>
      <c r="T3420" s="56">
        <v>5</v>
      </c>
      <c r="U3420" s="56">
        <v>0</v>
      </c>
      <c r="V3420" s="56">
        <v>1</v>
      </c>
      <c r="W3420" s="56">
        <v>1</v>
      </c>
      <c r="X3420" s="56">
        <v>1</v>
      </c>
      <c r="Y3420" s="56">
        <v>0</v>
      </c>
      <c r="Z3420" s="56">
        <v>0</v>
      </c>
      <c r="AA3420" s="56">
        <v>5</v>
      </c>
      <c r="AB3420" s="56">
        <v>0</v>
      </c>
      <c r="AC3420" s="56">
        <v>0</v>
      </c>
      <c r="AD3420" s="539">
        <v>0</v>
      </c>
      <c r="AE3420" s="539">
        <v>0</v>
      </c>
      <c r="AF3420" s="539">
        <v>0</v>
      </c>
      <c r="AG3420" s="540"/>
      <c r="AH3420" s="540">
        <v>1</v>
      </c>
      <c r="AI3420" s="540"/>
      <c r="AJ3420" s="540"/>
      <c r="AK3420" s="540"/>
      <c r="AL3420" s="541">
        <v>1</v>
      </c>
      <c r="AM3420" s="541"/>
      <c r="AN3420" s="542"/>
      <c r="AO3420" s="541"/>
      <c r="AP3420" s="541"/>
      <c r="AS3420" s="56">
        <v>1</v>
      </c>
    </row>
    <row r="3421" s="56" customFormat="1" spans="1:45">
      <c r="A3421" s="56">
        <v>720016</v>
      </c>
      <c r="B3421" s="56">
        <v>1001</v>
      </c>
      <c r="C3421" s="56">
        <v>1</v>
      </c>
      <c r="D3421" s="56">
        <v>3</v>
      </c>
      <c r="E3421" s="56" t="s">
        <v>8422</v>
      </c>
      <c r="F3421" s="56" t="s">
        <v>8422</v>
      </c>
      <c r="G3421" s="56" t="s">
        <v>8423</v>
      </c>
      <c r="H3421" s="56" t="s">
        <v>4240</v>
      </c>
      <c r="I3421" s="56">
        <v>1</v>
      </c>
      <c r="J3421" s="56">
        <v>2</v>
      </c>
      <c r="K3421" s="56">
        <v>1</v>
      </c>
      <c r="L3421" s="56">
        <v>999</v>
      </c>
      <c r="M3421" s="56">
        <v>0</v>
      </c>
      <c r="O3421" s="538"/>
      <c r="S3421" s="56">
        <v>0</v>
      </c>
      <c r="T3421" s="56">
        <v>5</v>
      </c>
      <c r="U3421" s="56">
        <v>0</v>
      </c>
      <c r="V3421" s="56">
        <v>1</v>
      </c>
      <c r="W3421" s="56">
        <v>1</v>
      </c>
      <c r="X3421" s="56">
        <v>1</v>
      </c>
      <c r="Y3421" s="56">
        <v>0</v>
      </c>
      <c r="Z3421" s="56">
        <v>0</v>
      </c>
      <c r="AA3421" s="56">
        <v>5</v>
      </c>
      <c r="AB3421" s="56">
        <v>0</v>
      </c>
      <c r="AC3421" s="56">
        <v>0</v>
      </c>
      <c r="AD3421" s="539">
        <v>0</v>
      </c>
      <c r="AE3421" s="539">
        <v>0</v>
      </c>
      <c r="AF3421" s="539">
        <v>0</v>
      </c>
      <c r="AG3421" s="540"/>
      <c r="AH3421" s="540">
        <v>1</v>
      </c>
      <c r="AI3421" s="540"/>
      <c r="AJ3421" s="540"/>
      <c r="AK3421" s="540"/>
      <c r="AL3421" s="541">
        <v>1</v>
      </c>
      <c r="AM3421" s="541"/>
      <c r="AN3421" s="542"/>
      <c r="AO3421" s="541"/>
      <c r="AP3421" s="541"/>
      <c r="AS3421" s="56">
        <v>1</v>
      </c>
    </row>
    <row r="3422" s="56" customFormat="1" spans="1:45">
      <c r="A3422" s="56">
        <v>720017</v>
      </c>
      <c r="B3422" s="56">
        <v>1001</v>
      </c>
      <c r="C3422" s="56">
        <v>1</v>
      </c>
      <c r="D3422" s="56">
        <v>3</v>
      </c>
      <c r="E3422" s="56" t="s">
        <v>8424</v>
      </c>
      <c r="F3422" s="56" t="s">
        <v>8424</v>
      </c>
      <c r="G3422" s="56" t="s">
        <v>8425</v>
      </c>
      <c r="H3422" s="56" t="s">
        <v>4240</v>
      </c>
      <c r="I3422" s="56">
        <v>1</v>
      </c>
      <c r="J3422" s="56">
        <v>2</v>
      </c>
      <c r="K3422" s="56">
        <v>1</v>
      </c>
      <c r="L3422" s="56">
        <v>999</v>
      </c>
      <c r="M3422" s="56">
        <v>0</v>
      </c>
      <c r="O3422" s="538"/>
      <c r="S3422" s="56">
        <v>0</v>
      </c>
      <c r="T3422" s="56">
        <v>5</v>
      </c>
      <c r="U3422" s="56">
        <v>0</v>
      </c>
      <c r="V3422" s="56">
        <v>1</v>
      </c>
      <c r="W3422" s="56">
        <v>1</v>
      </c>
      <c r="X3422" s="56">
        <v>1</v>
      </c>
      <c r="Y3422" s="56">
        <v>0</v>
      </c>
      <c r="Z3422" s="56">
        <v>0</v>
      </c>
      <c r="AA3422" s="56">
        <v>5</v>
      </c>
      <c r="AB3422" s="56">
        <v>0</v>
      </c>
      <c r="AC3422" s="56">
        <v>0</v>
      </c>
      <c r="AD3422" s="539">
        <v>0</v>
      </c>
      <c r="AE3422" s="539">
        <v>0</v>
      </c>
      <c r="AF3422" s="539">
        <v>0</v>
      </c>
      <c r="AG3422" s="540"/>
      <c r="AH3422" s="540">
        <v>1</v>
      </c>
      <c r="AI3422" s="540"/>
      <c r="AJ3422" s="540"/>
      <c r="AK3422" s="540"/>
      <c r="AL3422" s="541">
        <v>1</v>
      </c>
      <c r="AM3422" s="541"/>
      <c r="AN3422" s="542"/>
      <c r="AO3422" s="541"/>
      <c r="AP3422" s="541"/>
      <c r="AS3422" s="56">
        <v>1</v>
      </c>
    </row>
    <row r="3423" s="56" customFormat="1" spans="1:45">
      <c r="A3423" s="56">
        <v>720018</v>
      </c>
      <c r="B3423" s="56">
        <v>1001</v>
      </c>
      <c r="C3423" s="56">
        <v>1</v>
      </c>
      <c r="D3423" s="56">
        <v>3</v>
      </c>
      <c r="E3423" s="56" t="s">
        <v>8426</v>
      </c>
      <c r="F3423" s="56" t="s">
        <v>8426</v>
      </c>
      <c r="G3423" s="56" t="s">
        <v>8427</v>
      </c>
      <c r="H3423" s="56" t="s">
        <v>1836</v>
      </c>
      <c r="I3423" s="56">
        <v>1</v>
      </c>
      <c r="J3423" s="56">
        <v>2</v>
      </c>
      <c r="K3423" s="56">
        <v>1</v>
      </c>
      <c r="L3423" s="56">
        <v>999</v>
      </c>
      <c r="M3423" s="56">
        <v>0</v>
      </c>
      <c r="O3423" s="538"/>
      <c r="S3423" s="56">
        <v>0</v>
      </c>
      <c r="T3423" s="56">
        <v>5</v>
      </c>
      <c r="U3423" s="56">
        <v>0</v>
      </c>
      <c r="V3423" s="56">
        <v>1</v>
      </c>
      <c r="W3423" s="56">
        <v>1</v>
      </c>
      <c r="X3423" s="56">
        <v>1</v>
      </c>
      <c r="Y3423" s="56">
        <v>0</v>
      </c>
      <c r="Z3423" s="56">
        <v>0</v>
      </c>
      <c r="AA3423" s="56">
        <v>5</v>
      </c>
      <c r="AB3423" s="56">
        <v>0</v>
      </c>
      <c r="AC3423" s="56">
        <v>0</v>
      </c>
      <c r="AD3423" s="539">
        <v>0</v>
      </c>
      <c r="AE3423" s="539">
        <v>0</v>
      </c>
      <c r="AF3423" s="539">
        <v>0</v>
      </c>
      <c r="AG3423" s="540"/>
      <c r="AH3423" s="540">
        <v>1</v>
      </c>
      <c r="AI3423" s="540"/>
      <c r="AJ3423" s="540"/>
      <c r="AK3423" s="540"/>
      <c r="AL3423" s="541">
        <v>1</v>
      </c>
      <c r="AM3423" s="541"/>
      <c r="AN3423" s="542"/>
      <c r="AO3423" s="541"/>
      <c r="AP3423" s="541"/>
      <c r="AS3423" s="56">
        <v>1</v>
      </c>
    </row>
    <row r="3424" s="56" customFormat="1" spans="1:45">
      <c r="A3424" s="56">
        <v>720019</v>
      </c>
      <c r="B3424" s="56">
        <v>1001</v>
      </c>
      <c r="C3424" s="56">
        <v>1</v>
      </c>
      <c r="D3424" s="56">
        <v>3</v>
      </c>
      <c r="E3424" s="56" t="s">
        <v>8428</v>
      </c>
      <c r="F3424" s="56" t="s">
        <v>8428</v>
      </c>
      <c r="G3424" s="56" t="s">
        <v>8429</v>
      </c>
      <c r="H3424" s="56" t="s">
        <v>1947</v>
      </c>
      <c r="I3424" s="56">
        <v>1</v>
      </c>
      <c r="J3424" s="56">
        <v>2</v>
      </c>
      <c r="K3424" s="56">
        <v>1</v>
      </c>
      <c r="L3424" s="56">
        <v>999</v>
      </c>
      <c r="M3424" s="56">
        <v>0</v>
      </c>
      <c r="O3424" s="538"/>
      <c r="S3424" s="56">
        <v>0</v>
      </c>
      <c r="T3424" s="56">
        <v>5</v>
      </c>
      <c r="U3424" s="56">
        <v>0</v>
      </c>
      <c r="V3424" s="56">
        <v>1</v>
      </c>
      <c r="W3424" s="56">
        <v>1</v>
      </c>
      <c r="X3424" s="56">
        <v>1</v>
      </c>
      <c r="Y3424" s="56">
        <v>0</v>
      </c>
      <c r="Z3424" s="56">
        <v>0</v>
      </c>
      <c r="AA3424" s="56">
        <v>5</v>
      </c>
      <c r="AB3424" s="56">
        <v>0</v>
      </c>
      <c r="AC3424" s="56">
        <v>0</v>
      </c>
      <c r="AD3424" s="539">
        <v>0</v>
      </c>
      <c r="AE3424" s="539">
        <v>0</v>
      </c>
      <c r="AF3424" s="539">
        <v>0</v>
      </c>
      <c r="AG3424" s="540"/>
      <c r="AH3424" s="540">
        <v>1</v>
      </c>
      <c r="AI3424" s="540"/>
      <c r="AJ3424" s="540"/>
      <c r="AK3424" s="540"/>
      <c r="AL3424" s="541">
        <v>1</v>
      </c>
      <c r="AM3424" s="541"/>
      <c r="AN3424" s="542"/>
      <c r="AO3424" s="541"/>
      <c r="AP3424" s="541"/>
      <c r="AS3424" s="56">
        <v>1</v>
      </c>
    </row>
    <row r="3425" s="56" customFormat="1" spans="1:45">
      <c r="A3425" s="56">
        <v>720020</v>
      </c>
      <c r="B3425" s="56">
        <v>1001</v>
      </c>
      <c r="C3425" s="56">
        <v>1</v>
      </c>
      <c r="D3425" s="56">
        <v>3</v>
      </c>
      <c r="E3425" s="56" t="s">
        <v>8430</v>
      </c>
      <c r="F3425" s="56" t="s">
        <v>8430</v>
      </c>
      <c r="G3425" s="56" t="s">
        <v>8431</v>
      </c>
      <c r="H3425" s="56" t="s">
        <v>1692</v>
      </c>
      <c r="I3425" s="56">
        <v>1</v>
      </c>
      <c r="J3425" s="56">
        <v>2</v>
      </c>
      <c r="K3425" s="56">
        <v>1</v>
      </c>
      <c r="L3425" s="56">
        <v>999</v>
      </c>
      <c r="M3425" s="56">
        <v>0</v>
      </c>
      <c r="O3425" s="538"/>
      <c r="S3425" s="56">
        <v>0</v>
      </c>
      <c r="T3425" s="56">
        <v>5</v>
      </c>
      <c r="U3425" s="56">
        <v>0</v>
      </c>
      <c r="V3425" s="56">
        <v>1</v>
      </c>
      <c r="W3425" s="56">
        <v>1</v>
      </c>
      <c r="X3425" s="56">
        <v>1</v>
      </c>
      <c r="Y3425" s="56">
        <v>0</v>
      </c>
      <c r="Z3425" s="56">
        <v>0</v>
      </c>
      <c r="AA3425" s="56">
        <v>5</v>
      </c>
      <c r="AB3425" s="56">
        <v>0</v>
      </c>
      <c r="AC3425" s="56">
        <v>0</v>
      </c>
      <c r="AD3425" s="539">
        <v>0</v>
      </c>
      <c r="AE3425" s="539">
        <v>0</v>
      </c>
      <c r="AF3425" s="539">
        <v>0</v>
      </c>
      <c r="AG3425" s="540"/>
      <c r="AH3425" s="540">
        <v>1</v>
      </c>
      <c r="AI3425" s="540"/>
      <c r="AJ3425" s="540"/>
      <c r="AK3425" s="540"/>
      <c r="AL3425" s="541">
        <v>1</v>
      </c>
      <c r="AM3425" s="541"/>
      <c r="AN3425" s="542"/>
      <c r="AO3425" s="541"/>
      <c r="AP3425" s="541"/>
      <c r="AS3425" s="56">
        <v>1</v>
      </c>
    </row>
    <row r="3426" s="56" customFormat="1" spans="1:45">
      <c r="A3426" s="56">
        <v>720021</v>
      </c>
      <c r="B3426" s="56">
        <v>1001</v>
      </c>
      <c r="C3426" s="56">
        <v>1</v>
      </c>
      <c r="D3426" s="56">
        <v>3</v>
      </c>
      <c r="E3426" s="56" t="s">
        <v>8432</v>
      </c>
      <c r="F3426" s="56" t="s">
        <v>8432</v>
      </c>
      <c r="G3426" s="56" t="s">
        <v>8433</v>
      </c>
      <c r="H3426" s="56" t="s">
        <v>8434</v>
      </c>
      <c r="I3426" s="56">
        <v>1</v>
      </c>
      <c r="J3426" s="56">
        <v>2</v>
      </c>
      <c r="K3426" s="56">
        <v>1</v>
      </c>
      <c r="L3426" s="56">
        <v>999</v>
      </c>
      <c r="M3426" s="56">
        <v>0</v>
      </c>
      <c r="N3426"/>
      <c r="O3426" s="538"/>
      <c r="S3426" s="56">
        <v>0</v>
      </c>
      <c r="T3426" s="56">
        <v>5</v>
      </c>
      <c r="U3426" s="56">
        <v>0</v>
      </c>
      <c r="V3426" s="56">
        <v>1</v>
      </c>
      <c r="W3426" s="56">
        <v>1</v>
      </c>
      <c r="X3426" s="56">
        <v>1</v>
      </c>
      <c r="Y3426" s="56">
        <v>0</v>
      </c>
      <c r="Z3426" s="56">
        <v>0</v>
      </c>
      <c r="AA3426" s="56">
        <v>5</v>
      </c>
      <c r="AB3426" s="56">
        <v>0</v>
      </c>
      <c r="AC3426" s="56">
        <v>0</v>
      </c>
      <c r="AD3426" s="539">
        <v>0</v>
      </c>
      <c r="AE3426" s="539">
        <v>0</v>
      </c>
      <c r="AF3426" s="539">
        <v>0</v>
      </c>
      <c r="AG3426" s="540"/>
      <c r="AH3426" s="540">
        <v>1</v>
      </c>
      <c r="AI3426" s="540"/>
      <c r="AJ3426" s="540"/>
      <c r="AK3426" s="540"/>
      <c r="AL3426" s="541">
        <v>1</v>
      </c>
      <c r="AM3426" s="541"/>
      <c r="AN3426" s="542"/>
      <c r="AO3426" s="541"/>
      <c r="AP3426" s="541"/>
      <c r="AS3426" s="56">
        <v>1</v>
      </c>
    </row>
    <row r="3427" spans="1:45">
      <c r="A3427">
        <v>690111</v>
      </c>
      <c r="B3427">
        <v>1001</v>
      </c>
      <c r="C3427">
        <v>6</v>
      </c>
      <c r="D3427">
        <v>1001</v>
      </c>
      <c r="E3427" t="s">
        <v>206</v>
      </c>
      <c r="F3427" t="s">
        <v>207</v>
      </c>
      <c r="G3427" t="s">
        <v>8435</v>
      </c>
      <c r="H3427" t="s">
        <v>204</v>
      </c>
      <c r="I3427">
        <v>1</v>
      </c>
      <c r="J3427">
        <v>5</v>
      </c>
      <c r="K3427" s="33">
        <v>2</v>
      </c>
      <c r="L3427">
        <v>999</v>
      </c>
      <c r="M3427">
        <v>0</v>
      </c>
      <c r="N3427">
        <v>1018</v>
      </c>
      <c r="O3427" s="2" t="s">
        <v>8436</v>
      </c>
      <c r="S3427" s="33">
        <v>0</v>
      </c>
      <c r="T3427">
        <v>5</v>
      </c>
      <c r="U3427">
        <v>10</v>
      </c>
      <c r="V3427" s="33">
        <v>0</v>
      </c>
      <c r="W3427">
        <v>0</v>
      </c>
      <c r="X3427">
        <v>1</v>
      </c>
      <c r="Y3427">
        <v>0</v>
      </c>
      <c r="Z3427" s="33">
        <v>0</v>
      </c>
      <c r="AA3427">
        <v>5</v>
      </c>
      <c r="AB3427">
        <v>200</v>
      </c>
      <c r="AC3427">
        <v>56</v>
      </c>
      <c r="AD3427" s="62">
        <v>0</v>
      </c>
      <c r="AE3427" s="62">
        <v>5</v>
      </c>
      <c r="AF3427" s="62">
        <v>2</v>
      </c>
      <c r="AQ3427"/>
      <c r="AS3427">
        <v>1</v>
      </c>
    </row>
    <row r="3428" spans="1:45">
      <c r="A3428">
        <v>690112</v>
      </c>
      <c r="B3428">
        <v>1001</v>
      </c>
      <c r="C3428">
        <v>6</v>
      </c>
      <c r="D3428">
        <v>1001</v>
      </c>
      <c r="E3428" t="s">
        <v>8437</v>
      </c>
      <c r="F3428" t="s">
        <v>8438</v>
      </c>
      <c r="G3428" t="s">
        <v>8439</v>
      </c>
      <c r="H3428" t="s">
        <v>1431</v>
      </c>
      <c r="I3428">
        <v>1</v>
      </c>
      <c r="J3428">
        <v>5</v>
      </c>
      <c r="K3428" s="33">
        <v>2</v>
      </c>
      <c r="L3428">
        <v>999</v>
      </c>
      <c r="M3428">
        <v>0</v>
      </c>
      <c r="N3428">
        <v>1017</v>
      </c>
      <c r="O3428" s="2">
        <v>221001</v>
      </c>
      <c r="S3428" s="33">
        <v>1</v>
      </c>
      <c r="T3428">
        <v>5</v>
      </c>
      <c r="U3428">
        <v>200</v>
      </c>
      <c r="V3428" s="33">
        <v>1</v>
      </c>
      <c r="W3428">
        <v>1</v>
      </c>
      <c r="X3428">
        <v>1</v>
      </c>
      <c r="Y3428">
        <v>0</v>
      </c>
      <c r="Z3428" s="33">
        <v>0</v>
      </c>
      <c r="AA3428">
        <v>5</v>
      </c>
      <c r="AB3428" s="238">
        <v>7600</v>
      </c>
      <c r="AC3428">
        <v>71</v>
      </c>
      <c r="AD3428" s="12"/>
      <c r="AE3428" s="62">
        <v>4</v>
      </c>
      <c r="AF3428" s="62">
        <v>2</v>
      </c>
      <c r="AG3428" s="430"/>
      <c r="AH3428" s="63">
        <v>1</v>
      </c>
      <c r="AI3428" s="430"/>
      <c r="AJ3428" s="430"/>
      <c r="AK3428" s="430"/>
      <c r="AL3428" s="64">
        <v>1</v>
      </c>
      <c r="AM3428" s="64">
        <v>60</v>
      </c>
      <c r="AN3428" s="431"/>
      <c r="AO3428" s="214"/>
      <c r="AP3428" s="214"/>
      <c r="AQ3428" t="s">
        <v>8437</v>
      </c>
      <c r="AS3428">
        <v>1</v>
      </c>
    </row>
    <row r="3429" spans="1:45">
      <c r="A3429">
        <v>619342</v>
      </c>
      <c r="B3429">
        <v>1001</v>
      </c>
      <c r="C3429">
        <v>6</v>
      </c>
      <c r="D3429">
        <v>1001</v>
      </c>
      <c r="E3429" t="s">
        <v>8440</v>
      </c>
      <c r="F3429" t="s">
        <v>8440</v>
      </c>
      <c r="G3429" t="s">
        <v>8441</v>
      </c>
      <c r="H3429" t="s">
        <v>1818</v>
      </c>
      <c r="I3429">
        <v>1</v>
      </c>
      <c r="J3429">
        <v>5</v>
      </c>
      <c r="K3429" s="33">
        <v>2</v>
      </c>
      <c r="L3429">
        <v>999</v>
      </c>
      <c r="M3429">
        <v>0</v>
      </c>
      <c r="N3429">
        <v>1017</v>
      </c>
      <c r="O3429">
        <v>220033</v>
      </c>
      <c r="S3429" s="33">
        <v>1</v>
      </c>
      <c r="T3429">
        <v>5</v>
      </c>
      <c r="U3429">
        <v>100</v>
      </c>
      <c r="V3429" s="33">
        <v>1</v>
      </c>
      <c r="W3429">
        <v>1</v>
      </c>
      <c r="X3429">
        <v>1</v>
      </c>
      <c r="Y3429">
        <v>0</v>
      </c>
      <c r="Z3429" s="33">
        <v>0</v>
      </c>
      <c r="AA3429">
        <v>5</v>
      </c>
      <c r="AB3429" s="236">
        <v>1000</v>
      </c>
      <c r="AC3429">
        <v>110</v>
      </c>
      <c r="AD3429" s="12">
        <v>0</v>
      </c>
      <c r="AE3429" s="12">
        <v>4</v>
      </c>
      <c r="AF3429" s="12">
        <v>2</v>
      </c>
      <c r="AG3429" s="430"/>
      <c r="AH3429" s="430">
        <v>1</v>
      </c>
      <c r="AI3429" s="430"/>
      <c r="AJ3429" s="430"/>
      <c r="AK3429" s="430"/>
      <c r="AL3429" s="214">
        <v>1</v>
      </c>
      <c r="AM3429" s="214"/>
      <c r="AN3429" s="431"/>
      <c r="AO3429" s="214"/>
      <c r="AP3429" s="214"/>
      <c r="AS3429">
        <v>1</v>
      </c>
    </row>
    <row r="3430" spans="1:45">
      <c r="A3430">
        <v>511634</v>
      </c>
      <c r="B3430">
        <v>1001</v>
      </c>
      <c r="C3430">
        <v>6</v>
      </c>
      <c r="D3430">
        <v>1001</v>
      </c>
      <c r="E3430" t="s">
        <v>8442</v>
      </c>
      <c r="F3430" t="s">
        <v>8442</v>
      </c>
      <c r="G3430" t="s">
        <v>8443</v>
      </c>
      <c r="H3430" t="s">
        <v>6325</v>
      </c>
      <c r="I3430">
        <v>1</v>
      </c>
      <c r="J3430">
        <v>5</v>
      </c>
      <c r="K3430" s="33">
        <v>2</v>
      </c>
      <c r="L3430" s="238">
        <v>999</v>
      </c>
      <c r="M3430" s="238">
        <v>0</v>
      </c>
      <c r="N3430">
        <v>1035</v>
      </c>
      <c r="O3430" s="2">
        <v>81</v>
      </c>
      <c r="S3430" s="254">
        <v>0</v>
      </c>
      <c r="T3430" s="238">
        <v>5</v>
      </c>
      <c r="U3430" s="238">
        <v>1</v>
      </c>
      <c r="V3430" s="254">
        <v>1</v>
      </c>
      <c r="W3430">
        <v>1</v>
      </c>
      <c r="X3430" s="238">
        <v>1</v>
      </c>
      <c r="Y3430" s="238">
        <v>0</v>
      </c>
      <c r="Z3430" s="33">
        <v>0</v>
      </c>
      <c r="AA3430">
        <v>5</v>
      </c>
      <c r="AB3430">
        <v>100</v>
      </c>
      <c r="AC3430" s="238">
        <v>70</v>
      </c>
      <c r="AD3430" s="62">
        <v>0</v>
      </c>
      <c r="AE3430" s="62">
        <v>1</v>
      </c>
      <c r="AF3430" s="62">
        <v>1</v>
      </c>
      <c r="AG3430" s="430"/>
      <c r="AH3430" s="430"/>
      <c r="AI3430" s="430"/>
      <c r="AJ3430" s="430"/>
      <c r="AK3430" s="430"/>
      <c r="AL3430" s="214"/>
      <c r="AM3430" s="4"/>
      <c r="AN3430" s="162"/>
      <c r="AO3430" s="161"/>
      <c r="AP3430" s="214"/>
      <c r="AQ3430"/>
      <c r="AR3430"/>
      <c r="AS3430">
        <v>1</v>
      </c>
    </row>
    <row r="3431" spans="1:45">
      <c r="A3431">
        <v>225003</v>
      </c>
      <c r="B3431" s="238">
        <v>1001</v>
      </c>
      <c r="C3431" s="238">
        <v>1</v>
      </c>
      <c r="D3431" s="238">
        <v>1001</v>
      </c>
      <c r="E3431" s="238" t="s">
        <v>8444</v>
      </c>
      <c r="F3431" s="238" t="s">
        <v>8444</v>
      </c>
      <c r="G3431" s="238" t="s">
        <v>8445</v>
      </c>
      <c r="H3431" s="238" t="s">
        <v>2361</v>
      </c>
      <c r="I3431" s="238">
        <v>1</v>
      </c>
      <c r="J3431" s="238">
        <v>5</v>
      </c>
      <c r="K3431" s="254">
        <v>1</v>
      </c>
      <c r="L3431" s="8">
        <v>999</v>
      </c>
      <c r="M3431" s="8">
        <v>500</v>
      </c>
      <c r="N3431" s="8"/>
      <c r="O3431"/>
      <c r="P3431" s="8"/>
      <c r="Q3431" s="8"/>
      <c r="R3431" s="8"/>
      <c r="S3431" s="8">
        <v>1</v>
      </c>
      <c r="T3431" s="8">
        <v>5</v>
      </c>
      <c r="U3431" s="8">
        <v>1</v>
      </c>
      <c r="V3431" s="8">
        <v>1</v>
      </c>
      <c r="W3431" s="238">
        <v>1</v>
      </c>
      <c r="X3431" s="8">
        <v>1</v>
      </c>
      <c r="Y3431" s="8">
        <v>0</v>
      </c>
      <c r="Z3431" s="254">
        <v>0</v>
      </c>
      <c r="AA3431" s="238">
        <v>5</v>
      </c>
      <c r="AB3431" s="238">
        <v>100</v>
      </c>
      <c r="AC3431" s="8">
        <v>900</v>
      </c>
      <c r="AD3431" s="432">
        <v>0</v>
      </c>
      <c r="AE3431" s="432">
        <v>4</v>
      </c>
      <c r="AF3431" s="432">
        <v>2</v>
      </c>
      <c r="AG3431" s="433"/>
      <c r="AH3431" s="433"/>
      <c r="AI3431" s="433"/>
      <c r="AJ3431" s="433"/>
      <c r="AK3431" s="433"/>
      <c r="AL3431" s="434">
        <v>1</v>
      </c>
      <c r="AM3431" s="440"/>
      <c r="AN3431" s="162"/>
      <c r="AO3431" s="161"/>
      <c r="AP3431" s="434"/>
      <c r="AQ3431" s="238" t="s">
        <v>7666</v>
      </c>
      <c r="AR3431" s="238">
        <v>1</v>
      </c>
      <c r="AS3431">
        <v>1</v>
      </c>
    </row>
    <row r="3432" s="3" customFormat="1" spans="1:45">
      <c r="A3432" s="3">
        <v>619364</v>
      </c>
      <c r="B3432" s="8">
        <v>1001</v>
      </c>
      <c r="C3432" s="236">
        <v>6</v>
      </c>
      <c r="D3432" s="8">
        <v>1001</v>
      </c>
      <c r="E3432" s="236" t="s">
        <v>8446</v>
      </c>
      <c r="F3432" s="236" t="s">
        <v>8446</v>
      </c>
      <c r="G3432" s="236" t="s">
        <v>8447</v>
      </c>
      <c r="H3432" s="236" t="s">
        <v>1431</v>
      </c>
      <c r="I3432" s="236">
        <v>1</v>
      </c>
      <c r="J3432" s="236">
        <v>5</v>
      </c>
      <c r="K3432" s="236">
        <v>2</v>
      </c>
      <c r="L3432" s="236">
        <v>999</v>
      </c>
      <c r="M3432" s="236">
        <v>0</v>
      </c>
      <c r="N3432" s="236">
        <v>1018</v>
      </c>
      <c r="O3432" t="s">
        <v>8448</v>
      </c>
      <c r="P3432" s="236"/>
      <c r="Q3432" s="236"/>
      <c r="R3432" s="236"/>
      <c r="S3432" s="236">
        <v>1</v>
      </c>
      <c r="T3432" s="236">
        <v>5</v>
      </c>
      <c r="U3432" s="236">
        <v>200</v>
      </c>
      <c r="V3432" s="236">
        <v>1</v>
      </c>
      <c r="W3432" s="236">
        <v>1</v>
      </c>
      <c r="X3432" s="236">
        <v>1</v>
      </c>
      <c r="Y3432" s="236">
        <v>0</v>
      </c>
      <c r="Z3432" s="236">
        <v>0</v>
      </c>
      <c r="AA3432" s="236">
        <v>5</v>
      </c>
      <c r="AB3432" s="395">
        <v>1000</v>
      </c>
      <c r="AC3432" s="236">
        <v>56</v>
      </c>
      <c r="AD3432" s="456">
        <v>0</v>
      </c>
      <c r="AE3432" s="456">
        <v>5</v>
      </c>
      <c r="AF3432" s="456">
        <v>2</v>
      </c>
      <c r="AG3432" s="456"/>
      <c r="AH3432" s="456"/>
      <c r="AI3432" s="456"/>
      <c r="AJ3432" s="456"/>
      <c r="AK3432" s="456"/>
      <c r="AL3432" s="236"/>
      <c r="AM3432" s="236"/>
      <c r="AN3432" s="236"/>
      <c r="AO3432" s="236"/>
      <c r="AP3432" s="236"/>
      <c r="AQ3432" s="236"/>
      <c r="AR3432" s="236"/>
      <c r="AS3432" s="3">
        <v>1</v>
      </c>
    </row>
    <row r="3433" spans="1:45">
      <c r="A3433" s="3">
        <v>619368</v>
      </c>
      <c r="B3433" s="8">
        <v>1001</v>
      </c>
      <c r="C3433" s="238">
        <v>6</v>
      </c>
      <c r="D3433" s="8">
        <v>1001</v>
      </c>
      <c r="E3433" s="238" t="s">
        <v>8449</v>
      </c>
      <c r="F3433" s="238" t="s">
        <v>8449</v>
      </c>
      <c r="G3433" s="238" t="s">
        <v>8450</v>
      </c>
      <c r="H3433" s="238" t="s">
        <v>6325</v>
      </c>
      <c r="I3433" s="238">
        <v>1</v>
      </c>
      <c r="J3433" s="238">
        <v>5</v>
      </c>
      <c r="K3433" s="254">
        <v>2</v>
      </c>
      <c r="L3433" s="238">
        <v>999</v>
      </c>
      <c r="M3433" s="238">
        <v>0</v>
      </c>
      <c r="N3433" s="238">
        <v>1035</v>
      </c>
      <c r="O3433" s="258">
        <v>79</v>
      </c>
      <c r="P3433" s="8"/>
      <c r="Q3433" s="8"/>
      <c r="R3433" s="8"/>
      <c r="S3433" s="254">
        <v>1</v>
      </c>
      <c r="T3433" s="238">
        <v>5</v>
      </c>
      <c r="U3433" s="238">
        <v>1</v>
      </c>
      <c r="V3433" s="254">
        <v>1</v>
      </c>
      <c r="W3433" s="238">
        <v>1</v>
      </c>
      <c r="X3433" s="238">
        <v>1</v>
      </c>
      <c r="Y3433" s="238">
        <v>0</v>
      </c>
      <c r="Z3433" s="254">
        <v>0</v>
      </c>
      <c r="AA3433" s="238">
        <v>5</v>
      </c>
      <c r="AB3433" s="238">
        <v>100</v>
      </c>
      <c r="AC3433" s="238">
        <v>70</v>
      </c>
      <c r="AD3433" s="255">
        <v>0</v>
      </c>
      <c r="AE3433" s="255">
        <v>1</v>
      </c>
      <c r="AF3433" s="255">
        <v>1</v>
      </c>
      <c r="AG3433" s="8"/>
      <c r="AH3433" s="8"/>
      <c r="AI3433" s="8"/>
      <c r="AJ3433" s="8"/>
      <c r="AK3433" s="8"/>
      <c r="AL3433" s="8"/>
      <c r="AM3433" s="8"/>
      <c r="AN3433" s="8"/>
      <c r="AO3433" s="8"/>
      <c r="AP3433" s="8"/>
      <c r="AQ3433" s="8"/>
      <c r="AR3433" s="8"/>
      <c r="AS3433">
        <v>1</v>
      </c>
    </row>
    <row r="3434" spans="1:45">
      <c r="A3434">
        <v>619369</v>
      </c>
      <c r="B3434" s="236">
        <v>1001</v>
      </c>
      <c r="C3434" s="236">
        <v>6</v>
      </c>
      <c r="D3434" s="236">
        <v>1001</v>
      </c>
      <c r="E3434" s="236" t="s">
        <v>8451</v>
      </c>
      <c r="F3434" s="236" t="s">
        <v>8451</v>
      </c>
      <c r="G3434" s="236" t="s">
        <v>8452</v>
      </c>
      <c r="H3434" s="236" t="s">
        <v>1431</v>
      </c>
      <c r="I3434" s="236">
        <v>1</v>
      </c>
      <c r="J3434" s="236">
        <v>5</v>
      </c>
      <c r="K3434" s="236">
        <v>2</v>
      </c>
      <c r="L3434" s="236">
        <v>999</v>
      </c>
      <c r="M3434" s="236">
        <v>0</v>
      </c>
      <c r="N3434" s="236">
        <v>1018</v>
      </c>
      <c r="O3434" s="236" t="s">
        <v>8453</v>
      </c>
      <c r="P3434" s="236"/>
      <c r="Q3434" s="236"/>
      <c r="R3434" s="236"/>
      <c r="S3434" s="236">
        <v>1</v>
      </c>
      <c r="T3434" s="236">
        <v>5</v>
      </c>
      <c r="U3434" s="236">
        <v>200</v>
      </c>
      <c r="V3434" s="236">
        <v>1</v>
      </c>
      <c r="W3434" s="236">
        <v>1</v>
      </c>
      <c r="X3434" s="236">
        <v>1</v>
      </c>
      <c r="Y3434" s="236">
        <v>0</v>
      </c>
      <c r="Z3434" s="236">
        <v>0</v>
      </c>
      <c r="AA3434" s="236">
        <v>5</v>
      </c>
      <c r="AB3434" s="395">
        <v>1000</v>
      </c>
      <c r="AC3434" s="236">
        <v>56</v>
      </c>
      <c r="AD3434" s="236">
        <v>0</v>
      </c>
      <c r="AE3434" s="236">
        <v>5</v>
      </c>
      <c r="AF3434" s="236">
        <v>2</v>
      </c>
      <c r="AG3434" s="236"/>
      <c r="AH3434" s="236"/>
      <c r="AI3434" s="236"/>
      <c r="AJ3434" s="236"/>
      <c r="AK3434" s="236"/>
      <c r="AL3434" s="236"/>
      <c r="AM3434" s="236"/>
      <c r="AN3434" s="236"/>
      <c r="AO3434" s="236"/>
      <c r="AP3434" s="236"/>
      <c r="AQ3434" s="236"/>
      <c r="AR3434" s="236"/>
      <c r="AS3434">
        <v>1</v>
      </c>
    </row>
    <row r="3435" spans="1:45">
      <c r="A3435" s="238">
        <v>730001</v>
      </c>
      <c r="B3435" s="238">
        <v>1001</v>
      </c>
      <c r="C3435" s="238">
        <v>2</v>
      </c>
      <c r="D3435" s="238">
        <v>1001</v>
      </c>
      <c r="E3435" s="238" t="s">
        <v>8454</v>
      </c>
      <c r="F3435" s="238" t="s">
        <v>8454</v>
      </c>
      <c r="G3435" s="238" t="s">
        <v>8455</v>
      </c>
      <c r="H3435" s="543" t="s">
        <v>8456</v>
      </c>
      <c r="I3435" s="238">
        <v>1</v>
      </c>
      <c r="J3435" s="238">
        <v>5</v>
      </c>
      <c r="K3435" s="254">
        <v>1</v>
      </c>
      <c r="L3435" s="238">
        <v>999</v>
      </c>
      <c r="M3435" s="238">
        <v>0</v>
      </c>
      <c r="N3435" s="8"/>
      <c r="O3435" s="8"/>
      <c r="P3435" s="8"/>
      <c r="Q3435" s="8"/>
      <c r="R3435" s="8"/>
      <c r="S3435" s="254">
        <v>0</v>
      </c>
      <c r="T3435" s="238">
        <v>5</v>
      </c>
      <c r="U3435" s="238">
        <v>0</v>
      </c>
      <c r="V3435" s="254">
        <v>1</v>
      </c>
      <c r="W3435" s="238">
        <v>1</v>
      </c>
      <c r="X3435" s="238">
        <v>1</v>
      </c>
      <c r="Y3435" s="238">
        <v>0</v>
      </c>
      <c r="Z3435" s="254">
        <v>0</v>
      </c>
      <c r="AA3435" s="238">
        <v>5</v>
      </c>
      <c r="AB3435" s="238">
        <v>0</v>
      </c>
      <c r="AC3435" s="238">
        <v>900</v>
      </c>
      <c r="AD3435" s="159"/>
      <c r="AE3435" s="159"/>
      <c r="AF3435" s="159"/>
      <c r="AG3435" s="159"/>
      <c r="AH3435" s="159"/>
      <c r="AI3435" s="159"/>
      <c r="AJ3435" s="159"/>
      <c r="AK3435" s="159"/>
      <c r="AL3435" s="8"/>
      <c r="AM3435" s="8"/>
      <c r="AN3435" s="8"/>
      <c r="AO3435" s="8"/>
      <c r="AP3435" s="8"/>
      <c r="AQ3435" s="8"/>
      <c r="AR3435" s="8"/>
      <c r="AS3435">
        <v>1</v>
      </c>
    </row>
    <row r="3436" s="3" customFormat="1" spans="1:45">
      <c r="A3436" s="8">
        <v>910001</v>
      </c>
      <c r="B3436" s="8">
        <v>1001</v>
      </c>
      <c r="C3436" s="8">
        <v>1</v>
      </c>
      <c r="D3436" s="8">
        <v>1001</v>
      </c>
      <c r="E3436" s="8" t="s">
        <v>8457</v>
      </c>
      <c r="F3436" s="8" t="s">
        <v>8457</v>
      </c>
      <c r="G3436" s="8" t="s">
        <v>8458</v>
      </c>
      <c r="H3436" s="8" t="s">
        <v>6874</v>
      </c>
      <c r="I3436" s="8">
        <v>1</v>
      </c>
      <c r="J3436" s="8">
        <v>5</v>
      </c>
      <c r="K3436" s="8">
        <v>2</v>
      </c>
      <c r="L3436" s="8">
        <v>999</v>
      </c>
      <c r="M3436" s="8">
        <v>0</v>
      </c>
      <c r="N3436" s="8">
        <v>1048</v>
      </c>
      <c r="O3436" s="8">
        <v>1</v>
      </c>
      <c r="P3436" s="8"/>
      <c r="Q3436" s="8"/>
      <c r="R3436" s="8"/>
      <c r="S3436" s="8">
        <v>0</v>
      </c>
      <c r="T3436" s="8">
        <v>5</v>
      </c>
      <c r="U3436" s="8">
        <v>0</v>
      </c>
      <c r="V3436" s="8">
        <v>1</v>
      </c>
      <c r="W3436" s="8">
        <v>1</v>
      </c>
      <c r="X3436" s="8">
        <v>1</v>
      </c>
      <c r="Y3436" s="8">
        <v>0</v>
      </c>
      <c r="Z3436" s="8">
        <v>0</v>
      </c>
      <c r="AA3436" s="8">
        <v>5</v>
      </c>
      <c r="AB3436" s="8">
        <v>0</v>
      </c>
      <c r="AC3436" s="8">
        <v>0</v>
      </c>
      <c r="AD3436" s="159">
        <v>0</v>
      </c>
      <c r="AE3436" s="159">
        <v>9</v>
      </c>
      <c r="AF3436" s="159">
        <v>0</v>
      </c>
      <c r="AG3436" s="159"/>
      <c r="AH3436" s="159">
        <v>1</v>
      </c>
      <c r="AI3436" s="159"/>
      <c r="AJ3436" s="159"/>
      <c r="AK3436" s="159"/>
      <c r="AL3436" s="8">
        <v>1</v>
      </c>
      <c r="AM3436" s="8"/>
      <c r="AN3436" s="8"/>
      <c r="AO3436" s="8"/>
      <c r="AP3436" s="8"/>
      <c r="AQ3436" s="8"/>
      <c r="AR3436" s="8"/>
      <c r="AS3436" s="3">
        <v>1</v>
      </c>
    </row>
    <row r="3437" s="3" customFormat="1" spans="1:45">
      <c r="A3437" s="8">
        <v>910002</v>
      </c>
      <c r="B3437" s="8">
        <v>1001</v>
      </c>
      <c r="C3437" s="8">
        <v>1</v>
      </c>
      <c r="D3437" s="8">
        <v>1001</v>
      </c>
      <c r="E3437" s="8" t="s">
        <v>8459</v>
      </c>
      <c r="F3437" s="8" t="s">
        <v>8459</v>
      </c>
      <c r="G3437" s="8" t="s">
        <v>8460</v>
      </c>
      <c r="H3437" s="8" t="s">
        <v>6874</v>
      </c>
      <c r="I3437" s="8">
        <v>1</v>
      </c>
      <c r="J3437" s="8">
        <v>5</v>
      </c>
      <c r="K3437" s="8">
        <v>2</v>
      </c>
      <c r="L3437" s="8">
        <v>999</v>
      </c>
      <c r="M3437" s="8">
        <v>0</v>
      </c>
      <c r="N3437" s="8">
        <v>1048</v>
      </c>
      <c r="O3437" s="8">
        <v>2</v>
      </c>
      <c r="P3437" s="8"/>
      <c r="Q3437" s="8"/>
      <c r="R3437" s="8"/>
      <c r="S3437" s="8">
        <v>0</v>
      </c>
      <c r="T3437" s="8">
        <v>5</v>
      </c>
      <c r="U3437" s="8">
        <v>0</v>
      </c>
      <c r="V3437" s="8">
        <v>1</v>
      </c>
      <c r="W3437" s="8">
        <v>1</v>
      </c>
      <c r="X3437" s="8">
        <v>1</v>
      </c>
      <c r="Y3437" s="8">
        <v>0</v>
      </c>
      <c r="Z3437" s="8">
        <v>0</v>
      </c>
      <c r="AA3437" s="8">
        <v>5</v>
      </c>
      <c r="AB3437" s="8">
        <v>0</v>
      </c>
      <c r="AC3437" s="8">
        <v>0</v>
      </c>
      <c r="AD3437" s="159">
        <v>0</v>
      </c>
      <c r="AE3437" s="159">
        <v>9</v>
      </c>
      <c r="AF3437" s="159">
        <v>0</v>
      </c>
      <c r="AG3437" s="159"/>
      <c r="AH3437" s="159">
        <v>1</v>
      </c>
      <c r="AI3437" s="159"/>
      <c r="AJ3437" s="159"/>
      <c r="AK3437" s="159"/>
      <c r="AL3437" s="8">
        <v>1</v>
      </c>
      <c r="AM3437" s="8"/>
      <c r="AN3437" s="8"/>
      <c r="AO3437" s="8"/>
      <c r="AP3437" s="8"/>
      <c r="AQ3437" s="8"/>
      <c r="AR3437" s="8"/>
      <c r="AS3437" s="3">
        <v>1</v>
      </c>
    </row>
    <row r="3438" s="3" customFormat="1" spans="1:45">
      <c r="A3438" s="8">
        <v>910003</v>
      </c>
      <c r="B3438" s="8">
        <v>1001</v>
      </c>
      <c r="C3438" s="8">
        <v>1</v>
      </c>
      <c r="D3438" s="8">
        <v>1001</v>
      </c>
      <c r="E3438" s="8" t="s">
        <v>8461</v>
      </c>
      <c r="F3438" s="8" t="s">
        <v>8461</v>
      </c>
      <c r="G3438" s="8" t="s">
        <v>8462</v>
      </c>
      <c r="H3438" s="8" t="s">
        <v>6874</v>
      </c>
      <c r="I3438" s="8">
        <v>1</v>
      </c>
      <c r="J3438" s="8">
        <v>5</v>
      </c>
      <c r="K3438" s="8">
        <v>2</v>
      </c>
      <c r="L3438" s="8">
        <v>999</v>
      </c>
      <c r="M3438" s="8">
        <v>0</v>
      </c>
      <c r="N3438" s="8">
        <v>1048</v>
      </c>
      <c r="O3438" s="8">
        <v>3</v>
      </c>
      <c r="P3438" s="8"/>
      <c r="Q3438" s="8"/>
      <c r="R3438" s="8"/>
      <c r="S3438" s="8">
        <v>0</v>
      </c>
      <c r="T3438" s="8">
        <v>5</v>
      </c>
      <c r="U3438" s="8">
        <v>0</v>
      </c>
      <c r="V3438" s="8">
        <v>1</v>
      </c>
      <c r="W3438" s="8">
        <v>1</v>
      </c>
      <c r="X3438" s="8">
        <v>1</v>
      </c>
      <c r="Y3438" s="8">
        <v>0</v>
      </c>
      <c r="Z3438" s="8">
        <v>0</v>
      </c>
      <c r="AA3438" s="8">
        <v>5</v>
      </c>
      <c r="AB3438" s="8">
        <v>0</v>
      </c>
      <c r="AC3438" s="8">
        <v>0</v>
      </c>
      <c r="AD3438" s="159">
        <v>0</v>
      </c>
      <c r="AE3438" s="159">
        <v>9</v>
      </c>
      <c r="AF3438" s="159">
        <v>0</v>
      </c>
      <c r="AG3438" s="159"/>
      <c r="AH3438" s="159">
        <v>1</v>
      </c>
      <c r="AI3438" s="159"/>
      <c r="AJ3438" s="159"/>
      <c r="AK3438" s="159"/>
      <c r="AL3438" s="8">
        <v>1</v>
      </c>
      <c r="AM3438" s="8"/>
      <c r="AN3438" s="8"/>
      <c r="AO3438" s="8"/>
      <c r="AP3438" s="8"/>
      <c r="AQ3438" s="8"/>
      <c r="AR3438" s="8"/>
      <c r="AS3438" s="3">
        <v>1</v>
      </c>
    </row>
    <row r="3439" s="3" customFormat="1" spans="1:45">
      <c r="A3439" s="8">
        <v>910004</v>
      </c>
      <c r="B3439" s="8">
        <v>1001</v>
      </c>
      <c r="C3439" s="8">
        <v>1</v>
      </c>
      <c r="D3439" s="8">
        <v>1001</v>
      </c>
      <c r="E3439" s="8" t="s">
        <v>8463</v>
      </c>
      <c r="F3439" s="8" t="s">
        <v>8463</v>
      </c>
      <c r="G3439" s="8" t="s">
        <v>8464</v>
      </c>
      <c r="H3439" s="8" t="s">
        <v>6874</v>
      </c>
      <c r="I3439" s="8">
        <v>1</v>
      </c>
      <c r="J3439" s="8">
        <v>5</v>
      </c>
      <c r="K3439" s="8">
        <v>2</v>
      </c>
      <c r="L3439" s="8">
        <v>999</v>
      </c>
      <c r="M3439" s="8">
        <v>0</v>
      </c>
      <c r="N3439" s="8">
        <v>1048</v>
      </c>
      <c r="O3439" s="8">
        <v>4</v>
      </c>
      <c r="P3439" s="8"/>
      <c r="Q3439" s="8"/>
      <c r="R3439" s="8"/>
      <c r="S3439" s="8">
        <v>0</v>
      </c>
      <c r="T3439" s="8">
        <v>5</v>
      </c>
      <c r="U3439" s="8">
        <v>0</v>
      </c>
      <c r="V3439" s="8">
        <v>1</v>
      </c>
      <c r="W3439" s="8">
        <v>1</v>
      </c>
      <c r="X3439" s="8">
        <v>1</v>
      </c>
      <c r="Y3439" s="8">
        <v>0</v>
      </c>
      <c r="Z3439" s="8">
        <v>0</v>
      </c>
      <c r="AA3439" s="8">
        <v>5</v>
      </c>
      <c r="AB3439" s="8">
        <v>0</v>
      </c>
      <c r="AC3439" s="8">
        <v>0</v>
      </c>
      <c r="AD3439" s="159">
        <v>0</v>
      </c>
      <c r="AE3439" s="159">
        <v>9</v>
      </c>
      <c r="AF3439" s="159">
        <v>0</v>
      </c>
      <c r="AG3439" s="159"/>
      <c r="AH3439" s="159">
        <v>1</v>
      </c>
      <c r="AI3439" s="159"/>
      <c r="AJ3439" s="159"/>
      <c r="AK3439" s="159"/>
      <c r="AL3439" s="8">
        <v>1</v>
      </c>
      <c r="AM3439" s="8"/>
      <c r="AN3439" s="8"/>
      <c r="AO3439" s="8"/>
      <c r="AP3439" s="8"/>
      <c r="AQ3439" s="8"/>
      <c r="AR3439" s="8"/>
      <c r="AS3439" s="3">
        <v>1</v>
      </c>
    </row>
    <row r="3440" s="3" customFormat="1" spans="1:45">
      <c r="A3440" s="236">
        <v>910005</v>
      </c>
      <c r="B3440" s="8">
        <v>1001</v>
      </c>
      <c r="C3440" s="8">
        <v>1</v>
      </c>
      <c r="D3440" s="8">
        <v>1001</v>
      </c>
      <c r="E3440" s="8" t="s">
        <v>8465</v>
      </c>
      <c r="F3440" s="8" t="s">
        <v>8465</v>
      </c>
      <c r="G3440" s="8" t="s">
        <v>8466</v>
      </c>
      <c r="H3440" s="8" t="s">
        <v>6874</v>
      </c>
      <c r="I3440" s="8">
        <v>1</v>
      </c>
      <c r="J3440" s="8">
        <v>5</v>
      </c>
      <c r="K3440" s="8">
        <v>2</v>
      </c>
      <c r="L3440" s="8">
        <v>999</v>
      </c>
      <c r="M3440" s="8">
        <v>0</v>
      </c>
      <c r="N3440" s="8">
        <v>1048</v>
      </c>
      <c r="O3440" s="8">
        <v>5</v>
      </c>
      <c r="P3440" s="8"/>
      <c r="Q3440" s="8"/>
      <c r="R3440" s="8"/>
      <c r="S3440" s="8">
        <v>0</v>
      </c>
      <c r="T3440" s="8">
        <v>5</v>
      </c>
      <c r="U3440" s="8">
        <v>0</v>
      </c>
      <c r="V3440" s="8">
        <v>1</v>
      </c>
      <c r="W3440" s="8">
        <v>1</v>
      </c>
      <c r="X3440" s="8">
        <v>1</v>
      </c>
      <c r="Y3440" s="8">
        <v>0</v>
      </c>
      <c r="Z3440" s="8">
        <v>0</v>
      </c>
      <c r="AA3440" s="8">
        <v>5</v>
      </c>
      <c r="AB3440" s="8">
        <v>0</v>
      </c>
      <c r="AC3440" s="8">
        <v>0</v>
      </c>
      <c r="AD3440" s="159">
        <v>0</v>
      </c>
      <c r="AE3440" s="159">
        <v>9</v>
      </c>
      <c r="AF3440" s="159">
        <v>0</v>
      </c>
      <c r="AG3440" s="159"/>
      <c r="AH3440" s="159">
        <v>1</v>
      </c>
      <c r="AI3440" s="159"/>
      <c r="AJ3440" s="159"/>
      <c r="AK3440" s="159"/>
      <c r="AL3440" s="8">
        <v>1</v>
      </c>
      <c r="AM3440" s="8"/>
      <c r="AN3440" s="8"/>
      <c r="AO3440" s="8"/>
      <c r="AP3440" s="8"/>
      <c r="AQ3440" s="8"/>
      <c r="AR3440" s="8"/>
      <c r="AS3440" s="3">
        <v>1</v>
      </c>
    </row>
    <row r="3441" s="3" customFormat="1" spans="1:45">
      <c r="A3441" s="3">
        <v>910006</v>
      </c>
      <c r="B3441" s="8">
        <v>1001</v>
      </c>
      <c r="C3441" s="8">
        <v>1</v>
      </c>
      <c r="D3441" s="8">
        <v>1001</v>
      </c>
      <c r="E3441" s="8" t="s">
        <v>8467</v>
      </c>
      <c r="F3441" s="8" t="s">
        <v>8467</v>
      </c>
      <c r="G3441" s="8" t="s">
        <v>8468</v>
      </c>
      <c r="H3441" s="8" t="s">
        <v>6874</v>
      </c>
      <c r="I3441" s="8">
        <v>1</v>
      </c>
      <c r="J3441" s="8">
        <v>5</v>
      </c>
      <c r="K3441" s="8">
        <v>2</v>
      </c>
      <c r="L3441" s="8">
        <v>999</v>
      </c>
      <c r="M3441" s="8">
        <v>0</v>
      </c>
      <c r="N3441" s="8">
        <v>1048</v>
      </c>
      <c r="O3441" s="8">
        <v>6</v>
      </c>
      <c r="P3441" s="8"/>
      <c r="Q3441" s="8"/>
      <c r="R3441" s="8"/>
      <c r="S3441" s="8">
        <v>0</v>
      </c>
      <c r="T3441" s="8">
        <v>5</v>
      </c>
      <c r="U3441" s="8">
        <v>0</v>
      </c>
      <c r="V3441" s="8">
        <v>1</v>
      </c>
      <c r="W3441" s="8">
        <v>1</v>
      </c>
      <c r="X3441" s="8">
        <v>1</v>
      </c>
      <c r="Y3441" s="8">
        <v>0</v>
      </c>
      <c r="Z3441" s="8">
        <v>0</v>
      </c>
      <c r="AA3441" s="8">
        <v>5</v>
      </c>
      <c r="AB3441" s="8">
        <v>0</v>
      </c>
      <c r="AC3441" s="8">
        <v>0</v>
      </c>
      <c r="AD3441" s="159">
        <v>0</v>
      </c>
      <c r="AE3441" s="159">
        <v>9</v>
      </c>
      <c r="AF3441" s="159">
        <v>0</v>
      </c>
      <c r="AG3441" s="159"/>
      <c r="AH3441" s="159">
        <v>1</v>
      </c>
      <c r="AI3441" s="159"/>
      <c r="AJ3441" s="159"/>
      <c r="AK3441" s="159"/>
      <c r="AL3441" s="8">
        <v>1</v>
      </c>
      <c r="AM3441" s="8"/>
      <c r="AN3441" s="8"/>
      <c r="AO3441" s="8"/>
      <c r="AP3441" s="8"/>
      <c r="AQ3441" s="8"/>
      <c r="AR3441" s="8"/>
      <c r="AS3441" s="3">
        <v>1</v>
      </c>
    </row>
    <row r="3442" s="3" customFormat="1" spans="1:45">
      <c r="A3442" s="3">
        <v>910007</v>
      </c>
      <c r="B3442" s="8">
        <v>1001</v>
      </c>
      <c r="C3442" s="8">
        <v>1</v>
      </c>
      <c r="D3442" s="8">
        <v>1001</v>
      </c>
      <c r="E3442" s="8" t="s">
        <v>8469</v>
      </c>
      <c r="F3442" s="8" t="s">
        <v>8469</v>
      </c>
      <c r="G3442" s="8" t="s">
        <v>8470</v>
      </c>
      <c r="H3442" s="8" t="s">
        <v>6874</v>
      </c>
      <c r="I3442" s="8">
        <v>1</v>
      </c>
      <c r="J3442" s="8">
        <v>5</v>
      </c>
      <c r="K3442" s="8">
        <v>2</v>
      </c>
      <c r="L3442" s="8">
        <v>999</v>
      </c>
      <c r="M3442" s="8">
        <v>0</v>
      </c>
      <c r="N3442" s="8">
        <v>1048</v>
      </c>
      <c r="O3442" s="8">
        <v>7</v>
      </c>
      <c r="P3442" s="8"/>
      <c r="Q3442" s="8"/>
      <c r="R3442" s="8"/>
      <c r="S3442" s="8">
        <v>0</v>
      </c>
      <c r="T3442" s="8">
        <v>5</v>
      </c>
      <c r="U3442" s="8">
        <v>0</v>
      </c>
      <c r="V3442" s="8">
        <v>1</v>
      </c>
      <c r="W3442" s="8">
        <v>1</v>
      </c>
      <c r="X3442" s="8">
        <v>1</v>
      </c>
      <c r="Y3442" s="8">
        <v>0</v>
      </c>
      <c r="Z3442" s="8">
        <v>0</v>
      </c>
      <c r="AA3442" s="8">
        <v>5</v>
      </c>
      <c r="AB3442" s="8">
        <v>0</v>
      </c>
      <c r="AC3442" s="8">
        <v>0</v>
      </c>
      <c r="AD3442" s="159">
        <v>0</v>
      </c>
      <c r="AE3442" s="159">
        <v>9</v>
      </c>
      <c r="AF3442" s="159">
        <v>0</v>
      </c>
      <c r="AG3442" s="159"/>
      <c r="AH3442" s="159">
        <v>1</v>
      </c>
      <c r="AI3442" s="159"/>
      <c r="AJ3442" s="159"/>
      <c r="AK3442" s="159"/>
      <c r="AL3442" s="8">
        <v>1</v>
      </c>
      <c r="AM3442" s="8"/>
      <c r="AN3442" s="8"/>
      <c r="AO3442" s="8"/>
      <c r="AP3442" s="8"/>
      <c r="AQ3442" s="8"/>
      <c r="AR3442" s="8"/>
      <c r="AS3442" s="3">
        <v>1</v>
      </c>
    </row>
    <row r="3443" s="3" customFormat="1" spans="1:45">
      <c r="A3443" s="3">
        <v>910008</v>
      </c>
      <c r="B3443" s="236">
        <v>1001</v>
      </c>
      <c r="C3443" s="236">
        <v>1</v>
      </c>
      <c r="D3443" s="236">
        <v>1001</v>
      </c>
      <c r="E3443" s="236" t="s">
        <v>8471</v>
      </c>
      <c r="F3443" s="236" t="s">
        <v>8471</v>
      </c>
      <c r="G3443" s="236" t="s">
        <v>8472</v>
      </c>
      <c r="H3443" s="8" t="s">
        <v>6874</v>
      </c>
      <c r="I3443" s="236">
        <v>1</v>
      </c>
      <c r="J3443" s="236">
        <v>5</v>
      </c>
      <c r="K3443" s="236">
        <v>2</v>
      </c>
      <c r="L3443" s="8">
        <v>999</v>
      </c>
      <c r="M3443" s="8">
        <v>0</v>
      </c>
      <c r="N3443" s="236">
        <v>1048</v>
      </c>
      <c r="O3443" s="236">
        <v>8</v>
      </c>
      <c r="P3443" s="236"/>
      <c r="Q3443" s="236"/>
      <c r="R3443" s="236"/>
      <c r="S3443" s="236">
        <v>0</v>
      </c>
      <c r="T3443" s="236">
        <v>5</v>
      </c>
      <c r="U3443" s="236">
        <v>0</v>
      </c>
      <c r="V3443" s="8">
        <v>1</v>
      </c>
      <c r="W3443" s="236">
        <v>1</v>
      </c>
      <c r="X3443" s="236">
        <v>1</v>
      </c>
      <c r="Y3443" s="236">
        <v>0</v>
      </c>
      <c r="Z3443" s="236">
        <v>0</v>
      </c>
      <c r="AA3443" s="236">
        <v>5</v>
      </c>
      <c r="AB3443" s="236">
        <v>0</v>
      </c>
      <c r="AC3443" s="236">
        <v>0</v>
      </c>
      <c r="AD3443" s="456">
        <v>0</v>
      </c>
      <c r="AE3443" s="456">
        <v>9</v>
      </c>
      <c r="AF3443" s="456">
        <v>0</v>
      </c>
      <c r="AG3443" s="456"/>
      <c r="AH3443" s="456">
        <v>1</v>
      </c>
      <c r="AI3443" s="456"/>
      <c r="AJ3443" s="456"/>
      <c r="AK3443" s="456"/>
      <c r="AL3443" s="236">
        <v>1</v>
      </c>
      <c r="AM3443" s="236"/>
      <c r="AN3443" s="236"/>
      <c r="AO3443" s="236"/>
      <c r="AP3443" s="236"/>
      <c r="AQ3443" s="236"/>
      <c r="AR3443" s="236"/>
      <c r="AS3443" s="3">
        <v>1</v>
      </c>
    </row>
    <row r="3444" spans="1:45">
      <c r="A3444">
        <v>1200001</v>
      </c>
      <c r="B3444" s="238">
        <v>1001</v>
      </c>
      <c r="C3444">
        <v>2</v>
      </c>
      <c r="D3444" s="238">
        <v>1001</v>
      </c>
      <c r="E3444" t="s">
        <v>8473</v>
      </c>
      <c r="F3444" t="s">
        <v>8473</v>
      </c>
      <c r="G3444" t="s">
        <v>8474</v>
      </c>
      <c r="H3444" s="236" t="s">
        <v>8475</v>
      </c>
      <c r="I3444">
        <v>1</v>
      </c>
      <c r="J3444">
        <v>5</v>
      </c>
      <c r="K3444" s="33">
        <v>1</v>
      </c>
      <c r="L3444" s="236">
        <v>999</v>
      </c>
      <c r="M3444" s="236">
        <v>0</v>
      </c>
      <c r="O3444" s="249"/>
      <c r="Q3444" s="8"/>
      <c r="S3444" s="33">
        <v>1</v>
      </c>
      <c r="T3444">
        <v>5</v>
      </c>
      <c r="U3444">
        <v>5</v>
      </c>
      <c r="V3444" s="248">
        <v>1</v>
      </c>
      <c r="W3444">
        <v>1</v>
      </c>
      <c r="X3444" s="238">
        <v>1</v>
      </c>
      <c r="Y3444">
        <v>0</v>
      </c>
      <c r="Z3444" s="33">
        <v>0</v>
      </c>
      <c r="AA3444">
        <v>5</v>
      </c>
      <c r="AB3444">
        <v>500</v>
      </c>
      <c r="AC3444">
        <v>888</v>
      </c>
      <c r="AL3444" s="64">
        <v>1</v>
      </c>
      <c r="AQ3444" t="s">
        <v>8473</v>
      </c>
      <c r="AS3444">
        <v>1</v>
      </c>
    </row>
    <row r="3445" spans="1:45">
      <c r="A3445">
        <v>920001</v>
      </c>
      <c r="B3445" s="8">
        <v>1001</v>
      </c>
      <c r="C3445" s="238">
        <v>1</v>
      </c>
      <c r="D3445" s="8">
        <v>1001</v>
      </c>
      <c r="E3445" t="s">
        <v>8476</v>
      </c>
      <c r="F3445" t="s">
        <v>8476</v>
      </c>
      <c r="G3445" t="s">
        <v>8477</v>
      </c>
      <c r="H3445" s="34" t="s">
        <v>8478</v>
      </c>
      <c r="I3445">
        <v>1</v>
      </c>
      <c r="J3445">
        <v>5</v>
      </c>
      <c r="K3445" s="33">
        <v>1</v>
      </c>
      <c r="L3445">
        <v>999</v>
      </c>
      <c r="M3445">
        <v>0</v>
      </c>
      <c r="N3445" s="8"/>
      <c r="O3445" s="249"/>
      <c r="Q3445" s="236"/>
      <c r="S3445" s="254">
        <v>0</v>
      </c>
      <c r="T3445" s="238">
        <v>5</v>
      </c>
      <c r="U3445" s="238">
        <v>0</v>
      </c>
      <c r="V3445" s="254">
        <v>1</v>
      </c>
      <c r="W3445" s="238">
        <v>1</v>
      </c>
      <c r="X3445" s="8">
        <v>1</v>
      </c>
      <c r="Y3445">
        <v>0</v>
      </c>
      <c r="Z3445" s="33">
        <v>0</v>
      </c>
      <c r="AA3445">
        <v>5</v>
      </c>
      <c r="AB3445">
        <v>1000</v>
      </c>
      <c r="AC3445" s="238">
        <v>56</v>
      </c>
      <c r="AD3445" s="62">
        <v>0</v>
      </c>
      <c r="AE3445" s="90"/>
      <c r="AF3445" s="90"/>
      <c r="AG3445" s="91"/>
      <c r="AH3445" s="91"/>
      <c r="AI3445" s="91"/>
      <c r="AJ3445" s="91"/>
      <c r="AK3445" s="91"/>
      <c r="AL3445" s="92"/>
      <c r="AM3445" s="92"/>
      <c r="AN3445" s="93"/>
      <c r="AO3445" s="92"/>
      <c r="AS3445">
        <v>1</v>
      </c>
    </row>
    <row r="3446" spans="1:45">
      <c r="A3446">
        <v>930001</v>
      </c>
      <c r="B3446" s="8">
        <v>1001</v>
      </c>
      <c r="C3446" s="8">
        <v>2</v>
      </c>
      <c r="D3446" s="8">
        <v>1004</v>
      </c>
      <c r="E3446" t="s">
        <v>8479</v>
      </c>
      <c r="F3446" t="s">
        <v>8479</v>
      </c>
      <c r="G3446" t="s">
        <v>8480</v>
      </c>
      <c r="H3446" t="s">
        <v>1364</v>
      </c>
      <c r="I3446">
        <v>1</v>
      </c>
      <c r="J3446">
        <v>5</v>
      </c>
      <c r="K3446" s="33">
        <v>1</v>
      </c>
      <c r="L3446">
        <v>9999</v>
      </c>
      <c r="M3446">
        <v>0</v>
      </c>
      <c r="N3446" s="8"/>
      <c r="S3446" s="89">
        <v>1</v>
      </c>
      <c r="T3446" s="8">
        <v>5</v>
      </c>
      <c r="U3446" s="89">
        <v>10</v>
      </c>
      <c r="V3446" s="87">
        <v>1</v>
      </c>
      <c r="W3446" s="8">
        <v>1</v>
      </c>
      <c r="X3446" s="8">
        <v>1</v>
      </c>
      <c r="Y3446">
        <v>0</v>
      </c>
      <c r="Z3446" s="33">
        <v>0</v>
      </c>
      <c r="AA3446">
        <v>5</v>
      </c>
      <c r="AB3446">
        <v>100</v>
      </c>
      <c r="AC3446" s="87">
        <v>0</v>
      </c>
      <c r="AD3446" s="62">
        <v>0</v>
      </c>
      <c r="AE3446" s="90">
        <v>0</v>
      </c>
      <c r="AF3446" s="90">
        <v>0</v>
      </c>
      <c r="AG3446" s="91"/>
      <c r="AH3446" s="91"/>
      <c r="AI3446" s="91"/>
      <c r="AJ3446" s="91"/>
      <c r="AK3446" s="91"/>
      <c r="AL3446" s="92"/>
      <c r="AM3446" s="92"/>
      <c r="AN3446" s="93"/>
      <c r="AO3446" s="92"/>
      <c r="AS3446">
        <v>1</v>
      </c>
    </row>
    <row r="3447" spans="1:45">
      <c r="A3447">
        <v>930002</v>
      </c>
      <c r="B3447" s="8">
        <v>1001</v>
      </c>
      <c r="C3447" s="8">
        <v>2</v>
      </c>
      <c r="D3447" s="8">
        <v>1004</v>
      </c>
      <c r="E3447" t="s">
        <v>8481</v>
      </c>
      <c r="F3447" t="s">
        <v>8481</v>
      </c>
      <c r="G3447" t="s">
        <v>8482</v>
      </c>
      <c r="H3447" t="s">
        <v>1364</v>
      </c>
      <c r="I3447">
        <v>1</v>
      </c>
      <c r="J3447">
        <v>5</v>
      </c>
      <c r="K3447" s="33">
        <v>1</v>
      </c>
      <c r="L3447">
        <v>9999</v>
      </c>
      <c r="M3447">
        <v>0</v>
      </c>
      <c r="N3447" s="8"/>
      <c r="S3447" s="89">
        <v>1</v>
      </c>
      <c r="T3447" s="8">
        <v>5</v>
      </c>
      <c r="U3447" s="89">
        <v>10</v>
      </c>
      <c r="V3447" s="87">
        <v>1</v>
      </c>
      <c r="W3447" s="8">
        <v>1</v>
      </c>
      <c r="X3447" s="8">
        <v>1</v>
      </c>
      <c r="Y3447">
        <v>0</v>
      </c>
      <c r="Z3447" s="33">
        <v>0</v>
      </c>
      <c r="AA3447">
        <v>5</v>
      </c>
      <c r="AB3447">
        <v>100</v>
      </c>
      <c r="AC3447" s="87">
        <v>0</v>
      </c>
      <c r="AD3447" s="62">
        <v>0</v>
      </c>
      <c r="AE3447" s="90">
        <v>0</v>
      </c>
      <c r="AF3447" s="90">
        <v>0</v>
      </c>
      <c r="AG3447" s="91"/>
      <c r="AH3447" s="91"/>
      <c r="AI3447" s="91"/>
      <c r="AJ3447" s="91"/>
      <c r="AK3447" s="91"/>
      <c r="AL3447" s="92"/>
      <c r="AM3447" s="92"/>
      <c r="AN3447" s="93"/>
      <c r="AO3447" s="92"/>
      <c r="AS3447">
        <v>1</v>
      </c>
    </row>
    <row r="3448" spans="1:45">
      <c r="A3448">
        <v>930003</v>
      </c>
      <c r="B3448" s="8">
        <v>1001</v>
      </c>
      <c r="C3448" s="8">
        <v>2</v>
      </c>
      <c r="D3448" s="8">
        <v>1004</v>
      </c>
      <c r="E3448" t="s">
        <v>8483</v>
      </c>
      <c r="F3448" t="s">
        <v>8483</v>
      </c>
      <c r="G3448" t="s">
        <v>8484</v>
      </c>
      <c r="H3448" t="s">
        <v>5066</v>
      </c>
      <c r="I3448">
        <v>1</v>
      </c>
      <c r="J3448">
        <v>5</v>
      </c>
      <c r="K3448" s="33">
        <v>1</v>
      </c>
      <c r="L3448">
        <v>9999</v>
      </c>
      <c r="M3448">
        <v>0</v>
      </c>
      <c r="N3448" s="8"/>
      <c r="S3448" s="89">
        <v>1</v>
      </c>
      <c r="T3448" s="8">
        <v>5</v>
      </c>
      <c r="U3448" s="89">
        <v>10</v>
      </c>
      <c r="V3448" s="87">
        <v>1</v>
      </c>
      <c r="W3448" s="8">
        <v>1</v>
      </c>
      <c r="X3448" s="8">
        <v>1</v>
      </c>
      <c r="Y3448">
        <v>0</v>
      </c>
      <c r="Z3448" s="33">
        <v>0</v>
      </c>
      <c r="AA3448">
        <v>5</v>
      </c>
      <c r="AB3448">
        <v>100</v>
      </c>
      <c r="AC3448" s="87">
        <v>0</v>
      </c>
      <c r="AD3448" s="62">
        <v>0</v>
      </c>
      <c r="AE3448" s="90">
        <v>0</v>
      </c>
      <c r="AF3448" s="90">
        <v>0</v>
      </c>
      <c r="AG3448" s="91"/>
      <c r="AH3448" s="91"/>
      <c r="AI3448" s="91"/>
      <c r="AJ3448" s="91"/>
      <c r="AK3448" s="91"/>
      <c r="AL3448" s="92"/>
      <c r="AM3448" s="92"/>
      <c r="AN3448" s="93"/>
      <c r="AO3448" s="92"/>
      <c r="AS3448">
        <v>1</v>
      </c>
    </row>
    <row r="3449" spans="1:45">
      <c r="A3449">
        <v>930004</v>
      </c>
      <c r="B3449" s="8">
        <v>1001</v>
      </c>
      <c r="C3449" s="8">
        <v>2</v>
      </c>
      <c r="D3449" s="8">
        <v>1004</v>
      </c>
      <c r="E3449" t="s">
        <v>8485</v>
      </c>
      <c r="F3449" t="s">
        <v>8485</v>
      </c>
      <c r="G3449" t="s">
        <v>8486</v>
      </c>
      <c r="H3449" t="s">
        <v>1364</v>
      </c>
      <c r="I3449">
        <v>1</v>
      </c>
      <c r="J3449">
        <v>5</v>
      </c>
      <c r="K3449" s="33">
        <v>1</v>
      </c>
      <c r="L3449">
        <v>9999</v>
      </c>
      <c r="M3449">
        <v>0</v>
      </c>
      <c r="N3449" s="8"/>
      <c r="S3449" s="89">
        <v>1</v>
      </c>
      <c r="T3449" s="8">
        <v>5</v>
      </c>
      <c r="U3449" s="89">
        <v>10</v>
      </c>
      <c r="V3449" s="87">
        <v>1</v>
      </c>
      <c r="W3449" s="8">
        <v>1</v>
      </c>
      <c r="X3449" s="8">
        <v>1</v>
      </c>
      <c r="Y3449">
        <v>0</v>
      </c>
      <c r="Z3449" s="33">
        <v>0</v>
      </c>
      <c r="AA3449">
        <v>5</v>
      </c>
      <c r="AB3449">
        <v>100</v>
      </c>
      <c r="AC3449" s="87">
        <v>0</v>
      </c>
      <c r="AD3449" s="62">
        <v>0</v>
      </c>
      <c r="AE3449" s="90">
        <v>0</v>
      </c>
      <c r="AF3449" s="90">
        <v>0</v>
      </c>
      <c r="AG3449" s="91"/>
      <c r="AH3449" s="91"/>
      <c r="AI3449" s="91"/>
      <c r="AJ3449" s="91"/>
      <c r="AK3449" s="91"/>
      <c r="AL3449" s="92"/>
      <c r="AM3449" s="92"/>
      <c r="AN3449" s="93"/>
      <c r="AO3449" s="92"/>
      <c r="AS3449">
        <v>1</v>
      </c>
    </row>
    <row r="3450" spans="1:45">
      <c r="A3450">
        <v>930005</v>
      </c>
      <c r="B3450" s="8">
        <v>1001</v>
      </c>
      <c r="C3450" s="8">
        <v>2</v>
      </c>
      <c r="D3450" s="8">
        <v>1004</v>
      </c>
      <c r="E3450" t="s">
        <v>8487</v>
      </c>
      <c r="F3450" t="s">
        <v>8487</v>
      </c>
      <c r="G3450" t="s">
        <v>8488</v>
      </c>
      <c r="H3450" t="s">
        <v>5153</v>
      </c>
      <c r="I3450">
        <v>1</v>
      </c>
      <c r="J3450">
        <v>5</v>
      </c>
      <c r="K3450" s="33">
        <v>1</v>
      </c>
      <c r="L3450">
        <v>9999</v>
      </c>
      <c r="M3450">
        <v>0</v>
      </c>
      <c r="N3450" s="8"/>
      <c r="S3450" s="89">
        <v>1</v>
      </c>
      <c r="T3450" s="8">
        <v>5</v>
      </c>
      <c r="U3450" s="89">
        <v>10</v>
      </c>
      <c r="V3450" s="87">
        <v>1</v>
      </c>
      <c r="W3450" s="8">
        <v>1</v>
      </c>
      <c r="X3450" s="8">
        <v>1</v>
      </c>
      <c r="Y3450">
        <v>0</v>
      </c>
      <c r="Z3450" s="33">
        <v>0</v>
      </c>
      <c r="AA3450">
        <v>5</v>
      </c>
      <c r="AB3450">
        <v>100</v>
      </c>
      <c r="AC3450" s="87">
        <v>0</v>
      </c>
      <c r="AD3450" s="62">
        <v>0</v>
      </c>
      <c r="AE3450" s="90">
        <v>0</v>
      </c>
      <c r="AF3450" s="90">
        <v>0</v>
      </c>
      <c r="AG3450" s="91"/>
      <c r="AH3450" s="91"/>
      <c r="AI3450" s="91"/>
      <c r="AJ3450" s="91"/>
      <c r="AK3450" s="91"/>
      <c r="AL3450" s="92"/>
      <c r="AM3450" s="92"/>
      <c r="AN3450" s="93"/>
      <c r="AO3450" s="92"/>
      <c r="AS3450">
        <v>1</v>
      </c>
    </row>
    <row r="3451" spans="1:45">
      <c r="A3451">
        <v>930006</v>
      </c>
      <c r="B3451" s="8">
        <v>1001</v>
      </c>
      <c r="C3451" s="8">
        <v>2</v>
      </c>
      <c r="D3451" s="8">
        <v>1004</v>
      </c>
      <c r="E3451" t="s">
        <v>8489</v>
      </c>
      <c r="F3451" t="s">
        <v>8489</v>
      </c>
      <c r="G3451" t="s">
        <v>8490</v>
      </c>
      <c r="H3451" t="s">
        <v>5308</v>
      </c>
      <c r="I3451">
        <v>1</v>
      </c>
      <c r="J3451">
        <v>5</v>
      </c>
      <c r="K3451" s="33">
        <v>1</v>
      </c>
      <c r="L3451">
        <v>9999</v>
      </c>
      <c r="M3451">
        <v>0</v>
      </c>
      <c r="N3451" s="8"/>
      <c r="S3451" s="89">
        <v>1</v>
      </c>
      <c r="T3451" s="8">
        <v>5</v>
      </c>
      <c r="U3451" s="89">
        <v>10</v>
      </c>
      <c r="V3451" s="87">
        <v>1</v>
      </c>
      <c r="W3451" s="8">
        <v>1</v>
      </c>
      <c r="X3451" s="8">
        <v>1</v>
      </c>
      <c r="Y3451">
        <v>0</v>
      </c>
      <c r="Z3451" s="33">
        <v>0</v>
      </c>
      <c r="AA3451">
        <v>5</v>
      </c>
      <c r="AB3451">
        <v>100</v>
      </c>
      <c r="AC3451" s="87">
        <v>0</v>
      </c>
      <c r="AD3451" s="62">
        <v>0</v>
      </c>
      <c r="AE3451" s="90">
        <v>0</v>
      </c>
      <c r="AF3451" s="90">
        <v>0</v>
      </c>
      <c r="AG3451" s="91"/>
      <c r="AH3451" s="91"/>
      <c r="AI3451" s="91"/>
      <c r="AJ3451" s="91"/>
      <c r="AK3451" s="91"/>
      <c r="AL3451" s="92"/>
      <c r="AM3451" s="92"/>
      <c r="AN3451" s="93"/>
      <c r="AO3451" s="92"/>
      <c r="AS3451">
        <v>1</v>
      </c>
    </row>
    <row r="3452" spans="1:45">
      <c r="A3452">
        <v>930007</v>
      </c>
      <c r="B3452" s="8">
        <v>1001</v>
      </c>
      <c r="C3452" s="236">
        <v>2</v>
      </c>
      <c r="D3452" s="8">
        <v>1004</v>
      </c>
      <c r="E3452" t="s">
        <v>8491</v>
      </c>
      <c r="F3452" t="s">
        <v>8491</v>
      </c>
      <c r="G3452" t="s">
        <v>8492</v>
      </c>
      <c r="H3452" t="s">
        <v>5249</v>
      </c>
      <c r="I3452">
        <v>1</v>
      </c>
      <c r="J3452">
        <v>5</v>
      </c>
      <c r="K3452" s="33">
        <v>1</v>
      </c>
      <c r="L3452">
        <v>9999</v>
      </c>
      <c r="M3452">
        <v>0</v>
      </c>
      <c r="N3452" s="236"/>
      <c r="O3452" s="8"/>
      <c r="S3452" s="336">
        <v>1</v>
      </c>
      <c r="T3452" s="236">
        <v>5</v>
      </c>
      <c r="U3452" s="336">
        <v>10</v>
      </c>
      <c r="V3452" s="248">
        <v>1</v>
      </c>
      <c r="W3452" s="236">
        <v>1</v>
      </c>
      <c r="X3452" s="236">
        <v>1</v>
      </c>
      <c r="Y3452">
        <v>0</v>
      </c>
      <c r="Z3452" s="33">
        <v>0</v>
      </c>
      <c r="AA3452">
        <v>5</v>
      </c>
      <c r="AB3452">
        <v>100</v>
      </c>
      <c r="AC3452" s="248">
        <v>0</v>
      </c>
      <c r="AD3452" s="62">
        <v>0</v>
      </c>
      <c r="AE3452" s="250">
        <v>0</v>
      </c>
      <c r="AF3452" s="250">
        <v>0</v>
      </c>
      <c r="AG3452" s="251"/>
      <c r="AH3452" s="251"/>
      <c r="AI3452" s="251"/>
      <c r="AJ3452" s="251"/>
      <c r="AK3452" s="251"/>
      <c r="AL3452" s="252"/>
      <c r="AM3452" s="252"/>
      <c r="AN3452" s="338"/>
      <c r="AO3452" s="252"/>
      <c r="AS3452">
        <v>1</v>
      </c>
    </row>
    <row r="3453" spans="1:45">
      <c r="A3453">
        <v>931008</v>
      </c>
      <c r="B3453" s="8">
        <v>1001</v>
      </c>
      <c r="C3453">
        <v>6</v>
      </c>
      <c r="D3453" s="8">
        <v>1001</v>
      </c>
      <c r="E3453" t="s">
        <v>8493</v>
      </c>
      <c r="F3453" t="s">
        <v>8493</v>
      </c>
      <c r="G3453" t="s">
        <v>8494</v>
      </c>
      <c r="H3453" t="s">
        <v>6325</v>
      </c>
      <c r="I3453">
        <v>1</v>
      </c>
      <c r="J3453">
        <v>5</v>
      </c>
      <c r="K3453" s="33">
        <v>2</v>
      </c>
      <c r="L3453">
        <v>999</v>
      </c>
      <c r="M3453">
        <v>0</v>
      </c>
      <c r="N3453">
        <v>1035</v>
      </c>
      <c r="O3453" s="8">
        <v>83</v>
      </c>
      <c r="S3453" s="33">
        <v>1</v>
      </c>
      <c r="T3453">
        <v>5</v>
      </c>
      <c r="U3453">
        <v>1</v>
      </c>
      <c r="V3453" s="33">
        <v>1</v>
      </c>
      <c r="W3453">
        <v>1</v>
      </c>
      <c r="X3453">
        <v>1</v>
      </c>
      <c r="Y3453">
        <v>0</v>
      </c>
      <c r="Z3453" s="33">
        <v>0</v>
      </c>
      <c r="AA3453">
        <v>5</v>
      </c>
      <c r="AB3453">
        <v>100</v>
      </c>
      <c r="AC3453">
        <v>70</v>
      </c>
      <c r="AD3453" s="62">
        <v>0</v>
      </c>
      <c r="AE3453" s="62">
        <v>1</v>
      </c>
      <c r="AF3453" s="62">
        <v>1</v>
      </c>
      <c r="AS3453">
        <v>1</v>
      </c>
    </row>
    <row r="3454" spans="1:45">
      <c r="A3454">
        <v>931009</v>
      </c>
      <c r="B3454" s="8">
        <v>1001</v>
      </c>
      <c r="C3454">
        <v>6</v>
      </c>
      <c r="D3454" s="8">
        <v>1001</v>
      </c>
      <c r="E3454" t="s">
        <v>8495</v>
      </c>
      <c r="F3454" t="s">
        <v>8495</v>
      </c>
      <c r="G3454" t="s">
        <v>8496</v>
      </c>
      <c r="H3454" t="s">
        <v>6325</v>
      </c>
      <c r="I3454">
        <v>1</v>
      </c>
      <c r="J3454">
        <v>5</v>
      </c>
      <c r="K3454" s="33">
        <v>2</v>
      </c>
      <c r="L3454">
        <v>999</v>
      </c>
      <c r="M3454">
        <v>0</v>
      </c>
      <c r="N3454">
        <v>1035</v>
      </c>
      <c r="O3454" s="8">
        <v>84</v>
      </c>
      <c r="S3454" s="33">
        <v>1</v>
      </c>
      <c r="T3454">
        <v>5</v>
      </c>
      <c r="U3454">
        <v>1</v>
      </c>
      <c r="V3454" s="33">
        <v>1</v>
      </c>
      <c r="W3454">
        <v>1</v>
      </c>
      <c r="X3454">
        <v>1</v>
      </c>
      <c r="Y3454">
        <v>0</v>
      </c>
      <c r="Z3454" s="33">
        <v>0</v>
      </c>
      <c r="AA3454">
        <v>5</v>
      </c>
      <c r="AB3454">
        <v>100</v>
      </c>
      <c r="AC3454">
        <v>70</v>
      </c>
      <c r="AD3454" s="62">
        <v>0</v>
      </c>
      <c r="AE3454" s="62">
        <v>1</v>
      </c>
      <c r="AF3454" s="62">
        <v>1</v>
      </c>
      <c r="AS3454">
        <v>1</v>
      </c>
    </row>
    <row r="3455" spans="1:45">
      <c r="A3455">
        <v>931010</v>
      </c>
      <c r="B3455" s="8">
        <v>1001</v>
      </c>
      <c r="C3455">
        <v>6</v>
      </c>
      <c r="D3455" s="8">
        <v>1001</v>
      </c>
      <c r="E3455" t="s">
        <v>8497</v>
      </c>
      <c r="F3455" t="s">
        <v>8497</v>
      </c>
      <c r="G3455" t="s">
        <v>8498</v>
      </c>
      <c r="H3455" t="s">
        <v>6325</v>
      </c>
      <c r="I3455">
        <v>1</v>
      </c>
      <c r="J3455">
        <v>5</v>
      </c>
      <c r="K3455" s="33">
        <v>2</v>
      </c>
      <c r="L3455">
        <v>999</v>
      </c>
      <c r="M3455">
        <v>0</v>
      </c>
      <c r="N3455">
        <v>1035</v>
      </c>
      <c r="O3455" s="8">
        <v>85</v>
      </c>
      <c r="S3455" s="33">
        <v>1</v>
      </c>
      <c r="T3455">
        <v>5</v>
      </c>
      <c r="U3455">
        <v>1</v>
      </c>
      <c r="V3455" s="33">
        <v>1</v>
      </c>
      <c r="W3455">
        <v>1</v>
      </c>
      <c r="X3455">
        <v>1</v>
      </c>
      <c r="Y3455">
        <v>0</v>
      </c>
      <c r="Z3455" s="33">
        <v>0</v>
      </c>
      <c r="AA3455">
        <v>5</v>
      </c>
      <c r="AB3455">
        <v>100</v>
      </c>
      <c r="AC3455">
        <v>70</v>
      </c>
      <c r="AD3455" s="62">
        <v>0</v>
      </c>
      <c r="AE3455" s="62">
        <v>1</v>
      </c>
      <c r="AF3455" s="62">
        <v>1</v>
      </c>
      <c r="AS3455">
        <v>1</v>
      </c>
    </row>
    <row r="3456" spans="1:45">
      <c r="A3456">
        <v>931011</v>
      </c>
      <c r="B3456" s="8">
        <v>1001</v>
      </c>
      <c r="C3456">
        <v>6</v>
      </c>
      <c r="D3456" s="8">
        <v>1001</v>
      </c>
      <c r="E3456" t="s">
        <v>8499</v>
      </c>
      <c r="F3456" t="s">
        <v>8499</v>
      </c>
      <c r="G3456" t="s">
        <v>8500</v>
      </c>
      <c r="H3456" t="s">
        <v>6325</v>
      </c>
      <c r="I3456">
        <v>1</v>
      </c>
      <c r="J3456">
        <v>5</v>
      </c>
      <c r="K3456" s="33">
        <v>2</v>
      </c>
      <c r="L3456">
        <v>999</v>
      </c>
      <c r="M3456">
        <v>0</v>
      </c>
      <c r="N3456">
        <v>1035</v>
      </c>
      <c r="O3456" s="8">
        <v>86</v>
      </c>
      <c r="S3456" s="33">
        <v>1</v>
      </c>
      <c r="T3456">
        <v>5</v>
      </c>
      <c r="U3456">
        <v>1</v>
      </c>
      <c r="V3456" s="33">
        <v>1</v>
      </c>
      <c r="W3456">
        <v>1</v>
      </c>
      <c r="X3456">
        <v>1</v>
      </c>
      <c r="Y3456">
        <v>0</v>
      </c>
      <c r="Z3456" s="33">
        <v>0</v>
      </c>
      <c r="AA3456">
        <v>5</v>
      </c>
      <c r="AB3456">
        <v>100</v>
      </c>
      <c r="AC3456">
        <v>70</v>
      </c>
      <c r="AD3456" s="62">
        <v>0</v>
      </c>
      <c r="AE3456" s="62">
        <v>1</v>
      </c>
      <c r="AF3456" s="62">
        <v>1</v>
      </c>
      <c r="AS3456">
        <v>1</v>
      </c>
    </row>
    <row r="3457" spans="1:45">
      <c r="A3457">
        <v>931012</v>
      </c>
      <c r="B3457" s="8">
        <v>1001</v>
      </c>
      <c r="C3457">
        <v>6</v>
      </c>
      <c r="D3457" s="8">
        <v>1001</v>
      </c>
      <c r="E3457" t="s">
        <v>8501</v>
      </c>
      <c r="F3457" t="s">
        <v>8501</v>
      </c>
      <c r="G3457" t="s">
        <v>8502</v>
      </c>
      <c r="H3457" t="s">
        <v>6325</v>
      </c>
      <c r="I3457">
        <v>1</v>
      </c>
      <c r="J3457">
        <v>5</v>
      </c>
      <c r="K3457" s="33">
        <v>2</v>
      </c>
      <c r="L3457">
        <v>999</v>
      </c>
      <c r="M3457">
        <v>0</v>
      </c>
      <c r="N3457">
        <v>1035</v>
      </c>
      <c r="O3457" s="8">
        <v>87</v>
      </c>
      <c r="S3457" s="33">
        <v>1</v>
      </c>
      <c r="T3457">
        <v>5</v>
      </c>
      <c r="U3457">
        <v>1</v>
      </c>
      <c r="V3457" s="33">
        <v>1</v>
      </c>
      <c r="W3457">
        <v>1</v>
      </c>
      <c r="X3457">
        <v>1</v>
      </c>
      <c r="Y3457">
        <v>0</v>
      </c>
      <c r="Z3457" s="33">
        <v>0</v>
      </c>
      <c r="AA3457">
        <v>5</v>
      </c>
      <c r="AB3457">
        <v>100</v>
      </c>
      <c r="AC3457">
        <v>70</v>
      </c>
      <c r="AD3457" s="62">
        <v>0</v>
      </c>
      <c r="AE3457" s="62">
        <v>1</v>
      </c>
      <c r="AF3457" s="62">
        <v>1</v>
      </c>
      <c r="AS3457">
        <v>1</v>
      </c>
    </row>
    <row r="3458" spans="1:45">
      <c r="A3458">
        <v>931013</v>
      </c>
      <c r="B3458" s="8">
        <v>1001</v>
      </c>
      <c r="C3458">
        <v>6</v>
      </c>
      <c r="D3458" s="8">
        <v>1001</v>
      </c>
      <c r="E3458" t="s">
        <v>8503</v>
      </c>
      <c r="F3458" t="s">
        <v>8503</v>
      </c>
      <c r="G3458" t="s">
        <v>8504</v>
      </c>
      <c r="H3458" t="s">
        <v>6325</v>
      </c>
      <c r="I3458">
        <v>1</v>
      </c>
      <c r="J3458">
        <v>5</v>
      </c>
      <c r="K3458" s="33">
        <v>2</v>
      </c>
      <c r="L3458">
        <v>999</v>
      </c>
      <c r="M3458">
        <v>0</v>
      </c>
      <c r="N3458">
        <v>1035</v>
      </c>
      <c r="O3458" s="8">
        <v>88</v>
      </c>
      <c r="S3458" s="33">
        <v>1</v>
      </c>
      <c r="T3458">
        <v>5</v>
      </c>
      <c r="U3458">
        <v>1</v>
      </c>
      <c r="V3458" s="33">
        <v>1</v>
      </c>
      <c r="W3458">
        <v>1</v>
      </c>
      <c r="X3458">
        <v>1</v>
      </c>
      <c r="Y3458">
        <v>0</v>
      </c>
      <c r="Z3458" s="33">
        <v>0</v>
      </c>
      <c r="AA3458">
        <v>5</v>
      </c>
      <c r="AB3458">
        <v>100</v>
      </c>
      <c r="AC3458">
        <v>70</v>
      </c>
      <c r="AD3458" s="62">
        <v>0</v>
      </c>
      <c r="AE3458" s="62">
        <v>1</v>
      </c>
      <c r="AF3458" s="62">
        <v>1</v>
      </c>
      <c r="AS3458">
        <v>1</v>
      </c>
    </row>
    <row r="3459" spans="1:45">
      <c r="A3459">
        <v>931014</v>
      </c>
      <c r="B3459" s="8">
        <v>1001</v>
      </c>
      <c r="C3459">
        <v>6</v>
      </c>
      <c r="D3459" s="8">
        <v>1001</v>
      </c>
      <c r="E3459" t="s">
        <v>8505</v>
      </c>
      <c r="F3459" t="s">
        <v>8505</v>
      </c>
      <c r="G3459" t="s">
        <v>8506</v>
      </c>
      <c r="H3459" t="s">
        <v>6325</v>
      </c>
      <c r="I3459">
        <v>1</v>
      </c>
      <c r="J3459">
        <v>5</v>
      </c>
      <c r="K3459" s="33">
        <v>2</v>
      </c>
      <c r="L3459">
        <v>999</v>
      </c>
      <c r="M3459">
        <v>0</v>
      </c>
      <c r="N3459">
        <v>1035</v>
      </c>
      <c r="O3459" s="8">
        <v>89</v>
      </c>
      <c r="S3459" s="33">
        <v>1</v>
      </c>
      <c r="T3459">
        <v>5</v>
      </c>
      <c r="U3459">
        <v>1</v>
      </c>
      <c r="V3459" s="33">
        <v>1</v>
      </c>
      <c r="W3459">
        <v>1</v>
      </c>
      <c r="X3459">
        <v>1</v>
      </c>
      <c r="Y3459">
        <v>0</v>
      </c>
      <c r="Z3459" s="33">
        <v>0</v>
      </c>
      <c r="AA3459">
        <v>5</v>
      </c>
      <c r="AB3459">
        <v>100</v>
      </c>
      <c r="AC3459">
        <v>70</v>
      </c>
      <c r="AD3459" s="62">
        <v>0</v>
      </c>
      <c r="AE3459" s="62">
        <v>1</v>
      </c>
      <c r="AF3459" s="62">
        <v>1</v>
      </c>
      <c r="AS3459">
        <v>1</v>
      </c>
    </row>
    <row r="3460" spans="1:45">
      <c r="A3460">
        <v>931015</v>
      </c>
      <c r="B3460" s="8">
        <v>1001</v>
      </c>
      <c r="C3460">
        <v>6</v>
      </c>
      <c r="D3460" s="8">
        <v>1001</v>
      </c>
      <c r="E3460" t="s">
        <v>8507</v>
      </c>
      <c r="F3460" t="s">
        <v>8507</v>
      </c>
      <c r="G3460" t="s">
        <v>8508</v>
      </c>
      <c r="H3460" t="s">
        <v>6325</v>
      </c>
      <c r="I3460">
        <v>1</v>
      </c>
      <c r="J3460">
        <v>5</v>
      </c>
      <c r="K3460" s="33">
        <v>2</v>
      </c>
      <c r="L3460">
        <v>999</v>
      </c>
      <c r="M3460">
        <v>0</v>
      </c>
      <c r="N3460">
        <v>1035</v>
      </c>
      <c r="O3460" s="8">
        <v>90</v>
      </c>
      <c r="S3460" s="33">
        <v>1</v>
      </c>
      <c r="T3460">
        <v>5</v>
      </c>
      <c r="U3460">
        <v>1</v>
      </c>
      <c r="V3460" s="33">
        <v>1</v>
      </c>
      <c r="W3460">
        <v>1</v>
      </c>
      <c r="X3460">
        <v>1</v>
      </c>
      <c r="Y3460">
        <v>0</v>
      </c>
      <c r="Z3460" s="33">
        <v>0</v>
      </c>
      <c r="AA3460">
        <v>5</v>
      </c>
      <c r="AB3460">
        <v>100</v>
      </c>
      <c r="AC3460">
        <v>70</v>
      </c>
      <c r="AD3460" s="62">
        <v>0</v>
      </c>
      <c r="AE3460" s="62">
        <v>1</v>
      </c>
      <c r="AF3460" s="62">
        <v>1</v>
      </c>
      <c r="AS3460">
        <v>1</v>
      </c>
    </row>
    <row r="3461" spans="1:45">
      <c r="A3461">
        <v>931016</v>
      </c>
      <c r="B3461" s="8">
        <v>1001</v>
      </c>
      <c r="C3461">
        <v>6</v>
      </c>
      <c r="D3461" s="8">
        <v>1001</v>
      </c>
      <c r="E3461" t="s">
        <v>8509</v>
      </c>
      <c r="F3461" t="s">
        <v>8509</v>
      </c>
      <c r="G3461" t="s">
        <v>8510</v>
      </c>
      <c r="H3461" t="s">
        <v>6325</v>
      </c>
      <c r="I3461">
        <v>1</v>
      </c>
      <c r="J3461">
        <v>5</v>
      </c>
      <c r="K3461" s="33">
        <v>2</v>
      </c>
      <c r="L3461">
        <v>999</v>
      </c>
      <c r="M3461">
        <v>0</v>
      </c>
      <c r="N3461">
        <v>1035</v>
      </c>
      <c r="O3461" s="8">
        <v>91</v>
      </c>
      <c r="S3461" s="33">
        <v>1</v>
      </c>
      <c r="T3461">
        <v>5</v>
      </c>
      <c r="U3461">
        <v>1</v>
      </c>
      <c r="V3461" s="33">
        <v>1</v>
      </c>
      <c r="W3461">
        <v>1</v>
      </c>
      <c r="X3461">
        <v>1</v>
      </c>
      <c r="Y3461">
        <v>0</v>
      </c>
      <c r="Z3461" s="33">
        <v>0</v>
      </c>
      <c r="AA3461">
        <v>5</v>
      </c>
      <c r="AB3461">
        <v>100</v>
      </c>
      <c r="AC3461">
        <v>70</v>
      </c>
      <c r="AD3461" s="62">
        <v>0</v>
      </c>
      <c r="AE3461" s="62">
        <v>1</v>
      </c>
      <c r="AF3461" s="62">
        <v>1</v>
      </c>
      <c r="AS3461">
        <v>1</v>
      </c>
    </row>
    <row r="3462" spans="1:45">
      <c r="A3462">
        <v>931017</v>
      </c>
      <c r="B3462" s="8">
        <v>1001</v>
      </c>
      <c r="C3462">
        <v>6</v>
      </c>
      <c r="D3462" s="8">
        <v>1001</v>
      </c>
      <c r="E3462" t="s">
        <v>8511</v>
      </c>
      <c r="F3462" t="s">
        <v>8511</v>
      </c>
      <c r="G3462" t="s">
        <v>8512</v>
      </c>
      <c r="H3462" t="s">
        <v>6325</v>
      </c>
      <c r="I3462">
        <v>1</v>
      </c>
      <c r="J3462">
        <v>5</v>
      </c>
      <c r="K3462" s="33">
        <v>2</v>
      </c>
      <c r="L3462">
        <v>999</v>
      </c>
      <c r="M3462">
        <v>0</v>
      </c>
      <c r="N3462">
        <v>1035</v>
      </c>
      <c r="O3462" s="8">
        <v>92</v>
      </c>
      <c r="S3462" s="33">
        <v>1</v>
      </c>
      <c r="T3462">
        <v>5</v>
      </c>
      <c r="U3462">
        <v>1</v>
      </c>
      <c r="V3462" s="33">
        <v>1</v>
      </c>
      <c r="W3462">
        <v>1</v>
      </c>
      <c r="X3462">
        <v>1</v>
      </c>
      <c r="Y3462">
        <v>0</v>
      </c>
      <c r="Z3462" s="33">
        <v>0</v>
      </c>
      <c r="AA3462">
        <v>5</v>
      </c>
      <c r="AB3462">
        <v>100</v>
      </c>
      <c r="AC3462">
        <v>70</v>
      </c>
      <c r="AD3462" s="62">
        <v>0</v>
      </c>
      <c r="AE3462" s="62">
        <v>1</v>
      </c>
      <c r="AF3462" s="62">
        <v>1</v>
      </c>
      <c r="AS3462">
        <v>1</v>
      </c>
    </row>
    <row r="3463" spans="1:45">
      <c r="A3463">
        <v>931018</v>
      </c>
      <c r="B3463" s="8">
        <v>1001</v>
      </c>
      <c r="C3463">
        <v>6</v>
      </c>
      <c r="D3463" s="8">
        <v>1001</v>
      </c>
      <c r="E3463" t="s">
        <v>8513</v>
      </c>
      <c r="F3463" t="s">
        <v>8513</v>
      </c>
      <c r="G3463" t="s">
        <v>8514</v>
      </c>
      <c r="H3463" t="s">
        <v>6325</v>
      </c>
      <c r="I3463">
        <v>1</v>
      </c>
      <c r="J3463">
        <v>5</v>
      </c>
      <c r="K3463" s="33">
        <v>2</v>
      </c>
      <c r="L3463">
        <v>999</v>
      </c>
      <c r="M3463">
        <v>0</v>
      </c>
      <c r="N3463">
        <v>1035</v>
      </c>
      <c r="O3463" s="8">
        <v>93</v>
      </c>
      <c r="S3463" s="33">
        <v>1</v>
      </c>
      <c r="T3463">
        <v>5</v>
      </c>
      <c r="U3463">
        <v>1</v>
      </c>
      <c r="V3463" s="33">
        <v>1</v>
      </c>
      <c r="W3463">
        <v>1</v>
      </c>
      <c r="X3463">
        <v>1</v>
      </c>
      <c r="Y3463">
        <v>0</v>
      </c>
      <c r="Z3463" s="33">
        <v>0</v>
      </c>
      <c r="AA3463">
        <v>5</v>
      </c>
      <c r="AB3463">
        <v>100</v>
      </c>
      <c r="AC3463">
        <v>70</v>
      </c>
      <c r="AD3463" s="62">
        <v>0</v>
      </c>
      <c r="AE3463" s="62">
        <v>1</v>
      </c>
      <c r="AF3463" s="62">
        <v>1</v>
      </c>
      <c r="AS3463">
        <v>1</v>
      </c>
    </row>
    <row r="3464" spans="1:45">
      <c r="A3464">
        <v>931019</v>
      </c>
      <c r="B3464" s="8">
        <v>1001</v>
      </c>
      <c r="C3464">
        <v>6</v>
      </c>
      <c r="D3464" s="8">
        <v>1001</v>
      </c>
      <c r="E3464" t="s">
        <v>8515</v>
      </c>
      <c r="F3464" t="s">
        <v>8515</v>
      </c>
      <c r="G3464" t="s">
        <v>8516</v>
      </c>
      <c r="H3464" t="s">
        <v>6325</v>
      </c>
      <c r="I3464">
        <v>1</v>
      </c>
      <c r="J3464">
        <v>5</v>
      </c>
      <c r="K3464" s="33">
        <v>2</v>
      </c>
      <c r="L3464">
        <v>999</v>
      </c>
      <c r="M3464">
        <v>0</v>
      </c>
      <c r="N3464">
        <v>1035</v>
      </c>
      <c r="O3464" s="8">
        <v>94</v>
      </c>
      <c r="S3464" s="33">
        <v>1</v>
      </c>
      <c r="T3464">
        <v>5</v>
      </c>
      <c r="U3464">
        <v>1</v>
      </c>
      <c r="V3464" s="33">
        <v>1</v>
      </c>
      <c r="W3464">
        <v>1</v>
      </c>
      <c r="X3464">
        <v>1</v>
      </c>
      <c r="Y3464">
        <v>0</v>
      </c>
      <c r="Z3464" s="33">
        <v>0</v>
      </c>
      <c r="AA3464">
        <v>5</v>
      </c>
      <c r="AB3464">
        <v>100</v>
      </c>
      <c r="AC3464">
        <v>70</v>
      </c>
      <c r="AD3464" s="62">
        <v>0</v>
      </c>
      <c r="AE3464" s="62">
        <v>1</v>
      </c>
      <c r="AF3464" s="62">
        <v>1</v>
      </c>
      <c r="AS3464">
        <v>1</v>
      </c>
    </row>
    <row r="3465" spans="1:45">
      <c r="A3465">
        <v>931020</v>
      </c>
      <c r="B3465" s="8">
        <v>1001</v>
      </c>
      <c r="C3465">
        <v>6</v>
      </c>
      <c r="D3465" s="8">
        <v>1001</v>
      </c>
      <c r="E3465" t="s">
        <v>8517</v>
      </c>
      <c r="F3465" t="s">
        <v>8517</v>
      </c>
      <c r="G3465" t="s">
        <v>8518</v>
      </c>
      <c r="H3465" t="s">
        <v>6325</v>
      </c>
      <c r="I3465">
        <v>1</v>
      </c>
      <c r="J3465">
        <v>5</v>
      </c>
      <c r="K3465" s="33">
        <v>2</v>
      </c>
      <c r="L3465">
        <v>999</v>
      </c>
      <c r="M3465">
        <v>0</v>
      </c>
      <c r="N3465">
        <v>1035</v>
      </c>
      <c r="O3465" s="8">
        <v>95</v>
      </c>
      <c r="S3465" s="33">
        <v>1</v>
      </c>
      <c r="T3465">
        <v>5</v>
      </c>
      <c r="U3465">
        <v>1</v>
      </c>
      <c r="V3465" s="33">
        <v>1</v>
      </c>
      <c r="W3465">
        <v>1</v>
      </c>
      <c r="X3465">
        <v>1</v>
      </c>
      <c r="Y3465">
        <v>0</v>
      </c>
      <c r="Z3465" s="33">
        <v>0</v>
      </c>
      <c r="AA3465">
        <v>5</v>
      </c>
      <c r="AB3465">
        <v>100</v>
      </c>
      <c r="AC3465">
        <v>70</v>
      </c>
      <c r="AD3465" s="62">
        <v>0</v>
      </c>
      <c r="AE3465" s="62">
        <v>1</v>
      </c>
      <c r="AF3465" s="62">
        <v>1</v>
      </c>
      <c r="AS3465">
        <v>1</v>
      </c>
    </row>
    <row r="3466" spans="1:45">
      <c r="A3466">
        <v>931021</v>
      </c>
      <c r="B3466" s="8">
        <v>1001</v>
      </c>
      <c r="C3466">
        <v>6</v>
      </c>
      <c r="D3466" s="8">
        <v>1001</v>
      </c>
      <c r="E3466" t="s">
        <v>8519</v>
      </c>
      <c r="F3466" t="s">
        <v>8519</v>
      </c>
      <c r="G3466" t="s">
        <v>8520</v>
      </c>
      <c r="H3466" t="s">
        <v>6325</v>
      </c>
      <c r="I3466">
        <v>1</v>
      </c>
      <c r="J3466">
        <v>5</v>
      </c>
      <c r="K3466" s="33">
        <v>2</v>
      </c>
      <c r="L3466">
        <v>999</v>
      </c>
      <c r="M3466">
        <v>0</v>
      </c>
      <c r="N3466">
        <v>1035</v>
      </c>
      <c r="O3466" s="8">
        <v>96</v>
      </c>
      <c r="S3466" s="33">
        <v>1</v>
      </c>
      <c r="T3466">
        <v>5</v>
      </c>
      <c r="U3466">
        <v>1</v>
      </c>
      <c r="V3466" s="33">
        <v>1</v>
      </c>
      <c r="W3466">
        <v>1</v>
      </c>
      <c r="X3466">
        <v>1</v>
      </c>
      <c r="Y3466">
        <v>0</v>
      </c>
      <c r="Z3466" s="33">
        <v>0</v>
      </c>
      <c r="AA3466">
        <v>5</v>
      </c>
      <c r="AB3466">
        <v>100</v>
      </c>
      <c r="AC3466">
        <v>70</v>
      </c>
      <c r="AD3466" s="62">
        <v>0</v>
      </c>
      <c r="AE3466" s="62">
        <v>1</v>
      </c>
      <c r="AF3466" s="62">
        <v>1</v>
      </c>
      <c r="AS3466">
        <v>1</v>
      </c>
    </row>
    <row r="3467" spans="1:45">
      <c r="A3467">
        <v>931022</v>
      </c>
      <c r="B3467" s="236">
        <v>1001</v>
      </c>
      <c r="C3467">
        <v>6</v>
      </c>
      <c r="D3467" s="236">
        <v>1001</v>
      </c>
      <c r="E3467" t="s">
        <v>8521</v>
      </c>
      <c r="F3467" t="s">
        <v>8521</v>
      </c>
      <c r="G3467" t="s">
        <v>8522</v>
      </c>
      <c r="H3467" t="s">
        <v>6325</v>
      </c>
      <c r="I3467">
        <v>1</v>
      </c>
      <c r="J3467">
        <v>5</v>
      </c>
      <c r="K3467" s="33">
        <v>2</v>
      </c>
      <c r="L3467">
        <v>999</v>
      </c>
      <c r="M3467">
        <v>0</v>
      </c>
      <c r="N3467">
        <v>1035</v>
      </c>
      <c r="O3467" s="236">
        <v>97</v>
      </c>
      <c r="S3467" s="33">
        <v>1</v>
      </c>
      <c r="T3467">
        <v>5</v>
      </c>
      <c r="U3467">
        <v>1</v>
      </c>
      <c r="V3467" s="33">
        <v>1</v>
      </c>
      <c r="W3467">
        <v>1</v>
      </c>
      <c r="X3467">
        <v>1</v>
      </c>
      <c r="Y3467">
        <v>0</v>
      </c>
      <c r="Z3467" s="33">
        <v>0</v>
      </c>
      <c r="AA3467">
        <v>5</v>
      </c>
      <c r="AB3467">
        <v>100</v>
      </c>
      <c r="AC3467">
        <v>70</v>
      </c>
      <c r="AD3467" s="62">
        <v>0</v>
      </c>
      <c r="AE3467" s="62">
        <v>1</v>
      </c>
      <c r="AF3467" s="62">
        <v>1</v>
      </c>
      <c r="AS3467">
        <v>1</v>
      </c>
    </row>
    <row r="3468" spans="1:45">
      <c r="A3468">
        <v>931023</v>
      </c>
      <c r="B3468">
        <v>1001</v>
      </c>
      <c r="C3468">
        <v>1</v>
      </c>
      <c r="D3468">
        <v>1001</v>
      </c>
      <c r="E3468" t="s">
        <v>8523</v>
      </c>
      <c r="F3468" t="s">
        <v>8523</v>
      </c>
      <c r="G3468" t="s">
        <v>8524</v>
      </c>
      <c r="H3468" t="s">
        <v>1329</v>
      </c>
      <c r="I3468">
        <v>1</v>
      </c>
      <c r="J3468">
        <v>5</v>
      </c>
      <c r="K3468" s="254">
        <v>2</v>
      </c>
      <c r="L3468" s="238">
        <v>999</v>
      </c>
      <c r="M3468" s="238">
        <v>0</v>
      </c>
      <c r="N3468" s="238">
        <v>1018</v>
      </c>
      <c r="O3468" s="2" t="s">
        <v>8525</v>
      </c>
      <c r="R3468" s="8"/>
      <c r="S3468" s="254">
        <v>1</v>
      </c>
      <c r="T3468" s="238">
        <v>5</v>
      </c>
      <c r="U3468" s="238">
        <v>100</v>
      </c>
      <c r="V3468" s="87"/>
      <c r="W3468">
        <v>1</v>
      </c>
      <c r="X3468" s="238">
        <v>1</v>
      </c>
      <c r="Y3468" s="238">
        <v>0</v>
      </c>
      <c r="Z3468" s="33">
        <v>0</v>
      </c>
      <c r="AA3468">
        <v>5</v>
      </c>
      <c r="AB3468">
        <v>2000</v>
      </c>
      <c r="AC3468" s="238">
        <v>70</v>
      </c>
      <c r="AD3468" s="62">
        <v>0</v>
      </c>
      <c r="AE3468" s="62">
        <v>5</v>
      </c>
      <c r="AF3468" s="62">
        <v>2</v>
      </c>
      <c r="AN3468" s="93"/>
      <c r="AO3468" s="92"/>
      <c r="AP3468" s="8"/>
      <c r="AQ3468"/>
      <c r="AS3468">
        <v>1</v>
      </c>
    </row>
    <row r="3469" spans="1:45">
      <c r="A3469">
        <v>931024</v>
      </c>
      <c r="B3469">
        <v>1001</v>
      </c>
      <c r="C3469">
        <v>1</v>
      </c>
      <c r="D3469">
        <v>1001</v>
      </c>
      <c r="E3469" t="s">
        <v>8526</v>
      </c>
      <c r="F3469" t="s">
        <v>8526</v>
      </c>
      <c r="G3469" t="s">
        <v>8527</v>
      </c>
      <c r="H3469" t="s">
        <v>5441</v>
      </c>
      <c r="I3469">
        <v>1</v>
      </c>
      <c r="J3469">
        <v>5</v>
      </c>
      <c r="K3469" s="248">
        <v>1</v>
      </c>
      <c r="L3469" s="236">
        <v>999</v>
      </c>
      <c r="M3469" s="236">
        <v>0</v>
      </c>
      <c r="N3469" s="236"/>
      <c r="O3469" s="249"/>
      <c r="R3469" s="236"/>
      <c r="S3469" s="336">
        <v>1</v>
      </c>
      <c r="T3469" s="236">
        <v>5</v>
      </c>
      <c r="U3469" s="336">
        <v>1</v>
      </c>
      <c r="V3469" s="248">
        <v>1</v>
      </c>
      <c r="W3469">
        <v>1</v>
      </c>
      <c r="X3469" s="236">
        <v>1</v>
      </c>
      <c r="Y3469" s="236">
        <v>0</v>
      </c>
      <c r="Z3469" s="33">
        <v>0</v>
      </c>
      <c r="AA3469">
        <v>5</v>
      </c>
      <c r="AB3469" s="34">
        <v>100</v>
      </c>
      <c r="AC3469" s="248">
        <v>70</v>
      </c>
      <c r="AD3469" s="62">
        <v>0</v>
      </c>
      <c r="AL3469" s="64">
        <v>1</v>
      </c>
      <c r="AN3469" s="338"/>
      <c r="AO3469" s="252"/>
      <c r="AP3469" s="236"/>
      <c r="AQ3469" t="s">
        <v>8526</v>
      </c>
      <c r="AS3469">
        <v>1</v>
      </c>
    </row>
    <row r="3470" spans="1:45">
      <c r="A3470">
        <v>730002</v>
      </c>
      <c r="B3470">
        <v>1001</v>
      </c>
      <c r="C3470">
        <v>2</v>
      </c>
      <c r="D3470">
        <v>1001</v>
      </c>
      <c r="E3470" t="s">
        <v>8528</v>
      </c>
      <c r="F3470" t="s">
        <v>8528</v>
      </c>
      <c r="G3470" t="s">
        <v>8529</v>
      </c>
      <c r="H3470" t="s">
        <v>8530</v>
      </c>
      <c r="I3470">
        <v>1</v>
      </c>
      <c r="J3470">
        <v>5</v>
      </c>
      <c r="K3470" s="33">
        <v>1</v>
      </c>
      <c r="L3470">
        <v>999</v>
      </c>
      <c r="M3470">
        <v>0</v>
      </c>
      <c r="N3470"/>
      <c r="S3470" s="33">
        <v>1</v>
      </c>
      <c r="T3470">
        <v>5</v>
      </c>
      <c r="U3470">
        <v>100</v>
      </c>
      <c r="V3470" s="33">
        <v>1</v>
      </c>
      <c r="W3470">
        <v>1</v>
      </c>
      <c r="X3470">
        <v>1</v>
      </c>
      <c r="Y3470">
        <v>0</v>
      </c>
      <c r="Z3470" s="33">
        <v>0</v>
      </c>
      <c r="AA3470">
        <v>5</v>
      </c>
      <c r="AB3470">
        <v>2000</v>
      </c>
      <c r="AC3470">
        <v>900</v>
      </c>
      <c r="AS3470">
        <v>1</v>
      </c>
    </row>
    <row r="3471" spans="1:45">
      <c r="A3471">
        <v>730004</v>
      </c>
      <c r="B3471">
        <v>1001</v>
      </c>
      <c r="C3471">
        <v>6</v>
      </c>
      <c r="D3471">
        <v>1001</v>
      </c>
      <c r="E3471" t="s">
        <v>8531</v>
      </c>
      <c r="F3471" t="s">
        <v>8531</v>
      </c>
      <c r="G3471" t="s">
        <v>8532</v>
      </c>
      <c r="H3471" t="s">
        <v>6325</v>
      </c>
      <c r="I3471">
        <v>1</v>
      </c>
      <c r="J3471">
        <v>5</v>
      </c>
      <c r="K3471" s="33">
        <v>2</v>
      </c>
      <c r="L3471">
        <v>999</v>
      </c>
      <c r="M3471">
        <v>0</v>
      </c>
      <c r="N3471">
        <v>1035</v>
      </c>
      <c r="O3471" s="2">
        <v>102</v>
      </c>
      <c r="S3471" s="33">
        <v>1</v>
      </c>
      <c r="T3471">
        <v>5</v>
      </c>
      <c r="U3471">
        <v>1</v>
      </c>
      <c r="V3471" s="33">
        <v>1</v>
      </c>
      <c r="W3471">
        <v>1</v>
      </c>
      <c r="X3471">
        <v>1</v>
      </c>
      <c r="Y3471">
        <v>0</v>
      </c>
      <c r="Z3471" s="33">
        <v>0</v>
      </c>
      <c r="AA3471">
        <v>5</v>
      </c>
      <c r="AB3471">
        <v>100</v>
      </c>
      <c r="AC3471">
        <v>70</v>
      </c>
      <c r="AD3471" s="62">
        <v>0</v>
      </c>
      <c r="AE3471" s="62">
        <v>1</v>
      </c>
      <c r="AF3471" s="62">
        <v>1</v>
      </c>
      <c r="AS3471">
        <v>1</v>
      </c>
    </row>
    <row r="3472" spans="1:45">
      <c r="A3472">
        <v>730005</v>
      </c>
      <c r="B3472">
        <v>1001</v>
      </c>
      <c r="C3472">
        <v>6</v>
      </c>
      <c r="D3472">
        <v>1001</v>
      </c>
      <c r="E3472" t="s">
        <v>8533</v>
      </c>
      <c r="F3472" t="s">
        <v>8533</v>
      </c>
      <c r="G3472" t="s">
        <v>8534</v>
      </c>
      <c r="H3472" t="s">
        <v>6325</v>
      </c>
      <c r="I3472">
        <v>1</v>
      </c>
      <c r="J3472">
        <v>5</v>
      </c>
      <c r="K3472" s="33">
        <v>2</v>
      </c>
      <c r="L3472">
        <v>999</v>
      </c>
      <c r="M3472">
        <v>0</v>
      </c>
      <c r="N3472">
        <v>1035</v>
      </c>
      <c r="O3472" s="2">
        <v>101</v>
      </c>
      <c r="S3472" s="33">
        <v>1</v>
      </c>
      <c r="T3472">
        <v>5</v>
      </c>
      <c r="U3472">
        <v>1</v>
      </c>
      <c r="V3472" s="33">
        <v>1</v>
      </c>
      <c r="W3472">
        <v>1</v>
      </c>
      <c r="X3472">
        <v>1</v>
      </c>
      <c r="Y3472">
        <v>0</v>
      </c>
      <c r="Z3472" s="33">
        <v>0</v>
      </c>
      <c r="AA3472">
        <v>5</v>
      </c>
      <c r="AB3472">
        <v>100</v>
      </c>
      <c r="AC3472">
        <v>70</v>
      </c>
      <c r="AD3472" s="62">
        <v>0</v>
      </c>
      <c r="AE3472" s="62">
        <v>1</v>
      </c>
      <c r="AF3472" s="62">
        <v>1</v>
      </c>
      <c r="AS3472">
        <v>1</v>
      </c>
    </row>
    <row r="3473" spans="1:45">
      <c r="A3473">
        <v>730006</v>
      </c>
      <c r="B3473">
        <v>1001</v>
      </c>
      <c r="C3473">
        <v>6</v>
      </c>
      <c r="D3473">
        <v>1001</v>
      </c>
      <c r="E3473" t="s">
        <v>8535</v>
      </c>
      <c r="F3473" t="s">
        <v>8535</v>
      </c>
      <c r="G3473" t="s">
        <v>8536</v>
      </c>
      <c r="H3473" t="s">
        <v>6325</v>
      </c>
      <c r="I3473">
        <v>1</v>
      </c>
      <c r="J3473">
        <v>5</v>
      </c>
      <c r="K3473" s="33">
        <v>2</v>
      </c>
      <c r="L3473">
        <v>999</v>
      </c>
      <c r="M3473">
        <v>0</v>
      </c>
      <c r="N3473">
        <v>1035</v>
      </c>
      <c r="O3473" s="2">
        <v>100</v>
      </c>
      <c r="S3473" s="33">
        <v>1</v>
      </c>
      <c r="T3473">
        <v>5</v>
      </c>
      <c r="U3473">
        <v>1</v>
      </c>
      <c r="V3473" s="33">
        <v>1</v>
      </c>
      <c r="W3473">
        <v>1</v>
      </c>
      <c r="X3473">
        <v>1</v>
      </c>
      <c r="Y3473">
        <v>0</v>
      </c>
      <c r="Z3473" s="33">
        <v>0</v>
      </c>
      <c r="AA3473">
        <v>5</v>
      </c>
      <c r="AB3473">
        <v>100</v>
      </c>
      <c r="AC3473">
        <v>70</v>
      </c>
      <c r="AD3473" s="62">
        <v>0</v>
      </c>
      <c r="AE3473" s="62">
        <v>1</v>
      </c>
      <c r="AF3473" s="62">
        <v>1</v>
      </c>
      <c r="AS3473">
        <v>1</v>
      </c>
    </row>
    <row r="3474" spans="1:45">
      <c r="A3474">
        <v>730007</v>
      </c>
      <c r="B3474">
        <v>1001</v>
      </c>
      <c r="C3474">
        <v>6</v>
      </c>
      <c r="D3474">
        <v>1001</v>
      </c>
      <c r="E3474" t="s">
        <v>8537</v>
      </c>
      <c r="F3474" t="s">
        <v>8537</v>
      </c>
      <c r="G3474" t="s">
        <v>8538</v>
      </c>
      <c r="H3474" t="s">
        <v>6325</v>
      </c>
      <c r="I3474">
        <v>1</v>
      </c>
      <c r="J3474">
        <v>5</v>
      </c>
      <c r="K3474" s="33">
        <v>2</v>
      </c>
      <c r="L3474">
        <v>999</v>
      </c>
      <c r="M3474">
        <v>0</v>
      </c>
      <c r="N3474">
        <v>1035</v>
      </c>
      <c r="O3474" s="2">
        <v>99</v>
      </c>
      <c r="S3474" s="33">
        <v>1</v>
      </c>
      <c r="T3474">
        <v>5</v>
      </c>
      <c r="U3474">
        <v>1</v>
      </c>
      <c r="V3474" s="33">
        <v>1</v>
      </c>
      <c r="W3474">
        <v>1</v>
      </c>
      <c r="X3474">
        <v>1</v>
      </c>
      <c r="Y3474">
        <v>0</v>
      </c>
      <c r="Z3474" s="33">
        <v>0</v>
      </c>
      <c r="AA3474">
        <v>5</v>
      </c>
      <c r="AB3474">
        <v>100</v>
      </c>
      <c r="AC3474">
        <v>70</v>
      </c>
      <c r="AD3474" s="62">
        <v>0</v>
      </c>
      <c r="AE3474" s="62">
        <v>1</v>
      </c>
      <c r="AF3474" s="62">
        <v>1</v>
      </c>
      <c r="AS3474">
        <v>1</v>
      </c>
    </row>
    <row r="3475" spans="1:45">
      <c r="A3475">
        <v>730008</v>
      </c>
      <c r="B3475">
        <v>1001</v>
      </c>
      <c r="C3475">
        <v>6</v>
      </c>
      <c r="D3475">
        <v>1001</v>
      </c>
      <c r="E3475" t="s">
        <v>8539</v>
      </c>
      <c r="F3475" t="s">
        <v>8539</v>
      </c>
      <c r="G3475" t="s">
        <v>8540</v>
      </c>
      <c r="H3475" t="s">
        <v>6325</v>
      </c>
      <c r="I3475">
        <v>1</v>
      </c>
      <c r="J3475">
        <v>5</v>
      </c>
      <c r="K3475" s="33">
        <v>2</v>
      </c>
      <c r="L3475">
        <v>999</v>
      </c>
      <c r="M3475">
        <v>0</v>
      </c>
      <c r="N3475">
        <v>1035</v>
      </c>
      <c r="O3475" s="2">
        <v>98</v>
      </c>
      <c r="S3475" s="33">
        <v>1</v>
      </c>
      <c r="T3475">
        <v>5</v>
      </c>
      <c r="U3475">
        <v>1</v>
      </c>
      <c r="V3475" s="33">
        <v>1</v>
      </c>
      <c r="W3475">
        <v>1</v>
      </c>
      <c r="X3475">
        <v>1</v>
      </c>
      <c r="Y3475">
        <v>0</v>
      </c>
      <c r="Z3475" s="33">
        <v>0</v>
      </c>
      <c r="AA3475">
        <v>5</v>
      </c>
      <c r="AB3475">
        <v>100</v>
      </c>
      <c r="AC3475">
        <v>70</v>
      </c>
      <c r="AD3475" s="62">
        <v>0</v>
      </c>
      <c r="AE3475" s="62">
        <v>1</v>
      </c>
      <c r="AF3475" s="62">
        <v>1</v>
      </c>
      <c r="AS3475">
        <v>1</v>
      </c>
    </row>
    <row r="3476" spans="1:45">
      <c r="A3476">
        <v>730009</v>
      </c>
      <c r="B3476">
        <v>1001</v>
      </c>
      <c r="C3476">
        <v>2</v>
      </c>
      <c r="D3476">
        <v>1001</v>
      </c>
      <c r="E3476" t="s">
        <v>8541</v>
      </c>
      <c r="F3476" t="s">
        <v>8541</v>
      </c>
      <c r="G3476" t="s">
        <v>8542</v>
      </c>
      <c r="H3476" t="s">
        <v>8530</v>
      </c>
      <c r="I3476">
        <v>1</v>
      </c>
      <c r="J3476">
        <v>5</v>
      </c>
      <c r="K3476" s="33">
        <v>1</v>
      </c>
      <c r="L3476">
        <v>999</v>
      </c>
      <c r="M3476">
        <v>0</v>
      </c>
      <c r="S3476" s="33">
        <v>1</v>
      </c>
      <c r="T3476">
        <v>5</v>
      </c>
      <c r="U3476">
        <v>100</v>
      </c>
      <c r="V3476" s="33">
        <v>1</v>
      </c>
      <c r="W3476">
        <v>1</v>
      </c>
      <c r="X3476">
        <v>1</v>
      </c>
      <c r="Y3476">
        <v>0</v>
      </c>
      <c r="Z3476" s="33">
        <v>0</v>
      </c>
      <c r="AA3476">
        <v>5</v>
      </c>
      <c r="AB3476">
        <v>500</v>
      </c>
      <c r="AC3476">
        <v>900</v>
      </c>
      <c r="AS3476">
        <v>1</v>
      </c>
    </row>
    <row r="3477" spans="1:45">
      <c r="A3477">
        <v>730010</v>
      </c>
      <c r="B3477">
        <v>1001</v>
      </c>
      <c r="C3477">
        <v>2</v>
      </c>
      <c r="D3477">
        <v>1001</v>
      </c>
      <c r="E3477" t="s">
        <v>8543</v>
      </c>
      <c r="F3477" t="s">
        <v>8543</v>
      </c>
      <c r="G3477" t="s">
        <v>8544</v>
      </c>
      <c r="H3477" t="s">
        <v>8530</v>
      </c>
      <c r="I3477">
        <v>1</v>
      </c>
      <c r="J3477">
        <v>5</v>
      </c>
      <c r="K3477" s="33">
        <v>1</v>
      </c>
      <c r="L3477">
        <v>999</v>
      </c>
      <c r="M3477">
        <v>0</v>
      </c>
      <c r="N3477" s="52"/>
      <c r="O3477" s="457"/>
      <c r="P3477" s="52"/>
      <c r="Q3477" s="52"/>
      <c r="R3477" s="52"/>
      <c r="S3477" s="33">
        <v>1</v>
      </c>
      <c r="T3477">
        <v>5</v>
      </c>
      <c r="U3477">
        <v>100</v>
      </c>
      <c r="V3477" s="33">
        <v>1</v>
      </c>
      <c r="W3477">
        <v>1</v>
      </c>
      <c r="X3477">
        <v>1</v>
      </c>
      <c r="Y3477">
        <v>0</v>
      </c>
      <c r="Z3477" s="33">
        <v>0</v>
      </c>
      <c r="AA3477">
        <v>5</v>
      </c>
      <c r="AB3477">
        <v>500</v>
      </c>
      <c r="AC3477">
        <v>900</v>
      </c>
      <c r="AD3477" s="464"/>
      <c r="AE3477" s="464"/>
      <c r="AF3477" s="464"/>
      <c r="AG3477" s="459"/>
      <c r="AH3477" s="459"/>
      <c r="AI3477" s="459"/>
      <c r="AJ3477" s="459"/>
      <c r="AK3477" s="459"/>
      <c r="AL3477" s="460"/>
      <c r="AM3477" s="460"/>
      <c r="AN3477" s="461"/>
      <c r="AO3477" s="460"/>
      <c r="AP3477" s="460"/>
      <c r="AQ3477" s="52"/>
      <c r="AS3477">
        <v>1</v>
      </c>
    </row>
    <row r="3478" spans="1:45">
      <c r="A3478" s="52">
        <v>721006</v>
      </c>
      <c r="B3478" s="52">
        <v>1001</v>
      </c>
      <c r="C3478" s="52">
        <v>6</v>
      </c>
      <c r="D3478" s="52">
        <v>1001</v>
      </c>
      <c r="E3478" s="52" t="s">
        <v>8545</v>
      </c>
      <c r="F3478" s="52" t="s">
        <v>8545</v>
      </c>
      <c r="G3478" s="52" t="s">
        <v>8546</v>
      </c>
      <c r="H3478" s="52" t="s">
        <v>1818</v>
      </c>
      <c r="I3478" s="52">
        <v>1</v>
      </c>
      <c r="J3478" s="52">
        <v>5</v>
      </c>
      <c r="K3478" s="462">
        <v>2</v>
      </c>
      <c r="L3478" s="52">
        <v>999</v>
      </c>
      <c r="M3478" s="52">
        <v>0</v>
      </c>
      <c r="N3478" s="52">
        <v>1017</v>
      </c>
      <c r="O3478" s="457">
        <v>220045</v>
      </c>
      <c r="P3478" s="52"/>
      <c r="Q3478" s="52"/>
      <c r="R3478" s="52"/>
      <c r="S3478" s="462">
        <v>1</v>
      </c>
      <c r="T3478" s="52">
        <v>5</v>
      </c>
      <c r="U3478" s="52">
        <v>100</v>
      </c>
      <c r="V3478" s="462">
        <v>1</v>
      </c>
      <c r="W3478" s="52">
        <v>1</v>
      </c>
      <c r="X3478" s="52">
        <v>1</v>
      </c>
      <c r="Y3478" s="52">
        <v>0</v>
      </c>
      <c r="Z3478" s="462">
        <v>0</v>
      </c>
      <c r="AA3478" s="52">
        <v>5</v>
      </c>
      <c r="AB3478" s="52">
        <v>100</v>
      </c>
      <c r="AC3478" s="52">
        <v>110</v>
      </c>
      <c r="AD3478" s="464">
        <v>0</v>
      </c>
      <c r="AE3478" s="464">
        <v>4</v>
      </c>
      <c r="AF3478" s="464">
        <v>2</v>
      </c>
      <c r="AG3478" s="459"/>
      <c r="AH3478" s="459">
        <v>1</v>
      </c>
      <c r="AI3478" s="459"/>
      <c r="AJ3478" s="459"/>
      <c r="AK3478" s="459"/>
      <c r="AL3478" s="460">
        <v>1</v>
      </c>
      <c r="AM3478" s="460"/>
      <c r="AN3478" s="461"/>
      <c r="AO3478" s="460"/>
      <c r="AP3478" s="460"/>
      <c r="AQ3478" s="52"/>
      <c r="AS3478">
        <v>1</v>
      </c>
    </row>
    <row r="3479" spans="1:45">
      <c r="A3479" s="52">
        <v>721007</v>
      </c>
      <c r="B3479" s="52">
        <v>1001</v>
      </c>
      <c r="C3479" s="52">
        <v>6</v>
      </c>
      <c r="D3479" s="52">
        <v>1001</v>
      </c>
      <c r="E3479" s="52" t="s">
        <v>8547</v>
      </c>
      <c r="F3479" s="52" t="s">
        <v>8547</v>
      </c>
      <c r="G3479" s="52" t="s">
        <v>8548</v>
      </c>
      <c r="H3479" s="52" t="s">
        <v>1818</v>
      </c>
      <c r="I3479" s="52">
        <v>1</v>
      </c>
      <c r="J3479" s="52">
        <v>5</v>
      </c>
      <c r="K3479" s="462">
        <v>2</v>
      </c>
      <c r="L3479" s="52">
        <v>999</v>
      </c>
      <c r="M3479" s="52">
        <v>0</v>
      </c>
      <c r="N3479" s="52">
        <v>1017</v>
      </c>
      <c r="O3479" s="457">
        <v>220046</v>
      </c>
      <c r="P3479" s="52"/>
      <c r="Q3479" s="52"/>
      <c r="R3479" s="52"/>
      <c r="S3479" s="462">
        <v>1</v>
      </c>
      <c r="T3479" s="52">
        <v>5</v>
      </c>
      <c r="U3479" s="52">
        <v>100</v>
      </c>
      <c r="V3479" s="462">
        <v>1</v>
      </c>
      <c r="W3479" s="52">
        <v>1</v>
      </c>
      <c r="X3479" s="52">
        <v>1</v>
      </c>
      <c r="Y3479" s="52">
        <v>0</v>
      </c>
      <c r="Z3479" s="462">
        <v>0</v>
      </c>
      <c r="AA3479" s="52">
        <v>5</v>
      </c>
      <c r="AB3479" s="52">
        <v>100</v>
      </c>
      <c r="AC3479" s="52">
        <v>110</v>
      </c>
      <c r="AD3479" s="464">
        <v>0</v>
      </c>
      <c r="AE3479" s="464">
        <v>4</v>
      </c>
      <c r="AF3479" s="464">
        <v>2</v>
      </c>
      <c r="AG3479" s="459"/>
      <c r="AH3479" s="459">
        <v>1</v>
      </c>
      <c r="AI3479" s="459"/>
      <c r="AJ3479" s="459"/>
      <c r="AK3479" s="459"/>
      <c r="AL3479" s="460">
        <v>1</v>
      </c>
      <c r="AM3479" s="460"/>
      <c r="AN3479" s="461"/>
      <c r="AO3479" s="460"/>
      <c r="AP3479" s="460"/>
      <c r="AQ3479" s="52"/>
      <c r="AS3479">
        <v>1</v>
      </c>
    </row>
    <row r="3480" spans="1:45">
      <c r="A3480" s="52">
        <v>721008</v>
      </c>
      <c r="B3480" s="52">
        <v>1001</v>
      </c>
      <c r="C3480" s="52">
        <v>6</v>
      </c>
      <c r="D3480" s="52">
        <v>1001</v>
      </c>
      <c r="E3480" s="52" t="s">
        <v>8549</v>
      </c>
      <c r="F3480" s="52" t="s">
        <v>8549</v>
      </c>
      <c r="G3480" s="52" t="s">
        <v>8550</v>
      </c>
      <c r="H3480" s="52" t="s">
        <v>1818</v>
      </c>
      <c r="I3480" s="52">
        <v>1</v>
      </c>
      <c r="J3480" s="52">
        <v>5</v>
      </c>
      <c r="K3480" s="462">
        <v>2</v>
      </c>
      <c r="L3480" s="52">
        <v>999</v>
      </c>
      <c r="M3480" s="52">
        <v>0</v>
      </c>
      <c r="N3480" s="52">
        <v>1017</v>
      </c>
      <c r="O3480" s="457">
        <v>220047</v>
      </c>
      <c r="P3480" s="52"/>
      <c r="Q3480" s="52"/>
      <c r="R3480" s="52"/>
      <c r="S3480" s="462">
        <v>1</v>
      </c>
      <c r="T3480" s="52">
        <v>5</v>
      </c>
      <c r="U3480" s="52">
        <v>100</v>
      </c>
      <c r="V3480" s="462">
        <v>1</v>
      </c>
      <c r="W3480" s="52">
        <v>1</v>
      </c>
      <c r="X3480" s="52">
        <v>1</v>
      </c>
      <c r="Y3480" s="52">
        <v>0</v>
      </c>
      <c r="Z3480" s="462">
        <v>0</v>
      </c>
      <c r="AA3480" s="52">
        <v>5</v>
      </c>
      <c r="AB3480" s="52">
        <v>100</v>
      </c>
      <c r="AC3480" s="52">
        <v>110</v>
      </c>
      <c r="AD3480" s="464">
        <v>0</v>
      </c>
      <c r="AE3480" s="464">
        <v>4</v>
      </c>
      <c r="AF3480" s="464">
        <v>2</v>
      </c>
      <c r="AG3480" s="459"/>
      <c r="AH3480" s="459">
        <v>1</v>
      </c>
      <c r="AI3480" s="459"/>
      <c r="AJ3480" s="459"/>
      <c r="AK3480" s="459"/>
      <c r="AL3480" s="460">
        <v>1</v>
      </c>
      <c r="AM3480" s="460"/>
      <c r="AN3480" s="461"/>
      <c r="AO3480" s="460"/>
      <c r="AP3480" s="460"/>
      <c r="AQ3480" s="52"/>
      <c r="AS3480">
        <v>1</v>
      </c>
    </row>
    <row r="3481" spans="1:45">
      <c r="A3481" s="52">
        <v>721009</v>
      </c>
      <c r="B3481" s="52">
        <v>1001</v>
      </c>
      <c r="C3481" s="52">
        <v>6</v>
      </c>
      <c r="D3481" s="52">
        <v>1001</v>
      </c>
      <c r="E3481" s="52" t="s">
        <v>8551</v>
      </c>
      <c r="F3481" s="52" t="s">
        <v>8551</v>
      </c>
      <c r="G3481" s="52" t="s">
        <v>8552</v>
      </c>
      <c r="H3481" s="52" t="s">
        <v>1818</v>
      </c>
      <c r="I3481" s="52">
        <v>1</v>
      </c>
      <c r="J3481" s="52">
        <v>5</v>
      </c>
      <c r="K3481" s="462">
        <v>2</v>
      </c>
      <c r="L3481" s="52">
        <v>999</v>
      </c>
      <c r="M3481" s="52">
        <v>0</v>
      </c>
      <c r="N3481" s="52">
        <v>1017</v>
      </c>
      <c r="O3481" s="457">
        <v>220048</v>
      </c>
      <c r="P3481" s="52"/>
      <c r="Q3481" s="52"/>
      <c r="R3481" s="52"/>
      <c r="S3481" s="462">
        <v>1</v>
      </c>
      <c r="T3481" s="52">
        <v>5</v>
      </c>
      <c r="U3481" s="52">
        <v>100</v>
      </c>
      <c r="V3481" s="462">
        <v>1</v>
      </c>
      <c r="W3481" s="52">
        <v>1</v>
      </c>
      <c r="X3481" s="52">
        <v>1</v>
      </c>
      <c r="Y3481" s="52">
        <v>0</v>
      </c>
      <c r="Z3481" s="462">
        <v>0</v>
      </c>
      <c r="AA3481" s="52">
        <v>5</v>
      </c>
      <c r="AB3481" s="52">
        <v>100</v>
      </c>
      <c r="AC3481" s="52">
        <v>110</v>
      </c>
      <c r="AD3481" s="464">
        <v>0</v>
      </c>
      <c r="AE3481" s="464">
        <v>4</v>
      </c>
      <c r="AF3481" s="464">
        <v>2</v>
      </c>
      <c r="AG3481" s="459"/>
      <c r="AH3481" s="459">
        <v>1</v>
      </c>
      <c r="AI3481" s="459"/>
      <c r="AJ3481" s="459"/>
      <c r="AK3481" s="459"/>
      <c r="AL3481" s="460">
        <v>1</v>
      </c>
      <c r="AM3481" s="460"/>
      <c r="AN3481" s="461"/>
      <c r="AO3481" s="460"/>
      <c r="AP3481" s="460"/>
      <c r="AQ3481" s="52"/>
      <c r="AS3481">
        <v>1</v>
      </c>
    </row>
    <row r="3482" spans="1:45">
      <c r="A3482" s="52">
        <v>721010</v>
      </c>
      <c r="B3482" s="52">
        <v>1001</v>
      </c>
      <c r="C3482" s="52">
        <v>6</v>
      </c>
      <c r="D3482" s="52">
        <v>1001</v>
      </c>
      <c r="E3482" s="52" t="s">
        <v>8553</v>
      </c>
      <c r="F3482" s="52" t="s">
        <v>8553</v>
      </c>
      <c r="G3482" s="52" t="s">
        <v>8554</v>
      </c>
      <c r="H3482" s="52" t="s">
        <v>1818</v>
      </c>
      <c r="I3482" s="52">
        <v>1</v>
      </c>
      <c r="J3482" s="52">
        <v>5</v>
      </c>
      <c r="K3482" s="462">
        <v>2</v>
      </c>
      <c r="L3482" s="52">
        <v>999</v>
      </c>
      <c r="M3482" s="52">
        <v>0</v>
      </c>
      <c r="N3482" s="52">
        <v>1017</v>
      </c>
      <c r="O3482" s="457">
        <v>220049</v>
      </c>
      <c r="P3482" s="52"/>
      <c r="Q3482" s="52"/>
      <c r="R3482" s="52"/>
      <c r="S3482" s="462">
        <v>1</v>
      </c>
      <c r="T3482" s="52">
        <v>5</v>
      </c>
      <c r="U3482" s="52">
        <v>100</v>
      </c>
      <c r="V3482" s="462">
        <v>1</v>
      </c>
      <c r="W3482" s="52">
        <v>1</v>
      </c>
      <c r="X3482" s="52">
        <v>1</v>
      </c>
      <c r="Y3482" s="52">
        <v>0</v>
      </c>
      <c r="Z3482" s="462">
        <v>0</v>
      </c>
      <c r="AA3482" s="52">
        <v>5</v>
      </c>
      <c r="AB3482" s="52">
        <v>100</v>
      </c>
      <c r="AC3482" s="52">
        <v>110</v>
      </c>
      <c r="AD3482" s="464">
        <v>0</v>
      </c>
      <c r="AE3482" s="464">
        <v>4</v>
      </c>
      <c r="AF3482" s="464">
        <v>2</v>
      </c>
      <c r="AG3482" s="459"/>
      <c r="AH3482" s="459">
        <v>1</v>
      </c>
      <c r="AI3482" s="459"/>
      <c r="AJ3482" s="459"/>
      <c r="AK3482" s="459"/>
      <c r="AL3482" s="460">
        <v>1</v>
      </c>
      <c r="AM3482" s="460"/>
      <c r="AN3482" s="461"/>
      <c r="AO3482" s="460"/>
      <c r="AP3482" s="460"/>
      <c r="AQ3482" s="52"/>
      <c r="AS3482">
        <v>1</v>
      </c>
    </row>
    <row r="3483" spans="1:45">
      <c r="A3483" s="52">
        <v>721011</v>
      </c>
      <c r="B3483" s="52">
        <v>1001</v>
      </c>
      <c r="C3483" s="52">
        <v>6</v>
      </c>
      <c r="D3483" s="52">
        <v>1001</v>
      </c>
      <c r="E3483" s="52" t="s">
        <v>8555</v>
      </c>
      <c r="F3483" s="52" t="s">
        <v>8555</v>
      </c>
      <c r="G3483" s="52" t="s">
        <v>8556</v>
      </c>
      <c r="H3483" s="52" t="s">
        <v>1818</v>
      </c>
      <c r="I3483" s="52">
        <v>1</v>
      </c>
      <c r="J3483" s="52">
        <v>5</v>
      </c>
      <c r="K3483" s="462">
        <v>2</v>
      </c>
      <c r="L3483" s="52">
        <v>999</v>
      </c>
      <c r="M3483" s="52">
        <v>0</v>
      </c>
      <c r="N3483" s="52">
        <v>1017</v>
      </c>
      <c r="O3483" s="457">
        <v>220050</v>
      </c>
      <c r="P3483" s="52"/>
      <c r="Q3483" s="52"/>
      <c r="R3483" s="52"/>
      <c r="S3483" s="462">
        <v>1</v>
      </c>
      <c r="T3483" s="52">
        <v>5</v>
      </c>
      <c r="U3483" s="52">
        <v>100</v>
      </c>
      <c r="V3483" s="462">
        <v>1</v>
      </c>
      <c r="W3483" s="52">
        <v>1</v>
      </c>
      <c r="X3483" s="52">
        <v>1</v>
      </c>
      <c r="Y3483" s="52">
        <v>0</v>
      </c>
      <c r="Z3483" s="462">
        <v>0</v>
      </c>
      <c r="AA3483" s="52">
        <v>5</v>
      </c>
      <c r="AB3483" s="52">
        <v>100</v>
      </c>
      <c r="AC3483" s="52">
        <v>110</v>
      </c>
      <c r="AD3483" s="464">
        <v>0</v>
      </c>
      <c r="AE3483" s="464">
        <v>4</v>
      </c>
      <c r="AF3483" s="464">
        <v>2</v>
      </c>
      <c r="AG3483" s="459"/>
      <c r="AH3483" s="459">
        <v>1</v>
      </c>
      <c r="AI3483" s="459"/>
      <c r="AJ3483" s="459"/>
      <c r="AK3483" s="459"/>
      <c r="AL3483" s="460">
        <v>1</v>
      </c>
      <c r="AM3483" s="460"/>
      <c r="AN3483" s="461"/>
      <c r="AO3483" s="460"/>
      <c r="AP3483" s="460"/>
      <c r="AQ3483" s="52"/>
      <c r="AS3483">
        <v>1</v>
      </c>
    </row>
    <row r="3484" spans="1:45">
      <c r="A3484" s="52">
        <v>721012</v>
      </c>
      <c r="B3484" s="52">
        <v>1001</v>
      </c>
      <c r="C3484" s="52">
        <v>6</v>
      </c>
      <c r="D3484" s="52">
        <v>1001</v>
      </c>
      <c r="E3484" s="52" t="s">
        <v>8557</v>
      </c>
      <c r="F3484" s="52" t="s">
        <v>8557</v>
      </c>
      <c r="G3484" s="52" t="s">
        <v>8558</v>
      </c>
      <c r="H3484" s="52" t="s">
        <v>1818</v>
      </c>
      <c r="I3484" s="52">
        <v>1</v>
      </c>
      <c r="J3484" s="52">
        <v>5</v>
      </c>
      <c r="K3484" s="462">
        <v>2</v>
      </c>
      <c r="L3484" s="52">
        <v>999</v>
      </c>
      <c r="M3484" s="52">
        <v>0</v>
      </c>
      <c r="N3484" s="52">
        <v>1017</v>
      </c>
      <c r="O3484" s="457">
        <v>220051</v>
      </c>
      <c r="P3484" s="52"/>
      <c r="Q3484" s="52"/>
      <c r="R3484" s="52"/>
      <c r="S3484" s="462">
        <v>1</v>
      </c>
      <c r="T3484" s="52">
        <v>5</v>
      </c>
      <c r="U3484" s="52">
        <v>100</v>
      </c>
      <c r="V3484" s="462">
        <v>1</v>
      </c>
      <c r="W3484" s="52">
        <v>1</v>
      </c>
      <c r="X3484" s="52">
        <v>1</v>
      </c>
      <c r="Y3484" s="52">
        <v>0</v>
      </c>
      <c r="Z3484" s="462">
        <v>0</v>
      </c>
      <c r="AA3484" s="52">
        <v>5</v>
      </c>
      <c r="AB3484" s="52">
        <v>100</v>
      </c>
      <c r="AC3484" s="52">
        <v>110</v>
      </c>
      <c r="AD3484" s="464">
        <v>0</v>
      </c>
      <c r="AE3484" s="464">
        <v>4</v>
      </c>
      <c r="AF3484" s="464">
        <v>2</v>
      </c>
      <c r="AG3484" s="459"/>
      <c r="AH3484" s="459">
        <v>1</v>
      </c>
      <c r="AI3484" s="459"/>
      <c r="AJ3484" s="459"/>
      <c r="AK3484" s="459"/>
      <c r="AL3484" s="460">
        <v>1</v>
      </c>
      <c r="AM3484" s="460"/>
      <c r="AN3484" s="461"/>
      <c r="AO3484" s="460"/>
      <c r="AP3484" s="460"/>
      <c r="AQ3484" s="52"/>
      <c r="AS3484">
        <v>1</v>
      </c>
    </row>
    <row r="3485" spans="1:45">
      <c r="A3485" s="52">
        <v>721013</v>
      </c>
      <c r="B3485" s="52">
        <v>1001</v>
      </c>
      <c r="C3485" s="52">
        <v>6</v>
      </c>
      <c r="D3485" s="52">
        <v>1001</v>
      </c>
      <c r="E3485" s="52" t="s">
        <v>8559</v>
      </c>
      <c r="F3485" s="52" t="s">
        <v>8559</v>
      </c>
      <c r="G3485" s="52" t="s">
        <v>8560</v>
      </c>
      <c r="H3485" s="52" t="s">
        <v>1818</v>
      </c>
      <c r="I3485" s="52">
        <v>1</v>
      </c>
      <c r="J3485" s="52">
        <v>5</v>
      </c>
      <c r="K3485" s="462">
        <v>2</v>
      </c>
      <c r="L3485" s="52">
        <v>999</v>
      </c>
      <c r="M3485" s="52">
        <v>0</v>
      </c>
      <c r="N3485" s="52">
        <v>1017</v>
      </c>
      <c r="O3485" s="457">
        <v>220052</v>
      </c>
      <c r="P3485" s="52"/>
      <c r="Q3485" s="52"/>
      <c r="R3485" s="52"/>
      <c r="S3485" s="462">
        <v>1</v>
      </c>
      <c r="T3485" s="52">
        <v>5</v>
      </c>
      <c r="U3485" s="52">
        <v>100</v>
      </c>
      <c r="V3485" s="462">
        <v>1</v>
      </c>
      <c r="W3485" s="52">
        <v>1</v>
      </c>
      <c r="X3485" s="52">
        <v>1</v>
      </c>
      <c r="Y3485" s="52">
        <v>0</v>
      </c>
      <c r="Z3485" s="462">
        <v>0</v>
      </c>
      <c r="AA3485" s="52">
        <v>5</v>
      </c>
      <c r="AB3485" s="52">
        <v>100</v>
      </c>
      <c r="AC3485" s="52">
        <v>110</v>
      </c>
      <c r="AD3485" s="464">
        <v>0</v>
      </c>
      <c r="AE3485" s="464">
        <v>4</v>
      </c>
      <c r="AF3485" s="464">
        <v>2</v>
      </c>
      <c r="AG3485" s="459"/>
      <c r="AH3485" s="459">
        <v>1</v>
      </c>
      <c r="AI3485" s="459"/>
      <c r="AJ3485" s="459"/>
      <c r="AK3485" s="459"/>
      <c r="AL3485" s="460">
        <v>1</v>
      </c>
      <c r="AM3485" s="460"/>
      <c r="AN3485" s="461"/>
      <c r="AO3485" s="460"/>
      <c r="AP3485" s="460"/>
      <c r="AQ3485" s="52"/>
      <c r="AS3485">
        <v>1</v>
      </c>
    </row>
    <row r="3486" spans="1:45">
      <c r="A3486" s="52">
        <v>721014</v>
      </c>
      <c r="B3486" s="52">
        <v>1001</v>
      </c>
      <c r="C3486" s="52">
        <v>6</v>
      </c>
      <c r="D3486" s="52">
        <v>1001</v>
      </c>
      <c r="E3486" s="52" t="s">
        <v>8561</v>
      </c>
      <c r="F3486" s="52" t="s">
        <v>8561</v>
      </c>
      <c r="G3486" s="52" t="s">
        <v>8562</v>
      </c>
      <c r="H3486" s="52" t="s">
        <v>1818</v>
      </c>
      <c r="I3486" s="52">
        <v>1</v>
      </c>
      <c r="J3486" s="52">
        <v>5</v>
      </c>
      <c r="K3486" s="462">
        <v>2</v>
      </c>
      <c r="L3486" s="52">
        <v>999</v>
      </c>
      <c r="M3486" s="52">
        <v>0</v>
      </c>
      <c r="N3486" s="52">
        <v>1017</v>
      </c>
      <c r="O3486" s="457">
        <v>220053</v>
      </c>
      <c r="P3486" s="52"/>
      <c r="Q3486" s="52"/>
      <c r="R3486" s="52"/>
      <c r="S3486" s="462">
        <v>1</v>
      </c>
      <c r="T3486" s="52">
        <v>5</v>
      </c>
      <c r="U3486" s="52">
        <v>100</v>
      </c>
      <c r="V3486" s="462">
        <v>1</v>
      </c>
      <c r="W3486" s="52">
        <v>1</v>
      </c>
      <c r="X3486" s="52">
        <v>1</v>
      </c>
      <c r="Y3486" s="52">
        <v>0</v>
      </c>
      <c r="Z3486" s="462">
        <v>0</v>
      </c>
      <c r="AA3486" s="52">
        <v>5</v>
      </c>
      <c r="AB3486" s="52">
        <v>100</v>
      </c>
      <c r="AC3486" s="52">
        <v>110</v>
      </c>
      <c r="AD3486" s="464">
        <v>0</v>
      </c>
      <c r="AE3486" s="464">
        <v>4</v>
      </c>
      <c r="AF3486" s="464">
        <v>2</v>
      </c>
      <c r="AG3486" s="459"/>
      <c r="AH3486" s="459">
        <v>1</v>
      </c>
      <c r="AI3486" s="459"/>
      <c r="AJ3486" s="459"/>
      <c r="AK3486" s="459"/>
      <c r="AL3486" s="460">
        <v>1</v>
      </c>
      <c r="AM3486" s="460"/>
      <c r="AN3486" s="461"/>
      <c r="AO3486" s="460"/>
      <c r="AP3486" s="460"/>
      <c r="AQ3486" s="52"/>
      <c r="AS3486">
        <v>1</v>
      </c>
    </row>
    <row r="3487" spans="1:45">
      <c r="A3487">
        <v>931025</v>
      </c>
      <c r="B3487">
        <v>1001</v>
      </c>
      <c r="C3487">
        <v>1</v>
      </c>
      <c r="D3487">
        <v>1001</v>
      </c>
      <c r="E3487" t="s">
        <v>8563</v>
      </c>
      <c r="F3487" t="s">
        <v>8563</v>
      </c>
      <c r="G3487" t="s">
        <v>8564</v>
      </c>
      <c r="H3487" t="s">
        <v>1329</v>
      </c>
      <c r="I3487">
        <v>1</v>
      </c>
      <c r="J3487">
        <v>5</v>
      </c>
      <c r="K3487" s="33">
        <v>2</v>
      </c>
      <c r="L3487">
        <v>999</v>
      </c>
      <c r="M3487">
        <v>0</v>
      </c>
      <c r="N3487">
        <v>1018</v>
      </c>
      <c r="O3487" s="2" t="s">
        <v>8565</v>
      </c>
      <c r="S3487" s="33">
        <v>1</v>
      </c>
      <c r="T3487">
        <v>5</v>
      </c>
      <c r="U3487">
        <v>100</v>
      </c>
      <c r="W3487">
        <v>1</v>
      </c>
      <c r="X3487">
        <v>1</v>
      </c>
      <c r="Y3487">
        <v>0</v>
      </c>
      <c r="Z3487" s="33">
        <v>0</v>
      </c>
      <c r="AA3487">
        <v>5</v>
      </c>
      <c r="AB3487">
        <v>2000</v>
      </c>
      <c r="AC3487">
        <v>70</v>
      </c>
      <c r="AD3487" s="62">
        <v>0</v>
      </c>
      <c r="AE3487" s="62">
        <v>5</v>
      </c>
      <c r="AF3487" s="62">
        <v>2</v>
      </c>
      <c r="AS3487">
        <v>1</v>
      </c>
    </row>
    <row r="3488" spans="1:45">
      <c r="A3488">
        <v>730003</v>
      </c>
      <c r="B3488">
        <v>1001</v>
      </c>
      <c r="C3488">
        <v>6</v>
      </c>
      <c r="D3488">
        <v>1001</v>
      </c>
      <c r="E3488" t="s">
        <v>8566</v>
      </c>
      <c r="F3488" t="s">
        <v>8566</v>
      </c>
      <c r="G3488" t="s">
        <v>8567</v>
      </c>
      <c r="H3488" t="s">
        <v>204</v>
      </c>
      <c r="I3488">
        <v>1</v>
      </c>
      <c r="J3488">
        <v>5</v>
      </c>
      <c r="K3488" s="33">
        <v>2</v>
      </c>
      <c r="L3488">
        <v>999</v>
      </c>
      <c r="M3488">
        <v>0</v>
      </c>
      <c r="N3488">
        <v>1018</v>
      </c>
      <c r="O3488" s="2" t="s">
        <v>8568</v>
      </c>
      <c r="S3488" s="33">
        <v>0</v>
      </c>
      <c r="T3488">
        <v>5</v>
      </c>
      <c r="U3488">
        <v>0</v>
      </c>
      <c r="V3488" s="33">
        <v>1</v>
      </c>
      <c r="W3488">
        <v>1</v>
      </c>
      <c r="X3488">
        <v>1</v>
      </c>
      <c r="Y3488">
        <v>0</v>
      </c>
      <c r="Z3488" s="33">
        <v>0</v>
      </c>
      <c r="AA3488">
        <v>5</v>
      </c>
      <c r="AB3488">
        <v>0</v>
      </c>
      <c r="AC3488">
        <v>56</v>
      </c>
      <c r="AD3488" s="62">
        <v>0</v>
      </c>
      <c r="AE3488" s="62">
        <v>5</v>
      </c>
      <c r="AF3488" s="62">
        <v>2</v>
      </c>
      <c r="AS3488">
        <v>1</v>
      </c>
    </row>
    <row r="3489" spans="1:45">
      <c r="A3489">
        <v>1000001</v>
      </c>
      <c r="B3489">
        <v>1001</v>
      </c>
      <c r="C3489">
        <v>1</v>
      </c>
      <c r="D3489">
        <v>1001</v>
      </c>
      <c r="E3489" t="s">
        <v>8569</v>
      </c>
      <c r="F3489" t="s">
        <v>8569</v>
      </c>
      <c r="G3489" t="s">
        <v>8570</v>
      </c>
      <c r="H3489" t="s">
        <v>8530</v>
      </c>
      <c r="I3489">
        <v>1</v>
      </c>
      <c r="J3489">
        <v>5</v>
      </c>
      <c r="K3489" s="33">
        <v>2</v>
      </c>
      <c r="L3489">
        <v>999</v>
      </c>
      <c r="M3489">
        <v>0</v>
      </c>
      <c r="N3489">
        <v>1050</v>
      </c>
      <c r="O3489" s="2">
        <v>113070</v>
      </c>
      <c r="S3489" s="33">
        <v>0</v>
      </c>
      <c r="T3489">
        <v>5</v>
      </c>
      <c r="U3489">
        <v>0</v>
      </c>
      <c r="V3489" s="33">
        <v>1</v>
      </c>
      <c r="W3489">
        <v>1</v>
      </c>
      <c r="X3489">
        <v>1</v>
      </c>
      <c r="Y3489">
        <v>0</v>
      </c>
      <c r="Z3489" s="33">
        <v>0</v>
      </c>
      <c r="AA3489">
        <v>5</v>
      </c>
      <c r="AB3489">
        <v>0</v>
      </c>
      <c r="AC3489">
        <v>70</v>
      </c>
      <c r="AD3489" s="62">
        <v>0</v>
      </c>
      <c r="AE3489" s="62">
        <v>10</v>
      </c>
      <c r="AF3489" s="62">
        <v>1</v>
      </c>
      <c r="AS3489">
        <v>1</v>
      </c>
    </row>
    <row r="3490" spans="1:45">
      <c r="A3490">
        <v>1000002</v>
      </c>
      <c r="B3490" s="238">
        <v>1001</v>
      </c>
      <c r="C3490" s="238">
        <v>1</v>
      </c>
      <c r="D3490" s="238">
        <v>1001</v>
      </c>
      <c r="E3490" t="s">
        <v>8571</v>
      </c>
      <c r="F3490" t="s">
        <v>8571</v>
      </c>
      <c r="G3490" t="s">
        <v>8572</v>
      </c>
      <c r="H3490" t="s">
        <v>7892</v>
      </c>
      <c r="I3490">
        <v>1</v>
      </c>
      <c r="J3490">
        <v>5</v>
      </c>
      <c r="K3490" s="33">
        <v>2</v>
      </c>
      <c r="L3490">
        <v>999</v>
      </c>
      <c r="M3490">
        <v>0</v>
      </c>
      <c r="N3490" s="238">
        <v>1049</v>
      </c>
      <c r="O3490" s="2">
        <v>113070</v>
      </c>
      <c r="S3490" s="254">
        <v>0</v>
      </c>
      <c r="T3490" s="238">
        <v>5</v>
      </c>
      <c r="U3490" s="238">
        <v>0</v>
      </c>
      <c r="V3490" s="254">
        <v>1</v>
      </c>
      <c r="W3490" s="238">
        <v>1</v>
      </c>
      <c r="X3490" s="238">
        <v>1</v>
      </c>
      <c r="Y3490">
        <v>0</v>
      </c>
      <c r="Z3490" s="33">
        <v>0</v>
      </c>
      <c r="AA3490">
        <v>5</v>
      </c>
      <c r="AB3490">
        <v>0</v>
      </c>
      <c r="AC3490" s="238">
        <v>70</v>
      </c>
      <c r="AD3490" s="62">
        <v>0</v>
      </c>
      <c r="AE3490" s="255">
        <v>10</v>
      </c>
      <c r="AF3490" s="255">
        <v>1</v>
      </c>
      <c r="AG3490" s="91"/>
      <c r="AH3490" s="91"/>
      <c r="AJ3490" s="91"/>
      <c r="AK3490" s="91"/>
      <c r="AL3490" s="92"/>
      <c r="AM3490" s="92"/>
      <c r="AN3490" s="93"/>
      <c r="AO3490" s="92"/>
      <c r="AS3490">
        <v>1</v>
      </c>
    </row>
    <row r="3491" spans="1:45">
      <c r="A3491">
        <v>9300011</v>
      </c>
      <c r="B3491" s="8">
        <v>1001</v>
      </c>
      <c r="C3491" s="8">
        <v>2</v>
      </c>
      <c r="D3491" s="8">
        <v>1004</v>
      </c>
      <c r="E3491" t="s">
        <v>8573</v>
      </c>
      <c r="F3491" t="s">
        <v>8573</v>
      </c>
      <c r="G3491" t="s">
        <v>8573</v>
      </c>
      <c r="H3491" t="s">
        <v>1364</v>
      </c>
      <c r="I3491">
        <v>1</v>
      </c>
      <c r="J3491">
        <v>5</v>
      </c>
      <c r="K3491" s="33">
        <v>1</v>
      </c>
      <c r="L3491">
        <v>9999</v>
      </c>
      <c r="M3491">
        <v>0</v>
      </c>
      <c r="N3491" s="236"/>
      <c r="O3491" s="249"/>
      <c r="S3491" s="336">
        <v>1</v>
      </c>
      <c r="T3491" s="236">
        <v>5</v>
      </c>
      <c r="U3491" s="336">
        <v>10</v>
      </c>
      <c r="V3491" s="248">
        <v>1</v>
      </c>
      <c r="W3491" s="236">
        <v>1</v>
      </c>
      <c r="X3491" s="8">
        <v>1</v>
      </c>
      <c r="Y3491">
        <v>0</v>
      </c>
      <c r="Z3491" s="33">
        <v>0</v>
      </c>
      <c r="AA3491">
        <v>5</v>
      </c>
      <c r="AB3491">
        <v>100</v>
      </c>
      <c r="AC3491" s="248">
        <v>0</v>
      </c>
      <c r="AD3491" s="62">
        <v>0</v>
      </c>
      <c r="AE3491" s="250">
        <v>0</v>
      </c>
      <c r="AF3491" s="250">
        <v>0</v>
      </c>
      <c r="AG3491" s="251"/>
      <c r="AH3491" s="251"/>
      <c r="AI3491" s="63" t="s">
        <v>8574</v>
      </c>
      <c r="AJ3491" s="251"/>
      <c r="AK3491" s="251"/>
      <c r="AL3491" s="252"/>
      <c r="AM3491" s="252"/>
      <c r="AN3491" s="338"/>
      <c r="AO3491" s="252"/>
      <c r="AS3491">
        <v>1</v>
      </c>
    </row>
    <row r="3492" s="3" customFormat="1" spans="1:45">
      <c r="A3492" s="3">
        <v>931026</v>
      </c>
      <c r="B3492" s="8">
        <v>1001</v>
      </c>
      <c r="C3492" s="8">
        <v>6</v>
      </c>
      <c r="D3492" s="8">
        <v>1001</v>
      </c>
      <c r="E3492" s="3" t="s">
        <v>8575</v>
      </c>
      <c r="F3492" s="3" t="s">
        <v>8575</v>
      </c>
      <c r="G3492" s="3" t="s">
        <v>8576</v>
      </c>
      <c r="H3492" s="3" t="s">
        <v>1329</v>
      </c>
      <c r="I3492" s="3">
        <v>1</v>
      </c>
      <c r="J3492" s="3">
        <v>5</v>
      </c>
      <c r="K3492" s="33">
        <v>2</v>
      </c>
      <c r="L3492" s="3">
        <v>999</v>
      </c>
      <c r="M3492" s="3">
        <v>0</v>
      </c>
      <c r="N3492" s="3">
        <v>1</v>
      </c>
      <c r="O3492" s="249" t="s">
        <v>8577</v>
      </c>
      <c r="S3492" s="33">
        <v>1</v>
      </c>
      <c r="T3492" s="3">
        <v>5</v>
      </c>
      <c r="U3492" s="3">
        <v>10</v>
      </c>
      <c r="V3492" s="33">
        <v>1</v>
      </c>
      <c r="W3492" s="3">
        <v>1</v>
      </c>
      <c r="X3492" s="8">
        <v>1</v>
      </c>
      <c r="Y3492" s="3">
        <v>0</v>
      </c>
      <c r="Z3492" s="33">
        <v>0</v>
      </c>
      <c r="AA3492" s="3">
        <v>5</v>
      </c>
      <c r="AB3492" s="3">
        <v>100</v>
      </c>
      <c r="AC3492" s="3">
        <v>56</v>
      </c>
      <c r="AD3492" s="62">
        <v>0</v>
      </c>
      <c r="AE3492" s="62">
        <v>4</v>
      </c>
      <c r="AF3492" s="62">
        <v>2</v>
      </c>
      <c r="AG3492" s="63"/>
      <c r="AH3492" s="63"/>
      <c r="AI3492" s="63"/>
      <c r="AJ3492" s="63"/>
      <c r="AK3492" s="63"/>
      <c r="AL3492" s="64"/>
      <c r="AM3492" s="64"/>
      <c r="AN3492" s="65"/>
      <c r="AO3492" s="64"/>
      <c r="AP3492" s="64"/>
      <c r="AS3492" s="3">
        <v>1</v>
      </c>
    </row>
    <row r="3493" s="3" customFormat="1" spans="1:45">
      <c r="A3493" s="3">
        <v>931027</v>
      </c>
      <c r="B3493" s="8">
        <v>1001</v>
      </c>
      <c r="C3493" s="8">
        <v>6</v>
      </c>
      <c r="D3493" s="8">
        <v>1001</v>
      </c>
      <c r="E3493" s="3" t="s">
        <v>8578</v>
      </c>
      <c r="F3493" s="3" t="s">
        <v>8578</v>
      </c>
      <c r="G3493" s="3" t="s">
        <v>8579</v>
      </c>
      <c r="H3493" s="3" t="s">
        <v>1329</v>
      </c>
      <c r="I3493" s="3">
        <v>1</v>
      </c>
      <c r="J3493" s="3">
        <v>5</v>
      </c>
      <c r="K3493" s="33">
        <v>2</v>
      </c>
      <c r="L3493" s="3">
        <v>999</v>
      </c>
      <c r="M3493" s="3">
        <v>0</v>
      </c>
      <c r="N3493" s="3">
        <v>1</v>
      </c>
      <c r="O3493" s="249" t="s">
        <v>8580</v>
      </c>
      <c r="S3493" s="33">
        <v>1</v>
      </c>
      <c r="T3493" s="3">
        <v>5</v>
      </c>
      <c r="U3493" s="3">
        <v>10</v>
      </c>
      <c r="V3493" s="33">
        <v>1</v>
      </c>
      <c r="W3493" s="3">
        <v>1</v>
      </c>
      <c r="X3493" s="8">
        <v>1</v>
      </c>
      <c r="Y3493" s="3">
        <v>0</v>
      </c>
      <c r="Z3493" s="33">
        <v>0</v>
      </c>
      <c r="AA3493" s="3">
        <v>5</v>
      </c>
      <c r="AB3493" s="3">
        <v>100</v>
      </c>
      <c r="AC3493" s="3">
        <v>56</v>
      </c>
      <c r="AD3493" s="62">
        <v>0</v>
      </c>
      <c r="AE3493" s="62">
        <v>4</v>
      </c>
      <c r="AF3493" s="62">
        <v>2</v>
      </c>
      <c r="AG3493" s="63"/>
      <c r="AH3493" s="63"/>
      <c r="AI3493" s="63"/>
      <c r="AJ3493" s="63"/>
      <c r="AK3493" s="63"/>
      <c r="AL3493" s="64"/>
      <c r="AM3493" s="64"/>
      <c r="AN3493" s="65"/>
      <c r="AO3493" s="64"/>
      <c r="AP3493" s="64"/>
      <c r="AS3493" s="3">
        <v>1</v>
      </c>
    </row>
    <row r="3494" s="3" customFormat="1" spans="1:45">
      <c r="A3494" s="3">
        <v>931028</v>
      </c>
      <c r="B3494" s="8">
        <v>1001</v>
      </c>
      <c r="C3494" s="8">
        <v>6</v>
      </c>
      <c r="D3494" s="8">
        <v>1001</v>
      </c>
      <c r="E3494" s="3" t="s">
        <v>8581</v>
      </c>
      <c r="F3494" s="3" t="s">
        <v>8581</v>
      </c>
      <c r="G3494" s="3" t="s">
        <v>8582</v>
      </c>
      <c r="H3494" s="3" t="s">
        <v>1329</v>
      </c>
      <c r="I3494" s="3">
        <v>1</v>
      </c>
      <c r="J3494" s="3">
        <v>5</v>
      </c>
      <c r="K3494" s="33">
        <v>2</v>
      </c>
      <c r="L3494" s="3">
        <v>999</v>
      </c>
      <c r="M3494" s="3">
        <v>0</v>
      </c>
      <c r="N3494" s="3">
        <v>1</v>
      </c>
      <c r="O3494" s="249" t="s">
        <v>8583</v>
      </c>
      <c r="S3494" s="33">
        <v>1</v>
      </c>
      <c r="T3494" s="3">
        <v>5</v>
      </c>
      <c r="U3494" s="3">
        <v>10</v>
      </c>
      <c r="V3494" s="33">
        <v>1</v>
      </c>
      <c r="W3494" s="3">
        <v>1</v>
      </c>
      <c r="X3494" s="236">
        <v>1</v>
      </c>
      <c r="Y3494" s="3">
        <v>0</v>
      </c>
      <c r="Z3494" s="33">
        <v>0</v>
      </c>
      <c r="AA3494" s="3">
        <v>5</v>
      </c>
      <c r="AB3494" s="3">
        <v>100</v>
      </c>
      <c r="AC3494" s="3">
        <v>56</v>
      </c>
      <c r="AD3494" s="62">
        <v>0</v>
      </c>
      <c r="AE3494" s="62">
        <v>4</v>
      </c>
      <c r="AF3494" s="62">
        <v>2</v>
      </c>
      <c r="AG3494" s="63"/>
      <c r="AH3494" s="63"/>
      <c r="AI3494" s="63"/>
      <c r="AJ3494" s="63"/>
      <c r="AK3494" s="63"/>
      <c r="AL3494" s="64"/>
      <c r="AM3494" s="64"/>
      <c r="AN3494" s="65"/>
      <c r="AO3494" s="64"/>
      <c r="AP3494" s="64"/>
      <c r="AS3494" s="3">
        <v>1</v>
      </c>
    </row>
    <row r="3495" s="57" customFormat="1" spans="1:45">
      <c r="A3495" s="57">
        <v>11010001</v>
      </c>
      <c r="B3495" s="544">
        <v>1001</v>
      </c>
      <c r="C3495" s="544">
        <v>1</v>
      </c>
      <c r="D3495" s="545">
        <v>1001</v>
      </c>
      <c r="E3495" s="57" t="s">
        <v>8584</v>
      </c>
      <c r="F3495" s="57" t="s">
        <v>8584</v>
      </c>
      <c r="G3495" s="57" t="s">
        <v>8585</v>
      </c>
      <c r="H3495" s="57" t="s">
        <v>8586</v>
      </c>
      <c r="I3495" s="57">
        <v>1</v>
      </c>
      <c r="J3495" s="546">
        <v>5</v>
      </c>
      <c r="K3495" s="57">
        <v>1</v>
      </c>
      <c r="L3495" s="57">
        <v>999</v>
      </c>
      <c r="M3495" s="57">
        <v>0</v>
      </c>
      <c r="O3495" s="547"/>
      <c r="S3495" s="57">
        <v>1</v>
      </c>
      <c r="T3495" s="57">
        <v>5</v>
      </c>
      <c r="U3495" s="57">
        <v>110</v>
      </c>
      <c r="V3495" s="57">
        <v>1</v>
      </c>
      <c r="W3495" s="57">
        <v>1</v>
      </c>
      <c r="X3495" s="57">
        <v>1</v>
      </c>
      <c r="Y3495" s="57">
        <v>0</v>
      </c>
      <c r="Z3495" s="57">
        <v>0</v>
      </c>
      <c r="AA3495" s="57">
        <v>5</v>
      </c>
      <c r="AB3495" s="57">
        <v>4000</v>
      </c>
      <c r="AC3495" s="57">
        <v>0</v>
      </c>
      <c r="AD3495" s="548">
        <v>0</v>
      </c>
      <c r="AE3495" s="548">
        <v>0</v>
      </c>
      <c r="AF3495" s="548">
        <v>0</v>
      </c>
      <c r="AG3495" s="549"/>
      <c r="AH3495" s="549">
        <v>1</v>
      </c>
      <c r="AI3495" s="549"/>
      <c r="AJ3495" s="549"/>
      <c r="AK3495" s="549"/>
      <c r="AL3495" s="550">
        <v>1</v>
      </c>
      <c r="AM3495" s="550"/>
      <c r="AN3495" s="551"/>
      <c r="AO3495" s="550"/>
      <c r="AP3495" s="550"/>
      <c r="AS3495" s="57">
        <v>1</v>
      </c>
    </row>
    <row r="3496" s="57" customFormat="1" spans="1:45">
      <c r="A3496" s="57">
        <v>11010002</v>
      </c>
      <c r="B3496" s="544">
        <v>1001</v>
      </c>
      <c r="C3496" s="544">
        <v>1</v>
      </c>
      <c r="D3496" s="545">
        <v>1001</v>
      </c>
      <c r="E3496" s="57" t="s">
        <v>8587</v>
      </c>
      <c r="F3496" s="57" t="s">
        <v>8587</v>
      </c>
      <c r="G3496" s="57" t="s">
        <v>8588</v>
      </c>
      <c r="H3496" s="57" t="s">
        <v>8586</v>
      </c>
      <c r="I3496" s="57">
        <v>1</v>
      </c>
      <c r="J3496" s="546">
        <v>5</v>
      </c>
      <c r="K3496" s="57">
        <v>1</v>
      </c>
      <c r="L3496" s="57">
        <v>999</v>
      </c>
      <c r="M3496" s="57">
        <v>0</v>
      </c>
      <c r="O3496" s="547"/>
      <c r="S3496" s="57">
        <v>1</v>
      </c>
      <c r="T3496" s="57">
        <v>5</v>
      </c>
      <c r="U3496" s="57">
        <v>110</v>
      </c>
      <c r="V3496" s="57">
        <v>1</v>
      </c>
      <c r="W3496" s="57">
        <v>1</v>
      </c>
      <c r="X3496" s="57">
        <v>1</v>
      </c>
      <c r="Y3496" s="57">
        <v>0</v>
      </c>
      <c r="Z3496" s="57">
        <v>0</v>
      </c>
      <c r="AA3496" s="57">
        <v>5</v>
      </c>
      <c r="AB3496" s="57">
        <v>4000</v>
      </c>
      <c r="AC3496" s="57">
        <v>0</v>
      </c>
      <c r="AD3496" s="548">
        <v>0</v>
      </c>
      <c r="AE3496" s="548">
        <v>0</v>
      </c>
      <c r="AF3496" s="548">
        <v>0</v>
      </c>
      <c r="AG3496" s="549"/>
      <c r="AH3496" s="549">
        <v>1</v>
      </c>
      <c r="AI3496" s="549"/>
      <c r="AJ3496" s="549"/>
      <c r="AK3496" s="549"/>
      <c r="AL3496" s="550">
        <v>1</v>
      </c>
      <c r="AM3496" s="550"/>
      <c r="AN3496" s="551"/>
      <c r="AO3496" s="550"/>
      <c r="AP3496" s="550"/>
      <c r="AS3496" s="57">
        <v>1</v>
      </c>
    </row>
    <row r="3497" s="57" customFormat="1" spans="1:45">
      <c r="A3497" s="57">
        <v>11010003</v>
      </c>
      <c r="B3497" s="544">
        <v>1001</v>
      </c>
      <c r="C3497" s="544">
        <v>1</v>
      </c>
      <c r="D3497" s="545">
        <v>1001</v>
      </c>
      <c r="E3497" s="57" t="s">
        <v>8589</v>
      </c>
      <c r="F3497" s="57" t="s">
        <v>8589</v>
      </c>
      <c r="G3497" s="57" t="s">
        <v>8590</v>
      </c>
      <c r="H3497" s="57" t="s">
        <v>8586</v>
      </c>
      <c r="I3497" s="57">
        <v>1</v>
      </c>
      <c r="J3497" s="546">
        <v>5</v>
      </c>
      <c r="K3497" s="57">
        <v>1</v>
      </c>
      <c r="L3497" s="57">
        <v>999</v>
      </c>
      <c r="M3497" s="57">
        <v>0</v>
      </c>
      <c r="O3497" s="547"/>
      <c r="S3497" s="57">
        <v>1</v>
      </c>
      <c r="T3497" s="57">
        <v>5</v>
      </c>
      <c r="U3497" s="57">
        <v>110</v>
      </c>
      <c r="V3497" s="57">
        <v>1</v>
      </c>
      <c r="W3497" s="57">
        <v>1</v>
      </c>
      <c r="X3497" s="57">
        <v>1</v>
      </c>
      <c r="Y3497" s="57">
        <v>0</v>
      </c>
      <c r="Z3497" s="57">
        <v>0</v>
      </c>
      <c r="AA3497" s="57">
        <v>5</v>
      </c>
      <c r="AB3497" s="57">
        <v>4000</v>
      </c>
      <c r="AC3497" s="57">
        <v>0</v>
      </c>
      <c r="AD3497" s="548">
        <v>0</v>
      </c>
      <c r="AE3497" s="548">
        <v>0</v>
      </c>
      <c r="AF3497" s="548">
        <v>0</v>
      </c>
      <c r="AG3497" s="549"/>
      <c r="AH3497" s="549">
        <v>1</v>
      </c>
      <c r="AI3497" s="549"/>
      <c r="AJ3497" s="549"/>
      <c r="AK3497" s="549"/>
      <c r="AL3497" s="550">
        <v>1</v>
      </c>
      <c r="AM3497" s="550"/>
      <c r="AN3497" s="551"/>
      <c r="AO3497" s="550"/>
      <c r="AP3497" s="550"/>
      <c r="AS3497" s="57">
        <v>1</v>
      </c>
    </row>
    <row r="3498" s="57" customFormat="1" spans="1:45">
      <c r="A3498" s="57">
        <v>11010004</v>
      </c>
      <c r="B3498" s="544">
        <v>1001</v>
      </c>
      <c r="C3498" s="544">
        <v>1</v>
      </c>
      <c r="D3498" s="545">
        <v>1001</v>
      </c>
      <c r="E3498" s="57" t="s">
        <v>8591</v>
      </c>
      <c r="F3498" s="57" t="s">
        <v>8591</v>
      </c>
      <c r="G3498" s="57" t="s">
        <v>8592</v>
      </c>
      <c r="H3498" s="57" t="s">
        <v>8586</v>
      </c>
      <c r="I3498" s="57">
        <v>1</v>
      </c>
      <c r="J3498" s="546">
        <v>5</v>
      </c>
      <c r="K3498" s="57">
        <v>1</v>
      </c>
      <c r="L3498" s="57">
        <v>999</v>
      </c>
      <c r="M3498" s="57">
        <v>0</v>
      </c>
      <c r="O3498" s="547"/>
      <c r="S3498" s="57">
        <v>1</v>
      </c>
      <c r="T3498" s="57">
        <v>5</v>
      </c>
      <c r="U3498" s="57">
        <v>110</v>
      </c>
      <c r="V3498" s="57">
        <v>1</v>
      </c>
      <c r="W3498" s="57">
        <v>1</v>
      </c>
      <c r="X3498" s="57">
        <v>1</v>
      </c>
      <c r="Y3498" s="57">
        <v>0</v>
      </c>
      <c r="Z3498" s="57">
        <v>0</v>
      </c>
      <c r="AA3498" s="57">
        <v>5</v>
      </c>
      <c r="AB3498" s="57">
        <v>4000</v>
      </c>
      <c r="AC3498" s="57">
        <v>0</v>
      </c>
      <c r="AD3498" s="548">
        <v>0</v>
      </c>
      <c r="AE3498" s="548">
        <v>0</v>
      </c>
      <c r="AF3498" s="548">
        <v>0</v>
      </c>
      <c r="AG3498" s="549"/>
      <c r="AH3498" s="549">
        <v>1</v>
      </c>
      <c r="AI3498" s="549"/>
      <c r="AJ3498" s="549"/>
      <c r="AK3498" s="549"/>
      <c r="AL3498" s="550">
        <v>1</v>
      </c>
      <c r="AM3498" s="550"/>
      <c r="AN3498" s="551"/>
      <c r="AO3498" s="550"/>
      <c r="AP3498" s="550"/>
      <c r="AS3498" s="57">
        <v>1</v>
      </c>
    </row>
    <row r="3499" s="57" customFormat="1" spans="1:45">
      <c r="A3499" s="57">
        <v>11010005</v>
      </c>
      <c r="B3499" s="544">
        <v>1001</v>
      </c>
      <c r="C3499" s="544">
        <v>1</v>
      </c>
      <c r="D3499" s="545">
        <v>1001</v>
      </c>
      <c r="E3499" s="57" t="s">
        <v>8593</v>
      </c>
      <c r="F3499" s="57" t="s">
        <v>8593</v>
      </c>
      <c r="G3499" s="57" t="s">
        <v>8594</v>
      </c>
      <c r="H3499" s="57" t="s">
        <v>8586</v>
      </c>
      <c r="I3499" s="57">
        <v>1</v>
      </c>
      <c r="J3499" s="546">
        <v>5</v>
      </c>
      <c r="K3499" s="57">
        <v>1</v>
      </c>
      <c r="L3499" s="57">
        <v>999</v>
      </c>
      <c r="M3499" s="57">
        <v>0</v>
      </c>
      <c r="O3499" s="547"/>
      <c r="S3499" s="57">
        <v>1</v>
      </c>
      <c r="T3499" s="57">
        <v>5</v>
      </c>
      <c r="U3499" s="57">
        <v>110</v>
      </c>
      <c r="V3499" s="57">
        <v>1</v>
      </c>
      <c r="W3499" s="57">
        <v>1</v>
      </c>
      <c r="X3499" s="57">
        <v>1</v>
      </c>
      <c r="Y3499" s="57">
        <v>0</v>
      </c>
      <c r="Z3499" s="57">
        <v>0</v>
      </c>
      <c r="AA3499" s="57">
        <v>5</v>
      </c>
      <c r="AB3499" s="57">
        <v>4000</v>
      </c>
      <c r="AC3499" s="57">
        <v>0</v>
      </c>
      <c r="AD3499" s="548">
        <v>0</v>
      </c>
      <c r="AE3499" s="548">
        <v>0</v>
      </c>
      <c r="AF3499" s="548">
        <v>0</v>
      </c>
      <c r="AG3499" s="549"/>
      <c r="AH3499" s="549">
        <v>1</v>
      </c>
      <c r="AI3499" s="549"/>
      <c r="AJ3499" s="549"/>
      <c r="AK3499" s="549"/>
      <c r="AL3499" s="550">
        <v>1</v>
      </c>
      <c r="AM3499" s="550"/>
      <c r="AN3499" s="551"/>
      <c r="AO3499" s="550"/>
      <c r="AP3499" s="550"/>
      <c r="AS3499" s="57">
        <v>1</v>
      </c>
    </row>
    <row r="3500" s="57" customFormat="1" spans="1:45">
      <c r="A3500" s="57">
        <v>11010006</v>
      </c>
      <c r="B3500" s="544">
        <v>1001</v>
      </c>
      <c r="C3500" s="544">
        <v>1</v>
      </c>
      <c r="D3500" s="545">
        <v>1001</v>
      </c>
      <c r="E3500" s="57" t="s">
        <v>8595</v>
      </c>
      <c r="F3500" s="57" t="s">
        <v>8595</v>
      </c>
      <c r="G3500" s="57" t="s">
        <v>8596</v>
      </c>
      <c r="H3500" s="57" t="s">
        <v>8586</v>
      </c>
      <c r="I3500" s="57">
        <v>1</v>
      </c>
      <c r="J3500" s="546">
        <v>5</v>
      </c>
      <c r="K3500" s="57">
        <v>1</v>
      </c>
      <c r="L3500" s="57">
        <v>999</v>
      </c>
      <c r="M3500" s="57">
        <v>0</v>
      </c>
      <c r="O3500" s="547"/>
      <c r="S3500" s="57">
        <v>1</v>
      </c>
      <c r="T3500" s="57">
        <v>5</v>
      </c>
      <c r="U3500" s="57">
        <v>110</v>
      </c>
      <c r="V3500" s="57">
        <v>1</v>
      </c>
      <c r="W3500" s="57">
        <v>1</v>
      </c>
      <c r="X3500" s="57">
        <v>1</v>
      </c>
      <c r="Y3500" s="57">
        <v>0</v>
      </c>
      <c r="Z3500" s="57">
        <v>0</v>
      </c>
      <c r="AA3500" s="57">
        <v>5</v>
      </c>
      <c r="AB3500" s="57">
        <v>4000</v>
      </c>
      <c r="AC3500" s="57">
        <v>0</v>
      </c>
      <c r="AD3500" s="548">
        <v>0</v>
      </c>
      <c r="AE3500" s="548">
        <v>0</v>
      </c>
      <c r="AF3500" s="548">
        <v>0</v>
      </c>
      <c r="AG3500" s="549"/>
      <c r="AH3500" s="549">
        <v>1</v>
      </c>
      <c r="AI3500" s="549"/>
      <c r="AJ3500" s="549"/>
      <c r="AK3500" s="549"/>
      <c r="AL3500" s="550">
        <v>1</v>
      </c>
      <c r="AM3500" s="550"/>
      <c r="AN3500" s="551"/>
      <c r="AO3500" s="550"/>
      <c r="AP3500" s="550"/>
      <c r="AS3500" s="57">
        <v>1</v>
      </c>
    </row>
    <row r="3501" s="57" customFormat="1" spans="1:45">
      <c r="A3501" s="57">
        <v>11010007</v>
      </c>
      <c r="B3501" s="544">
        <v>1001</v>
      </c>
      <c r="C3501" s="544">
        <v>1</v>
      </c>
      <c r="D3501" s="545">
        <v>1001</v>
      </c>
      <c r="E3501" s="57" t="s">
        <v>8597</v>
      </c>
      <c r="F3501" s="57" t="s">
        <v>8597</v>
      </c>
      <c r="G3501" s="57" t="s">
        <v>8598</v>
      </c>
      <c r="H3501" s="57" t="s">
        <v>8586</v>
      </c>
      <c r="I3501" s="57">
        <v>1</v>
      </c>
      <c r="J3501" s="546">
        <v>5</v>
      </c>
      <c r="K3501" s="57">
        <v>1</v>
      </c>
      <c r="L3501" s="57">
        <v>999</v>
      </c>
      <c r="M3501" s="57">
        <v>0</v>
      </c>
      <c r="O3501" s="547"/>
      <c r="S3501" s="57">
        <v>1</v>
      </c>
      <c r="T3501" s="57">
        <v>5</v>
      </c>
      <c r="U3501" s="57">
        <v>110</v>
      </c>
      <c r="V3501" s="57">
        <v>1</v>
      </c>
      <c r="W3501" s="57">
        <v>1</v>
      </c>
      <c r="X3501" s="57">
        <v>1</v>
      </c>
      <c r="Y3501" s="57">
        <v>0</v>
      </c>
      <c r="Z3501" s="57">
        <v>0</v>
      </c>
      <c r="AA3501" s="57">
        <v>5</v>
      </c>
      <c r="AB3501" s="57">
        <v>4000</v>
      </c>
      <c r="AC3501" s="57">
        <v>0</v>
      </c>
      <c r="AD3501" s="548">
        <v>0</v>
      </c>
      <c r="AE3501" s="548">
        <v>0</v>
      </c>
      <c r="AF3501" s="548">
        <v>0</v>
      </c>
      <c r="AG3501" s="549"/>
      <c r="AH3501" s="549">
        <v>1</v>
      </c>
      <c r="AI3501" s="549"/>
      <c r="AJ3501" s="549"/>
      <c r="AK3501" s="549"/>
      <c r="AL3501" s="550">
        <v>1</v>
      </c>
      <c r="AM3501" s="550"/>
      <c r="AN3501" s="551"/>
      <c r="AO3501" s="550"/>
      <c r="AP3501" s="550"/>
      <c r="AS3501" s="57">
        <v>1</v>
      </c>
    </row>
    <row r="3502" s="57" customFormat="1" spans="1:45">
      <c r="A3502" s="57">
        <v>11010008</v>
      </c>
      <c r="B3502" s="544">
        <v>1001</v>
      </c>
      <c r="C3502" s="544">
        <v>1</v>
      </c>
      <c r="D3502" s="545">
        <v>1001</v>
      </c>
      <c r="E3502" s="57" t="s">
        <v>8599</v>
      </c>
      <c r="F3502" s="57" t="s">
        <v>8599</v>
      </c>
      <c r="G3502" s="57" t="s">
        <v>8600</v>
      </c>
      <c r="H3502" s="57" t="s">
        <v>8586</v>
      </c>
      <c r="I3502" s="57">
        <v>1</v>
      </c>
      <c r="J3502" s="546">
        <v>5</v>
      </c>
      <c r="K3502" s="57">
        <v>1</v>
      </c>
      <c r="L3502" s="57">
        <v>999</v>
      </c>
      <c r="M3502" s="57">
        <v>0</v>
      </c>
      <c r="O3502" s="547"/>
      <c r="S3502" s="57">
        <v>1</v>
      </c>
      <c r="T3502" s="57">
        <v>5</v>
      </c>
      <c r="U3502" s="57">
        <v>110</v>
      </c>
      <c r="V3502" s="57">
        <v>1</v>
      </c>
      <c r="W3502" s="57">
        <v>1</v>
      </c>
      <c r="X3502" s="57">
        <v>1</v>
      </c>
      <c r="Y3502" s="57">
        <v>0</v>
      </c>
      <c r="Z3502" s="57">
        <v>0</v>
      </c>
      <c r="AA3502" s="57">
        <v>5</v>
      </c>
      <c r="AB3502" s="57">
        <v>4000</v>
      </c>
      <c r="AC3502" s="57">
        <v>0</v>
      </c>
      <c r="AD3502" s="548">
        <v>0</v>
      </c>
      <c r="AE3502" s="548">
        <v>0</v>
      </c>
      <c r="AF3502" s="548">
        <v>0</v>
      </c>
      <c r="AG3502" s="549"/>
      <c r="AH3502" s="549">
        <v>1</v>
      </c>
      <c r="AI3502" s="549"/>
      <c r="AJ3502" s="549"/>
      <c r="AK3502" s="549"/>
      <c r="AL3502" s="550">
        <v>1</v>
      </c>
      <c r="AM3502" s="550"/>
      <c r="AN3502" s="551"/>
      <c r="AO3502" s="550"/>
      <c r="AP3502" s="550"/>
      <c r="AS3502" s="57">
        <v>1</v>
      </c>
    </row>
    <row r="3503" s="57" customFormat="1" spans="1:45">
      <c r="A3503" s="57">
        <v>11010009</v>
      </c>
      <c r="B3503" s="544">
        <v>1001</v>
      </c>
      <c r="C3503" s="544">
        <v>1</v>
      </c>
      <c r="D3503" s="545">
        <v>1001</v>
      </c>
      <c r="E3503" s="57" t="s">
        <v>8601</v>
      </c>
      <c r="F3503" s="57" t="s">
        <v>8601</v>
      </c>
      <c r="G3503" s="57" t="s">
        <v>8602</v>
      </c>
      <c r="H3503" s="57" t="s">
        <v>8586</v>
      </c>
      <c r="I3503" s="57">
        <v>1</v>
      </c>
      <c r="J3503" s="546">
        <v>5</v>
      </c>
      <c r="K3503" s="57">
        <v>1</v>
      </c>
      <c r="L3503" s="57">
        <v>999</v>
      </c>
      <c r="M3503" s="57">
        <v>0</v>
      </c>
      <c r="O3503" s="547"/>
      <c r="S3503" s="57">
        <v>1</v>
      </c>
      <c r="T3503" s="57">
        <v>5</v>
      </c>
      <c r="U3503" s="57">
        <v>110</v>
      </c>
      <c r="V3503" s="57">
        <v>1</v>
      </c>
      <c r="W3503" s="57">
        <v>1</v>
      </c>
      <c r="X3503" s="57">
        <v>1</v>
      </c>
      <c r="Y3503" s="57">
        <v>0</v>
      </c>
      <c r="Z3503" s="57">
        <v>0</v>
      </c>
      <c r="AA3503" s="57">
        <v>5</v>
      </c>
      <c r="AB3503" s="57">
        <v>4000</v>
      </c>
      <c r="AC3503" s="57">
        <v>0</v>
      </c>
      <c r="AD3503" s="548">
        <v>0</v>
      </c>
      <c r="AE3503" s="548">
        <v>0</v>
      </c>
      <c r="AF3503" s="548">
        <v>0</v>
      </c>
      <c r="AG3503" s="549"/>
      <c r="AH3503" s="549">
        <v>1</v>
      </c>
      <c r="AI3503" s="549"/>
      <c r="AJ3503" s="549"/>
      <c r="AK3503" s="549"/>
      <c r="AL3503" s="550">
        <v>1</v>
      </c>
      <c r="AM3503" s="550"/>
      <c r="AN3503" s="551"/>
      <c r="AO3503" s="550"/>
      <c r="AP3503" s="550"/>
      <c r="AS3503" s="57">
        <v>1</v>
      </c>
    </row>
    <row r="3504" s="57" customFormat="1" spans="1:45">
      <c r="A3504" s="57">
        <v>11010010</v>
      </c>
      <c r="B3504" s="544">
        <v>1001</v>
      </c>
      <c r="C3504" s="544">
        <v>1</v>
      </c>
      <c r="D3504" s="545">
        <v>1001</v>
      </c>
      <c r="E3504" s="57" t="s">
        <v>8603</v>
      </c>
      <c r="F3504" s="57" t="s">
        <v>8603</v>
      </c>
      <c r="G3504" s="57" t="s">
        <v>8604</v>
      </c>
      <c r="H3504" s="57" t="s">
        <v>8586</v>
      </c>
      <c r="I3504" s="57">
        <v>1</v>
      </c>
      <c r="J3504" s="546">
        <v>5</v>
      </c>
      <c r="K3504" s="57">
        <v>1</v>
      </c>
      <c r="L3504" s="57">
        <v>999</v>
      </c>
      <c r="M3504" s="57">
        <v>0</v>
      </c>
      <c r="O3504" s="547"/>
      <c r="S3504" s="57">
        <v>1</v>
      </c>
      <c r="T3504" s="57">
        <v>5</v>
      </c>
      <c r="U3504" s="57">
        <v>110</v>
      </c>
      <c r="V3504" s="57">
        <v>1</v>
      </c>
      <c r="W3504" s="57">
        <v>1</v>
      </c>
      <c r="X3504" s="57">
        <v>1</v>
      </c>
      <c r="Y3504" s="57">
        <v>0</v>
      </c>
      <c r="Z3504" s="57">
        <v>0</v>
      </c>
      <c r="AA3504" s="57">
        <v>5</v>
      </c>
      <c r="AB3504" s="57">
        <v>4000</v>
      </c>
      <c r="AC3504" s="57">
        <v>0</v>
      </c>
      <c r="AD3504" s="548">
        <v>0</v>
      </c>
      <c r="AE3504" s="548">
        <v>0</v>
      </c>
      <c r="AF3504" s="548">
        <v>0</v>
      </c>
      <c r="AG3504" s="549"/>
      <c r="AH3504" s="549">
        <v>1</v>
      </c>
      <c r="AI3504" s="549"/>
      <c r="AJ3504" s="549"/>
      <c r="AK3504" s="549"/>
      <c r="AL3504" s="550">
        <v>1</v>
      </c>
      <c r="AM3504" s="550"/>
      <c r="AN3504" s="551"/>
      <c r="AO3504" s="550"/>
      <c r="AP3504" s="550"/>
      <c r="AS3504" s="57">
        <v>1</v>
      </c>
    </row>
    <row r="3505" s="57" customFormat="1" spans="1:45">
      <c r="A3505" s="57">
        <v>11010011</v>
      </c>
      <c r="B3505" s="544">
        <v>1001</v>
      </c>
      <c r="C3505" s="544">
        <v>1</v>
      </c>
      <c r="D3505" s="545">
        <v>1001</v>
      </c>
      <c r="E3505" s="57" t="s">
        <v>8605</v>
      </c>
      <c r="F3505" s="57" t="s">
        <v>8605</v>
      </c>
      <c r="G3505" s="57" t="s">
        <v>8606</v>
      </c>
      <c r="H3505" s="57" t="s">
        <v>8586</v>
      </c>
      <c r="I3505" s="57">
        <v>1</v>
      </c>
      <c r="J3505" s="546">
        <v>5</v>
      </c>
      <c r="K3505" s="57">
        <v>1</v>
      </c>
      <c r="L3505" s="57">
        <v>999</v>
      </c>
      <c r="M3505" s="57">
        <v>0</v>
      </c>
      <c r="O3505" s="547"/>
      <c r="S3505" s="57">
        <v>1</v>
      </c>
      <c r="T3505" s="57">
        <v>5</v>
      </c>
      <c r="U3505" s="57">
        <v>110</v>
      </c>
      <c r="V3505" s="57">
        <v>1</v>
      </c>
      <c r="W3505" s="57">
        <v>1</v>
      </c>
      <c r="X3505" s="57">
        <v>1</v>
      </c>
      <c r="Y3505" s="57">
        <v>0</v>
      </c>
      <c r="Z3505" s="57">
        <v>0</v>
      </c>
      <c r="AA3505" s="57">
        <v>5</v>
      </c>
      <c r="AB3505" s="57">
        <v>4000</v>
      </c>
      <c r="AC3505" s="57">
        <v>0</v>
      </c>
      <c r="AD3505" s="548">
        <v>0</v>
      </c>
      <c r="AE3505" s="548">
        <v>0</v>
      </c>
      <c r="AF3505" s="548">
        <v>0</v>
      </c>
      <c r="AG3505" s="549"/>
      <c r="AH3505" s="549">
        <v>1</v>
      </c>
      <c r="AI3505" s="549"/>
      <c r="AJ3505" s="549"/>
      <c r="AK3505" s="549"/>
      <c r="AL3505" s="550">
        <v>1</v>
      </c>
      <c r="AM3505" s="550"/>
      <c r="AN3505" s="551"/>
      <c r="AO3505" s="550"/>
      <c r="AP3505" s="550"/>
      <c r="AS3505" s="57">
        <v>1</v>
      </c>
    </row>
    <row r="3506" s="57" customFormat="1" spans="1:45">
      <c r="A3506" s="57">
        <v>11010012</v>
      </c>
      <c r="B3506" s="544">
        <v>1001</v>
      </c>
      <c r="C3506" s="544">
        <v>1</v>
      </c>
      <c r="D3506" s="545">
        <v>1001</v>
      </c>
      <c r="E3506" s="57" t="s">
        <v>8607</v>
      </c>
      <c r="F3506" s="57" t="s">
        <v>8607</v>
      </c>
      <c r="G3506" s="57" t="s">
        <v>8608</v>
      </c>
      <c r="H3506" s="57" t="s">
        <v>8586</v>
      </c>
      <c r="I3506" s="57">
        <v>1</v>
      </c>
      <c r="J3506" s="546">
        <v>5</v>
      </c>
      <c r="K3506" s="57">
        <v>1</v>
      </c>
      <c r="L3506" s="57">
        <v>999</v>
      </c>
      <c r="M3506" s="57">
        <v>0</v>
      </c>
      <c r="O3506" s="547"/>
      <c r="S3506" s="57">
        <v>1</v>
      </c>
      <c r="T3506" s="57">
        <v>5</v>
      </c>
      <c r="U3506" s="57">
        <v>110</v>
      </c>
      <c r="V3506" s="57">
        <v>1</v>
      </c>
      <c r="W3506" s="57">
        <v>1</v>
      </c>
      <c r="X3506" s="57">
        <v>1</v>
      </c>
      <c r="Y3506" s="57">
        <v>0</v>
      </c>
      <c r="Z3506" s="57">
        <v>0</v>
      </c>
      <c r="AA3506" s="57">
        <v>5</v>
      </c>
      <c r="AB3506" s="57">
        <v>4000</v>
      </c>
      <c r="AC3506" s="57">
        <v>0</v>
      </c>
      <c r="AD3506" s="548">
        <v>0</v>
      </c>
      <c r="AE3506" s="548">
        <v>0</v>
      </c>
      <c r="AF3506" s="548">
        <v>0</v>
      </c>
      <c r="AG3506" s="549"/>
      <c r="AH3506" s="549">
        <v>1</v>
      </c>
      <c r="AI3506" s="549"/>
      <c r="AJ3506" s="549"/>
      <c r="AK3506" s="549"/>
      <c r="AL3506" s="550">
        <v>1</v>
      </c>
      <c r="AM3506" s="550"/>
      <c r="AN3506" s="551"/>
      <c r="AO3506" s="550"/>
      <c r="AP3506" s="550"/>
      <c r="AS3506" s="57">
        <v>1</v>
      </c>
    </row>
    <row r="3507" s="57" customFormat="1" spans="1:45">
      <c r="A3507" s="57">
        <v>11010013</v>
      </c>
      <c r="B3507" s="544">
        <v>1001</v>
      </c>
      <c r="C3507" s="544">
        <v>1</v>
      </c>
      <c r="D3507" s="545">
        <v>1001</v>
      </c>
      <c r="E3507" s="57" t="s">
        <v>8609</v>
      </c>
      <c r="F3507" s="57" t="s">
        <v>8609</v>
      </c>
      <c r="G3507" s="57" t="s">
        <v>8610</v>
      </c>
      <c r="H3507" s="57" t="s">
        <v>8586</v>
      </c>
      <c r="I3507" s="57">
        <v>1</v>
      </c>
      <c r="J3507" s="546">
        <v>5</v>
      </c>
      <c r="K3507" s="57">
        <v>1</v>
      </c>
      <c r="L3507" s="57">
        <v>999</v>
      </c>
      <c r="M3507" s="57">
        <v>0</v>
      </c>
      <c r="O3507" s="547"/>
      <c r="S3507" s="57">
        <v>1</v>
      </c>
      <c r="T3507" s="57">
        <v>5</v>
      </c>
      <c r="U3507" s="57">
        <v>110</v>
      </c>
      <c r="V3507" s="57">
        <v>1</v>
      </c>
      <c r="W3507" s="57">
        <v>1</v>
      </c>
      <c r="X3507" s="57">
        <v>1</v>
      </c>
      <c r="Y3507" s="57">
        <v>0</v>
      </c>
      <c r="Z3507" s="57">
        <v>0</v>
      </c>
      <c r="AA3507" s="57">
        <v>5</v>
      </c>
      <c r="AB3507" s="57">
        <v>4000</v>
      </c>
      <c r="AC3507" s="57">
        <v>0</v>
      </c>
      <c r="AD3507" s="548">
        <v>0</v>
      </c>
      <c r="AE3507" s="548">
        <v>0</v>
      </c>
      <c r="AF3507" s="548">
        <v>0</v>
      </c>
      <c r="AG3507" s="549"/>
      <c r="AH3507" s="549">
        <v>1</v>
      </c>
      <c r="AI3507" s="549"/>
      <c r="AJ3507" s="549"/>
      <c r="AK3507" s="549"/>
      <c r="AL3507" s="550">
        <v>1</v>
      </c>
      <c r="AM3507" s="550"/>
      <c r="AN3507" s="551"/>
      <c r="AO3507" s="550"/>
      <c r="AP3507" s="550"/>
      <c r="AS3507" s="57">
        <v>1</v>
      </c>
    </row>
    <row r="3508" s="57" customFormat="1" spans="1:45">
      <c r="A3508" s="57">
        <v>11010014</v>
      </c>
      <c r="B3508" s="544">
        <v>1001</v>
      </c>
      <c r="C3508" s="544">
        <v>1</v>
      </c>
      <c r="D3508" s="545">
        <v>1001</v>
      </c>
      <c r="E3508" s="57" t="s">
        <v>8611</v>
      </c>
      <c r="F3508" s="57" t="s">
        <v>8611</v>
      </c>
      <c r="G3508" s="57" t="s">
        <v>8612</v>
      </c>
      <c r="H3508" s="57" t="s">
        <v>8586</v>
      </c>
      <c r="I3508" s="57">
        <v>1</v>
      </c>
      <c r="J3508" s="546">
        <v>5</v>
      </c>
      <c r="K3508" s="57">
        <v>1</v>
      </c>
      <c r="L3508" s="57">
        <v>999</v>
      </c>
      <c r="M3508" s="57">
        <v>0</v>
      </c>
      <c r="O3508" s="547"/>
      <c r="S3508" s="57">
        <v>1</v>
      </c>
      <c r="T3508" s="57">
        <v>5</v>
      </c>
      <c r="U3508" s="57">
        <v>110</v>
      </c>
      <c r="V3508" s="57">
        <v>1</v>
      </c>
      <c r="W3508" s="57">
        <v>1</v>
      </c>
      <c r="X3508" s="57">
        <v>1</v>
      </c>
      <c r="Y3508" s="57">
        <v>0</v>
      </c>
      <c r="Z3508" s="57">
        <v>0</v>
      </c>
      <c r="AA3508" s="57">
        <v>5</v>
      </c>
      <c r="AB3508" s="57">
        <v>4000</v>
      </c>
      <c r="AC3508" s="57">
        <v>0</v>
      </c>
      <c r="AD3508" s="548">
        <v>0</v>
      </c>
      <c r="AE3508" s="548">
        <v>0</v>
      </c>
      <c r="AF3508" s="548">
        <v>0</v>
      </c>
      <c r="AG3508" s="549"/>
      <c r="AH3508" s="549">
        <v>1</v>
      </c>
      <c r="AI3508" s="549"/>
      <c r="AJ3508" s="549"/>
      <c r="AK3508" s="549"/>
      <c r="AL3508" s="550">
        <v>1</v>
      </c>
      <c r="AM3508" s="550"/>
      <c r="AN3508" s="551"/>
      <c r="AO3508" s="550"/>
      <c r="AP3508" s="550"/>
      <c r="AS3508" s="57">
        <v>1</v>
      </c>
    </row>
    <row r="3509" s="57" customFormat="1" spans="1:45">
      <c r="A3509" s="57">
        <v>11010015</v>
      </c>
      <c r="B3509" s="544">
        <v>1001</v>
      </c>
      <c r="C3509" s="544">
        <v>1</v>
      </c>
      <c r="D3509" s="545">
        <v>1001</v>
      </c>
      <c r="E3509" s="552" t="s">
        <v>8613</v>
      </c>
      <c r="F3509" s="552" t="s">
        <v>8613</v>
      </c>
      <c r="G3509" s="57" t="s">
        <v>8614</v>
      </c>
      <c r="H3509" s="552" t="s">
        <v>8586</v>
      </c>
      <c r="I3509" s="552">
        <v>1</v>
      </c>
      <c r="J3509" s="553">
        <v>5</v>
      </c>
      <c r="K3509" s="552">
        <v>1</v>
      </c>
      <c r="L3509" s="552">
        <v>999</v>
      </c>
      <c r="M3509" s="552">
        <v>0</v>
      </c>
      <c r="N3509" s="8"/>
      <c r="O3509" s="547"/>
      <c r="P3509" s="8"/>
      <c r="Q3509" s="8"/>
      <c r="R3509" s="8"/>
      <c r="S3509" s="552">
        <v>1</v>
      </c>
      <c r="T3509" s="552">
        <v>5</v>
      </c>
      <c r="U3509" s="552">
        <v>110</v>
      </c>
      <c r="V3509" s="552">
        <v>1</v>
      </c>
      <c r="W3509" s="552">
        <v>1</v>
      </c>
      <c r="X3509" s="552">
        <v>1</v>
      </c>
      <c r="Y3509" s="552">
        <v>0</v>
      </c>
      <c r="Z3509" s="552">
        <v>0</v>
      </c>
      <c r="AA3509" s="552">
        <v>5</v>
      </c>
      <c r="AB3509" s="552">
        <v>4000</v>
      </c>
      <c r="AC3509" s="552">
        <v>0</v>
      </c>
      <c r="AD3509" s="554">
        <v>0</v>
      </c>
      <c r="AE3509" s="554">
        <v>0</v>
      </c>
      <c r="AF3509" s="554">
        <v>0</v>
      </c>
      <c r="AG3509" s="555"/>
      <c r="AH3509" s="555">
        <v>1</v>
      </c>
      <c r="AI3509" s="555"/>
      <c r="AJ3509" s="555"/>
      <c r="AK3509" s="555"/>
      <c r="AL3509" s="556">
        <v>1</v>
      </c>
      <c r="AM3509" s="556"/>
      <c r="AN3509" s="557"/>
      <c r="AO3509" s="556"/>
      <c r="AP3509" s="556"/>
      <c r="AQ3509" s="8"/>
      <c r="AR3509" s="8"/>
      <c r="AS3509" s="57">
        <v>1</v>
      </c>
    </row>
    <row r="3510" spans="1:45">
      <c r="A3510">
        <v>931029</v>
      </c>
      <c r="B3510" s="8">
        <v>1001</v>
      </c>
      <c r="C3510" s="8">
        <v>6</v>
      </c>
      <c r="D3510" s="8">
        <v>1001</v>
      </c>
      <c r="E3510" s="8" t="s">
        <v>8203</v>
      </c>
      <c r="F3510" s="8" t="s">
        <v>8203</v>
      </c>
      <c r="G3510" s="238" t="s">
        <v>8615</v>
      </c>
      <c r="H3510" s="8" t="s">
        <v>1431</v>
      </c>
      <c r="I3510" s="8">
        <v>1</v>
      </c>
      <c r="J3510" s="8">
        <v>5</v>
      </c>
      <c r="K3510" s="8">
        <v>2</v>
      </c>
      <c r="L3510" s="8">
        <v>999</v>
      </c>
      <c r="M3510" s="8">
        <v>0</v>
      </c>
      <c r="N3510" s="8">
        <v>1018</v>
      </c>
      <c r="O3510" s="2" t="s">
        <v>8616</v>
      </c>
      <c r="P3510" s="8"/>
      <c r="Q3510" s="8"/>
      <c r="R3510" s="8"/>
      <c r="S3510" s="8">
        <v>1</v>
      </c>
      <c r="T3510" s="8">
        <v>5</v>
      </c>
      <c r="U3510" s="8">
        <v>200</v>
      </c>
      <c r="V3510" s="8">
        <v>1</v>
      </c>
      <c r="W3510" s="8">
        <v>1</v>
      </c>
      <c r="X3510" s="8">
        <v>1</v>
      </c>
      <c r="Y3510" s="8">
        <v>0</v>
      </c>
      <c r="Z3510" s="8">
        <v>0</v>
      </c>
      <c r="AA3510" s="8">
        <v>5</v>
      </c>
      <c r="AB3510" s="128">
        <v>1000</v>
      </c>
      <c r="AC3510" s="8">
        <v>56</v>
      </c>
      <c r="AD3510" s="8">
        <v>0</v>
      </c>
      <c r="AE3510" s="8">
        <v>5</v>
      </c>
      <c r="AF3510" s="8">
        <v>2</v>
      </c>
      <c r="AG3510" s="8"/>
      <c r="AH3510" s="8"/>
      <c r="AI3510" s="8"/>
      <c r="AJ3510" s="8"/>
      <c r="AK3510" s="8"/>
      <c r="AL3510" s="8"/>
      <c r="AM3510" s="8"/>
      <c r="AN3510" s="8"/>
      <c r="AO3510" s="8"/>
      <c r="AP3510" s="8"/>
      <c r="AQ3510" s="8"/>
      <c r="AR3510" s="8"/>
      <c r="AS3510">
        <v>1</v>
      </c>
    </row>
    <row r="3511" s="3" customFormat="1" spans="1:45">
      <c r="A3511" s="3">
        <v>931030</v>
      </c>
      <c r="B3511" s="8">
        <v>1001</v>
      </c>
      <c r="C3511" s="236">
        <v>6</v>
      </c>
      <c r="D3511" s="8">
        <v>1001</v>
      </c>
      <c r="E3511" s="236" t="s">
        <v>8617</v>
      </c>
      <c r="F3511" s="236" t="s">
        <v>8617</v>
      </c>
      <c r="G3511" s="236" t="s">
        <v>8618</v>
      </c>
      <c r="H3511" s="236" t="s">
        <v>1431</v>
      </c>
      <c r="I3511" s="236">
        <v>1</v>
      </c>
      <c r="J3511" s="236">
        <v>5</v>
      </c>
      <c r="K3511" s="236">
        <v>2</v>
      </c>
      <c r="L3511" s="236">
        <v>999</v>
      </c>
      <c r="M3511" s="236">
        <v>0</v>
      </c>
      <c r="N3511" s="236">
        <v>1018</v>
      </c>
      <c r="O3511" t="s">
        <v>8619</v>
      </c>
      <c r="P3511" s="236"/>
      <c r="Q3511" s="236"/>
      <c r="R3511" s="236"/>
      <c r="S3511" s="236">
        <v>1</v>
      </c>
      <c r="T3511" s="236">
        <v>5</v>
      </c>
      <c r="U3511" s="236">
        <v>200</v>
      </c>
      <c r="V3511" s="236">
        <v>1</v>
      </c>
      <c r="W3511" s="236">
        <v>1</v>
      </c>
      <c r="X3511" s="236">
        <v>1</v>
      </c>
      <c r="Y3511" s="236">
        <v>0</v>
      </c>
      <c r="Z3511" s="236">
        <v>0</v>
      </c>
      <c r="AA3511" s="236">
        <v>5</v>
      </c>
      <c r="AB3511" s="395">
        <v>1000</v>
      </c>
      <c r="AC3511" s="236">
        <v>56</v>
      </c>
      <c r="AD3511" s="456">
        <v>0</v>
      </c>
      <c r="AE3511" s="456">
        <v>5</v>
      </c>
      <c r="AF3511" s="456">
        <v>2</v>
      </c>
      <c r="AG3511" s="456"/>
      <c r="AH3511" s="456"/>
      <c r="AI3511" s="456"/>
      <c r="AJ3511" s="456"/>
      <c r="AK3511" s="456"/>
      <c r="AL3511" s="236"/>
      <c r="AM3511" s="236"/>
      <c r="AN3511" s="236"/>
      <c r="AO3511" s="236"/>
      <c r="AP3511" s="236"/>
      <c r="AQ3511" s="236"/>
      <c r="AR3511" s="236"/>
      <c r="AS3511" s="3">
        <v>1</v>
      </c>
    </row>
    <row r="3512" spans="1:45">
      <c r="A3512">
        <v>931031</v>
      </c>
      <c r="B3512" s="8">
        <v>1001</v>
      </c>
      <c r="C3512" s="238">
        <v>6</v>
      </c>
      <c r="D3512" s="8">
        <v>1001</v>
      </c>
      <c r="E3512" s="238" t="s">
        <v>8620</v>
      </c>
      <c r="F3512" s="238" t="s">
        <v>8620</v>
      </c>
      <c r="G3512" s="238" t="s">
        <v>8621</v>
      </c>
      <c r="H3512" s="238" t="s">
        <v>6325</v>
      </c>
      <c r="I3512" s="238">
        <v>1</v>
      </c>
      <c r="J3512" s="238">
        <v>5</v>
      </c>
      <c r="K3512" s="254">
        <v>2</v>
      </c>
      <c r="L3512" s="238">
        <v>999</v>
      </c>
      <c r="M3512" s="238">
        <v>0</v>
      </c>
      <c r="N3512" s="238">
        <v>1035</v>
      </c>
      <c r="O3512" s="258">
        <v>103</v>
      </c>
      <c r="P3512" s="8"/>
      <c r="Q3512" s="8"/>
      <c r="R3512" s="8"/>
      <c r="S3512" s="254">
        <v>1</v>
      </c>
      <c r="T3512" s="238">
        <v>5</v>
      </c>
      <c r="U3512" s="238">
        <v>1</v>
      </c>
      <c r="V3512" s="254">
        <v>1</v>
      </c>
      <c r="W3512" s="238">
        <v>1</v>
      </c>
      <c r="X3512" s="238">
        <v>1</v>
      </c>
      <c r="Y3512" s="238">
        <v>0</v>
      </c>
      <c r="Z3512" s="254">
        <v>0</v>
      </c>
      <c r="AA3512" s="238">
        <v>5</v>
      </c>
      <c r="AB3512" s="238">
        <v>100</v>
      </c>
      <c r="AC3512" s="238">
        <v>70</v>
      </c>
      <c r="AD3512" s="255">
        <v>0</v>
      </c>
      <c r="AE3512" s="255">
        <v>1</v>
      </c>
      <c r="AF3512" s="255">
        <v>1</v>
      </c>
      <c r="AG3512" s="159"/>
      <c r="AH3512" s="159"/>
      <c r="AI3512" s="159"/>
      <c r="AJ3512" s="159"/>
      <c r="AK3512" s="159"/>
      <c r="AL3512" s="8"/>
      <c r="AM3512" s="8"/>
      <c r="AN3512" s="8"/>
      <c r="AO3512" s="8"/>
      <c r="AP3512" s="8"/>
      <c r="AQ3512" s="8"/>
      <c r="AR3512" s="8"/>
      <c r="AS3512">
        <v>1</v>
      </c>
    </row>
    <row r="3513" s="3" customFormat="1" spans="1:45">
      <c r="A3513" s="3">
        <v>910009</v>
      </c>
      <c r="B3513" s="8">
        <v>1001</v>
      </c>
      <c r="C3513" s="8">
        <v>1</v>
      </c>
      <c r="D3513" s="8">
        <v>1001</v>
      </c>
      <c r="E3513" s="8" t="s">
        <v>8622</v>
      </c>
      <c r="F3513" s="8" t="s">
        <v>8622</v>
      </c>
      <c r="G3513" s="8" t="s">
        <v>8623</v>
      </c>
      <c r="H3513" s="8" t="s">
        <v>6874</v>
      </c>
      <c r="I3513" s="8">
        <v>1</v>
      </c>
      <c r="J3513" s="8">
        <v>5</v>
      </c>
      <c r="K3513" s="8">
        <v>2</v>
      </c>
      <c r="L3513" s="8">
        <v>999</v>
      </c>
      <c r="M3513" s="8">
        <v>0</v>
      </c>
      <c r="N3513" s="8">
        <v>1048</v>
      </c>
      <c r="O3513" s="8">
        <v>9</v>
      </c>
      <c r="P3513" s="8"/>
      <c r="Q3513" s="8"/>
      <c r="R3513" s="8"/>
      <c r="S3513" s="8">
        <v>0</v>
      </c>
      <c r="T3513" s="8">
        <v>5</v>
      </c>
      <c r="U3513" s="8">
        <v>0</v>
      </c>
      <c r="V3513" s="8">
        <v>1</v>
      </c>
      <c r="W3513" s="8">
        <v>1</v>
      </c>
      <c r="X3513" s="8">
        <v>1</v>
      </c>
      <c r="Y3513" s="8">
        <v>0</v>
      </c>
      <c r="Z3513" s="8">
        <v>0</v>
      </c>
      <c r="AA3513" s="8">
        <v>5</v>
      </c>
      <c r="AB3513" s="8">
        <v>0</v>
      </c>
      <c r="AC3513" s="8">
        <v>0</v>
      </c>
      <c r="AD3513" s="159">
        <v>0</v>
      </c>
      <c r="AE3513" s="159">
        <v>9</v>
      </c>
      <c r="AF3513" s="159">
        <v>0</v>
      </c>
      <c r="AG3513" s="159"/>
      <c r="AH3513" s="159">
        <v>1</v>
      </c>
      <c r="AI3513" s="159"/>
      <c r="AJ3513" s="159"/>
      <c r="AK3513" s="159"/>
      <c r="AL3513" s="8">
        <v>1</v>
      </c>
      <c r="AM3513" s="8"/>
      <c r="AN3513" s="8"/>
      <c r="AO3513" s="8"/>
      <c r="AP3513" s="8"/>
      <c r="AQ3513" s="8"/>
      <c r="AR3513" s="8"/>
      <c r="AS3513" s="3">
        <v>1</v>
      </c>
    </row>
    <row r="3514" s="3" customFormat="1" spans="1:45">
      <c r="A3514" s="3">
        <v>910010</v>
      </c>
      <c r="B3514" s="8">
        <v>1001</v>
      </c>
      <c r="C3514" s="8">
        <v>1</v>
      </c>
      <c r="D3514" s="8">
        <v>1001</v>
      </c>
      <c r="E3514" s="8" t="s">
        <v>8624</v>
      </c>
      <c r="F3514" s="8" t="s">
        <v>8624</v>
      </c>
      <c r="G3514" s="8" t="s">
        <v>8625</v>
      </c>
      <c r="H3514" s="8" t="s">
        <v>6874</v>
      </c>
      <c r="I3514" s="8">
        <v>1</v>
      </c>
      <c r="J3514" s="8">
        <v>5</v>
      </c>
      <c r="K3514" s="8">
        <v>2</v>
      </c>
      <c r="L3514" s="8">
        <v>999</v>
      </c>
      <c r="M3514" s="8">
        <v>0</v>
      </c>
      <c r="N3514" s="8">
        <v>1048</v>
      </c>
      <c r="O3514" s="8">
        <v>10</v>
      </c>
      <c r="P3514" s="8"/>
      <c r="Q3514" s="8"/>
      <c r="R3514" s="8"/>
      <c r="S3514" s="8">
        <v>0</v>
      </c>
      <c r="T3514" s="8">
        <v>5</v>
      </c>
      <c r="U3514" s="8">
        <v>0</v>
      </c>
      <c r="V3514" s="8">
        <v>1</v>
      </c>
      <c r="W3514" s="8">
        <v>1</v>
      </c>
      <c r="X3514" s="8">
        <v>1</v>
      </c>
      <c r="Y3514" s="8">
        <v>0</v>
      </c>
      <c r="Z3514" s="8">
        <v>0</v>
      </c>
      <c r="AA3514" s="8">
        <v>5</v>
      </c>
      <c r="AB3514" s="8">
        <v>0</v>
      </c>
      <c r="AC3514" s="8">
        <v>0</v>
      </c>
      <c r="AD3514" s="159">
        <v>0</v>
      </c>
      <c r="AE3514" s="159">
        <v>9</v>
      </c>
      <c r="AF3514" s="159">
        <v>0</v>
      </c>
      <c r="AG3514" s="159"/>
      <c r="AH3514" s="159">
        <v>1</v>
      </c>
      <c r="AI3514" s="159"/>
      <c r="AJ3514" s="159"/>
      <c r="AK3514" s="159"/>
      <c r="AL3514" s="8">
        <v>1</v>
      </c>
      <c r="AM3514" s="8"/>
      <c r="AN3514" s="8"/>
      <c r="AO3514" s="8"/>
      <c r="AP3514" s="8"/>
      <c r="AQ3514" s="8"/>
      <c r="AR3514" s="8"/>
      <c r="AS3514" s="3">
        <v>1</v>
      </c>
    </row>
    <row r="3515" s="3" customFormat="1" spans="1:45">
      <c r="A3515" s="3">
        <v>910011</v>
      </c>
      <c r="B3515" s="8">
        <v>1001</v>
      </c>
      <c r="C3515" s="8">
        <v>1</v>
      </c>
      <c r="D3515" s="8">
        <v>1001</v>
      </c>
      <c r="E3515" s="8" t="s">
        <v>8626</v>
      </c>
      <c r="F3515" s="8" t="s">
        <v>8626</v>
      </c>
      <c r="G3515" s="8" t="s">
        <v>8627</v>
      </c>
      <c r="H3515" s="8" t="s">
        <v>6874</v>
      </c>
      <c r="I3515" s="8">
        <v>1</v>
      </c>
      <c r="J3515" s="8">
        <v>5</v>
      </c>
      <c r="K3515" s="8">
        <v>2</v>
      </c>
      <c r="L3515" s="8">
        <v>999</v>
      </c>
      <c r="M3515" s="8">
        <v>0</v>
      </c>
      <c r="N3515" s="8">
        <v>1048</v>
      </c>
      <c r="O3515" s="8">
        <v>11</v>
      </c>
      <c r="P3515" s="8"/>
      <c r="Q3515" s="8"/>
      <c r="R3515" s="8"/>
      <c r="S3515" s="8">
        <v>0</v>
      </c>
      <c r="T3515" s="8">
        <v>5</v>
      </c>
      <c r="U3515" s="8">
        <v>0</v>
      </c>
      <c r="V3515" s="8">
        <v>1</v>
      </c>
      <c r="W3515" s="8">
        <v>1</v>
      </c>
      <c r="X3515" s="8">
        <v>1</v>
      </c>
      <c r="Y3515" s="8">
        <v>0</v>
      </c>
      <c r="Z3515" s="8">
        <v>0</v>
      </c>
      <c r="AA3515" s="8">
        <v>5</v>
      </c>
      <c r="AB3515" s="8">
        <v>0</v>
      </c>
      <c r="AC3515" s="8">
        <v>0</v>
      </c>
      <c r="AD3515" s="159">
        <v>0</v>
      </c>
      <c r="AE3515" s="159">
        <v>9</v>
      </c>
      <c r="AF3515" s="159">
        <v>0</v>
      </c>
      <c r="AG3515" s="159"/>
      <c r="AH3515" s="159">
        <v>1</v>
      </c>
      <c r="AI3515" s="159"/>
      <c r="AJ3515" s="159"/>
      <c r="AK3515" s="159"/>
      <c r="AL3515" s="8">
        <v>1</v>
      </c>
      <c r="AM3515" s="8"/>
      <c r="AN3515" s="8"/>
      <c r="AO3515" s="8"/>
      <c r="AP3515" s="8"/>
      <c r="AQ3515" s="8"/>
      <c r="AR3515" s="8"/>
      <c r="AS3515" s="3">
        <v>1</v>
      </c>
    </row>
    <row r="3516" s="3" customFormat="1" spans="1:45">
      <c r="A3516" s="3">
        <v>910012</v>
      </c>
      <c r="B3516" s="8">
        <v>1001</v>
      </c>
      <c r="C3516" s="8">
        <v>1</v>
      </c>
      <c r="D3516" s="8">
        <v>1001</v>
      </c>
      <c r="E3516" s="8" t="s">
        <v>8628</v>
      </c>
      <c r="F3516" s="8" t="s">
        <v>8628</v>
      </c>
      <c r="G3516" s="8" t="s">
        <v>8629</v>
      </c>
      <c r="H3516" s="8" t="s">
        <v>6874</v>
      </c>
      <c r="I3516" s="8">
        <v>1</v>
      </c>
      <c r="J3516" s="8">
        <v>5</v>
      </c>
      <c r="K3516" s="8">
        <v>2</v>
      </c>
      <c r="L3516" s="8">
        <v>999</v>
      </c>
      <c r="M3516" s="8">
        <v>0</v>
      </c>
      <c r="N3516" s="8">
        <v>1048</v>
      </c>
      <c r="O3516" s="8">
        <v>12</v>
      </c>
      <c r="P3516" s="8"/>
      <c r="Q3516" s="8"/>
      <c r="R3516" s="8"/>
      <c r="S3516" s="8">
        <v>0</v>
      </c>
      <c r="T3516" s="8">
        <v>5</v>
      </c>
      <c r="U3516" s="8">
        <v>0</v>
      </c>
      <c r="V3516" s="8">
        <v>1</v>
      </c>
      <c r="W3516" s="8">
        <v>1</v>
      </c>
      <c r="X3516" s="8">
        <v>1</v>
      </c>
      <c r="Y3516" s="8">
        <v>0</v>
      </c>
      <c r="Z3516" s="8">
        <v>0</v>
      </c>
      <c r="AA3516" s="8">
        <v>5</v>
      </c>
      <c r="AB3516" s="8">
        <v>0</v>
      </c>
      <c r="AC3516" s="8">
        <v>0</v>
      </c>
      <c r="AD3516" s="159">
        <v>0</v>
      </c>
      <c r="AE3516" s="159">
        <v>9</v>
      </c>
      <c r="AF3516" s="159">
        <v>0</v>
      </c>
      <c r="AG3516" s="159"/>
      <c r="AH3516" s="159">
        <v>1</v>
      </c>
      <c r="AI3516" s="159"/>
      <c r="AJ3516" s="159"/>
      <c r="AK3516" s="159"/>
      <c r="AL3516" s="8">
        <v>1</v>
      </c>
      <c r="AM3516" s="8"/>
      <c r="AN3516" s="8"/>
      <c r="AO3516" s="8"/>
      <c r="AP3516" s="8"/>
      <c r="AQ3516" s="8"/>
      <c r="AR3516" s="8"/>
      <c r="AS3516" s="3">
        <v>1</v>
      </c>
    </row>
    <row r="3517" s="3" customFormat="1" spans="1:45">
      <c r="A3517" s="3">
        <v>910013</v>
      </c>
      <c r="B3517" s="8">
        <v>1001</v>
      </c>
      <c r="C3517" s="8">
        <v>1</v>
      </c>
      <c r="D3517" s="8">
        <v>1001</v>
      </c>
      <c r="E3517" s="8" t="s">
        <v>8630</v>
      </c>
      <c r="F3517" s="8" t="s">
        <v>8630</v>
      </c>
      <c r="G3517" s="8" t="s">
        <v>8631</v>
      </c>
      <c r="H3517" s="8" t="s">
        <v>6874</v>
      </c>
      <c r="I3517" s="8">
        <v>1</v>
      </c>
      <c r="J3517" s="8">
        <v>5</v>
      </c>
      <c r="K3517" s="8">
        <v>2</v>
      </c>
      <c r="L3517" s="8">
        <v>999</v>
      </c>
      <c r="M3517" s="8">
        <v>0</v>
      </c>
      <c r="N3517" s="8">
        <v>1048</v>
      </c>
      <c r="O3517" s="8">
        <v>13</v>
      </c>
      <c r="P3517" s="8"/>
      <c r="Q3517" s="8"/>
      <c r="R3517" s="8"/>
      <c r="S3517" s="8">
        <v>0</v>
      </c>
      <c r="T3517" s="8">
        <v>5</v>
      </c>
      <c r="U3517" s="8">
        <v>0</v>
      </c>
      <c r="V3517" s="8">
        <v>1</v>
      </c>
      <c r="W3517" s="8">
        <v>1</v>
      </c>
      <c r="X3517" s="8">
        <v>1</v>
      </c>
      <c r="Y3517" s="8">
        <v>0</v>
      </c>
      <c r="Z3517" s="8">
        <v>0</v>
      </c>
      <c r="AA3517" s="8">
        <v>5</v>
      </c>
      <c r="AB3517" s="8">
        <v>0</v>
      </c>
      <c r="AC3517" s="8">
        <v>0</v>
      </c>
      <c r="AD3517" s="159">
        <v>0</v>
      </c>
      <c r="AE3517" s="159">
        <v>9</v>
      </c>
      <c r="AF3517" s="159">
        <v>0</v>
      </c>
      <c r="AG3517" s="159"/>
      <c r="AH3517" s="159">
        <v>1</v>
      </c>
      <c r="AI3517" s="159"/>
      <c r="AJ3517" s="159"/>
      <c r="AK3517" s="159"/>
      <c r="AL3517" s="8">
        <v>1</v>
      </c>
      <c r="AM3517" s="8"/>
      <c r="AN3517" s="8"/>
      <c r="AO3517" s="8"/>
      <c r="AP3517" s="8"/>
      <c r="AQ3517" s="8"/>
      <c r="AR3517" s="8"/>
      <c r="AS3517" s="3">
        <v>1</v>
      </c>
    </row>
    <row r="3518" s="3" customFormat="1" spans="1:45">
      <c r="A3518" s="3">
        <v>910014</v>
      </c>
      <c r="B3518" s="8">
        <v>1001</v>
      </c>
      <c r="C3518" s="8">
        <v>1</v>
      </c>
      <c r="D3518" s="8">
        <v>1001</v>
      </c>
      <c r="E3518" s="8" t="s">
        <v>8632</v>
      </c>
      <c r="F3518" s="8" t="s">
        <v>8632</v>
      </c>
      <c r="G3518" s="8" t="s">
        <v>8633</v>
      </c>
      <c r="H3518" s="8" t="s">
        <v>6874</v>
      </c>
      <c r="I3518" s="8">
        <v>1</v>
      </c>
      <c r="J3518" s="8">
        <v>5</v>
      </c>
      <c r="K3518" s="8">
        <v>2</v>
      </c>
      <c r="L3518" s="8">
        <v>999</v>
      </c>
      <c r="M3518" s="8">
        <v>0</v>
      </c>
      <c r="N3518" s="8">
        <v>1048</v>
      </c>
      <c r="O3518" s="8">
        <v>14</v>
      </c>
      <c r="P3518" s="8"/>
      <c r="Q3518" s="8"/>
      <c r="R3518" s="8"/>
      <c r="S3518" s="8">
        <v>0</v>
      </c>
      <c r="T3518" s="8">
        <v>5</v>
      </c>
      <c r="U3518" s="8">
        <v>0</v>
      </c>
      <c r="V3518" s="8">
        <v>1</v>
      </c>
      <c r="W3518" s="8">
        <v>1</v>
      </c>
      <c r="X3518" s="8">
        <v>1</v>
      </c>
      <c r="Y3518" s="8">
        <v>0</v>
      </c>
      <c r="Z3518" s="8">
        <v>0</v>
      </c>
      <c r="AA3518" s="8">
        <v>5</v>
      </c>
      <c r="AB3518" s="8">
        <v>0</v>
      </c>
      <c r="AC3518" s="8">
        <v>0</v>
      </c>
      <c r="AD3518" s="159">
        <v>0</v>
      </c>
      <c r="AE3518" s="159">
        <v>9</v>
      </c>
      <c r="AF3518" s="159">
        <v>0</v>
      </c>
      <c r="AG3518" s="159"/>
      <c r="AH3518" s="159">
        <v>1</v>
      </c>
      <c r="AI3518" s="159"/>
      <c r="AJ3518" s="159"/>
      <c r="AK3518" s="159"/>
      <c r="AL3518" s="8">
        <v>1</v>
      </c>
      <c r="AM3518" s="8"/>
      <c r="AN3518" s="8"/>
      <c r="AO3518" s="8"/>
      <c r="AP3518" s="8"/>
      <c r="AQ3518" s="8"/>
      <c r="AR3518" s="8"/>
      <c r="AS3518" s="3">
        <v>1</v>
      </c>
    </row>
    <row r="3519" s="3" customFormat="1" spans="1:45">
      <c r="A3519" s="3">
        <v>910015</v>
      </c>
      <c r="B3519" s="8">
        <v>1001</v>
      </c>
      <c r="C3519" s="8">
        <v>1</v>
      </c>
      <c r="D3519" s="8">
        <v>1001</v>
      </c>
      <c r="E3519" s="8" t="s">
        <v>8634</v>
      </c>
      <c r="F3519" s="8" t="s">
        <v>8634</v>
      </c>
      <c r="G3519" s="8" t="s">
        <v>8635</v>
      </c>
      <c r="H3519" s="8" t="s">
        <v>6874</v>
      </c>
      <c r="I3519" s="8">
        <v>1</v>
      </c>
      <c r="J3519" s="8">
        <v>5</v>
      </c>
      <c r="K3519" s="8">
        <v>2</v>
      </c>
      <c r="L3519" s="8">
        <v>999</v>
      </c>
      <c r="M3519" s="8">
        <v>0</v>
      </c>
      <c r="N3519" s="8">
        <v>1048</v>
      </c>
      <c r="O3519" s="8">
        <v>15</v>
      </c>
      <c r="P3519" s="8"/>
      <c r="Q3519" s="8"/>
      <c r="R3519" s="8"/>
      <c r="S3519" s="8">
        <v>0</v>
      </c>
      <c r="T3519" s="8">
        <v>5</v>
      </c>
      <c r="U3519" s="8">
        <v>0</v>
      </c>
      <c r="V3519" s="8">
        <v>1</v>
      </c>
      <c r="W3519" s="8">
        <v>1</v>
      </c>
      <c r="X3519" s="8">
        <v>1</v>
      </c>
      <c r="Y3519" s="8">
        <v>0</v>
      </c>
      <c r="Z3519" s="8">
        <v>0</v>
      </c>
      <c r="AA3519" s="8">
        <v>5</v>
      </c>
      <c r="AB3519" s="8">
        <v>0</v>
      </c>
      <c r="AC3519" s="8">
        <v>0</v>
      </c>
      <c r="AD3519" s="159">
        <v>0</v>
      </c>
      <c r="AE3519" s="159">
        <v>9</v>
      </c>
      <c r="AF3519" s="159">
        <v>0</v>
      </c>
      <c r="AG3519" s="159"/>
      <c r="AH3519" s="159">
        <v>1</v>
      </c>
      <c r="AI3519" s="159"/>
      <c r="AJ3519" s="159"/>
      <c r="AK3519" s="159"/>
      <c r="AL3519" s="8">
        <v>1</v>
      </c>
      <c r="AM3519" s="8"/>
      <c r="AN3519" s="8"/>
      <c r="AO3519" s="8"/>
      <c r="AP3519" s="8"/>
      <c r="AQ3519" s="8"/>
      <c r="AR3519" s="8"/>
      <c r="AS3519" s="3">
        <v>1</v>
      </c>
    </row>
    <row r="3520" s="3" customFormat="1" spans="1:45">
      <c r="A3520" s="3">
        <v>910016</v>
      </c>
      <c r="B3520" s="8">
        <v>1001</v>
      </c>
      <c r="C3520" s="8">
        <v>1</v>
      </c>
      <c r="D3520" s="8">
        <v>1001</v>
      </c>
      <c r="E3520" s="8" t="s">
        <v>8636</v>
      </c>
      <c r="F3520" s="8" t="s">
        <v>8636</v>
      </c>
      <c r="G3520" s="8" t="s">
        <v>8637</v>
      </c>
      <c r="H3520" s="8" t="s">
        <v>6874</v>
      </c>
      <c r="I3520" s="8">
        <v>1</v>
      </c>
      <c r="J3520" s="8">
        <v>5</v>
      </c>
      <c r="K3520" s="8">
        <v>2</v>
      </c>
      <c r="L3520" s="8">
        <v>999</v>
      </c>
      <c r="M3520" s="8">
        <v>0</v>
      </c>
      <c r="N3520" s="8">
        <v>1048</v>
      </c>
      <c r="O3520" s="8">
        <v>16</v>
      </c>
      <c r="P3520" s="8"/>
      <c r="Q3520" s="8"/>
      <c r="R3520" s="8"/>
      <c r="S3520" s="8">
        <v>0</v>
      </c>
      <c r="T3520" s="8">
        <v>5</v>
      </c>
      <c r="U3520" s="8">
        <v>0</v>
      </c>
      <c r="V3520" s="8">
        <v>1</v>
      </c>
      <c r="W3520" s="8">
        <v>1</v>
      </c>
      <c r="X3520" s="8">
        <v>1</v>
      </c>
      <c r="Y3520" s="8">
        <v>0</v>
      </c>
      <c r="Z3520" s="8">
        <v>0</v>
      </c>
      <c r="AA3520" s="8">
        <v>5</v>
      </c>
      <c r="AB3520" s="8">
        <v>0</v>
      </c>
      <c r="AC3520" s="8">
        <v>0</v>
      </c>
      <c r="AD3520" s="159">
        <v>0</v>
      </c>
      <c r="AE3520" s="159">
        <v>9</v>
      </c>
      <c r="AF3520" s="159">
        <v>0</v>
      </c>
      <c r="AG3520" s="159"/>
      <c r="AH3520" s="159">
        <v>1</v>
      </c>
      <c r="AI3520" s="159"/>
      <c r="AJ3520" s="159"/>
      <c r="AK3520" s="159"/>
      <c r="AL3520" s="8">
        <v>1</v>
      </c>
      <c r="AM3520" s="8"/>
      <c r="AN3520" s="8"/>
      <c r="AO3520" s="8"/>
      <c r="AP3520" s="8"/>
      <c r="AQ3520" s="8"/>
      <c r="AR3520" s="8"/>
      <c r="AS3520" s="3">
        <v>1</v>
      </c>
    </row>
    <row r="3521" s="3" customFormat="1" spans="1:45">
      <c r="A3521" s="3">
        <v>910017</v>
      </c>
      <c r="B3521" s="236">
        <v>1001</v>
      </c>
      <c r="C3521" s="236">
        <v>1</v>
      </c>
      <c r="D3521" s="236">
        <v>1001</v>
      </c>
      <c r="E3521" s="236" t="s">
        <v>8638</v>
      </c>
      <c r="F3521" s="236" t="s">
        <v>8638</v>
      </c>
      <c r="G3521" s="236" t="s">
        <v>8639</v>
      </c>
      <c r="H3521" s="236" t="s">
        <v>6874</v>
      </c>
      <c r="I3521" s="236">
        <v>1</v>
      </c>
      <c r="J3521" s="236">
        <v>5</v>
      </c>
      <c r="K3521" s="236">
        <v>2</v>
      </c>
      <c r="L3521" s="236">
        <v>999</v>
      </c>
      <c r="M3521" s="236">
        <v>0</v>
      </c>
      <c r="N3521" s="236">
        <v>1048</v>
      </c>
      <c r="O3521" s="236">
        <v>17</v>
      </c>
      <c r="P3521" s="236"/>
      <c r="Q3521" s="236"/>
      <c r="R3521" s="236"/>
      <c r="S3521" s="236">
        <v>0</v>
      </c>
      <c r="T3521" s="236">
        <v>5</v>
      </c>
      <c r="U3521" s="236">
        <v>0</v>
      </c>
      <c r="V3521" s="236">
        <v>1</v>
      </c>
      <c r="W3521" s="236">
        <v>1</v>
      </c>
      <c r="X3521" s="236">
        <v>1</v>
      </c>
      <c r="Y3521" s="236">
        <v>0</v>
      </c>
      <c r="Z3521" s="236">
        <v>0</v>
      </c>
      <c r="AA3521" s="236">
        <v>5</v>
      </c>
      <c r="AB3521" s="236">
        <v>0</v>
      </c>
      <c r="AC3521" s="236">
        <v>0</v>
      </c>
      <c r="AD3521" s="456">
        <v>0</v>
      </c>
      <c r="AE3521" s="456">
        <v>9</v>
      </c>
      <c r="AF3521" s="456">
        <v>0</v>
      </c>
      <c r="AG3521" s="456"/>
      <c r="AH3521" s="456">
        <v>1</v>
      </c>
      <c r="AI3521" s="456"/>
      <c r="AJ3521" s="456"/>
      <c r="AK3521" s="456"/>
      <c r="AL3521" s="236">
        <v>1</v>
      </c>
      <c r="AM3521" s="236"/>
      <c r="AN3521" s="236"/>
      <c r="AO3521" s="236"/>
      <c r="AP3521" s="236"/>
      <c r="AQ3521" s="236"/>
      <c r="AR3521" s="236"/>
      <c r="AS3521" s="3">
        <v>1</v>
      </c>
    </row>
    <row r="3522" s="3" customFormat="1" spans="1:45">
      <c r="A3522" s="3">
        <v>931032</v>
      </c>
      <c r="B3522" s="3">
        <v>1001</v>
      </c>
      <c r="C3522" s="3">
        <v>1</v>
      </c>
      <c r="D3522" s="3">
        <v>1001</v>
      </c>
      <c r="E3522" s="3" t="s">
        <v>5550</v>
      </c>
      <c r="F3522" s="3" t="s">
        <v>5550</v>
      </c>
      <c r="G3522" s="151" t="s">
        <v>8640</v>
      </c>
      <c r="H3522" s="3" t="s">
        <v>1531</v>
      </c>
      <c r="I3522" s="3">
        <v>1</v>
      </c>
      <c r="J3522" s="3">
        <v>5</v>
      </c>
      <c r="K3522" s="3">
        <v>2</v>
      </c>
      <c r="L3522" s="3">
        <v>999</v>
      </c>
      <c r="M3522" s="3">
        <v>0</v>
      </c>
      <c r="N3522" s="3">
        <v>1018</v>
      </c>
      <c r="O3522" s="231" t="s">
        <v>8641</v>
      </c>
      <c r="S3522" s="3">
        <v>1</v>
      </c>
      <c r="T3522" s="3">
        <v>5</v>
      </c>
      <c r="U3522" s="3">
        <v>100</v>
      </c>
      <c r="V3522" s="33"/>
      <c r="W3522" s="3">
        <v>1</v>
      </c>
      <c r="X3522" s="3">
        <v>1</v>
      </c>
      <c r="Y3522" s="3">
        <v>0</v>
      </c>
      <c r="Z3522" s="3">
        <v>0</v>
      </c>
      <c r="AA3522" s="3">
        <v>5</v>
      </c>
      <c r="AB3522" s="3">
        <v>2000</v>
      </c>
      <c r="AC3522" s="3">
        <v>70</v>
      </c>
      <c r="AD3522" s="153">
        <v>0</v>
      </c>
      <c r="AE3522" s="153">
        <v>5</v>
      </c>
      <c r="AF3522" s="153">
        <v>2</v>
      </c>
      <c r="AG3522" s="337"/>
      <c r="AH3522" s="337"/>
      <c r="AI3522" s="337"/>
      <c r="AJ3522" s="337"/>
      <c r="AK3522" s="337"/>
      <c r="AL3522" s="234"/>
      <c r="AM3522" s="234"/>
      <c r="AN3522" s="476"/>
      <c r="AO3522" s="234"/>
      <c r="AP3522" s="234"/>
      <c r="AS3522" s="3">
        <v>1</v>
      </c>
    </row>
    <row r="3523" spans="1:45">
      <c r="A3523">
        <v>940001</v>
      </c>
      <c r="B3523">
        <v>1001</v>
      </c>
      <c r="C3523">
        <v>1</v>
      </c>
      <c r="D3523">
        <v>1001</v>
      </c>
      <c r="E3523" t="s">
        <v>8642</v>
      </c>
      <c r="F3523" t="s">
        <v>8642</v>
      </c>
      <c r="G3523" t="s">
        <v>8643</v>
      </c>
      <c r="H3523" t="s">
        <v>8644</v>
      </c>
      <c r="I3523">
        <v>1</v>
      </c>
      <c r="J3523">
        <v>5</v>
      </c>
      <c r="K3523" s="33">
        <v>2</v>
      </c>
      <c r="L3523">
        <v>999</v>
      </c>
      <c r="M3523">
        <v>0</v>
      </c>
      <c r="S3523" s="33">
        <v>0</v>
      </c>
      <c r="T3523">
        <v>5</v>
      </c>
      <c r="U3523">
        <v>0</v>
      </c>
      <c r="V3523" s="33">
        <v>1</v>
      </c>
      <c r="W3523">
        <v>1</v>
      </c>
      <c r="X3523">
        <v>1</v>
      </c>
      <c r="Y3523">
        <v>0</v>
      </c>
      <c r="Z3523" s="33">
        <v>0</v>
      </c>
      <c r="AA3523">
        <v>5</v>
      </c>
      <c r="AB3523">
        <v>0</v>
      </c>
      <c r="AC3523">
        <v>900</v>
      </c>
      <c r="AS3523">
        <v>1</v>
      </c>
    </row>
    <row r="3524" spans="1:45">
      <c r="A3524">
        <v>940002</v>
      </c>
      <c r="B3524">
        <v>1001</v>
      </c>
      <c r="C3524">
        <v>1</v>
      </c>
      <c r="D3524">
        <v>1001</v>
      </c>
      <c r="E3524" t="s">
        <v>8645</v>
      </c>
      <c r="F3524" t="s">
        <v>8645</v>
      </c>
      <c r="G3524" t="s">
        <v>8646</v>
      </c>
      <c r="H3524" t="s">
        <v>8647</v>
      </c>
      <c r="I3524">
        <v>1</v>
      </c>
      <c r="J3524">
        <v>5</v>
      </c>
      <c r="K3524" s="33">
        <v>2</v>
      </c>
      <c r="L3524">
        <v>999</v>
      </c>
      <c r="M3524">
        <v>0</v>
      </c>
      <c r="S3524" s="33">
        <v>0</v>
      </c>
      <c r="T3524">
        <v>5</v>
      </c>
      <c r="U3524">
        <v>0</v>
      </c>
      <c r="V3524" s="33">
        <v>1</v>
      </c>
      <c r="W3524">
        <v>1</v>
      </c>
      <c r="X3524">
        <v>1</v>
      </c>
      <c r="Y3524">
        <v>0</v>
      </c>
      <c r="Z3524" s="33">
        <v>0</v>
      </c>
      <c r="AA3524">
        <v>5</v>
      </c>
      <c r="AB3524">
        <v>0</v>
      </c>
      <c r="AC3524">
        <v>900</v>
      </c>
      <c r="AS3524">
        <v>1</v>
      </c>
    </row>
    <row r="3525" spans="1:45">
      <c r="A3525">
        <v>940003</v>
      </c>
      <c r="B3525">
        <v>1001</v>
      </c>
      <c r="C3525">
        <v>1</v>
      </c>
      <c r="D3525">
        <v>1001</v>
      </c>
      <c r="E3525" t="s">
        <v>8648</v>
      </c>
      <c r="F3525" t="s">
        <v>8648</v>
      </c>
      <c r="G3525" t="s">
        <v>8649</v>
      </c>
      <c r="H3525" t="s">
        <v>8650</v>
      </c>
      <c r="I3525">
        <v>1</v>
      </c>
      <c r="J3525">
        <v>5</v>
      </c>
      <c r="K3525" s="33">
        <v>2</v>
      </c>
      <c r="L3525">
        <v>999</v>
      </c>
      <c r="M3525">
        <v>0</v>
      </c>
      <c r="N3525"/>
      <c r="S3525" s="33">
        <v>0</v>
      </c>
      <c r="T3525">
        <v>5</v>
      </c>
      <c r="U3525">
        <v>0</v>
      </c>
      <c r="V3525" s="33">
        <v>1</v>
      </c>
      <c r="W3525">
        <v>1</v>
      </c>
      <c r="X3525">
        <v>1</v>
      </c>
      <c r="Y3525">
        <v>0</v>
      </c>
      <c r="Z3525" s="33">
        <v>0</v>
      </c>
      <c r="AA3525">
        <v>5</v>
      </c>
      <c r="AB3525">
        <v>0</v>
      </c>
      <c r="AC3525">
        <v>900</v>
      </c>
      <c r="AS3525">
        <v>1</v>
      </c>
    </row>
    <row r="3526" spans="1:45">
      <c r="A3526">
        <v>940004</v>
      </c>
      <c r="B3526">
        <v>1001</v>
      </c>
      <c r="C3526">
        <v>6</v>
      </c>
      <c r="D3526">
        <v>1001</v>
      </c>
      <c r="E3526" t="s">
        <v>8651</v>
      </c>
      <c r="F3526" t="s">
        <v>8651</v>
      </c>
      <c r="G3526" t="s">
        <v>8652</v>
      </c>
      <c r="H3526" t="s">
        <v>6325</v>
      </c>
      <c r="I3526">
        <v>1</v>
      </c>
      <c r="J3526">
        <v>5</v>
      </c>
      <c r="K3526" s="33">
        <v>2</v>
      </c>
      <c r="L3526">
        <v>999</v>
      </c>
      <c r="M3526">
        <v>0</v>
      </c>
      <c r="N3526">
        <v>1035</v>
      </c>
      <c r="O3526" s="2">
        <v>106</v>
      </c>
      <c r="S3526" s="33">
        <v>1</v>
      </c>
      <c r="T3526">
        <v>5</v>
      </c>
      <c r="U3526">
        <v>1</v>
      </c>
      <c r="V3526" s="33">
        <v>1</v>
      </c>
      <c r="W3526">
        <v>1</v>
      </c>
      <c r="X3526">
        <v>1</v>
      </c>
      <c r="Y3526">
        <v>0</v>
      </c>
      <c r="Z3526" s="33">
        <v>0</v>
      </c>
      <c r="AA3526">
        <v>5</v>
      </c>
      <c r="AB3526">
        <v>100</v>
      </c>
      <c r="AC3526">
        <v>70</v>
      </c>
      <c r="AD3526" s="62">
        <v>0</v>
      </c>
      <c r="AE3526" s="62">
        <v>1</v>
      </c>
      <c r="AF3526" s="62">
        <v>1</v>
      </c>
      <c r="AS3526">
        <v>1</v>
      </c>
    </row>
    <row r="3527" spans="1:45">
      <c r="A3527">
        <v>940005</v>
      </c>
      <c r="B3527">
        <v>1001</v>
      </c>
      <c r="C3527">
        <v>6</v>
      </c>
      <c r="D3527">
        <v>1001</v>
      </c>
      <c r="E3527" t="s">
        <v>8653</v>
      </c>
      <c r="F3527" t="s">
        <v>8653</v>
      </c>
      <c r="G3527" t="s">
        <v>8654</v>
      </c>
      <c r="H3527" t="s">
        <v>6325</v>
      </c>
      <c r="I3527">
        <v>1</v>
      </c>
      <c r="J3527">
        <v>5</v>
      </c>
      <c r="K3527" s="33">
        <v>2</v>
      </c>
      <c r="L3527">
        <v>999</v>
      </c>
      <c r="M3527">
        <v>0</v>
      </c>
      <c r="N3527">
        <v>1035</v>
      </c>
      <c r="O3527" s="2">
        <v>107</v>
      </c>
      <c r="S3527" s="33">
        <v>1</v>
      </c>
      <c r="T3527">
        <v>5</v>
      </c>
      <c r="U3527">
        <v>1</v>
      </c>
      <c r="V3527" s="33">
        <v>1</v>
      </c>
      <c r="W3527">
        <v>1</v>
      </c>
      <c r="X3527">
        <v>1</v>
      </c>
      <c r="Y3527">
        <v>0</v>
      </c>
      <c r="Z3527" s="33">
        <v>0</v>
      </c>
      <c r="AA3527">
        <v>5</v>
      </c>
      <c r="AB3527">
        <v>100</v>
      </c>
      <c r="AC3527">
        <v>70</v>
      </c>
      <c r="AD3527" s="62">
        <v>0</v>
      </c>
      <c r="AE3527" s="62">
        <v>1</v>
      </c>
      <c r="AF3527" s="62">
        <v>1</v>
      </c>
      <c r="AS3527">
        <v>1</v>
      </c>
    </row>
    <row r="3528" spans="1:45">
      <c r="A3528">
        <v>940006</v>
      </c>
      <c r="B3528">
        <v>1001</v>
      </c>
      <c r="C3528">
        <v>6</v>
      </c>
      <c r="D3528">
        <v>1001</v>
      </c>
      <c r="E3528" t="s">
        <v>8655</v>
      </c>
      <c r="F3528" t="s">
        <v>8655</v>
      </c>
      <c r="G3528" t="s">
        <v>8656</v>
      </c>
      <c r="H3528" t="s">
        <v>6325</v>
      </c>
      <c r="I3528">
        <v>1</v>
      </c>
      <c r="J3528">
        <v>5</v>
      </c>
      <c r="K3528" s="33">
        <v>2</v>
      </c>
      <c r="L3528">
        <v>999</v>
      </c>
      <c r="M3528">
        <v>0</v>
      </c>
      <c r="N3528">
        <v>1035</v>
      </c>
      <c r="O3528" s="2">
        <v>108</v>
      </c>
      <c r="S3528" s="33">
        <v>1</v>
      </c>
      <c r="T3528">
        <v>5</v>
      </c>
      <c r="U3528">
        <v>1</v>
      </c>
      <c r="V3528" s="33">
        <v>1</v>
      </c>
      <c r="W3528">
        <v>1</v>
      </c>
      <c r="X3528">
        <v>1</v>
      </c>
      <c r="Y3528">
        <v>0</v>
      </c>
      <c r="Z3528" s="33">
        <v>0</v>
      </c>
      <c r="AA3528">
        <v>5</v>
      </c>
      <c r="AB3528">
        <v>100</v>
      </c>
      <c r="AC3528">
        <v>70</v>
      </c>
      <c r="AD3528" s="62">
        <v>0</v>
      </c>
      <c r="AE3528" s="62">
        <v>1</v>
      </c>
      <c r="AF3528" s="62">
        <v>1</v>
      </c>
      <c r="AS3528">
        <v>1</v>
      </c>
    </row>
    <row r="3529" spans="1:45">
      <c r="A3529">
        <v>940007</v>
      </c>
      <c r="B3529">
        <v>1001</v>
      </c>
      <c r="C3529">
        <v>6</v>
      </c>
      <c r="D3529">
        <v>1001</v>
      </c>
      <c r="E3529" t="s">
        <v>8657</v>
      </c>
      <c r="F3529" t="s">
        <v>8657</v>
      </c>
      <c r="G3529" t="s">
        <v>8658</v>
      </c>
      <c r="H3529" t="s">
        <v>6325</v>
      </c>
      <c r="I3529">
        <v>1</v>
      </c>
      <c r="J3529">
        <v>5</v>
      </c>
      <c r="K3529" s="33">
        <v>2</v>
      </c>
      <c r="L3529">
        <v>999</v>
      </c>
      <c r="M3529">
        <v>0</v>
      </c>
      <c r="N3529">
        <v>1035</v>
      </c>
      <c r="O3529" s="2">
        <v>109</v>
      </c>
      <c r="S3529" s="33">
        <v>1</v>
      </c>
      <c r="T3529">
        <v>5</v>
      </c>
      <c r="U3529">
        <v>1</v>
      </c>
      <c r="V3529" s="33">
        <v>1</v>
      </c>
      <c r="W3529">
        <v>1</v>
      </c>
      <c r="X3529">
        <v>1</v>
      </c>
      <c r="Y3529">
        <v>0</v>
      </c>
      <c r="Z3529" s="33">
        <v>0</v>
      </c>
      <c r="AA3529">
        <v>5</v>
      </c>
      <c r="AB3529">
        <v>100</v>
      </c>
      <c r="AC3529">
        <v>70</v>
      </c>
      <c r="AD3529" s="62">
        <v>0</v>
      </c>
      <c r="AE3529" s="62">
        <v>1</v>
      </c>
      <c r="AF3529" s="62">
        <v>1</v>
      </c>
      <c r="AS3529">
        <v>1</v>
      </c>
    </row>
    <row r="3530" spans="1:45">
      <c r="A3530">
        <v>940008</v>
      </c>
      <c r="B3530" s="238">
        <v>1001</v>
      </c>
      <c r="C3530">
        <v>6</v>
      </c>
      <c r="D3530" s="238">
        <v>1001</v>
      </c>
      <c r="E3530" t="s">
        <v>8659</v>
      </c>
      <c r="F3530" t="s">
        <v>8659</v>
      </c>
      <c r="G3530" t="s">
        <v>8660</v>
      </c>
      <c r="H3530" t="s">
        <v>6325</v>
      </c>
      <c r="I3530">
        <v>1</v>
      </c>
      <c r="J3530">
        <v>5</v>
      </c>
      <c r="K3530" s="33">
        <v>2</v>
      </c>
      <c r="L3530">
        <v>999</v>
      </c>
      <c r="M3530">
        <v>0</v>
      </c>
      <c r="N3530">
        <v>1035</v>
      </c>
      <c r="O3530" s="2">
        <v>110</v>
      </c>
      <c r="S3530" s="33">
        <v>1</v>
      </c>
      <c r="T3530">
        <v>5</v>
      </c>
      <c r="U3530">
        <v>1</v>
      </c>
      <c r="V3530" s="33">
        <v>1</v>
      </c>
      <c r="W3530">
        <v>1</v>
      </c>
      <c r="X3530">
        <v>1</v>
      </c>
      <c r="Y3530">
        <v>0</v>
      </c>
      <c r="Z3530" s="33">
        <v>0</v>
      </c>
      <c r="AA3530">
        <v>5</v>
      </c>
      <c r="AB3530">
        <v>100</v>
      </c>
      <c r="AC3530">
        <v>70</v>
      </c>
      <c r="AD3530" s="62">
        <v>0</v>
      </c>
      <c r="AE3530" s="62">
        <v>1</v>
      </c>
      <c r="AF3530" s="62">
        <v>1</v>
      </c>
      <c r="AS3530">
        <v>1</v>
      </c>
    </row>
    <row r="3531" spans="1:45">
      <c r="A3531">
        <v>931033</v>
      </c>
      <c r="B3531" s="8">
        <v>1001</v>
      </c>
      <c r="C3531">
        <v>6</v>
      </c>
      <c r="D3531" s="8">
        <v>1001</v>
      </c>
      <c r="E3531" t="s">
        <v>8661</v>
      </c>
      <c r="F3531" t="s">
        <v>8661</v>
      </c>
      <c r="G3531" t="s">
        <v>8662</v>
      </c>
      <c r="H3531" t="s">
        <v>6325</v>
      </c>
      <c r="I3531">
        <v>1</v>
      </c>
      <c r="J3531">
        <v>5</v>
      </c>
      <c r="K3531" s="33">
        <v>2</v>
      </c>
      <c r="L3531">
        <v>999</v>
      </c>
      <c r="M3531">
        <v>0</v>
      </c>
      <c r="N3531">
        <v>1035</v>
      </c>
      <c r="O3531" s="2">
        <v>104</v>
      </c>
      <c r="S3531" s="33">
        <v>1</v>
      </c>
      <c r="T3531">
        <v>5</v>
      </c>
      <c r="U3531">
        <v>1</v>
      </c>
      <c r="V3531" s="33">
        <v>1</v>
      </c>
      <c r="W3531">
        <v>1</v>
      </c>
      <c r="X3531">
        <v>1</v>
      </c>
      <c r="Y3531">
        <v>0</v>
      </c>
      <c r="Z3531" s="33">
        <v>0</v>
      </c>
      <c r="AA3531">
        <v>5</v>
      </c>
      <c r="AB3531">
        <v>100</v>
      </c>
      <c r="AC3531">
        <v>70</v>
      </c>
      <c r="AD3531" s="62">
        <v>0</v>
      </c>
      <c r="AE3531" s="62">
        <v>1</v>
      </c>
      <c r="AF3531" s="62">
        <v>1</v>
      </c>
      <c r="AS3531">
        <v>1</v>
      </c>
    </row>
    <row r="3532" ht="14.25" customHeight="1" spans="1:45">
      <c r="A3532" s="238">
        <v>931034</v>
      </c>
      <c r="B3532" s="8">
        <v>1001</v>
      </c>
      <c r="C3532" s="238">
        <v>6</v>
      </c>
      <c r="D3532" s="8">
        <v>1001</v>
      </c>
      <c r="E3532" t="s">
        <v>8663</v>
      </c>
      <c r="F3532" t="s">
        <v>8663</v>
      </c>
      <c r="G3532" t="s">
        <v>8664</v>
      </c>
      <c r="H3532" t="s">
        <v>6325</v>
      </c>
      <c r="I3532">
        <v>1</v>
      </c>
      <c r="J3532">
        <v>5</v>
      </c>
      <c r="K3532" s="254">
        <v>2</v>
      </c>
      <c r="L3532" s="238">
        <v>999</v>
      </c>
      <c r="M3532" s="238">
        <v>0</v>
      </c>
      <c r="N3532" s="238">
        <v>1035</v>
      </c>
      <c r="O3532" s="2">
        <v>105</v>
      </c>
      <c r="Q3532" s="8"/>
      <c r="R3532" s="8"/>
      <c r="S3532" s="254">
        <v>1</v>
      </c>
      <c r="T3532" s="238">
        <v>5</v>
      </c>
      <c r="U3532" s="238">
        <v>1</v>
      </c>
      <c r="V3532" s="254">
        <v>1</v>
      </c>
      <c r="W3532">
        <v>1</v>
      </c>
      <c r="X3532" s="238">
        <v>1</v>
      </c>
      <c r="Y3532">
        <v>0</v>
      </c>
      <c r="Z3532" s="33">
        <v>0</v>
      </c>
      <c r="AA3532">
        <v>5</v>
      </c>
      <c r="AB3532">
        <v>100</v>
      </c>
      <c r="AC3532" s="238">
        <v>70</v>
      </c>
      <c r="AD3532" s="62">
        <v>0</v>
      </c>
      <c r="AE3532" s="255">
        <v>1</v>
      </c>
      <c r="AF3532" s="255">
        <v>1</v>
      </c>
      <c r="AG3532" s="91"/>
      <c r="AH3532" s="91"/>
      <c r="AI3532" s="91"/>
      <c r="AJ3532" s="91"/>
      <c r="AK3532" s="91"/>
      <c r="AL3532" s="92"/>
      <c r="AM3532" s="92"/>
      <c r="AN3532" s="93"/>
      <c r="AO3532" s="92"/>
      <c r="AP3532" s="86"/>
      <c r="AS3532">
        <v>1</v>
      </c>
    </row>
    <row r="3533" ht="14.25" customHeight="1" spans="1:45">
      <c r="A3533" s="236">
        <v>122036</v>
      </c>
      <c r="B3533" s="8">
        <v>1001</v>
      </c>
      <c r="C3533" s="236">
        <v>1</v>
      </c>
      <c r="D3533" s="8">
        <v>1001</v>
      </c>
      <c r="E3533" t="s">
        <v>8665</v>
      </c>
      <c r="F3533" t="s">
        <v>8665</v>
      </c>
      <c r="G3533" t="s">
        <v>8666</v>
      </c>
      <c r="H3533" s="3" t="s">
        <v>8667</v>
      </c>
      <c r="I3533">
        <v>1</v>
      </c>
      <c r="J3533" s="69">
        <v>5</v>
      </c>
      <c r="K3533" s="248">
        <v>2</v>
      </c>
      <c r="L3533" s="236">
        <v>999</v>
      </c>
      <c r="M3533" s="236"/>
      <c r="N3533" s="236">
        <v>1026</v>
      </c>
      <c r="O3533" s="2">
        <v>130032</v>
      </c>
      <c r="Q3533" s="236"/>
      <c r="R3533" s="236"/>
      <c r="S3533" s="336">
        <v>0</v>
      </c>
      <c r="T3533" s="236">
        <v>5</v>
      </c>
      <c r="U3533" s="336">
        <v>10</v>
      </c>
      <c r="V3533" s="248">
        <v>0</v>
      </c>
      <c r="W3533">
        <v>0</v>
      </c>
      <c r="X3533" s="236">
        <v>1</v>
      </c>
      <c r="Y3533">
        <v>0</v>
      </c>
      <c r="Z3533" s="33">
        <v>0</v>
      </c>
      <c r="AA3533">
        <v>5</v>
      </c>
      <c r="AB3533" s="34">
        <v>200</v>
      </c>
      <c r="AC3533" s="248">
        <v>300</v>
      </c>
      <c r="AE3533" s="250">
        <v>1</v>
      </c>
      <c r="AF3533" s="250">
        <v>2</v>
      </c>
      <c r="AG3533" s="251"/>
      <c r="AH3533" s="251"/>
      <c r="AI3533" s="251"/>
      <c r="AJ3533" s="251"/>
      <c r="AK3533" s="251"/>
      <c r="AL3533" s="252"/>
      <c r="AM3533" s="252"/>
      <c r="AN3533" s="338"/>
      <c r="AO3533" s="252"/>
      <c r="AP3533" s="86"/>
      <c r="AS3533">
        <v>1</v>
      </c>
    </row>
    <row r="3534" spans="1:45">
      <c r="A3534">
        <v>931035</v>
      </c>
      <c r="B3534" s="8">
        <v>1001</v>
      </c>
      <c r="C3534">
        <v>6</v>
      </c>
      <c r="D3534" s="8">
        <v>1001</v>
      </c>
      <c r="E3534" t="s">
        <v>8668</v>
      </c>
      <c r="F3534" t="s">
        <v>8668</v>
      </c>
      <c r="G3534" t="s">
        <v>8669</v>
      </c>
      <c r="H3534" t="s">
        <v>6325</v>
      </c>
      <c r="I3534">
        <v>1</v>
      </c>
      <c r="J3534">
        <v>5</v>
      </c>
      <c r="K3534" s="33">
        <v>2</v>
      </c>
      <c r="L3534">
        <v>999</v>
      </c>
      <c r="M3534">
        <v>0</v>
      </c>
      <c r="N3534">
        <v>1035</v>
      </c>
      <c r="O3534" s="2">
        <v>111</v>
      </c>
      <c r="S3534" s="33">
        <v>1</v>
      </c>
      <c r="T3534">
        <v>5</v>
      </c>
      <c r="U3534">
        <v>1</v>
      </c>
      <c r="V3534" s="33">
        <v>1</v>
      </c>
      <c r="W3534">
        <v>1</v>
      </c>
      <c r="X3534">
        <v>1</v>
      </c>
      <c r="Y3534">
        <v>0</v>
      </c>
      <c r="Z3534" s="33">
        <v>0</v>
      </c>
      <c r="AA3534">
        <v>5</v>
      </c>
      <c r="AB3534">
        <v>100</v>
      </c>
      <c r="AC3534">
        <v>70</v>
      </c>
      <c r="AD3534" s="62">
        <v>0</v>
      </c>
      <c r="AE3534" s="62">
        <v>1</v>
      </c>
      <c r="AF3534" s="62">
        <v>1</v>
      </c>
      <c r="AS3534">
        <v>1</v>
      </c>
    </row>
    <row r="3535" spans="1:45">
      <c r="A3535">
        <v>931036</v>
      </c>
      <c r="B3535" s="8">
        <v>1001</v>
      </c>
      <c r="C3535">
        <v>6</v>
      </c>
      <c r="D3535" s="8">
        <v>1001</v>
      </c>
      <c r="E3535" t="s">
        <v>8670</v>
      </c>
      <c r="F3535" t="s">
        <v>8670</v>
      </c>
      <c r="G3535" t="s">
        <v>8671</v>
      </c>
      <c r="H3535" t="s">
        <v>6325</v>
      </c>
      <c r="I3535">
        <v>1</v>
      </c>
      <c r="J3535">
        <v>5</v>
      </c>
      <c r="K3535" s="33">
        <v>2</v>
      </c>
      <c r="L3535">
        <v>999</v>
      </c>
      <c r="M3535">
        <v>0</v>
      </c>
      <c r="N3535">
        <v>1035</v>
      </c>
      <c r="O3535" s="2">
        <v>112</v>
      </c>
      <c r="S3535" s="33">
        <v>1</v>
      </c>
      <c r="T3535">
        <v>5</v>
      </c>
      <c r="U3535">
        <v>1</v>
      </c>
      <c r="V3535" s="33">
        <v>1</v>
      </c>
      <c r="W3535">
        <v>1</v>
      </c>
      <c r="X3535">
        <v>1</v>
      </c>
      <c r="Y3535">
        <v>0</v>
      </c>
      <c r="Z3535" s="33">
        <v>0</v>
      </c>
      <c r="AA3535">
        <v>5</v>
      </c>
      <c r="AB3535">
        <v>100</v>
      </c>
      <c r="AC3535">
        <v>70</v>
      </c>
      <c r="AD3535" s="62">
        <v>0</v>
      </c>
      <c r="AE3535" s="62">
        <v>1</v>
      </c>
      <c r="AF3535" s="62">
        <v>1</v>
      </c>
      <c r="AS3535">
        <v>1</v>
      </c>
    </row>
    <row r="3536" spans="1:45">
      <c r="A3536">
        <v>931037</v>
      </c>
      <c r="B3536" s="8">
        <v>1001</v>
      </c>
      <c r="C3536">
        <v>6</v>
      </c>
      <c r="D3536" s="8">
        <v>1001</v>
      </c>
      <c r="E3536" t="s">
        <v>8672</v>
      </c>
      <c r="F3536" t="s">
        <v>8672</v>
      </c>
      <c r="G3536" t="s">
        <v>8673</v>
      </c>
      <c r="H3536" t="s">
        <v>6325</v>
      </c>
      <c r="I3536">
        <v>1</v>
      </c>
      <c r="J3536">
        <v>5</v>
      </c>
      <c r="K3536" s="33">
        <v>2</v>
      </c>
      <c r="L3536">
        <v>999</v>
      </c>
      <c r="M3536">
        <v>0</v>
      </c>
      <c r="N3536">
        <v>1035</v>
      </c>
      <c r="O3536" s="2">
        <v>113</v>
      </c>
      <c r="S3536" s="33">
        <v>1</v>
      </c>
      <c r="T3536">
        <v>5</v>
      </c>
      <c r="U3536">
        <v>1</v>
      </c>
      <c r="V3536" s="33">
        <v>1</v>
      </c>
      <c r="W3536">
        <v>1</v>
      </c>
      <c r="X3536">
        <v>1</v>
      </c>
      <c r="Y3536">
        <v>0</v>
      </c>
      <c r="Z3536" s="33">
        <v>0</v>
      </c>
      <c r="AA3536">
        <v>5</v>
      </c>
      <c r="AB3536">
        <v>100</v>
      </c>
      <c r="AC3536">
        <v>70</v>
      </c>
      <c r="AD3536" s="62">
        <v>0</v>
      </c>
      <c r="AE3536" s="62">
        <v>1</v>
      </c>
      <c r="AF3536" s="62">
        <v>1</v>
      </c>
      <c r="AS3536">
        <v>1</v>
      </c>
    </row>
    <row r="3537" spans="1:45">
      <c r="A3537">
        <v>931038</v>
      </c>
      <c r="B3537" s="8">
        <v>1001</v>
      </c>
      <c r="C3537">
        <v>6</v>
      </c>
      <c r="D3537" s="8">
        <v>1001</v>
      </c>
      <c r="E3537" t="s">
        <v>8674</v>
      </c>
      <c r="F3537" t="s">
        <v>8674</v>
      </c>
      <c r="G3537" t="s">
        <v>8675</v>
      </c>
      <c r="H3537" t="s">
        <v>6325</v>
      </c>
      <c r="I3537">
        <v>1</v>
      </c>
      <c r="J3537">
        <v>5</v>
      </c>
      <c r="K3537" s="33">
        <v>2</v>
      </c>
      <c r="L3537">
        <v>999</v>
      </c>
      <c r="M3537">
        <v>0</v>
      </c>
      <c r="N3537">
        <v>1035</v>
      </c>
      <c r="O3537" s="2">
        <v>114</v>
      </c>
      <c r="S3537" s="33">
        <v>1</v>
      </c>
      <c r="T3537">
        <v>5</v>
      </c>
      <c r="U3537">
        <v>1</v>
      </c>
      <c r="V3537" s="33">
        <v>1</v>
      </c>
      <c r="W3537">
        <v>1</v>
      </c>
      <c r="X3537">
        <v>1</v>
      </c>
      <c r="Y3537">
        <v>0</v>
      </c>
      <c r="Z3537" s="33">
        <v>0</v>
      </c>
      <c r="AA3537">
        <v>5</v>
      </c>
      <c r="AB3537">
        <v>100</v>
      </c>
      <c r="AC3537">
        <v>70</v>
      </c>
      <c r="AD3537" s="62">
        <v>0</v>
      </c>
      <c r="AE3537" s="62">
        <v>1</v>
      </c>
      <c r="AF3537" s="62">
        <v>1</v>
      </c>
      <c r="AS3537">
        <v>1</v>
      </c>
    </row>
    <row r="3538" spans="1:45">
      <c r="A3538">
        <v>931039</v>
      </c>
      <c r="B3538" s="8">
        <v>1001</v>
      </c>
      <c r="C3538">
        <v>6</v>
      </c>
      <c r="D3538" s="8">
        <v>1001</v>
      </c>
      <c r="E3538" t="s">
        <v>8676</v>
      </c>
      <c r="F3538" t="s">
        <v>8676</v>
      </c>
      <c r="G3538" t="s">
        <v>8677</v>
      </c>
      <c r="H3538" t="s">
        <v>6325</v>
      </c>
      <c r="I3538">
        <v>1</v>
      </c>
      <c r="J3538">
        <v>5</v>
      </c>
      <c r="K3538" s="33">
        <v>2</v>
      </c>
      <c r="L3538">
        <v>999</v>
      </c>
      <c r="M3538">
        <v>0</v>
      </c>
      <c r="N3538">
        <v>1035</v>
      </c>
      <c r="O3538" s="558">
        <v>116</v>
      </c>
      <c r="S3538" s="33">
        <v>1</v>
      </c>
      <c r="T3538">
        <v>5</v>
      </c>
      <c r="U3538">
        <v>1</v>
      </c>
      <c r="V3538" s="33">
        <v>1</v>
      </c>
      <c r="W3538">
        <v>1</v>
      </c>
      <c r="X3538">
        <v>1</v>
      </c>
      <c r="Y3538">
        <v>0</v>
      </c>
      <c r="Z3538" s="33">
        <v>0</v>
      </c>
      <c r="AA3538">
        <v>5</v>
      </c>
      <c r="AB3538">
        <v>100</v>
      </c>
      <c r="AC3538">
        <v>70</v>
      </c>
      <c r="AD3538" s="62">
        <v>0</v>
      </c>
      <c r="AE3538" s="62">
        <v>1</v>
      </c>
      <c r="AF3538" s="62">
        <v>1</v>
      </c>
      <c r="AS3538">
        <v>1</v>
      </c>
    </row>
    <row r="3539" spans="1:45">
      <c r="A3539">
        <v>931040</v>
      </c>
      <c r="B3539" s="8">
        <v>1001</v>
      </c>
      <c r="C3539">
        <v>6</v>
      </c>
      <c r="D3539" s="8">
        <v>1001</v>
      </c>
      <c r="E3539" t="s">
        <v>8678</v>
      </c>
      <c r="F3539" t="s">
        <v>8678</v>
      </c>
      <c r="G3539" t="s">
        <v>8679</v>
      </c>
      <c r="H3539" t="s">
        <v>6325</v>
      </c>
      <c r="I3539">
        <v>1</v>
      </c>
      <c r="J3539">
        <v>5</v>
      </c>
      <c r="K3539" s="33">
        <v>2</v>
      </c>
      <c r="L3539">
        <v>999</v>
      </c>
      <c r="M3539">
        <v>0</v>
      </c>
      <c r="N3539">
        <v>1035</v>
      </c>
      <c r="O3539" s="558">
        <v>117</v>
      </c>
      <c r="S3539" s="33">
        <v>1</v>
      </c>
      <c r="T3539">
        <v>5</v>
      </c>
      <c r="U3539">
        <v>1</v>
      </c>
      <c r="V3539" s="33">
        <v>1</v>
      </c>
      <c r="W3539">
        <v>1</v>
      </c>
      <c r="X3539">
        <v>1</v>
      </c>
      <c r="Y3539">
        <v>0</v>
      </c>
      <c r="Z3539" s="33">
        <v>0</v>
      </c>
      <c r="AA3539">
        <v>5</v>
      </c>
      <c r="AB3539">
        <v>100</v>
      </c>
      <c r="AC3539">
        <v>70</v>
      </c>
      <c r="AD3539" s="62">
        <v>0</v>
      </c>
      <c r="AE3539" s="62">
        <v>1</v>
      </c>
      <c r="AF3539" s="62">
        <v>1</v>
      </c>
      <c r="AS3539">
        <v>1</v>
      </c>
    </row>
    <row r="3540" spans="1:45">
      <c r="A3540">
        <v>931041</v>
      </c>
      <c r="B3540" s="236">
        <v>1001</v>
      </c>
      <c r="C3540">
        <v>6</v>
      </c>
      <c r="D3540" s="236">
        <v>1001</v>
      </c>
      <c r="E3540" t="s">
        <v>8680</v>
      </c>
      <c r="F3540" t="s">
        <v>8680</v>
      </c>
      <c r="G3540" t="s">
        <v>8681</v>
      </c>
      <c r="H3540" t="s">
        <v>6325</v>
      </c>
      <c r="I3540">
        <v>1</v>
      </c>
      <c r="J3540">
        <v>5</v>
      </c>
      <c r="K3540" s="33">
        <v>2</v>
      </c>
      <c r="L3540">
        <v>999</v>
      </c>
      <c r="M3540">
        <v>0</v>
      </c>
      <c r="N3540">
        <v>1035</v>
      </c>
      <c r="O3540" s="558">
        <v>118</v>
      </c>
      <c r="S3540" s="33">
        <v>1</v>
      </c>
      <c r="T3540">
        <v>5</v>
      </c>
      <c r="U3540">
        <v>1</v>
      </c>
      <c r="V3540" s="33">
        <v>1</v>
      </c>
      <c r="W3540">
        <v>1</v>
      </c>
      <c r="X3540">
        <v>1</v>
      </c>
      <c r="Y3540">
        <v>0</v>
      </c>
      <c r="Z3540" s="33">
        <v>0</v>
      </c>
      <c r="AA3540">
        <v>5</v>
      </c>
      <c r="AB3540">
        <v>100</v>
      </c>
      <c r="AC3540">
        <v>70</v>
      </c>
      <c r="AD3540" s="62">
        <v>0</v>
      </c>
      <c r="AE3540" s="62">
        <v>1</v>
      </c>
      <c r="AF3540" s="62">
        <v>1</v>
      </c>
      <c r="AG3540" s="337"/>
      <c r="AH3540" s="337"/>
      <c r="AI3540" s="337"/>
      <c r="AJ3540" s="337"/>
      <c r="AK3540" s="337"/>
      <c r="AL3540" s="234"/>
      <c r="AM3540" s="234"/>
      <c r="AN3540" s="476"/>
      <c r="AO3540" s="234"/>
      <c r="AP3540" s="234"/>
      <c r="AS3540">
        <v>1</v>
      </c>
    </row>
    <row r="3541" s="3" customFormat="1" ht="27" customHeight="1" spans="1:45">
      <c r="A3541" s="3">
        <v>931042</v>
      </c>
      <c r="B3541" s="3">
        <v>1001</v>
      </c>
      <c r="C3541" s="3">
        <v>1</v>
      </c>
      <c r="D3541" s="3">
        <v>1001</v>
      </c>
      <c r="E3541" s="3" t="s">
        <v>5550</v>
      </c>
      <c r="F3541" s="3" t="s">
        <v>5550</v>
      </c>
      <c r="G3541" s="151" t="s">
        <v>8682</v>
      </c>
      <c r="H3541" s="3" t="s">
        <v>1531</v>
      </c>
      <c r="I3541" s="3">
        <v>1</v>
      </c>
      <c r="J3541" s="3">
        <v>5</v>
      </c>
      <c r="K3541" s="3">
        <v>2</v>
      </c>
      <c r="L3541" s="3">
        <v>999</v>
      </c>
      <c r="M3541" s="3">
        <v>0</v>
      </c>
      <c r="N3541" s="3">
        <v>1018</v>
      </c>
      <c r="O3541" s="231" t="s">
        <v>8683</v>
      </c>
      <c r="S3541" s="3">
        <v>1</v>
      </c>
      <c r="T3541" s="3">
        <v>5</v>
      </c>
      <c r="U3541" s="3">
        <v>100</v>
      </c>
      <c r="V3541" s="33"/>
      <c r="W3541" s="3">
        <v>1</v>
      </c>
      <c r="X3541" s="3">
        <v>1</v>
      </c>
      <c r="Y3541" s="3">
        <v>0</v>
      </c>
      <c r="Z3541" s="3">
        <v>0</v>
      </c>
      <c r="AA3541" s="3">
        <v>5</v>
      </c>
      <c r="AB3541" s="3">
        <v>2000</v>
      </c>
      <c r="AC3541" s="3">
        <v>70</v>
      </c>
      <c r="AD3541" s="153">
        <v>0</v>
      </c>
      <c r="AE3541" s="153">
        <v>5</v>
      </c>
      <c r="AF3541" s="153">
        <v>2</v>
      </c>
      <c r="AG3541" s="337"/>
      <c r="AH3541" s="337"/>
      <c r="AI3541" s="337"/>
      <c r="AJ3541" s="337"/>
      <c r="AK3541" s="337"/>
      <c r="AL3541" s="234"/>
      <c r="AM3541" s="234"/>
      <c r="AN3541" s="476"/>
      <c r="AO3541" s="234"/>
      <c r="AP3541" s="234"/>
      <c r="AS3541" s="3">
        <v>1</v>
      </c>
    </row>
    <row r="3542" spans="1:45">
      <c r="A3542">
        <v>931043</v>
      </c>
      <c r="B3542">
        <v>1001</v>
      </c>
      <c r="C3542">
        <v>2</v>
      </c>
      <c r="D3542">
        <v>1001</v>
      </c>
      <c r="E3542" t="s">
        <v>8684</v>
      </c>
      <c r="F3542" t="s">
        <v>8684</v>
      </c>
      <c r="G3542" t="s">
        <v>7522</v>
      </c>
      <c r="H3542" t="s">
        <v>5501</v>
      </c>
      <c r="I3542">
        <v>1</v>
      </c>
      <c r="J3542">
        <v>5</v>
      </c>
      <c r="K3542" s="33">
        <v>1</v>
      </c>
      <c r="L3542">
        <v>999</v>
      </c>
      <c r="M3542">
        <v>0</v>
      </c>
      <c r="N3542" s="3"/>
      <c r="O3542" s="231"/>
      <c r="S3542" s="33">
        <v>1</v>
      </c>
      <c r="T3542">
        <v>5</v>
      </c>
      <c r="U3542">
        <v>50</v>
      </c>
      <c r="V3542" s="33">
        <v>1</v>
      </c>
      <c r="W3542">
        <v>1</v>
      </c>
      <c r="X3542">
        <v>1</v>
      </c>
      <c r="Y3542">
        <v>0</v>
      </c>
      <c r="Z3542" s="33">
        <v>0</v>
      </c>
      <c r="AA3542">
        <v>5</v>
      </c>
      <c r="AB3542">
        <v>500</v>
      </c>
      <c r="AC3542">
        <v>56</v>
      </c>
      <c r="AD3542" s="12"/>
      <c r="AE3542" s="12"/>
      <c r="AF3542" s="12"/>
      <c r="AG3542" s="430"/>
      <c r="AH3542" s="430"/>
      <c r="AI3542" s="430"/>
      <c r="AJ3542" s="430"/>
      <c r="AK3542" s="430"/>
      <c r="AL3542" s="214">
        <v>1</v>
      </c>
      <c r="AM3542" s="214"/>
      <c r="AN3542" s="431"/>
      <c r="AO3542" s="214"/>
      <c r="AP3542" s="214"/>
      <c r="AS3542">
        <v>1</v>
      </c>
    </row>
    <row r="3543" s="3" customFormat="1" spans="1:45">
      <c r="A3543" s="3">
        <v>931044</v>
      </c>
      <c r="B3543" s="339">
        <v>1001</v>
      </c>
      <c r="C3543" s="3">
        <v>1</v>
      </c>
      <c r="D3543" s="339">
        <v>1001</v>
      </c>
      <c r="E3543" s="3" t="s">
        <v>5550</v>
      </c>
      <c r="F3543" s="3" t="s">
        <v>5550</v>
      </c>
      <c r="G3543" s="151" t="s">
        <v>8685</v>
      </c>
      <c r="H3543" s="3" t="s">
        <v>1531</v>
      </c>
      <c r="I3543" s="3">
        <v>1</v>
      </c>
      <c r="J3543" s="3">
        <v>5</v>
      </c>
      <c r="K3543" s="3">
        <v>2</v>
      </c>
      <c r="L3543" s="3">
        <v>999</v>
      </c>
      <c r="M3543" s="3">
        <v>0</v>
      </c>
      <c r="N3543" s="3">
        <v>1018</v>
      </c>
      <c r="O3543" s="231" t="s">
        <v>8686</v>
      </c>
      <c r="S3543" s="3">
        <v>1</v>
      </c>
      <c r="T3543" s="3">
        <v>5</v>
      </c>
      <c r="U3543" s="3">
        <v>100</v>
      </c>
      <c r="V3543" s="33"/>
      <c r="W3543" s="3">
        <v>1</v>
      </c>
      <c r="X3543" s="3">
        <v>1</v>
      </c>
      <c r="Y3543" s="3">
        <v>0</v>
      </c>
      <c r="Z3543" s="3">
        <v>0</v>
      </c>
      <c r="AA3543" s="3">
        <v>5</v>
      </c>
      <c r="AB3543" s="3">
        <v>2000</v>
      </c>
      <c r="AC3543" s="3">
        <v>70</v>
      </c>
      <c r="AD3543" s="153">
        <v>0</v>
      </c>
      <c r="AE3543" s="153">
        <v>5</v>
      </c>
      <c r="AF3543" s="153">
        <v>2</v>
      </c>
      <c r="AG3543" s="337"/>
      <c r="AH3543" s="337"/>
      <c r="AI3543" s="337"/>
      <c r="AJ3543" s="337"/>
      <c r="AK3543" s="337"/>
      <c r="AL3543" s="234"/>
      <c r="AM3543" s="234"/>
      <c r="AN3543" s="476"/>
      <c r="AO3543" s="234"/>
      <c r="AP3543" s="234"/>
      <c r="AS3543" s="3">
        <v>1</v>
      </c>
    </row>
    <row r="3544" spans="1:45">
      <c r="A3544">
        <v>931045</v>
      </c>
      <c r="B3544" s="236">
        <v>1001</v>
      </c>
      <c r="C3544">
        <v>6</v>
      </c>
      <c r="D3544" s="236">
        <v>1001</v>
      </c>
      <c r="E3544" t="s">
        <v>8687</v>
      </c>
      <c r="F3544" t="s">
        <v>8687</v>
      </c>
      <c r="G3544" t="s">
        <v>8688</v>
      </c>
      <c r="H3544" t="s">
        <v>6325</v>
      </c>
      <c r="I3544">
        <v>1</v>
      </c>
      <c r="J3544">
        <v>5</v>
      </c>
      <c r="K3544" s="33">
        <v>2</v>
      </c>
      <c r="L3544">
        <v>999</v>
      </c>
      <c r="M3544">
        <v>0</v>
      </c>
      <c r="N3544">
        <v>1035</v>
      </c>
      <c r="O3544" s="558">
        <v>119</v>
      </c>
      <c r="S3544" s="33">
        <v>1</v>
      </c>
      <c r="T3544">
        <v>5</v>
      </c>
      <c r="U3544">
        <v>1</v>
      </c>
      <c r="V3544" s="33">
        <v>1</v>
      </c>
      <c r="W3544">
        <v>1</v>
      </c>
      <c r="X3544">
        <v>1</v>
      </c>
      <c r="Y3544">
        <v>0</v>
      </c>
      <c r="Z3544" s="33">
        <v>0</v>
      </c>
      <c r="AA3544">
        <v>5</v>
      </c>
      <c r="AB3544">
        <v>100</v>
      </c>
      <c r="AC3544">
        <v>70</v>
      </c>
      <c r="AD3544" s="62">
        <v>0</v>
      </c>
      <c r="AE3544" s="62">
        <v>1</v>
      </c>
      <c r="AF3544" s="62">
        <v>1</v>
      </c>
      <c r="AG3544" s="337"/>
      <c r="AH3544" s="337"/>
      <c r="AI3544" s="337"/>
      <c r="AJ3544" s="337"/>
      <c r="AK3544" s="337"/>
      <c r="AL3544" s="234"/>
      <c r="AM3544" s="234"/>
      <c r="AN3544" s="476"/>
      <c r="AO3544" s="234"/>
      <c r="AP3544" s="234"/>
      <c r="AS3544">
        <v>1</v>
      </c>
    </row>
    <row r="3545" s="3" customFormat="1" spans="1:45">
      <c r="A3545" s="3">
        <v>931046</v>
      </c>
      <c r="B3545" s="3">
        <v>1001</v>
      </c>
      <c r="C3545" s="3">
        <v>1</v>
      </c>
      <c r="D3545" s="3">
        <v>1001</v>
      </c>
      <c r="E3545" s="3" t="s">
        <v>5550</v>
      </c>
      <c r="F3545" s="3" t="s">
        <v>5550</v>
      </c>
      <c r="G3545" s="151" t="s">
        <v>8689</v>
      </c>
      <c r="H3545" s="3" t="s">
        <v>1531</v>
      </c>
      <c r="I3545" s="3">
        <v>1</v>
      </c>
      <c r="J3545" s="3">
        <v>5</v>
      </c>
      <c r="K3545" s="3">
        <v>2</v>
      </c>
      <c r="L3545" s="3">
        <v>999</v>
      </c>
      <c r="M3545" s="3">
        <v>0</v>
      </c>
      <c r="N3545" s="3">
        <v>1018</v>
      </c>
      <c r="O3545" s="231" t="s">
        <v>8690</v>
      </c>
      <c r="S3545" s="3">
        <v>1</v>
      </c>
      <c r="T3545" s="3">
        <v>5</v>
      </c>
      <c r="U3545" s="3">
        <v>100</v>
      </c>
      <c r="W3545" s="3">
        <v>1</v>
      </c>
      <c r="X3545" s="3">
        <v>1</v>
      </c>
      <c r="Y3545" s="3">
        <v>0</v>
      </c>
      <c r="Z3545" s="3">
        <v>0</v>
      </c>
      <c r="AA3545" s="3">
        <v>5</v>
      </c>
      <c r="AB3545" s="3">
        <v>2000</v>
      </c>
      <c r="AC3545" s="3">
        <v>70</v>
      </c>
      <c r="AD3545" s="153">
        <v>0</v>
      </c>
      <c r="AE3545" s="153">
        <v>5</v>
      </c>
      <c r="AF3545" s="153">
        <v>2</v>
      </c>
      <c r="AG3545" s="337"/>
      <c r="AH3545" s="337"/>
      <c r="AI3545" s="337"/>
      <c r="AJ3545" s="337"/>
      <c r="AK3545" s="337"/>
      <c r="AL3545" s="234"/>
      <c r="AM3545" s="234"/>
      <c r="AN3545" s="476"/>
      <c r="AO3545" s="234"/>
      <c r="AP3545" s="234"/>
      <c r="AS3545" s="3">
        <v>1</v>
      </c>
    </row>
    <row r="3546" s="3" customFormat="1" spans="1:45">
      <c r="A3546" s="3">
        <v>931047</v>
      </c>
      <c r="B3546" s="339">
        <v>1001</v>
      </c>
      <c r="C3546" s="3">
        <v>1</v>
      </c>
      <c r="D3546" s="339">
        <v>1001</v>
      </c>
      <c r="E3546" s="3" t="s">
        <v>8229</v>
      </c>
      <c r="F3546" s="3" t="s">
        <v>8229</v>
      </c>
      <c r="G3546" s="151" t="s">
        <v>8691</v>
      </c>
      <c r="H3546" s="3" t="s">
        <v>1531</v>
      </c>
      <c r="I3546" s="3">
        <v>1</v>
      </c>
      <c r="J3546" s="3">
        <v>5</v>
      </c>
      <c r="K3546" s="3">
        <v>2</v>
      </c>
      <c r="L3546" s="3">
        <v>999</v>
      </c>
      <c r="M3546" s="3">
        <v>0</v>
      </c>
      <c r="N3546" s="3">
        <v>1018</v>
      </c>
      <c r="O3546" s="231" t="s">
        <v>8692</v>
      </c>
      <c r="S3546" s="3">
        <v>1</v>
      </c>
      <c r="T3546" s="3">
        <v>5</v>
      </c>
      <c r="U3546" s="3">
        <v>100</v>
      </c>
      <c r="V3546" s="33"/>
      <c r="W3546" s="3">
        <v>1</v>
      </c>
      <c r="X3546" s="3">
        <v>1</v>
      </c>
      <c r="Y3546" s="3">
        <v>0</v>
      </c>
      <c r="Z3546" s="3">
        <v>0</v>
      </c>
      <c r="AA3546" s="3">
        <v>5</v>
      </c>
      <c r="AB3546" s="3">
        <v>2000</v>
      </c>
      <c r="AC3546" s="3">
        <v>70</v>
      </c>
      <c r="AD3546" s="153">
        <v>0</v>
      </c>
      <c r="AE3546" s="153">
        <v>5</v>
      </c>
      <c r="AF3546" s="153">
        <v>2</v>
      </c>
      <c r="AG3546" s="337"/>
      <c r="AH3546" s="337"/>
      <c r="AI3546" s="337"/>
      <c r="AJ3546" s="337"/>
      <c r="AK3546" s="337"/>
      <c r="AL3546" s="234"/>
      <c r="AM3546" s="234"/>
      <c r="AN3546" s="476"/>
      <c r="AO3546" s="234"/>
      <c r="AP3546" s="234"/>
      <c r="AS3546" s="3">
        <v>1</v>
      </c>
    </row>
    <row r="3547" s="3" customFormat="1" ht="16.5" customHeight="1" spans="1:45">
      <c r="A3547" s="3">
        <v>931048</v>
      </c>
      <c r="B3547" s="8">
        <v>1001</v>
      </c>
      <c r="C3547" s="3">
        <v>6</v>
      </c>
      <c r="D3547" s="8">
        <v>1001</v>
      </c>
      <c r="E3547" s="559" t="s">
        <v>8693</v>
      </c>
      <c r="F3547" s="559" t="s">
        <v>8693</v>
      </c>
      <c r="G3547" s="3" t="str">
        <f>"使用后获得"&amp;F3547</f>
        <v>使用后获得称号：至高之人</v>
      </c>
      <c r="H3547" s="3" t="s">
        <v>6325</v>
      </c>
      <c r="I3547" s="3">
        <v>1</v>
      </c>
      <c r="J3547" s="3">
        <v>5</v>
      </c>
      <c r="K3547" s="33">
        <v>2</v>
      </c>
      <c r="L3547" s="3">
        <v>999</v>
      </c>
      <c r="M3547" s="3">
        <v>0</v>
      </c>
      <c r="N3547" s="3">
        <v>1035</v>
      </c>
      <c r="O3547" s="558">
        <v>37</v>
      </c>
      <c r="S3547" s="33">
        <v>1</v>
      </c>
      <c r="T3547" s="3">
        <v>5</v>
      </c>
      <c r="U3547" s="3">
        <v>1</v>
      </c>
      <c r="V3547" s="33">
        <v>1</v>
      </c>
      <c r="W3547" s="3">
        <v>1</v>
      </c>
      <c r="X3547" s="3">
        <v>1</v>
      </c>
      <c r="Y3547" s="3">
        <v>0</v>
      </c>
      <c r="Z3547" s="33">
        <v>0</v>
      </c>
      <c r="AA3547" s="3">
        <v>5</v>
      </c>
      <c r="AB3547" s="3">
        <v>100</v>
      </c>
      <c r="AC3547" s="3">
        <v>70</v>
      </c>
      <c r="AD3547" s="62">
        <v>0</v>
      </c>
      <c r="AE3547" s="62">
        <v>1</v>
      </c>
      <c r="AF3547" s="62">
        <v>1</v>
      </c>
      <c r="AG3547" s="63"/>
      <c r="AH3547" s="63"/>
      <c r="AI3547" s="63"/>
      <c r="AJ3547" s="63"/>
      <c r="AK3547" s="63"/>
      <c r="AL3547" s="64"/>
      <c r="AM3547" s="64"/>
      <c r="AN3547" s="65"/>
      <c r="AO3547" s="64"/>
      <c r="AP3547" s="64"/>
      <c r="AS3547" s="3">
        <v>1</v>
      </c>
    </row>
    <row r="3548" s="3" customFormat="1" ht="16.5" customHeight="1" spans="1:45">
      <c r="A3548" s="3">
        <v>931049</v>
      </c>
      <c r="B3548" s="8">
        <v>1001</v>
      </c>
      <c r="C3548" s="3">
        <v>6</v>
      </c>
      <c r="D3548" s="8">
        <v>1001</v>
      </c>
      <c r="E3548" s="559" t="s">
        <v>8694</v>
      </c>
      <c r="F3548" s="559" t="s">
        <v>8694</v>
      </c>
      <c r="G3548" s="3" t="str">
        <f>"使用后获得"&amp;F3548</f>
        <v>使用后获得称号：海岛贵族</v>
      </c>
      <c r="H3548" s="3" t="s">
        <v>6325</v>
      </c>
      <c r="I3548" s="3">
        <v>1</v>
      </c>
      <c r="J3548" s="3">
        <v>5</v>
      </c>
      <c r="K3548" s="33">
        <v>2</v>
      </c>
      <c r="L3548" s="3">
        <v>999</v>
      </c>
      <c r="M3548" s="3">
        <v>0</v>
      </c>
      <c r="N3548" s="3">
        <v>1035</v>
      </c>
      <c r="O3548" s="558">
        <v>38</v>
      </c>
      <c r="S3548" s="33">
        <v>1</v>
      </c>
      <c r="T3548" s="3">
        <v>5</v>
      </c>
      <c r="U3548" s="3">
        <v>1</v>
      </c>
      <c r="V3548" s="33">
        <v>1</v>
      </c>
      <c r="W3548" s="3">
        <v>1</v>
      </c>
      <c r="X3548" s="3">
        <v>1</v>
      </c>
      <c r="Y3548" s="3">
        <v>0</v>
      </c>
      <c r="Z3548" s="33">
        <v>0</v>
      </c>
      <c r="AA3548" s="3">
        <v>5</v>
      </c>
      <c r="AB3548" s="3">
        <v>100</v>
      </c>
      <c r="AC3548" s="3">
        <v>70</v>
      </c>
      <c r="AD3548" s="62">
        <v>0</v>
      </c>
      <c r="AE3548" s="62">
        <v>1</v>
      </c>
      <c r="AF3548" s="62">
        <v>1</v>
      </c>
      <c r="AG3548" s="63"/>
      <c r="AH3548" s="63"/>
      <c r="AI3548" s="63"/>
      <c r="AJ3548" s="63"/>
      <c r="AK3548" s="63"/>
      <c r="AL3548" s="64"/>
      <c r="AM3548" s="64"/>
      <c r="AN3548" s="65"/>
      <c r="AO3548" s="64"/>
      <c r="AP3548" s="64"/>
      <c r="AS3548" s="3">
        <v>1</v>
      </c>
    </row>
    <row r="3549" s="3" customFormat="1" ht="16.5" customHeight="1" spans="1:45">
      <c r="A3549" s="3">
        <v>931050</v>
      </c>
      <c r="B3549" s="8">
        <v>1001</v>
      </c>
      <c r="C3549" s="3">
        <v>6</v>
      </c>
      <c r="D3549" s="8">
        <v>1001</v>
      </c>
      <c r="E3549" s="559" t="s">
        <v>8695</v>
      </c>
      <c r="F3549" s="559" t="s">
        <v>8695</v>
      </c>
      <c r="G3549" s="3" t="str">
        <f>"使用后获得"&amp;F3549</f>
        <v>使用后获得称号：海岛领主</v>
      </c>
      <c r="H3549" s="3" t="s">
        <v>6325</v>
      </c>
      <c r="I3549" s="3">
        <v>1</v>
      </c>
      <c r="J3549" s="3">
        <v>5</v>
      </c>
      <c r="K3549" s="33">
        <v>2</v>
      </c>
      <c r="L3549" s="3">
        <v>999</v>
      </c>
      <c r="M3549" s="3">
        <v>0</v>
      </c>
      <c r="N3549" s="3">
        <v>1035</v>
      </c>
      <c r="O3549" s="558">
        <v>39</v>
      </c>
      <c r="S3549" s="33">
        <v>1</v>
      </c>
      <c r="T3549" s="3">
        <v>5</v>
      </c>
      <c r="U3549" s="3">
        <v>1</v>
      </c>
      <c r="V3549" s="33">
        <v>1</v>
      </c>
      <c r="W3549" s="3">
        <v>1</v>
      </c>
      <c r="X3549" s="3">
        <v>1</v>
      </c>
      <c r="Y3549" s="3">
        <v>0</v>
      </c>
      <c r="Z3549" s="33">
        <v>0</v>
      </c>
      <c r="AA3549" s="3">
        <v>5</v>
      </c>
      <c r="AB3549" s="3">
        <v>100</v>
      </c>
      <c r="AC3549" s="3">
        <v>70</v>
      </c>
      <c r="AD3549" s="62">
        <v>0</v>
      </c>
      <c r="AE3549" s="62">
        <v>1</v>
      </c>
      <c r="AF3549" s="62">
        <v>1</v>
      </c>
      <c r="AG3549" s="63"/>
      <c r="AH3549" s="63"/>
      <c r="AI3549" s="63"/>
      <c r="AJ3549" s="63"/>
      <c r="AK3549" s="63"/>
      <c r="AL3549" s="64"/>
      <c r="AM3549" s="64"/>
      <c r="AN3549" s="65"/>
      <c r="AO3549" s="64"/>
      <c r="AP3549" s="64"/>
      <c r="AS3549" s="3">
        <v>1</v>
      </c>
    </row>
    <row r="3550" s="3" customFormat="1" ht="16.5" customHeight="1" spans="1:45">
      <c r="A3550" s="3">
        <v>931051</v>
      </c>
      <c r="B3550" s="236">
        <v>1001</v>
      </c>
      <c r="C3550" s="3">
        <v>6</v>
      </c>
      <c r="D3550" s="236">
        <v>1001</v>
      </c>
      <c r="E3550" s="559" t="s">
        <v>8696</v>
      </c>
      <c r="F3550" s="559" t="s">
        <v>8696</v>
      </c>
      <c r="G3550" s="3" t="str">
        <f>"使用后获得"&amp;F3550</f>
        <v>使用后获得称号：海岛传奇</v>
      </c>
      <c r="H3550" s="3" t="s">
        <v>6325</v>
      </c>
      <c r="I3550" s="3">
        <v>1</v>
      </c>
      <c r="J3550" s="3">
        <v>5</v>
      </c>
      <c r="K3550" s="33">
        <v>2</v>
      </c>
      <c r="L3550" s="3">
        <v>999</v>
      </c>
      <c r="M3550" s="3">
        <v>0</v>
      </c>
      <c r="N3550" s="3">
        <v>1035</v>
      </c>
      <c r="O3550" s="558">
        <v>40</v>
      </c>
      <c r="R3550" s="8"/>
      <c r="S3550" s="33">
        <v>1</v>
      </c>
      <c r="T3550" s="3">
        <v>5</v>
      </c>
      <c r="U3550" s="3">
        <v>1</v>
      </c>
      <c r="V3550" s="33">
        <v>1</v>
      </c>
      <c r="W3550" s="3">
        <v>1</v>
      </c>
      <c r="X3550" s="3">
        <v>1</v>
      </c>
      <c r="Y3550" s="3">
        <v>0</v>
      </c>
      <c r="Z3550" s="33">
        <v>0</v>
      </c>
      <c r="AA3550" s="3">
        <v>5</v>
      </c>
      <c r="AB3550" s="3">
        <v>100</v>
      </c>
      <c r="AC3550" s="3">
        <v>70</v>
      </c>
      <c r="AD3550" s="62">
        <v>0</v>
      </c>
      <c r="AE3550" s="62">
        <v>1</v>
      </c>
      <c r="AF3550" s="62">
        <v>1</v>
      </c>
      <c r="AG3550" s="63"/>
      <c r="AH3550" s="63"/>
      <c r="AI3550" s="63"/>
      <c r="AJ3550" s="63"/>
      <c r="AK3550" s="63"/>
      <c r="AL3550" s="64"/>
      <c r="AM3550" s="64"/>
      <c r="AN3550" s="65"/>
      <c r="AO3550" s="64"/>
      <c r="AP3550" s="64"/>
      <c r="AQ3550" s="52"/>
      <c r="AS3550" s="3">
        <v>1</v>
      </c>
    </row>
    <row r="3551" spans="1:45">
      <c r="A3551">
        <v>931052</v>
      </c>
      <c r="B3551" s="54">
        <v>1001</v>
      </c>
      <c r="C3551" s="54">
        <v>6</v>
      </c>
      <c r="D3551" s="54">
        <v>1001</v>
      </c>
      <c r="E3551" s="54" t="s">
        <v>8697</v>
      </c>
      <c r="F3551" s="54" t="s">
        <v>8697</v>
      </c>
      <c r="G3551" s="515" t="s">
        <v>8698</v>
      </c>
      <c r="H3551" s="54" t="s">
        <v>1585</v>
      </c>
      <c r="I3551">
        <v>1</v>
      </c>
      <c r="J3551">
        <v>5</v>
      </c>
      <c r="K3551" s="33">
        <v>2</v>
      </c>
      <c r="L3551">
        <v>999</v>
      </c>
      <c r="M3551">
        <v>0</v>
      </c>
      <c r="N3551">
        <v>1017</v>
      </c>
      <c r="O3551" s="2">
        <v>300087</v>
      </c>
      <c r="R3551" s="236"/>
      <c r="S3551" s="462">
        <v>1</v>
      </c>
      <c r="T3551" s="52">
        <v>5</v>
      </c>
      <c r="U3551" s="52">
        <v>100</v>
      </c>
      <c r="V3551" s="462">
        <v>1</v>
      </c>
      <c r="W3551" s="52">
        <v>1</v>
      </c>
      <c r="X3551" s="52">
        <v>1</v>
      </c>
      <c r="Y3551" s="52">
        <v>0</v>
      </c>
      <c r="Z3551" s="462">
        <v>0</v>
      </c>
      <c r="AA3551" s="52">
        <v>5</v>
      </c>
      <c r="AB3551" s="52">
        <v>100</v>
      </c>
      <c r="AC3551" s="52">
        <v>110</v>
      </c>
      <c r="AD3551" s="464">
        <v>0</v>
      </c>
      <c r="AE3551" s="464">
        <v>4</v>
      </c>
      <c r="AF3551" s="464">
        <v>2</v>
      </c>
      <c r="AG3551" s="459"/>
      <c r="AH3551" s="459">
        <v>1</v>
      </c>
      <c r="AI3551" s="459"/>
      <c r="AJ3551" s="459"/>
      <c r="AK3551" s="459"/>
      <c r="AL3551" s="460">
        <v>1</v>
      </c>
      <c r="AM3551" s="460"/>
      <c r="AN3551" s="461"/>
      <c r="AO3551" s="460"/>
      <c r="AP3551" s="460"/>
      <c r="AQ3551" s="52"/>
      <c r="AS3551">
        <v>1</v>
      </c>
    </row>
    <row r="3552" s="3" customFormat="1" spans="1:45">
      <c r="A3552" s="3">
        <v>931053</v>
      </c>
      <c r="B3552" s="339">
        <v>1001</v>
      </c>
      <c r="C3552" s="3">
        <v>1</v>
      </c>
      <c r="D3552" s="339">
        <v>1001</v>
      </c>
      <c r="E3552" s="3" t="s">
        <v>5550</v>
      </c>
      <c r="F3552" s="3" t="s">
        <v>5550</v>
      </c>
      <c r="G3552" s="3" t="s">
        <v>8699</v>
      </c>
      <c r="H3552" s="3" t="s">
        <v>1531</v>
      </c>
      <c r="I3552" s="3">
        <v>1</v>
      </c>
      <c r="J3552" s="3">
        <v>5</v>
      </c>
      <c r="K3552" s="3">
        <v>2</v>
      </c>
      <c r="L3552" s="3">
        <v>999</v>
      </c>
      <c r="M3552" s="3">
        <v>0</v>
      </c>
      <c r="N3552" s="3">
        <v>1018</v>
      </c>
      <c r="O3552" s="231" t="s">
        <v>8700</v>
      </c>
      <c r="S3552" s="3">
        <v>1</v>
      </c>
      <c r="T3552" s="3">
        <v>5</v>
      </c>
      <c r="U3552" s="3">
        <v>100</v>
      </c>
      <c r="V3552" s="33"/>
      <c r="W3552" s="3">
        <v>1</v>
      </c>
      <c r="X3552" s="3">
        <v>1</v>
      </c>
      <c r="Y3552" s="3">
        <v>0</v>
      </c>
      <c r="Z3552" s="3">
        <v>0</v>
      </c>
      <c r="AA3552" s="3">
        <v>5</v>
      </c>
      <c r="AB3552" s="3">
        <v>2000</v>
      </c>
      <c r="AC3552" s="3">
        <v>70</v>
      </c>
      <c r="AD3552" s="153">
        <v>0</v>
      </c>
      <c r="AE3552" s="153">
        <v>5</v>
      </c>
      <c r="AF3552" s="153">
        <v>2</v>
      </c>
      <c r="AG3552" s="337"/>
      <c r="AH3552" s="337"/>
      <c r="AI3552" s="337"/>
      <c r="AJ3552" s="337"/>
      <c r="AK3552" s="337"/>
      <c r="AL3552" s="234"/>
      <c r="AM3552" s="234"/>
      <c r="AN3552" s="476"/>
      <c r="AO3552" s="234"/>
      <c r="AP3552" s="234"/>
      <c r="AS3552" s="3">
        <v>1</v>
      </c>
    </row>
    <row r="3553" spans="1:45">
      <c r="A3553" s="560">
        <v>931054</v>
      </c>
      <c r="B3553" s="8">
        <v>1001</v>
      </c>
      <c r="C3553">
        <v>6</v>
      </c>
      <c r="D3553" s="8">
        <v>1001</v>
      </c>
      <c r="E3553" t="s">
        <v>8701</v>
      </c>
      <c r="F3553" t="s">
        <v>8701</v>
      </c>
      <c r="G3553" t="s">
        <v>8702</v>
      </c>
      <c r="H3553" t="s">
        <v>6325</v>
      </c>
      <c r="I3553">
        <v>1</v>
      </c>
      <c r="J3553">
        <v>5</v>
      </c>
      <c r="K3553" s="33">
        <v>2</v>
      </c>
      <c r="L3553">
        <v>999</v>
      </c>
      <c r="M3553">
        <v>0</v>
      </c>
      <c r="N3553">
        <v>1035</v>
      </c>
      <c r="O3553" s="561">
        <v>120</v>
      </c>
      <c r="S3553" s="33">
        <v>1</v>
      </c>
      <c r="T3553">
        <v>5</v>
      </c>
      <c r="U3553">
        <v>1</v>
      </c>
      <c r="V3553" s="33">
        <v>1</v>
      </c>
      <c r="W3553">
        <v>1</v>
      </c>
      <c r="X3553">
        <v>1</v>
      </c>
      <c r="Y3553">
        <v>0</v>
      </c>
      <c r="Z3553" s="33">
        <v>0</v>
      </c>
      <c r="AA3553">
        <v>5</v>
      </c>
      <c r="AB3553">
        <v>100</v>
      </c>
      <c r="AC3553">
        <v>70</v>
      </c>
      <c r="AD3553" s="62">
        <v>0</v>
      </c>
      <c r="AE3553" s="62">
        <v>1</v>
      </c>
      <c r="AF3553" s="62">
        <v>1</v>
      </c>
      <c r="AS3553">
        <v>1</v>
      </c>
    </row>
    <row r="3554" spans="1:45">
      <c r="A3554" s="560">
        <v>931055</v>
      </c>
      <c r="B3554" s="8">
        <v>1001</v>
      </c>
      <c r="C3554">
        <v>6</v>
      </c>
      <c r="D3554" s="8">
        <v>1001</v>
      </c>
      <c r="E3554" t="s">
        <v>8703</v>
      </c>
      <c r="F3554" t="s">
        <v>8703</v>
      </c>
      <c r="G3554" t="s">
        <v>8704</v>
      </c>
      <c r="H3554" t="s">
        <v>6325</v>
      </c>
      <c r="I3554">
        <v>1</v>
      </c>
      <c r="J3554">
        <v>5</v>
      </c>
      <c r="K3554" s="33">
        <v>2</v>
      </c>
      <c r="L3554">
        <v>999</v>
      </c>
      <c r="M3554">
        <v>0</v>
      </c>
      <c r="N3554">
        <v>1035</v>
      </c>
      <c r="O3554" s="561">
        <v>121</v>
      </c>
      <c r="S3554" s="33">
        <v>1</v>
      </c>
      <c r="T3554">
        <v>5</v>
      </c>
      <c r="U3554">
        <v>1</v>
      </c>
      <c r="V3554" s="33">
        <v>1</v>
      </c>
      <c r="W3554">
        <v>1</v>
      </c>
      <c r="X3554">
        <v>1</v>
      </c>
      <c r="Y3554">
        <v>0</v>
      </c>
      <c r="Z3554" s="33">
        <v>0</v>
      </c>
      <c r="AA3554">
        <v>5</v>
      </c>
      <c r="AB3554">
        <v>100</v>
      </c>
      <c r="AC3554">
        <v>70</v>
      </c>
      <c r="AD3554" s="62">
        <v>0</v>
      </c>
      <c r="AE3554" s="62">
        <v>1</v>
      </c>
      <c r="AF3554" s="62">
        <v>1</v>
      </c>
      <c r="AS3554">
        <v>1</v>
      </c>
    </row>
    <row r="3555" spans="1:45">
      <c r="A3555" s="560">
        <v>931056</v>
      </c>
      <c r="B3555" s="8">
        <v>1001</v>
      </c>
      <c r="C3555">
        <v>6</v>
      </c>
      <c r="D3555" s="8">
        <v>1001</v>
      </c>
      <c r="E3555" t="s">
        <v>8705</v>
      </c>
      <c r="F3555" t="s">
        <v>8705</v>
      </c>
      <c r="G3555" t="s">
        <v>8706</v>
      </c>
      <c r="H3555" t="s">
        <v>6325</v>
      </c>
      <c r="I3555">
        <v>1</v>
      </c>
      <c r="J3555">
        <v>5</v>
      </c>
      <c r="K3555" s="33">
        <v>2</v>
      </c>
      <c r="L3555">
        <v>999</v>
      </c>
      <c r="M3555">
        <v>0</v>
      </c>
      <c r="N3555">
        <v>1035</v>
      </c>
      <c r="O3555" s="561">
        <v>122</v>
      </c>
      <c r="S3555" s="33">
        <v>1</v>
      </c>
      <c r="T3555">
        <v>5</v>
      </c>
      <c r="U3555">
        <v>1</v>
      </c>
      <c r="V3555" s="33">
        <v>1</v>
      </c>
      <c r="W3555">
        <v>1</v>
      </c>
      <c r="X3555">
        <v>1</v>
      </c>
      <c r="Y3555">
        <v>0</v>
      </c>
      <c r="Z3555" s="33">
        <v>0</v>
      </c>
      <c r="AA3555">
        <v>5</v>
      </c>
      <c r="AB3555">
        <v>100</v>
      </c>
      <c r="AC3555">
        <v>70</v>
      </c>
      <c r="AD3555" s="62">
        <v>0</v>
      </c>
      <c r="AE3555" s="62">
        <v>1</v>
      </c>
      <c r="AF3555" s="62">
        <v>1</v>
      </c>
      <c r="AS3555">
        <v>1</v>
      </c>
    </row>
    <row r="3556" spans="1:45">
      <c r="A3556" s="560">
        <v>931057</v>
      </c>
      <c r="B3556" s="8">
        <v>1001</v>
      </c>
      <c r="C3556">
        <v>6</v>
      </c>
      <c r="D3556" s="8">
        <v>1001</v>
      </c>
      <c r="E3556" t="s">
        <v>8707</v>
      </c>
      <c r="F3556" t="s">
        <v>8707</v>
      </c>
      <c r="G3556" t="s">
        <v>8708</v>
      </c>
      <c r="H3556" t="s">
        <v>6325</v>
      </c>
      <c r="I3556">
        <v>1</v>
      </c>
      <c r="J3556">
        <v>5</v>
      </c>
      <c r="K3556" s="33">
        <v>2</v>
      </c>
      <c r="L3556">
        <v>999</v>
      </c>
      <c r="M3556">
        <v>0</v>
      </c>
      <c r="N3556">
        <v>1035</v>
      </c>
      <c r="O3556" s="561">
        <v>123</v>
      </c>
      <c r="S3556" s="33">
        <v>1</v>
      </c>
      <c r="T3556">
        <v>5</v>
      </c>
      <c r="U3556">
        <v>1</v>
      </c>
      <c r="V3556" s="33">
        <v>1</v>
      </c>
      <c r="W3556">
        <v>1</v>
      </c>
      <c r="X3556">
        <v>1</v>
      </c>
      <c r="Y3556">
        <v>0</v>
      </c>
      <c r="Z3556" s="33">
        <v>0</v>
      </c>
      <c r="AA3556">
        <v>5</v>
      </c>
      <c r="AB3556">
        <v>100</v>
      </c>
      <c r="AC3556">
        <v>70</v>
      </c>
      <c r="AD3556" s="62">
        <v>0</v>
      </c>
      <c r="AE3556" s="62">
        <v>1</v>
      </c>
      <c r="AF3556" s="62">
        <v>1</v>
      </c>
      <c r="AS3556">
        <v>1</v>
      </c>
    </row>
    <row r="3557" spans="1:45">
      <c r="A3557" s="560">
        <v>931058</v>
      </c>
      <c r="B3557" s="8">
        <v>1001</v>
      </c>
      <c r="C3557">
        <v>6</v>
      </c>
      <c r="D3557" s="8">
        <v>1001</v>
      </c>
      <c r="E3557" t="s">
        <v>8709</v>
      </c>
      <c r="F3557" t="s">
        <v>8709</v>
      </c>
      <c r="G3557" t="s">
        <v>8710</v>
      </c>
      <c r="H3557" t="s">
        <v>6325</v>
      </c>
      <c r="I3557">
        <v>1</v>
      </c>
      <c r="J3557">
        <v>5</v>
      </c>
      <c r="K3557" s="33">
        <v>2</v>
      </c>
      <c r="L3557">
        <v>999</v>
      </c>
      <c r="M3557">
        <v>0</v>
      </c>
      <c r="N3557">
        <v>1035</v>
      </c>
      <c r="O3557" s="561">
        <v>124</v>
      </c>
      <c r="S3557" s="33">
        <v>1</v>
      </c>
      <c r="T3557">
        <v>5</v>
      </c>
      <c r="U3557">
        <v>1</v>
      </c>
      <c r="V3557" s="33">
        <v>1</v>
      </c>
      <c r="W3557">
        <v>1</v>
      </c>
      <c r="X3557">
        <v>1</v>
      </c>
      <c r="Y3557">
        <v>0</v>
      </c>
      <c r="Z3557" s="33">
        <v>0</v>
      </c>
      <c r="AA3557">
        <v>5</v>
      </c>
      <c r="AB3557">
        <v>100</v>
      </c>
      <c r="AC3557">
        <v>70</v>
      </c>
      <c r="AD3557" s="62">
        <v>0</v>
      </c>
      <c r="AE3557" s="62">
        <v>1</v>
      </c>
      <c r="AF3557" s="62">
        <v>1</v>
      </c>
      <c r="AS3557">
        <v>1</v>
      </c>
    </row>
    <row r="3558" spans="1:45">
      <c r="A3558" s="560">
        <v>931059</v>
      </c>
      <c r="B3558" s="8">
        <v>1001</v>
      </c>
      <c r="C3558">
        <v>6</v>
      </c>
      <c r="D3558" s="8">
        <v>1001</v>
      </c>
      <c r="E3558" t="s">
        <v>8711</v>
      </c>
      <c r="F3558" t="s">
        <v>8711</v>
      </c>
      <c r="G3558" t="s">
        <v>8712</v>
      </c>
      <c r="H3558" t="s">
        <v>6325</v>
      </c>
      <c r="I3558">
        <v>1</v>
      </c>
      <c r="J3558">
        <v>5</v>
      </c>
      <c r="K3558" s="33">
        <v>2</v>
      </c>
      <c r="L3558">
        <v>999</v>
      </c>
      <c r="M3558">
        <v>0</v>
      </c>
      <c r="N3558">
        <v>1035</v>
      </c>
      <c r="O3558" s="561">
        <v>125</v>
      </c>
      <c r="S3558" s="33">
        <v>1</v>
      </c>
      <c r="T3558">
        <v>5</v>
      </c>
      <c r="U3558">
        <v>1</v>
      </c>
      <c r="V3558" s="33">
        <v>1</v>
      </c>
      <c r="W3558">
        <v>1</v>
      </c>
      <c r="X3558">
        <v>1</v>
      </c>
      <c r="Y3558">
        <v>0</v>
      </c>
      <c r="Z3558" s="33">
        <v>0</v>
      </c>
      <c r="AA3558">
        <v>5</v>
      </c>
      <c r="AB3558">
        <v>100</v>
      </c>
      <c r="AC3558">
        <v>70</v>
      </c>
      <c r="AD3558" s="62">
        <v>0</v>
      </c>
      <c r="AE3558" s="62">
        <v>1</v>
      </c>
      <c r="AF3558" s="62">
        <v>1</v>
      </c>
      <c r="AS3558">
        <v>1</v>
      </c>
    </row>
    <row r="3559" spans="1:45">
      <c r="A3559" s="560">
        <v>931060</v>
      </c>
      <c r="B3559" s="236">
        <v>1001</v>
      </c>
      <c r="C3559">
        <v>6</v>
      </c>
      <c r="D3559" s="236">
        <v>1001</v>
      </c>
      <c r="E3559" t="s">
        <v>8713</v>
      </c>
      <c r="F3559" t="s">
        <v>8713</v>
      </c>
      <c r="G3559" t="s">
        <v>8714</v>
      </c>
      <c r="H3559" t="s">
        <v>6325</v>
      </c>
      <c r="I3559">
        <v>1</v>
      </c>
      <c r="J3559">
        <v>5</v>
      </c>
      <c r="K3559" s="33">
        <v>2</v>
      </c>
      <c r="L3559">
        <v>999</v>
      </c>
      <c r="M3559">
        <v>0</v>
      </c>
      <c r="N3559">
        <v>1035</v>
      </c>
      <c r="O3559" s="561">
        <v>126</v>
      </c>
      <c r="S3559" s="33">
        <v>1</v>
      </c>
      <c r="T3559">
        <v>5</v>
      </c>
      <c r="U3559">
        <v>1</v>
      </c>
      <c r="V3559" s="33">
        <v>1</v>
      </c>
      <c r="W3559">
        <v>1</v>
      </c>
      <c r="X3559">
        <v>1</v>
      </c>
      <c r="Y3559">
        <v>0</v>
      </c>
      <c r="Z3559" s="33">
        <v>0</v>
      </c>
      <c r="AA3559">
        <v>5</v>
      </c>
      <c r="AB3559">
        <v>100</v>
      </c>
      <c r="AC3559">
        <v>70</v>
      </c>
      <c r="AD3559" s="62">
        <v>0</v>
      </c>
      <c r="AE3559" s="62">
        <v>1</v>
      </c>
      <c r="AF3559" s="62">
        <v>1</v>
      </c>
      <c r="AG3559" s="430"/>
      <c r="AH3559" s="430"/>
      <c r="AI3559" s="430"/>
      <c r="AJ3559" s="430"/>
      <c r="AK3559" s="430"/>
      <c r="AL3559" s="214"/>
      <c r="AM3559" s="214"/>
      <c r="AN3559" s="431"/>
      <c r="AO3559" s="214"/>
      <c r="AP3559" s="214"/>
      <c r="AS3559">
        <v>1</v>
      </c>
    </row>
    <row r="3560" s="58" customFormat="1" spans="1:45">
      <c r="A3560" s="58">
        <v>931061</v>
      </c>
      <c r="B3560" s="58">
        <v>1001</v>
      </c>
      <c r="C3560" s="58">
        <v>1</v>
      </c>
      <c r="D3560" s="58">
        <v>1001</v>
      </c>
      <c r="E3560" s="58" t="s">
        <v>5550</v>
      </c>
      <c r="F3560" s="58" t="s">
        <v>5550</v>
      </c>
      <c r="G3560" s="58" t="s">
        <v>8715</v>
      </c>
      <c r="H3560" s="58" t="s">
        <v>1531</v>
      </c>
      <c r="I3560" s="58">
        <v>1</v>
      </c>
      <c r="J3560" s="58">
        <v>5</v>
      </c>
      <c r="K3560" s="58">
        <v>2</v>
      </c>
      <c r="L3560" s="58">
        <v>999</v>
      </c>
      <c r="M3560" s="58">
        <v>0</v>
      </c>
      <c r="N3560" s="58">
        <v>1018</v>
      </c>
      <c r="O3560" s="431" t="s">
        <v>8716</v>
      </c>
      <c r="S3560" s="58">
        <v>1</v>
      </c>
      <c r="T3560" s="58">
        <v>5</v>
      </c>
      <c r="U3560" s="58">
        <v>100</v>
      </c>
      <c r="W3560" s="58">
        <v>1</v>
      </c>
      <c r="X3560" s="58">
        <v>1</v>
      </c>
      <c r="Y3560" s="58">
        <v>0</v>
      </c>
      <c r="Z3560" s="58">
        <v>0</v>
      </c>
      <c r="AA3560" s="58">
        <v>5</v>
      </c>
      <c r="AB3560" s="58">
        <v>2000</v>
      </c>
      <c r="AC3560" s="58">
        <v>70</v>
      </c>
      <c r="AD3560" s="562">
        <v>0</v>
      </c>
      <c r="AE3560" s="562">
        <v>5</v>
      </c>
      <c r="AF3560" s="562">
        <v>2</v>
      </c>
      <c r="AG3560" s="430"/>
      <c r="AH3560" s="430"/>
      <c r="AI3560" s="430"/>
      <c r="AJ3560" s="430"/>
      <c r="AK3560" s="430"/>
      <c r="AL3560" s="214"/>
      <c r="AM3560" s="214"/>
      <c r="AN3560" s="431"/>
      <c r="AO3560" s="214"/>
      <c r="AP3560" s="214"/>
      <c r="AS3560" s="58">
        <v>1</v>
      </c>
    </row>
    <row r="3561" s="58" customFormat="1" spans="1:45">
      <c r="A3561" s="58">
        <v>931062</v>
      </c>
      <c r="B3561" s="58">
        <v>1001</v>
      </c>
      <c r="C3561" s="58">
        <v>1</v>
      </c>
      <c r="D3561" s="58">
        <v>1001</v>
      </c>
      <c r="E3561" s="58" t="s">
        <v>5550</v>
      </c>
      <c r="F3561" s="58" t="s">
        <v>5550</v>
      </c>
      <c r="G3561" s="58" t="s">
        <v>8717</v>
      </c>
      <c r="H3561" s="58" t="s">
        <v>1531</v>
      </c>
      <c r="I3561" s="58">
        <v>1</v>
      </c>
      <c r="J3561" s="58">
        <v>5</v>
      </c>
      <c r="K3561" s="58">
        <v>2</v>
      </c>
      <c r="L3561" s="58">
        <v>999</v>
      </c>
      <c r="M3561" s="58">
        <v>0</v>
      </c>
      <c r="N3561" s="58">
        <v>1018</v>
      </c>
      <c r="O3561" s="431" t="s">
        <v>8718</v>
      </c>
      <c r="S3561" s="58">
        <v>1</v>
      </c>
      <c r="T3561" s="58">
        <v>5</v>
      </c>
      <c r="U3561" s="58">
        <v>100</v>
      </c>
      <c r="W3561" s="58">
        <v>1</v>
      </c>
      <c r="X3561" s="58">
        <v>1</v>
      </c>
      <c r="Y3561" s="58">
        <v>0</v>
      </c>
      <c r="Z3561" s="58">
        <v>0</v>
      </c>
      <c r="AA3561" s="58">
        <v>5</v>
      </c>
      <c r="AB3561" s="58">
        <v>2000</v>
      </c>
      <c r="AC3561" s="58">
        <v>70</v>
      </c>
      <c r="AD3561" s="562">
        <v>0</v>
      </c>
      <c r="AE3561" s="562">
        <v>5</v>
      </c>
      <c r="AF3561" s="562">
        <v>2</v>
      </c>
      <c r="AG3561" s="430"/>
      <c r="AH3561" s="430"/>
      <c r="AI3561" s="430"/>
      <c r="AJ3561" s="430"/>
      <c r="AK3561" s="430"/>
      <c r="AL3561" s="214"/>
      <c r="AM3561" s="214"/>
      <c r="AN3561" s="431"/>
      <c r="AO3561" s="214"/>
      <c r="AP3561" s="214"/>
      <c r="AS3561" s="58">
        <v>1</v>
      </c>
    </row>
    <row r="3562" s="58" customFormat="1" spans="1:45">
      <c r="A3562" s="58">
        <v>931063</v>
      </c>
      <c r="B3562" s="58">
        <v>1001</v>
      </c>
      <c r="C3562" s="58">
        <v>1</v>
      </c>
      <c r="D3562" s="58">
        <v>1001</v>
      </c>
      <c r="E3562" s="58" t="s">
        <v>5550</v>
      </c>
      <c r="F3562" s="58" t="s">
        <v>5550</v>
      </c>
      <c r="G3562" s="58" t="s">
        <v>8719</v>
      </c>
      <c r="H3562" s="58" t="s">
        <v>1531</v>
      </c>
      <c r="I3562" s="58">
        <v>1</v>
      </c>
      <c r="J3562" s="58">
        <v>5</v>
      </c>
      <c r="K3562" s="58">
        <v>2</v>
      </c>
      <c r="L3562" s="58">
        <v>999</v>
      </c>
      <c r="M3562" s="58">
        <v>0</v>
      </c>
      <c r="N3562" s="58">
        <v>1018</v>
      </c>
      <c r="O3562" s="431" t="s">
        <v>8720</v>
      </c>
      <c r="S3562" s="58">
        <v>1</v>
      </c>
      <c r="T3562" s="58">
        <v>5</v>
      </c>
      <c r="U3562" s="58">
        <v>100</v>
      </c>
      <c r="W3562" s="58">
        <v>1</v>
      </c>
      <c r="X3562" s="58">
        <v>1</v>
      </c>
      <c r="Y3562" s="58">
        <v>0</v>
      </c>
      <c r="Z3562" s="58">
        <v>0</v>
      </c>
      <c r="AA3562" s="58">
        <v>5</v>
      </c>
      <c r="AB3562" s="58">
        <v>2000</v>
      </c>
      <c r="AC3562" s="58">
        <v>70</v>
      </c>
      <c r="AD3562" s="562">
        <v>0</v>
      </c>
      <c r="AE3562" s="562">
        <v>5</v>
      </c>
      <c r="AF3562" s="562">
        <v>2</v>
      </c>
      <c r="AG3562" s="430"/>
      <c r="AH3562" s="430"/>
      <c r="AI3562" s="430"/>
      <c r="AJ3562" s="430"/>
      <c r="AK3562" s="430"/>
      <c r="AL3562" s="214"/>
      <c r="AM3562" s="214"/>
      <c r="AN3562" s="431"/>
      <c r="AO3562" s="214"/>
      <c r="AP3562" s="214"/>
      <c r="AS3562" s="58">
        <v>1</v>
      </c>
    </row>
    <row r="3563" s="58" customFormat="1" spans="1:45">
      <c r="A3563" s="58">
        <v>931064</v>
      </c>
      <c r="B3563" s="58">
        <v>1001</v>
      </c>
      <c r="C3563" s="58">
        <v>1</v>
      </c>
      <c r="D3563" s="58">
        <v>1001</v>
      </c>
      <c r="E3563" s="58" t="s">
        <v>5550</v>
      </c>
      <c r="F3563" s="58" t="s">
        <v>5550</v>
      </c>
      <c r="G3563" s="58" t="s">
        <v>8721</v>
      </c>
      <c r="H3563" s="58" t="s">
        <v>1531</v>
      </c>
      <c r="I3563" s="58">
        <v>1</v>
      </c>
      <c r="J3563" s="58">
        <v>5</v>
      </c>
      <c r="K3563" s="58">
        <v>2</v>
      </c>
      <c r="L3563" s="58">
        <v>999</v>
      </c>
      <c r="M3563" s="58">
        <v>0</v>
      </c>
      <c r="N3563" s="58">
        <v>1018</v>
      </c>
      <c r="O3563" s="431" t="s">
        <v>8722</v>
      </c>
      <c r="S3563" s="58">
        <v>1</v>
      </c>
      <c r="T3563" s="58">
        <v>5</v>
      </c>
      <c r="U3563" s="58">
        <v>100</v>
      </c>
      <c r="V3563" s="414"/>
      <c r="W3563" s="58">
        <v>1</v>
      </c>
      <c r="X3563" s="58">
        <v>1</v>
      </c>
      <c r="Y3563" s="58">
        <v>0</v>
      </c>
      <c r="Z3563" s="58">
        <v>0</v>
      </c>
      <c r="AA3563" s="58">
        <v>5</v>
      </c>
      <c r="AB3563" s="58">
        <v>2000</v>
      </c>
      <c r="AC3563" s="58">
        <v>70</v>
      </c>
      <c r="AD3563" s="562">
        <v>0</v>
      </c>
      <c r="AE3563" s="562">
        <v>5</v>
      </c>
      <c r="AF3563" s="562">
        <v>2</v>
      </c>
      <c r="AG3563" s="430"/>
      <c r="AH3563" s="430"/>
      <c r="AI3563" s="430"/>
      <c r="AJ3563" s="430"/>
      <c r="AK3563" s="430"/>
      <c r="AL3563" s="214"/>
      <c r="AM3563" s="214"/>
      <c r="AN3563" s="431"/>
      <c r="AO3563" s="214"/>
      <c r="AP3563" s="214"/>
      <c r="AS3563" s="58">
        <v>1</v>
      </c>
    </row>
    <row r="3564" s="59" customFormat="1" spans="1:45">
      <c r="A3564" s="58">
        <v>931065</v>
      </c>
      <c r="B3564" s="59">
        <v>1001</v>
      </c>
      <c r="C3564" s="59">
        <v>1</v>
      </c>
      <c r="D3564" s="59">
        <v>1001</v>
      </c>
      <c r="E3564" s="59" t="s">
        <v>5550</v>
      </c>
      <c r="F3564" s="59" t="s">
        <v>5550</v>
      </c>
      <c r="G3564" s="59" t="s">
        <v>8723</v>
      </c>
      <c r="H3564" s="59" t="s">
        <v>1531</v>
      </c>
      <c r="I3564" s="59">
        <v>1</v>
      </c>
      <c r="J3564" s="59">
        <v>5</v>
      </c>
      <c r="K3564" s="59">
        <v>2</v>
      </c>
      <c r="L3564" s="59">
        <v>999</v>
      </c>
      <c r="M3564" s="59">
        <v>0</v>
      </c>
      <c r="N3564" s="59">
        <v>1018</v>
      </c>
      <c r="O3564" s="563" t="s">
        <v>8724</v>
      </c>
      <c r="S3564" s="59">
        <v>1</v>
      </c>
      <c r="T3564" s="59">
        <v>5</v>
      </c>
      <c r="U3564" s="59">
        <v>100</v>
      </c>
      <c r="V3564" s="414"/>
      <c r="W3564" s="59">
        <v>1</v>
      </c>
      <c r="X3564" s="59">
        <v>1</v>
      </c>
      <c r="Y3564" s="59">
        <v>0</v>
      </c>
      <c r="Z3564" s="59">
        <v>0</v>
      </c>
      <c r="AA3564" s="59">
        <v>5</v>
      </c>
      <c r="AB3564" s="59">
        <v>2000</v>
      </c>
      <c r="AC3564" s="59">
        <v>70</v>
      </c>
      <c r="AD3564" s="564">
        <v>0</v>
      </c>
      <c r="AE3564" s="564">
        <v>5</v>
      </c>
      <c r="AF3564" s="564">
        <v>2</v>
      </c>
      <c r="AG3564" s="565"/>
      <c r="AH3564" s="565"/>
      <c r="AI3564" s="565"/>
      <c r="AJ3564" s="565"/>
      <c r="AK3564" s="565"/>
      <c r="AL3564" s="566"/>
      <c r="AM3564" s="566"/>
      <c r="AN3564" s="563"/>
      <c r="AO3564" s="566"/>
      <c r="AP3564" s="566"/>
      <c r="AS3564" s="59">
        <v>1</v>
      </c>
    </row>
    <row r="3565" s="59" customFormat="1" spans="1:45">
      <c r="A3565" s="58">
        <v>931066</v>
      </c>
      <c r="B3565" s="59">
        <v>1001</v>
      </c>
      <c r="C3565" s="59">
        <v>1</v>
      </c>
      <c r="D3565" s="59">
        <v>1001</v>
      </c>
      <c r="E3565" s="59" t="s">
        <v>8725</v>
      </c>
      <c r="F3565" s="59" t="s">
        <v>8725</v>
      </c>
      <c r="G3565" s="59" t="s">
        <v>8726</v>
      </c>
      <c r="H3565" s="59" t="s">
        <v>1531</v>
      </c>
      <c r="I3565" s="59">
        <v>1</v>
      </c>
      <c r="J3565" s="59">
        <v>5</v>
      </c>
      <c r="K3565" s="59">
        <v>2</v>
      </c>
      <c r="L3565" s="59">
        <v>999</v>
      </c>
      <c r="M3565" s="59">
        <v>0</v>
      </c>
      <c r="N3565" s="59">
        <v>1018</v>
      </c>
      <c r="O3565" s="563" t="s">
        <v>8727</v>
      </c>
      <c r="S3565" s="59">
        <v>1</v>
      </c>
      <c r="T3565" s="59">
        <v>5</v>
      </c>
      <c r="U3565" s="59">
        <v>100</v>
      </c>
      <c r="V3565" s="414"/>
      <c r="W3565" s="59">
        <v>1</v>
      </c>
      <c r="X3565" s="59">
        <v>1</v>
      </c>
      <c r="Y3565" s="59">
        <v>0</v>
      </c>
      <c r="Z3565" s="59">
        <v>0</v>
      </c>
      <c r="AA3565" s="59">
        <v>5</v>
      </c>
      <c r="AB3565" s="59">
        <v>2000</v>
      </c>
      <c r="AC3565" s="59">
        <v>70</v>
      </c>
      <c r="AD3565" s="564">
        <v>0</v>
      </c>
      <c r="AE3565" s="564">
        <v>5</v>
      </c>
      <c r="AF3565" s="564">
        <v>2</v>
      </c>
      <c r="AG3565" s="565"/>
      <c r="AH3565" s="565"/>
      <c r="AI3565" s="565"/>
      <c r="AJ3565" s="565"/>
      <c r="AK3565" s="565"/>
      <c r="AL3565" s="566"/>
      <c r="AM3565" s="566"/>
      <c r="AN3565" s="563"/>
      <c r="AO3565" s="566"/>
      <c r="AP3565" s="566"/>
      <c r="AS3565" s="59">
        <v>1</v>
      </c>
    </row>
    <row r="3566" s="59" customFormat="1" spans="1:45">
      <c r="A3566" s="58">
        <v>931067</v>
      </c>
      <c r="B3566" s="59">
        <v>1001</v>
      </c>
      <c r="C3566" s="59">
        <v>1</v>
      </c>
      <c r="D3566" s="59">
        <v>1001</v>
      </c>
      <c r="E3566" s="59" t="s">
        <v>8728</v>
      </c>
      <c r="F3566" s="59" t="s">
        <v>8728</v>
      </c>
      <c r="G3566" s="59" t="s">
        <v>8729</v>
      </c>
      <c r="H3566" s="59" t="s">
        <v>1531</v>
      </c>
      <c r="I3566" s="59">
        <v>1</v>
      </c>
      <c r="J3566" s="59">
        <v>5</v>
      </c>
      <c r="K3566" s="59">
        <v>2</v>
      </c>
      <c r="L3566" s="567">
        <v>999</v>
      </c>
      <c r="M3566" s="567">
        <v>0</v>
      </c>
      <c r="N3566" s="59">
        <v>1018</v>
      </c>
      <c r="O3566" s="563" t="s">
        <v>8730</v>
      </c>
      <c r="S3566" s="567">
        <v>1</v>
      </c>
      <c r="T3566" s="567">
        <v>5</v>
      </c>
      <c r="U3566" s="59">
        <v>100</v>
      </c>
      <c r="V3566" s="452"/>
      <c r="W3566" s="59">
        <v>1</v>
      </c>
      <c r="X3566" s="567">
        <v>1</v>
      </c>
      <c r="Y3566" s="567">
        <v>0</v>
      </c>
      <c r="Z3566" s="59">
        <v>0</v>
      </c>
      <c r="AA3566" s="59">
        <v>5</v>
      </c>
      <c r="AB3566" s="59">
        <v>2000</v>
      </c>
      <c r="AC3566" s="567">
        <v>70</v>
      </c>
      <c r="AD3566" s="564">
        <v>0</v>
      </c>
      <c r="AE3566" s="564">
        <v>5</v>
      </c>
      <c r="AF3566" s="564">
        <v>2</v>
      </c>
      <c r="AG3566" s="565"/>
      <c r="AH3566" s="565"/>
      <c r="AI3566" s="565"/>
      <c r="AJ3566" s="565"/>
      <c r="AK3566" s="565"/>
      <c r="AL3566" s="566"/>
      <c r="AM3566" s="566"/>
      <c r="AN3566" s="568"/>
      <c r="AO3566" s="569"/>
      <c r="AP3566" s="566"/>
      <c r="AS3566" s="59">
        <v>1</v>
      </c>
    </row>
    <row r="3567" s="3" customFormat="1" ht="16.5" customHeight="1" spans="1:45">
      <c r="A3567" s="58">
        <v>931068</v>
      </c>
      <c r="B3567" s="3">
        <v>1001</v>
      </c>
      <c r="C3567" s="3">
        <v>6</v>
      </c>
      <c r="D3567" s="3">
        <v>1001</v>
      </c>
      <c r="E3567" s="3" t="s">
        <v>8731</v>
      </c>
      <c r="F3567" s="3" t="s">
        <v>8731</v>
      </c>
      <c r="G3567" s="3" t="s">
        <v>8732</v>
      </c>
      <c r="H3567" s="3" t="s">
        <v>1712</v>
      </c>
      <c r="I3567" s="3">
        <v>1</v>
      </c>
      <c r="J3567" s="3">
        <v>5</v>
      </c>
      <c r="K3567" s="3">
        <v>2</v>
      </c>
      <c r="L3567" s="128">
        <v>999</v>
      </c>
      <c r="M3567" s="128">
        <v>0</v>
      </c>
      <c r="N3567" s="54">
        <v>1</v>
      </c>
      <c r="O3567" s="527" t="s">
        <v>8733</v>
      </c>
      <c r="S3567" s="128">
        <v>1</v>
      </c>
      <c r="T3567" s="128">
        <v>5</v>
      </c>
      <c r="U3567" s="3">
        <v>10</v>
      </c>
      <c r="V3567" s="128">
        <v>1</v>
      </c>
      <c r="W3567" s="3">
        <v>1</v>
      </c>
      <c r="X3567" s="128">
        <v>1</v>
      </c>
      <c r="Y3567" s="128">
        <v>0</v>
      </c>
      <c r="Z3567" s="3">
        <v>0</v>
      </c>
      <c r="AA3567" s="3">
        <v>5</v>
      </c>
      <c r="AB3567" s="3">
        <v>100</v>
      </c>
      <c r="AC3567" s="128">
        <v>56</v>
      </c>
      <c r="AD3567" s="153">
        <v>0</v>
      </c>
      <c r="AE3567" s="153">
        <v>4</v>
      </c>
      <c r="AF3567" s="153">
        <v>2</v>
      </c>
      <c r="AG3567" s="337"/>
      <c r="AH3567" s="337"/>
      <c r="AI3567" s="337"/>
      <c r="AJ3567" s="337"/>
      <c r="AK3567" s="337"/>
      <c r="AL3567" s="234"/>
      <c r="AM3567" s="485"/>
      <c r="AN3567" s="157"/>
      <c r="AO3567" s="156"/>
      <c r="AP3567" s="234"/>
      <c r="AS3567" s="3">
        <v>1</v>
      </c>
    </row>
    <row r="3568" s="3" customFormat="1" ht="16.5" customHeight="1" spans="1:45">
      <c r="A3568" s="58">
        <v>931069</v>
      </c>
      <c r="B3568" s="3">
        <v>1001</v>
      </c>
      <c r="C3568" s="3">
        <v>6</v>
      </c>
      <c r="D3568" s="3">
        <v>1001</v>
      </c>
      <c r="E3568" s="3" t="s">
        <v>8734</v>
      </c>
      <c r="F3568" s="3" t="s">
        <v>8734</v>
      </c>
      <c r="G3568" s="3" t="s">
        <v>7985</v>
      </c>
      <c r="H3568" s="3" t="s">
        <v>1712</v>
      </c>
      <c r="I3568" s="3">
        <v>1</v>
      </c>
      <c r="J3568" s="3">
        <v>5</v>
      </c>
      <c r="K3568" s="3">
        <v>2</v>
      </c>
      <c r="L3568" s="128">
        <v>999</v>
      </c>
      <c r="M3568" s="128">
        <v>0</v>
      </c>
      <c r="N3568" s="54">
        <v>1</v>
      </c>
      <c r="O3568" s="527" t="s">
        <v>8735</v>
      </c>
      <c r="S3568" s="128">
        <v>1</v>
      </c>
      <c r="T3568" s="128">
        <v>5</v>
      </c>
      <c r="U3568" s="3">
        <v>10</v>
      </c>
      <c r="V3568" s="128">
        <v>1</v>
      </c>
      <c r="W3568" s="3">
        <v>1</v>
      </c>
      <c r="X3568" s="128">
        <v>1</v>
      </c>
      <c r="Y3568" s="128">
        <v>0</v>
      </c>
      <c r="Z3568" s="3">
        <v>0</v>
      </c>
      <c r="AA3568" s="3">
        <v>5</v>
      </c>
      <c r="AB3568" s="3">
        <v>100</v>
      </c>
      <c r="AC3568" s="128">
        <v>56</v>
      </c>
      <c r="AD3568" s="153">
        <v>0</v>
      </c>
      <c r="AE3568" s="153">
        <v>4</v>
      </c>
      <c r="AF3568" s="153">
        <v>2</v>
      </c>
      <c r="AG3568" s="337"/>
      <c r="AH3568" s="337"/>
      <c r="AI3568" s="337"/>
      <c r="AJ3568" s="337"/>
      <c r="AK3568" s="337"/>
      <c r="AL3568" s="234"/>
      <c r="AM3568" s="485"/>
      <c r="AN3568" s="157"/>
      <c r="AO3568" s="156"/>
      <c r="AP3568" s="234"/>
      <c r="AS3568" s="3">
        <v>1</v>
      </c>
    </row>
    <row r="3569" s="3" customFormat="1" ht="16.5" customHeight="1" spans="1:45">
      <c r="A3569" s="58">
        <v>931070</v>
      </c>
      <c r="B3569" s="3">
        <v>1001</v>
      </c>
      <c r="C3569" s="3">
        <v>6</v>
      </c>
      <c r="D3569" s="3">
        <v>1001</v>
      </c>
      <c r="E3569" s="3" t="s">
        <v>8736</v>
      </c>
      <c r="F3569" s="3" t="s">
        <v>8736</v>
      </c>
      <c r="G3569" s="3" t="s">
        <v>8737</v>
      </c>
      <c r="H3569" s="3" t="s">
        <v>1712</v>
      </c>
      <c r="I3569" s="3">
        <v>1</v>
      </c>
      <c r="J3569" s="3">
        <v>5</v>
      </c>
      <c r="K3569" s="3">
        <v>2</v>
      </c>
      <c r="L3569" s="128">
        <v>999</v>
      </c>
      <c r="M3569" s="128">
        <v>0</v>
      </c>
      <c r="N3569" s="54">
        <v>1</v>
      </c>
      <c r="O3569" s="527" t="s">
        <v>8738</v>
      </c>
      <c r="S3569" s="128">
        <v>1</v>
      </c>
      <c r="T3569" s="128">
        <v>5</v>
      </c>
      <c r="U3569" s="3">
        <v>10</v>
      </c>
      <c r="V3569" s="128">
        <v>1</v>
      </c>
      <c r="W3569" s="3">
        <v>1</v>
      </c>
      <c r="X3569" s="128">
        <v>1</v>
      </c>
      <c r="Y3569" s="128">
        <v>0</v>
      </c>
      <c r="Z3569" s="3">
        <v>0</v>
      </c>
      <c r="AA3569" s="3">
        <v>5</v>
      </c>
      <c r="AB3569" s="3">
        <v>100</v>
      </c>
      <c r="AC3569" s="128">
        <v>56</v>
      </c>
      <c r="AD3569" s="153">
        <v>0</v>
      </c>
      <c r="AE3569" s="153">
        <v>4</v>
      </c>
      <c r="AF3569" s="153">
        <v>2</v>
      </c>
      <c r="AG3569" s="337"/>
      <c r="AH3569" s="337"/>
      <c r="AI3569" s="337"/>
      <c r="AJ3569" s="337"/>
      <c r="AK3569" s="337"/>
      <c r="AL3569" s="234"/>
      <c r="AM3569" s="485"/>
      <c r="AN3569" s="157"/>
      <c r="AO3569" s="156"/>
      <c r="AP3569" s="234"/>
      <c r="AS3569" s="3">
        <v>1</v>
      </c>
    </row>
    <row r="3570" s="3" customFormat="1" ht="16.5" customHeight="1" spans="1:45">
      <c r="A3570" s="58">
        <v>931071</v>
      </c>
      <c r="B3570" s="3">
        <v>1001</v>
      </c>
      <c r="C3570" s="3">
        <v>6</v>
      </c>
      <c r="D3570" s="3">
        <v>1001</v>
      </c>
      <c r="E3570" s="3" t="s">
        <v>8739</v>
      </c>
      <c r="F3570" s="3" t="s">
        <v>8739</v>
      </c>
      <c r="G3570" s="3" t="s">
        <v>8740</v>
      </c>
      <c r="H3570" s="3" t="s">
        <v>1712</v>
      </c>
      <c r="I3570" s="3">
        <v>1</v>
      </c>
      <c r="J3570" s="3">
        <v>5</v>
      </c>
      <c r="K3570" s="3">
        <v>2</v>
      </c>
      <c r="L3570" s="128">
        <v>999</v>
      </c>
      <c r="M3570" s="128">
        <v>0</v>
      </c>
      <c r="N3570" s="54">
        <v>1</v>
      </c>
      <c r="O3570" s="527" t="s">
        <v>8741</v>
      </c>
      <c r="S3570" s="128">
        <v>1</v>
      </c>
      <c r="T3570" s="128">
        <v>5</v>
      </c>
      <c r="U3570" s="3">
        <v>10</v>
      </c>
      <c r="V3570" s="128">
        <v>1</v>
      </c>
      <c r="W3570" s="3">
        <v>1</v>
      </c>
      <c r="X3570" s="128">
        <v>1</v>
      </c>
      <c r="Y3570" s="128">
        <v>0</v>
      </c>
      <c r="Z3570" s="3">
        <v>0</v>
      </c>
      <c r="AA3570" s="3">
        <v>5</v>
      </c>
      <c r="AB3570" s="3">
        <v>100</v>
      </c>
      <c r="AC3570" s="128">
        <v>56</v>
      </c>
      <c r="AD3570" s="153">
        <v>0</v>
      </c>
      <c r="AE3570" s="153">
        <v>4</v>
      </c>
      <c r="AF3570" s="153">
        <v>2</v>
      </c>
      <c r="AG3570" s="337"/>
      <c r="AH3570" s="337"/>
      <c r="AI3570" s="337"/>
      <c r="AJ3570" s="337"/>
      <c r="AK3570" s="337"/>
      <c r="AL3570" s="234"/>
      <c r="AM3570" s="485"/>
      <c r="AN3570" s="157"/>
      <c r="AO3570" s="156"/>
      <c r="AP3570" s="234"/>
      <c r="AS3570" s="3">
        <v>1</v>
      </c>
    </row>
    <row r="3571" s="3" customFormat="1" ht="16.5" customHeight="1" spans="1:45">
      <c r="A3571" s="58">
        <v>931072</v>
      </c>
      <c r="B3571" s="339">
        <v>1001</v>
      </c>
      <c r="C3571" s="3">
        <v>6</v>
      </c>
      <c r="D3571" s="339">
        <v>1001</v>
      </c>
      <c r="E3571" s="3" t="s">
        <v>8742</v>
      </c>
      <c r="F3571" s="3" t="s">
        <v>8742</v>
      </c>
      <c r="G3571" s="3" t="s">
        <v>8743</v>
      </c>
      <c r="H3571" s="3" t="s">
        <v>1712</v>
      </c>
      <c r="I3571" s="3">
        <v>1</v>
      </c>
      <c r="J3571" s="3">
        <v>5</v>
      </c>
      <c r="K3571" s="3">
        <v>2</v>
      </c>
      <c r="L3571" s="395">
        <v>999</v>
      </c>
      <c r="M3571" s="395">
        <v>0</v>
      </c>
      <c r="N3571" s="54">
        <v>1</v>
      </c>
      <c r="O3571" s="527" t="s">
        <v>8744</v>
      </c>
      <c r="S3571" s="395">
        <v>1</v>
      </c>
      <c r="T3571" s="395">
        <v>5</v>
      </c>
      <c r="U3571" s="3">
        <v>10</v>
      </c>
      <c r="V3571" s="395">
        <v>1</v>
      </c>
      <c r="W3571" s="3">
        <v>1</v>
      </c>
      <c r="X3571" s="395">
        <v>1</v>
      </c>
      <c r="Y3571" s="395">
        <v>0</v>
      </c>
      <c r="Z3571" s="3">
        <v>0</v>
      </c>
      <c r="AA3571" s="3">
        <v>5</v>
      </c>
      <c r="AB3571" s="3">
        <v>100</v>
      </c>
      <c r="AC3571" s="395">
        <v>56</v>
      </c>
      <c r="AD3571" s="153">
        <v>0</v>
      </c>
      <c r="AE3571" s="153">
        <v>4</v>
      </c>
      <c r="AF3571" s="153">
        <v>2</v>
      </c>
      <c r="AG3571" s="337"/>
      <c r="AH3571" s="337"/>
      <c r="AI3571" s="337"/>
      <c r="AJ3571" s="337"/>
      <c r="AK3571" s="337"/>
      <c r="AL3571" s="234"/>
      <c r="AM3571" s="485"/>
      <c r="AN3571" s="396"/>
      <c r="AO3571" s="342"/>
      <c r="AP3571" s="234"/>
      <c r="AS3571" s="3">
        <v>1</v>
      </c>
    </row>
    <row r="3572" s="3" customFormat="1" spans="1:45">
      <c r="A3572" s="58">
        <v>931073</v>
      </c>
      <c r="B3572" s="8">
        <v>1001</v>
      </c>
      <c r="C3572" s="3">
        <v>6</v>
      </c>
      <c r="D3572" s="8">
        <v>1001</v>
      </c>
      <c r="E3572" t="s">
        <v>6569</v>
      </c>
      <c r="F3572" t="s">
        <v>6569</v>
      </c>
      <c r="G3572" t="s">
        <v>6570</v>
      </c>
      <c r="H3572" s="446" t="s">
        <v>6571</v>
      </c>
      <c r="I3572" s="3">
        <v>1</v>
      </c>
      <c r="J3572" s="3">
        <v>5</v>
      </c>
      <c r="K3572" s="33">
        <v>2</v>
      </c>
      <c r="L3572" s="3">
        <v>999</v>
      </c>
      <c r="M3572" s="3">
        <v>0</v>
      </c>
      <c r="N3572" s="3">
        <v>1037</v>
      </c>
      <c r="O3572" s="2">
        <v>17</v>
      </c>
      <c r="S3572" s="33">
        <v>1</v>
      </c>
      <c r="T3572" s="3">
        <v>5</v>
      </c>
      <c r="U3572" s="3">
        <v>1</v>
      </c>
      <c r="V3572" s="33">
        <v>1</v>
      </c>
      <c r="W3572" s="3">
        <v>1</v>
      </c>
      <c r="X3572" s="3">
        <v>1</v>
      </c>
      <c r="Y3572" s="3">
        <v>0</v>
      </c>
      <c r="Z3572" s="33">
        <v>0</v>
      </c>
      <c r="AA3572" s="3">
        <v>5</v>
      </c>
      <c r="AB3572" s="3">
        <v>100</v>
      </c>
      <c r="AC3572" s="3">
        <v>70</v>
      </c>
      <c r="AD3572" s="62">
        <v>0</v>
      </c>
      <c r="AE3572" s="62">
        <v>1</v>
      </c>
      <c r="AF3572" s="62">
        <v>1</v>
      </c>
      <c r="AG3572" s="63"/>
      <c r="AH3572" s="63"/>
      <c r="AI3572" s="63"/>
      <c r="AJ3572" s="63"/>
      <c r="AK3572" s="63"/>
      <c r="AL3572" s="64"/>
      <c r="AM3572" s="64"/>
      <c r="AN3572" s="65"/>
      <c r="AO3572" s="64"/>
      <c r="AP3572" s="64"/>
      <c r="AS3572" s="3">
        <v>1</v>
      </c>
    </row>
    <row r="3573" s="3" customFormat="1" spans="1:45">
      <c r="A3573" s="58">
        <v>931074</v>
      </c>
      <c r="B3573" s="8">
        <v>1001</v>
      </c>
      <c r="C3573" s="3">
        <v>6</v>
      </c>
      <c r="D3573" s="8">
        <v>1001</v>
      </c>
      <c r="E3573" t="s">
        <v>6569</v>
      </c>
      <c r="F3573" t="s">
        <v>6569</v>
      </c>
      <c r="G3573" t="s">
        <v>6570</v>
      </c>
      <c r="H3573" s="446" t="s">
        <v>6571</v>
      </c>
      <c r="I3573" s="3">
        <v>1</v>
      </c>
      <c r="J3573" s="3">
        <v>5</v>
      </c>
      <c r="K3573" s="33">
        <v>2</v>
      </c>
      <c r="L3573" s="3">
        <v>999</v>
      </c>
      <c r="M3573" s="3">
        <v>0</v>
      </c>
      <c r="N3573" s="3">
        <v>1037</v>
      </c>
      <c r="O3573" s="2">
        <v>18</v>
      </c>
      <c r="S3573" s="33">
        <v>1</v>
      </c>
      <c r="T3573" s="3">
        <v>5</v>
      </c>
      <c r="U3573" s="3">
        <v>1</v>
      </c>
      <c r="V3573" s="33">
        <v>1</v>
      </c>
      <c r="W3573" s="3">
        <v>1</v>
      </c>
      <c r="X3573" s="3">
        <v>1</v>
      </c>
      <c r="Y3573" s="3">
        <v>0</v>
      </c>
      <c r="Z3573" s="33">
        <v>0</v>
      </c>
      <c r="AA3573" s="3">
        <v>5</v>
      </c>
      <c r="AB3573" s="3">
        <v>100</v>
      </c>
      <c r="AC3573" s="3">
        <v>70</v>
      </c>
      <c r="AD3573" s="62">
        <v>0</v>
      </c>
      <c r="AE3573" s="62">
        <v>1</v>
      </c>
      <c r="AF3573" s="62">
        <v>1</v>
      </c>
      <c r="AG3573" s="63"/>
      <c r="AH3573" s="63"/>
      <c r="AI3573" s="63"/>
      <c r="AJ3573" s="63"/>
      <c r="AK3573" s="63"/>
      <c r="AL3573" s="64"/>
      <c r="AM3573" s="64"/>
      <c r="AN3573" s="65"/>
      <c r="AO3573" s="64"/>
      <c r="AP3573" s="64"/>
      <c r="AS3573" s="3">
        <v>1</v>
      </c>
    </row>
    <row r="3574" s="3" customFormat="1" spans="1:45">
      <c r="A3574" s="58">
        <v>931075</v>
      </c>
      <c r="B3574" s="8">
        <v>1001</v>
      </c>
      <c r="C3574" s="3">
        <v>6</v>
      </c>
      <c r="D3574" s="8">
        <v>1001</v>
      </c>
      <c r="E3574" t="s">
        <v>6569</v>
      </c>
      <c r="F3574" t="s">
        <v>6569</v>
      </c>
      <c r="G3574" t="s">
        <v>6570</v>
      </c>
      <c r="H3574" s="446" t="s">
        <v>6571</v>
      </c>
      <c r="I3574" s="3">
        <v>1</v>
      </c>
      <c r="J3574" s="3">
        <v>5</v>
      </c>
      <c r="K3574" s="33">
        <v>2</v>
      </c>
      <c r="L3574" s="3">
        <v>999</v>
      </c>
      <c r="M3574" s="3">
        <v>0</v>
      </c>
      <c r="N3574" s="3">
        <v>1037</v>
      </c>
      <c r="O3574" s="2">
        <v>19</v>
      </c>
      <c r="S3574" s="33">
        <v>1</v>
      </c>
      <c r="T3574" s="3">
        <v>5</v>
      </c>
      <c r="U3574" s="3">
        <v>1</v>
      </c>
      <c r="V3574" s="33">
        <v>1</v>
      </c>
      <c r="W3574" s="3">
        <v>1</v>
      </c>
      <c r="X3574" s="3">
        <v>1</v>
      </c>
      <c r="Y3574" s="3">
        <v>0</v>
      </c>
      <c r="Z3574" s="33">
        <v>0</v>
      </c>
      <c r="AA3574" s="3">
        <v>5</v>
      </c>
      <c r="AB3574" s="3">
        <v>100</v>
      </c>
      <c r="AC3574" s="3">
        <v>70</v>
      </c>
      <c r="AD3574" s="62">
        <v>0</v>
      </c>
      <c r="AE3574" s="62">
        <v>1</v>
      </c>
      <c r="AF3574" s="62">
        <v>1</v>
      </c>
      <c r="AG3574" s="63"/>
      <c r="AH3574" s="63"/>
      <c r="AI3574" s="63"/>
      <c r="AJ3574" s="63"/>
      <c r="AK3574" s="63"/>
      <c r="AL3574" s="64"/>
      <c r="AM3574" s="64"/>
      <c r="AN3574" s="65"/>
      <c r="AO3574" s="64"/>
      <c r="AP3574" s="64"/>
      <c r="AS3574" s="3">
        <v>1</v>
      </c>
    </row>
    <row r="3575" s="3" customFormat="1" spans="1:45">
      <c r="A3575" s="58">
        <v>931076</v>
      </c>
      <c r="B3575" s="8">
        <v>1001</v>
      </c>
      <c r="C3575" s="3">
        <v>6</v>
      </c>
      <c r="D3575" s="8">
        <v>1001</v>
      </c>
      <c r="E3575" t="s">
        <v>6569</v>
      </c>
      <c r="F3575" t="s">
        <v>6569</v>
      </c>
      <c r="G3575" t="s">
        <v>6570</v>
      </c>
      <c r="H3575" s="446" t="s">
        <v>6571</v>
      </c>
      <c r="I3575" s="3">
        <v>1</v>
      </c>
      <c r="J3575" s="3">
        <v>5</v>
      </c>
      <c r="K3575" s="33">
        <v>2</v>
      </c>
      <c r="L3575" s="3">
        <v>999</v>
      </c>
      <c r="M3575" s="3">
        <v>0</v>
      </c>
      <c r="N3575" s="3">
        <v>1037</v>
      </c>
      <c r="O3575" s="2">
        <v>20</v>
      </c>
      <c r="S3575" s="33">
        <v>1</v>
      </c>
      <c r="T3575" s="3">
        <v>5</v>
      </c>
      <c r="U3575" s="3">
        <v>1</v>
      </c>
      <c r="V3575" s="33">
        <v>1</v>
      </c>
      <c r="W3575" s="3">
        <v>1</v>
      </c>
      <c r="X3575" s="3">
        <v>1</v>
      </c>
      <c r="Y3575" s="3">
        <v>0</v>
      </c>
      <c r="Z3575" s="33">
        <v>0</v>
      </c>
      <c r="AA3575" s="3">
        <v>5</v>
      </c>
      <c r="AB3575" s="3">
        <v>100</v>
      </c>
      <c r="AC3575" s="3">
        <v>70</v>
      </c>
      <c r="AD3575" s="62">
        <v>0</v>
      </c>
      <c r="AE3575" s="62">
        <v>1</v>
      </c>
      <c r="AF3575" s="62">
        <v>1</v>
      </c>
      <c r="AG3575" s="63"/>
      <c r="AH3575" s="63"/>
      <c r="AI3575" s="63"/>
      <c r="AJ3575" s="63"/>
      <c r="AK3575" s="63"/>
      <c r="AL3575" s="64"/>
      <c r="AM3575" s="64"/>
      <c r="AN3575" s="65"/>
      <c r="AO3575" s="64"/>
      <c r="AP3575" s="64"/>
      <c r="AS3575" s="3">
        <v>1</v>
      </c>
    </row>
    <row r="3576" s="3" customFormat="1" spans="1:45">
      <c r="A3576" s="58">
        <v>931077</v>
      </c>
      <c r="B3576" s="236">
        <v>1001</v>
      </c>
      <c r="C3576" s="3">
        <v>6</v>
      </c>
      <c r="D3576" s="236">
        <v>1001</v>
      </c>
      <c r="E3576" t="s">
        <v>6569</v>
      </c>
      <c r="F3576" t="s">
        <v>6569</v>
      </c>
      <c r="G3576" t="s">
        <v>6570</v>
      </c>
      <c r="H3576" s="446" t="s">
        <v>6571</v>
      </c>
      <c r="I3576" s="3">
        <v>1</v>
      </c>
      <c r="J3576" s="3">
        <v>5</v>
      </c>
      <c r="K3576" s="33">
        <v>2</v>
      </c>
      <c r="L3576" s="3">
        <v>999</v>
      </c>
      <c r="M3576" s="3">
        <v>0</v>
      </c>
      <c r="N3576" s="3">
        <v>1037</v>
      </c>
      <c r="O3576" s="2">
        <v>21</v>
      </c>
      <c r="S3576" s="33">
        <v>1</v>
      </c>
      <c r="T3576" s="3">
        <v>5</v>
      </c>
      <c r="U3576" s="3">
        <v>1</v>
      </c>
      <c r="V3576" s="33">
        <v>1</v>
      </c>
      <c r="W3576" s="3">
        <v>1</v>
      </c>
      <c r="X3576" s="3">
        <v>1</v>
      </c>
      <c r="Y3576" s="3">
        <v>0</v>
      </c>
      <c r="Z3576" s="33">
        <v>0</v>
      </c>
      <c r="AA3576" s="3">
        <v>5</v>
      </c>
      <c r="AB3576" s="3">
        <v>100</v>
      </c>
      <c r="AC3576" s="3">
        <v>70</v>
      </c>
      <c r="AD3576" s="62">
        <v>0</v>
      </c>
      <c r="AE3576" s="62">
        <v>1</v>
      </c>
      <c r="AF3576" s="62">
        <v>1</v>
      </c>
      <c r="AG3576" s="63"/>
      <c r="AH3576" s="63"/>
      <c r="AI3576" s="63"/>
      <c r="AJ3576" s="63"/>
      <c r="AK3576" s="63"/>
      <c r="AL3576" s="64"/>
      <c r="AM3576" s="64"/>
      <c r="AN3576" s="65"/>
      <c r="AO3576" s="64"/>
      <c r="AP3576" s="64"/>
      <c r="AS3576" s="3">
        <v>1</v>
      </c>
    </row>
    <row r="3577" s="59" customFormat="1" spans="1:45">
      <c r="A3577" s="60">
        <v>931079</v>
      </c>
      <c r="B3577" s="59">
        <v>1001</v>
      </c>
      <c r="C3577" s="59">
        <v>1</v>
      </c>
      <c r="D3577" s="59">
        <v>1001</v>
      </c>
      <c r="E3577" s="59" t="s">
        <v>5550</v>
      </c>
      <c r="F3577" s="59" t="s">
        <v>5550</v>
      </c>
      <c r="G3577" s="59" t="s">
        <v>8745</v>
      </c>
      <c r="H3577" s="59" t="s">
        <v>1531</v>
      </c>
      <c r="I3577" s="59">
        <v>1</v>
      </c>
      <c r="J3577" s="59">
        <v>5</v>
      </c>
      <c r="K3577" s="59">
        <v>2</v>
      </c>
      <c r="L3577" s="59">
        <v>999</v>
      </c>
      <c r="M3577" s="59">
        <v>0</v>
      </c>
      <c r="N3577" s="59">
        <v>1018</v>
      </c>
      <c r="O3577" s="563" t="s">
        <v>8746</v>
      </c>
      <c r="S3577" s="59">
        <v>1</v>
      </c>
      <c r="T3577" s="59">
        <v>5</v>
      </c>
      <c r="U3577" s="59">
        <v>100</v>
      </c>
      <c r="W3577" s="59">
        <v>1</v>
      </c>
      <c r="X3577" s="59">
        <v>1</v>
      </c>
      <c r="Y3577" s="59">
        <v>0</v>
      </c>
      <c r="Z3577" s="59">
        <v>0</v>
      </c>
      <c r="AA3577" s="59">
        <v>5</v>
      </c>
      <c r="AB3577" s="59">
        <v>2000</v>
      </c>
      <c r="AC3577" s="59">
        <v>70</v>
      </c>
      <c r="AD3577" s="564">
        <v>0</v>
      </c>
      <c r="AE3577" s="564">
        <v>5</v>
      </c>
      <c r="AF3577" s="564">
        <v>2</v>
      </c>
      <c r="AG3577" s="565"/>
      <c r="AH3577" s="565"/>
      <c r="AI3577" s="565"/>
      <c r="AJ3577" s="565"/>
      <c r="AK3577" s="565"/>
      <c r="AL3577" s="566"/>
      <c r="AM3577" s="566"/>
      <c r="AN3577" s="563"/>
      <c r="AO3577" s="566"/>
      <c r="AP3577" s="566"/>
      <c r="AQ3577" s="3"/>
      <c r="AS3577" s="59">
        <v>1</v>
      </c>
    </row>
    <row r="3578" s="3" customFormat="1" spans="1:45">
      <c r="A3578" s="60">
        <v>931080</v>
      </c>
      <c r="B3578" s="3">
        <v>1001</v>
      </c>
      <c r="C3578" s="3">
        <v>6</v>
      </c>
      <c r="D3578" s="3">
        <v>1001</v>
      </c>
      <c r="E3578" s="3" t="s">
        <v>7714</v>
      </c>
      <c r="F3578" s="3" t="s">
        <v>7714</v>
      </c>
      <c r="G3578" s="3" t="s">
        <v>7694</v>
      </c>
      <c r="H3578" s="3" t="s">
        <v>1664</v>
      </c>
      <c r="I3578" s="3">
        <v>1</v>
      </c>
      <c r="J3578" s="3">
        <v>5</v>
      </c>
      <c r="K3578" s="3">
        <v>2</v>
      </c>
      <c r="L3578" s="3">
        <v>999</v>
      </c>
      <c r="M3578" s="3">
        <v>0</v>
      </c>
      <c r="N3578" s="3">
        <v>1017</v>
      </c>
      <c r="O3578">
        <v>300090</v>
      </c>
      <c r="S3578" s="3">
        <v>1</v>
      </c>
      <c r="T3578" s="3">
        <v>5</v>
      </c>
      <c r="U3578" s="3">
        <v>100</v>
      </c>
      <c r="V3578" s="3"/>
      <c r="W3578" s="3">
        <v>1</v>
      </c>
      <c r="X3578" s="3">
        <v>1</v>
      </c>
      <c r="Y3578" s="3">
        <v>0</v>
      </c>
      <c r="Z3578" s="3">
        <v>0</v>
      </c>
      <c r="AA3578" s="3">
        <v>5</v>
      </c>
      <c r="AB3578" s="3">
        <v>100</v>
      </c>
      <c r="AC3578" s="3">
        <v>70</v>
      </c>
      <c r="AD3578" s="153">
        <v>0</v>
      </c>
      <c r="AE3578" s="153">
        <v>4</v>
      </c>
      <c r="AF3578" s="153">
        <v>2</v>
      </c>
      <c r="AG3578" s="337"/>
      <c r="AH3578" s="337"/>
      <c r="AI3578" s="337"/>
      <c r="AJ3578" s="337"/>
      <c r="AK3578" s="337"/>
      <c r="AL3578" s="234"/>
      <c r="AM3578" s="234"/>
      <c r="AN3578" s="476"/>
      <c r="AO3578" s="234"/>
      <c r="AP3578" s="234"/>
      <c r="AQ3578" s="3" t="s">
        <v>7714</v>
      </c>
      <c r="AS3578" s="3">
        <v>1</v>
      </c>
    </row>
    <row r="3579" s="3" customFormat="1" spans="1:45">
      <c r="A3579" s="60">
        <v>931081</v>
      </c>
      <c r="B3579" s="3">
        <v>1001</v>
      </c>
      <c r="C3579" s="3">
        <v>1</v>
      </c>
      <c r="D3579" s="3">
        <v>1001</v>
      </c>
      <c r="E3579" s="3" t="s">
        <v>1837</v>
      </c>
      <c r="F3579" s="3" t="s">
        <v>1837</v>
      </c>
      <c r="G3579" s="3" t="s">
        <v>7833</v>
      </c>
      <c r="H3579" s="3" t="s">
        <v>1839</v>
      </c>
      <c r="I3579" s="3">
        <v>1</v>
      </c>
      <c r="J3579" s="3">
        <v>3</v>
      </c>
      <c r="K3579" s="3">
        <v>1</v>
      </c>
      <c r="L3579" s="3">
        <v>999</v>
      </c>
      <c r="M3579" s="3">
        <v>0</v>
      </c>
      <c r="O3579" s="231"/>
      <c r="S3579" s="3">
        <v>1</v>
      </c>
      <c r="T3579" s="3">
        <v>5</v>
      </c>
      <c r="U3579" s="3">
        <v>1</v>
      </c>
      <c r="V3579" s="3">
        <v>1</v>
      </c>
      <c r="W3579" s="3">
        <v>1</v>
      </c>
      <c r="X3579" s="3">
        <v>1</v>
      </c>
      <c r="Y3579" s="3">
        <v>0</v>
      </c>
      <c r="Z3579" s="3">
        <v>0</v>
      </c>
      <c r="AA3579" s="3">
        <v>5</v>
      </c>
      <c r="AB3579" s="3">
        <v>100</v>
      </c>
      <c r="AC3579" s="3">
        <v>900</v>
      </c>
      <c r="AD3579" s="153">
        <v>0</v>
      </c>
      <c r="AE3579" s="153">
        <v>4</v>
      </c>
      <c r="AF3579" s="153">
        <v>2</v>
      </c>
      <c r="AG3579" s="337"/>
      <c r="AH3579" s="337"/>
      <c r="AI3579" s="337"/>
      <c r="AJ3579" s="337"/>
      <c r="AK3579" s="337"/>
      <c r="AL3579" s="234"/>
      <c r="AM3579" s="234"/>
      <c r="AN3579" s="476"/>
      <c r="AO3579" s="234"/>
      <c r="AP3579" s="234"/>
      <c r="AQ3579" s="3" t="s">
        <v>1837</v>
      </c>
      <c r="AS3579" s="3">
        <v>1</v>
      </c>
    </row>
    <row r="3580" s="3" customFormat="1" spans="1:45">
      <c r="A3580" s="60">
        <v>931082</v>
      </c>
      <c r="B3580" s="3">
        <v>1001</v>
      </c>
      <c r="C3580" s="3">
        <v>1</v>
      </c>
      <c r="D3580" s="3">
        <v>1001</v>
      </c>
      <c r="E3580" s="339" t="s">
        <v>7094</v>
      </c>
      <c r="F3580" s="339" t="s">
        <v>7094</v>
      </c>
      <c r="G3580" s="3" t="s">
        <v>7834</v>
      </c>
      <c r="H3580" s="3" t="s">
        <v>5871</v>
      </c>
      <c r="I3580" s="3">
        <v>1</v>
      </c>
      <c r="J3580" s="3">
        <v>3</v>
      </c>
      <c r="K3580" s="3">
        <v>1</v>
      </c>
      <c r="L3580" s="3">
        <v>999</v>
      </c>
      <c r="M3580" s="3">
        <v>0</v>
      </c>
      <c r="N3580" s="3"/>
      <c r="O3580" s="231"/>
      <c r="S3580" s="3">
        <v>1</v>
      </c>
      <c r="T3580" s="3">
        <v>5</v>
      </c>
      <c r="U3580" s="3">
        <v>1</v>
      </c>
      <c r="V3580" s="3">
        <v>1</v>
      </c>
      <c r="W3580" s="3">
        <v>1</v>
      </c>
      <c r="X3580" s="3">
        <v>1</v>
      </c>
      <c r="Y3580" s="3">
        <v>0</v>
      </c>
      <c r="Z3580" s="3">
        <v>0</v>
      </c>
      <c r="AA3580" s="3">
        <v>5</v>
      </c>
      <c r="AB3580" s="3">
        <v>100</v>
      </c>
      <c r="AC3580" s="3">
        <v>900</v>
      </c>
      <c r="AD3580" s="153">
        <v>0</v>
      </c>
      <c r="AE3580" s="153">
        <v>4</v>
      </c>
      <c r="AF3580" s="153">
        <v>2</v>
      </c>
      <c r="AG3580" s="337"/>
      <c r="AH3580" s="337"/>
      <c r="AI3580" s="337"/>
      <c r="AJ3580" s="337"/>
      <c r="AK3580" s="337"/>
      <c r="AL3580" s="234"/>
      <c r="AM3580" s="234"/>
      <c r="AN3580" s="476"/>
      <c r="AO3580" s="234"/>
      <c r="AP3580" s="234"/>
      <c r="AQ3580" s="3" t="s">
        <v>7094</v>
      </c>
      <c r="AS3580" s="3">
        <v>1</v>
      </c>
    </row>
    <row r="3581" s="3" customFormat="1" spans="1:45">
      <c r="A3581" s="60">
        <v>931083</v>
      </c>
      <c r="B3581" s="3">
        <v>1001</v>
      </c>
      <c r="C3581" s="3">
        <v>6</v>
      </c>
      <c r="D3581" s="3">
        <v>1001</v>
      </c>
      <c r="E3581" s="395" t="s">
        <v>7096</v>
      </c>
      <c r="F3581" s="395" t="s">
        <v>7096</v>
      </c>
      <c r="G3581" s="3" t="s">
        <v>7838</v>
      </c>
      <c r="H3581" s="3" t="s">
        <v>6276</v>
      </c>
      <c r="I3581" s="3">
        <v>1</v>
      </c>
      <c r="J3581" s="3">
        <v>5</v>
      </c>
      <c r="K3581" s="3">
        <v>2</v>
      </c>
      <c r="L3581" s="3">
        <v>999</v>
      </c>
      <c r="M3581" s="3">
        <v>0</v>
      </c>
      <c r="N3581" s="3">
        <v>1017</v>
      </c>
      <c r="O3581">
        <v>300091</v>
      </c>
      <c r="S3581" s="3">
        <v>1</v>
      </c>
      <c r="T3581" s="3">
        <v>5</v>
      </c>
      <c r="U3581" s="3">
        <v>100</v>
      </c>
      <c r="W3581" s="3">
        <v>1</v>
      </c>
      <c r="X3581" s="3">
        <v>1</v>
      </c>
      <c r="Y3581" s="3">
        <v>0</v>
      </c>
      <c r="Z3581" s="3">
        <v>0</v>
      </c>
      <c r="AA3581" s="3">
        <v>5</v>
      </c>
      <c r="AB3581" s="3">
        <v>100</v>
      </c>
      <c r="AC3581" s="3">
        <v>70</v>
      </c>
      <c r="AD3581" s="153">
        <v>0</v>
      </c>
      <c r="AE3581" s="153">
        <v>4</v>
      </c>
      <c r="AF3581" s="153">
        <v>2</v>
      </c>
      <c r="AG3581" s="337"/>
      <c r="AH3581" s="337"/>
      <c r="AI3581" s="337"/>
      <c r="AJ3581" s="337"/>
      <c r="AK3581" s="337"/>
      <c r="AL3581" s="234"/>
      <c r="AM3581" s="234"/>
      <c r="AN3581" s="476"/>
      <c r="AO3581" s="234"/>
      <c r="AP3581" s="234"/>
      <c r="AQ3581" s="3" t="s">
        <v>7714</v>
      </c>
      <c r="AS3581" s="3">
        <v>1</v>
      </c>
    </row>
    <row r="3582" s="60" customFormat="1" spans="1:45">
      <c r="A3582" s="60">
        <v>931084</v>
      </c>
      <c r="B3582" s="60">
        <v>1001</v>
      </c>
      <c r="C3582" s="60">
        <v>1</v>
      </c>
      <c r="D3582" s="60">
        <v>1001</v>
      </c>
      <c r="E3582" s="60" t="s">
        <v>8747</v>
      </c>
      <c r="F3582" s="60" t="s">
        <v>8747</v>
      </c>
      <c r="G3582" s="60" t="s">
        <v>8748</v>
      </c>
      <c r="H3582" s="60" t="s">
        <v>1531</v>
      </c>
      <c r="I3582" s="60">
        <v>1</v>
      </c>
      <c r="J3582" s="60">
        <v>5</v>
      </c>
      <c r="K3582" s="60">
        <v>2</v>
      </c>
      <c r="L3582" s="60">
        <v>999</v>
      </c>
      <c r="M3582" s="60">
        <v>0</v>
      </c>
      <c r="N3582" s="60">
        <v>1018</v>
      </c>
      <c r="O3582" s="476" t="s">
        <v>8749</v>
      </c>
      <c r="S3582" s="60">
        <v>1</v>
      </c>
      <c r="T3582" s="60">
        <v>5</v>
      </c>
      <c r="U3582" s="60">
        <v>100</v>
      </c>
      <c r="W3582" s="60">
        <v>1</v>
      </c>
      <c r="X3582" s="60">
        <v>1</v>
      </c>
      <c r="Y3582" s="60">
        <v>0</v>
      </c>
      <c r="Z3582" s="60">
        <v>0</v>
      </c>
      <c r="AA3582" s="60">
        <v>5</v>
      </c>
      <c r="AB3582" s="60">
        <v>2000</v>
      </c>
      <c r="AC3582" s="60">
        <v>70</v>
      </c>
      <c r="AD3582" s="358">
        <v>0</v>
      </c>
      <c r="AE3582" s="358">
        <v>5</v>
      </c>
      <c r="AF3582" s="358">
        <v>2</v>
      </c>
      <c r="AG3582" s="337"/>
      <c r="AH3582" s="337"/>
      <c r="AI3582" s="337"/>
      <c r="AJ3582" s="337"/>
      <c r="AK3582" s="337"/>
      <c r="AL3582" s="234"/>
      <c r="AM3582" s="234"/>
      <c r="AN3582" s="476"/>
      <c r="AO3582" s="234"/>
      <c r="AP3582" s="234"/>
      <c r="AS3582" s="60">
        <v>1</v>
      </c>
    </row>
    <row r="3583" s="58" customFormat="1" spans="1:45">
      <c r="A3583" s="58">
        <v>931085</v>
      </c>
      <c r="B3583" s="58">
        <v>1001</v>
      </c>
      <c r="C3583" s="58">
        <v>1</v>
      </c>
      <c r="D3583" s="58">
        <v>1001</v>
      </c>
      <c r="E3583" s="58" t="s">
        <v>8750</v>
      </c>
      <c r="F3583" s="58" t="s">
        <v>8750</v>
      </c>
      <c r="G3583" s="58" t="s">
        <v>8751</v>
      </c>
      <c r="H3583" s="58" t="s">
        <v>1531</v>
      </c>
      <c r="I3583" s="58">
        <v>1</v>
      </c>
      <c r="J3583" s="58">
        <v>5</v>
      </c>
      <c r="K3583" s="58">
        <v>2</v>
      </c>
      <c r="L3583" s="58">
        <v>999</v>
      </c>
      <c r="M3583" s="58">
        <v>0</v>
      </c>
      <c r="N3583" s="58">
        <v>1018</v>
      </c>
      <c r="O3583" s="431" t="s">
        <v>8752</v>
      </c>
      <c r="S3583" s="58">
        <v>1</v>
      </c>
      <c r="T3583" s="58">
        <v>5</v>
      </c>
      <c r="U3583" s="58">
        <v>100</v>
      </c>
      <c r="V3583" s="33"/>
      <c r="W3583" s="58">
        <v>1</v>
      </c>
      <c r="X3583" s="58">
        <v>1</v>
      </c>
      <c r="Y3583" s="58">
        <v>0</v>
      </c>
      <c r="Z3583" s="58">
        <v>0</v>
      </c>
      <c r="AA3583" s="58">
        <v>5</v>
      </c>
      <c r="AB3583" s="58">
        <v>2000</v>
      </c>
      <c r="AC3583" s="58">
        <v>70</v>
      </c>
      <c r="AD3583" s="562">
        <v>0</v>
      </c>
      <c r="AE3583" s="562">
        <v>5</v>
      </c>
      <c r="AF3583" s="562">
        <v>2</v>
      </c>
      <c r="AG3583" s="430"/>
      <c r="AH3583" s="430"/>
      <c r="AI3583" s="430"/>
      <c r="AJ3583" s="430"/>
      <c r="AK3583" s="430"/>
      <c r="AL3583" s="214"/>
      <c r="AM3583" s="214"/>
      <c r="AN3583" s="431"/>
      <c r="AO3583" s="214"/>
      <c r="AP3583" s="214"/>
      <c r="AQ3583"/>
      <c r="AS3583" s="58">
        <v>1</v>
      </c>
    </row>
    <row r="3584" spans="1:45">
      <c r="A3584">
        <v>932001</v>
      </c>
      <c r="B3584">
        <v>1001</v>
      </c>
      <c r="C3584">
        <v>6</v>
      </c>
      <c r="D3584">
        <v>1001</v>
      </c>
      <c r="E3584" t="s">
        <v>8753</v>
      </c>
      <c r="F3584" t="s">
        <v>8753</v>
      </c>
      <c r="G3584" t="s">
        <v>8754</v>
      </c>
      <c r="H3584" t="s">
        <v>5811</v>
      </c>
      <c r="I3584">
        <v>1</v>
      </c>
      <c r="J3584">
        <v>3</v>
      </c>
      <c r="K3584" s="33">
        <v>2</v>
      </c>
      <c r="L3584">
        <v>999</v>
      </c>
      <c r="M3584">
        <v>0</v>
      </c>
      <c r="N3584">
        <v>1</v>
      </c>
      <c r="O3584" s="570" t="s">
        <v>8755</v>
      </c>
      <c r="P3584" s="8"/>
      <c r="S3584" s="33">
        <v>0</v>
      </c>
      <c r="T3584">
        <v>5</v>
      </c>
      <c r="U3584">
        <v>1</v>
      </c>
      <c r="V3584" s="33">
        <v>1</v>
      </c>
      <c r="W3584">
        <v>1</v>
      </c>
      <c r="X3584">
        <v>1</v>
      </c>
      <c r="Y3584">
        <v>0</v>
      </c>
      <c r="Z3584" s="33">
        <v>0</v>
      </c>
      <c r="AA3584">
        <v>5</v>
      </c>
      <c r="AB3584">
        <v>100</v>
      </c>
      <c r="AC3584">
        <v>51</v>
      </c>
      <c r="AE3584" s="62">
        <v>4</v>
      </c>
      <c r="AF3584" s="62">
        <v>2</v>
      </c>
      <c r="AQ3584" t="s">
        <v>298</v>
      </c>
      <c r="AS3584">
        <v>1</v>
      </c>
    </row>
    <row r="3585" spans="1:45">
      <c r="A3585">
        <v>932002</v>
      </c>
      <c r="B3585">
        <v>1001</v>
      </c>
      <c r="C3585">
        <v>6</v>
      </c>
      <c r="D3585">
        <v>1001</v>
      </c>
      <c r="E3585" t="s">
        <v>8753</v>
      </c>
      <c r="F3585" t="s">
        <v>8753</v>
      </c>
      <c r="G3585" t="s">
        <v>8754</v>
      </c>
      <c r="H3585" t="s">
        <v>1912</v>
      </c>
      <c r="I3585">
        <v>1</v>
      </c>
      <c r="J3585">
        <v>3</v>
      </c>
      <c r="K3585" s="33">
        <v>2</v>
      </c>
      <c r="L3585">
        <v>999</v>
      </c>
      <c r="M3585">
        <v>0</v>
      </c>
      <c r="N3585">
        <v>1</v>
      </c>
      <c r="O3585" s="570" t="s">
        <v>8756</v>
      </c>
      <c r="P3585" s="8"/>
      <c r="S3585" s="33">
        <v>0</v>
      </c>
      <c r="T3585">
        <v>5</v>
      </c>
      <c r="U3585">
        <v>1</v>
      </c>
      <c r="V3585" s="33">
        <v>1</v>
      </c>
      <c r="W3585">
        <v>1</v>
      </c>
      <c r="X3585">
        <v>1</v>
      </c>
      <c r="Y3585">
        <v>0</v>
      </c>
      <c r="Z3585" s="33">
        <v>0</v>
      </c>
      <c r="AA3585">
        <v>5</v>
      </c>
      <c r="AB3585">
        <v>100</v>
      </c>
      <c r="AC3585">
        <v>51</v>
      </c>
      <c r="AE3585" s="62">
        <v>4</v>
      </c>
      <c r="AF3585" s="62">
        <v>2</v>
      </c>
      <c r="AQ3585" t="s">
        <v>298</v>
      </c>
      <c r="AS3585">
        <v>1</v>
      </c>
    </row>
    <row r="3586" spans="1:45">
      <c r="A3586">
        <v>932003</v>
      </c>
      <c r="B3586">
        <v>1001</v>
      </c>
      <c r="C3586">
        <v>6</v>
      </c>
      <c r="D3586">
        <v>1001</v>
      </c>
      <c r="E3586" t="s">
        <v>8753</v>
      </c>
      <c r="F3586" t="s">
        <v>8753</v>
      </c>
      <c r="G3586" t="s">
        <v>8754</v>
      </c>
      <c r="H3586" t="s">
        <v>5834</v>
      </c>
      <c r="I3586">
        <v>1</v>
      </c>
      <c r="J3586">
        <v>3</v>
      </c>
      <c r="K3586" s="33">
        <v>2</v>
      </c>
      <c r="L3586">
        <v>999</v>
      </c>
      <c r="M3586">
        <v>0</v>
      </c>
      <c r="N3586">
        <v>1</v>
      </c>
      <c r="O3586" s="570" t="s">
        <v>8757</v>
      </c>
      <c r="P3586" s="236"/>
      <c r="S3586" s="33">
        <v>0</v>
      </c>
      <c r="T3586">
        <v>5</v>
      </c>
      <c r="U3586">
        <v>1</v>
      </c>
      <c r="V3586" s="33">
        <v>1</v>
      </c>
      <c r="W3586">
        <v>1</v>
      </c>
      <c r="X3586">
        <v>1</v>
      </c>
      <c r="Y3586">
        <v>0</v>
      </c>
      <c r="Z3586" s="33">
        <v>0</v>
      </c>
      <c r="AA3586">
        <v>5</v>
      </c>
      <c r="AB3586">
        <v>100</v>
      </c>
      <c r="AC3586">
        <v>51</v>
      </c>
      <c r="AE3586" s="62">
        <v>4</v>
      </c>
      <c r="AF3586" s="62">
        <v>2</v>
      </c>
      <c r="AQ3586" t="s">
        <v>298</v>
      </c>
      <c r="AS3586">
        <v>1</v>
      </c>
    </row>
    <row r="3587" spans="1:45">
      <c r="A3587">
        <v>932004</v>
      </c>
      <c r="B3587">
        <v>1001</v>
      </c>
      <c r="C3587">
        <v>6</v>
      </c>
      <c r="D3587">
        <v>1001</v>
      </c>
      <c r="E3587" t="s">
        <v>8753</v>
      </c>
      <c r="F3587" t="s">
        <v>8753</v>
      </c>
      <c r="G3587" t="s">
        <v>8754</v>
      </c>
      <c r="H3587" t="s">
        <v>404</v>
      </c>
      <c r="I3587">
        <v>1</v>
      </c>
      <c r="J3587">
        <v>3</v>
      </c>
      <c r="K3587" s="33">
        <v>2</v>
      </c>
      <c r="L3587">
        <v>999</v>
      </c>
      <c r="M3587">
        <v>0</v>
      </c>
      <c r="N3587">
        <v>1</v>
      </c>
      <c r="O3587" s="570" t="s">
        <v>8758</v>
      </c>
      <c r="S3587" s="33">
        <v>0</v>
      </c>
      <c r="T3587">
        <v>5</v>
      </c>
      <c r="U3587">
        <v>1</v>
      </c>
      <c r="V3587" s="33">
        <v>1</v>
      </c>
      <c r="W3587">
        <v>1</v>
      </c>
      <c r="X3587">
        <v>1</v>
      </c>
      <c r="Y3587">
        <v>0</v>
      </c>
      <c r="Z3587" s="33">
        <v>0</v>
      </c>
      <c r="AA3587">
        <v>5</v>
      </c>
      <c r="AB3587">
        <v>100</v>
      </c>
      <c r="AC3587">
        <v>51</v>
      </c>
      <c r="AE3587" s="62">
        <v>4</v>
      </c>
      <c r="AF3587" s="62">
        <v>2</v>
      </c>
      <c r="AQ3587" t="s">
        <v>298</v>
      </c>
      <c r="AS3587">
        <v>1</v>
      </c>
    </row>
    <row r="3588" spans="1:45">
      <c r="A3588">
        <v>932005</v>
      </c>
      <c r="B3588">
        <v>1001</v>
      </c>
      <c r="C3588">
        <v>6</v>
      </c>
      <c r="D3588">
        <v>1001</v>
      </c>
      <c r="E3588" t="s">
        <v>8753</v>
      </c>
      <c r="F3588" t="s">
        <v>8753</v>
      </c>
      <c r="G3588" t="s">
        <v>8754</v>
      </c>
      <c r="H3588" t="s">
        <v>407</v>
      </c>
      <c r="I3588">
        <v>1</v>
      </c>
      <c r="J3588">
        <v>3</v>
      </c>
      <c r="K3588" s="33">
        <v>2</v>
      </c>
      <c r="L3588">
        <v>999</v>
      </c>
      <c r="M3588">
        <v>0</v>
      </c>
      <c r="N3588">
        <v>1</v>
      </c>
      <c r="O3588" s="570" t="s">
        <v>8759</v>
      </c>
      <c r="S3588" s="33">
        <v>0</v>
      </c>
      <c r="T3588">
        <v>5</v>
      </c>
      <c r="U3588">
        <v>1</v>
      </c>
      <c r="V3588" s="33">
        <v>1</v>
      </c>
      <c r="W3588">
        <v>1</v>
      </c>
      <c r="X3588">
        <v>1</v>
      </c>
      <c r="Y3588">
        <v>0</v>
      </c>
      <c r="Z3588" s="33">
        <v>0</v>
      </c>
      <c r="AA3588">
        <v>5</v>
      </c>
      <c r="AB3588">
        <v>100</v>
      </c>
      <c r="AC3588">
        <v>51</v>
      </c>
      <c r="AE3588" s="62">
        <v>4</v>
      </c>
      <c r="AF3588" s="62">
        <v>2</v>
      </c>
      <c r="AQ3588" t="s">
        <v>298</v>
      </c>
      <c r="AS3588">
        <v>1</v>
      </c>
    </row>
    <row r="3589" spans="1:45">
      <c r="A3589">
        <v>932006</v>
      </c>
      <c r="B3589">
        <v>1001</v>
      </c>
      <c r="C3589">
        <v>6</v>
      </c>
      <c r="D3589">
        <v>1001</v>
      </c>
      <c r="E3589" t="s">
        <v>8753</v>
      </c>
      <c r="F3589" t="s">
        <v>8753</v>
      </c>
      <c r="G3589" t="s">
        <v>8754</v>
      </c>
      <c r="H3589" t="s">
        <v>410</v>
      </c>
      <c r="I3589">
        <v>1</v>
      </c>
      <c r="J3589">
        <v>3</v>
      </c>
      <c r="K3589" s="33">
        <v>2</v>
      </c>
      <c r="L3589">
        <v>999</v>
      </c>
      <c r="M3589">
        <v>0</v>
      </c>
      <c r="N3589">
        <v>1</v>
      </c>
      <c r="O3589" s="570" t="s">
        <v>8760</v>
      </c>
      <c r="S3589" s="33">
        <v>0</v>
      </c>
      <c r="T3589">
        <v>5</v>
      </c>
      <c r="U3589">
        <v>1</v>
      </c>
      <c r="V3589" s="33">
        <v>1</v>
      </c>
      <c r="W3589">
        <v>1</v>
      </c>
      <c r="X3589">
        <v>1</v>
      </c>
      <c r="Y3589">
        <v>0</v>
      </c>
      <c r="Z3589" s="33">
        <v>0</v>
      </c>
      <c r="AA3589">
        <v>5</v>
      </c>
      <c r="AB3589">
        <v>100</v>
      </c>
      <c r="AC3589">
        <v>51</v>
      </c>
      <c r="AE3589" s="62">
        <v>4</v>
      </c>
      <c r="AF3589" s="62">
        <v>2</v>
      </c>
      <c r="AQ3589" t="s">
        <v>298</v>
      </c>
      <c r="AS3589">
        <v>1</v>
      </c>
    </row>
    <row r="3590" spans="1:45">
      <c r="A3590">
        <v>932007</v>
      </c>
      <c r="B3590">
        <v>1001</v>
      </c>
      <c r="C3590">
        <v>6</v>
      </c>
      <c r="D3590">
        <v>1001</v>
      </c>
      <c r="E3590" t="s">
        <v>8753</v>
      </c>
      <c r="F3590" t="s">
        <v>8753</v>
      </c>
      <c r="G3590" t="s">
        <v>8754</v>
      </c>
      <c r="H3590" t="s">
        <v>340</v>
      </c>
      <c r="I3590">
        <v>1</v>
      </c>
      <c r="J3590">
        <v>3</v>
      </c>
      <c r="K3590" s="33">
        <v>2</v>
      </c>
      <c r="L3590">
        <v>999</v>
      </c>
      <c r="M3590">
        <v>0</v>
      </c>
      <c r="N3590">
        <v>1</v>
      </c>
      <c r="O3590" s="570" t="s">
        <v>8761</v>
      </c>
      <c r="S3590" s="33">
        <v>0</v>
      </c>
      <c r="T3590">
        <v>5</v>
      </c>
      <c r="U3590">
        <v>1</v>
      </c>
      <c r="V3590" s="33">
        <v>1</v>
      </c>
      <c r="W3590">
        <v>1</v>
      </c>
      <c r="X3590">
        <v>1</v>
      </c>
      <c r="Y3590">
        <v>0</v>
      </c>
      <c r="Z3590" s="33">
        <v>0</v>
      </c>
      <c r="AA3590">
        <v>5</v>
      </c>
      <c r="AB3590">
        <v>100</v>
      </c>
      <c r="AC3590">
        <v>51</v>
      </c>
      <c r="AE3590" s="62">
        <v>4</v>
      </c>
      <c r="AF3590" s="62">
        <v>2</v>
      </c>
      <c r="AQ3590" t="s">
        <v>298</v>
      </c>
      <c r="AS3590">
        <v>1</v>
      </c>
    </row>
    <row r="3591" spans="1:45">
      <c r="A3591">
        <v>932008</v>
      </c>
      <c r="B3591">
        <v>1001</v>
      </c>
      <c r="C3591">
        <v>6</v>
      </c>
      <c r="D3591">
        <v>1001</v>
      </c>
      <c r="E3591" t="s">
        <v>8753</v>
      </c>
      <c r="F3591" t="s">
        <v>8753</v>
      </c>
      <c r="G3591" t="s">
        <v>8754</v>
      </c>
      <c r="H3591" t="s">
        <v>5841</v>
      </c>
      <c r="I3591">
        <v>1</v>
      </c>
      <c r="J3591">
        <v>3</v>
      </c>
      <c r="K3591" s="33">
        <v>2</v>
      </c>
      <c r="L3591">
        <v>999</v>
      </c>
      <c r="M3591">
        <v>0</v>
      </c>
      <c r="N3591">
        <v>1</v>
      </c>
      <c r="O3591" s="570" t="s">
        <v>8762</v>
      </c>
      <c r="S3591" s="33">
        <v>0</v>
      </c>
      <c r="T3591">
        <v>5</v>
      </c>
      <c r="U3591">
        <v>1</v>
      </c>
      <c r="V3591" s="33">
        <v>1</v>
      </c>
      <c r="W3591">
        <v>1</v>
      </c>
      <c r="X3591">
        <v>1</v>
      </c>
      <c r="Y3591">
        <v>0</v>
      </c>
      <c r="Z3591" s="33">
        <v>0</v>
      </c>
      <c r="AA3591">
        <v>5</v>
      </c>
      <c r="AB3591">
        <v>100</v>
      </c>
      <c r="AC3591">
        <v>51</v>
      </c>
      <c r="AE3591" s="62">
        <v>4</v>
      </c>
      <c r="AF3591" s="62">
        <v>2</v>
      </c>
      <c r="AQ3591" t="s">
        <v>298</v>
      </c>
      <c r="AS3591">
        <v>1</v>
      </c>
    </row>
    <row r="3592" spans="1:45">
      <c r="A3592">
        <v>932009</v>
      </c>
      <c r="B3592" s="238">
        <v>1001</v>
      </c>
      <c r="C3592" s="238">
        <v>6</v>
      </c>
      <c r="D3592" s="238">
        <v>1001</v>
      </c>
      <c r="E3592" s="238" t="s">
        <v>8753</v>
      </c>
      <c r="F3592" s="238" t="s">
        <v>8753</v>
      </c>
      <c r="G3592" s="238" t="s">
        <v>8754</v>
      </c>
      <c r="H3592" t="s">
        <v>4865</v>
      </c>
      <c r="I3592" s="238">
        <v>1</v>
      </c>
      <c r="J3592" s="238">
        <v>3</v>
      </c>
      <c r="K3592" s="254">
        <v>2</v>
      </c>
      <c r="L3592" s="238">
        <v>999</v>
      </c>
      <c r="M3592" s="238">
        <v>0</v>
      </c>
      <c r="N3592" s="238">
        <v>1</v>
      </c>
      <c r="O3592" s="570" t="s">
        <v>8763</v>
      </c>
      <c r="P3592" s="8"/>
      <c r="Q3592" s="8"/>
      <c r="R3592" s="8"/>
      <c r="S3592" s="254">
        <v>0</v>
      </c>
      <c r="T3592" s="238">
        <v>5</v>
      </c>
      <c r="U3592" s="238">
        <v>1</v>
      </c>
      <c r="V3592" s="254">
        <v>1</v>
      </c>
      <c r="W3592" s="238">
        <v>1</v>
      </c>
      <c r="X3592" s="238">
        <v>1</v>
      </c>
      <c r="Y3592" s="238">
        <v>0</v>
      </c>
      <c r="Z3592" s="254">
        <v>0</v>
      </c>
      <c r="AA3592" s="238">
        <v>5</v>
      </c>
      <c r="AB3592" s="238">
        <v>100</v>
      </c>
      <c r="AC3592" s="238">
        <v>51</v>
      </c>
      <c r="AD3592" s="159"/>
      <c r="AE3592" s="255">
        <v>4</v>
      </c>
      <c r="AF3592" s="255">
        <v>2</v>
      </c>
      <c r="AG3592" s="159"/>
      <c r="AH3592" s="159"/>
      <c r="AI3592" s="159"/>
      <c r="AJ3592" s="159"/>
      <c r="AK3592" s="159"/>
      <c r="AL3592" s="8"/>
      <c r="AM3592" s="8"/>
      <c r="AN3592" s="424"/>
      <c r="AO3592" s="8"/>
      <c r="AP3592" s="8"/>
      <c r="AQ3592" s="238" t="s">
        <v>298</v>
      </c>
      <c r="AR3592" s="8"/>
      <c r="AS3592">
        <v>1</v>
      </c>
    </row>
    <row r="3593" s="3" customFormat="1" spans="1:45">
      <c r="A3593" s="3">
        <v>932010</v>
      </c>
      <c r="B3593" s="236">
        <v>1001</v>
      </c>
      <c r="C3593" s="236">
        <v>6</v>
      </c>
      <c r="D3593" s="236">
        <v>1001</v>
      </c>
      <c r="E3593" s="236" t="s">
        <v>6925</v>
      </c>
      <c r="F3593" s="236" t="s">
        <v>6925</v>
      </c>
      <c r="G3593" s="236" t="s">
        <v>8764</v>
      </c>
      <c r="H3593" s="339" t="s">
        <v>204</v>
      </c>
      <c r="I3593" s="236">
        <v>1</v>
      </c>
      <c r="J3593" s="236">
        <v>5</v>
      </c>
      <c r="K3593" s="236">
        <v>2</v>
      </c>
      <c r="L3593" s="236">
        <v>999</v>
      </c>
      <c r="M3593" s="236">
        <v>0</v>
      </c>
      <c r="N3593" s="236">
        <v>1018</v>
      </c>
      <c r="O3593" t="s">
        <v>8765</v>
      </c>
      <c r="P3593" s="236"/>
      <c r="Q3593" s="236"/>
      <c r="R3593" s="236"/>
      <c r="S3593" s="236">
        <v>1</v>
      </c>
      <c r="T3593" s="236">
        <v>5</v>
      </c>
      <c r="U3593" s="236">
        <v>200</v>
      </c>
      <c r="V3593" s="236">
        <v>1</v>
      </c>
      <c r="W3593" s="236">
        <v>1</v>
      </c>
      <c r="X3593" s="236">
        <v>1</v>
      </c>
      <c r="Y3593" s="236">
        <v>0</v>
      </c>
      <c r="Z3593" s="236">
        <v>0</v>
      </c>
      <c r="AA3593" s="236">
        <v>5</v>
      </c>
      <c r="AB3593" s="128">
        <v>1000</v>
      </c>
      <c r="AC3593" s="236">
        <v>56</v>
      </c>
      <c r="AD3593" s="456">
        <v>0</v>
      </c>
      <c r="AE3593" s="456">
        <v>5</v>
      </c>
      <c r="AF3593" s="456">
        <v>2</v>
      </c>
      <c r="AG3593" s="456"/>
      <c r="AH3593" s="456"/>
      <c r="AI3593" s="456"/>
      <c r="AJ3593" s="456"/>
      <c r="AK3593" s="456"/>
      <c r="AL3593" s="236"/>
      <c r="AM3593" s="236"/>
      <c r="AN3593" s="236"/>
      <c r="AO3593" s="236"/>
      <c r="AP3593" s="236"/>
      <c r="AQ3593" s="236"/>
      <c r="AR3593" s="236"/>
      <c r="AS3593" s="3">
        <v>1</v>
      </c>
    </row>
    <row r="3594" s="3" customFormat="1" spans="1:45">
      <c r="A3594" s="3">
        <v>932011</v>
      </c>
      <c r="B3594" s="339">
        <v>1001</v>
      </c>
      <c r="C3594" s="339">
        <v>6</v>
      </c>
      <c r="D3594" s="339">
        <v>1001</v>
      </c>
      <c r="E3594" s="339" t="s">
        <v>8766</v>
      </c>
      <c r="F3594" s="339" t="s">
        <v>8766</v>
      </c>
      <c r="G3594" s="339" t="s">
        <v>8767</v>
      </c>
      <c r="H3594" s="236" t="s">
        <v>1431</v>
      </c>
      <c r="I3594" s="339">
        <v>1</v>
      </c>
      <c r="J3594" s="339">
        <v>5</v>
      </c>
      <c r="K3594" s="254">
        <v>2</v>
      </c>
      <c r="L3594" s="339">
        <v>999</v>
      </c>
      <c r="M3594" s="339">
        <v>0</v>
      </c>
      <c r="N3594" s="339">
        <v>1018</v>
      </c>
      <c r="O3594" s="2" t="s">
        <v>8768</v>
      </c>
      <c r="P3594" s="8"/>
      <c r="Q3594" s="8"/>
      <c r="R3594" s="8"/>
      <c r="S3594" s="254">
        <v>1</v>
      </c>
      <c r="T3594" s="339">
        <v>5</v>
      </c>
      <c r="U3594" s="339">
        <v>200</v>
      </c>
      <c r="V3594" s="254">
        <v>1</v>
      </c>
      <c r="W3594" s="339">
        <v>1</v>
      </c>
      <c r="X3594" s="339">
        <v>1</v>
      </c>
      <c r="Y3594" s="339">
        <v>0</v>
      </c>
      <c r="Z3594" s="254">
        <v>0</v>
      </c>
      <c r="AA3594" s="339">
        <v>5</v>
      </c>
      <c r="AB3594" s="8">
        <v>1000</v>
      </c>
      <c r="AC3594" s="339">
        <v>56</v>
      </c>
      <c r="AD3594" s="432">
        <v>0</v>
      </c>
      <c r="AE3594" s="432">
        <v>5</v>
      </c>
      <c r="AF3594" s="432">
        <v>2</v>
      </c>
      <c r="AG3594" s="433"/>
      <c r="AH3594" s="433"/>
      <c r="AI3594" s="433"/>
      <c r="AJ3594" s="433"/>
      <c r="AK3594" s="433"/>
      <c r="AL3594" s="434"/>
      <c r="AM3594" s="434"/>
      <c r="AN3594" s="435"/>
      <c r="AO3594" s="434"/>
      <c r="AP3594" s="434"/>
      <c r="AQ3594" s="8"/>
      <c r="AR3594" s="8"/>
      <c r="AS3594" s="3">
        <v>1</v>
      </c>
    </row>
    <row r="3595" s="3" customFormat="1" spans="1:45">
      <c r="A3595" s="3">
        <v>932012</v>
      </c>
      <c r="B3595" s="236">
        <v>1001</v>
      </c>
      <c r="C3595" s="236">
        <v>6</v>
      </c>
      <c r="D3595" s="236">
        <v>1001</v>
      </c>
      <c r="E3595" s="236" t="s">
        <v>6925</v>
      </c>
      <c r="F3595" s="236" t="s">
        <v>6925</v>
      </c>
      <c r="G3595" s="236" t="s">
        <v>8769</v>
      </c>
      <c r="H3595" s="339" t="s">
        <v>204</v>
      </c>
      <c r="I3595" s="236">
        <v>1</v>
      </c>
      <c r="J3595" s="236">
        <v>5</v>
      </c>
      <c r="K3595" s="236">
        <v>2</v>
      </c>
      <c r="L3595" s="236">
        <v>999</v>
      </c>
      <c r="M3595" s="236">
        <v>0</v>
      </c>
      <c r="N3595" s="236">
        <v>1018</v>
      </c>
      <c r="O3595" t="s">
        <v>8770</v>
      </c>
      <c r="P3595" s="236"/>
      <c r="Q3595" s="236"/>
      <c r="R3595" s="236"/>
      <c r="S3595" s="236">
        <v>1</v>
      </c>
      <c r="T3595" s="236">
        <v>5</v>
      </c>
      <c r="U3595" s="236">
        <v>200</v>
      </c>
      <c r="V3595" s="236">
        <v>1</v>
      </c>
      <c r="W3595" s="236">
        <v>1</v>
      </c>
      <c r="X3595" s="236">
        <v>1</v>
      </c>
      <c r="Y3595" s="236">
        <v>0</v>
      </c>
      <c r="Z3595" s="236">
        <v>0</v>
      </c>
      <c r="AA3595" s="236">
        <v>5</v>
      </c>
      <c r="AB3595" s="128">
        <v>1000</v>
      </c>
      <c r="AC3595" s="236">
        <v>56</v>
      </c>
      <c r="AD3595" s="456">
        <v>0</v>
      </c>
      <c r="AE3595" s="456">
        <v>5</v>
      </c>
      <c r="AF3595" s="456">
        <v>2</v>
      </c>
      <c r="AG3595" s="456"/>
      <c r="AH3595" s="456"/>
      <c r="AI3595" s="456"/>
      <c r="AJ3595" s="456"/>
      <c r="AK3595" s="456"/>
      <c r="AL3595" s="236"/>
      <c r="AM3595" s="236"/>
      <c r="AN3595" s="236"/>
      <c r="AO3595" s="236"/>
      <c r="AP3595" s="236"/>
      <c r="AQ3595" s="236"/>
      <c r="AR3595" s="236"/>
      <c r="AS3595" s="3">
        <v>1</v>
      </c>
    </row>
    <row r="3596" s="3" customFormat="1" spans="1:45">
      <c r="A3596" s="3">
        <v>932013</v>
      </c>
      <c r="B3596" s="3">
        <v>1001</v>
      </c>
      <c r="C3596" s="3">
        <v>6</v>
      </c>
      <c r="D3596" s="3">
        <v>1001</v>
      </c>
      <c r="E3596" s="3" t="s">
        <v>8771</v>
      </c>
      <c r="F3596" s="3" t="s">
        <v>8771</v>
      </c>
      <c r="G3596" s="3" t="s">
        <v>8772</v>
      </c>
      <c r="H3596" s="8" t="s">
        <v>1431</v>
      </c>
      <c r="I3596" s="3">
        <v>1</v>
      </c>
      <c r="J3596" s="3">
        <v>5</v>
      </c>
      <c r="K3596" s="33">
        <v>2</v>
      </c>
      <c r="L3596" s="3">
        <v>999</v>
      </c>
      <c r="M3596" s="3">
        <v>0</v>
      </c>
      <c r="N3596" s="3">
        <v>1018</v>
      </c>
      <c r="O3596" s="2" t="s">
        <v>8773</v>
      </c>
      <c r="S3596" s="33">
        <v>1</v>
      </c>
      <c r="T3596" s="3">
        <v>5</v>
      </c>
      <c r="U3596" s="3">
        <v>200</v>
      </c>
      <c r="V3596" s="33">
        <v>1</v>
      </c>
      <c r="W3596" s="3">
        <v>1</v>
      </c>
      <c r="X3596" s="3">
        <v>1</v>
      </c>
      <c r="Y3596" s="3">
        <v>0</v>
      </c>
      <c r="Z3596" s="33">
        <v>0</v>
      </c>
      <c r="AA3596" s="3">
        <v>5</v>
      </c>
      <c r="AB3596" s="8">
        <v>1000</v>
      </c>
      <c r="AC3596" s="3">
        <v>56</v>
      </c>
      <c r="AD3596" s="12">
        <v>0</v>
      </c>
      <c r="AE3596" s="12">
        <v>5</v>
      </c>
      <c r="AF3596" s="12">
        <v>2</v>
      </c>
      <c r="AG3596" s="430"/>
      <c r="AH3596" s="430"/>
      <c r="AI3596" s="430"/>
      <c r="AJ3596" s="430"/>
      <c r="AK3596" s="430"/>
      <c r="AL3596" s="214"/>
      <c r="AM3596" s="214"/>
      <c r="AN3596" s="431"/>
      <c r="AO3596" s="214"/>
      <c r="AP3596" s="214"/>
      <c r="AS3596" s="3">
        <v>1</v>
      </c>
    </row>
    <row r="3597" s="3" customFormat="1" spans="1:45">
      <c r="A3597" s="3">
        <v>932014</v>
      </c>
      <c r="B3597" s="3">
        <v>1001</v>
      </c>
      <c r="C3597" s="3">
        <v>6</v>
      </c>
      <c r="D3597" s="3">
        <v>1001</v>
      </c>
      <c r="E3597" s="3" t="s">
        <v>8774</v>
      </c>
      <c r="F3597" s="3" t="s">
        <v>8774</v>
      </c>
      <c r="G3597" s="3" t="s">
        <v>8775</v>
      </c>
      <c r="H3597" s="8" t="s">
        <v>1431</v>
      </c>
      <c r="I3597" s="3">
        <v>1</v>
      </c>
      <c r="J3597" s="3">
        <v>5</v>
      </c>
      <c r="K3597" s="33">
        <v>2</v>
      </c>
      <c r="L3597" s="3">
        <v>999</v>
      </c>
      <c r="M3597" s="3">
        <v>0</v>
      </c>
      <c r="N3597" s="3">
        <v>1018</v>
      </c>
      <c r="O3597" s="2" t="s">
        <v>8776</v>
      </c>
      <c r="S3597" s="33">
        <v>1</v>
      </c>
      <c r="T3597" s="3">
        <v>5</v>
      </c>
      <c r="U3597" s="3">
        <v>200</v>
      </c>
      <c r="V3597" s="33">
        <v>1</v>
      </c>
      <c r="W3597" s="3">
        <v>1</v>
      </c>
      <c r="X3597" s="3">
        <v>1</v>
      </c>
      <c r="Y3597" s="3">
        <v>0</v>
      </c>
      <c r="Z3597" s="33">
        <v>0</v>
      </c>
      <c r="AA3597" s="3">
        <v>5</v>
      </c>
      <c r="AB3597" s="8">
        <v>1000</v>
      </c>
      <c r="AC3597" s="3">
        <v>56</v>
      </c>
      <c r="AD3597" s="12">
        <v>0</v>
      </c>
      <c r="AE3597" s="12">
        <v>5</v>
      </c>
      <c r="AF3597" s="12">
        <v>2</v>
      </c>
      <c r="AG3597" s="430"/>
      <c r="AH3597" s="430"/>
      <c r="AI3597" s="430"/>
      <c r="AJ3597" s="430"/>
      <c r="AK3597" s="430"/>
      <c r="AL3597" s="214"/>
      <c r="AM3597" s="214"/>
      <c r="AN3597" s="431"/>
      <c r="AO3597" s="214"/>
      <c r="AP3597" s="214"/>
      <c r="AS3597" s="3">
        <v>1</v>
      </c>
    </row>
    <row r="3598" s="3" customFormat="1" spans="1:45">
      <c r="A3598" s="3">
        <v>932015</v>
      </c>
      <c r="B3598" s="339">
        <v>1001</v>
      </c>
      <c r="C3598" s="339">
        <v>6</v>
      </c>
      <c r="D3598" s="339">
        <v>1001</v>
      </c>
      <c r="E3598" s="3" t="s">
        <v>8777</v>
      </c>
      <c r="F3598" s="3" t="s">
        <v>8777</v>
      </c>
      <c r="G3598" s="3" t="s">
        <v>8778</v>
      </c>
      <c r="H3598" s="236" t="s">
        <v>1431</v>
      </c>
      <c r="I3598" s="3">
        <v>1</v>
      </c>
      <c r="J3598" s="3">
        <v>5</v>
      </c>
      <c r="K3598" s="33">
        <v>2</v>
      </c>
      <c r="L3598" s="3">
        <v>999</v>
      </c>
      <c r="M3598" s="3">
        <v>0</v>
      </c>
      <c r="N3598" s="339">
        <v>1018</v>
      </c>
      <c r="O3598" s="2" t="s">
        <v>8779</v>
      </c>
      <c r="S3598" s="254">
        <v>1</v>
      </c>
      <c r="T3598" s="339">
        <v>5</v>
      </c>
      <c r="U3598" s="339">
        <v>200</v>
      </c>
      <c r="V3598" s="254">
        <v>1</v>
      </c>
      <c r="W3598" s="339">
        <v>1</v>
      </c>
      <c r="X3598" s="339">
        <v>1</v>
      </c>
      <c r="Y3598" s="3">
        <v>0</v>
      </c>
      <c r="Z3598" s="33">
        <v>0</v>
      </c>
      <c r="AA3598" s="3">
        <v>5</v>
      </c>
      <c r="AB3598" s="236">
        <v>1000</v>
      </c>
      <c r="AC3598" s="339">
        <v>56</v>
      </c>
      <c r="AD3598" s="12">
        <v>0</v>
      </c>
      <c r="AE3598" s="432">
        <v>5</v>
      </c>
      <c r="AF3598" s="432">
        <v>2</v>
      </c>
      <c r="AG3598" s="433"/>
      <c r="AH3598" s="433"/>
      <c r="AI3598" s="433"/>
      <c r="AJ3598" s="433"/>
      <c r="AK3598" s="433"/>
      <c r="AL3598" s="434"/>
      <c r="AM3598" s="434"/>
      <c r="AN3598" s="435"/>
      <c r="AO3598" s="434"/>
      <c r="AP3598" s="214"/>
      <c r="AQ3598" s="343"/>
      <c r="AS3598" s="3">
        <v>1</v>
      </c>
    </row>
    <row r="3599" s="3" customFormat="1" spans="1:45">
      <c r="A3599" s="3">
        <v>932016</v>
      </c>
      <c r="B3599" s="529">
        <v>1001</v>
      </c>
      <c r="C3599" s="395">
        <v>6</v>
      </c>
      <c r="D3599" s="395">
        <v>1001</v>
      </c>
      <c r="E3599" s="3" t="s">
        <v>8780</v>
      </c>
      <c r="F3599" s="3" t="s">
        <v>8780</v>
      </c>
      <c r="G3599" s="3" t="s">
        <v>8781</v>
      </c>
      <c r="H3599" s="339" t="s">
        <v>8782</v>
      </c>
      <c r="I3599" s="3">
        <v>1</v>
      </c>
      <c r="J3599" s="3">
        <v>4</v>
      </c>
      <c r="K3599" s="3">
        <v>2</v>
      </c>
      <c r="L3599" s="3">
        <v>999</v>
      </c>
      <c r="M3599" s="3">
        <v>0</v>
      </c>
      <c r="N3599" s="395">
        <v>1017</v>
      </c>
      <c r="O3599">
        <v>30265</v>
      </c>
      <c r="S3599" s="395">
        <v>1</v>
      </c>
      <c r="T3599" s="395">
        <v>5</v>
      </c>
      <c r="U3599" s="395">
        <v>1</v>
      </c>
      <c r="V3599" s="395">
        <v>1</v>
      </c>
      <c r="W3599" s="395">
        <v>1</v>
      </c>
      <c r="X3599" s="395">
        <v>1</v>
      </c>
      <c r="Y3599" s="3">
        <v>0</v>
      </c>
      <c r="Z3599" s="3">
        <v>0</v>
      </c>
      <c r="AA3599" s="3">
        <v>5</v>
      </c>
      <c r="AB3599" s="339">
        <v>100</v>
      </c>
      <c r="AC3599" s="395">
        <v>0</v>
      </c>
      <c r="AD3599" s="153">
        <v>0</v>
      </c>
      <c r="AE3599" s="475">
        <v>4</v>
      </c>
      <c r="AF3599" s="475">
        <v>2</v>
      </c>
      <c r="AG3599" s="530"/>
      <c r="AH3599" s="530"/>
      <c r="AI3599" s="530"/>
      <c r="AJ3599" s="530"/>
      <c r="AK3599" s="530"/>
      <c r="AL3599" s="342"/>
      <c r="AM3599" s="342"/>
      <c r="AN3599" s="396"/>
      <c r="AO3599" s="342"/>
      <c r="AP3599" s="234"/>
      <c r="AQ3599" s="343"/>
      <c r="AS3599" s="3">
        <v>1</v>
      </c>
    </row>
    <row r="3600" s="3" customFormat="1" spans="1:45">
      <c r="A3600" s="3">
        <v>932017</v>
      </c>
      <c r="B3600" s="3">
        <v>1001</v>
      </c>
      <c r="C3600" s="3">
        <v>6</v>
      </c>
      <c r="D3600" s="3">
        <v>1001</v>
      </c>
      <c r="E3600" s="3" t="s">
        <v>8783</v>
      </c>
      <c r="F3600" s="3" t="s">
        <v>8783</v>
      </c>
      <c r="G3600" s="3" t="s">
        <v>8784</v>
      </c>
      <c r="H3600" s="236" t="s">
        <v>6874</v>
      </c>
      <c r="I3600" s="3">
        <v>1</v>
      </c>
      <c r="J3600" s="3">
        <v>5</v>
      </c>
      <c r="K3600" s="33">
        <v>2</v>
      </c>
      <c r="L3600" s="3">
        <v>999</v>
      </c>
      <c r="M3600" s="3">
        <v>0</v>
      </c>
      <c r="N3600" s="3">
        <v>1</v>
      </c>
      <c r="O3600" t="s">
        <v>8785</v>
      </c>
      <c r="S3600" s="33">
        <v>1</v>
      </c>
      <c r="T3600" s="3">
        <v>5</v>
      </c>
      <c r="U3600" s="3">
        <v>200</v>
      </c>
      <c r="V3600" s="33">
        <v>1</v>
      </c>
      <c r="W3600" s="3">
        <v>1</v>
      </c>
      <c r="X3600" s="3">
        <v>1</v>
      </c>
      <c r="Y3600" s="3">
        <v>0</v>
      </c>
      <c r="Z3600" s="33">
        <v>0</v>
      </c>
      <c r="AA3600" s="3">
        <v>5</v>
      </c>
      <c r="AB3600" s="236">
        <v>1000</v>
      </c>
      <c r="AC3600" s="3">
        <v>56</v>
      </c>
      <c r="AD3600" s="12">
        <v>0</v>
      </c>
      <c r="AE3600" s="12">
        <v>1</v>
      </c>
      <c r="AF3600" s="12">
        <v>2</v>
      </c>
      <c r="AG3600" s="430"/>
      <c r="AH3600" s="430"/>
      <c r="AI3600" s="430"/>
      <c r="AJ3600" s="430"/>
      <c r="AK3600" s="430"/>
      <c r="AL3600" s="214"/>
      <c r="AM3600" s="214"/>
      <c r="AN3600" s="431"/>
      <c r="AO3600" s="214"/>
      <c r="AP3600" s="214"/>
      <c r="AS3600" s="3">
        <v>1</v>
      </c>
    </row>
    <row r="3601" s="3" customFormat="1" spans="1:45">
      <c r="A3601" s="3">
        <v>932018</v>
      </c>
      <c r="B3601" s="3">
        <v>1001</v>
      </c>
      <c r="C3601" s="3">
        <v>23</v>
      </c>
      <c r="D3601" s="3">
        <v>0</v>
      </c>
      <c r="E3601" s="51" t="s">
        <v>1764</v>
      </c>
      <c r="F3601" s="3" t="s">
        <v>6963</v>
      </c>
      <c r="G3601" s="3" t="s">
        <v>1764</v>
      </c>
      <c r="H3601" s="339" t="s">
        <v>1766</v>
      </c>
      <c r="I3601" s="3">
        <v>1</v>
      </c>
      <c r="J3601" s="3">
        <v>4</v>
      </c>
      <c r="K3601" s="33">
        <v>1</v>
      </c>
      <c r="L3601" s="3">
        <v>999</v>
      </c>
      <c r="M3601" s="3">
        <v>0</v>
      </c>
      <c r="N3601" s="3"/>
      <c r="O3601" s="2">
        <v>1</v>
      </c>
      <c r="S3601" s="33"/>
      <c r="T3601" s="3"/>
      <c r="U3601" s="3"/>
      <c r="V3601" s="33"/>
      <c r="W3601" s="3"/>
      <c r="X3601" s="3"/>
      <c r="Y3601" s="3"/>
      <c r="Z3601" s="33"/>
      <c r="AA3601" s="3"/>
      <c r="AB3601" s="8"/>
      <c r="AC3601" s="3"/>
      <c r="AD3601" s="62"/>
      <c r="AE3601" s="62"/>
      <c r="AF3601" s="62"/>
      <c r="AG3601" s="63"/>
      <c r="AH3601" s="63"/>
      <c r="AI3601" s="63"/>
      <c r="AJ3601" s="63"/>
      <c r="AK3601" s="63"/>
      <c r="AL3601" s="64"/>
      <c r="AM3601" s="64"/>
      <c r="AN3601" s="65"/>
      <c r="AO3601" s="64"/>
      <c r="AP3601" s="64"/>
      <c r="AS3601" s="3">
        <v>1</v>
      </c>
    </row>
    <row r="3602" s="3" customFormat="1" spans="1:45">
      <c r="A3602" s="3">
        <v>932019</v>
      </c>
      <c r="B3602" s="3">
        <v>1001</v>
      </c>
      <c r="C3602" s="3">
        <v>6</v>
      </c>
      <c r="D3602" s="3">
        <v>1001</v>
      </c>
      <c r="E3602" s="3" t="s">
        <v>8786</v>
      </c>
      <c r="F3602" s="3" t="s">
        <v>8786</v>
      </c>
      <c r="G3602" s="3" t="s">
        <v>8787</v>
      </c>
      <c r="H3602" s="236" t="s">
        <v>1431</v>
      </c>
      <c r="I3602" s="3">
        <v>1</v>
      </c>
      <c r="J3602" s="3">
        <v>5</v>
      </c>
      <c r="K3602" s="33">
        <v>2</v>
      </c>
      <c r="L3602" s="3">
        <v>999</v>
      </c>
      <c r="M3602" s="3">
        <v>0</v>
      </c>
      <c r="N3602" s="3">
        <v>1018</v>
      </c>
      <c r="O3602" s="2" t="s">
        <v>8788</v>
      </c>
      <c r="S3602" s="33">
        <v>1</v>
      </c>
      <c r="T3602" s="3">
        <v>5</v>
      </c>
      <c r="U3602" s="3">
        <v>200</v>
      </c>
      <c r="V3602" s="33">
        <v>1</v>
      </c>
      <c r="W3602" s="3">
        <v>1</v>
      </c>
      <c r="X3602" s="3">
        <v>1</v>
      </c>
      <c r="Y3602" s="3">
        <v>0</v>
      </c>
      <c r="Z3602" s="33">
        <v>0</v>
      </c>
      <c r="AA3602" s="3">
        <v>5</v>
      </c>
      <c r="AB3602" s="236">
        <v>1000</v>
      </c>
      <c r="AC3602" s="3">
        <v>56</v>
      </c>
      <c r="AD3602" s="12">
        <v>0</v>
      </c>
      <c r="AE3602" s="12">
        <v>5</v>
      </c>
      <c r="AF3602" s="12">
        <v>2</v>
      </c>
      <c r="AG3602" s="430"/>
      <c r="AH3602" s="430"/>
      <c r="AI3602" s="430"/>
      <c r="AJ3602" s="430"/>
      <c r="AK3602" s="430"/>
      <c r="AL3602" s="214"/>
      <c r="AM3602" s="214"/>
      <c r="AN3602" s="431"/>
      <c r="AO3602" s="214"/>
      <c r="AP3602" s="214"/>
      <c r="AS3602" s="3">
        <v>1</v>
      </c>
    </row>
    <row r="3603" spans="1:45">
      <c r="A3603">
        <v>960001</v>
      </c>
      <c r="B3603">
        <v>1001</v>
      </c>
      <c r="C3603">
        <v>1</v>
      </c>
      <c r="D3603">
        <v>1001</v>
      </c>
      <c r="E3603" t="s">
        <v>8789</v>
      </c>
      <c r="F3603" t="s">
        <v>8789</v>
      </c>
      <c r="G3603" t="s">
        <v>8790</v>
      </c>
      <c r="H3603" t="s">
        <v>8791</v>
      </c>
      <c r="I3603">
        <v>1</v>
      </c>
      <c r="J3603">
        <v>5</v>
      </c>
      <c r="K3603" s="33">
        <v>2</v>
      </c>
      <c r="L3603">
        <v>999</v>
      </c>
      <c r="M3603">
        <v>0</v>
      </c>
      <c r="N3603">
        <v>1056</v>
      </c>
      <c r="O3603" s="2">
        <v>1</v>
      </c>
      <c r="S3603" s="33">
        <v>0</v>
      </c>
      <c r="T3603">
        <v>5</v>
      </c>
      <c r="U3603">
        <v>100</v>
      </c>
      <c r="V3603" s="33">
        <v>1</v>
      </c>
      <c r="W3603">
        <v>1</v>
      </c>
      <c r="X3603">
        <v>1</v>
      </c>
      <c r="Y3603">
        <v>0</v>
      </c>
      <c r="Z3603" s="33">
        <v>0</v>
      </c>
      <c r="AA3603">
        <v>5</v>
      </c>
      <c r="AB3603">
        <v>100</v>
      </c>
      <c r="AC3603">
        <v>0</v>
      </c>
      <c r="AD3603" s="62">
        <v>0</v>
      </c>
      <c r="AE3603" s="62">
        <v>4</v>
      </c>
      <c r="AF3603" s="62">
        <v>1</v>
      </c>
      <c r="AH3603" s="63">
        <v>1</v>
      </c>
      <c r="AS3603">
        <v>1</v>
      </c>
    </row>
    <row r="3604" spans="1:45">
      <c r="A3604">
        <v>960002</v>
      </c>
      <c r="B3604" s="238">
        <v>1001</v>
      </c>
      <c r="C3604">
        <v>1</v>
      </c>
      <c r="D3604" s="238">
        <v>1001</v>
      </c>
      <c r="E3604" t="s">
        <v>8792</v>
      </c>
      <c r="F3604" t="s">
        <v>8792</v>
      </c>
      <c r="G3604" t="s">
        <v>8793</v>
      </c>
      <c r="H3604" t="s">
        <v>8794</v>
      </c>
      <c r="I3604">
        <v>1</v>
      </c>
      <c r="J3604">
        <v>5</v>
      </c>
      <c r="K3604" s="33">
        <v>2</v>
      </c>
      <c r="L3604">
        <v>999</v>
      </c>
      <c r="M3604">
        <v>0</v>
      </c>
      <c r="N3604">
        <v>1056</v>
      </c>
      <c r="O3604" s="2">
        <v>1</v>
      </c>
      <c r="S3604" s="33">
        <v>0</v>
      </c>
      <c r="T3604">
        <v>5</v>
      </c>
      <c r="U3604">
        <v>100</v>
      </c>
      <c r="V3604" s="33">
        <v>1</v>
      </c>
      <c r="W3604">
        <v>1</v>
      </c>
      <c r="X3604">
        <v>1</v>
      </c>
      <c r="Y3604">
        <v>0</v>
      </c>
      <c r="Z3604" s="33">
        <v>0</v>
      </c>
      <c r="AA3604">
        <v>5</v>
      </c>
      <c r="AB3604">
        <v>100</v>
      </c>
      <c r="AC3604">
        <v>0</v>
      </c>
      <c r="AD3604" s="62">
        <v>0</v>
      </c>
      <c r="AE3604" s="62">
        <v>4</v>
      </c>
      <c r="AF3604" s="62">
        <v>1</v>
      </c>
      <c r="AH3604" s="63">
        <v>1</v>
      </c>
      <c r="AS3604">
        <v>1</v>
      </c>
    </row>
    <row r="3605" s="3" customFormat="1" spans="1:45">
      <c r="A3605" s="58">
        <v>960003</v>
      </c>
      <c r="B3605" s="8">
        <v>1001</v>
      </c>
      <c r="C3605" s="3">
        <v>6</v>
      </c>
      <c r="D3605" s="8">
        <v>1001</v>
      </c>
      <c r="E3605" t="s">
        <v>8795</v>
      </c>
      <c r="F3605" t="s">
        <v>8795</v>
      </c>
      <c r="G3605" t="s">
        <v>8796</v>
      </c>
      <c r="H3605" s="446" t="s">
        <v>8797</v>
      </c>
      <c r="I3605" s="3">
        <v>1</v>
      </c>
      <c r="J3605" s="3">
        <v>5</v>
      </c>
      <c r="K3605" s="33">
        <v>2</v>
      </c>
      <c r="L3605" s="3">
        <v>999</v>
      </c>
      <c r="M3605" s="3">
        <v>0</v>
      </c>
      <c r="N3605" s="3">
        <v>1037</v>
      </c>
      <c r="O3605" s="2">
        <v>18</v>
      </c>
      <c r="S3605" s="33">
        <v>1</v>
      </c>
      <c r="T3605" s="3">
        <v>5</v>
      </c>
      <c r="U3605" s="3">
        <v>1</v>
      </c>
      <c r="V3605" s="33">
        <v>1</v>
      </c>
      <c r="W3605" s="3">
        <v>1</v>
      </c>
      <c r="X3605" s="3">
        <v>1</v>
      </c>
      <c r="Y3605" s="3">
        <v>0</v>
      </c>
      <c r="Z3605" s="33">
        <v>0</v>
      </c>
      <c r="AA3605" s="3">
        <v>5</v>
      </c>
      <c r="AB3605" s="3">
        <v>100</v>
      </c>
      <c r="AC3605" s="3">
        <v>70</v>
      </c>
      <c r="AD3605" s="62">
        <v>0</v>
      </c>
      <c r="AE3605" s="62">
        <v>1</v>
      </c>
      <c r="AF3605" s="62">
        <v>1</v>
      </c>
      <c r="AG3605" s="63"/>
      <c r="AH3605" s="63"/>
      <c r="AI3605" s="63"/>
      <c r="AJ3605" s="63"/>
      <c r="AK3605" s="63"/>
      <c r="AL3605" s="64"/>
      <c r="AM3605" s="64"/>
      <c r="AN3605" s="65"/>
      <c r="AO3605" s="64"/>
      <c r="AP3605" s="64"/>
      <c r="AS3605" s="3">
        <v>1</v>
      </c>
    </row>
    <row r="3606" spans="1:45">
      <c r="A3606" s="58">
        <v>960004</v>
      </c>
      <c r="B3606" s="8">
        <v>1001</v>
      </c>
      <c r="C3606">
        <v>6</v>
      </c>
      <c r="D3606" s="8">
        <v>1001</v>
      </c>
      <c r="E3606" t="s">
        <v>8798</v>
      </c>
      <c r="F3606" t="s">
        <v>8798</v>
      </c>
      <c r="G3606" t="s">
        <v>8799</v>
      </c>
      <c r="H3606" s="446" t="s">
        <v>8800</v>
      </c>
      <c r="I3606">
        <v>1</v>
      </c>
      <c r="J3606">
        <v>4</v>
      </c>
      <c r="K3606" s="33">
        <v>2</v>
      </c>
      <c r="L3606">
        <v>999</v>
      </c>
      <c r="M3606">
        <v>0</v>
      </c>
      <c r="N3606">
        <v>1037</v>
      </c>
      <c r="O3606" s="2">
        <v>19</v>
      </c>
      <c r="S3606" s="33">
        <v>1</v>
      </c>
      <c r="T3606">
        <v>5</v>
      </c>
      <c r="U3606">
        <v>1</v>
      </c>
      <c r="V3606" s="33">
        <v>1</v>
      </c>
      <c r="W3606">
        <v>1</v>
      </c>
      <c r="X3606">
        <v>1</v>
      </c>
      <c r="Y3606">
        <v>0</v>
      </c>
      <c r="Z3606" s="33">
        <v>0</v>
      </c>
      <c r="AA3606">
        <v>5</v>
      </c>
      <c r="AB3606">
        <v>100</v>
      </c>
      <c r="AC3606">
        <v>70</v>
      </c>
      <c r="AD3606" s="62">
        <v>0</v>
      </c>
      <c r="AE3606" s="62">
        <v>1</v>
      </c>
      <c r="AF3606" s="62">
        <v>1</v>
      </c>
      <c r="AS3606">
        <v>1</v>
      </c>
    </row>
    <row r="3607" spans="1:45">
      <c r="A3607" s="58">
        <v>960005</v>
      </c>
      <c r="B3607" s="8">
        <v>1001</v>
      </c>
      <c r="C3607">
        <v>6</v>
      </c>
      <c r="D3607" s="8">
        <v>1001</v>
      </c>
      <c r="E3607" t="s">
        <v>8801</v>
      </c>
      <c r="F3607" t="s">
        <v>8801</v>
      </c>
      <c r="G3607" t="s">
        <v>8802</v>
      </c>
      <c r="H3607" t="s">
        <v>6325</v>
      </c>
      <c r="I3607">
        <v>1</v>
      </c>
      <c r="J3607">
        <v>5</v>
      </c>
      <c r="K3607" s="33">
        <v>1</v>
      </c>
      <c r="L3607">
        <v>999</v>
      </c>
      <c r="M3607">
        <v>0</v>
      </c>
      <c r="O3607" s="561"/>
      <c r="S3607" s="33">
        <v>1</v>
      </c>
      <c r="T3607">
        <v>5</v>
      </c>
      <c r="U3607">
        <v>500</v>
      </c>
      <c r="V3607" s="33">
        <v>1</v>
      </c>
      <c r="W3607">
        <v>1</v>
      </c>
      <c r="X3607">
        <v>1</v>
      </c>
      <c r="Y3607">
        <v>0</v>
      </c>
      <c r="Z3607" s="33">
        <v>0</v>
      </c>
      <c r="AA3607">
        <v>5</v>
      </c>
      <c r="AB3607">
        <v>100</v>
      </c>
      <c r="AC3607">
        <v>70</v>
      </c>
      <c r="AD3607" s="62">
        <v>0</v>
      </c>
      <c r="AE3607" s="62">
        <v>1</v>
      </c>
      <c r="AF3607" s="62">
        <v>1</v>
      </c>
      <c r="AS3607">
        <v>1</v>
      </c>
    </row>
    <row r="3608" spans="1:45">
      <c r="A3608" s="58">
        <v>960006</v>
      </c>
      <c r="B3608" s="8">
        <v>1001</v>
      </c>
      <c r="C3608">
        <v>6</v>
      </c>
      <c r="D3608" s="8">
        <v>1001</v>
      </c>
      <c r="E3608" t="s">
        <v>8803</v>
      </c>
      <c r="F3608" t="s">
        <v>8803</v>
      </c>
      <c r="G3608" t="s">
        <v>8804</v>
      </c>
      <c r="H3608" t="s">
        <v>6325</v>
      </c>
      <c r="I3608">
        <v>1</v>
      </c>
      <c r="J3608">
        <v>5</v>
      </c>
      <c r="K3608" s="33">
        <v>1</v>
      </c>
      <c r="L3608">
        <v>999</v>
      </c>
      <c r="M3608">
        <v>0</v>
      </c>
      <c r="O3608" s="561"/>
      <c r="S3608" s="33">
        <v>1</v>
      </c>
      <c r="T3608">
        <v>5</v>
      </c>
      <c r="U3608">
        <v>500</v>
      </c>
      <c r="V3608" s="33">
        <v>1</v>
      </c>
      <c r="W3608">
        <v>1</v>
      </c>
      <c r="X3608">
        <v>1</v>
      </c>
      <c r="Y3608">
        <v>0</v>
      </c>
      <c r="Z3608" s="33">
        <v>0</v>
      </c>
      <c r="AA3608">
        <v>5</v>
      </c>
      <c r="AB3608">
        <v>100</v>
      </c>
      <c r="AC3608">
        <v>70</v>
      </c>
      <c r="AD3608" s="62">
        <v>0</v>
      </c>
      <c r="AE3608" s="62">
        <v>1</v>
      </c>
      <c r="AF3608" s="62">
        <v>1</v>
      </c>
      <c r="AS3608">
        <v>1</v>
      </c>
    </row>
    <row r="3609" spans="1:45">
      <c r="A3609" s="58">
        <v>960007</v>
      </c>
      <c r="B3609" s="8">
        <v>1001</v>
      </c>
      <c r="C3609">
        <v>6</v>
      </c>
      <c r="D3609" s="8">
        <v>1001</v>
      </c>
      <c r="E3609" t="s">
        <v>8805</v>
      </c>
      <c r="F3609" t="s">
        <v>8805</v>
      </c>
      <c r="G3609" t="s">
        <v>8806</v>
      </c>
      <c r="H3609" t="s">
        <v>6325</v>
      </c>
      <c r="I3609">
        <v>1</v>
      </c>
      <c r="J3609">
        <v>5</v>
      </c>
      <c r="K3609" s="33">
        <v>1</v>
      </c>
      <c r="L3609">
        <v>999</v>
      </c>
      <c r="M3609">
        <v>0</v>
      </c>
      <c r="N3609"/>
      <c r="O3609" s="561"/>
      <c r="S3609" s="33">
        <v>1</v>
      </c>
      <c r="T3609">
        <v>5</v>
      </c>
      <c r="U3609">
        <v>500</v>
      </c>
      <c r="V3609" s="33">
        <v>1</v>
      </c>
      <c r="W3609">
        <v>1</v>
      </c>
      <c r="X3609">
        <v>1</v>
      </c>
      <c r="Y3609">
        <v>0</v>
      </c>
      <c r="Z3609" s="33">
        <v>0</v>
      </c>
      <c r="AA3609">
        <v>5</v>
      </c>
      <c r="AB3609">
        <v>100</v>
      </c>
      <c r="AC3609">
        <v>70</v>
      </c>
      <c r="AD3609" s="62">
        <v>0</v>
      </c>
      <c r="AE3609" s="62">
        <v>1</v>
      </c>
      <c r="AF3609" s="62">
        <v>1</v>
      </c>
      <c r="AS3609">
        <v>1</v>
      </c>
    </row>
    <row r="3610" spans="1:45">
      <c r="A3610" s="58">
        <v>960008</v>
      </c>
      <c r="B3610" s="8">
        <v>1001</v>
      </c>
      <c r="C3610">
        <v>6</v>
      </c>
      <c r="D3610" s="8">
        <v>1001</v>
      </c>
      <c r="E3610" t="s">
        <v>8801</v>
      </c>
      <c r="F3610" t="s">
        <v>8801</v>
      </c>
      <c r="G3610" t="s">
        <v>8807</v>
      </c>
      <c r="H3610" t="s">
        <v>6325</v>
      </c>
      <c r="I3610">
        <v>1</v>
      </c>
      <c r="J3610">
        <v>5</v>
      </c>
      <c r="K3610" s="33">
        <v>2</v>
      </c>
      <c r="L3610">
        <v>999</v>
      </c>
      <c r="M3610">
        <v>0</v>
      </c>
      <c r="N3610">
        <v>1035</v>
      </c>
      <c r="O3610" s="561">
        <v>127</v>
      </c>
      <c r="S3610" s="33">
        <v>1</v>
      </c>
      <c r="T3610">
        <v>5</v>
      </c>
      <c r="U3610">
        <v>1</v>
      </c>
      <c r="V3610" s="33">
        <v>1</v>
      </c>
      <c r="W3610">
        <v>1</v>
      </c>
      <c r="X3610">
        <v>1</v>
      </c>
      <c r="Y3610">
        <v>0</v>
      </c>
      <c r="Z3610" s="33">
        <v>0</v>
      </c>
      <c r="AA3610">
        <v>5</v>
      </c>
      <c r="AB3610">
        <v>100</v>
      </c>
      <c r="AC3610">
        <v>70</v>
      </c>
      <c r="AD3610" s="62">
        <v>0</v>
      </c>
      <c r="AE3610" s="62">
        <v>1</v>
      </c>
      <c r="AF3610" s="62">
        <v>1</v>
      </c>
      <c r="AS3610">
        <v>1</v>
      </c>
    </row>
    <row r="3611" spans="1:45">
      <c r="A3611" s="58">
        <v>960009</v>
      </c>
      <c r="B3611" s="8">
        <v>1001</v>
      </c>
      <c r="C3611">
        <v>6</v>
      </c>
      <c r="D3611" s="8">
        <v>1001</v>
      </c>
      <c r="E3611" t="s">
        <v>8803</v>
      </c>
      <c r="F3611" t="s">
        <v>8803</v>
      </c>
      <c r="G3611" t="s">
        <v>8808</v>
      </c>
      <c r="H3611" t="s">
        <v>6325</v>
      </c>
      <c r="I3611">
        <v>1</v>
      </c>
      <c r="J3611">
        <v>5</v>
      </c>
      <c r="K3611" s="33">
        <v>2</v>
      </c>
      <c r="L3611">
        <v>999</v>
      </c>
      <c r="M3611">
        <v>0</v>
      </c>
      <c r="N3611">
        <v>1035</v>
      </c>
      <c r="O3611" s="561">
        <v>128</v>
      </c>
      <c r="S3611" s="33">
        <v>1</v>
      </c>
      <c r="T3611">
        <v>5</v>
      </c>
      <c r="U3611">
        <v>1</v>
      </c>
      <c r="V3611" s="33">
        <v>1</v>
      </c>
      <c r="W3611">
        <v>1</v>
      </c>
      <c r="X3611">
        <v>1</v>
      </c>
      <c r="Y3611">
        <v>0</v>
      </c>
      <c r="Z3611" s="33">
        <v>0</v>
      </c>
      <c r="AA3611">
        <v>5</v>
      </c>
      <c r="AB3611">
        <v>100</v>
      </c>
      <c r="AC3611">
        <v>70</v>
      </c>
      <c r="AD3611" s="62">
        <v>0</v>
      </c>
      <c r="AE3611" s="62">
        <v>1</v>
      </c>
      <c r="AF3611" s="62">
        <v>1</v>
      </c>
      <c r="AS3611">
        <v>1</v>
      </c>
    </row>
    <row r="3612" spans="1:45">
      <c r="A3612" s="58">
        <v>960010</v>
      </c>
      <c r="B3612" s="236">
        <v>1001</v>
      </c>
      <c r="C3612">
        <v>6</v>
      </c>
      <c r="D3612" s="236">
        <v>1001</v>
      </c>
      <c r="E3612" t="s">
        <v>8805</v>
      </c>
      <c r="F3612" t="s">
        <v>8805</v>
      </c>
      <c r="G3612" t="s">
        <v>8809</v>
      </c>
      <c r="H3612" t="s">
        <v>6325</v>
      </c>
      <c r="I3612">
        <v>1</v>
      </c>
      <c r="J3612">
        <v>5</v>
      </c>
      <c r="K3612" s="33">
        <v>2</v>
      </c>
      <c r="L3612">
        <v>999</v>
      </c>
      <c r="M3612">
        <v>0</v>
      </c>
      <c r="N3612">
        <v>1035</v>
      </c>
      <c r="O3612" s="561">
        <v>129</v>
      </c>
      <c r="S3612" s="33">
        <v>1</v>
      </c>
      <c r="T3612">
        <v>5</v>
      </c>
      <c r="U3612">
        <v>1</v>
      </c>
      <c r="V3612" s="33">
        <v>1</v>
      </c>
      <c r="W3612">
        <v>1</v>
      </c>
      <c r="X3612">
        <v>1</v>
      </c>
      <c r="Y3612">
        <v>0</v>
      </c>
      <c r="Z3612" s="33">
        <v>0</v>
      </c>
      <c r="AA3612">
        <v>5</v>
      </c>
      <c r="AB3612">
        <v>100</v>
      </c>
      <c r="AC3612">
        <v>70</v>
      </c>
      <c r="AD3612" s="62">
        <v>0</v>
      </c>
      <c r="AE3612" s="62">
        <v>1</v>
      </c>
      <c r="AF3612" s="62">
        <v>1</v>
      </c>
      <c r="AQ3612"/>
      <c r="AS3612">
        <v>1</v>
      </c>
    </row>
    <row r="3613" spans="1:45">
      <c r="A3613">
        <v>690130</v>
      </c>
      <c r="B3613" s="238">
        <v>1001</v>
      </c>
      <c r="C3613" s="238">
        <v>6</v>
      </c>
      <c r="D3613" s="238">
        <v>1001</v>
      </c>
      <c r="E3613" s="238" t="s">
        <v>4198</v>
      </c>
      <c r="F3613" s="238" t="s">
        <v>4198</v>
      </c>
      <c r="G3613" t="s">
        <v>8810</v>
      </c>
      <c r="H3613" s="238" t="s">
        <v>312</v>
      </c>
      <c r="I3613" s="238">
        <v>1</v>
      </c>
      <c r="J3613" s="238">
        <v>4</v>
      </c>
      <c r="K3613" s="254">
        <v>2</v>
      </c>
      <c r="L3613" s="238">
        <v>999</v>
      </c>
      <c r="M3613" s="238">
        <v>0</v>
      </c>
      <c r="N3613" s="238">
        <v>1017</v>
      </c>
      <c r="O3613" s="2">
        <v>242008</v>
      </c>
      <c r="P3613" s="8"/>
      <c r="Q3613" s="8"/>
      <c r="R3613" s="8"/>
      <c r="S3613" s="254">
        <v>1</v>
      </c>
      <c r="T3613" s="238">
        <v>5</v>
      </c>
      <c r="U3613" s="238">
        <v>170</v>
      </c>
      <c r="V3613" s="254">
        <v>1</v>
      </c>
      <c r="W3613" s="238">
        <v>1</v>
      </c>
      <c r="X3613" s="238">
        <v>1</v>
      </c>
      <c r="Y3613" s="238">
        <v>0</v>
      </c>
      <c r="Z3613" s="254">
        <v>0</v>
      </c>
      <c r="AA3613" s="238">
        <v>5</v>
      </c>
      <c r="AB3613" s="238">
        <v>6460</v>
      </c>
      <c r="AC3613" s="238">
        <v>70</v>
      </c>
      <c r="AD3613" s="255">
        <v>0</v>
      </c>
      <c r="AE3613" s="255">
        <v>4</v>
      </c>
      <c r="AF3613" s="255">
        <v>2</v>
      </c>
      <c r="AG3613" s="8"/>
      <c r="AH3613" s="8"/>
      <c r="AI3613" s="8"/>
      <c r="AJ3613" s="8"/>
      <c r="AK3613" s="8"/>
      <c r="AL3613" s="256">
        <v>1</v>
      </c>
      <c r="AM3613" s="8"/>
      <c r="AN3613" s="8"/>
      <c r="AO3613" s="8"/>
      <c r="AP3613" s="8"/>
      <c r="AQ3613" s="238" t="s">
        <v>4200</v>
      </c>
      <c r="AR3613" s="8"/>
      <c r="AS3613">
        <v>1</v>
      </c>
    </row>
    <row r="3614" spans="1:45">
      <c r="A3614" s="3">
        <v>932020</v>
      </c>
      <c r="B3614" s="8">
        <v>1001</v>
      </c>
      <c r="C3614" s="8">
        <v>6</v>
      </c>
      <c r="D3614" s="8">
        <v>1001</v>
      </c>
      <c r="E3614" s="8" t="s">
        <v>8203</v>
      </c>
      <c r="F3614" s="8" t="s">
        <v>8203</v>
      </c>
      <c r="G3614" s="238" t="s">
        <v>8811</v>
      </c>
      <c r="H3614" s="8" t="s">
        <v>1431</v>
      </c>
      <c r="I3614" s="8">
        <v>1</v>
      </c>
      <c r="J3614" s="8">
        <v>5</v>
      </c>
      <c r="K3614" s="8">
        <v>2</v>
      </c>
      <c r="L3614" s="8">
        <v>999</v>
      </c>
      <c r="M3614" s="8">
        <v>0</v>
      </c>
      <c r="N3614" s="8">
        <v>1018</v>
      </c>
      <c r="O3614" s="2" t="s">
        <v>8812</v>
      </c>
      <c r="P3614" s="8"/>
      <c r="Q3614" s="8"/>
      <c r="R3614" s="8"/>
      <c r="S3614" s="8">
        <v>1</v>
      </c>
      <c r="T3614" s="8">
        <v>5</v>
      </c>
      <c r="U3614" s="8">
        <v>200</v>
      </c>
      <c r="V3614" s="8">
        <v>1</v>
      </c>
      <c r="W3614" s="8">
        <v>1</v>
      </c>
      <c r="X3614" s="8">
        <v>1</v>
      </c>
      <c r="Y3614" s="8">
        <v>0</v>
      </c>
      <c r="Z3614" s="8">
        <v>0</v>
      </c>
      <c r="AA3614" s="8">
        <v>5</v>
      </c>
      <c r="AB3614" s="128">
        <v>1000</v>
      </c>
      <c r="AC3614" s="8">
        <v>56</v>
      </c>
      <c r="AD3614" s="8">
        <v>0</v>
      </c>
      <c r="AE3614" s="8">
        <v>5</v>
      </c>
      <c r="AF3614" s="8">
        <v>2</v>
      </c>
      <c r="AG3614" s="8"/>
      <c r="AH3614" s="8"/>
      <c r="AI3614" s="8"/>
      <c r="AJ3614" s="8"/>
      <c r="AK3614" s="8"/>
      <c r="AL3614" s="8"/>
      <c r="AM3614" s="8"/>
      <c r="AN3614" s="8"/>
      <c r="AO3614" s="8"/>
      <c r="AP3614" s="8"/>
      <c r="AQ3614" s="8"/>
      <c r="AR3614" s="8"/>
      <c r="AS3614">
        <v>1</v>
      </c>
    </row>
    <row r="3615" s="3" customFormat="1" spans="1:45">
      <c r="A3615" s="3">
        <v>932021</v>
      </c>
      <c r="B3615" s="236">
        <v>1001</v>
      </c>
      <c r="C3615" s="236">
        <v>6</v>
      </c>
      <c r="D3615" s="236">
        <v>1001</v>
      </c>
      <c r="E3615" s="236" t="s">
        <v>8813</v>
      </c>
      <c r="F3615" s="236" t="s">
        <v>8813</v>
      </c>
      <c r="G3615" s="236" t="s">
        <v>8814</v>
      </c>
      <c r="H3615" s="8" t="s">
        <v>1431</v>
      </c>
      <c r="I3615" s="236">
        <v>1</v>
      </c>
      <c r="J3615" s="236">
        <v>5</v>
      </c>
      <c r="K3615" s="236">
        <v>2</v>
      </c>
      <c r="L3615" s="236">
        <v>999</v>
      </c>
      <c r="M3615" s="236">
        <v>0</v>
      </c>
      <c r="N3615" s="236">
        <v>1018</v>
      </c>
      <c r="O3615" t="s">
        <v>8815</v>
      </c>
      <c r="P3615" s="236"/>
      <c r="Q3615" s="236"/>
      <c r="R3615" s="236"/>
      <c r="S3615" s="236">
        <v>1</v>
      </c>
      <c r="T3615" s="236">
        <v>5</v>
      </c>
      <c r="U3615" s="236">
        <v>200</v>
      </c>
      <c r="V3615" s="236">
        <v>1</v>
      </c>
      <c r="W3615" s="236">
        <v>1</v>
      </c>
      <c r="X3615" s="236">
        <v>1</v>
      </c>
      <c r="Y3615" s="236">
        <v>0</v>
      </c>
      <c r="Z3615" s="236">
        <v>0</v>
      </c>
      <c r="AA3615" s="236">
        <v>5</v>
      </c>
      <c r="AB3615" s="128">
        <v>1000</v>
      </c>
      <c r="AC3615" s="236">
        <v>56</v>
      </c>
      <c r="AD3615" s="456">
        <v>0</v>
      </c>
      <c r="AE3615" s="456">
        <v>5</v>
      </c>
      <c r="AF3615" s="456">
        <v>2</v>
      </c>
      <c r="AG3615" s="456"/>
      <c r="AH3615" s="456"/>
      <c r="AI3615" s="456"/>
      <c r="AJ3615" s="456"/>
      <c r="AK3615" s="456"/>
      <c r="AL3615" s="236"/>
      <c r="AM3615" s="236"/>
      <c r="AN3615" s="236"/>
      <c r="AO3615" s="236"/>
      <c r="AP3615" s="236"/>
      <c r="AQ3615" s="236"/>
      <c r="AR3615" s="236"/>
      <c r="AS3615" s="3">
        <v>1</v>
      </c>
    </row>
    <row r="3616" s="3" customFormat="1" spans="1:45">
      <c r="A3616" s="3">
        <v>932022</v>
      </c>
      <c r="B3616" s="3">
        <v>1001</v>
      </c>
      <c r="C3616" s="3">
        <v>6</v>
      </c>
      <c r="D3616" s="3">
        <v>1001</v>
      </c>
      <c r="E3616" s="3" t="s">
        <v>8816</v>
      </c>
      <c r="F3616" s="3" t="s">
        <v>8816</v>
      </c>
      <c r="G3616" s="3" t="s">
        <v>8817</v>
      </c>
      <c r="H3616" s="236" t="s">
        <v>1431</v>
      </c>
      <c r="I3616" s="3">
        <v>1</v>
      </c>
      <c r="J3616" s="3">
        <v>5</v>
      </c>
      <c r="K3616" s="33">
        <v>2</v>
      </c>
      <c r="L3616" s="3">
        <v>999</v>
      </c>
      <c r="M3616" s="3">
        <v>0</v>
      </c>
      <c r="N3616" s="3">
        <v>1018</v>
      </c>
      <c r="O3616" s="2" t="s">
        <v>8818</v>
      </c>
      <c r="S3616" s="33">
        <v>1</v>
      </c>
      <c r="T3616" s="3">
        <v>5</v>
      </c>
      <c r="U3616" s="3">
        <v>200</v>
      </c>
      <c r="V3616" s="33">
        <v>1</v>
      </c>
      <c r="W3616" s="3">
        <v>1</v>
      </c>
      <c r="X3616" s="3">
        <v>1</v>
      </c>
      <c r="Y3616" s="3">
        <v>0</v>
      </c>
      <c r="Z3616" s="33">
        <v>0</v>
      </c>
      <c r="AA3616" s="3">
        <v>5</v>
      </c>
      <c r="AB3616" s="8">
        <v>1000</v>
      </c>
      <c r="AC3616" s="3">
        <v>56</v>
      </c>
      <c r="AD3616" s="12">
        <v>0</v>
      </c>
      <c r="AE3616" s="12">
        <v>5</v>
      </c>
      <c r="AF3616" s="12">
        <v>2</v>
      </c>
      <c r="AG3616" s="430"/>
      <c r="AH3616" s="430"/>
      <c r="AI3616" s="430"/>
      <c r="AJ3616" s="430"/>
      <c r="AK3616" s="430"/>
      <c r="AL3616" s="214"/>
      <c r="AM3616" s="214"/>
      <c r="AN3616" s="431"/>
      <c r="AO3616" s="214"/>
      <c r="AP3616" s="214"/>
      <c r="AS3616" s="3">
        <v>1</v>
      </c>
    </row>
    <row r="3617" s="61" customFormat="1" spans="1:45">
      <c r="A3617" s="3">
        <v>932023</v>
      </c>
      <c r="B3617" s="61">
        <v>1001</v>
      </c>
      <c r="C3617" s="61">
        <v>6</v>
      </c>
      <c r="D3617" s="61">
        <v>1001</v>
      </c>
      <c r="E3617" s="61" t="s">
        <v>8819</v>
      </c>
      <c r="F3617" s="61" t="s">
        <v>8819</v>
      </c>
      <c r="G3617" s="3" t="s">
        <v>8820</v>
      </c>
      <c r="H3617" s="61" t="s">
        <v>1431</v>
      </c>
      <c r="I3617" s="61">
        <v>1</v>
      </c>
      <c r="J3617" s="61">
        <v>5</v>
      </c>
      <c r="K3617" s="61">
        <v>2</v>
      </c>
      <c r="L3617" s="3">
        <v>999</v>
      </c>
      <c r="M3617" s="61">
        <v>0</v>
      </c>
      <c r="N3617" s="3">
        <v>1018</v>
      </c>
      <c r="O3617" s="571" t="s">
        <v>8821</v>
      </c>
      <c r="S3617" s="61">
        <v>1</v>
      </c>
      <c r="T3617" s="61">
        <v>5</v>
      </c>
      <c r="U3617" s="3">
        <v>200</v>
      </c>
      <c r="V3617" s="33">
        <v>1</v>
      </c>
      <c r="W3617" s="3">
        <v>1</v>
      </c>
      <c r="X3617" s="3">
        <v>1</v>
      </c>
      <c r="Y3617" s="3">
        <v>0</v>
      </c>
      <c r="Z3617" s="33">
        <v>0</v>
      </c>
      <c r="AA3617" s="3">
        <v>5</v>
      </c>
      <c r="AB3617" s="8">
        <v>1000</v>
      </c>
      <c r="AC3617" s="3">
        <v>56</v>
      </c>
      <c r="AD3617" s="12">
        <v>0</v>
      </c>
      <c r="AE3617" s="12">
        <v>5</v>
      </c>
      <c r="AF3617" s="12">
        <v>2</v>
      </c>
      <c r="AG3617" s="430"/>
      <c r="AH3617" s="430"/>
      <c r="AI3617" s="430"/>
      <c r="AJ3617" s="430"/>
      <c r="AK3617" s="430"/>
      <c r="AL3617" s="214"/>
      <c r="AM3617" s="214"/>
      <c r="AN3617" s="431"/>
      <c r="AO3617" s="572"/>
      <c r="AP3617" s="572"/>
      <c r="AS3617" s="61">
        <v>1</v>
      </c>
    </row>
    <row r="3618" s="61" customFormat="1" spans="1:45">
      <c r="A3618" s="3">
        <v>932024</v>
      </c>
      <c r="B3618" s="61">
        <v>1001</v>
      </c>
      <c r="C3618" s="61">
        <v>6</v>
      </c>
      <c r="D3618" s="61">
        <v>1001</v>
      </c>
      <c r="E3618" s="61" t="s">
        <v>8822</v>
      </c>
      <c r="F3618" s="61" t="s">
        <v>8822</v>
      </c>
      <c r="G3618" s="3" t="s">
        <v>8823</v>
      </c>
      <c r="H3618" s="61" t="s">
        <v>1431</v>
      </c>
      <c r="I3618" s="61">
        <v>1</v>
      </c>
      <c r="J3618" s="61">
        <v>5</v>
      </c>
      <c r="K3618" s="61">
        <v>2</v>
      </c>
      <c r="L3618" s="3">
        <v>999</v>
      </c>
      <c r="M3618" s="61">
        <v>0</v>
      </c>
      <c r="N3618" s="3">
        <v>1018</v>
      </c>
      <c r="O3618" s="571" t="s">
        <v>8824</v>
      </c>
      <c r="S3618" s="61">
        <v>1</v>
      </c>
      <c r="T3618" s="61">
        <v>5</v>
      </c>
      <c r="U3618" s="3">
        <v>200</v>
      </c>
      <c r="V3618" s="33">
        <v>1</v>
      </c>
      <c r="W3618" s="3">
        <v>1</v>
      </c>
      <c r="X3618" s="3">
        <v>1</v>
      </c>
      <c r="Y3618" s="3">
        <v>0</v>
      </c>
      <c r="Z3618" s="33">
        <v>0</v>
      </c>
      <c r="AA3618" s="3">
        <v>5</v>
      </c>
      <c r="AB3618" s="236">
        <v>1000</v>
      </c>
      <c r="AC3618" s="3">
        <v>56</v>
      </c>
      <c r="AD3618" s="12">
        <v>0</v>
      </c>
      <c r="AE3618" s="12">
        <v>5</v>
      </c>
      <c r="AF3618" s="12">
        <v>2</v>
      </c>
      <c r="AG3618" s="430"/>
      <c r="AH3618" s="430"/>
      <c r="AI3618" s="430"/>
      <c r="AJ3618" s="430"/>
      <c r="AK3618" s="430"/>
      <c r="AL3618" s="214"/>
      <c r="AM3618" s="214"/>
      <c r="AN3618" s="431"/>
      <c r="AO3618" s="572"/>
      <c r="AP3618" s="572"/>
      <c r="AS3618" s="61">
        <v>1</v>
      </c>
    </row>
    <row r="3619" s="3" customFormat="1" spans="1:45">
      <c r="A3619" s="3">
        <v>932025</v>
      </c>
      <c r="B3619" s="3">
        <v>1001</v>
      </c>
      <c r="C3619" s="3">
        <v>6</v>
      </c>
      <c r="D3619" s="3">
        <v>1001</v>
      </c>
      <c r="E3619" s="3" t="s">
        <v>8825</v>
      </c>
      <c r="F3619" s="3" t="s">
        <v>8825</v>
      </c>
      <c r="G3619" s="151" t="s">
        <v>8826</v>
      </c>
      <c r="H3619" s="3" t="s">
        <v>204</v>
      </c>
      <c r="I3619" s="3">
        <v>1</v>
      </c>
      <c r="J3619" s="3">
        <v>5</v>
      </c>
      <c r="K3619" s="3">
        <v>2</v>
      </c>
      <c r="L3619" s="3">
        <v>999</v>
      </c>
      <c r="M3619" s="3">
        <v>0</v>
      </c>
      <c r="N3619" s="3">
        <v>1</v>
      </c>
      <c r="O3619" s="231" t="s">
        <v>8827</v>
      </c>
      <c r="S3619" s="3">
        <v>1</v>
      </c>
      <c r="T3619" s="3">
        <v>5</v>
      </c>
      <c r="U3619" s="3">
        <v>10</v>
      </c>
      <c r="V3619" s="3">
        <v>1</v>
      </c>
      <c r="W3619" s="3">
        <v>1</v>
      </c>
      <c r="X3619" s="3">
        <v>1</v>
      </c>
      <c r="Y3619" s="3">
        <v>0</v>
      </c>
      <c r="Z3619" s="3">
        <v>0</v>
      </c>
      <c r="AA3619" s="3">
        <v>5</v>
      </c>
      <c r="AB3619" s="3">
        <v>100</v>
      </c>
      <c r="AC3619" s="3">
        <v>56</v>
      </c>
      <c r="AD3619" s="153">
        <v>0</v>
      </c>
      <c r="AE3619" s="153">
        <v>4</v>
      </c>
      <c r="AF3619" s="153">
        <v>2</v>
      </c>
      <c r="AG3619" s="337"/>
      <c r="AH3619" s="337"/>
      <c r="AI3619" s="337"/>
      <c r="AJ3619" s="337"/>
      <c r="AK3619" s="337"/>
      <c r="AL3619" s="234"/>
      <c r="AM3619" s="234"/>
      <c r="AN3619" s="476"/>
      <c r="AO3619" s="234"/>
      <c r="AP3619" s="234"/>
      <c r="AS3619" s="3">
        <v>1</v>
      </c>
    </row>
    <row r="3620" s="3" customFormat="1" spans="1:45">
      <c r="A3620" s="3">
        <v>932026</v>
      </c>
      <c r="B3620" s="3">
        <v>1001</v>
      </c>
      <c r="C3620" s="3">
        <v>6</v>
      </c>
      <c r="D3620" s="3">
        <v>1001</v>
      </c>
      <c r="E3620" s="3" t="s">
        <v>8828</v>
      </c>
      <c r="F3620" s="3" t="s">
        <v>8828</v>
      </c>
      <c r="G3620" s="151" t="s">
        <v>8829</v>
      </c>
      <c r="H3620" s="3" t="s">
        <v>1585</v>
      </c>
      <c r="I3620" s="3">
        <v>1</v>
      </c>
      <c r="J3620" s="3">
        <v>5</v>
      </c>
      <c r="K3620" s="3">
        <v>2</v>
      </c>
      <c r="L3620" s="3">
        <v>999</v>
      </c>
      <c r="M3620" s="3">
        <v>0</v>
      </c>
      <c r="N3620" s="3">
        <v>1</v>
      </c>
      <c r="O3620" s="231" t="s">
        <v>8830</v>
      </c>
      <c r="S3620" s="3">
        <v>1</v>
      </c>
      <c r="T3620" s="3">
        <v>5</v>
      </c>
      <c r="U3620" s="3">
        <v>10</v>
      </c>
      <c r="V3620" s="3">
        <v>1</v>
      </c>
      <c r="W3620" s="3">
        <v>1</v>
      </c>
      <c r="X3620" s="3">
        <v>1</v>
      </c>
      <c r="Y3620" s="3">
        <v>0</v>
      </c>
      <c r="Z3620" s="3">
        <v>0</v>
      </c>
      <c r="AA3620" s="3">
        <v>5</v>
      </c>
      <c r="AB3620" s="339">
        <v>100</v>
      </c>
      <c r="AC3620" s="3">
        <v>56</v>
      </c>
      <c r="AD3620" s="153">
        <v>0</v>
      </c>
      <c r="AE3620" s="153">
        <v>4</v>
      </c>
      <c r="AF3620" s="153">
        <v>2</v>
      </c>
      <c r="AG3620" s="337"/>
      <c r="AH3620" s="337"/>
      <c r="AI3620" s="337"/>
      <c r="AJ3620" s="337"/>
      <c r="AK3620" s="337"/>
      <c r="AL3620" s="234"/>
      <c r="AM3620" s="234"/>
      <c r="AN3620" s="476"/>
      <c r="AO3620" s="234"/>
      <c r="AP3620" s="234"/>
      <c r="AS3620" s="3">
        <v>1</v>
      </c>
    </row>
    <row r="3621" s="3" customFormat="1" spans="1:45">
      <c r="A3621" s="3">
        <v>932027</v>
      </c>
      <c r="B3621" s="3">
        <v>1001</v>
      </c>
      <c r="C3621" s="3">
        <v>6</v>
      </c>
      <c r="D3621" s="3">
        <v>1001</v>
      </c>
      <c r="E3621" s="3" t="s">
        <v>8831</v>
      </c>
      <c r="F3621" s="3" t="s">
        <v>8831</v>
      </c>
      <c r="G3621" s="3" t="s">
        <v>8832</v>
      </c>
      <c r="H3621" s="3" t="s">
        <v>1794</v>
      </c>
      <c r="I3621" s="3">
        <v>1</v>
      </c>
      <c r="J3621" s="3">
        <v>5</v>
      </c>
      <c r="K3621" s="3">
        <v>2</v>
      </c>
      <c r="L3621" s="3">
        <v>999</v>
      </c>
      <c r="M3621" s="3">
        <v>0</v>
      </c>
      <c r="N3621" s="3">
        <v>1018</v>
      </c>
      <c r="O3621" s="231" t="s">
        <v>8833</v>
      </c>
      <c r="S3621" s="3">
        <v>1</v>
      </c>
      <c r="T3621" s="3">
        <v>5</v>
      </c>
      <c r="U3621" s="3">
        <v>200</v>
      </c>
      <c r="V3621" s="3">
        <v>1</v>
      </c>
      <c r="W3621" s="3">
        <v>1</v>
      </c>
      <c r="X3621" s="3">
        <v>1</v>
      </c>
      <c r="Y3621" s="3">
        <v>0</v>
      </c>
      <c r="Z3621" s="3">
        <v>0</v>
      </c>
      <c r="AA3621" s="3">
        <v>5</v>
      </c>
      <c r="AB3621" s="395">
        <v>1000</v>
      </c>
      <c r="AC3621" s="3">
        <v>56</v>
      </c>
      <c r="AD3621" s="153">
        <v>0</v>
      </c>
      <c r="AE3621" s="153">
        <v>5</v>
      </c>
      <c r="AF3621" s="153">
        <v>2</v>
      </c>
      <c r="AG3621" s="337"/>
      <c r="AH3621" s="337"/>
      <c r="AI3621" s="337"/>
      <c r="AJ3621" s="337"/>
      <c r="AK3621" s="337"/>
      <c r="AL3621" s="234"/>
      <c r="AM3621" s="234"/>
      <c r="AN3621" s="476"/>
      <c r="AO3621" s="234"/>
      <c r="AP3621" s="234"/>
      <c r="AS3621" s="3">
        <v>1</v>
      </c>
    </row>
    <row r="3622" s="3" customFormat="1" spans="1:45">
      <c r="A3622" s="3">
        <v>932028</v>
      </c>
      <c r="B3622" s="339">
        <v>1001</v>
      </c>
      <c r="C3622" s="339">
        <v>6</v>
      </c>
      <c r="D3622" s="339">
        <v>1001</v>
      </c>
      <c r="E3622" s="339" t="s">
        <v>8834</v>
      </c>
      <c r="F3622" s="339" t="s">
        <v>8834</v>
      </c>
      <c r="G3622" s="573" t="s">
        <v>8835</v>
      </c>
      <c r="H3622" s="3" t="s">
        <v>1585</v>
      </c>
      <c r="I3622" s="3">
        <v>1</v>
      </c>
      <c r="J3622" s="3">
        <v>5</v>
      </c>
      <c r="K3622" s="3">
        <v>2</v>
      </c>
      <c r="L3622" s="3">
        <v>999</v>
      </c>
      <c r="M3622" s="3">
        <v>0</v>
      </c>
      <c r="N3622" s="3">
        <v>1</v>
      </c>
      <c r="O3622" s="231" t="s">
        <v>8836</v>
      </c>
      <c r="P3622" s="3"/>
      <c r="Q3622" s="3"/>
      <c r="R3622" s="3"/>
      <c r="S3622" s="3">
        <v>1</v>
      </c>
      <c r="T3622" s="3">
        <v>5</v>
      </c>
      <c r="U3622" s="3">
        <v>10</v>
      </c>
      <c r="V3622" s="3">
        <v>1</v>
      </c>
      <c r="W3622" s="3">
        <v>1</v>
      </c>
      <c r="X3622" s="3">
        <v>1</v>
      </c>
      <c r="Y3622" s="3">
        <v>0</v>
      </c>
      <c r="Z3622" s="3">
        <v>0</v>
      </c>
      <c r="AA3622" s="3">
        <v>5</v>
      </c>
      <c r="AB3622" s="3">
        <v>100</v>
      </c>
      <c r="AC3622" s="3">
        <v>56</v>
      </c>
      <c r="AD3622" s="153">
        <v>0</v>
      </c>
      <c r="AE3622" s="153">
        <v>4</v>
      </c>
      <c r="AF3622" s="153">
        <v>2</v>
      </c>
      <c r="AG3622" s="337"/>
      <c r="AH3622" s="337"/>
      <c r="AI3622" s="337"/>
      <c r="AJ3622" s="337"/>
      <c r="AK3622" s="337"/>
      <c r="AL3622" s="234"/>
      <c r="AM3622" s="234"/>
      <c r="AN3622" s="476"/>
      <c r="AO3622" s="234"/>
      <c r="AP3622" s="234"/>
      <c r="AQ3622" s="3"/>
      <c r="AR3622" s="3"/>
      <c r="AS3622" s="3">
        <v>1</v>
      </c>
    </row>
    <row r="3623" spans="1:45">
      <c r="A3623" s="3">
        <v>932029</v>
      </c>
      <c r="B3623" s="395">
        <v>1001</v>
      </c>
      <c r="C3623" s="395">
        <v>6</v>
      </c>
      <c r="D3623" s="395">
        <v>1001</v>
      </c>
      <c r="E3623" s="128" t="s">
        <v>8837</v>
      </c>
      <c r="F3623" s="128" t="s">
        <v>8837</v>
      </c>
      <c r="G3623" s="395" t="s">
        <v>8838</v>
      </c>
      <c r="H3623" s="3" t="s">
        <v>1520</v>
      </c>
      <c r="I3623" s="3">
        <v>1</v>
      </c>
      <c r="J3623" s="3">
        <v>5</v>
      </c>
      <c r="K3623" s="3">
        <v>2</v>
      </c>
      <c r="L3623" s="3">
        <v>999</v>
      </c>
      <c r="M3623" s="3">
        <v>0</v>
      </c>
      <c r="N3623" s="3">
        <v>1017</v>
      </c>
      <c r="O3623">
        <v>300094</v>
      </c>
      <c r="P3623" s="3"/>
      <c r="Q3623" s="3"/>
      <c r="R3623" s="3"/>
      <c r="S3623" s="3">
        <v>1</v>
      </c>
      <c r="T3623" s="3">
        <v>5</v>
      </c>
      <c r="U3623" s="3">
        <v>100</v>
      </c>
      <c r="V3623" s="3"/>
      <c r="W3623" s="3">
        <v>1</v>
      </c>
      <c r="X3623" s="3">
        <v>1</v>
      </c>
      <c r="Y3623" s="3">
        <v>0</v>
      </c>
      <c r="Z3623" s="3">
        <v>0</v>
      </c>
      <c r="AA3623" s="3">
        <v>5</v>
      </c>
      <c r="AB3623" s="339">
        <v>2000</v>
      </c>
      <c r="AC3623" s="3">
        <v>56</v>
      </c>
      <c r="AD3623" s="153">
        <v>0</v>
      </c>
      <c r="AE3623" s="153">
        <v>4</v>
      </c>
      <c r="AF3623" s="153">
        <v>2</v>
      </c>
      <c r="AG3623" s="337"/>
      <c r="AH3623" s="337"/>
      <c r="AI3623" s="337"/>
      <c r="AJ3623" s="337"/>
      <c r="AK3623" s="337"/>
      <c r="AL3623" s="234"/>
      <c r="AM3623" s="234"/>
      <c r="AN3623" s="476"/>
      <c r="AO3623" s="234"/>
      <c r="AP3623" s="234"/>
      <c r="AQ3623" s="3"/>
      <c r="AR3623" s="3"/>
      <c r="AS3623">
        <v>1</v>
      </c>
    </row>
    <row r="3624" s="61" customFormat="1" spans="1:45">
      <c r="A3624" s="3">
        <v>932030</v>
      </c>
      <c r="B3624" s="61">
        <v>1001</v>
      </c>
      <c r="C3624" s="61">
        <v>6</v>
      </c>
      <c r="D3624" s="61">
        <v>1001</v>
      </c>
      <c r="E3624" s="128" t="s">
        <v>8839</v>
      </c>
      <c r="F3624" s="128" t="s">
        <v>8839</v>
      </c>
      <c r="G3624" s="3" t="s">
        <v>8840</v>
      </c>
      <c r="H3624" s="61" t="s">
        <v>1520</v>
      </c>
      <c r="I3624" s="61">
        <v>1</v>
      </c>
      <c r="J3624" s="61">
        <v>5</v>
      </c>
      <c r="K3624" s="61">
        <v>2</v>
      </c>
      <c r="L3624" s="3">
        <v>999</v>
      </c>
      <c r="M3624" s="61">
        <v>0</v>
      </c>
      <c r="N3624" s="3">
        <v>1018</v>
      </c>
      <c r="O3624" s="571" t="s">
        <v>8841</v>
      </c>
      <c r="S3624" s="61">
        <v>1</v>
      </c>
      <c r="T3624" s="61">
        <v>5</v>
      </c>
      <c r="U3624" s="3">
        <v>200</v>
      </c>
      <c r="V3624" s="33">
        <v>1</v>
      </c>
      <c r="W3624" s="3">
        <v>1</v>
      </c>
      <c r="X3624" s="3">
        <v>1</v>
      </c>
      <c r="Y3624" s="3">
        <v>0</v>
      </c>
      <c r="Z3624" s="33">
        <v>0</v>
      </c>
      <c r="AA3624" s="3">
        <v>5</v>
      </c>
      <c r="AB3624" s="8">
        <v>1000</v>
      </c>
      <c r="AC3624" s="3">
        <v>56</v>
      </c>
      <c r="AD3624" s="12">
        <v>0</v>
      </c>
      <c r="AE3624" s="12">
        <v>5</v>
      </c>
      <c r="AF3624" s="12">
        <v>2</v>
      </c>
      <c r="AG3624" s="430"/>
      <c r="AH3624" s="430"/>
      <c r="AI3624" s="430"/>
      <c r="AJ3624" s="430"/>
      <c r="AK3624" s="430"/>
      <c r="AL3624" s="214"/>
      <c r="AM3624" s="214"/>
      <c r="AN3624" s="431"/>
      <c r="AO3624" s="572"/>
      <c r="AP3624" s="572"/>
      <c r="AS3624" s="61">
        <v>1</v>
      </c>
    </row>
    <row r="3625" s="61" customFormat="1" spans="1:45">
      <c r="A3625" s="3">
        <v>932031</v>
      </c>
      <c r="B3625" s="61">
        <v>1001</v>
      </c>
      <c r="C3625" s="61">
        <v>6</v>
      </c>
      <c r="D3625" s="61">
        <v>1001</v>
      </c>
      <c r="E3625" s="128" t="s">
        <v>8842</v>
      </c>
      <c r="F3625" s="128" t="s">
        <v>8842</v>
      </c>
      <c r="G3625" s="3" t="s">
        <v>8843</v>
      </c>
      <c r="H3625" s="3" t="s">
        <v>1794</v>
      </c>
      <c r="I3625" s="61">
        <v>1</v>
      </c>
      <c r="J3625" s="61">
        <v>5</v>
      </c>
      <c r="K3625" s="61">
        <v>2</v>
      </c>
      <c r="L3625" s="3">
        <v>999</v>
      </c>
      <c r="M3625" s="61">
        <v>0</v>
      </c>
      <c r="N3625" s="3">
        <v>1018</v>
      </c>
      <c r="O3625" s="571" t="s">
        <v>8844</v>
      </c>
      <c r="S3625" s="61">
        <v>1</v>
      </c>
      <c r="T3625" s="61">
        <v>5</v>
      </c>
      <c r="U3625" s="3">
        <v>200</v>
      </c>
      <c r="V3625" s="33">
        <v>1</v>
      </c>
      <c r="W3625" s="3">
        <v>1</v>
      </c>
      <c r="X3625" s="3">
        <v>1</v>
      </c>
      <c r="Y3625" s="3">
        <v>0</v>
      </c>
      <c r="Z3625" s="33">
        <v>0</v>
      </c>
      <c r="AA3625" s="3">
        <v>5</v>
      </c>
      <c r="AB3625" s="8">
        <v>1000</v>
      </c>
      <c r="AC3625" s="3">
        <v>56</v>
      </c>
      <c r="AD3625" s="12">
        <v>0</v>
      </c>
      <c r="AE3625" s="12">
        <v>5</v>
      </c>
      <c r="AF3625" s="12">
        <v>2</v>
      </c>
      <c r="AG3625" s="430"/>
      <c r="AH3625" s="430"/>
      <c r="AI3625" s="430"/>
      <c r="AJ3625" s="430"/>
      <c r="AK3625" s="430"/>
      <c r="AL3625" s="214"/>
      <c r="AM3625" s="214"/>
      <c r="AN3625" s="431"/>
      <c r="AO3625" s="572"/>
      <c r="AP3625" s="572"/>
      <c r="AS3625" s="61">
        <v>1</v>
      </c>
    </row>
    <row r="3626" s="61" customFormat="1" spans="1:45">
      <c r="A3626" s="3">
        <v>932032</v>
      </c>
      <c r="B3626" s="61">
        <v>1001</v>
      </c>
      <c r="C3626" s="61">
        <v>6</v>
      </c>
      <c r="D3626" s="61">
        <v>1001</v>
      </c>
      <c r="E3626" s="395" t="s">
        <v>5546</v>
      </c>
      <c r="F3626" s="395" t="s">
        <v>5546</v>
      </c>
      <c r="G3626" s="3" t="s">
        <v>8845</v>
      </c>
      <c r="H3626" s="61" t="s">
        <v>1531</v>
      </c>
      <c r="I3626" s="61">
        <v>1</v>
      </c>
      <c r="J3626" s="61">
        <v>5</v>
      </c>
      <c r="K3626" s="61">
        <v>2</v>
      </c>
      <c r="L3626" s="3">
        <v>999</v>
      </c>
      <c r="M3626" s="61">
        <v>0</v>
      </c>
      <c r="N3626" s="3">
        <v>1018</v>
      </c>
      <c r="O3626" s="571" t="s">
        <v>8846</v>
      </c>
      <c r="S3626" s="61">
        <v>1</v>
      </c>
      <c r="T3626" s="61">
        <v>5</v>
      </c>
      <c r="U3626" s="3">
        <v>200</v>
      </c>
      <c r="V3626" s="33">
        <v>1</v>
      </c>
      <c r="W3626" s="3">
        <v>1</v>
      </c>
      <c r="X3626" s="3">
        <v>1</v>
      </c>
      <c r="Y3626" s="3">
        <v>0</v>
      </c>
      <c r="Z3626" s="33">
        <v>0</v>
      </c>
      <c r="AA3626" s="3">
        <v>5</v>
      </c>
      <c r="AB3626" s="236">
        <v>1000</v>
      </c>
      <c r="AC3626" s="3">
        <v>56</v>
      </c>
      <c r="AD3626" s="12">
        <v>0</v>
      </c>
      <c r="AE3626" s="12">
        <v>5</v>
      </c>
      <c r="AF3626" s="12">
        <v>2</v>
      </c>
      <c r="AG3626" s="430"/>
      <c r="AH3626" s="430"/>
      <c r="AI3626" s="430"/>
      <c r="AJ3626" s="430"/>
      <c r="AK3626" s="430"/>
      <c r="AL3626" s="214"/>
      <c r="AM3626" s="214"/>
      <c r="AN3626" s="431"/>
      <c r="AO3626" s="572"/>
      <c r="AP3626" s="572"/>
      <c r="AS3626" s="61">
        <v>1</v>
      </c>
    </row>
    <row r="3627" s="3" customFormat="1" ht="27" customHeight="1" spans="1:45">
      <c r="A3627" s="3">
        <v>932033</v>
      </c>
      <c r="B3627" s="3">
        <v>1001</v>
      </c>
      <c r="C3627" s="3">
        <v>6</v>
      </c>
      <c r="D3627" s="3">
        <v>1001</v>
      </c>
      <c r="E3627" s="339" t="s">
        <v>8847</v>
      </c>
      <c r="F3627" s="339" t="s">
        <v>8847</v>
      </c>
      <c r="G3627" s="151" t="s">
        <v>8848</v>
      </c>
      <c r="H3627" s="3" t="s">
        <v>204</v>
      </c>
      <c r="I3627" s="3">
        <v>1</v>
      </c>
      <c r="J3627" s="3">
        <v>5</v>
      </c>
      <c r="K3627" s="3">
        <v>2</v>
      </c>
      <c r="L3627" s="3">
        <v>999</v>
      </c>
      <c r="M3627" s="3">
        <v>0</v>
      </c>
      <c r="N3627" s="3">
        <v>1</v>
      </c>
      <c r="O3627" s="231" t="s">
        <v>8849</v>
      </c>
      <c r="S3627" s="3">
        <v>1</v>
      </c>
      <c r="T3627" s="3">
        <v>5</v>
      </c>
      <c r="U3627" s="3">
        <v>10</v>
      </c>
      <c r="V3627" s="3">
        <v>1</v>
      </c>
      <c r="W3627" s="3">
        <v>1</v>
      </c>
      <c r="X3627" s="3">
        <v>1</v>
      </c>
      <c r="Y3627" s="3">
        <v>0</v>
      </c>
      <c r="Z3627" s="3">
        <v>0</v>
      </c>
      <c r="AA3627" s="3">
        <v>5</v>
      </c>
      <c r="AB3627" s="339">
        <v>100</v>
      </c>
      <c r="AC3627" s="3">
        <v>56</v>
      </c>
      <c r="AD3627" s="153">
        <v>0</v>
      </c>
      <c r="AE3627" s="153">
        <v>4</v>
      </c>
      <c r="AF3627" s="153">
        <v>2</v>
      </c>
      <c r="AG3627" s="337"/>
      <c r="AH3627" s="337"/>
      <c r="AI3627" s="337"/>
      <c r="AJ3627" s="337"/>
      <c r="AK3627" s="337"/>
      <c r="AL3627" s="234"/>
      <c r="AM3627" s="234"/>
      <c r="AN3627" s="476"/>
      <c r="AO3627" s="234"/>
      <c r="AP3627" s="234"/>
      <c r="AS3627" s="3">
        <v>1</v>
      </c>
    </row>
    <row r="3628" s="61" customFormat="1" spans="1:45">
      <c r="A3628" s="3">
        <v>932034</v>
      </c>
      <c r="B3628" s="61">
        <v>1001</v>
      </c>
      <c r="C3628" s="61">
        <v>6</v>
      </c>
      <c r="D3628" s="61">
        <v>1001</v>
      </c>
      <c r="E3628" s="128" t="s">
        <v>8850</v>
      </c>
      <c r="F3628" s="128" t="s">
        <v>8850</v>
      </c>
      <c r="G3628" s="3" t="s">
        <v>8851</v>
      </c>
      <c r="H3628" s="3" t="s">
        <v>1794</v>
      </c>
      <c r="I3628" s="61">
        <v>1</v>
      </c>
      <c r="J3628" s="61">
        <v>5</v>
      </c>
      <c r="K3628" s="61">
        <v>2</v>
      </c>
      <c r="L3628" s="3">
        <v>999</v>
      </c>
      <c r="M3628" s="61">
        <v>0</v>
      </c>
      <c r="N3628" s="3">
        <v>1018</v>
      </c>
      <c r="O3628" s="571" t="s">
        <v>8852</v>
      </c>
      <c r="S3628" s="61">
        <v>1</v>
      </c>
      <c r="T3628" s="61">
        <v>5</v>
      </c>
      <c r="U3628" s="3">
        <v>200</v>
      </c>
      <c r="V3628" s="33">
        <v>1</v>
      </c>
      <c r="W3628" s="3">
        <v>1</v>
      </c>
      <c r="X3628" s="3">
        <v>1</v>
      </c>
      <c r="Y3628" s="3">
        <v>0</v>
      </c>
      <c r="Z3628" s="33">
        <v>0</v>
      </c>
      <c r="AA3628" s="3">
        <v>5</v>
      </c>
      <c r="AB3628" s="8">
        <v>1000</v>
      </c>
      <c r="AC3628" s="3">
        <v>56</v>
      </c>
      <c r="AD3628" s="12">
        <v>0</v>
      </c>
      <c r="AE3628" s="12">
        <v>5</v>
      </c>
      <c r="AF3628" s="12">
        <v>2</v>
      </c>
      <c r="AG3628" s="430"/>
      <c r="AH3628" s="430"/>
      <c r="AI3628" s="430"/>
      <c r="AJ3628" s="430"/>
      <c r="AK3628" s="430"/>
      <c r="AL3628" s="214"/>
      <c r="AM3628" s="214"/>
      <c r="AN3628" s="431"/>
      <c r="AO3628" s="572"/>
      <c r="AP3628" s="572"/>
      <c r="AS3628" s="61">
        <v>1</v>
      </c>
    </row>
    <row r="3629" s="61" customFormat="1" spans="1:45">
      <c r="A3629" s="3">
        <v>932035</v>
      </c>
      <c r="B3629" s="61">
        <v>1001</v>
      </c>
      <c r="C3629" s="61">
        <v>6</v>
      </c>
      <c r="D3629" s="61">
        <v>1001</v>
      </c>
      <c r="E3629" s="395" t="s">
        <v>7822</v>
      </c>
      <c r="F3629" s="395" t="s">
        <v>7822</v>
      </c>
      <c r="G3629" s="3" t="s">
        <v>8853</v>
      </c>
      <c r="H3629" s="61" t="s">
        <v>1763</v>
      </c>
      <c r="I3629" s="61">
        <v>1</v>
      </c>
      <c r="J3629" s="61">
        <v>5</v>
      </c>
      <c r="K3629" s="61">
        <v>2</v>
      </c>
      <c r="L3629" s="3">
        <v>999</v>
      </c>
      <c r="M3629" s="61">
        <v>0</v>
      </c>
      <c r="N3629" s="3">
        <v>1018</v>
      </c>
      <c r="O3629" s="571" t="s">
        <v>8854</v>
      </c>
      <c r="P3629" s="3"/>
      <c r="Q3629" s="3"/>
      <c r="R3629" s="3"/>
      <c r="S3629" s="61">
        <v>1</v>
      </c>
      <c r="T3629" s="61">
        <v>5</v>
      </c>
      <c r="U3629" s="3">
        <v>200</v>
      </c>
      <c r="V3629" s="33">
        <v>1</v>
      </c>
      <c r="W3629" s="3">
        <v>1</v>
      </c>
      <c r="X3629" s="3">
        <v>1</v>
      </c>
      <c r="Y3629" s="3">
        <v>0</v>
      </c>
      <c r="Z3629" s="33">
        <v>0</v>
      </c>
      <c r="AA3629" s="3">
        <v>5</v>
      </c>
      <c r="AB3629" s="236">
        <v>1000</v>
      </c>
      <c r="AC3629" s="3">
        <v>56</v>
      </c>
      <c r="AD3629" s="12">
        <v>0</v>
      </c>
      <c r="AE3629" s="12">
        <v>5</v>
      </c>
      <c r="AF3629" s="12">
        <v>2</v>
      </c>
      <c r="AG3629" s="430"/>
      <c r="AH3629" s="430"/>
      <c r="AI3629" s="430"/>
      <c r="AJ3629" s="430"/>
      <c r="AK3629" s="430"/>
      <c r="AL3629" s="214"/>
      <c r="AM3629" s="214"/>
      <c r="AN3629" s="431"/>
      <c r="AO3629" s="572"/>
      <c r="AP3629" s="572"/>
      <c r="AQ3629" s="3"/>
      <c r="AR3629" s="3"/>
      <c r="AS3629" s="61">
        <v>1</v>
      </c>
    </row>
    <row r="3630" spans="1:45">
      <c r="A3630" s="3">
        <v>932036</v>
      </c>
      <c r="B3630" s="3">
        <v>1001</v>
      </c>
      <c r="C3630" s="3">
        <v>1</v>
      </c>
      <c r="D3630" s="3">
        <v>1001</v>
      </c>
      <c r="E3630" s="36" t="s">
        <v>8855</v>
      </c>
      <c r="F3630" s="3" t="s">
        <v>7085</v>
      </c>
      <c r="G3630" s="3" t="s">
        <v>7086</v>
      </c>
      <c r="H3630" s="3" t="s">
        <v>5474</v>
      </c>
      <c r="I3630" s="3">
        <v>1</v>
      </c>
      <c r="J3630" s="3">
        <v>2</v>
      </c>
      <c r="K3630" s="33">
        <v>1</v>
      </c>
      <c r="L3630" s="3">
        <v>999</v>
      </c>
      <c r="M3630" s="3">
        <v>0</v>
      </c>
      <c r="N3630" s="3"/>
      <c r="P3630" s="3"/>
      <c r="Q3630" s="3"/>
      <c r="R3630" s="3"/>
      <c r="S3630" s="33">
        <v>1</v>
      </c>
      <c r="T3630" s="3">
        <v>5</v>
      </c>
      <c r="U3630" s="3">
        <v>50</v>
      </c>
      <c r="V3630" s="33">
        <v>1</v>
      </c>
      <c r="W3630" s="3">
        <v>1</v>
      </c>
      <c r="X3630" s="3">
        <v>1</v>
      </c>
      <c r="Y3630" s="3">
        <v>0</v>
      </c>
      <c r="Z3630" s="33">
        <v>0</v>
      </c>
      <c r="AA3630" s="3">
        <v>5</v>
      </c>
      <c r="AB3630" s="3">
        <v>500</v>
      </c>
      <c r="AC3630" s="3">
        <v>56</v>
      </c>
      <c r="AD3630" s="445"/>
      <c r="AE3630" s="445"/>
      <c r="AF3630" s="445"/>
      <c r="AG3630" s="64"/>
      <c r="AH3630" s="64"/>
      <c r="AI3630" s="64"/>
      <c r="AJ3630" s="64"/>
      <c r="AK3630" s="64"/>
      <c r="AL3630" s="64">
        <v>1</v>
      </c>
      <c r="AQ3630" s="3"/>
      <c r="AR3630" s="3"/>
      <c r="AS3630">
        <v>1</v>
      </c>
    </row>
    <row r="3631" spans="1:45">
      <c r="A3631" s="3">
        <v>932037</v>
      </c>
      <c r="B3631" s="3">
        <v>1001</v>
      </c>
      <c r="C3631" s="3">
        <v>1</v>
      </c>
      <c r="D3631" s="3">
        <v>1001</v>
      </c>
      <c r="E3631" s="36" t="s">
        <v>8856</v>
      </c>
      <c r="F3631" s="3" t="s">
        <v>7088</v>
      </c>
      <c r="G3631" s="3" t="s">
        <v>7089</v>
      </c>
      <c r="H3631" s="3" t="s">
        <v>5477</v>
      </c>
      <c r="I3631" s="3">
        <v>1</v>
      </c>
      <c r="J3631" s="3">
        <v>3</v>
      </c>
      <c r="K3631" s="33">
        <v>1</v>
      </c>
      <c r="L3631" s="3">
        <v>999</v>
      </c>
      <c r="M3631" s="3">
        <v>0</v>
      </c>
      <c r="N3631" s="3"/>
      <c r="P3631" s="3"/>
      <c r="Q3631" s="3"/>
      <c r="R3631" s="3"/>
      <c r="S3631" s="33">
        <v>1</v>
      </c>
      <c r="T3631" s="3">
        <v>5</v>
      </c>
      <c r="U3631" s="3">
        <v>100</v>
      </c>
      <c r="V3631" s="33">
        <v>1</v>
      </c>
      <c r="W3631" s="3">
        <v>1</v>
      </c>
      <c r="X3631" s="3">
        <v>1</v>
      </c>
      <c r="Y3631" s="3">
        <v>0</v>
      </c>
      <c r="Z3631" s="33">
        <v>0</v>
      </c>
      <c r="AA3631" s="3">
        <v>5</v>
      </c>
      <c r="AB3631" s="3">
        <v>1000</v>
      </c>
      <c r="AC3631" s="3">
        <v>56</v>
      </c>
      <c r="AD3631" s="445"/>
      <c r="AE3631" s="445"/>
      <c r="AF3631" s="445"/>
      <c r="AG3631" s="64"/>
      <c r="AH3631" s="64"/>
      <c r="AI3631" s="64"/>
      <c r="AJ3631" s="64"/>
      <c r="AK3631" s="64"/>
      <c r="AL3631" s="64">
        <v>1</v>
      </c>
      <c r="AQ3631" s="3"/>
      <c r="AR3631" s="3"/>
      <c r="AS3631">
        <v>1</v>
      </c>
    </row>
    <row r="3632" spans="1:45">
      <c r="A3632" s="3">
        <v>932038</v>
      </c>
      <c r="B3632" s="3">
        <v>1001</v>
      </c>
      <c r="C3632" s="3">
        <v>6</v>
      </c>
      <c r="D3632" s="3">
        <v>1001</v>
      </c>
      <c r="E3632" s="3" t="s">
        <v>8857</v>
      </c>
      <c r="F3632" s="3" t="s">
        <v>7091</v>
      </c>
      <c r="G3632" s="3" t="s">
        <v>7092</v>
      </c>
      <c r="H3632" s="3" t="s">
        <v>7093</v>
      </c>
      <c r="I3632" s="3">
        <v>1</v>
      </c>
      <c r="J3632" s="3">
        <v>4</v>
      </c>
      <c r="K3632" s="33">
        <v>2</v>
      </c>
      <c r="L3632" s="3">
        <v>999</v>
      </c>
      <c r="M3632" s="3">
        <v>0</v>
      </c>
      <c r="N3632" s="3">
        <v>1017</v>
      </c>
      <c r="O3632" s="2">
        <v>100250</v>
      </c>
      <c r="P3632" s="3"/>
      <c r="Q3632" s="3"/>
      <c r="R3632" s="3"/>
      <c r="S3632" s="33">
        <v>1</v>
      </c>
      <c r="T3632" s="3">
        <v>5</v>
      </c>
      <c r="U3632" s="3">
        <v>200</v>
      </c>
      <c r="V3632" s="33">
        <v>1</v>
      </c>
      <c r="W3632" s="3">
        <v>1</v>
      </c>
      <c r="X3632" s="3">
        <v>1</v>
      </c>
      <c r="Y3632" s="3">
        <v>0</v>
      </c>
      <c r="Z3632" s="33">
        <v>0</v>
      </c>
      <c r="AA3632" s="3">
        <v>5</v>
      </c>
      <c r="AB3632" s="3">
        <v>2000</v>
      </c>
      <c r="AC3632" s="3">
        <v>56</v>
      </c>
      <c r="AD3632" s="445">
        <v>0</v>
      </c>
      <c r="AE3632" s="445">
        <v>4</v>
      </c>
      <c r="AF3632" s="445">
        <v>2</v>
      </c>
      <c r="AG3632" s="64"/>
      <c r="AH3632" s="64"/>
      <c r="AI3632" s="64"/>
      <c r="AJ3632" s="64"/>
      <c r="AK3632" s="64"/>
      <c r="AL3632" s="64">
        <v>1</v>
      </c>
      <c r="AQ3632" s="3"/>
      <c r="AR3632" s="3"/>
      <c r="AS3632">
        <v>1</v>
      </c>
    </row>
    <row r="3633" ht="15" customHeight="1" spans="1:45">
      <c r="A3633" s="3">
        <v>932039</v>
      </c>
      <c r="B3633" s="3">
        <v>1001</v>
      </c>
      <c r="C3633" s="3">
        <v>1</v>
      </c>
      <c r="D3633" s="3">
        <v>1001</v>
      </c>
      <c r="E3633" s="36" t="s">
        <v>8858</v>
      </c>
      <c r="F3633" s="36" t="s">
        <v>8858</v>
      </c>
      <c r="G3633" s="3" t="s">
        <v>8859</v>
      </c>
      <c r="H3633" s="3" t="s">
        <v>8860</v>
      </c>
      <c r="I3633" s="3">
        <v>1</v>
      </c>
      <c r="J3633" s="3">
        <v>2</v>
      </c>
      <c r="K3633" s="33">
        <v>1</v>
      </c>
      <c r="L3633" s="3">
        <v>999</v>
      </c>
      <c r="M3633" s="3">
        <v>0</v>
      </c>
      <c r="N3633" s="3"/>
      <c r="O3633" s="571"/>
      <c r="P3633" s="3"/>
      <c r="Q3633" s="3"/>
      <c r="R3633" s="3"/>
      <c r="S3633" s="33">
        <v>1</v>
      </c>
      <c r="T3633" s="3">
        <v>5</v>
      </c>
      <c r="U3633" s="3">
        <v>50</v>
      </c>
      <c r="V3633" s="33">
        <v>1</v>
      </c>
      <c r="W3633" s="3">
        <v>1</v>
      </c>
      <c r="X3633" s="3">
        <v>1</v>
      </c>
      <c r="Y3633" s="3">
        <v>0</v>
      </c>
      <c r="Z3633" s="33">
        <v>0</v>
      </c>
      <c r="AA3633" s="3">
        <v>5</v>
      </c>
      <c r="AB3633" s="339">
        <v>500</v>
      </c>
      <c r="AC3633" s="3">
        <v>56</v>
      </c>
      <c r="AD3633" s="12"/>
      <c r="AE3633" s="12"/>
      <c r="AF3633" s="12"/>
      <c r="AG3633" s="430"/>
      <c r="AH3633" s="430"/>
      <c r="AI3633" s="430"/>
      <c r="AJ3633" s="430"/>
      <c r="AK3633" s="430"/>
      <c r="AL3633" s="64">
        <v>1</v>
      </c>
      <c r="AM3633" s="214"/>
      <c r="AN3633" s="431"/>
      <c r="AO3633" s="572"/>
      <c r="AP3633" s="572"/>
      <c r="AQ3633" s="3"/>
      <c r="AR3633" s="3"/>
      <c r="AS3633">
        <v>1</v>
      </c>
    </row>
    <row r="3634" s="61" customFormat="1" ht="16.5" customHeight="1" spans="1:45">
      <c r="A3634" s="3">
        <v>932040</v>
      </c>
      <c r="B3634" s="61">
        <v>1001</v>
      </c>
      <c r="C3634" s="61">
        <v>6</v>
      </c>
      <c r="D3634" s="61">
        <v>1001</v>
      </c>
      <c r="E3634" s="574" t="s">
        <v>8861</v>
      </c>
      <c r="F3634" s="574" t="s">
        <v>8861</v>
      </c>
      <c r="G3634" s="3" t="s">
        <v>8862</v>
      </c>
      <c r="H3634" s="61" t="s">
        <v>1531</v>
      </c>
      <c r="I3634" s="61">
        <v>1</v>
      </c>
      <c r="J3634" s="61">
        <v>5</v>
      </c>
      <c r="K3634" s="61">
        <v>2</v>
      </c>
      <c r="L3634" s="3">
        <v>999</v>
      </c>
      <c r="M3634" s="61">
        <v>0</v>
      </c>
      <c r="N3634" s="3">
        <v>1018</v>
      </c>
      <c r="O3634" s="571" t="s">
        <v>8863</v>
      </c>
      <c r="S3634" s="61">
        <v>1</v>
      </c>
      <c r="T3634" s="61">
        <v>5</v>
      </c>
      <c r="U3634" s="3">
        <v>200</v>
      </c>
      <c r="V3634" s="33">
        <v>1</v>
      </c>
      <c r="W3634" s="3">
        <v>1</v>
      </c>
      <c r="X3634" s="3">
        <v>1</v>
      </c>
      <c r="Y3634" s="3">
        <v>0</v>
      </c>
      <c r="Z3634" s="33">
        <v>0</v>
      </c>
      <c r="AA3634" s="3">
        <v>5</v>
      </c>
      <c r="AB3634" s="8">
        <v>1000</v>
      </c>
      <c r="AC3634" s="3">
        <v>56</v>
      </c>
      <c r="AD3634" s="12">
        <v>0</v>
      </c>
      <c r="AE3634" s="12">
        <v>5</v>
      </c>
      <c r="AF3634" s="12">
        <v>2</v>
      </c>
      <c r="AG3634" s="430"/>
      <c r="AH3634" s="430"/>
      <c r="AI3634" s="430"/>
      <c r="AJ3634" s="430"/>
      <c r="AK3634" s="430"/>
      <c r="AL3634" s="214"/>
      <c r="AM3634" s="214"/>
      <c r="AN3634" s="431"/>
      <c r="AO3634" s="572"/>
      <c r="AP3634" s="572"/>
      <c r="AS3634" s="61">
        <v>1</v>
      </c>
    </row>
    <row r="3635" s="61" customFormat="1" spans="1:45">
      <c r="A3635" s="3">
        <v>932041</v>
      </c>
      <c r="B3635" s="61">
        <v>1001</v>
      </c>
      <c r="C3635" s="61">
        <v>6</v>
      </c>
      <c r="D3635" s="61">
        <v>1001</v>
      </c>
      <c r="E3635" s="128" t="s">
        <v>8864</v>
      </c>
      <c r="F3635" s="128" t="s">
        <v>8864</v>
      </c>
      <c r="G3635" s="3" t="s">
        <v>8865</v>
      </c>
      <c r="H3635" s="61" t="s">
        <v>1664</v>
      </c>
      <c r="I3635" s="61">
        <v>1</v>
      </c>
      <c r="J3635" s="61">
        <v>5</v>
      </c>
      <c r="K3635" s="61">
        <v>2</v>
      </c>
      <c r="L3635" s="3">
        <v>999</v>
      </c>
      <c r="M3635" s="61">
        <v>0</v>
      </c>
      <c r="N3635" s="3">
        <v>1018</v>
      </c>
      <c r="O3635" s="571" t="s">
        <v>8866</v>
      </c>
      <c r="S3635" s="61">
        <v>1</v>
      </c>
      <c r="T3635" s="61">
        <v>5</v>
      </c>
      <c r="U3635" s="3">
        <v>200</v>
      </c>
      <c r="V3635" s="33">
        <v>1</v>
      </c>
      <c r="W3635" s="3">
        <v>1</v>
      </c>
      <c r="X3635" s="3">
        <v>1</v>
      </c>
      <c r="Y3635" s="3">
        <v>0</v>
      </c>
      <c r="Z3635" s="33">
        <v>0</v>
      </c>
      <c r="AA3635" s="3">
        <v>5</v>
      </c>
      <c r="AB3635" s="8">
        <v>1000</v>
      </c>
      <c r="AC3635" s="3">
        <v>56</v>
      </c>
      <c r="AD3635" s="12">
        <v>0</v>
      </c>
      <c r="AE3635" s="12">
        <v>5</v>
      </c>
      <c r="AF3635" s="12">
        <v>2</v>
      </c>
      <c r="AG3635" s="430"/>
      <c r="AH3635" s="430"/>
      <c r="AI3635" s="430"/>
      <c r="AJ3635" s="430"/>
      <c r="AK3635" s="430"/>
      <c r="AL3635" s="214"/>
      <c r="AM3635" s="214"/>
      <c r="AN3635" s="431"/>
      <c r="AO3635" s="572"/>
      <c r="AP3635" s="572"/>
      <c r="AS3635" s="61">
        <v>1</v>
      </c>
    </row>
    <row r="3636" s="61" customFormat="1" spans="1:45">
      <c r="A3636" s="3">
        <v>932042</v>
      </c>
      <c r="B3636" s="61">
        <v>1001</v>
      </c>
      <c r="C3636" s="61">
        <v>6</v>
      </c>
      <c r="D3636" s="61">
        <v>1001</v>
      </c>
      <c r="E3636" s="128" t="s">
        <v>8867</v>
      </c>
      <c r="F3636" s="128" t="s">
        <v>8867</v>
      </c>
      <c r="G3636" s="3" t="s">
        <v>8868</v>
      </c>
      <c r="H3636" s="61" t="s">
        <v>1531</v>
      </c>
      <c r="I3636" s="61">
        <v>1</v>
      </c>
      <c r="J3636" s="61">
        <v>5</v>
      </c>
      <c r="K3636" s="61">
        <v>2</v>
      </c>
      <c r="L3636" s="3">
        <v>999</v>
      </c>
      <c r="M3636" s="61">
        <v>0</v>
      </c>
      <c r="N3636" s="3">
        <v>1018</v>
      </c>
      <c r="O3636" s="571" t="s">
        <v>8869</v>
      </c>
      <c r="S3636" s="61">
        <v>1</v>
      </c>
      <c r="T3636" s="61">
        <v>5</v>
      </c>
      <c r="U3636" s="3">
        <v>200</v>
      </c>
      <c r="V3636" s="33">
        <v>1</v>
      </c>
      <c r="W3636" s="3">
        <v>1</v>
      </c>
      <c r="X3636" s="3">
        <v>1</v>
      </c>
      <c r="Y3636" s="3">
        <v>0</v>
      </c>
      <c r="Z3636" s="33">
        <v>0</v>
      </c>
      <c r="AA3636" s="3">
        <v>5</v>
      </c>
      <c r="AB3636" s="8">
        <v>1000</v>
      </c>
      <c r="AC3636" s="3">
        <v>56</v>
      </c>
      <c r="AD3636" s="12">
        <v>0</v>
      </c>
      <c r="AE3636" s="12">
        <v>5</v>
      </c>
      <c r="AF3636" s="12">
        <v>2</v>
      </c>
      <c r="AG3636" s="430"/>
      <c r="AH3636" s="430"/>
      <c r="AI3636" s="430"/>
      <c r="AJ3636" s="430"/>
      <c r="AK3636" s="430"/>
      <c r="AL3636" s="214"/>
      <c r="AM3636" s="214"/>
      <c r="AN3636" s="431"/>
      <c r="AO3636" s="572"/>
      <c r="AP3636" s="572"/>
      <c r="AS3636" s="61">
        <v>1</v>
      </c>
    </row>
    <row r="3637" s="61" customFormat="1" spans="1:45">
      <c r="A3637" s="3">
        <v>932043</v>
      </c>
      <c r="B3637" s="61">
        <v>1001</v>
      </c>
      <c r="C3637" s="61">
        <v>6</v>
      </c>
      <c r="D3637" s="61">
        <v>1001</v>
      </c>
      <c r="E3637" s="395" t="s">
        <v>8870</v>
      </c>
      <c r="F3637" s="395" t="s">
        <v>8870</v>
      </c>
      <c r="G3637" s="3" t="s">
        <v>8871</v>
      </c>
      <c r="H3637" s="61" t="s">
        <v>1931</v>
      </c>
      <c r="I3637" s="61">
        <v>1</v>
      </c>
      <c r="J3637" s="61">
        <v>5</v>
      </c>
      <c r="K3637" s="61">
        <v>2</v>
      </c>
      <c r="L3637" s="3">
        <v>999</v>
      </c>
      <c r="M3637" s="61">
        <v>0</v>
      </c>
      <c r="N3637" s="3">
        <v>1018</v>
      </c>
      <c r="O3637" s="571" t="s">
        <v>8872</v>
      </c>
      <c r="S3637" s="61">
        <v>1</v>
      </c>
      <c r="T3637" s="61">
        <v>5</v>
      </c>
      <c r="U3637" s="3">
        <v>200</v>
      </c>
      <c r="V3637" s="33">
        <v>1</v>
      </c>
      <c r="W3637" s="3">
        <v>1</v>
      </c>
      <c r="X3637" s="3">
        <v>1</v>
      </c>
      <c r="Y3637" s="3">
        <v>0</v>
      </c>
      <c r="Z3637" s="33">
        <v>0</v>
      </c>
      <c r="AA3637" s="3">
        <v>5</v>
      </c>
      <c r="AB3637" s="236">
        <v>1000</v>
      </c>
      <c r="AC3637" s="3">
        <v>56</v>
      </c>
      <c r="AD3637" s="12">
        <v>0</v>
      </c>
      <c r="AE3637" s="12">
        <v>5</v>
      </c>
      <c r="AF3637" s="12">
        <v>2</v>
      </c>
      <c r="AG3637" s="430"/>
      <c r="AH3637" s="430"/>
      <c r="AI3637" s="430"/>
      <c r="AJ3637" s="430"/>
      <c r="AK3637" s="430"/>
      <c r="AL3637" s="214"/>
      <c r="AM3637" s="214"/>
      <c r="AN3637" s="431"/>
      <c r="AO3637" s="572"/>
      <c r="AP3637" s="572"/>
      <c r="AS3637" s="61">
        <v>1</v>
      </c>
    </row>
    <row r="3638" s="3" customFormat="1" spans="1:45">
      <c r="A3638" s="3">
        <v>932044</v>
      </c>
      <c r="B3638" s="3">
        <v>1001</v>
      </c>
      <c r="C3638" s="3">
        <v>6</v>
      </c>
      <c r="D3638" s="3">
        <v>1001</v>
      </c>
      <c r="E3638" s="3" t="s">
        <v>8873</v>
      </c>
      <c r="F3638" s="3" t="s">
        <v>8873</v>
      </c>
      <c r="G3638" s="151" t="s">
        <v>8874</v>
      </c>
      <c r="H3638" s="3" t="s">
        <v>1585</v>
      </c>
      <c r="I3638" s="3">
        <v>1</v>
      </c>
      <c r="J3638" s="3">
        <v>5</v>
      </c>
      <c r="K3638" s="3">
        <v>2</v>
      </c>
      <c r="L3638" s="3">
        <v>999</v>
      </c>
      <c r="M3638" s="3">
        <v>0</v>
      </c>
      <c r="N3638" s="3">
        <v>1</v>
      </c>
      <c r="O3638" s="231" t="s">
        <v>8875</v>
      </c>
      <c r="S3638" s="3">
        <v>1</v>
      </c>
      <c r="T3638" s="3">
        <v>5</v>
      </c>
      <c r="U3638" s="3">
        <v>10</v>
      </c>
      <c r="V3638" s="3">
        <v>1</v>
      </c>
      <c r="W3638" s="3">
        <v>1</v>
      </c>
      <c r="X3638" s="3">
        <v>1</v>
      </c>
      <c r="Y3638" s="3">
        <v>0</v>
      </c>
      <c r="Z3638" s="3">
        <v>0</v>
      </c>
      <c r="AA3638" s="3">
        <v>5</v>
      </c>
      <c r="AB3638" s="3">
        <v>100</v>
      </c>
      <c r="AC3638" s="3">
        <v>56</v>
      </c>
      <c r="AD3638" s="153">
        <v>0</v>
      </c>
      <c r="AE3638" s="153">
        <v>4</v>
      </c>
      <c r="AF3638" s="153">
        <v>2</v>
      </c>
      <c r="AG3638" s="337"/>
      <c r="AH3638" s="337"/>
      <c r="AI3638" s="337"/>
      <c r="AJ3638" s="337"/>
      <c r="AK3638" s="337"/>
      <c r="AL3638" s="234"/>
      <c r="AM3638" s="234"/>
      <c r="AN3638" s="476"/>
      <c r="AO3638" s="234"/>
      <c r="AP3638" s="234"/>
      <c r="AS3638" s="3">
        <v>1</v>
      </c>
    </row>
    <row r="3639" s="3" customFormat="1" spans="1:45">
      <c r="A3639" s="3">
        <v>932045</v>
      </c>
      <c r="B3639" s="3">
        <v>1001</v>
      </c>
      <c r="C3639" s="3">
        <v>6</v>
      </c>
      <c r="D3639" s="3">
        <v>1001</v>
      </c>
      <c r="E3639" s="3" t="s">
        <v>8876</v>
      </c>
      <c r="F3639" s="3" t="s">
        <v>8876</v>
      </c>
      <c r="G3639" s="151" t="s">
        <v>8877</v>
      </c>
      <c r="H3639" s="3" t="s">
        <v>1585</v>
      </c>
      <c r="I3639" s="3">
        <v>1</v>
      </c>
      <c r="J3639" s="3">
        <v>5</v>
      </c>
      <c r="K3639" s="3">
        <v>2</v>
      </c>
      <c r="L3639" s="3">
        <v>999</v>
      </c>
      <c r="M3639" s="3">
        <v>0</v>
      </c>
      <c r="N3639" s="3">
        <v>1</v>
      </c>
      <c r="O3639" s="231" t="s">
        <v>8878</v>
      </c>
      <c r="S3639" s="3">
        <v>1</v>
      </c>
      <c r="T3639" s="3">
        <v>5</v>
      </c>
      <c r="U3639" s="3">
        <v>10</v>
      </c>
      <c r="V3639" s="3">
        <v>1</v>
      </c>
      <c r="W3639" s="3">
        <v>1</v>
      </c>
      <c r="X3639" s="3">
        <v>1</v>
      </c>
      <c r="Y3639" s="3">
        <v>0</v>
      </c>
      <c r="Z3639" s="3">
        <v>0</v>
      </c>
      <c r="AA3639" s="3">
        <v>5</v>
      </c>
      <c r="AB3639" s="3">
        <v>100</v>
      </c>
      <c r="AC3639" s="3">
        <v>56</v>
      </c>
      <c r="AD3639" s="153">
        <v>0</v>
      </c>
      <c r="AE3639" s="153">
        <v>4</v>
      </c>
      <c r="AF3639" s="153">
        <v>2</v>
      </c>
      <c r="AG3639" s="337"/>
      <c r="AH3639" s="337"/>
      <c r="AI3639" s="337"/>
      <c r="AJ3639" s="337"/>
      <c r="AK3639" s="337"/>
      <c r="AL3639" s="234"/>
      <c r="AM3639" s="234"/>
      <c r="AN3639" s="476"/>
      <c r="AO3639" s="234"/>
      <c r="AP3639" s="234"/>
      <c r="AS3639" s="3">
        <v>1</v>
      </c>
    </row>
    <row r="3640" s="3" customFormat="1" spans="1:45">
      <c r="A3640" s="3">
        <v>932046</v>
      </c>
      <c r="B3640" s="3">
        <v>1001</v>
      </c>
      <c r="C3640" s="3">
        <v>6</v>
      </c>
      <c r="D3640" s="3">
        <v>1001</v>
      </c>
      <c r="E3640" s="3" t="s">
        <v>8879</v>
      </c>
      <c r="F3640" s="3" t="s">
        <v>8879</v>
      </c>
      <c r="G3640" s="151" t="s">
        <v>8880</v>
      </c>
      <c r="H3640" s="3" t="s">
        <v>1585</v>
      </c>
      <c r="I3640" s="3">
        <v>1</v>
      </c>
      <c r="J3640" s="3">
        <v>5</v>
      </c>
      <c r="K3640" s="3">
        <v>2</v>
      </c>
      <c r="L3640" s="3">
        <v>999</v>
      </c>
      <c r="M3640" s="3">
        <v>0</v>
      </c>
      <c r="N3640" s="3">
        <v>1</v>
      </c>
      <c r="O3640" s="231" t="s">
        <v>8881</v>
      </c>
      <c r="S3640" s="3">
        <v>1</v>
      </c>
      <c r="T3640" s="3">
        <v>5</v>
      </c>
      <c r="U3640" s="3">
        <v>10</v>
      </c>
      <c r="V3640" s="3">
        <v>1</v>
      </c>
      <c r="W3640" s="3">
        <v>1</v>
      </c>
      <c r="X3640" s="3">
        <v>1</v>
      </c>
      <c r="Y3640" s="3">
        <v>0</v>
      </c>
      <c r="Z3640" s="3">
        <v>0</v>
      </c>
      <c r="AA3640" s="3">
        <v>5</v>
      </c>
      <c r="AB3640" s="3">
        <v>100</v>
      </c>
      <c r="AC3640" s="3">
        <v>56</v>
      </c>
      <c r="AD3640" s="153">
        <v>0</v>
      </c>
      <c r="AE3640" s="153">
        <v>4</v>
      </c>
      <c r="AF3640" s="153">
        <v>2</v>
      </c>
      <c r="AG3640" s="337"/>
      <c r="AH3640" s="337"/>
      <c r="AI3640" s="337"/>
      <c r="AJ3640" s="337"/>
      <c r="AK3640" s="337"/>
      <c r="AL3640" s="234"/>
      <c r="AM3640" s="234"/>
      <c r="AN3640" s="476"/>
      <c r="AO3640" s="234"/>
      <c r="AP3640" s="234"/>
      <c r="AS3640" s="3">
        <v>1</v>
      </c>
    </row>
    <row r="3641" s="3" customFormat="1" spans="1:45">
      <c r="A3641" s="3">
        <v>932047</v>
      </c>
      <c r="B3641" s="3">
        <v>1001</v>
      </c>
      <c r="C3641" s="3">
        <v>6</v>
      </c>
      <c r="D3641" s="3">
        <v>1001</v>
      </c>
      <c r="E3641" s="3" t="s">
        <v>8882</v>
      </c>
      <c r="F3641" s="3" t="s">
        <v>8882</v>
      </c>
      <c r="G3641" s="151" t="s">
        <v>8883</v>
      </c>
      <c r="H3641" s="3" t="s">
        <v>1585</v>
      </c>
      <c r="I3641" s="3">
        <v>1</v>
      </c>
      <c r="J3641" s="3">
        <v>5</v>
      </c>
      <c r="K3641" s="3">
        <v>2</v>
      </c>
      <c r="L3641" s="3">
        <v>999</v>
      </c>
      <c r="M3641" s="3">
        <v>0</v>
      </c>
      <c r="N3641" s="3">
        <v>1</v>
      </c>
      <c r="O3641" s="231" t="s">
        <v>8884</v>
      </c>
      <c r="S3641" s="3">
        <v>1</v>
      </c>
      <c r="T3641" s="3">
        <v>5</v>
      </c>
      <c r="U3641" s="3">
        <v>10</v>
      </c>
      <c r="V3641" s="3">
        <v>1</v>
      </c>
      <c r="W3641" s="3">
        <v>1</v>
      </c>
      <c r="X3641" s="3">
        <v>1</v>
      </c>
      <c r="Y3641" s="3">
        <v>0</v>
      </c>
      <c r="Z3641" s="3">
        <v>0</v>
      </c>
      <c r="AA3641" s="3">
        <v>5</v>
      </c>
      <c r="AB3641" s="3">
        <v>100</v>
      </c>
      <c r="AC3641" s="3">
        <v>56</v>
      </c>
      <c r="AD3641" s="153">
        <v>0</v>
      </c>
      <c r="AE3641" s="153">
        <v>4</v>
      </c>
      <c r="AF3641" s="153">
        <v>2</v>
      </c>
      <c r="AG3641" s="337"/>
      <c r="AH3641" s="337"/>
      <c r="AI3641" s="337"/>
      <c r="AJ3641" s="337"/>
      <c r="AK3641" s="337"/>
      <c r="AL3641" s="234"/>
      <c r="AM3641" s="234"/>
      <c r="AN3641" s="476"/>
      <c r="AO3641" s="234"/>
      <c r="AP3641" s="234"/>
      <c r="AS3641" s="3">
        <v>1</v>
      </c>
    </row>
    <row r="3642" s="3" customFormat="1" spans="1:45">
      <c r="A3642" s="3">
        <v>932048</v>
      </c>
      <c r="B3642" s="3">
        <v>1001</v>
      </c>
      <c r="C3642" s="3">
        <v>6</v>
      </c>
      <c r="D3642" s="3">
        <v>1001</v>
      </c>
      <c r="E3642" s="3" t="s">
        <v>8885</v>
      </c>
      <c r="F3642" s="3" t="s">
        <v>8885</v>
      </c>
      <c r="G3642" s="3" t="s">
        <v>8886</v>
      </c>
      <c r="H3642" s="3" t="s">
        <v>1825</v>
      </c>
      <c r="I3642" s="3">
        <v>1</v>
      </c>
      <c r="J3642" s="3">
        <v>5</v>
      </c>
      <c r="K3642" s="3">
        <v>2</v>
      </c>
      <c r="L3642" s="3">
        <v>999</v>
      </c>
      <c r="M3642" s="3">
        <v>0</v>
      </c>
      <c r="N3642" s="3">
        <v>1</v>
      </c>
      <c r="O3642" s="231" t="s">
        <v>8887</v>
      </c>
      <c r="S3642" s="3">
        <v>1</v>
      </c>
      <c r="T3642" s="3">
        <v>5</v>
      </c>
      <c r="U3642" s="3">
        <v>10</v>
      </c>
      <c r="V3642" s="3">
        <v>1</v>
      </c>
      <c r="W3642" s="3">
        <v>1</v>
      </c>
      <c r="X3642" s="3">
        <v>1</v>
      </c>
      <c r="Y3642" s="3">
        <v>0</v>
      </c>
      <c r="Z3642" s="3">
        <v>0</v>
      </c>
      <c r="AA3642" s="3">
        <v>5</v>
      </c>
      <c r="AB3642" s="3">
        <v>100</v>
      </c>
      <c r="AC3642" s="3">
        <v>56</v>
      </c>
      <c r="AD3642" s="153">
        <v>0</v>
      </c>
      <c r="AE3642" s="153">
        <v>4</v>
      </c>
      <c r="AF3642" s="153">
        <v>2</v>
      </c>
      <c r="AG3642" s="337"/>
      <c r="AH3642" s="337"/>
      <c r="AI3642" s="337"/>
      <c r="AJ3642" s="337"/>
      <c r="AK3642" s="337"/>
      <c r="AL3642" s="234"/>
      <c r="AM3642" s="234"/>
      <c r="AN3642" s="476"/>
      <c r="AO3642" s="234"/>
      <c r="AP3642" s="234"/>
      <c r="AS3642" s="3">
        <v>1</v>
      </c>
    </row>
    <row r="3643" s="3" customFormat="1" spans="1:45">
      <c r="A3643" s="3">
        <v>932049</v>
      </c>
      <c r="B3643" s="3">
        <v>1001</v>
      </c>
      <c r="C3643" s="3">
        <v>6</v>
      </c>
      <c r="D3643" s="3">
        <v>1001</v>
      </c>
      <c r="E3643" s="3" t="s">
        <v>7872</v>
      </c>
      <c r="F3643" s="3" t="s">
        <v>7872</v>
      </c>
      <c r="G3643" s="3" t="s">
        <v>7873</v>
      </c>
      <c r="H3643" s="3" t="s">
        <v>1594</v>
      </c>
      <c r="I3643" s="3">
        <v>1</v>
      </c>
      <c r="J3643" s="3">
        <v>5</v>
      </c>
      <c r="K3643" s="3">
        <v>2</v>
      </c>
      <c r="L3643" s="3">
        <v>999</v>
      </c>
      <c r="M3643" s="3">
        <v>0</v>
      </c>
      <c r="N3643" s="3">
        <v>1017</v>
      </c>
      <c r="O3643" s="231">
        <v>300095</v>
      </c>
      <c r="S3643" s="3">
        <v>1</v>
      </c>
      <c r="T3643" s="3">
        <v>5</v>
      </c>
      <c r="U3643" s="3">
        <v>10</v>
      </c>
      <c r="V3643" s="3">
        <v>1</v>
      </c>
      <c r="W3643" s="3">
        <v>1</v>
      </c>
      <c r="X3643" s="3">
        <v>1</v>
      </c>
      <c r="Y3643" s="3">
        <v>0</v>
      </c>
      <c r="Z3643" s="3">
        <v>0</v>
      </c>
      <c r="AA3643" s="3">
        <v>5</v>
      </c>
      <c r="AB3643" s="3">
        <v>100</v>
      </c>
      <c r="AC3643" s="3">
        <v>56</v>
      </c>
      <c r="AD3643" s="153">
        <v>0</v>
      </c>
      <c r="AE3643" s="153">
        <v>4</v>
      </c>
      <c r="AF3643" s="153">
        <v>2</v>
      </c>
      <c r="AG3643" s="337"/>
      <c r="AH3643" s="337"/>
      <c r="AI3643" s="337"/>
      <c r="AJ3643" s="337"/>
      <c r="AK3643" s="337"/>
      <c r="AL3643" s="234"/>
      <c r="AM3643" s="234"/>
      <c r="AN3643" s="476"/>
      <c r="AO3643" s="234"/>
      <c r="AP3643" s="234"/>
      <c r="AS3643" s="3">
        <v>1</v>
      </c>
    </row>
    <row r="3644" s="3" customFormat="1" spans="1:45">
      <c r="A3644" s="3">
        <v>932050</v>
      </c>
      <c r="B3644" s="3">
        <v>1001</v>
      </c>
      <c r="C3644" s="3">
        <v>6</v>
      </c>
      <c r="D3644" s="3">
        <v>1001</v>
      </c>
      <c r="E3644" s="339" t="s">
        <v>8888</v>
      </c>
      <c r="F3644" s="339" t="s">
        <v>8888</v>
      </c>
      <c r="G3644" s="3" t="s">
        <v>8889</v>
      </c>
      <c r="H3644" s="3" t="s">
        <v>1585</v>
      </c>
      <c r="I3644" s="3">
        <v>1</v>
      </c>
      <c r="J3644" s="3">
        <v>5</v>
      </c>
      <c r="K3644" s="3">
        <v>2</v>
      </c>
      <c r="L3644" s="3">
        <v>999</v>
      </c>
      <c r="M3644" s="3">
        <v>0</v>
      </c>
      <c r="N3644" s="3">
        <v>1</v>
      </c>
      <c r="O3644" s="231" t="s">
        <v>8890</v>
      </c>
      <c r="S3644" s="3">
        <v>1</v>
      </c>
      <c r="T3644" s="3">
        <v>5</v>
      </c>
      <c r="U3644" s="3">
        <v>10</v>
      </c>
      <c r="V3644" s="3">
        <v>1</v>
      </c>
      <c r="W3644" s="3">
        <v>1</v>
      </c>
      <c r="X3644" s="3">
        <v>1</v>
      </c>
      <c r="Y3644" s="3">
        <v>0</v>
      </c>
      <c r="Z3644" s="3">
        <v>0</v>
      </c>
      <c r="AA3644" s="3">
        <v>5</v>
      </c>
      <c r="AB3644" s="339">
        <v>100</v>
      </c>
      <c r="AC3644" s="3">
        <v>56</v>
      </c>
      <c r="AD3644" s="153">
        <v>0</v>
      </c>
      <c r="AE3644" s="153">
        <v>4</v>
      </c>
      <c r="AF3644" s="153">
        <v>2</v>
      </c>
      <c r="AG3644" s="337"/>
      <c r="AH3644" s="337"/>
      <c r="AI3644" s="337"/>
      <c r="AJ3644" s="337"/>
      <c r="AK3644" s="337"/>
      <c r="AL3644" s="234"/>
      <c r="AM3644" s="234"/>
      <c r="AN3644" s="476"/>
      <c r="AO3644" s="234"/>
      <c r="AP3644" s="234"/>
      <c r="AS3644" s="3">
        <v>1</v>
      </c>
    </row>
    <row r="3645" s="61" customFormat="1" spans="1:45">
      <c r="A3645" s="3">
        <v>932051</v>
      </c>
      <c r="B3645" s="61">
        <v>1001</v>
      </c>
      <c r="C3645" s="61">
        <v>6</v>
      </c>
      <c r="D3645" s="61">
        <v>1001</v>
      </c>
      <c r="E3645" s="128" t="s">
        <v>5550</v>
      </c>
      <c r="F3645" s="128" t="s">
        <v>5550</v>
      </c>
      <c r="G3645" s="3" t="s">
        <v>8891</v>
      </c>
      <c r="H3645" s="58" t="s">
        <v>1531</v>
      </c>
      <c r="I3645" s="61">
        <v>1</v>
      </c>
      <c r="J3645" s="61">
        <v>5</v>
      </c>
      <c r="K3645" s="61">
        <v>2</v>
      </c>
      <c r="L3645" s="3">
        <v>999</v>
      </c>
      <c r="M3645" s="61">
        <v>0</v>
      </c>
      <c r="N3645" s="3">
        <v>1018</v>
      </c>
      <c r="O3645" s="571" t="s">
        <v>8892</v>
      </c>
      <c r="S3645" s="61">
        <v>1</v>
      </c>
      <c r="T3645" s="61">
        <v>5</v>
      </c>
      <c r="U3645" s="3">
        <v>200</v>
      </c>
      <c r="V3645" s="33">
        <v>1</v>
      </c>
      <c r="W3645" s="3">
        <v>1</v>
      </c>
      <c r="X3645" s="3">
        <v>1</v>
      </c>
      <c r="Y3645" s="3">
        <v>0</v>
      </c>
      <c r="Z3645" s="33">
        <v>0</v>
      </c>
      <c r="AA3645" s="3">
        <v>5</v>
      </c>
      <c r="AB3645" s="8">
        <v>1000</v>
      </c>
      <c r="AC3645" s="3">
        <v>56</v>
      </c>
      <c r="AD3645" s="12">
        <v>0</v>
      </c>
      <c r="AE3645" s="12">
        <v>5</v>
      </c>
      <c r="AF3645" s="12">
        <v>2</v>
      </c>
      <c r="AG3645" s="430"/>
      <c r="AH3645" s="430"/>
      <c r="AI3645" s="430"/>
      <c r="AJ3645" s="430"/>
      <c r="AK3645" s="430"/>
      <c r="AL3645" s="214"/>
      <c r="AM3645" s="214"/>
      <c r="AN3645" s="431"/>
      <c r="AO3645" s="572"/>
      <c r="AP3645" s="572"/>
      <c r="AS3645" s="61">
        <v>1</v>
      </c>
    </row>
    <row r="3646" s="61" customFormat="1" spans="1:45">
      <c r="A3646" s="3">
        <v>932052</v>
      </c>
      <c r="B3646" s="575">
        <v>1001</v>
      </c>
      <c r="C3646" s="575">
        <v>6</v>
      </c>
      <c r="D3646" s="575">
        <v>1001</v>
      </c>
      <c r="E3646" s="395" t="s">
        <v>5550</v>
      </c>
      <c r="F3646" s="395" t="s">
        <v>5550</v>
      </c>
      <c r="G3646" s="3" t="s">
        <v>8893</v>
      </c>
      <c r="H3646" s="58" t="s">
        <v>1531</v>
      </c>
      <c r="I3646" s="61">
        <v>1</v>
      </c>
      <c r="J3646" s="61">
        <v>5</v>
      </c>
      <c r="K3646" s="61">
        <v>2</v>
      </c>
      <c r="L3646" s="339">
        <v>999</v>
      </c>
      <c r="M3646" s="575">
        <v>0</v>
      </c>
      <c r="N3646" s="3">
        <v>1018</v>
      </c>
      <c r="O3646" s="571" t="s">
        <v>8894</v>
      </c>
      <c r="S3646" s="575">
        <v>1</v>
      </c>
      <c r="T3646" s="575">
        <v>5</v>
      </c>
      <c r="U3646" s="339">
        <v>200</v>
      </c>
      <c r="V3646" s="254">
        <v>1</v>
      </c>
      <c r="W3646" s="3">
        <v>1</v>
      </c>
      <c r="X3646" s="339">
        <v>1</v>
      </c>
      <c r="Y3646" s="339">
        <v>0</v>
      </c>
      <c r="Z3646" s="33">
        <v>0</v>
      </c>
      <c r="AA3646" s="3">
        <v>5</v>
      </c>
      <c r="AB3646" s="8">
        <v>1000</v>
      </c>
      <c r="AC3646" s="339">
        <v>56</v>
      </c>
      <c r="AD3646" s="12">
        <v>0</v>
      </c>
      <c r="AE3646" s="12">
        <v>5</v>
      </c>
      <c r="AF3646" s="12">
        <v>2</v>
      </c>
      <c r="AG3646" s="430"/>
      <c r="AH3646" s="430"/>
      <c r="AI3646" s="430"/>
      <c r="AJ3646" s="430"/>
      <c r="AK3646" s="430"/>
      <c r="AL3646" s="214"/>
      <c r="AM3646" s="214"/>
      <c r="AN3646" s="435"/>
      <c r="AO3646" s="576"/>
      <c r="AP3646" s="572"/>
      <c r="AQ3646"/>
      <c r="AS3646" s="61">
        <v>1</v>
      </c>
    </row>
    <row r="3647" spans="1:45">
      <c r="A3647">
        <v>810001</v>
      </c>
      <c r="B3647" s="8">
        <v>1001</v>
      </c>
      <c r="C3647" s="8">
        <v>1</v>
      </c>
      <c r="D3647" s="8">
        <v>1001</v>
      </c>
      <c r="E3647" t="s">
        <v>8895</v>
      </c>
      <c r="F3647" t="s">
        <v>8895</v>
      </c>
      <c r="G3647" t="s">
        <v>8896</v>
      </c>
      <c r="H3647" s="101" t="s">
        <v>8897</v>
      </c>
      <c r="I3647">
        <v>1</v>
      </c>
      <c r="J3647" s="69">
        <v>4</v>
      </c>
      <c r="K3647" s="33">
        <v>2</v>
      </c>
      <c r="L3647" s="8">
        <v>999</v>
      </c>
      <c r="M3647" s="8">
        <v>0</v>
      </c>
      <c r="O3647" s="249"/>
      <c r="S3647" s="89">
        <v>1</v>
      </c>
      <c r="T3647" s="8">
        <v>5</v>
      </c>
      <c r="U3647" s="89">
        <v>150</v>
      </c>
      <c r="V3647" s="87">
        <v>1</v>
      </c>
      <c r="W3647">
        <v>1</v>
      </c>
      <c r="X3647" s="8">
        <v>1</v>
      </c>
      <c r="Y3647" s="8">
        <v>0</v>
      </c>
      <c r="Z3647" s="33">
        <v>0</v>
      </c>
      <c r="AA3647">
        <v>5</v>
      </c>
      <c r="AB3647" s="89">
        <v>6460</v>
      </c>
      <c r="AC3647" s="87">
        <v>10000</v>
      </c>
      <c r="AE3647" s="62">
        <v>11</v>
      </c>
      <c r="AL3647" s="64">
        <v>1</v>
      </c>
      <c r="AN3647" s="93"/>
      <c r="AO3647" s="92"/>
      <c r="AQ3647" t="s">
        <v>4348</v>
      </c>
      <c r="AS3647">
        <v>1</v>
      </c>
    </row>
    <row r="3648" spans="1:45">
      <c r="A3648">
        <v>810002</v>
      </c>
      <c r="B3648" s="8">
        <v>1001</v>
      </c>
      <c r="C3648" s="8">
        <v>1</v>
      </c>
      <c r="D3648" s="8">
        <v>1001</v>
      </c>
      <c r="E3648" t="s">
        <v>8898</v>
      </c>
      <c r="F3648" t="s">
        <v>8898</v>
      </c>
      <c r="G3648" t="s">
        <v>8899</v>
      </c>
      <c r="H3648" s="58" t="s">
        <v>1531</v>
      </c>
      <c r="I3648">
        <v>1</v>
      </c>
      <c r="J3648" s="69">
        <v>4</v>
      </c>
      <c r="K3648" s="33">
        <v>2</v>
      </c>
      <c r="L3648" s="8">
        <v>999</v>
      </c>
      <c r="M3648" s="8">
        <v>0</v>
      </c>
      <c r="O3648" s="249"/>
      <c r="S3648" s="89">
        <v>1</v>
      </c>
      <c r="T3648" s="8">
        <v>5</v>
      </c>
      <c r="U3648" s="89">
        <v>150</v>
      </c>
      <c r="V3648" s="87">
        <v>1</v>
      </c>
      <c r="W3648">
        <v>1</v>
      </c>
      <c r="X3648" s="8">
        <v>1</v>
      </c>
      <c r="Y3648" s="8">
        <v>0</v>
      </c>
      <c r="Z3648" s="33">
        <v>0</v>
      </c>
      <c r="AA3648">
        <v>5</v>
      </c>
      <c r="AB3648" s="89">
        <v>6460</v>
      </c>
      <c r="AC3648" s="87">
        <v>10000</v>
      </c>
      <c r="AE3648" s="62">
        <v>11</v>
      </c>
      <c r="AL3648" s="64">
        <v>1</v>
      </c>
      <c r="AN3648" s="93"/>
      <c r="AO3648" s="92"/>
      <c r="AQ3648" t="s">
        <v>4348</v>
      </c>
      <c r="AS3648">
        <v>1</v>
      </c>
    </row>
    <row r="3649" spans="1:45">
      <c r="A3649">
        <v>810003</v>
      </c>
      <c r="B3649" s="8">
        <v>1001</v>
      </c>
      <c r="C3649" s="236">
        <v>1</v>
      </c>
      <c r="D3649" s="8">
        <v>1001</v>
      </c>
      <c r="E3649" t="s">
        <v>8900</v>
      </c>
      <c r="F3649" t="s">
        <v>8900</v>
      </c>
      <c r="G3649" t="s">
        <v>8901</v>
      </c>
      <c r="H3649" s="58" t="s">
        <v>1531</v>
      </c>
      <c r="I3649">
        <v>1</v>
      </c>
      <c r="J3649" s="69">
        <v>4</v>
      </c>
      <c r="K3649" s="33">
        <v>2</v>
      </c>
      <c r="L3649" s="236">
        <v>999</v>
      </c>
      <c r="M3649" s="236">
        <v>0</v>
      </c>
      <c r="N3649" s="3"/>
      <c r="O3649" s="249"/>
      <c r="S3649" s="336">
        <v>1</v>
      </c>
      <c r="T3649" s="236">
        <v>5</v>
      </c>
      <c r="U3649" s="336">
        <v>150</v>
      </c>
      <c r="V3649" s="248">
        <v>1</v>
      </c>
      <c r="W3649">
        <v>1</v>
      </c>
      <c r="X3649" s="236">
        <v>1</v>
      </c>
      <c r="Y3649" s="236">
        <v>0</v>
      </c>
      <c r="Z3649" s="33">
        <v>0</v>
      </c>
      <c r="AA3649">
        <v>5</v>
      </c>
      <c r="AB3649" s="336">
        <v>6460</v>
      </c>
      <c r="AC3649" s="248">
        <v>10000</v>
      </c>
      <c r="AE3649" s="62">
        <v>11</v>
      </c>
      <c r="AL3649" s="64">
        <v>1</v>
      </c>
      <c r="AN3649" s="338"/>
      <c r="AO3649" s="252"/>
      <c r="AQ3649" t="s">
        <v>4348</v>
      </c>
      <c r="AS3649">
        <v>1</v>
      </c>
    </row>
    <row r="3650" s="3" customFormat="1" spans="1:45">
      <c r="A3650" s="58">
        <v>931078</v>
      </c>
      <c r="B3650" s="8">
        <v>1001</v>
      </c>
      <c r="C3650" s="339">
        <v>6</v>
      </c>
      <c r="D3650" s="8">
        <v>1001</v>
      </c>
      <c r="E3650" t="s">
        <v>6569</v>
      </c>
      <c r="F3650" t="s">
        <v>6569</v>
      </c>
      <c r="G3650" t="s">
        <v>6570</v>
      </c>
      <c r="H3650" s="446" t="s">
        <v>6571</v>
      </c>
      <c r="I3650" s="3">
        <v>1</v>
      </c>
      <c r="J3650" s="3">
        <v>5</v>
      </c>
      <c r="K3650" s="254">
        <v>2</v>
      </c>
      <c r="L3650" s="339">
        <v>999</v>
      </c>
      <c r="M3650" s="339">
        <v>0</v>
      </c>
      <c r="N3650" s="339">
        <v>1037</v>
      </c>
      <c r="O3650" s="258">
        <v>22</v>
      </c>
      <c r="P3650" s="89"/>
      <c r="Q3650" s="89"/>
      <c r="R3650" s="89"/>
      <c r="S3650" s="254">
        <v>1</v>
      </c>
      <c r="T3650" s="339">
        <v>5</v>
      </c>
      <c r="U3650" s="339">
        <v>1</v>
      </c>
      <c r="V3650" s="254">
        <v>1</v>
      </c>
      <c r="W3650" s="3">
        <v>1</v>
      </c>
      <c r="X3650" s="339">
        <v>1</v>
      </c>
      <c r="Y3650" s="3">
        <v>0</v>
      </c>
      <c r="Z3650" s="33">
        <v>0</v>
      </c>
      <c r="AA3650" s="3">
        <v>5</v>
      </c>
      <c r="AB3650" s="3">
        <v>100</v>
      </c>
      <c r="AC3650" s="339">
        <v>70</v>
      </c>
      <c r="AD3650" s="62">
        <v>0</v>
      </c>
      <c r="AE3650" s="255">
        <v>1</v>
      </c>
      <c r="AF3650" s="255">
        <v>1</v>
      </c>
      <c r="AG3650" s="423"/>
      <c r="AH3650" s="423"/>
      <c r="AI3650" s="423"/>
      <c r="AJ3650" s="423"/>
      <c r="AK3650" s="423"/>
      <c r="AL3650" s="256"/>
      <c r="AM3650" s="256"/>
      <c r="AN3650" s="424"/>
      <c r="AO3650" s="256"/>
      <c r="AP3650" s="64"/>
      <c r="AS3650" s="3">
        <v>1</v>
      </c>
    </row>
    <row r="3651" s="34" customFormat="1" ht="14.25" customHeight="1" spans="1:45">
      <c r="A3651" s="34">
        <v>933001</v>
      </c>
      <c r="B3651" s="89">
        <v>1001</v>
      </c>
      <c r="C3651" s="89">
        <v>2</v>
      </c>
      <c r="D3651" s="8">
        <v>1001</v>
      </c>
      <c r="E3651" s="34" t="s">
        <v>8902</v>
      </c>
      <c r="F3651" s="34" t="s">
        <v>8902</v>
      </c>
      <c r="G3651" s="34" t="s">
        <v>8903</v>
      </c>
      <c r="H3651" s="101" t="s">
        <v>8904</v>
      </c>
      <c r="I3651" s="34">
        <v>1</v>
      </c>
      <c r="J3651" s="102">
        <v>4</v>
      </c>
      <c r="K3651" s="89">
        <v>1</v>
      </c>
      <c r="L3651" s="89">
        <v>9999</v>
      </c>
      <c r="M3651" s="89">
        <v>0</v>
      </c>
      <c r="N3651" s="89"/>
      <c r="O3651" s="103"/>
      <c r="P3651" s="89"/>
      <c r="Q3651" s="89"/>
      <c r="R3651" s="89"/>
      <c r="S3651" s="89">
        <v>1</v>
      </c>
      <c r="T3651" s="89">
        <v>5</v>
      </c>
      <c r="U3651" s="89">
        <v>170</v>
      </c>
      <c r="V3651" s="89">
        <v>1</v>
      </c>
      <c r="W3651" s="34">
        <v>1</v>
      </c>
      <c r="X3651" s="89">
        <v>1</v>
      </c>
      <c r="Y3651" s="34">
        <v>0</v>
      </c>
      <c r="Z3651" s="34">
        <v>0</v>
      </c>
      <c r="AA3651" s="34">
        <v>5</v>
      </c>
      <c r="AB3651" s="34">
        <v>6460</v>
      </c>
      <c r="AC3651" s="89">
        <v>830</v>
      </c>
      <c r="AD3651" s="104">
        <v>0</v>
      </c>
      <c r="AE3651" s="105">
        <v>0</v>
      </c>
      <c r="AF3651" s="105">
        <v>0</v>
      </c>
      <c r="AG3651" s="106"/>
      <c r="AH3651" s="106"/>
      <c r="AI3651" s="106"/>
      <c r="AJ3651" s="106"/>
      <c r="AK3651" s="106"/>
      <c r="AL3651" s="107">
        <v>1</v>
      </c>
      <c r="AM3651" s="107"/>
      <c r="AN3651" s="93"/>
      <c r="AO3651" s="92"/>
      <c r="AP3651" s="108"/>
      <c r="AS3651" s="34">
        <v>1</v>
      </c>
    </row>
    <row r="3652" s="34" customFormat="1" ht="14.25" customHeight="1" spans="1:45">
      <c r="A3652" s="34">
        <v>933002</v>
      </c>
      <c r="B3652" s="336">
        <v>1001</v>
      </c>
      <c r="C3652" s="336">
        <v>2</v>
      </c>
      <c r="D3652" s="236">
        <v>1001</v>
      </c>
      <c r="E3652" s="34" t="s">
        <v>8905</v>
      </c>
      <c r="F3652" s="34" t="s">
        <v>8905</v>
      </c>
      <c r="G3652" s="34" t="s">
        <v>8906</v>
      </c>
      <c r="H3652" s="101" t="s">
        <v>8907</v>
      </c>
      <c r="I3652" s="34">
        <v>1</v>
      </c>
      <c r="J3652" s="102">
        <v>4</v>
      </c>
      <c r="K3652" s="336">
        <v>1</v>
      </c>
      <c r="L3652" s="336">
        <v>9999</v>
      </c>
      <c r="M3652" s="336">
        <v>0</v>
      </c>
      <c r="N3652" s="336"/>
      <c r="O3652" s="441"/>
      <c r="P3652" s="336"/>
      <c r="Q3652" s="336"/>
      <c r="R3652" s="336"/>
      <c r="S3652" s="336">
        <v>1</v>
      </c>
      <c r="T3652" s="336">
        <v>5</v>
      </c>
      <c r="U3652" s="336">
        <v>170</v>
      </c>
      <c r="V3652" s="336">
        <v>1</v>
      </c>
      <c r="W3652" s="34">
        <v>1</v>
      </c>
      <c r="X3652" s="336">
        <v>1</v>
      </c>
      <c r="Y3652" s="34">
        <v>0</v>
      </c>
      <c r="Z3652" s="34">
        <v>0</v>
      </c>
      <c r="AA3652" s="34">
        <v>5</v>
      </c>
      <c r="AB3652" s="34">
        <v>6460</v>
      </c>
      <c r="AC3652" s="336">
        <v>830</v>
      </c>
      <c r="AD3652" s="104">
        <v>0</v>
      </c>
      <c r="AE3652" s="442">
        <v>0</v>
      </c>
      <c r="AF3652" s="442">
        <v>0</v>
      </c>
      <c r="AG3652" s="443"/>
      <c r="AH3652" s="443"/>
      <c r="AI3652" s="443"/>
      <c r="AJ3652" s="443"/>
      <c r="AK3652" s="443"/>
      <c r="AL3652" s="444">
        <v>1</v>
      </c>
      <c r="AM3652" s="444"/>
      <c r="AN3652" s="338"/>
      <c r="AO3652" s="252"/>
      <c r="AP3652" s="108"/>
      <c r="AS3652" s="34">
        <v>1</v>
      </c>
    </row>
    <row r="3653" spans="1:45">
      <c r="A3653">
        <v>931086</v>
      </c>
      <c r="B3653" s="577">
        <v>1001</v>
      </c>
      <c r="C3653">
        <v>6</v>
      </c>
      <c r="D3653">
        <v>1001</v>
      </c>
      <c r="E3653" t="s">
        <v>8515</v>
      </c>
      <c r="F3653" t="s">
        <v>8515</v>
      </c>
      <c r="G3653" t="s">
        <v>8908</v>
      </c>
      <c r="H3653" t="s">
        <v>6325</v>
      </c>
      <c r="I3653">
        <v>1</v>
      </c>
      <c r="J3653">
        <v>5</v>
      </c>
      <c r="K3653" s="33">
        <v>2</v>
      </c>
      <c r="L3653">
        <v>999</v>
      </c>
      <c r="M3653">
        <v>0</v>
      </c>
      <c r="S3653" s="33">
        <v>1</v>
      </c>
      <c r="T3653">
        <v>5</v>
      </c>
      <c r="U3653">
        <v>1</v>
      </c>
      <c r="V3653" s="33">
        <v>1</v>
      </c>
      <c r="W3653">
        <v>1</v>
      </c>
      <c r="X3653">
        <v>1</v>
      </c>
      <c r="Y3653">
        <v>0</v>
      </c>
      <c r="Z3653" s="33">
        <v>0</v>
      </c>
      <c r="AA3653">
        <v>5</v>
      </c>
      <c r="AB3653">
        <v>100</v>
      </c>
      <c r="AC3653">
        <v>70</v>
      </c>
      <c r="AD3653" s="62">
        <v>0</v>
      </c>
      <c r="AE3653" s="62">
        <v>1</v>
      </c>
      <c r="AF3653" s="62">
        <v>1</v>
      </c>
      <c r="AS3653">
        <v>1</v>
      </c>
    </row>
    <row r="3654" spans="1:45">
      <c r="A3654">
        <v>931087</v>
      </c>
      <c r="B3654" s="577">
        <v>1001</v>
      </c>
      <c r="C3654">
        <v>6</v>
      </c>
      <c r="D3654">
        <v>1001</v>
      </c>
      <c r="E3654" t="s">
        <v>8517</v>
      </c>
      <c r="F3654" t="s">
        <v>8517</v>
      </c>
      <c r="G3654" t="s">
        <v>8909</v>
      </c>
      <c r="H3654" t="s">
        <v>6325</v>
      </c>
      <c r="I3654">
        <v>1</v>
      </c>
      <c r="J3654">
        <v>5</v>
      </c>
      <c r="K3654" s="33">
        <v>2</v>
      </c>
      <c r="L3654">
        <v>999</v>
      </c>
      <c r="M3654">
        <v>0</v>
      </c>
      <c r="S3654" s="33">
        <v>1</v>
      </c>
      <c r="T3654">
        <v>5</v>
      </c>
      <c r="U3654">
        <v>1</v>
      </c>
      <c r="V3654" s="33">
        <v>1</v>
      </c>
      <c r="W3654">
        <v>1</v>
      </c>
      <c r="X3654">
        <v>1</v>
      </c>
      <c r="Y3654">
        <v>0</v>
      </c>
      <c r="Z3654" s="33">
        <v>0</v>
      </c>
      <c r="AA3654">
        <v>5</v>
      </c>
      <c r="AB3654">
        <v>100</v>
      </c>
      <c r="AC3654">
        <v>70</v>
      </c>
      <c r="AD3654" s="62">
        <v>0</v>
      </c>
      <c r="AE3654" s="62">
        <v>1</v>
      </c>
      <c r="AF3654" s="62">
        <v>1</v>
      </c>
      <c r="AS3654">
        <v>1</v>
      </c>
    </row>
    <row r="3655" spans="1:45">
      <c r="A3655">
        <v>931088</v>
      </c>
      <c r="B3655" s="577">
        <v>1001</v>
      </c>
      <c r="C3655">
        <v>6</v>
      </c>
      <c r="D3655">
        <v>1001</v>
      </c>
      <c r="E3655" t="s">
        <v>8519</v>
      </c>
      <c r="F3655" t="s">
        <v>8519</v>
      </c>
      <c r="G3655" t="s">
        <v>8910</v>
      </c>
      <c r="H3655" t="s">
        <v>6325</v>
      </c>
      <c r="I3655">
        <v>1</v>
      </c>
      <c r="J3655">
        <v>5</v>
      </c>
      <c r="K3655" s="33">
        <v>2</v>
      </c>
      <c r="L3655">
        <v>999</v>
      </c>
      <c r="M3655">
        <v>0</v>
      </c>
      <c r="S3655" s="33">
        <v>1</v>
      </c>
      <c r="T3655">
        <v>5</v>
      </c>
      <c r="U3655">
        <v>1</v>
      </c>
      <c r="V3655" s="33">
        <v>1</v>
      </c>
      <c r="W3655">
        <v>1</v>
      </c>
      <c r="X3655">
        <v>1</v>
      </c>
      <c r="Y3655">
        <v>0</v>
      </c>
      <c r="Z3655" s="33">
        <v>0</v>
      </c>
      <c r="AA3655">
        <v>5</v>
      </c>
      <c r="AB3655">
        <v>100</v>
      </c>
      <c r="AC3655">
        <v>70</v>
      </c>
      <c r="AD3655" s="62">
        <v>0</v>
      </c>
      <c r="AE3655" s="62">
        <v>1</v>
      </c>
      <c r="AF3655" s="62">
        <v>1</v>
      </c>
      <c r="AS3655">
        <v>1</v>
      </c>
    </row>
    <row r="3656" spans="1:45">
      <c r="A3656">
        <v>931089</v>
      </c>
      <c r="B3656" s="577">
        <v>1001</v>
      </c>
      <c r="C3656">
        <v>6</v>
      </c>
      <c r="D3656">
        <v>1001</v>
      </c>
      <c r="E3656" t="s">
        <v>8521</v>
      </c>
      <c r="F3656" t="s">
        <v>8521</v>
      </c>
      <c r="G3656" t="s">
        <v>8911</v>
      </c>
      <c r="H3656" t="s">
        <v>6325</v>
      </c>
      <c r="I3656">
        <v>1</v>
      </c>
      <c r="J3656">
        <v>5</v>
      </c>
      <c r="K3656" s="33">
        <v>2</v>
      </c>
      <c r="L3656">
        <v>999</v>
      </c>
      <c r="M3656">
        <v>0</v>
      </c>
      <c r="S3656" s="33">
        <v>1</v>
      </c>
      <c r="T3656">
        <v>5</v>
      </c>
      <c r="U3656">
        <v>1</v>
      </c>
      <c r="V3656" s="33">
        <v>1</v>
      </c>
      <c r="W3656">
        <v>1</v>
      </c>
      <c r="X3656">
        <v>1</v>
      </c>
      <c r="Y3656">
        <v>0</v>
      </c>
      <c r="Z3656" s="33">
        <v>0</v>
      </c>
      <c r="AA3656">
        <v>5</v>
      </c>
      <c r="AB3656">
        <v>100</v>
      </c>
      <c r="AC3656">
        <v>70</v>
      </c>
      <c r="AD3656" s="62">
        <v>0</v>
      </c>
      <c r="AE3656" s="62">
        <v>1</v>
      </c>
      <c r="AF3656" s="62">
        <v>1</v>
      </c>
      <c r="AS3656">
        <v>1</v>
      </c>
    </row>
    <row r="3657" spans="1:45">
      <c r="A3657">
        <v>931090</v>
      </c>
      <c r="B3657" s="577">
        <v>1001</v>
      </c>
      <c r="C3657">
        <v>6</v>
      </c>
      <c r="D3657">
        <v>1001</v>
      </c>
      <c r="E3657" t="s">
        <v>8912</v>
      </c>
      <c r="F3657" t="s">
        <v>8912</v>
      </c>
      <c r="G3657" t="s">
        <v>8913</v>
      </c>
      <c r="H3657" t="s">
        <v>6325</v>
      </c>
      <c r="I3657">
        <v>1</v>
      </c>
      <c r="J3657">
        <v>5</v>
      </c>
      <c r="K3657" s="33">
        <v>2</v>
      </c>
      <c r="L3657">
        <v>999</v>
      </c>
      <c r="M3657">
        <v>0</v>
      </c>
      <c r="N3657"/>
      <c r="S3657" s="254">
        <v>1</v>
      </c>
      <c r="T3657" s="238">
        <v>5</v>
      </c>
      <c r="U3657" s="238">
        <v>1</v>
      </c>
      <c r="V3657" s="254">
        <v>1</v>
      </c>
      <c r="W3657">
        <v>1</v>
      </c>
      <c r="X3657" s="238">
        <v>1</v>
      </c>
      <c r="Y3657" s="238">
        <v>0</v>
      </c>
      <c r="Z3657" s="33">
        <v>0</v>
      </c>
      <c r="AA3657">
        <v>5</v>
      </c>
      <c r="AB3657" s="238">
        <v>100</v>
      </c>
      <c r="AC3657" s="238">
        <v>70</v>
      </c>
      <c r="AD3657" s="62">
        <v>0</v>
      </c>
      <c r="AE3657" s="62">
        <v>1</v>
      </c>
      <c r="AF3657" s="62">
        <v>1</v>
      </c>
      <c r="AS3657">
        <v>1</v>
      </c>
    </row>
    <row r="3658" spans="1:45">
      <c r="A3658">
        <v>931091</v>
      </c>
      <c r="B3658">
        <v>1001</v>
      </c>
      <c r="C3658">
        <v>1</v>
      </c>
      <c r="D3658">
        <v>1001</v>
      </c>
      <c r="E3658" t="s">
        <v>8914</v>
      </c>
      <c r="F3658" t="s">
        <v>8914</v>
      </c>
      <c r="G3658" t="s">
        <v>8915</v>
      </c>
      <c r="H3658" t="s">
        <v>8916</v>
      </c>
      <c r="I3658">
        <v>1</v>
      </c>
      <c r="J3658">
        <v>5</v>
      </c>
      <c r="K3658" s="33">
        <v>2</v>
      </c>
      <c r="L3658">
        <v>999</v>
      </c>
      <c r="M3658">
        <v>0</v>
      </c>
      <c r="N3658">
        <v>1057</v>
      </c>
      <c r="O3658" s="2">
        <v>1</v>
      </c>
      <c r="S3658" s="336">
        <v>1</v>
      </c>
      <c r="T3658" s="236">
        <v>3</v>
      </c>
      <c r="U3658" s="336">
        <v>150</v>
      </c>
      <c r="V3658" s="248">
        <v>1</v>
      </c>
      <c r="W3658">
        <v>1</v>
      </c>
      <c r="X3658" s="236">
        <v>1</v>
      </c>
      <c r="Y3658" s="236">
        <v>0</v>
      </c>
      <c r="Z3658" s="33">
        <v>0</v>
      </c>
      <c r="AA3658">
        <v>3</v>
      </c>
      <c r="AB3658" s="336">
        <v>6460</v>
      </c>
      <c r="AC3658" s="248">
        <v>10000</v>
      </c>
      <c r="AD3658" s="62">
        <v>0</v>
      </c>
      <c r="AE3658" s="62">
        <v>1</v>
      </c>
      <c r="AF3658" s="62">
        <v>1</v>
      </c>
      <c r="AS3658">
        <v>1</v>
      </c>
    </row>
    <row r="3659" spans="1:45">
      <c r="A3659">
        <v>931092</v>
      </c>
      <c r="B3659" s="577">
        <v>1001</v>
      </c>
      <c r="C3659">
        <v>6</v>
      </c>
      <c r="D3659">
        <v>1001</v>
      </c>
      <c r="E3659" t="s">
        <v>8912</v>
      </c>
      <c r="F3659" t="s">
        <v>8912</v>
      </c>
      <c r="G3659" t="s">
        <v>8917</v>
      </c>
      <c r="H3659" t="s">
        <v>6325</v>
      </c>
      <c r="I3659">
        <v>1</v>
      </c>
      <c r="J3659">
        <v>5</v>
      </c>
      <c r="K3659" s="33">
        <v>2</v>
      </c>
      <c r="L3659">
        <v>999</v>
      </c>
      <c r="M3659">
        <v>0</v>
      </c>
      <c r="N3659">
        <v>1035</v>
      </c>
      <c r="O3659" s="2">
        <v>26</v>
      </c>
      <c r="S3659" s="33">
        <v>1</v>
      </c>
      <c r="T3659">
        <v>5</v>
      </c>
      <c r="U3659">
        <v>1</v>
      </c>
      <c r="V3659" s="33">
        <v>1</v>
      </c>
      <c r="W3659">
        <v>1</v>
      </c>
      <c r="X3659">
        <v>1</v>
      </c>
      <c r="Y3659">
        <v>0</v>
      </c>
      <c r="Z3659" s="33">
        <v>0</v>
      </c>
      <c r="AA3659">
        <v>5</v>
      </c>
      <c r="AB3659">
        <v>100</v>
      </c>
      <c r="AC3659">
        <v>70</v>
      </c>
      <c r="AD3659" s="62">
        <v>0</v>
      </c>
      <c r="AE3659" s="62">
        <v>1</v>
      </c>
      <c r="AF3659" s="62">
        <v>1</v>
      </c>
      <c r="AG3659" s="565"/>
      <c r="AH3659" s="565"/>
      <c r="AI3659" s="565"/>
      <c r="AJ3659" s="565"/>
      <c r="AK3659" s="565"/>
      <c r="AL3659" s="566"/>
      <c r="AM3659" s="566"/>
      <c r="AN3659" s="563"/>
      <c r="AO3659" s="566"/>
      <c r="AP3659" s="566"/>
      <c r="AS3659">
        <v>1</v>
      </c>
    </row>
    <row r="3660" s="59" customFormat="1" spans="1:45">
      <c r="A3660" s="59">
        <v>931093</v>
      </c>
      <c r="B3660" s="59">
        <v>1001</v>
      </c>
      <c r="C3660" s="59">
        <v>1</v>
      </c>
      <c r="D3660" s="59">
        <v>1001</v>
      </c>
      <c r="E3660" s="567" t="s">
        <v>5550</v>
      </c>
      <c r="F3660" s="567" t="s">
        <v>5550</v>
      </c>
      <c r="G3660" s="567" t="s">
        <v>8918</v>
      </c>
      <c r="H3660" s="59" t="s">
        <v>1531</v>
      </c>
      <c r="I3660" s="567">
        <v>1</v>
      </c>
      <c r="J3660" s="567">
        <v>5</v>
      </c>
      <c r="K3660" s="567">
        <v>2</v>
      </c>
      <c r="L3660" s="567">
        <v>999</v>
      </c>
      <c r="M3660" s="567">
        <v>0</v>
      </c>
      <c r="N3660" s="567">
        <v>1018</v>
      </c>
      <c r="O3660" s="563" t="s">
        <v>8919</v>
      </c>
      <c r="P3660" s="8"/>
      <c r="Q3660" s="8"/>
      <c r="R3660" s="8"/>
      <c r="S3660" s="567">
        <v>1</v>
      </c>
      <c r="T3660" s="567">
        <v>5</v>
      </c>
      <c r="U3660" s="567">
        <v>100</v>
      </c>
      <c r="V3660" s="8"/>
      <c r="W3660" s="567">
        <v>1</v>
      </c>
      <c r="X3660" s="567">
        <v>1</v>
      </c>
      <c r="Y3660" s="567">
        <v>0</v>
      </c>
      <c r="Z3660" s="567">
        <v>0</v>
      </c>
      <c r="AA3660" s="567">
        <v>5</v>
      </c>
      <c r="AB3660" s="567">
        <v>2000</v>
      </c>
      <c r="AC3660" s="567">
        <v>70</v>
      </c>
      <c r="AD3660" s="578">
        <v>0</v>
      </c>
      <c r="AE3660" s="578">
        <v>5</v>
      </c>
      <c r="AF3660" s="578">
        <v>2</v>
      </c>
      <c r="AG3660" s="579"/>
      <c r="AH3660" s="579"/>
      <c r="AI3660" s="579"/>
      <c r="AJ3660" s="579"/>
      <c r="AK3660" s="579"/>
      <c r="AL3660" s="569"/>
      <c r="AM3660" s="569"/>
      <c r="AN3660" s="568"/>
      <c r="AO3660" s="569"/>
      <c r="AP3660" s="569"/>
      <c r="AQ3660" s="8"/>
      <c r="AR3660" s="8"/>
      <c r="AS3660" s="59">
        <v>1</v>
      </c>
    </row>
    <row r="3661" spans="1:45">
      <c r="A3661">
        <v>931094</v>
      </c>
      <c r="B3661">
        <v>1001</v>
      </c>
      <c r="C3661">
        <v>6</v>
      </c>
      <c r="D3661">
        <v>1001</v>
      </c>
      <c r="E3661" s="8" t="s">
        <v>8920</v>
      </c>
      <c r="F3661" s="8" t="s">
        <v>8920</v>
      </c>
      <c r="G3661" s="8" t="s">
        <v>8921</v>
      </c>
      <c r="H3661" s="3" t="s">
        <v>204</v>
      </c>
      <c r="I3661" s="8">
        <v>1</v>
      </c>
      <c r="J3661" s="8">
        <v>5</v>
      </c>
      <c r="K3661" s="8">
        <v>2</v>
      </c>
      <c r="L3661" s="8">
        <v>999</v>
      </c>
      <c r="M3661" s="8">
        <v>0</v>
      </c>
      <c r="N3661" s="8">
        <v>1018</v>
      </c>
      <c r="O3661" t="s">
        <v>8922</v>
      </c>
      <c r="P3661" s="8"/>
      <c r="Q3661" s="8"/>
      <c r="R3661" s="8"/>
      <c r="S3661" s="8">
        <v>1</v>
      </c>
      <c r="T3661" s="8">
        <v>5</v>
      </c>
      <c r="U3661" s="8">
        <v>200</v>
      </c>
      <c r="V3661" s="8">
        <v>1</v>
      </c>
      <c r="W3661" s="8">
        <v>1</v>
      </c>
      <c r="X3661" s="8">
        <v>1</v>
      </c>
      <c r="Y3661" s="8">
        <v>0</v>
      </c>
      <c r="Z3661" s="8">
        <v>0</v>
      </c>
      <c r="AA3661" s="8">
        <v>5</v>
      </c>
      <c r="AB3661" s="128">
        <v>1000</v>
      </c>
      <c r="AC3661" s="8">
        <v>56</v>
      </c>
      <c r="AD3661" s="159">
        <v>0</v>
      </c>
      <c r="AE3661" s="159">
        <v>5</v>
      </c>
      <c r="AF3661" s="159">
        <v>2</v>
      </c>
      <c r="AG3661" s="159"/>
      <c r="AH3661" s="159"/>
      <c r="AI3661" s="159"/>
      <c r="AJ3661" s="159"/>
      <c r="AK3661" s="159"/>
      <c r="AL3661" s="8"/>
      <c r="AM3661" s="8"/>
      <c r="AN3661" s="8"/>
      <c r="AO3661" s="8"/>
      <c r="AP3661" s="8"/>
      <c r="AQ3661" s="8"/>
      <c r="AR3661" s="236"/>
      <c r="AS3661">
        <v>1</v>
      </c>
    </row>
    <row r="3662" spans="1:45">
      <c r="A3662">
        <v>931095</v>
      </c>
      <c r="B3662">
        <v>1001</v>
      </c>
      <c r="C3662">
        <v>6</v>
      </c>
      <c r="D3662">
        <v>1001</v>
      </c>
      <c r="E3662" s="8" t="s">
        <v>8923</v>
      </c>
      <c r="F3662" s="8" t="s">
        <v>8923</v>
      </c>
      <c r="G3662" s="8" t="s">
        <v>8924</v>
      </c>
      <c r="H3662" s="3" t="s">
        <v>204</v>
      </c>
      <c r="I3662" s="8">
        <v>1</v>
      </c>
      <c r="J3662" s="8">
        <v>4</v>
      </c>
      <c r="K3662" s="8">
        <v>2</v>
      </c>
      <c r="L3662" s="8">
        <v>999</v>
      </c>
      <c r="M3662" s="8">
        <v>0</v>
      </c>
      <c r="N3662" s="8">
        <v>1018</v>
      </c>
      <c r="O3662" t="s">
        <v>8925</v>
      </c>
      <c r="P3662" s="8"/>
      <c r="Q3662" s="8"/>
      <c r="R3662" s="8"/>
      <c r="S3662" s="8">
        <v>1</v>
      </c>
      <c r="T3662" s="8">
        <v>5</v>
      </c>
      <c r="U3662" s="8">
        <v>200</v>
      </c>
      <c r="V3662" s="8">
        <v>1</v>
      </c>
      <c r="W3662" s="8">
        <v>1</v>
      </c>
      <c r="X3662" s="8">
        <v>1</v>
      </c>
      <c r="Y3662" s="8">
        <v>0</v>
      </c>
      <c r="Z3662" s="8">
        <v>0</v>
      </c>
      <c r="AA3662" s="8">
        <v>5</v>
      </c>
      <c r="AB3662" s="128">
        <v>1000</v>
      </c>
      <c r="AC3662" s="8">
        <v>56</v>
      </c>
      <c r="AD3662" s="159">
        <v>0</v>
      </c>
      <c r="AE3662" s="159">
        <v>5</v>
      </c>
      <c r="AF3662" s="159">
        <v>2</v>
      </c>
      <c r="AG3662" s="159"/>
      <c r="AH3662" s="159"/>
      <c r="AI3662" s="159"/>
      <c r="AJ3662" s="159"/>
      <c r="AK3662" s="159"/>
      <c r="AL3662" s="8"/>
      <c r="AM3662" s="8"/>
      <c r="AN3662" s="8"/>
      <c r="AO3662" s="8"/>
      <c r="AP3662" s="8"/>
      <c r="AQ3662" s="8"/>
      <c r="AS3662">
        <v>1</v>
      </c>
    </row>
    <row r="3663" spans="1:45">
      <c r="A3663">
        <v>931096</v>
      </c>
      <c r="B3663">
        <v>1001</v>
      </c>
      <c r="C3663">
        <v>6</v>
      </c>
      <c r="D3663">
        <v>1001</v>
      </c>
      <c r="E3663" s="8" t="s">
        <v>8926</v>
      </c>
      <c r="F3663" s="8" t="s">
        <v>8926</v>
      </c>
      <c r="G3663" s="8" t="s">
        <v>8927</v>
      </c>
      <c r="H3663" s="3" t="s">
        <v>204</v>
      </c>
      <c r="I3663" s="8">
        <v>1</v>
      </c>
      <c r="J3663" s="8">
        <v>3</v>
      </c>
      <c r="K3663" s="8">
        <v>2</v>
      </c>
      <c r="L3663" s="8">
        <v>999</v>
      </c>
      <c r="M3663" s="8">
        <v>0</v>
      </c>
      <c r="N3663" s="8">
        <v>1018</v>
      </c>
      <c r="O3663" t="s">
        <v>8928</v>
      </c>
      <c r="P3663" s="8"/>
      <c r="Q3663" s="8"/>
      <c r="R3663" s="8"/>
      <c r="S3663" s="8">
        <v>1</v>
      </c>
      <c r="T3663" s="8">
        <v>5</v>
      </c>
      <c r="U3663" s="8">
        <v>200</v>
      </c>
      <c r="V3663" s="8">
        <v>1</v>
      </c>
      <c r="W3663" s="8">
        <v>1</v>
      </c>
      <c r="X3663" s="8">
        <v>1</v>
      </c>
      <c r="Y3663" s="8">
        <v>0</v>
      </c>
      <c r="Z3663" s="8">
        <v>0</v>
      </c>
      <c r="AA3663" s="8">
        <v>5</v>
      </c>
      <c r="AB3663" s="128">
        <v>1000</v>
      </c>
      <c r="AC3663" s="8">
        <v>56</v>
      </c>
      <c r="AD3663" s="159">
        <v>0</v>
      </c>
      <c r="AE3663" s="159">
        <v>5</v>
      </c>
      <c r="AF3663" s="159">
        <v>2</v>
      </c>
      <c r="AG3663" s="159"/>
      <c r="AH3663" s="159"/>
      <c r="AI3663" s="159"/>
      <c r="AJ3663" s="159"/>
      <c r="AK3663" s="159"/>
      <c r="AL3663" s="8"/>
      <c r="AM3663" s="8"/>
      <c r="AN3663" s="8"/>
      <c r="AO3663" s="8"/>
      <c r="AP3663" s="8"/>
      <c r="AQ3663" s="8"/>
      <c r="AS3663">
        <v>1</v>
      </c>
    </row>
    <row r="3664" spans="1:45">
      <c r="A3664">
        <v>931097</v>
      </c>
      <c r="B3664">
        <v>1001</v>
      </c>
      <c r="C3664">
        <v>1</v>
      </c>
      <c r="D3664">
        <v>1001</v>
      </c>
      <c r="E3664" s="8" t="s">
        <v>8929</v>
      </c>
      <c r="F3664" s="8" t="s">
        <v>8929</v>
      </c>
      <c r="G3664" s="8" t="s">
        <v>8930</v>
      </c>
      <c r="H3664" s="3" t="s">
        <v>5441</v>
      </c>
      <c r="I3664" s="8">
        <v>1</v>
      </c>
      <c r="J3664" s="8">
        <v>5</v>
      </c>
      <c r="K3664" s="8">
        <v>1</v>
      </c>
      <c r="L3664" s="8">
        <v>999</v>
      </c>
      <c r="M3664" s="8">
        <v>0</v>
      </c>
      <c r="N3664" s="8"/>
      <c r="P3664" s="8"/>
      <c r="Q3664" s="8"/>
      <c r="R3664" s="8"/>
      <c r="S3664" s="8">
        <v>1</v>
      </c>
      <c r="T3664" s="8">
        <v>5</v>
      </c>
      <c r="U3664" s="8">
        <v>1</v>
      </c>
      <c r="V3664" s="8">
        <v>1</v>
      </c>
      <c r="W3664" s="8">
        <v>1</v>
      </c>
      <c r="X3664" s="8">
        <v>1</v>
      </c>
      <c r="Y3664" s="8">
        <v>0</v>
      </c>
      <c r="Z3664" s="8">
        <v>0</v>
      </c>
      <c r="AA3664" s="8">
        <v>5</v>
      </c>
      <c r="AB3664" s="128">
        <v>100</v>
      </c>
      <c r="AC3664" s="8">
        <v>70</v>
      </c>
      <c r="AD3664" s="159">
        <v>0</v>
      </c>
      <c r="AE3664" s="159"/>
      <c r="AF3664" s="159"/>
      <c r="AG3664" s="159"/>
      <c r="AH3664" s="159"/>
      <c r="AI3664" s="159"/>
      <c r="AJ3664" s="159"/>
      <c r="AK3664" s="159"/>
      <c r="AL3664" s="8">
        <v>1</v>
      </c>
      <c r="AM3664" s="8"/>
      <c r="AN3664" s="8"/>
      <c r="AO3664" s="8"/>
      <c r="AP3664" s="8"/>
      <c r="AQ3664" s="8" t="s">
        <v>5442</v>
      </c>
      <c r="AS3664">
        <v>1</v>
      </c>
    </row>
    <row r="3665" spans="1:45">
      <c r="A3665">
        <v>931098</v>
      </c>
      <c r="B3665">
        <v>1001</v>
      </c>
      <c r="C3665">
        <v>1</v>
      </c>
      <c r="D3665">
        <v>1001</v>
      </c>
      <c r="E3665" s="8" t="s">
        <v>8931</v>
      </c>
      <c r="F3665" s="8" t="s">
        <v>8931</v>
      </c>
      <c r="G3665" s="8" t="s">
        <v>8932</v>
      </c>
      <c r="H3665" s="3" t="s">
        <v>6874</v>
      </c>
      <c r="I3665" s="8">
        <v>1</v>
      </c>
      <c r="J3665" s="8">
        <v>5</v>
      </c>
      <c r="K3665" s="8">
        <v>2</v>
      </c>
      <c r="L3665" s="8">
        <v>999</v>
      </c>
      <c r="M3665" s="8">
        <v>0</v>
      </c>
      <c r="N3665" s="8">
        <v>1063</v>
      </c>
      <c r="O3665"/>
      <c r="P3665" s="8"/>
      <c r="Q3665" s="8"/>
      <c r="R3665" s="8"/>
      <c r="S3665" s="8">
        <v>1</v>
      </c>
      <c r="T3665" s="8">
        <v>5</v>
      </c>
      <c r="U3665" s="8">
        <v>1</v>
      </c>
      <c r="V3665" s="8">
        <v>1</v>
      </c>
      <c r="W3665" s="8">
        <v>1</v>
      </c>
      <c r="X3665" s="8">
        <v>1</v>
      </c>
      <c r="Y3665" s="8">
        <v>0</v>
      </c>
      <c r="Z3665" s="8">
        <v>0</v>
      </c>
      <c r="AA3665" s="8">
        <v>5</v>
      </c>
      <c r="AB3665" s="128">
        <v>100</v>
      </c>
      <c r="AC3665" s="8">
        <v>70</v>
      </c>
      <c r="AD3665" s="159">
        <v>0</v>
      </c>
      <c r="AE3665" s="159">
        <v>1</v>
      </c>
      <c r="AF3665" s="159">
        <v>1</v>
      </c>
      <c r="AG3665" s="159"/>
      <c r="AH3665" s="159"/>
      <c r="AI3665" s="159"/>
      <c r="AJ3665" s="159"/>
      <c r="AK3665" s="159"/>
      <c r="AL3665" s="8"/>
      <c r="AM3665" s="8"/>
      <c r="AN3665" s="8"/>
      <c r="AO3665" s="8"/>
      <c r="AP3665" s="8"/>
      <c r="AQ3665" s="8"/>
      <c r="AS3665">
        <v>1</v>
      </c>
    </row>
    <row r="3666" spans="1:45">
      <c r="A3666">
        <v>931099</v>
      </c>
      <c r="B3666" s="238">
        <v>1001</v>
      </c>
      <c r="C3666" s="238">
        <v>1</v>
      </c>
      <c r="D3666" s="238">
        <v>1001</v>
      </c>
      <c r="E3666" s="8" t="s">
        <v>8933</v>
      </c>
      <c r="F3666" s="8" t="s">
        <v>8933</v>
      </c>
      <c r="G3666" s="8" t="s">
        <v>8934</v>
      </c>
      <c r="H3666" s="3" t="s">
        <v>6874</v>
      </c>
      <c r="I3666" s="236">
        <v>1</v>
      </c>
      <c r="J3666" s="236">
        <v>5</v>
      </c>
      <c r="K3666" s="236">
        <v>2</v>
      </c>
      <c r="L3666" s="8">
        <v>999</v>
      </c>
      <c r="M3666" s="8">
        <v>0</v>
      </c>
      <c r="N3666" s="236">
        <v>1062</v>
      </c>
      <c r="O3666">
        <v>1</v>
      </c>
      <c r="P3666" s="236"/>
      <c r="Q3666" s="236"/>
      <c r="R3666" s="236"/>
      <c r="S3666" s="8">
        <v>1</v>
      </c>
      <c r="T3666" s="8">
        <v>5</v>
      </c>
      <c r="U3666" s="8">
        <v>1</v>
      </c>
      <c r="V3666" s="8">
        <v>1</v>
      </c>
      <c r="W3666" s="236">
        <v>1</v>
      </c>
      <c r="X3666" s="8">
        <v>1</v>
      </c>
      <c r="Y3666" s="8">
        <v>0</v>
      </c>
      <c r="Z3666" s="236">
        <v>0</v>
      </c>
      <c r="AA3666" s="236">
        <v>5</v>
      </c>
      <c r="AB3666" s="395">
        <v>100</v>
      </c>
      <c r="AC3666" s="8">
        <v>70</v>
      </c>
      <c r="AD3666" s="456">
        <v>0</v>
      </c>
      <c r="AE3666" s="456">
        <v>4</v>
      </c>
      <c r="AF3666" s="456">
        <v>1</v>
      </c>
      <c r="AG3666" s="456"/>
      <c r="AH3666" s="456"/>
      <c r="AI3666" s="456"/>
      <c r="AJ3666" s="456"/>
      <c r="AK3666" s="456"/>
      <c r="AL3666" s="236"/>
      <c r="AM3666" s="236"/>
      <c r="AN3666" s="8"/>
      <c r="AO3666" s="8"/>
      <c r="AP3666" s="236"/>
      <c r="AQ3666" s="8"/>
      <c r="AS3666">
        <v>1</v>
      </c>
    </row>
    <row r="3667" spans="1:45">
      <c r="A3667" s="34">
        <v>933007</v>
      </c>
      <c r="B3667" s="236">
        <v>1001</v>
      </c>
      <c r="C3667" s="236">
        <v>1</v>
      </c>
      <c r="D3667" s="236">
        <v>1001</v>
      </c>
      <c r="E3667" s="253" t="s">
        <v>8935</v>
      </c>
      <c r="F3667" s="253" t="s">
        <v>8935</v>
      </c>
      <c r="G3667" s="253" t="s">
        <v>8935</v>
      </c>
      <c r="H3667" t="s">
        <v>4268</v>
      </c>
      <c r="I3667">
        <v>1</v>
      </c>
      <c r="J3667" s="69">
        <v>4</v>
      </c>
      <c r="K3667" s="33">
        <v>2</v>
      </c>
      <c r="L3667" s="236">
        <v>999</v>
      </c>
      <c r="M3667" s="236">
        <v>0</v>
      </c>
      <c r="N3667">
        <v>1021</v>
      </c>
      <c r="O3667" s="249">
        <v>1</v>
      </c>
      <c r="S3667" s="8">
        <v>1</v>
      </c>
      <c r="T3667" s="8">
        <v>5</v>
      </c>
      <c r="U3667" s="8">
        <v>170</v>
      </c>
      <c r="V3667" s="8">
        <v>1</v>
      </c>
      <c r="W3667">
        <v>1</v>
      </c>
      <c r="X3667" s="8">
        <v>1</v>
      </c>
      <c r="Y3667" s="8">
        <v>0</v>
      </c>
      <c r="Z3667" s="33">
        <v>0</v>
      </c>
      <c r="AA3667">
        <v>5</v>
      </c>
      <c r="AB3667" s="238">
        <v>6460</v>
      </c>
      <c r="AC3667" s="8">
        <v>10000</v>
      </c>
      <c r="AD3667" s="12"/>
      <c r="AE3667" s="12">
        <v>4</v>
      </c>
      <c r="AF3667" s="12">
        <v>1</v>
      </c>
      <c r="AG3667" s="430"/>
      <c r="AH3667" s="430"/>
      <c r="AI3667" s="430"/>
      <c r="AJ3667" s="430"/>
      <c r="AK3667" s="430"/>
      <c r="AL3667" s="214">
        <v>1</v>
      </c>
      <c r="AM3667" s="214"/>
      <c r="AN3667" s="481"/>
      <c r="AO3667" s="482"/>
      <c r="AP3667" s="214"/>
      <c r="AQ3667" s="253" t="s">
        <v>4269</v>
      </c>
      <c r="AS3667">
        <v>1</v>
      </c>
    </row>
    <row r="3668" spans="1:45">
      <c r="A3668">
        <v>931100</v>
      </c>
      <c r="B3668">
        <v>1001</v>
      </c>
      <c r="C3668">
        <v>1</v>
      </c>
      <c r="D3668">
        <v>1001</v>
      </c>
      <c r="E3668" t="s">
        <v>8936</v>
      </c>
      <c r="F3668" t="s">
        <v>8936</v>
      </c>
      <c r="G3668" t="s">
        <v>8937</v>
      </c>
      <c r="H3668" t="s">
        <v>8938</v>
      </c>
      <c r="I3668">
        <v>1</v>
      </c>
      <c r="J3668">
        <v>5</v>
      </c>
      <c r="K3668" s="33">
        <v>2</v>
      </c>
      <c r="L3668">
        <v>999</v>
      </c>
      <c r="M3668">
        <v>0</v>
      </c>
      <c r="N3668">
        <v>1057</v>
      </c>
      <c r="O3668" s="2">
        <v>2</v>
      </c>
      <c r="S3668" s="89">
        <v>1</v>
      </c>
      <c r="T3668" s="8">
        <v>3</v>
      </c>
      <c r="U3668" s="89">
        <v>150</v>
      </c>
      <c r="V3668" s="87">
        <v>1</v>
      </c>
      <c r="W3668">
        <v>1</v>
      </c>
      <c r="X3668" s="8">
        <v>1</v>
      </c>
      <c r="Y3668" s="8">
        <v>0</v>
      </c>
      <c r="Z3668" s="33">
        <v>0</v>
      </c>
      <c r="AA3668">
        <v>3</v>
      </c>
      <c r="AB3668" s="89">
        <v>6460</v>
      </c>
      <c r="AC3668" s="87">
        <v>10000</v>
      </c>
      <c r="AD3668" s="62">
        <v>0</v>
      </c>
      <c r="AE3668" s="62">
        <v>1</v>
      </c>
      <c r="AF3668" s="62">
        <v>1</v>
      </c>
      <c r="AS3668">
        <v>1</v>
      </c>
    </row>
    <row r="3669" spans="1:45">
      <c r="A3669">
        <v>931101</v>
      </c>
      <c r="B3669">
        <v>1001</v>
      </c>
      <c r="C3669">
        <v>1</v>
      </c>
      <c r="D3669">
        <v>1001</v>
      </c>
      <c r="E3669" t="s">
        <v>8939</v>
      </c>
      <c r="F3669" t="s">
        <v>8939</v>
      </c>
      <c r="G3669" t="s">
        <v>8940</v>
      </c>
      <c r="H3669" t="s">
        <v>8941</v>
      </c>
      <c r="I3669">
        <v>1</v>
      </c>
      <c r="J3669">
        <v>5</v>
      </c>
      <c r="K3669" s="33">
        <v>2</v>
      </c>
      <c r="L3669">
        <v>999</v>
      </c>
      <c r="M3669">
        <v>0</v>
      </c>
      <c r="N3669">
        <v>1057</v>
      </c>
      <c r="O3669" s="2">
        <v>3</v>
      </c>
      <c r="S3669" s="89">
        <v>1</v>
      </c>
      <c r="T3669" s="8">
        <v>3</v>
      </c>
      <c r="U3669" s="89">
        <v>150</v>
      </c>
      <c r="V3669" s="87">
        <v>1</v>
      </c>
      <c r="W3669">
        <v>1</v>
      </c>
      <c r="X3669" s="8">
        <v>1</v>
      </c>
      <c r="Y3669" s="8">
        <v>0</v>
      </c>
      <c r="Z3669" s="33">
        <v>0</v>
      </c>
      <c r="AA3669">
        <v>3</v>
      </c>
      <c r="AB3669" s="89">
        <v>6460</v>
      </c>
      <c r="AC3669" s="87">
        <v>10000</v>
      </c>
      <c r="AD3669" s="62">
        <v>0</v>
      </c>
      <c r="AE3669" s="62">
        <v>1</v>
      </c>
      <c r="AF3669" s="62">
        <v>1</v>
      </c>
      <c r="AS3669">
        <v>1</v>
      </c>
    </row>
    <row r="3670" spans="1:45">
      <c r="A3670">
        <v>931102</v>
      </c>
      <c r="B3670">
        <v>1001</v>
      </c>
      <c r="C3670">
        <v>1</v>
      </c>
      <c r="D3670">
        <v>1001</v>
      </c>
      <c r="E3670" t="s">
        <v>8942</v>
      </c>
      <c r="F3670" t="s">
        <v>8942</v>
      </c>
      <c r="G3670" t="s">
        <v>8943</v>
      </c>
      <c r="H3670" t="s">
        <v>8944</v>
      </c>
      <c r="I3670">
        <v>1</v>
      </c>
      <c r="J3670">
        <v>5</v>
      </c>
      <c r="K3670" s="33">
        <v>2</v>
      </c>
      <c r="L3670">
        <v>999</v>
      </c>
      <c r="M3670">
        <v>0</v>
      </c>
      <c r="N3670">
        <v>1057</v>
      </c>
      <c r="O3670" s="2">
        <v>4</v>
      </c>
      <c r="S3670" s="89">
        <v>1</v>
      </c>
      <c r="T3670" s="8">
        <v>3</v>
      </c>
      <c r="U3670" s="89">
        <v>150</v>
      </c>
      <c r="V3670" s="87">
        <v>1</v>
      </c>
      <c r="W3670">
        <v>1</v>
      </c>
      <c r="X3670" s="8">
        <v>1</v>
      </c>
      <c r="Y3670" s="8">
        <v>0</v>
      </c>
      <c r="Z3670" s="33">
        <v>0</v>
      </c>
      <c r="AA3670">
        <v>3</v>
      </c>
      <c r="AB3670" s="89">
        <v>6460</v>
      </c>
      <c r="AC3670" s="87">
        <v>10000</v>
      </c>
      <c r="AD3670" s="62">
        <v>0</v>
      </c>
      <c r="AE3670" s="62">
        <v>1</v>
      </c>
      <c r="AF3670" s="62">
        <v>1</v>
      </c>
      <c r="AS3670">
        <v>1</v>
      </c>
    </row>
    <row r="3671" spans="1:45">
      <c r="A3671">
        <v>931103</v>
      </c>
      <c r="B3671" s="238">
        <v>1001</v>
      </c>
      <c r="C3671">
        <v>1</v>
      </c>
      <c r="D3671" s="238">
        <v>1001</v>
      </c>
      <c r="E3671" t="s">
        <v>8945</v>
      </c>
      <c r="F3671" t="s">
        <v>8945</v>
      </c>
      <c r="G3671" t="s">
        <v>8946</v>
      </c>
      <c r="H3671" t="s">
        <v>8947</v>
      </c>
      <c r="I3671">
        <v>1</v>
      </c>
      <c r="J3671">
        <v>5</v>
      </c>
      <c r="K3671" s="33">
        <v>2</v>
      </c>
      <c r="L3671">
        <v>999</v>
      </c>
      <c r="M3671">
        <v>0</v>
      </c>
      <c r="N3671">
        <v>1057</v>
      </c>
      <c r="O3671" s="2">
        <v>5</v>
      </c>
      <c r="S3671" s="336">
        <v>1</v>
      </c>
      <c r="T3671" s="236">
        <v>3</v>
      </c>
      <c r="U3671" s="336">
        <v>150</v>
      </c>
      <c r="V3671" s="248">
        <v>1</v>
      </c>
      <c r="W3671">
        <v>1</v>
      </c>
      <c r="X3671" s="236">
        <v>1</v>
      </c>
      <c r="Y3671" s="236">
        <v>0</v>
      </c>
      <c r="Z3671" s="33">
        <v>0</v>
      </c>
      <c r="AA3671">
        <v>3</v>
      </c>
      <c r="AB3671" s="336">
        <v>6460</v>
      </c>
      <c r="AC3671" s="248">
        <v>10000</v>
      </c>
      <c r="AD3671" s="62">
        <v>0</v>
      </c>
      <c r="AE3671" s="62">
        <v>1</v>
      </c>
      <c r="AF3671" s="62">
        <v>1</v>
      </c>
      <c r="AS3671">
        <v>1</v>
      </c>
    </row>
    <row r="3672" spans="1:45">
      <c r="A3672">
        <v>931104</v>
      </c>
      <c r="B3672" s="8">
        <v>1001</v>
      </c>
      <c r="C3672">
        <v>6</v>
      </c>
      <c r="D3672" s="8">
        <v>1001</v>
      </c>
      <c r="E3672" t="s">
        <v>8948</v>
      </c>
      <c r="F3672" t="s">
        <v>8948</v>
      </c>
      <c r="G3672" t="s">
        <v>8949</v>
      </c>
      <c r="H3672" t="s">
        <v>6325</v>
      </c>
      <c r="I3672">
        <v>1</v>
      </c>
      <c r="J3672">
        <v>5</v>
      </c>
      <c r="K3672" s="33">
        <v>2</v>
      </c>
      <c r="L3672">
        <v>999</v>
      </c>
      <c r="M3672">
        <v>0</v>
      </c>
      <c r="N3672">
        <v>1035</v>
      </c>
      <c r="O3672" s="561">
        <v>130</v>
      </c>
      <c r="S3672" s="33">
        <v>1</v>
      </c>
      <c r="T3672">
        <v>5</v>
      </c>
      <c r="U3672">
        <v>1</v>
      </c>
      <c r="V3672" s="33">
        <v>1</v>
      </c>
      <c r="W3672">
        <v>1</v>
      </c>
      <c r="X3672">
        <v>1</v>
      </c>
      <c r="Y3672">
        <v>0</v>
      </c>
      <c r="Z3672" s="33">
        <v>0</v>
      </c>
      <c r="AA3672">
        <v>5</v>
      </c>
      <c r="AB3672">
        <v>100</v>
      </c>
      <c r="AC3672">
        <v>70</v>
      </c>
      <c r="AD3672" s="62">
        <v>0</v>
      </c>
      <c r="AE3672" s="62">
        <v>1</v>
      </c>
      <c r="AF3672" s="62">
        <v>1</v>
      </c>
      <c r="AS3672">
        <v>1</v>
      </c>
    </row>
    <row r="3673" spans="1:45">
      <c r="A3673">
        <v>931105</v>
      </c>
      <c r="B3673" s="8">
        <v>1001</v>
      </c>
      <c r="C3673">
        <v>6</v>
      </c>
      <c r="D3673" s="8">
        <v>1001</v>
      </c>
      <c r="E3673" t="s">
        <v>8950</v>
      </c>
      <c r="F3673" t="s">
        <v>8950</v>
      </c>
      <c r="G3673" t="s">
        <v>8951</v>
      </c>
      <c r="H3673" t="s">
        <v>6325</v>
      </c>
      <c r="I3673">
        <v>1</v>
      </c>
      <c r="J3673">
        <v>5</v>
      </c>
      <c r="K3673" s="33">
        <v>2</v>
      </c>
      <c r="L3673">
        <v>999</v>
      </c>
      <c r="M3673">
        <v>0</v>
      </c>
      <c r="N3673">
        <v>1035</v>
      </c>
      <c r="O3673" s="561">
        <v>131</v>
      </c>
      <c r="S3673" s="33">
        <v>1</v>
      </c>
      <c r="T3673">
        <v>5</v>
      </c>
      <c r="U3673">
        <v>1</v>
      </c>
      <c r="V3673" s="33">
        <v>1</v>
      </c>
      <c r="W3673">
        <v>1</v>
      </c>
      <c r="X3673">
        <v>1</v>
      </c>
      <c r="Y3673">
        <v>0</v>
      </c>
      <c r="Z3673" s="33">
        <v>0</v>
      </c>
      <c r="AA3673">
        <v>5</v>
      </c>
      <c r="AB3673">
        <v>100</v>
      </c>
      <c r="AC3673">
        <v>70</v>
      </c>
      <c r="AD3673" s="62">
        <v>0</v>
      </c>
      <c r="AE3673" s="62">
        <v>1</v>
      </c>
      <c r="AF3673" s="62">
        <v>1</v>
      </c>
      <c r="AS3673">
        <v>1</v>
      </c>
    </row>
    <row r="3674" spans="1:45">
      <c r="A3674">
        <v>931106</v>
      </c>
      <c r="B3674" s="8">
        <v>1001</v>
      </c>
      <c r="C3674">
        <v>6</v>
      </c>
      <c r="D3674" s="8">
        <v>1001</v>
      </c>
      <c r="E3674" t="s">
        <v>8952</v>
      </c>
      <c r="F3674" t="s">
        <v>8952</v>
      </c>
      <c r="G3674" t="s">
        <v>8953</v>
      </c>
      <c r="H3674" t="s">
        <v>6325</v>
      </c>
      <c r="I3674">
        <v>1</v>
      </c>
      <c r="J3674">
        <v>5</v>
      </c>
      <c r="K3674" s="33">
        <v>2</v>
      </c>
      <c r="L3674">
        <v>999</v>
      </c>
      <c r="M3674">
        <v>0</v>
      </c>
      <c r="N3674">
        <v>1035</v>
      </c>
      <c r="O3674" s="561">
        <v>132</v>
      </c>
      <c r="S3674" s="33">
        <v>1</v>
      </c>
      <c r="T3674">
        <v>5</v>
      </c>
      <c r="U3674">
        <v>1</v>
      </c>
      <c r="V3674" s="33">
        <v>1</v>
      </c>
      <c r="W3674">
        <v>1</v>
      </c>
      <c r="X3674">
        <v>1</v>
      </c>
      <c r="Y3674">
        <v>0</v>
      </c>
      <c r="Z3674" s="33">
        <v>0</v>
      </c>
      <c r="AA3674">
        <v>5</v>
      </c>
      <c r="AB3674">
        <v>100</v>
      </c>
      <c r="AC3674">
        <v>70</v>
      </c>
      <c r="AD3674" s="62">
        <v>0</v>
      </c>
      <c r="AE3674" s="62">
        <v>1</v>
      </c>
      <c r="AF3674" s="62">
        <v>1</v>
      </c>
      <c r="AS3674">
        <v>1</v>
      </c>
    </row>
    <row r="3675" spans="1:45">
      <c r="A3675">
        <v>931107</v>
      </c>
      <c r="B3675" s="8">
        <v>1001</v>
      </c>
      <c r="C3675">
        <v>6</v>
      </c>
      <c r="D3675" s="8">
        <v>1001</v>
      </c>
      <c r="E3675" t="s">
        <v>8954</v>
      </c>
      <c r="F3675" t="s">
        <v>8954</v>
      </c>
      <c r="G3675" t="s">
        <v>8955</v>
      </c>
      <c r="H3675" t="s">
        <v>6325</v>
      </c>
      <c r="I3675">
        <v>1</v>
      </c>
      <c r="J3675">
        <v>5</v>
      </c>
      <c r="K3675" s="33">
        <v>2</v>
      </c>
      <c r="L3675">
        <v>999</v>
      </c>
      <c r="M3675">
        <v>0</v>
      </c>
      <c r="N3675">
        <v>1035</v>
      </c>
      <c r="O3675" s="561">
        <v>133</v>
      </c>
      <c r="S3675" s="33">
        <v>1</v>
      </c>
      <c r="T3675">
        <v>5</v>
      </c>
      <c r="U3675">
        <v>1</v>
      </c>
      <c r="V3675" s="33">
        <v>1</v>
      </c>
      <c r="W3675">
        <v>1</v>
      </c>
      <c r="X3675">
        <v>1</v>
      </c>
      <c r="Y3675">
        <v>0</v>
      </c>
      <c r="Z3675" s="33">
        <v>0</v>
      </c>
      <c r="AA3675">
        <v>5</v>
      </c>
      <c r="AB3675">
        <v>100</v>
      </c>
      <c r="AC3675">
        <v>70</v>
      </c>
      <c r="AD3675" s="62">
        <v>0</v>
      </c>
      <c r="AE3675" s="62">
        <v>1</v>
      </c>
      <c r="AF3675" s="62">
        <v>1</v>
      </c>
      <c r="AS3675">
        <v>1</v>
      </c>
    </row>
    <row r="3676" spans="1:45">
      <c r="A3676">
        <v>931108</v>
      </c>
      <c r="B3676" s="8">
        <v>1001</v>
      </c>
      <c r="C3676">
        <v>6</v>
      </c>
      <c r="D3676" s="8">
        <v>1001</v>
      </c>
      <c r="E3676" t="s">
        <v>8956</v>
      </c>
      <c r="F3676" t="s">
        <v>8956</v>
      </c>
      <c r="G3676" t="s">
        <v>8957</v>
      </c>
      <c r="H3676" t="s">
        <v>6325</v>
      </c>
      <c r="I3676">
        <v>1</v>
      </c>
      <c r="J3676">
        <v>5</v>
      </c>
      <c r="K3676" s="33">
        <v>2</v>
      </c>
      <c r="L3676">
        <v>999</v>
      </c>
      <c r="M3676">
        <v>0</v>
      </c>
      <c r="N3676">
        <v>1035</v>
      </c>
      <c r="O3676" s="561">
        <v>134</v>
      </c>
      <c r="S3676" s="33">
        <v>1</v>
      </c>
      <c r="T3676">
        <v>5</v>
      </c>
      <c r="U3676">
        <v>1</v>
      </c>
      <c r="V3676" s="33">
        <v>1</v>
      </c>
      <c r="W3676">
        <v>1</v>
      </c>
      <c r="X3676">
        <v>1</v>
      </c>
      <c r="Y3676">
        <v>0</v>
      </c>
      <c r="Z3676" s="33">
        <v>0</v>
      </c>
      <c r="AA3676">
        <v>5</v>
      </c>
      <c r="AB3676">
        <v>100</v>
      </c>
      <c r="AC3676">
        <v>70</v>
      </c>
      <c r="AD3676" s="62">
        <v>0</v>
      </c>
      <c r="AE3676" s="62">
        <v>1</v>
      </c>
      <c r="AF3676" s="62">
        <v>1</v>
      </c>
      <c r="AS3676">
        <v>1</v>
      </c>
    </row>
    <row r="3677" spans="1:45">
      <c r="A3677">
        <v>931109</v>
      </c>
      <c r="B3677" s="8">
        <v>1001</v>
      </c>
      <c r="C3677">
        <v>6</v>
      </c>
      <c r="D3677" s="8">
        <v>1001</v>
      </c>
      <c r="E3677" t="s">
        <v>8958</v>
      </c>
      <c r="F3677" t="s">
        <v>8958</v>
      </c>
      <c r="G3677" t="s">
        <v>8959</v>
      </c>
      <c r="H3677" t="s">
        <v>6325</v>
      </c>
      <c r="I3677">
        <v>1</v>
      </c>
      <c r="J3677">
        <v>5</v>
      </c>
      <c r="K3677" s="33">
        <v>2</v>
      </c>
      <c r="L3677">
        <v>999</v>
      </c>
      <c r="M3677">
        <v>0</v>
      </c>
      <c r="N3677">
        <v>1035</v>
      </c>
      <c r="O3677" s="561">
        <v>135</v>
      </c>
      <c r="S3677" s="33">
        <v>1</v>
      </c>
      <c r="T3677">
        <v>5</v>
      </c>
      <c r="U3677">
        <v>1</v>
      </c>
      <c r="V3677" s="33">
        <v>1</v>
      </c>
      <c r="W3677">
        <v>1</v>
      </c>
      <c r="X3677">
        <v>1</v>
      </c>
      <c r="Y3677">
        <v>0</v>
      </c>
      <c r="Z3677" s="33">
        <v>0</v>
      </c>
      <c r="AA3677">
        <v>5</v>
      </c>
      <c r="AB3677">
        <v>100</v>
      </c>
      <c r="AC3677">
        <v>70</v>
      </c>
      <c r="AD3677" s="62">
        <v>0</v>
      </c>
      <c r="AE3677" s="62">
        <v>1</v>
      </c>
      <c r="AF3677" s="62">
        <v>1</v>
      </c>
      <c r="AS3677">
        <v>1</v>
      </c>
    </row>
    <row r="3678" spans="1:45">
      <c r="A3678">
        <v>931110</v>
      </c>
      <c r="B3678" s="8">
        <v>1001</v>
      </c>
      <c r="C3678">
        <v>6</v>
      </c>
      <c r="D3678" s="8">
        <v>1001</v>
      </c>
      <c r="E3678" t="s">
        <v>8960</v>
      </c>
      <c r="F3678" t="s">
        <v>8960</v>
      </c>
      <c r="G3678" t="s">
        <v>8961</v>
      </c>
      <c r="H3678" t="s">
        <v>6325</v>
      </c>
      <c r="I3678">
        <v>1</v>
      </c>
      <c r="J3678">
        <v>5</v>
      </c>
      <c r="K3678" s="33">
        <v>2</v>
      </c>
      <c r="L3678">
        <v>999</v>
      </c>
      <c r="M3678">
        <v>0</v>
      </c>
      <c r="N3678">
        <v>1035</v>
      </c>
      <c r="O3678" s="561">
        <v>136</v>
      </c>
      <c r="S3678" s="33">
        <v>1</v>
      </c>
      <c r="T3678">
        <v>5</v>
      </c>
      <c r="U3678">
        <v>1</v>
      </c>
      <c r="V3678" s="33">
        <v>1</v>
      </c>
      <c r="W3678">
        <v>1</v>
      </c>
      <c r="X3678">
        <v>1</v>
      </c>
      <c r="Y3678">
        <v>0</v>
      </c>
      <c r="Z3678" s="33">
        <v>0</v>
      </c>
      <c r="AA3678">
        <v>5</v>
      </c>
      <c r="AB3678">
        <v>100</v>
      </c>
      <c r="AC3678">
        <v>70</v>
      </c>
      <c r="AD3678" s="62">
        <v>0</v>
      </c>
      <c r="AE3678" s="62">
        <v>1</v>
      </c>
      <c r="AF3678" s="62">
        <v>1</v>
      </c>
      <c r="AS3678">
        <v>1</v>
      </c>
    </row>
    <row r="3679" spans="1:45">
      <c r="A3679">
        <v>931111</v>
      </c>
      <c r="B3679" s="8">
        <v>1001</v>
      </c>
      <c r="C3679">
        <v>6</v>
      </c>
      <c r="D3679" s="8">
        <v>1001</v>
      </c>
      <c r="E3679" t="s">
        <v>8962</v>
      </c>
      <c r="F3679" t="s">
        <v>8962</v>
      </c>
      <c r="G3679" t="s">
        <v>8963</v>
      </c>
      <c r="H3679" t="s">
        <v>6325</v>
      </c>
      <c r="I3679">
        <v>1</v>
      </c>
      <c r="J3679">
        <v>5</v>
      </c>
      <c r="K3679" s="33">
        <v>2</v>
      </c>
      <c r="L3679">
        <v>999</v>
      </c>
      <c r="M3679">
        <v>0</v>
      </c>
      <c r="N3679">
        <v>1035</v>
      </c>
      <c r="O3679" s="561">
        <v>137</v>
      </c>
      <c r="S3679" s="33">
        <v>1</v>
      </c>
      <c r="T3679">
        <v>5</v>
      </c>
      <c r="U3679">
        <v>1</v>
      </c>
      <c r="V3679" s="33">
        <v>1</v>
      </c>
      <c r="W3679">
        <v>1</v>
      </c>
      <c r="X3679">
        <v>1</v>
      </c>
      <c r="Y3679">
        <v>0</v>
      </c>
      <c r="Z3679" s="33">
        <v>0</v>
      </c>
      <c r="AA3679">
        <v>5</v>
      </c>
      <c r="AB3679">
        <v>100</v>
      </c>
      <c r="AC3679">
        <v>70</v>
      </c>
      <c r="AD3679" s="62">
        <v>0</v>
      </c>
      <c r="AE3679" s="62">
        <v>1</v>
      </c>
      <c r="AF3679" s="62">
        <v>1</v>
      </c>
      <c r="AS3679">
        <v>1</v>
      </c>
    </row>
    <row r="3680" spans="1:45">
      <c r="A3680">
        <v>931112</v>
      </c>
      <c r="B3680" s="8">
        <v>1001</v>
      </c>
      <c r="C3680">
        <v>6</v>
      </c>
      <c r="D3680" s="8">
        <v>1001</v>
      </c>
      <c r="E3680" t="s">
        <v>8964</v>
      </c>
      <c r="F3680" t="s">
        <v>8964</v>
      </c>
      <c r="G3680" t="s">
        <v>8965</v>
      </c>
      <c r="H3680" t="s">
        <v>6325</v>
      </c>
      <c r="I3680">
        <v>1</v>
      </c>
      <c r="J3680">
        <v>5</v>
      </c>
      <c r="K3680" s="33">
        <v>2</v>
      </c>
      <c r="L3680">
        <v>999</v>
      </c>
      <c r="M3680">
        <v>0</v>
      </c>
      <c r="N3680">
        <v>1035</v>
      </c>
      <c r="O3680" s="561">
        <v>138</v>
      </c>
      <c r="S3680" s="33">
        <v>1</v>
      </c>
      <c r="T3680">
        <v>5</v>
      </c>
      <c r="U3680">
        <v>1</v>
      </c>
      <c r="V3680" s="33">
        <v>1</v>
      </c>
      <c r="W3680">
        <v>1</v>
      </c>
      <c r="X3680">
        <v>1</v>
      </c>
      <c r="Y3680">
        <v>0</v>
      </c>
      <c r="Z3680" s="33">
        <v>0</v>
      </c>
      <c r="AA3680">
        <v>5</v>
      </c>
      <c r="AB3680">
        <v>100</v>
      </c>
      <c r="AC3680">
        <v>70</v>
      </c>
      <c r="AD3680" s="62">
        <v>0</v>
      </c>
      <c r="AE3680" s="62">
        <v>1</v>
      </c>
      <c r="AF3680" s="62">
        <v>1</v>
      </c>
      <c r="AS3680">
        <v>1</v>
      </c>
    </row>
    <row r="3681" spans="1:45">
      <c r="A3681">
        <v>931113</v>
      </c>
      <c r="B3681" s="8">
        <v>1001</v>
      </c>
      <c r="C3681">
        <v>6</v>
      </c>
      <c r="D3681" s="8">
        <v>1001</v>
      </c>
      <c r="E3681" t="s">
        <v>8966</v>
      </c>
      <c r="F3681" t="s">
        <v>8966</v>
      </c>
      <c r="G3681" t="s">
        <v>8967</v>
      </c>
      <c r="H3681" t="s">
        <v>6325</v>
      </c>
      <c r="I3681">
        <v>1</v>
      </c>
      <c r="J3681">
        <v>5</v>
      </c>
      <c r="K3681" s="33">
        <v>2</v>
      </c>
      <c r="L3681">
        <v>999</v>
      </c>
      <c r="M3681">
        <v>0</v>
      </c>
      <c r="N3681">
        <v>1035</v>
      </c>
      <c r="O3681" s="561">
        <v>139</v>
      </c>
      <c r="S3681" s="33">
        <v>1</v>
      </c>
      <c r="T3681">
        <v>5</v>
      </c>
      <c r="U3681">
        <v>1</v>
      </c>
      <c r="V3681" s="33">
        <v>1</v>
      </c>
      <c r="W3681">
        <v>1</v>
      </c>
      <c r="X3681">
        <v>1</v>
      </c>
      <c r="Y3681">
        <v>0</v>
      </c>
      <c r="Z3681" s="33">
        <v>0</v>
      </c>
      <c r="AA3681">
        <v>5</v>
      </c>
      <c r="AB3681">
        <v>100</v>
      </c>
      <c r="AC3681">
        <v>70</v>
      </c>
      <c r="AD3681" s="62">
        <v>0</v>
      </c>
      <c r="AE3681" s="62">
        <v>1</v>
      </c>
      <c r="AF3681" s="62">
        <v>1</v>
      </c>
      <c r="AS3681">
        <v>1</v>
      </c>
    </row>
    <row r="3682" s="3" customFormat="1" spans="1:45">
      <c r="A3682" s="3">
        <v>931114</v>
      </c>
      <c r="B3682" s="236">
        <v>1001</v>
      </c>
      <c r="C3682" s="3">
        <v>6</v>
      </c>
      <c r="D3682" s="236">
        <v>1001</v>
      </c>
      <c r="E3682" s="238" t="s">
        <v>8968</v>
      </c>
      <c r="F3682" s="238" t="s">
        <v>8968</v>
      </c>
      <c r="G3682" s="238" t="s">
        <v>8969</v>
      </c>
      <c r="H3682" s="446" t="s">
        <v>8970</v>
      </c>
      <c r="I3682" s="339">
        <v>1</v>
      </c>
      <c r="J3682" s="339">
        <v>5</v>
      </c>
      <c r="K3682" s="254">
        <v>2</v>
      </c>
      <c r="L3682" s="339">
        <v>999</v>
      </c>
      <c r="M3682" s="339">
        <v>0</v>
      </c>
      <c r="N3682" s="339">
        <v>1037</v>
      </c>
      <c r="O3682" s="2">
        <v>20</v>
      </c>
      <c r="P3682" s="8"/>
      <c r="Q3682" s="8"/>
      <c r="R3682" s="8"/>
      <c r="S3682" s="254">
        <v>1</v>
      </c>
      <c r="T3682" s="339">
        <v>5</v>
      </c>
      <c r="U3682" s="339">
        <v>1</v>
      </c>
      <c r="V3682" s="254">
        <v>1</v>
      </c>
      <c r="W3682" s="339">
        <v>1</v>
      </c>
      <c r="X3682" s="339">
        <v>1</v>
      </c>
      <c r="Y3682" s="339">
        <v>0</v>
      </c>
      <c r="Z3682" s="254">
        <v>0</v>
      </c>
      <c r="AA3682" s="339">
        <v>5</v>
      </c>
      <c r="AB3682" s="339">
        <v>100</v>
      </c>
      <c r="AC3682" s="339">
        <v>70</v>
      </c>
      <c r="AD3682" s="255">
        <v>0</v>
      </c>
      <c r="AE3682" s="255">
        <v>1</v>
      </c>
      <c r="AF3682" s="255">
        <v>1</v>
      </c>
      <c r="AG3682" s="423"/>
      <c r="AH3682" s="423"/>
      <c r="AI3682" s="423"/>
      <c r="AJ3682" s="423"/>
      <c r="AK3682" s="423"/>
      <c r="AL3682" s="256"/>
      <c r="AM3682" s="256"/>
      <c r="AN3682" s="424"/>
      <c r="AO3682" s="256"/>
      <c r="AP3682" s="256"/>
      <c r="AQ3682" s="8"/>
      <c r="AS3682" s="3">
        <v>1</v>
      </c>
    </row>
    <row r="3683" spans="1:45">
      <c r="A3683">
        <v>931115</v>
      </c>
      <c r="B3683">
        <v>1001</v>
      </c>
      <c r="C3683">
        <v>1</v>
      </c>
      <c r="D3683">
        <v>1001</v>
      </c>
      <c r="E3683" s="236" t="s">
        <v>8971</v>
      </c>
      <c r="F3683" s="236" t="s">
        <v>8972</v>
      </c>
      <c r="G3683" s="236" t="s">
        <v>8973</v>
      </c>
      <c r="H3683" t="s">
        <v>6874</v>
      </c>
      <c r="I3683" s="236">
        <v>1</v>
      </c>
      <c r="J3683" s="236">
        <v>5</v>
      </c>
      <c r="K3683" s="236">
        <v>2</v>
      </c>
      <c r="L3683" s="236">
        <v>999</v>
      </c>
      <c r="M3683" s="236">
        <v>0</v>
      </c>
      <c r="N3683" s="236">
        <v>1024</v>
      </c>
      <c r="P3683" s="236"/>
      <c r="Q3683" s="236"/>
      <c r="R3683" s="236"/>
      <c r="S3683" s="236">
        <v>1</v>
      </c>
      <c r="T3683" s="236">
        <v>5</v>
      </c>
      <c r="U3683" s="236">
        <v>1</v>
      </c>
      <c r="V3683" s="236">
        <v>1</v>
      </c>
      <c r="W3683" s="236">
        <v>1</v>
      </c>
      <c r="X3683" s="236">
        <v>1</v>
      </c>
      <c r="Y3683" s="236">
        <v>0</v>
      </c>
      <c r="Z3683" s="236">
        <v>0</v>
      </c>
      <c r="AA3683" s="236">
        <v>5</v>
      </c>
      <c r="AB3683" s="395">
        <v>100</v>
      </c>
      <c r="AC3683" s="236">
        <v>70</v>
      </c>
      <c r="AD3683" s="456">
        <v>0</v>
      </c>
      <c r="AE3683" s="456">
        <v>1</v>
      </c>
      <c r="AF3683" s="456">
        <v>1</v>
      </c>
      <c r="AG3683" s="456"/>
      <c r="AH3683" s="456"/>
      <c r="AI3683" s="456"/>
      <c r="AJ3683" s="456"/>
      <c r="AK3683" s="456"/>
      <c r="AL3683" s="236"/>
      <c r="AM3683" s="236"/>
      <c r="AN3683" s="236"/>
      <c r="AO3683" s="236"/>
      <c r="AP3683" s="236"/>
      <c r="AQ3683" s="236"/>
      <c r="AS3683">
        <v>1</v>
      </c>
    </row>
    <row r="3684" ht="14.25" customHeight="1" spans="1:45">
      <c r="A3684">
        <v>941001</v>
      </c>
      <c r="B3684" s="238">
        <v>1001</v>
      </c>
      <c r="C3684" s="238">
        <v>1</v>
      </c>
      <c r="D3684" s="238">
        <v>1001</v>
      </c>
      <c r="E3684" t="s">
        <v>8974</v>
      </c>
      <c r="F3684" t="s">
        <v>8974</v>
      </c>
      <c r="G3684" t="s">
        <v>8975</v>
      </c>
      <c r="H3684" s="84" t="s">
        <v>8976</v>
      </c>
      <c r="I3684">
        <v>1</v>
      </c>
      <c r="J3684">
        <v>5</v>
      </c>
      <c r="K3684" s="254">
        <v>1</v>
      </c>
      <c r="L3684" s="238">
        <v>999</v>
      </c>
      <c r="M3684" s="238">
        <v>0</v>
      </c>
      <c r="N3684" s="89"/>
      <c r="O3684" s="103"/>
      <c r="P3684" s="89"/>
      <c r="Q3684" s="89"/>
      <c r="R3684" s="89"/>
      <c r="S3684" s="254">
        <v>1</v>
      </c>
      <c r="T3684" s="238">
        <v>5</v>
      </c>
      <c r="U3684" s="238">
        <v>200</v>
      </c>
      <c r="V3684" s="254">
        <v>1</v>
      </c>
      <c r="W3684">
        <v>1</v>
      </c>
      <c r="X3684" s="238">
        <v>1</v>
      </c>
      <c r="Y3684">
        <v>0</v>
      </c>
      <c r="Z3684" s="33">
        <v>0</v>
      </c>
      <c r="AA3684">
        <v>5</v>
      </c>
      <c r="AB3684">
        <v>1000</v>
      </c>
      <c r="AC3684" s="238">
        <v>80</v>
      </c>
      <c r="AD3684" s="104"/>
      <c r="AE3684" s="105"/>
      <c r="AF3684" s="105"/>
      <c r="AG3684" s="106"/>
      <c r="AH3684" s="106"/>
      <c r="AI3684" s="106"/>
      <c r="AJ3684" s="106"/>
      <c r="AK3684" s="106"/>
      <c r="AL3684" s="107"/>
      <c r="AM3684" s="107"/>
      <c r="AN3684" s="93"/>
      <c r="AO3684" s="92"/>
      <c r="AP3684" s="108"/>
      <c r="AS3684">
        <v>1</v>
      </c>
    </row>
    <row r="3685" ht="14.25" customHeight="1" spans="1:45">
      <c r="A3685">
        <v>931116</v>
      </c>
      <c r="B3685" s="89">
        <v>1001</v>
      </c>
      <c r="C3685" s="89">
        <v>2</v>
      </c>
      <c r="D3685" s="8">
        <v>1001</v>
      </c>
      <c r="E3685" s="34" t="s">
        <v>8977</v>
      </c>
      <c r="F3685" s="34" t="s">
        <v>8977</v>
      </c>
      <c r="G3685" s="34" t="s">
        <v>8978</v>
      </c>
      <c r="H3685" t="s">
        <v>8979</v>
      </c>
      <c r="I3685" s="34">
        <v>1</v>
      </c>
      <c r="J3685" s="102">
        <v>4</v>
      </c>
      <c r="K3685" s="89">
        <v>1</v>
      </c>
      <c r="L3685" s="89">
        <v>9999</v>
      </c>
      <c r="M3685" s="89">
        <v>0</v>
      </c>
      <c r="N3685" s="89"/>
      <c r="O3685" s="103"/>
      <c r="P3685" s="89"/>
      <c r="Q3685" s="89"/>
      <c r="R3685" s="89"/>
      <c r="S3685" s="89">
        <v>1</v>
      </c>
      <c r="T3685" s="89">
        <v>5</v>
      </c>
      <c r="U3685" s="89">
        <v>170</v>
      </c>
      <c r="V3685" s="89">
        <v>1</v>
      </c>
      <c r="W3685" s="34">
        <v>1</v>
      </c>
      <c r="X3685" s="89">
        <v>1</v>
      </c>
      <c r="Y3685" s="34">
        <v>0</v>
      </c>
      <c r="Z3685" s="34">
        <v>0</v>
      </c>
      <c r="AA3685" s="34">
        <v>5</v>
      </c>
      <c r="AB3685" s="34">
        <v>6460</v>
      </c>
      <c r="AC3685" s="89">
        <v>830</v>
      </c>
      <c r="AD3685" s="104">
        <v>0</v>
      </c>
      <c r="AE3685" s="105">
        <v>0</v>
      </c>
      <c r="AF3685" s="105">
        <v>0</v>
      </c>
      <c r="AG3685" s="106"/>
      <c r="AH3685" s="106"/>
      <c r="AI3685" s="106"/>
      <c r="AJ3685" s="106"/>
      <c r="AK3685" s="106"/>
      <c r="AL3685" s="107">
        <v>1</v>
      </c>
      <c r="AM3685" s="107"/>
      <c r="AN3685" s="93"/>
      <c r="AO3685" s="92"/>
      <c r="AP3685" s="108"/>
      <c r="AS3685">
        <v>1</v>
      </c>
    </row>
    <row r="3686" ht="14.25" customHeight="1" spans="1:45">
      <c r="A3686">
        <v>931117</v>
      </c>
      <c r="B3686" s="89">
        <v>1001</v>
      </c>
      <c r="C3686" s="89">
        <v>2</v>
      </c>
      <c r="D3686" s="8">
        <v>1001</v>
      </c>
      <c r="E3686" s="340" t="s">
        <v>8980</v>
      </c>
      <c r="F3686" s="340" t="s">
        <v>8980</v>
      </c>
      <c r="G3686" s="340" t="s">
        <v>8981</v>
      </c>
      <c r="H3686" s="101" t="s">
        <v>8860</v>
      </c>
      <c r="I3686" s="34">
        <v>1</v>
      </c>
      <c r="J3686" s="102">
        <v>4</v>
      </c>
      <c r="K3686" s="336">
        <v>1</v>
      </c>
      <c r="L3686" s="89">
        <v>9999</v>
      </c>
      <c r="M3686" s="89">
        <v>0</v>
      </c>
      <c r="N3686" s="336"/>
      <c r="O3686" s="441"/>
      <c r="P3686" s="336"/>
      <c r="Q3686" s="336"/>
      <c r="R3686" s="336"/>
      <c r="S3686" s="89">
        <v>1</v>
      </c>
      <c r="T3686" s="89">
        <v>5</v>
      </c>
      <c r="U3686" s="89">
        <v>170</v>
      </c>
      <c r="V3686" s="89">
        <v>1</v>
      </c>
      <c r="W3686" s="34">
        <v>1</v>
      </c>
      <c r="X3686" s="89">
        <v>1</v>
      </c>
      <c r="Y3686" s="340">
        <v>0</v>
      </c>
      <c r="Z3686" s="34">
        <v>0</v>
      </c>
      <c r="AA3686" s="34">
        <v>5</v>
      </c>
      <c r="AB3686" s="34">
        <v>6460</v>
      </c>
      <c r="AC3686" s="89">
        <v>830</v>
      </c>
      <c r="AD3686" s="104">
        <v>0</v>
      </c>
      <c r="AE3686" s="442">
        <v>0</v>
      </c>
      <c r="AF3686" s="442">
        <v>0</v>
      </c>
      <c r="AG3686" s="443"/>
      <c r="AH3686" s="443"/>
      <c r="AI3686" s="443"/>
      <c r="AJ3686" s="443"/>
      <c r="AK3686" s="443"/>
      <c r="AL3686" s="444">
        <v>1</v>
      </c>
      <c r="AM3686" s="444"/>
      <c r="AN3686" s="93"/>
      <c r="AO3686" s="92"/>
      <c r="AP3686" s="108"/>
      <c r="AQ3686" s="13"/>
      <c r="AS3686">
        <v>1</v>
      </c>
    </row>
    <row r="3687" spans="1:45">
      <c r="A3687" s="34">
        <v>933008</v>
      </c>
      <c r="B3687" s="236">
        <v>1001</v>
      </c>
      <c r="C3687" s="236">
        <v>1</v>
      </c>
      <c r="D3687" s="236">
        <v>1001</v>
      </c>
      <c r="E3687" s="13" t="s">
        <v>8982</v>
      </c>
      <c r="F3687" s="13" t="s">
        <v>8982</v>
      </c>
      <c r="G3687" s="13" t="s">
        <v>8983</v>
      </c>
      <c r="H3687" t="s">
        <v>4268</v>
      </c>
      <c r="I3687" s="238">
        <v>1</v>
      </c>
      <c r="J3687" s="467">
        <v>4</v>
      </c>
      <c r="K3687" s="254">
        <v>2</v>
      </c>
      <c r="L3687" s="8">
        <v>999</v>
      </c>
      <c r="M3687" s="8">
        <v>0</v>
      </c>
      <c r="N3687" s="238">
        <v>1021</v>
      </c>
      <c r="O3687" s="249">
        <v>1</v>
      </c>
      <c r="P3687" s="8"/>
      <c r="Q3687" s="8"/>
      <c r="R3687" s="8"/>
      <c r="S3687" s="8">
        <v>1</v>
      </c>
      <c r="T3687" s="8">
        <v>5</v>
      </c>
      <c r="U3687" s="8">
        <v>170</v>
      </c>
      <c r="V3687" s="8">
        <v>1</v>
      </c>
      <c r="W3687" s="238">
        <v>1</v>
      </c>
      <c r="X3687" s="8">
        <v>1</v>
      </c>
      <c r="Y3687" s="8">
        <v>0</v>
      </c>
      <c r="Z3687" s="254">
        <v>0</v>
      </c>
      <c r="AA3687" s="238">
        <v>5</v>
      </c>
      <c r="AB3687" s="238">
        <v>6460</v>
      </c>
      <c r="AC3687" s="8">
        <v>10000</v>
      </c>
      <c r="AD3687" s="432"/>
      <c r="AE3687" s="432">
        <v>4</v>
      </c>
      <c r="AF3687" s="432">
        <v>1</v>
      </c>
      <c r="AG3687" s="433"/>
      <c r="AH3687" s="433"/>
      <c r="AI3687" s="433"/>
      <c r="AJ3687" s="433"/>
      <c r="AK3687" s="433"/>
      <c r="AL3687" s="434">
        <v>1</v>
      </c>
      <c r="AM3687" s="434"/>
      <c r="AN3687" s="162"/>
      <c r="AO3687" s="161"/>
      <c r="AP3687" s="434"/>
      <c r="AQ3687" s="13" t="s">
        <v>4269</v>
      </c>
      <c r="AS3687">
        <v>1</v>
      </c>
    </row>
    <row r="3688" spans="1:45">
      <c r="A3688">
        <v>931118</v>
      </c>
      <c r="B3688">
        <v>1001</v>
      </c>
      <c r="C3688">
        <v>6</v>
      </c>
      <c r="D3688">
        <v>1001</v>
      </c>
      <c r="E3688" s="8" t="s">
        <v>8984</v>
      </c>
      <c r="F3688" s="8" t="s">
        <v>8984</v>
      </c>
      <c r="G3688" s="8" t="s">
        <v>8985</v>
      </c>
      <c r="H3688" s="3" t="s">
        <v>204</v>
      </c>
      <c r="I3688" s="8">
        <v>1</v>
      </c>
      <c r="J3688" s="8">
        <v>3</v>
      </c>
      <c r="K3688" s="8">
        <v>2</v>
      </c>
      <c r="L3688" s="8">
        <v>999</v>
      </c>
      <c r="M3688" s="8">
        <v>0</v>
      </c>
      <c r="N3688" s="8">
        <v>1018</v>
      </c>
      <c r="O3688" t="s">
        <v>8986</v>
      </c>
      <c r="P3688" s="8"/>
      <c r="Q3688" s="8"/>
      <c r="R3688" s="8"/>
      <c r="S3688" s="8">
        <v>1</v>
      </c>
      <c r="T3688" s="8">
        <v>5</v>
      </c>
      <c r="U3688" s="8">
        <v>200</v>
      </c>
      <c r="V3688" s="8">
        <v>1</v>
      </c>
      <c r="W3688" s="8">
        <v>1</v>
      </c>
      <c r="X3688" s="8">
        <v>1</v>
      </c>
      <c r="Y3688" s="8">
        <v>0</v>
      </c>
      <c r="Z3688" s="8">
        <v>0</v>
      </c>
      <c r="AA3688" s="8">
        <v>5</v>
      </c>
      <c r="AB3688" s="128">
        <v>1000</v>
      </c>
      <c r="AC3688" s="8">
        <v>56</v>
      </c>
      <c r="AD3688" s="159">
        <v>0</v>
      </c>
      <c r="AE3688" s="159">
        <v>5</v>
      </c>
      <c r="AF3688" s="159">
        <v>2</v>
      </c>
      <c r="AG3688" s="159"/>
      <c r="AH3688" s="159"/>
      <c r="AI3688" s="159"/>
      <c r="AJ3688" s="159"/>
      <c r="AK3688" s="159"/>
      <c r="AL3688" s="8"/>
      <c r="AM3688" s="8"/>
      <c r="AN3688" s="8"/>
      <c r="AO3688" s="8"/>
      <c r="AP3688" s="8"/>
      <c r="AQ3688" s="8"/>
      <c r="AS3688">
        <v>1</v>
      </c>
    </row>
    <row r="3689" spans="1:45">
      <c r="A3689">
        <v>931119</v>
      </c>
      <c r="B3689">
        <v>1001</v>
      </c>
      <c r="C3689">
        <v>6</v>
      </c>
      <c r="D3689">
        <v>1001</v>
      </c>
      <c r="E3689" s="236" t="s">
        <v>8987</v>
      </c>
      <c r="F3689" s="236" t="s">
        <v>8987</v>
      </c>
      <c r="G3689" s="236" t="s">
        <v>8988</v>
      </c>
      <c r="H3689" s="3" t="s">
        <v>204</v>
      </c>
      <c r="I3689" s="236">
        <v>1</v>
      </c>
      <c r="J3689" s="236">
        <v>3</v>
      </c>
      <c r="K3689" s="236">
        <v>2</v>
      </c>
      <c r="L3689" s="236">
        <v>999</v>
      </c>
      <c r="M3689" s="236">
        <v>0</v>
      </c>
      <c r="N3689" s="236">
        <v>1018</v>
      </c>
      <c r="O3689" t="s">
        <v>8989</v>
      </c>
      <c r="P3689" s="236"/>
      <c r="Q3689" s="236"/>
      <c r="R3689" s="236"/>
      <c r="S3689" s="236">
        <v>1</v>
      </c>
      <c r="T3689" s="236">
        <v>5</v>
      </c>
      <c r="U3689" s="236">
        <v>200</v>
      </c>
      <c r="V3689" s="236">
        <v>1</v>
      </c>
      <c r="W3689" s="236">
        <v>1</v>
      </c>
      <c r="X3689" s="236">
        <v>1</v>
      </c>
      <c r="Y3689" s="236">
        <v>0</v>
      </c>
      <c r="Z3689" s="236">
        <v>0</v>
      </c>
      <c r="AA3689" s="236">
        <v>5</v>
      </c>
      <c r="AB3689" s="395">
        <v>1000</v>
      </c>
      <c r="AC3689" s="236">
        <v>56</v>
      </c>
      <c r="AD3689" s="456">
        <v>0</v>
      </c>
      <c r="AE3689" s="456">
        <v>5</v>
      </c>
      <c r="AF3689" s="456">
        <v>2</v>
      </c>
      <c r="AG3689" s="456"/>
      <c r="AH3689" s="456"/>
      <c r="AI3689" s="456"/>
      <c r="AJ3689" s="456"/>
      <c r="AK3689" s="456"/>
      <c r="AL3689" s="236"/>
      <c r="AM3689" s="236"/>
      <c r="AN3689" s="236"/>
      <c r="AO3689" s="236"/>
      <c r="AP3689" s="236"/>
      <c r="AQ3689" s="236"/>
      <c r="AS3689">
        <v>1</v>
      </c>
    </row>
    <row r="3690" spans="1:45">
      <c r="A3690">
        <v>931120</v>
      </c>
      <c r="B3690">
        <v>1001</v>
      </c>
      <c r="C3690">
        <v>1</v>
      </c>
      <c r="D3690">
        <v>1001</v>
      </c>
      <c r="E3690" t="s">
        <v>8990</v>
      </c>
      <c r="F3690" t="s">
        <v>8990</v>
      </c>
      <c r="G3690" t="s">
        <v>8991</v>
      </c>
      <c r="H3690" s="3" t="s">
        <v>8992</v>
      </c>
      <c r="I3690">
        <v>1</v>
      </c>
      <c r="J3690">
        <v>4</v>
      </c>
      <c r="K3690" s="33">
        <v>1</v>
      </c>
      <c r="L3690">
        <v>999</v>
      </c>
      <c r="M3690">
        <v>0</v>
      </c>
      <c r="S3690" s="33">
        <v>1</v>
      </c>
      <c r="T3690">
        <v>5</v>
      </c>
      <c r="U3690">
        <v>100</v>
      </c>
      <c r="V3690" s="33">
        <v>1</v>
      </c>
      <c r="W3690">
        <v>1</v>
      </c>
      <c r="X3690">
        <v>1</v>
      </c>
      <c r="Y3690">
        <v>0</v>
      </c>
      <c r="Z3690" s="33">
        <v>0</v>
      </c>
      <c r="AA3690">
        <v>5</v>
      </c>
      <c r="AB3690">
        <v>1000</v>
      </c>
      <c r="AC3690">
        <v>70</v>
      </c>
      <c r="AS3690">
        <v>1</v>
      </c>
    </row>
    <row r="3691" spans="1:45">
      <c r="A3691">
        <v>931121</v>
      </c>
      <c r="B3691" s="238">
        <v>1001</v>
      </c>
      <c r="C3691" s="238">
        <v>1</v>
      </c>
      <c r="D3691" s="238">
        <v>1001</v>
      </c>
      <c r="E3691" s="238" t="s">
        <v>8993</v>
      </c>
      <c r="F3691" s="238" t="s">
        <v>8993</v>
      </c>
      <c r="G3691" s="238" t="s">
        <v>8994</v>
      </c>
      <c r="H3691" s="3" t="s">
        <v>8995</v>
      </c>
      <c r="I3691">
        <v>1</v>
      </c>
      <c r="J3691">
        <v>4</v>
      </c>
      <c r="K3691" s="33">
        <v>1</v>
      </c>
      <c r="L3691" s="238">
        <v>999</v>
      </c>
      <c r="M3691" s="238">
        <v>0</v>
      </c>
      <c r="N3691"/>
      <c r="O3691" s="249"/>
      <c r="S3691" s="254">
        <v>1</v>
      </c>
      <c r="T3691" s="238">
        <v>5</v>
      </c>
      <c r="U3691" s="238">
        <v>100</v>
      </c>
      <c r="V3691" s="254">
        <v>1</v>
      </c>
      <c r="W3691">
        <v>1</v>
      </c>
      <c r="X3691" s="238">
        <v>1</v>
      </c>
      <c r="Y3691" s="238">
        <v>0</v>
      </c>
      <c r="Z3691" s="33">
        <v>0</v>
      </c>
      <c r="AA3691">
        <v>5</v>
      </c>
      <c r="AB3691">
        <v>1000</v>
      </c>
      <c r="AC3691" s="238">
        <v>70</v>
      </c>
      <c r="AD3691" s="12"/>
      <c r="AE3691" s="12"/>
      <c r="AF3691" s="12"/>
      <c r="AG3691" s="430"/>
      <c r="AH3691" s="430"/>
      <c r="AI3691" s="430"/>
      <c r="AJ3691" s="430"/>
      <c r="AK3691" s="430"/>
      <c r="AL3691" s="214"/>
      <c r="AM3691" s="214"/>
      <c r="AN3691" s="162"/>
      <c r="AO3691" s="161"/>
      <c r="AP3691" s="214"/>
      <c r="AQ3691" s="13"/>
      <c r="AS3691">
        <v>1</v>
      </c>
    </row>
    <row r="3692" spans="1:45">
      <c r="A3692">
        <v>931122</v>
      </c>
      <c r="B3692" s="8">
        <v>1001</v>
      </c>
      <c r="C3692" s="236">
        <v>1</v>
      </c>
      <c r="D3692" s="8">
        <v>1001</v>
      </c>
      <c r="E3692" s="253" t="s">
        <v>8996</v>
      </c>
      <c r="F3692" s="253" t="s">
        <v>8996</v>
      </c>
      <c r="G3692" s="253" t="s">
        <v>8996</v>
      </c>
      <c r="H3692" t="s">
        <v>4268</v>
      </c>
      <c r="I3692">
        <v>1</v>
      </c>
      <c r="J3692" s="69">
        <v>4</v>
      </c>
      <c r="K3692" s="33">
        <v>2</v>
      </c>
      <c r="L3692" s="236">
        <v>999</v>
      </c>
      <c r="M3692" s="236">
        <v>0</v>
      </c>
      <c r="N3692">
        <v>1064</v>
      </c>
      <c r="O3692" s="249">
        <v>1</v>
      </c>
      <c r="S3692" s="236">
        <v>1</v>
      </c>
      <c r="T3692" s="236">
        <v>5</v>
      </c>
      <c r="U3692" s="236">
        <v>170</v>
      </c>
      <c r="V3692" s="236">
        <v>1</v>
      </c>
      <c r="W3692">
        <v>1</v>
      </c>
      <c r="X3692" s="236">
        <v>1</v>
      </c>
      <c r="Y3692" s="236">
        <v>0</v>
      </c>
      <c r="Z3692" s="33">
        <v>0</v>
      </c>
      <c r="AA3692">
        <v>5</v>
      </c>
      <c r="AB3692">
        <v>6460</v>
      </c>
      <c r="AC3692" s="236">
        <v>10000</v>
      </c>
      <c r="AD3692" s="12"/>
      <c r="AE3692" s="12">
        <v>4</v>
      </c>
      <c r="AF3692" s="12">
        <v>1</v>
      </c>
      <c r="AG3692" s="430"/>
      <c r="AH3692" s="430"/>
      <c r="AI3692" s="430"/>
      <c r="AJ3692" s="430"/>
      <c r="AK3692" s="430"/>
      <c r="AL3692" s="214">
        <v>1</v>
      </c>
      <c r="AM3692" s="214"/>
      <c r="AN3692" s="481"/>
      <c r="AO3692" s="482"/>
      <c r="AP3692" s="214"/>
      <c r="AQ3692" s="253" t="s">
        <v>4269</v>
      </c>
      <c r="AS3692">
        <v>1</v>
      </c>
    </row>
    <row r="3693" ht="13" customHeight="1" spans="1:45">
      <c r="A3693">
        <v>931123</v>
      </c>
      <c r="B3693" s="8">
        <v>1001</v>
      </c>
      <c r="C3693">
        <v>6</v>
      </c>
      <c r="D3693" s="8">
        <v>1001</v>
      </c>
      <c r="E3693" t="s">
        <v>8997</v>
      </c>
      <c r="F3693" t="s">
        <v>8997</v>
      </c>
      <c r="G3693" t="s">
        <v>8997</v>
      </c>
      <c r="H3693" t="s">
        <v>6325</v>
      </c>
      <c r="I3693">
        <v>1</v>
      </c>
      <c r="J3693">
        <v>5</v>
      </c>
      <c r="K3693" s="33">
        <v>2</v>
      </c>
      <c r="L3693">
        <v>999</v>
      </c>
      <c r="M3693">
        <v>0</v>
      </c>
      <c r="N3693">
        <v>1035</v>
      </c>
      <c r="O3693" s="2">
        <v>52</v>
      </c>
      <c r="S3693" s="33">
        <v>1</v>
      </c>
      <c r="T3693">
        <v>5</v>
      </c>
      <c r="U3693">
        <v>1</v>
      </c>
      <c r="V3693" s="33">
        <v>1</v>
      </c>
      <c r="W3693">
        <v>1</v>
      </c>
      <c r="X3693">
        <v>1</v>
      </c>
      <c r="Y3693">
        <v>0</v>
      </c>
      <c r="Z3693" s="33">
        <v>0</v>
      </c>
      <c r="AA3693">
        <v>5</v>
      </c>
      <c r="AB3693">
        <v>100</v>
      </c>
      <c r="AC3693">
        <v>70</v>
      </c>
      <c r="AD3693" s="12">
        <v>0</v>
      </c>
      <c r="AE3693" s="12">
        <v>1</v>
      </c>
      <c r="AF3693" s="12">
        <v>1</v>
      </c>
      <c r="AG3693" s="430"/>
      <c r="AH3693" s="430"/>
      <c r="AI3693" s="430"/>
      <c r="AJ3693" s="430"/>
      <c r="AK3693" s="430"/>
      <c r="AL3693" s="214"/>
      <c r="AM3693" s="214"/>
      <c r="AN3693" s="431"/>
      <c r="AO3693" s="214"/>
      <c r="AP3693" s="214"/>
      <c r="AS3693">
        <v>1</v>
      </c>
    </row>
    <row r="3694" ht="13" customHeight="1" spans="1:45">
      <c r="A3694">
        <v>931124</v>
      </c>
      <c r="B3694" s="236">
        <v>1001</v>
      </c>
      <c r="C3694">
        <v>6</v>
      </c>
      <c r="D3694" s="236">
        <v>1001</v>
      </c>
      <c r="E3694" t="s">
        <v>8998</v>
      </c>
      <c r="F3694" t="s">
        <v>8998</v>
      </c>
      <c r="G3694" t="s">
        <v>8998</v>
      </c>
      <c r="H3694" t="s">
        <v>6325</v>
      </c>
      <c r="I3694">
        <v>1</v>
      </c>
      <c r="J3694">
        <v>5</v>
      </c>
      <c r="K3694" s="33">
        <v>2</v>
      </c>
      <c r="L3694">
        <v>999</v>
      </c>
      <c r="M3694">
        <v>0</v>
      </c>
      <c r="N3694">
        <v>1035</v>
      </c>
      <c r="O3694" s="2">
        <v>61</v>
      </c>
      <c r="S3694" s="33">
        <v>1</v>
      </c>
      <c r="T3694">
        <v>5</v>
      </c>
      <c r="U3694">
        <v>1</v>
      </c>
      <c r="V3694" s="33">
        <v>1</v>
      </c>
      <c r="W3694">
        <v>1</v>
      </c>
      <c r="X3694">
        <v>1</v>
      </c>
      <c r="Y3694">
        <v>0</v>
      </c>
      <c r="Z3694" s="33">
        <v>0</v>
      </c>
      <c r="AA3694">
        <v>5</v>
      </c>
      <c r="AB3694">
        <v>100</v>
      </c>
      <c r="AC3694">
        <v>70</v>
      </c>
      <c r="AD3694" s="12">
        <v>0</v>
      </c>
      <c r="AE3694" s="12">
        <v>1</v>
      </c>
      <c r="AF3694" s="12">
        <v>1</v>
      </c>
      <c r="AG3694" s="430"/>
      <c r="AH3694" s="430"/>
      <c r="AI3694" s="430"/>
      <c r="AJ3694" s="430"/>
      <c r="AK3694" s="430"/>
      <c r="AL3694" s="214"/>
      <c r="AM3694" s="214"/>
      <c r="AN3694" s="431"/>
      <c r="AO3694" s="214"/>
      <c r="AP3694" s="214"/>
      <c r="AS3694">
        <v>1</v>
      </c>
    </row>
    <row r="3695" spans="1:45">
      <c r="A3695">
        <v>931125</v>
      </c>
      <c r="B3695">
        <v>1001</v>
      </c>
      <c r="C3695">
        <v>1</v>
      </c>
      <c r="D3695">
        <v>1001</v>
      </c>
      <c r="E3695" t="s">
        <v>8999</v>
      </c>
      <c r="F3695" t="s">
        <v>8999</v>
      </c>
      <c r="G3695" t="s">
        <v>9000</v>
      </c>
      <c r="H3695" s="3" t="s">
        <v>204</v>
      </c>
      <c r="I3695">
        <v>1</v>
      </c>
      <c r="J3695">
        <v>4</v>
      </c>
      <c r="K3695" s="33">
        <v>1</v>
      </c>
      <c r="L3695">
        <v>999</v>
      </c>
      <c r="M3695">
        <v>0</v>
      </c>
      <c r="S3695" s="33">
        <v>1</v>
      </c>
      <c r="T3695">
        <v>5</v>
      </c>
      <c r="U3695">
        <v>1</v>
      </c>
      <c r="V3695" s="33">
        <v>1</v>
      </c>
      <c r="W3695">
        <v>1</v>
      </c>
      <c r="X3695">
        <v>1</v>
      </c>
      <c r="Y3695">
        <v>0</v>
      </c>
      <c r="Z3695" s="33">
        <v>0</v>
      </c>
      <c r="AA3695">
        <v>5</v>
      </c>
      <c r="AB3695">
        <v>100</v>
      </c>
      <c r="AC3695">
        <v>70</v>
      </c>
      <c r="AD3695" s="62">
        <v>0</v>
      </c>
      <c r="AE3695" s="62">
        <v>1</v>
      </c>
      <c r="AF3695" s="62">
        <v>1</v>
      </c>
      <c r="AS3695">
        <v>1</v>
      </c>
    </row>
    <row r="3696" spans="1:45">
      <c r="A3696">
        <v>931126</v>
      </c>
      <c r="B3696">
        <v>1001</v>
      </c>
      <c r="C3696">
        <v>1</v>
      </c>
      <c r="D3696">
        <v>1001</v>
      </c>
      <c r="E3696" s="238" t="s">
        <v>9001</v>
      </c>
      <c r="F3696" s="238" t="s">
        <v>9001</v>
      </c>
      <c r="G3696" s="238" t="s">
        <v>9002</v>
      </c>
      <c r="H3696" s="3" t="s">
        <v>9003</v>
      </c>
      <c r="I3696" s="238">
        <v>1</v>
      </c>
      <c r="J3696" s="238">
        <v>4</v>
      </c>
      <c r="K3696" s="254">
        <v>1</v>
      </c>
      <c r="L3696" s="238">
        <v>999</v>
      </c>
      <c r="M3696" s="238">
        <v>0</v>
      </c>
      <c r="N3696" s="8"/>
      <c r="O3696"/>
      <c r="P3696" s="8"/>
      <c r="Q3696" s="8"/>
      <c r="R3696" s="8"/>
      <c r="S3696" s="254">
        <v>1</v>
      </c>
      <c r="T3696" s="238">
        <v>5</v>
      </c>
      <c r="U3696" s="238">
        <v>1</v>
      </c>
      <c r="V3696" s="254">
        <v>1</v>
      </c>
      <c r="W3696" s="238">
        <v>1</v>
      </c>
      <c r="X3696" s="238">
        <v>1</v>
      </c>
      <c r="Y3696" s="238">
        <v>0</v>
      </c>
      <c r="Z3696" s="254">
        <v>0</v>
      </c>
      <c r="AA3696" s="238">
        <v>5</v>
      </c>
      <c r="AB3696" s="238">
        <v>100</v>
      </c>
      <c r="AC3696" s="238">
        <v>70</v>
      </c>
      <c r="AD3696" s="255">
        <v>0</v>
      </c>
      <c r="AE3696" s="255">
        <v>1</v>
      </c>
      <c r="AF3696" s="255">
        <v>1</v>
      </c>
      <c r="AG3696" s="159"/>
      <c r="AH3696" s="159"/>
      <c r="AI3696" s="159"/>
      <c r="AJ3696" s="159"/>
      <c r="AK3696" s="159"/>
      <c r="AL3696" s="8"/>
      <c r="AM3696" s="8"/>
      <c r="AN3696" s="8"/>
      <c r="AO3696" s="8"/>
      <c r="AP3696" s="8"/>
      <c r="AQ3696" s="8"/>
      <c r="AS3696">
        <v>1</v>
      </c>
    </row>
    <row r="3697" spans="1:45">
      <c r="A3697">
        <v>931127</v>
      </c>
      <c r="B3697">
        <v>1001</v>
      </c>
      <c r="C3697">
        <v>6</v>
      </c>
      <c r="D3697">
        <v>1001</v>
      </c>
      <c r="E3697" s="236" t="s">
        <v>9004</v>
      </c>
      <c r="F3697" s="236" t="s">
        <v>9004</v>
      </c>
      <c r="G3697" s="236" t="s">
        <v>9005</v>
      </c>
      <c r="H3697" s="3" t="s">
        <v>204</v>
      </c>
      <c r="I3697" s="236">
        <v>1</v>
      </c>
      <c r="J3697" s="236">
        <v>3</v>
      </c>
      <c r="K3697" s="236">
        <v>2</v>
      </c>
      <c r="L3697" s="236">
        <v>999</v>
      </c>
      <c r="M3697" s="236">
        <v>0</v>
      </c>
      <c r="N3697" s="236">
        <v>1018</v>
      </c>
      <c r="O3697" t="s">
        <v>9006</v>
      </c>
      <c r="P3697" s="236"/>
      <c r="Q3697" s="236"/>
      <c r="R3697" s="236"/>
      <c r="S3697" s="236">
        <v>1</v>
      </c>
      <c r="T3697" s="236">
        <v>5</v>
      </c>
      <c r="U3697" s="236">
        <v>200</v>
      </c>
      <c r="V3697" s="236">
        <v>1</v>
      </c>
      <c r="W3697" s="236">
        <v>1</v>
      </c>
      <c r="X3697" s="8">
        <v>1</v>
      </c>
      <c r="Y3697" s="236">
        <v>0</v>
      </c>
      <c r="Z3697" s="236">
        <v>0</v>
      </c>
      <c r="AA3697" s="236">
        <v>5</v>
      </c>
      <c r="AB3697" s="395">
        <v>1000</v>
      </c>
      <c r="AC3697" s="236">
        <v>56</v>
      </c>
      <c r="AD3697" s="456">
        <v>0</v>
      </c>
      <c r="AE3697" s="456">
        <v>5</v>
      </c>
      <c r="AF3697" s="456">
        <v>2</v>
      </c>
      <c r="AG3697" s="456"/>
      <c r="AH3697" s="456"/>
      <c r="AI3697" s="456"/>
      <c r="AJ3697" s="456"/>
      <c r="AK3697" s="456"/>
      <c r="AL3697" s="236"/>
      <c r="AM3697" s="236"/>
      <c r="AN3697" s="236"/>
      <c r="AO3697" s="236"/>
      <c r="AP3697" s="236"/>
      <c r="AQ3697" s="236"/>
      <c r="AS3697">
        <v>1</v>
      </c>
    </row>
    <row r="3698" spans="1:45">
      <c r="A3698">
        <v>932125</v>
      </c>
      <c r="B3698">
        <v>1001</v>
      </c>
      <c r="C3698">
        <v>1</v>
      </c>
      <c r="D3698">
        <v>1001</v>
      </c>
      <c r="E3698" t="s">
        <v>9007</v>
      </c>
      <c r="F3698" t="s">
        <v>9007</v>
      </c>
      <c r="G3698" t="s">
        <v>9008</v>
      </c>
      <c r="H3698" t="s">
        <v>2567</v>
      </c>
      <c r="I3698" s="3">
        <v>1</v>
      </c>
      <c r="J3698" s="3">
        <v>5</v>
      </c>
      <c r="K3698" s="3">
        <v>2</v>
      </c>
      <c r="L3698" s="3">
        <v>999</v>
      </c>
      <c r="M3698" s="3">
        <v>0</v>
      </c>
      <c r="N3698" s="3">
        <v>1</v>
      </c>
      <c r="O3698" s="580" t="s">
        <v>9009</v>
      </c>
      <c r="S3698" s="3">
        <v>1</v>
      </c>
      <c r="T3698" s="3">
        <v>5</v>
      </c>
      <c r="U3698" s="3">
        <v>100</v>
      </c>
      <c r="V3698" s="3">
        <v>1</v>
      </c>
      <c r="W3698" s="3">
        <v>1</v>
      </c>
      <c r="X3698" s="8">
        <v>1</v>
      </c>
      <c r="Y3698" s="3">
        <v>0</v>
      </c>
      <c r="Z3698" s="3">
        <v>0</v>
      </c>
      <c r="AA3698" s="3">
        <v>5</v>
      </c>
      <c r="AB3698" s="3">
        <v>2000</v>
      </c>
      <c r="AC3698" s="3">
        <v>54</v>
      </c>
      <c r="AD3698" s="12">
        <v>0</v>
      </c>
      <c r="AE3698" s="12">
        <v>4</v>
      </c>
      <c r="AF3698" s="12">
        <v>2</v>
      </c>
      <c r="AS3698">
        <v>1</v>
      </c>
    </row>
    <row r="3699" spans="1:45">
      <c r="A3699">
        <v>932126</v>
      </c>
      <c r="B3699">
        <v>1001</v>
      </c>
      <c r="C3699">
        <v>1</v>
      </c>
      <c r="D3699">
        <v>1001</v>
      </c>
      <c r="E3699" t="s">
        <v>9010</v>
      </c>
      <c r="F3699" t="s">
        <v>9010</v>
      </c>
      <c r="G3699" t="s">
        <v>9011</v>
      </c>
      <c r="H3699" t="s">
        <v>2567</v>
      </c>
      <c r="I3699" s="3">
        <v>1</v>
      </c>
      <c r="J3699" s="3">
        <v>5</v>
      </c>
      <c r="K3699" s="3">
        <v>2</v>
      </c>
      <c r="L3699" s="3">
        <v>999</v>
      </c>
      <c r="M3699" s="3">
        <v>0</v>
      </c>
      <c r="N3699" s="3">
        <v>1</v>
      </c>
      <c r="O3699" s="580" t="s">
        <v>9012</v>
      </c>
      <c r="S3699" s="3">
        <v>1</v>
      </c>
      <c r="T3699" s="3">
        <v>5</v>
      </c>
      <c r="U3699" s="3">
        <v>100</v>
      </c>
      <c r="V3699" s="3">
        <v>1</v>
      </c>
      <c r="W3699" s="3">
        <v>1</v>
      </c>
      <c r="X3699" s="8">
        <v>1</v>
      </c>
      <c r="Y3699" s="3">
        <v>0</v>
      </c>
      <c r="Z3699" s="3">
        <v>0</v>
      </c>
      <c r="AA3699" s="3">
        <v>5</v>
      </c>
      <c r="AB3699" s="3">
        <v>2000</v>
      </c>
      <c r="AC3699" s="3">
        <v>54</v>
      </c>
      <c r="AD3699" s="12">
        <v>0</v>
      </c>
      <c r="AE3699" s="12">
        <v>4</v>
      </c>
      <c r="AF3699" s="12">
        <v>2</v>
      </c>
      <c r="AS3699">
        <v>1</v>
      </c>
    </row>
    <row r="3700" spans="1:45">
      <c r="A3700">
        <v>932127</v>
      </c>
      <c r="B3700">
        <v>1001</v>
      </c>
      <c r="C3700">
        <v>1</v>
      </c>
      <c r="D3700">
        <v>1001</v>
      </c>
      <c r="E3700" t="s">
        <v>9013</v>
      </c>
      <c r="F3700" t="s">
        <v>9013</v>
      </c>
      <c r="G3700" t="s">
        <v>9014</v>
      </c>
      <c r="H3700" t="s">
        <v>2567</v>
      </c>
      <c r="I3700" s="3">
        <v>1</v>
      </c>
      <c r="J3700" s="3">
        <v>5</v>
      </c>
      <c r="K3700" s="3">
        <v>2</v>
      </c>
      <c r="L3700" s="3">
        <v>999</v>
      </c>
      <c r="M3700" s="3">
        <v>0</v>
      </c>
      <c r="N3700" s="3">
        <v>1</v>
      </c>
      <c r="O3700" s="580" t="s">
        <v>9015</v>
      </c>
      <c r="S3700" s="3">
        <v>1</v>
      </c>
      <c r="T3700" s="3">
        <v>5</v>
      </c>
      <c r="U3700" s="3">
        <v>100</v>
      </c>
      <c r="V3700" s="3">
        <v>1</v>
      </c>
      <c r="W3700" s="3">
        <v>1</v>
      </c>
      <c r="X3700" s="8">
        <v>1</v>
      </c>
      <c r="Y3700" s="3">
        <v>0</v>
      </c>
      <c r="Z3700" s="3">
        <v>0</v>
      </c>
      <c r="AA3700" s="3">
        <v>5</v>
      </c>
      <c r="AB3700" s="3">
        <v>2000</v>
      </c>
      <c r="AC3700" s="3">
        <v>54</v>
      </c>
      <c r="AD3700" s="12">
        <v>0</v>
      </c>
      <c r="AE3700" s="12">
        <v>4</v>
      </c>
      <c r="AF3700" s="12">
        <v>2</v>
      </c>
      <c r="AS3700">
        <v>1</v>
      </c>
    </row>
    <row r="3701" spans="1:45">
      <c r="A3701">
        <v>932128</v>
      </c>
      <c r="B3701">
        <v>1001</v>
      </c>
      <c r="C3701">
        <v>1</v>
      </c>
      <c r="D3701">
        <v>1001</v>
      </c>
      <c r="E3701" t="s">
        <v>9016</v>
      </c>
      <c r="F3701" t="s">
        <v>9016</v>
      </c>
      <c r="G3701" t="s">
        <v>9017</v>
      </c>
      <c r="H3701" t="s">
        <v>2567</v>
      </c>
      <c r="I3701" s="3">
        <v>1</v>
      </c>
      <c r="J3701" s="3">
        <v>5</v>
      </c>
      <c r="K3701" s="3">
        <v>2</v>
      </c>
      <c r="L3701" s="3">
        <v>999</v>
      </c>
      <c r="M3701" s="3">
        <v>0</v>
      </c>
      <c r="N3701" s="3">
        <v>1</v>
      </c>
      <c r="O3701" s="580" t="s">
        <v>9018</v>
      </c>
      <c r="S3701" s="3">
        <v>1</v>
      </c>
      <c r="T3701" s="3">
        <v>5</v>
      </c>
      <c r="U3701" s="3">
        <v>100</v>
      </c>
      <c r="V3701" s="3">
        <v>1</v>
      </c>
      <c r="W3701" s="3">
        <v>1</v>
      </c>
      <c r="X3701" s="8">
        <v>1</v>
      </c>
      <c r="Y3701" s="3">
        <v>0</v>
      </c>
      <c r="Z3701" s="3">
        <v>0</v>
      </c>
      <c r="AA3701" s="3">
        <v>5</v>
      </c>
      <c r="AB3701" s="3">
        <v>2000</v>
      </c>
      <c r="AC3701" s="3">
        <v>54</v>
      </c>
      <c r="AD3701" s="12">
        <v>0</v>
      </c>
      <c r="AE3701" s="12">
        <v>4</v>
      </c>
      <c r="AF3701" s="12">
        <v>2</v>
      </c>
      <c r="AS3701">
        <v>1</v>
      </c>
    </row>
    <row r="3702" spans="1:45">
      <c r="A3702">
        <v>932129</v>
      </c>
      <c r="B3702">
        <v>1001</v>
      </c>
      <c r="C3702">
        <v>1</v>
      </c>
      <c r="D3702">
        <v>1001</v>
      </c>
      <c r="E3702" t="s">
        <v>9019</v>
      </c>
      <c r="F3702" t="s">
        <v>9019</v>
      </c>
      <c r="G3702" t="s">
        <v>9020</v>
      </c>
      <c r="H3702" t="s">
        <v>2567</v>
      </c>
      <c r="I3702" s="3">
        <v>1</v>
      </c>
      <c r="J3702" s="3">
        <v>5</v>
      </c>
      <c r="K3702" s="3">
        <v>2</v>
      </c>
      <c r="L3702" s="3">
        <v>999</v>
      </c>
      <c r="M3702" s="3">
        <v>0</v>
      </c>
      <c r="N3702" s="3">
        <v>1</v>
      </c>
      <c r="O3702" s="580" t="s">
        <v>9021</v>
      </c>
      <c r="S3702" s="3">
        <v>1</v>
      </c>
      <c r="T3702" s="3">
        <v>5</v>
      </c>
      <c r="U3702" s="3">
        <v>100</v>
      </c>
      <c r="V3702" s="3">
        <v>1</v>
      </c>
      <c r="W3702" s="3">
        <v>1</v>
      </c>
      <c r="X3702" s="8">
        <v>1</v>
      </c>
      <c r="Y3702" s="3">
        <v>0</v>
      </c>
      <c r="Z3702" s="3">
        <v>0</v>
      </c>
      <c r="AA3702" s="3">
        <v>5</v>
      </c>
      <c r="AB3702" s="3">
        <v>2000</v>
      </c>
      <c r="AC3702" s="3">
        <v>54</v>
      </c>
      <c r="AD3702" s="12">
        <v>0</v>
      </c>
      <c r="AE3702" s="12">
        <v>4</v>
      </c>
      <c r="AF3702" s="12">
        <v>2</v>
      </c>
      <c r="AS3702">
        <v>1</v>
      </c>
    </row>
    <row r="3703" spans="1:45">
      <c r="A3703">
        <v>932130</v>
      </c>
      <c r="B3703">
        <v>1001</v>
      </c>
      <c r="C3703">
        <v>1</v>
      </c>
      <c r="D3703">
        <v>1001</v>
      </c>
      <c r="E3703" t="s">
        <v>9022</v>
      </c>
      <c r="F3703" t="s">
        <v>9022</v>
      </c>
      <c r="G3703" t="s">
        <v>9023</v>
      </c>
      <c r="H3703" t="s">
        <v>2567</v>
      </c>
      <c r="I3703" s="3">
        <v>1</v>
      </c>
      <c r="J3703" s="3">
        <v>5</v>
      </c>
      <c r="K3703" s="3">
        <v>2</v>
      </c>
      <c r="L3703" s="3">
        <v>999</v>
      </c>
      <c r="M3703" s="3">
        <v>0</v>
      </c>
      <c r="N3703" s="3">
        <v>1</v>
      </c>
      <c r="O3703" s="580" t="s">
        <v>9024</v>
      </c>
      <c r="S3703" s="3">
        <v>1</v>
      </c>
      <c r="T3703" s="3">
        <v>5</v>
      </c>
      <c r="U3703" s="3">
        <v>100</v>
      </c>
      <c r="V3703" s="3">
        <v>1</v>
      </c>
      <c r="W3703" s="3">
        <v>1</v>
      </c>
      <c r="X3703" s="236">
        <v>1</v>
      </c>
      <c r="Y3703" s="3">
        <v>0</v>
      </c>
      <c r="Z3703" s="3">
        <v>0</v>
      </c>
      <c r="AA3703" s="3">
        <v>5</v>
      </c>
      <c r="AB3703" s="3">
        <v>2000</v>
      </c>
      <c r="AC3703" s="3">
        <v>54</v>
      </c>
      <c r="AD3703" s="12">
        <v>0</v>
      </c>
      <c r="AE3703" s="12">
        <v>4</v>
      </c>
      <c r="AF3703" s="12">
        <v>2</v>
      </c>
      <c r="AS3703">
        <v>1</v>
      </c>
    </row>
    <row r="3704" spans="1:45">
      <c r="A3704">
        <v>1110001</v>
      </c>
      <c r="B3704">
        <v>1001</v>
      </c>
      <c r="C3704">
        <v>1</v>
      </c>
      <c r="D3704">
        <v>1001</v>
      </c>
      <c r="E3704" t="s">
        <v>9025</v>
      </c>
      <c r="F3704" t="s">
        <v>9025</v>
      </c>
      <c r="G3704" t="s">
        <v>9026</v>
      </c>
      <c r="H3704" t="s">
        <v>9027</v>
      </c>
      <c r="I3704">
        <v>1</v>
      </c>
      <c r="J3704">
        <v>4</v>
      </c>
      <c r="K3704" s="33">
        <v>1</v>
      </c>
      <c r="L3704">
        <v>999</v>
      </c>
      <c r="M3704">
        <v>0</v>
      </c>
      <c r="N3704">
        <v>1065</v>
      </c>
      <c r="O3704" s="2">
        <v>60</v>
      </c>
      <c r="S3704" s="33">
        <v>1</v>
      </c>
      <c r="T3704">
        <v>5</v>
      </c>
      <c r="U3704">
        <v>100</v>
      </c>
      <c r="V3704" s="33">
        <v>1</v>
      </c>
      <c r="W3704">
        <v>1</v>
      </c>
      <c r="X3704">
        <v>1</v>
      </c>
      <c r="Y3704">
        <v>0</v>
      </c>
      <c r="Z3704" s="33">
        <v>0</v>
      </c>
      <c r="AA3704">
        <v>5</v>
      </c>
      <c r="AB3704">
        <v>1000</v>
      </c>
      <c r="AC3704">
        <v>70</v>
      </c>
      <c r="AS3704">
        <v>1</v>
      </c>
    </row>
    <row r="3705" spans="1:45">
      <c r="A3705">
        <v>1110002</v>
      </c>
      <c r="B3705">
        <v>1001</v>
      </c>
      <c r="C3705">
        <v>1</v>
      </c>
      <c r="D3705">
        <v>1001</v>
      </c>
      <c r="E3705" t="s">
        <v>9028</v>
      </c>
      <c r="F3705" t="s">
        <v>9028</v>
      </c>
      <c r="G3705" t="s">
        <v>9029</v>
      </c>
      <c r="H3705" t="s">
        <v>9027</v>
      </c>
      <c r="I3705">
        <v>1</v>
      </c>
      <c r="J3705">
        <v>4</v>
      </c>
      <c r="K3705" s="33">
        <v>1</v>
      </c>
      <c r="L3705">
        <v>999</v>
      </c>
      <c r="M3705">
        <v>0</v>
      </c>
      <c r="N3705">
        <v>1065</v>
      </c>
      <c r="O3705" s="2">
        <v>60</v>
      </c>
      <c r="S3705" s="33">
        <v>1</v>
      </c>
      <c r="T3705">
        <v>5</v>
      </c>
      <c r="U3705">
        <v>100</v>
      </c>
      <c r="V3705" s="33">
        <v>1</v>
      </c>
      <c r="W3705">
        <v>1</v>
      </c>
      <c r="X3705">
        <v>1</v>
      </c>
      <c r="Y3705">
        <v>0</v>
      </c>
      <c r="Z3705" s="33">
        <v>0</v>
      </c>
      <c r="AA3705">
        <v>5</v>
      </c>
      <c r="AB3705">
        <v>1000</v>
      </c>
      <c r="AC3705">
        <v>70</v>
      </c>
      <c r="AS3705">
        <v>1</v>
      </c>
    </row>
    <row r="3706" spans="1:45">
      <c r="A3706">
        <v>1110003</v>
      </c>
      <c r="B3706">
        <v>1001</v>
      </c>
      <c r="C3706">
        <v>1</v>
      </c>
      <c r="D3706">
        <v>1001</v>
      </c>
      <c r="E3706" t="s">
        <v>9030</v>
      </c>
      <c r="F3706" t="s">
        <v>9030</v>
      </c>
      <c r="G3706" t="s">
        <v>9031</v>
      </c>
      <c r="H3706" t="s">
        <v>9032</v>
      </c>
      <c r="I3706">
        <v>1</v>
      </c>
      <c r="J3706">
        <v>5</v>
      </c>
      <c r="K3706" s="33">
        <v>1</v>
      </c>
      <c r="L3706">
        <v>999</v>
      </c>
      <c r="M3706">
        <v>0</v>
      </c>
      <c r="S3706" s="33">
        <v>1</v>
      </c>
      <c r="T3706">
        <v>5</v>
      </c>
      <c r="U3706">
        <v>100</v>
      </c>
      <c r="V3706" s="33">
        <v>1</v>
      </c>
      <c r="W3706">
        <v>1</v>
      </c>
      <c r="X3706">
        <v>1</v>
      </c>
      <c r="Y3706">
        <v>0</v>
      </c>
      <c r="Z3706" s="33">
        <v>0</v>
      </c>
      <c r="AA3706">
        <v>5</v>
      </c>
      <c r="AB3706">
        <v>1000</v>
      </c>
      <c r="AC3706">
        <v>70</v>
      </c>
      <c r="AS3706">
        <v>1</v>
      </c>
    </row>
    <row r="3707" spans="1:45">
      <c r="A3707">
        <v>1110004</v>
      </c>
      <c r="B3707">
        <v>1001</v>
      </c>
      <c r="C3707">
        <v>1</v>
      </c>
      <c r="D3707">
        <v>1001</v>
      </c>
      <c r="E3707" t="s">
        <v>9033</v>
      </c>
      <c r="F3707" t="s">
        <v>9033</v>
      </c>
      <c r="G3707" t="s">
        <v>9034</v>
      </c>
      <c r="H3707" t="s">
        <v>9035</v>
      </c>
      <c r="I3707">
        <v>1</v>
      </c>
      <c r="J3707">
        <v>5</v>
      </c>
      <c r="K3707" s="33">
        <v>1</v>
      </c>
      <c r="L3707">
        <v>999</v>
      </c>
      <c r="M3707">
        <v>0</v>
      </c>
      <c r="S3707" s="33">
        <v>1</v>
      </c>
      <c r="T3707">
        <v>5</v>
      </c>
      <c r="U3707">
        <v>100</v>
      </c>
      <c r="V3707" s="33">
        <v>1</v>
      </c>
      <c r="W3707">
        <v>1</v>
      </c>
      <c r="X3707">
        <v>1</v>
      </c>
      <c r="Y3707">
        <v>0</v>
      </c>
      <c r="Z3707" s="33">
        <v>0</v>
      </c>
      <c r="AA3707">
        <v>5</v>
      </c>
      <c r="AB3707">
        <v>1000</v>
      </c>
      <c r="AC3707">
        <v>70</v>
      </c>
      <c r="AS3707">
        <v>1</v>
      </c>
    </row>
    <row r="3708" spans="1:45">
      <c r="A3708">
        <v>1110005</v>
      </c>
      <c r="B3708">
        <v>1001</v>
      </c>
      <c r="C3708">
        <v>1</v>
      </c>
      <c r="D3708">
        <v>1001</v>
      </c>
      <c r="E3708" t="s">
        <v>9036</v>
      </c>
      <c r="F3708" t="s">
        <v>9036</v>
      </c>
      <c r="G3708" t="s">
        <v>9037</v>
      </c>
      <c r="H3708" t="s">
        <v>9038</v>
      </c>
      <c r="I3708">
        <v>1</v>
      </c>
      <c r="J3708">
        <v>5</v>
      </c>
      <c r="K3708" s="33">
        <v>1</v>
      </c>
      <c r="L3708">
        <v>999</v>
      </c>
      <c r="M3708">
        <v>0</v>
      </c>
      <c r="S3708" s="33">
        <v>1</v>
      </c>
      <c r="T3708">
        <v>5</v>
      </c>
      <c r="U3708">
        <v>100</v>
      </c>
      <c r="V3708" s="33">
        <v>1</v>
      </c>
      <c r="W3708">
        <v>1</v>
      </c>
      <c r="X3708">
        <v>1</v>
      </c>
      <c r="Y3708">
        <v>0</v>
      </c>
      <c r="Z3708" s="33">
        <v>0</v>
      </c>
      <c r="AA3708">
        <v>5</v>
      </c>
      <c r="AB3708">
        <v>1000</v>
      </c>
      <c r="AC3708">
        <v>70</v>
      </c>
      <c r="AS3708">
        <v>1</v>
      </c>
    </row>
    <row r="3709" spans="1:45">
      <c r="A3709">
        <v>1110006</v>
      </c>
      <c r="B3709">
        <v>1001</v>
      </c>
      <c r="C3709">
        <v>1</v>
      </c>
      <c r="D3709">
        <v>1001</v>
      </c>
      <c r="E3709" t="s">
        <v>9039</v>
      </c>
      <c r="F3709" t="s">
        <v>9039</v>
      </c>
      <c r="G3709" t="s">
        <v>9040</v>
      </c>
      <c r="H3709" t="s">
        <v>9041</v>
      </c>
      <c r="I3709">
        <v>1</v>
      </c>
      <c r="J3709">
        <v>5</v>
      </c>
      <c r="K3709" s="33">
        <v>1</v>
      </c>
      <c r="L3709">
        <v>999</v>
      </c>
      <c r="M3709">
        <v>0</v>
      </c>
      <c r="S3709" s="33">
        <v>1</v>
      </c>
      <c r="T3709">
        <v>5</v>
      </c>
      <c r="U3709">
        <v>100</v>
      </c>
      <c r="V3709" s="33">
        <v>1</v>
      </c>
      <c r="W3709">
        <v>1</v>
      </c>
      <c r="X3709">
        <v>1</v>
      </c>
      <c r="Y3709">
        <v>0</v>
      </c>
      <c r="Z3709" s="33">
        <v>0</v>
      </c>
      <c r="AA3709">
        <v>5</v>
      </c>
      <c r="AB3709">
        <v>1000</v>
      </c>
      <c r="AC3709">
        <v>70</v>
      </c>
      <c r="AS3709">
        <v>1</v>
      </c>
    </row>
    <row r="3710" spans="1:45">
      <c r="A3710">
        <v>1110007</v>
      </c>
      <c r="B3710">
        <v>1001</v>
      </c>
      <c r="C3710">
        <v>1</v>
      </c>
      <c r="D3710">
        <v>1001</v>
      </c>
      <c r="E3710" t="s">
        <v>9042</v>
      </c>
      <c r="F3710" t="s">
        <v>9042</v>
      </c>
      <c r="G3710" t="s">
        <v>9043</v>
      </c>
      <c r="H3710" t="s">
        <v>9044</v>
      </c>
      <c r="I3710">
        <v>1</v>
      </c>
      <c r="J3710">
        <v>5</v>
      </c>
      <c r="K3710" s="33">
        <v>1</v>
      </c>
      <c r="L3710">
        <v>999</v>
      </c>
      <c r="M3710">
        <v>0</v>
      </c>
      <c r="S3710" s="33">
        <v>1</v>
      </c>
      <c r="T3710">
        <v>5</v>
      </c>
      <c r="U3710">
        <v>100</v>
      </c>
      <c r="V3710" s="33">
        <v>1</v>
      </c>
      <c r="W3710">
        <v>1</v>
      </c>
      <c r="X3710">
        <v>1</v>
      </c>
      <c r="Y3710">
        <v>0</v>
      </c>
      <c r="Z3710" s="33">
        <v>0</v>
      </c>
      <c r="AA3710">
        <v>5</v>
      </c>
      <c r="AB3710">
        <v>1000</v>
      </c>
      <c r="AC3710">
        <v>70</v>
      </c>
      <c r="AS3710">
        <v>1</v>
      </c>
    </row>
    <row r="3711" spans="1:45">
      <c r="A3711">
        <v>1110008</v>
      </c>
      <c r="B3711">
        <v>1001</v>
      </c>
      <c r="C3711">
        <v>1</v>
      </c>
      <c r="D3711">
        <v>1001</v>
      </c>
      <c r="E3711" t="s">
        <v>9045</v>
      </c>
      <c r="F3711" t="s">
        <v>9045</v>
      </c>
      <c r="G3711" t="s">
        <v>9046</v>
      </c>
      <c r="H3711" t="s">
        <v>9047</v>
      </c>
      <c r="I3711">
        <v>1</v>
      </c>
      <c r="J3711">
        <v>5</v>
      </c>
      <c r="K3711" s="33">
        <v>1</v>
      </c>
      <c r="L3711">
        <v>999</v>
      </c>
      <c r="M3711">
        <v>0</v>
      </c>
      <c r="S3711" s="33">
        <v>1</v>
      </c>
      <c r="T3711">
        <v>5</v>
      </c>
      <c r="U3711">
        <v>100</v>
      </c>
      <c r="V3711" s="33">
        <v>1</v>
      </c>
      <c r="W3711">
        <v>1</v>
      </c>
      <c r="X3711">
        <v>1</v>
      </c>
      <c r="Y3711">
        <v>0</v>
      </c>
      <c r="Z3711" s="33">
        <v>0</v>
      </c>
      <c r="AA3711">
        <v>5</v>
      </c>
      <c r="AB3711">
        <v>1000</v>
      </c>
      <c r="AC3711">
        <v>70</v>
      </c>
      <c r="AS3711">
        <v>1</v>
      </c>
    </row>
    <row r="3712" spans="1:45">
      <c r="A3712">
        <v>1110009</v>
      </c>
      <c r="B3712">
        <v>1001</v>
      </c>
      <c r="C3712">
        <v>1</v>
      </c>
      <c r="D3712">
        <v>1001</v>
      </c>
      <c r="E3712" t="s">
        <v>9048</v>
      </c>
      <c r="F3712" t="s">
        <v>9048</v>
      </c>
      <c r="G3712" t="s">
        <v>9049</v>
      </c>
      <c r="H3712" t="s">
        <v>1698</v>
      </c>
      <c r="I3712">
        <v>1</v>
      </c>
      <c r="J3712">
        <v>5</v>
      </c>
      <c r="K3712" s="33">
        <v>1</v>
      </c>
      <c r="L3712">
        <v>999</v>
      </c>
      <c r="M3712">
        <v>0</v>
      </c>
      <c r="O3712"/>
      <c r="S3712" s="33">
        <v>1</v>
      </c>
      <c r="T3712">
        <v>5</v>
      </c>
      <c r="U3712">
        <v>100</v>
      </c>
      <c r="V3712" s="33">
        <v>1</v>
      </c>
      <c r="W3712">
        <v>1</v>
      </c>
      <c r="X3712">
        <v>1</v>
      </c>
      <c r="Y3712">
        <v>0</v>
      </c>
      <c r="Z3712" s="33">
        <v>0</v>
      </c>
      <c r="AA3712">
        <v>5</v>
      </c>
      <c r="AB3712">
        <v>1000</v>
      </c>
      <c r="AC3712">
        <v>70</v>
      </c>
      <c r="AG3712"/>
      <c r="AH3712"/>
      <c r="AI3712"/>
      <c r="AJ3712"/>
      <c r="AK3712"/>
      <c r="AL3712"/>
      <c r="AM3712"/>
      <c r="AN3712"/>
      <c r="AO3712"/>
      <c r="AP3712"/>
      <c r="AS3712">
        <v>1</v>
      </c>
    </row>
    <row r="3713" spans="1:45">
      <c r="A3713">
        <v>931130</v>
      </c>
      <c r="B3713">
        <v>1001</v>
      </c>
      <c r="C3713">
        <v>1</v>
      </c>
      <c r="D3713">
        <v>1001</v>
      </c>
      <c r="E3713" t="s">
        <v>9050</v>
      </c>
      <c r="F3713" t="s">
        <v>9050</v>
      </c>
      <c r="G3713" t="s">
        <v>9051</v>
      </c>
      <c r="H3713" s="3" t="s">
        <v>204</v>
      </c>
      <c r="I3713">
        <v>1</v>
      </c>
      <c r="J3713">
        <v>4</v>
      </c>
      <c r="K3713" s="33">
        <v>1</v>
      </c>
      <c r="L3713">
        <v>999</v>
      </c>
      <c r="M3713">
        <v>0</v>
      </c>
      <c r="O3713"/>
      <c r="S3713" s="33">
        <v>1</v>
      </c>
      <c r="T3713">
        <v>5</v>
      </c>
      <c r="U3713">
        <v>1</v>
      </c>
      <c r="V3713" s="33">
        <v>1</v>
      </c>
      <c r="W3713">
        <v>1</v>
      </c>
      <c r="X3713">
        <v>1</v>
      </c>
      <c r="Y3713">
        <v>0</v>
      </c>
      <c r="Z3713" s="33">
        <v>0</v>
      </c>
      <c r="AA3713">
        <v>5</v>
      </c>
      <c r="AB3713">
        <v>100</v>
      </c>
      <c r="AC3713">
        <v>70</v>
      </c>
      <c r="AD3713" s="62">
        <v>0</v>
      </c>
      <c r="AE3713" s="62">
        <v>1</v>
      </c>
      <c r="AF3713" s="62">
        <v>1</v>
      </c>
      <c r="AG3713"/>
      <c r="AH3713"/>
      <c r="AI3713"/>
      <c r="AJ3713"/>
      <c r="AK3713"/>
      <c r="AL3713"/>
      <c r="AM3713"/>
      <c r="AN3713"/>
      <c r="AO3713"/>
      <c r="AP3713"/>
      <c r="AS3713">
        <v>1</v>
      </c>
    </row>
    <row r="3714" spans="1:45">
      <c r="A3714">
        <v>931131</v>
      </c>
      <c r="B3714">
        <v>1001</v>
      </c>
      <c r="C3714">
        <v>1</v>
      </c>
      <c r="D3714">
        <v>1001</v>
      </c>
      <c r="E3714" t="s">
        <v>9052</v>
      </c>
      <c r="F3714" t="s">
        <v>9052</v>
      </c>
      <c r="G3714" t="s">
        <v>9053</v>
      </c>
      <c r="H3714" s="3" t="s">
        <v>9003</v>
      </c>
      <c r="I3714">
        <v>1</v>
      </c>
      <c r="J3714">
        <v>4</v>
      </c>
      <c r="K3714" s="33">
        <v>1</v>
      </c>
      <c r="L3714">
        <v>999</v>
      </c>
      <c r="M3714">
        <v>0</v>
      </c>
      <c r="N3714"/>
      <c r="O3714"/>
      <c r="S3714" s="254">
        <v>1</v>
      </c>
      <c r="T3714" s="238">
        <v>5</v>
      </c>
      <c r="U3714" s="238">
        <v>1</v>
      </c>
      <c r="V3714" s="254">
        <v>1</v>
      </c>
      <c r="W3714">
        <v>1</v>
      </c>
      <c r="X3714" s="238">
        <v>1</v>
      </c>
      <c r="Y3714" s="238">
        <v>0</v>
      </c>
      <c r="Z3714" s="33">
        <v>0</v>
      </c>
      <c r="AA3714">
        <v>5</v>
      </c>
      <c r="AB3714" s="238">
        <v>100</v>
      </c>
      <c r="AC3714" s="238">
        <v>70</v>
      </c>
      <c r="AD3714" s="62">
        <v>0</v>
      </c>
      <c r="AE3714" s="62">
        <v>1</v>
      </c>
      <c r="AF3714" s="62">
        <v>1</v>
      </c>
      <c r="AG3714"/>
      <c r="AH3714"/>
      <c r="AI3714"/>
      <c r="AJ3714"/>
      <c r="AK3714"/>
      <c r="AL3714"/>
      <c r="AM3714"/>
      <c r="AN3714"/>
      <c r="AO3714"/>
      <c r="AP3714"/>
      <c r="AS3714">
        <v>1</v>
      </c>
    </row>
    <row r="3715" spans="1:45">
      <c r="A3715">
        <v>931132</v>
      </c>
      <c r="B3715">
        <v>1001</v>
      </c>
      <c r="C3715">
        <v>1</v>
      </c>
      <c r="D3715">
        <v>1001</v>
      </c>
      <c r="E3715" t="s">
        <v>9054</v>
      </c>
      <c r="F3715" t="s">
        <v>9054</v>
      </c>
      <c r="G3715" t="s">
        <v>9055</v>
      </c>
      <c r="H3715" t="s">
        <v>9056</v>
      </c>
      <c r="I3715">
        <v>1</v>
      </c>
      <c r="J3715">
        <v>5</v>
      </c>
      <c r="K3715" s="33">
        <v>2</v>
      </c>
      <c r="L3715">
        <v>999</v>
      </c>
      <c r="M3715">
        <v>0</v>
      </c>
      <c r="N3715">
        <v>1057</v>
      </c>
      <c r="O3715" s="2">
        <v>6</v>
      </c>
      <c r="S3715" s="89">
        <v>1</v>
      </c>
      <c r="T3715" s="8">
        <v>3</v>
      </c>
      <c r="U3715" s="89">
        <v>150</v>
      </c>
      <c r="V3715" s="87">
        <v>1</v>
      </c>
      <c r="W3715">
        <v>1</v>
      </c>
      <c r="X3715" s="8">
        <v>1</v>
      </c>
      <c r="Y3715" s="8">
        <v>0</v>
      </c>
      <c r="Z3715" s="33">
        <v>0</v>
      </c>
      <c r="AA3715">
        <v>3</v>
      </c>
      <c r="AB3715" s="89">
        <v>6460</v>
      </c>
      <c r="AC3715" s="87">
        <v>10000</v>
      </c>
      <c r="AD3715" s="62">
        <v>0</v>
      </c>
      <c r="AE3715" s="62">
        <v>1</v>
      </c>
      <c r="AF3715" s="62">
        <v>1</v>
      </c>
      <c r="AS3715">
        <v>1</v>
      </c>
    </row>
    <row r="3716" spans="1:45">
      <c r="A3716">
        <v>931133</v>
      </c>
      <c r="B3716">
        <v>1001</v>
      </c>
      <c r="C3716">
        <v>1</v>
      </c>
      <c r="D3716">
        <v>1001</v>
      </c>
      <c r="E3716" t="s">
        <v>9057</v>
      </c>
      <c r="F3716" t="s">
        <v>9057</v>
      </c>
      <c r="G3716" t="s">
        <v>9058</v>
      </c>
      <c r="H3716" t="s">
        <v>9059</v>
      </c>
      <c r="I3716">
        <v>1</v>
      </c>
      <c r="J3716">
        <v>5</v>
      </c>
      <c r="K3716" s="33">
        <v>2</v>
      </c>
      <c r="L3716">
        <v>999</v>
      </c>
      <c r="M3716">
        <v>0</v>
      </c>
      <c r="N3716">
        <v>1057</v>
      </c>
      <c r="O3716" s="2">
        <v>9</v>
      </c>
      <c r="S3716" s="89">
        <v>1</v>
      </c>
      <c r="T3716" s="8">
        <v>3</v>
      </c>
      <c r="U3716" s="89">
        <v>150</v>
      </c>
      <c r="V3716" s="87">
        <v>1</v>
      </c>
      <c r="W3716">
        <v>1</v>
      </c>
      <c r="X3716" s="8">
        <v>1</v>
      </c>
      <c r="Y3716" s="8">
        <v>0</v>
      </c>
      <c r="Z3716" s="33">
        <v>0</v>
      </c>
      <c r="AA3716">
        <v>3</v>
      </c>
      <c r="AB3716" s="89">
        <v>6460</v>
      </c>
      <c r="AC3716" s="87">
        <v>10000</v>
      </c>
      <c r="AD3716" s="62">
        <v>0</v>
      </c>
      <c r="AE3716" s="62">
        <v>1</v>
      </c>
      <c r="AF3716" s="62">
        <v>1</v>
      </c>
      <c r="AS3716">
        <v>1</v>
      </c>
    </row>
    <row r="3717" spans="1:45">
      <c r="A3717">
        <v>931134</v>
      </c>
      <c r="B3717">
        <v>1001</v>
      </c>
      <c r="C3717">
        <v>1</v>
      </c>
      <c r="D3717">
        <v>1001</v>
      </c>
      <c r="E3717" t="s">
        <v>9060</v>
      </c>
      <c r="F3717" t="s">
        <v>9060</v>
      </c>
      <c r="G3717" t="s">
        <v>9061</v>
      </c>
      <c r="H3717" t="s">
        <v>9062</v>
      </c>
      <c r="I3717">
        <v>1</v>
      </c>
      <c r="J3717">
        <v>5</v>
      </c>
      <c r="K3717" s="33">
        <v>2</v>
      </c>
      <c r="L3717">
        <v>999</v>
      </c>
      <c r="M3717">
        <v>0</v>
      </c>
      <c r="N3717">
        <v>1057</v>
      </c>
      <c r="O3717" s="2">
        <v>7</v>
      </c>
      <c r="S3717" s="89">
        <v>1</v>
      </c>
      <c r="T3717" s="8">
        <v>3</v>
      </c>
      <c r="U3717" s="89">
        <v>150</v>
      </c>
      <c r="V3717" s="87">
        <v>1</v>
      </c>
      <c r="W3717">
        <v>1</v>
      </c>
      <c r="X3717" s="8">
        <v>1</v>
      </c>
      <c r="Y3717" s="8">
        <v>0</v>
      </c>
      <c r="Z3717" s="33">
        <v>0</v>
      </c>
      <c r="AA3717">
        <v>3</v>
      </c>
      <c r="AB3717" s="89">
        <v>6460</v>
      </c>
      <c r="AC3717" s="87">
        <v>10000</v>
      </c>
      <c r="AD3717" s="62">
        <v>0</v>
      </c>
      <c r="AE3717" s="62">
        <v>1</v>
      </c>
      <c r="AF3717" s="62">
        <v>1</v>
      </c>
      <c r="AS3717">
        <v>1</v>
      </c>
    </row>
    <row r="3718" spans="1:45">
      <c r="A3718">
        <v>931135</v>
      </c>
      <c r="B3718">
        <v>1001</v>
      </c>
      <c r="C3718">
        <v>1</v>
      </c>
      <c r="D3718">
        <v>1001</v>
      </c>
      <c r="E3718" t="s">
        <v>9063</v>
      </c>
      <c r="F3718" t="s">
        <v>9063</v>
      </c>
      <c r="G3718" t="s">
        <v>9064</v>
      </c>
      <c r="H3718" t="s">
        <v>9065</v>
      </c>
      <c r="I3718">
        <v>1</v>
      </c>
      <c r="J3718">
        <v>5</v>
      </c>
      <c r="K3718" s="33">
        <v>2</v>
      </c>
      <c r="L3718">
        <v>999</v>
      </c>
      <c r="M3718">
        <v>0</v>
      </c>
      <c r="N3718">
        <v>1057</v>
      </c>
      <c r="O3718" s="2">
        <v>8</v>
      </c>
      <c r="S3718" s="336">
        <v>1</v>
      </c>
      <c r="T3718" s="236">
        <v>3</v>
      </c>
      <c r="U3718" s="336">
        <v>150</v>
      </c>
      <c r="V3718" s="248">
        <v>1</v>
      </c>
      <c r="W3718">
        <v>1</v>
      </c>
      <c r="X3718" s="236">
        <v>1</v>
      </c>
      <c r="Y3718" s="236">
        <v>0</v>
      </c>
      <c r="Z3718" s="33">
        <v>0</v>
      </c>
      <c r="AA3718">
        <v>3</v>
      </c>
      <c r="AB3718" s="336">
        <v>6460</v>
      </c>
      <c r="AC3718" s="248">
        <v>10000</v>
      </c>
      <c r="AD3718" s="62">
        <v>0</v>
      </c>
      <c r="AE3718" s="62">
        <v>1</v>
      </c>
      <c r="AF3718" s="62">
        <v>1</v>
      </c>
      <c r="AS3718">
        <v>1</v>
      </c>
    </row>
    <row r="3719" spans="1:45">
      <c r="A3719">
        <v>931136</v>
      </c>
      <c r="B3719">
        <v>1001</v>
      </c>
      <c r="C3719">
        <v>6</v>
      </c>
      <c r="D3719">
        <v>1001</v>
      </c>
      <c r="E3719" t="s">
        <v>9066</v>
      </c>
      <c r="F3719" t="s">
        <v>9066</v>
      </c>
      <c r="G3719" t="s">
        <v>9067</v>
      </c>
      <c r="H3719" t="s">
        <v>2567</v>
      </c>
      <c r="I3719">
        <v>1</v>
      </c>
      <c r="J3719">
        <v>5</v>
      </c>
      <c r="K3719" s="33">
        <v>2</v>
      </c>
      <c r="L3719">
        <v>999</v>
      </c>
      <c r="M3719">
        <v>0</v>
      </c>
      <c r="N3719">
        <v>1016</v>
      </c>
      <c r="O3719" s="2" t="s">
        <v>9068</v>
      </c>
      <c r="S3719" s="33">
        <v>1</v>
      </c>
      <c r="T3719">
        <v>5</v>
      </c>
      <c r="U3719">
        <v>200</v>
      </c>
      <c r="V3719" s="33">
        <v>1</v>
      </c>
      <c r="W3719">
        <v>1</v>
      </c>
      <c r="X3719">
        <v>1</v>
      </c>
      <c r="Y3719">
        <v>0</v>
      </c>
      <c r="Z3719" s="33">
        <v>0</v>
      </c>
      <c r="AA3719">
        <v>5</v>
      </c>
      <c r="AB3719">
        <v>1000</v>
      </c>
      <c r="AC3719">
        <v>56</v>
      </c>
      <c r="AD3719" s="62">
        <v>0</v>
      </c>
      <c r="AE3719" s="62">
        <v>1</v>
      </c>
      <c r="AF3719" s="62">
        <v>2</v>
      </c>
      <c r="AS3719">
        <v>1</v>
      </c>
    </row>
    <row r="3720" spans="1:45">
      <c r="A3720">
        <v>931137</v>
      </c>
      <c r="B3720">
        <v>1001</v>
      </c>
      <c r="C3720">
        <v>6</v>
      </c>
      <c r="D3720">
        <v>1001</v>
      </c>
      <c r="E3720" t="s">
        <v>9069</v>
      </c>
      <c r="F3720" t="s">
        <v>9069</v>
      </c>
      <c r="G3720" t="s">
        <v>9070</v>
      </c>
      <c r="H3720" t="s">
        <v>2567</v>
      </c>
      <c r="I3720">
        <v>30</v>
      </c>
      <c r="J3720">
        <v>5</v>
      </c>
      <c r="K3720" s="33">
        <v>2</v>
      </c>
      <c r="L3720">
        <v>999</v>
      </c>
      <c r="M3720">
        <v>0</v>
      </c>
      <c r="N3720">
        <v>1016</v>
      </c>
      <c r="O3720" s="2" t="s">
        <v>9071</v>
      </c>
      <c r="S3720" s="33">
        <v>1</v>
      </c>
      <c r="T3720">
        <v>5</v>
      </c>
      <c r="U3720">
        <v>200</v>
      </c>
      <c r="V3720" s="33">
        <v>1</v>
      </c>
      <c r="W3720">
        <v>1</v>
      </c>
      <c r="X3720">
        <v>1</v>
      </c>
      <c r="Y3720">
        <v>0</v>
      </c>
      <c r="Z3720" s="33">
        <v>0</v>
      </c>
      <c r="AA3720">
        <v>5</v>
      </c>
      <c r="AB3720">
        <v>1000</v>
      </c>
      <c r="AC3720">
        <v>56</v>
      </c>
      <c r="AD3720" s="62">
        <v>0</v>
      </c>
      <c r="AE3720" s="62">
        <v>1</v>
      </c>
      <c r="AF3720" s="62">
        <v>2</v>
      </c>
      <c r="AS3720">
        <v>1</v>
      </c>
    </row>
    <row r="3721" spans="1:45">
      <c r="A3721">
        <v>931138</v>
      </c>
      <c r="B3721">
        <v>1001</v>
      </c>
      <c r="C3721">
        <v>6</v>
      </c>
      <c r="D3721">
        <v>1001</v>
      </c>
      <c r="E3721" t="s">
        <v>9072</v>
      </c>
      <c r="F3721" t="s">
        <v>9072</v>
      </c>
      <c r="G3721" t="s">
        <v>9073</v>
      </c>
      <c r="H3721" t="s">
        <v>2567</v>
      </c>
      <c r="I3721">
        <v>60</v>
      </c>
      <c r="J3721">
        <v>5</v>
      </c>
      <c r="K3721" s="33">
        <v>2</v>
      </c>
      <c r="L3721">
        <v>999</v>
      </c>
      <c r="M3721">
        <v>0</v>
      </c>
      <c r="N3721">
        <v>1016</v>
      </c>
      <c r="O3721" s="2" t="s">
        <v>9074</v>
      </c>
      <c r="S3721" s="33">
        <v>1</v>
      </c>
      <c r="T3721">
        <v>5</v>
      </c>
      <c r="U3721">
        <v>200</v>
      </c>
      <c r="V3721" s="33">
        <v>1</v>
      </c>
      <c r="W3721">
        <v>1</v>
      </c>
      <c r="X3721">
        <v>1</v>
      </c>
      <c r="Y3721">
        <v>0</v>
      </c>
      <c r="Z3721" s="33">
        <v>0</v>
      </c>
      <c r="AA3721">
        <v>5</v>
      </c>
      <c r="AB3721">
        <v>1000</v>
      </c>
      <c r="AC3721">
        <v>56</v>
      </c>
      <c r="AD3721" s="62">
        <v>0</v>
      </c>
      <c r="AE3721" s="62">
        <v>1</v>
      </c>
      <c r="AF3721" s="62">
        <v>2</v>
      </c>
      <c r="AS3721">
        <v>1</v>
      </c>
    </row>
    <row r="3722" spans="1:45">
      <c r="A3722">
        <v>931139</v>
      </c>
      <c r="B3722">
        <v>1001</v>
      </c>
      <c r="C3722">
        <v>6</v>
      </c>
      <c r="D3722">
        <v>1001</v>
      </c>
      <c r="E3722" t="s">
        <v>9075</v>
      </c>
      <c r="F3722" t="s">
        <v>9075</v>
      </c>
      <c r="G3722" t="s">
        <v>9076</v>
      </c>
      <c r="H3722" t="s">
        <v>2567</v>
      </c>
      <c r="I3722">
        <v>90</v>
      </c>
      <c r="J3722">
        <v>5</v>
      </c>
      <c r="K3722" s="33">
        <v>2</v>
      </c>
      <c r="L3722">
        <v>999</v>
      </c>
      <c r="M3722">
        <v>0</v>
      </c>
      <c r="N3722">
        <v>1016</v>
      </c>
      <c r="O3722" s="2" t="s">
        <v>9077</v>
      </c>
      <c r="S3722" s="33">
        <v>1</v>
      </c>
      <c r="T3722">
        <v>5</v>
      </c>
      <c r="U3722">
        <v>200</v>
      </c>
      <c r="V3722" s="33">
        <v>1</v>
      </c>
      <c r="W3722">
        <v>1</v>
      </c>
      <c r="X3722">
        <v>1</v>
      </c>
      <c r="Y3722">
        <v>0</v>
      </c>
      <c r="Z3722" s="33">
        <v>0</v>
      </c>
      <c r="AA3722">
        <v>5</v>
      </c>
      <c r="AB3722">
        <v>1000</v>
      </c>
      <c r="AC3722">
        <v>56</v>
      </c>
      <c r="AD3722" s="62">
        <v>0</v>
      </c>
      <c r="AE3722" s="62">
        <v>1</v>
      </c>
      <c r="AF3722" s="62">
        <v>2</v>
      </c>
      <c r="AS3722">
        <v>1</v>
      </c>
    </row>
    <row r="3723" spans="1:45">
      <c r="A3723">
        <v>931140</v>
      </c>
      <c r="B3723">
        <v>1001</v>
      </c>
      <c r="C3723">
        <v>6</v>
      </c>
      <c r="D3723">
        <v>1001</v>
      </c>
      <c r="E3723" t="s">
        <v>9078</v>
      </c>
      <c r="F3723" t="s">
        <v>9078</v>
      </c>
      <c r="G3723" t="s">
        <v>9079</v>
      </c>
      <c r="H3723" t="s">
        <v>2567</v>
      </c>
      <c r="I3723">
        <v>120</v>
      </c>
      <c r="J3723">
        <v>5</v>
      </c>
      <c r="K3723" s="33">
        <v>2</v>
      </c>
      <c r="L3723">
        <v>999</v>
      </c>
      <c r="M3723">
        <v>0</v>
      </c>
      <c r="N3723">
        <v>1016</v>
      </c>
      <c r="O3723" s="2" t="s">
        <v>9080</v>
      </c>
      <c r="S3723" s="33">
        <v>1</v>
      </c>
      <c r="T3723">
        <v>5</v>
      </c>
      <c r="U3723">
        <v>200</v>
      </c>
      <c r="V3723" s="33">
        <v>1</v>
      </c>
      <c r="W3723">
        <v>1</v>
      </c>
      <c r="X3723">
        <v>1</v>
      </c>
      <c r="Y3723">
        <v>0</v>
      </c>
      <c r="Z3723" s="33">
        <v>0</v>
      </c>
      <c r="AA3723">
        <v>5</v>
      </c>
      <c r="AB3723">
        <v>1000</v>
      </c>
      <c r="AC3723">
        <v>56</v>
      </c>
      <c r="AD3723" s="62">
        <v>0</v>
      </c>
      <c r="AE3723" s="62">
        <v>1</v>
      </c>
      <c r="AF3723" s="62">
        <v>2</v>
      </c>
      <c r="AS3723">
        <v>1</v>
      </c>
    </row>
    <row r="3724" spans="1:45">
      <c r="A3724">
        <v>931141</v>
      </c>
      <c r="B3724" s="238">
        <v>1001</v>
      </c>
      <c r="C3724">
        <v>6</v>
      </c>
      <c r="D3724" s="238">
        <v>1001</v>
      </c>
      <c r="E3724" t="s">
        <v>9081</v>
      </c>
      <c r="F3724" t="s">
        <v>9081</v>
      </c>
      <c r="G3724" t="s">
        <v>9082</v>
      </c>
      <c r="H3724" t="s">
        <v>2567</v>
      </c>
      <c r="I3724">
        <v>150</v>
      </c>
      <c r="J3724">
        <v>5</v>
      </c>
      <c r="K3724" s="33">
        <v>2</v>
      </c>
      <c r="L3724">
        <v>999</v>
      </c>
      <c r="M3724">
        <v>0</v>
      </c>
      <c r="N3724">
        <v>1016</v>
      </c>
      <c r="O3724" s="2" t="s">
        <v>9083</v>
      </c>
      <c r="S3724" s="33">
        <v>1</v>
      </c>
      <c r="T3724">
        <v>5</v>
      </c>
      <c r="U3724">
        <v>200</v>
      </c>
      <c r="V3724" s="33">
        <v>1</v>
      </c>
      <c r="W3724">
        <v>1</v>
      </c>
      <c r="X3724">
        <v>1</v>
      </c>
      <c r="Y3724">
        <v>0</v>
      </c>
      <c r="Z3724" s="33">
        <v>0</v>
      </c>
      <c r="AA3724">
        <v>5</v>
      </c>
      <c r="AB3724">
        <v>1000</v>
      </c>
      <c r="AC3724">
        <v>56</v>
      </c>
      <c r="AD3724" s="62">
        <v>0</v>
      </c>
      <c r="AE3724" s="62">
        <v>1</v>
      </c>
      <c r="AF3724" s="62">
        <v>2</v>
      </c>
      <c r="AG3724" s="430"/>
      <c r="AH3724" s="430"/>
      <c r="AI3724" s="430"/>
      <c r="AJ3724" s="430"/>
      <c r="AK3724" s="430"/>
      <c r="AL3724" s="214"/>
      <c r="AM3724" s="214"/>
      <c r="AN3724" s="431"/>
      <c r="AO3724" s="214"/>
      <c r="AP3724" s="214"/>
      <c r="AS3724">
        <v>1</v>
      </c>
    </row>
    <row r="3725" spans="1:45">
      <c r="A3725">
        <v>931142</v>
      </c>
      <c r="B3725" s="8">
        <v>1001</v>
      </c>
      <c r="C3725">
        <v>6</v>
      </c>
      <c r="D3725" s="8">
        <v>1001</v>
      </c>
      <c r="E3725" s="581" t="s">
        <v>9084</v>
      </c>
      <c r="F3725" s="581" t="s">
        <v>9084</v>
      </c>
      <c r="G3725" s="581" t="s">
        <v>9084</v>
      </c>
      <c r="H3725" t="s">
        <v>6325</v>
      </c>
      <c r="I3725">
        <v>1</v>
      </c>
      <c r="J3725">
        <v>5</v>
      </c>
      <c r="K3725" s="33">
        <v>2</v>
      </c>
      <c r="L3725">
        <v>999</v>
      </c>
      <c r="M3725">
        <v>0</v>
      </c>
      <c r="N3725">
        <v>1035</v>
      </c>
      <c r="O3725" s="582">
        <v>141</v>
      </c>
      <c r="S3725" s="33">
        <v>1</v>
      </c>
      <c r="T3725">
        <v>5</v>
      </c>
      <c r="U3725">
        <v>1</v>
      </c>
      <c r="V3725" s="33">
        <v>1</v>
      </c>
      <c r="W3725">
        <v>1</v>
      </c>
      <c r="X3725">
        <v>1</v>
      </c>
      <c r="Y3725">
        <v>0</v>
      </c>
      <c r="Z3725" s="33">
        <v>0</v>
      </c>
      <c r="AA3725">
        <v>5</v>
      </c>
      <c r="AB3725">
        <v>100</v>
      </c>
      <c r="AC3725">
        <v>70</v>
      </c>
      <c r="AD3725" s="12">
        <v>0</v>
      </c>
      <c r="AE3725" s="12">
        <v>1</v>
      </c>
      <c r="AF3725" s="12">
        <v>1</v>
      </c>
      <c r="AG3725" s="430"/>
      <c r="AH3725" s="430"/>
      <c r="AI3725" s="430"/>
      <c r="AJ3725" s="430"/>
      <c r="AK3725" s="430"/>
      <c r="AL3725" s="214"/>
      <c r="AM3725" s="214"/>
      <c r="AN3725" s="431"/>
      <c r="AO3725" s="214"/>
      <c r="AP3725" s="214"/>
      <c r="AS3725">
        <v>1</v>
      </c>
    </row>
    <row r="3726" spans="1:45">
      <c r="A3726">
        <v>931143</v>
      </c>
      <c r="B3726" s="8">
        <v>1001</v>
      </c>
      <c r="C3726">
        <v>6</v>
      </c>
      <c r="D3726" s="8">
        <v>1001</v>
      </c>
      <c r="E3726" s="581" t="s">
        <v>9085</v>
      </c>
      <c r="F3726" s="581" t="s">
        <v>9085</v>
      </c>
      <c r="G3726" s="581" t="s">
        <v>9085</v>
      </c>
      <c r="H3726" t="s">
        <v>6325</v>
      </c>
      <c r="I3726">
        <v>1</v>
      </c>
      <c r="J3726">
        <v>5</v>
      </c>
      <c r="K3726" s="33">
        <v>2</v>
      </c>
      <c r="L3726">
        <v>999</v>
      </c>
      <c r="M3726">
        <v>0</v>
      </c>
      <c r="N3726">
        <v>1035</v>
      </c>
      <c r="O3726" s="582">
        <v>142</v>
      </c>
      <c r="S3726" s="33">
        <v>1</v>
      </c>
      <c r="T3726">
        <v>5</v>
      </c>
      <c r="U3726">
        <v>1</v>
      </c>
      <c r="V3726" s="33">
        <v>1</v>
      </c>
      <c r="W3726">
        <v>1</v>
      </c>
      <c r="X3726">
        <v>1</v>
      </c>
      <c r="Y3726">
        <v>0</v>
      </c>
      <c r="Z3726" s="33">
        <v>0</v>
      </c>
      <c r="AA3726">
        <v>5</v>
      </c>
      <c r="AB3726">
        <v>100</v>
      </c>
      <c r="AC3726">
        <v>70</v>
      </c>
      <c r="AD3726" s="12">
        <v>0</v>
      </c>
      <c r="AE3726" s="12">
        <v>1</v>
      </c>
      <c r="AF3726" s="12">
        <v>1</v>
      </c>
      <c r="AG3726" s="430"/>
      <c r="AH3726" s="430"/>
      <c r="AI3726" s="430"/>
      <c r="AJ3726" s="430"/>
      <c r="AK3726" s="430"/>
      <c r="AL3726" s="214"/>
      <c r="AM3726" s="214"/>
      <c r="AN3726" s="431"/>
      <c r="AO3726" s="214"/>
      <c r="AP3726" s="214"/>
      <c r="AS3726">
        <v>1</v>
      </c>
    </row>
    <row r="3727" spans="1:45">
      <c r="A3727">
        <v>931144</v>
      </c>
      <c r="B3727" s="8">
        <v>1001</v>
      </c>
      <c r="C3727">
        <v>6</v>
      </c>
      <c r="D3727" s="8">
        <v>1001</v>
      </c>
      <c r="E3727" s="581" t="s">
        <v>9086</v>
      </c>
      <c r="F3727" s="581" t="s">
        <v>9086</v>
      </c>
      <c r="G3727" s="581" t="s">
        <v>9086</v>
      </c>
      <c r="H3727" t="s">
        <v>6325</v>
      </c>
      <c r="I3727">
        <v>1</v>
      </c>
      <c r="J3727">
        <v>5</v>
      </c>
      <c r="K3727" s="33">
        <v>2</v>
      </c>
      <c r="L3727">
        <v>999</v>
      </c>
      <c r="M3727">
        <v>0</v>
      </c>
      <c r="N3727">
        <v>1035</v>
      </c>
      <c r="O3727" s="582">
        <v>143</v>
      </c>
      <c r="S3727" s="33">
        <v>1</v>
      </c>
      <c r="T3727">
        <v>5</v>
      </c>
      <c r="U3727">
        <v>1</v>
      </c>
      <c r="V3727" s="33">
        <v>1</v>
      </c>
      <c r="W3727">
        <v>1</v>
      </c>
      <c r="X3727">
        <v>1</v>
      </c>
      <c r="Y3727">
        <v>0</v>
      </c>
      <c r="Z3727" s="33">
        <v>0</v>
      </c>
      <c r="AA3727">
        <v>5</v>
      </c>
      <c r="AB3727">
        <v>100</v>
      </c>
      <c r="AC3727">
        <v>70</v>
      </c>
      <c r="AD3727" s="12">
        <v>0</v>
      </c>
      <c r="AE3727" s="12">
        <v>1</v>
      </c>
      <c r="AF3727" s="12">
        <v>1</v>
      </c>
      <c r="AG3727" s="430"/>
      <c r="AH3727" s="430"/>
      <c r="AI3727" s="430"/>
      <c r="AJ3727" s="430"/>
      <c r="AK3727" s="430"/>
      <c r="AL3727" s="214"/>
      <c r="AM3727" s="214"/>
      <c r="AN3727" s="431"/>
      <c r="AO3727" s="214"/>
      <c r="AP3727" s="214"/>
      <c r="AS3727">
        <v>1</v>
      </c>
    </row>
    <row r="3728" spans="1:45">
      <c r="A3728">
        <v>931145</v>
      </c>
      <c r="B3728" s="8">
        <v>1001</v>
      </c>
      <c r="C3728">
        <v>6</v>
      </c>
      <c r="D3728" s="8">
        <v>1001</v>
      </c>
      <c r="E3728" s="581" t="s">
        <v>9087</v>
      </c>
      <c r="F3728" s="581" t="s">
        <v>9087</v>
      </c>
      <c r="G3728" s="581" t="s">
        <v>9087</v>
      </c>
      <c r="H3728" t="s">
        <v>6325</v>
      </c>
      <c r="I3728">
        <v>1</v>
      </c>
      <c r="J3728">
        <v>5</v>
      </c>
      <c r="K3728" s="33">
        <v>2</v>
      </c>
      <c r="L3728">
        <v>999</v>
      </c>
      <c r="M3728">
        <v>0</v>
      </c>
      <c r="N3728">
        <v>1035</v>
      </c>
      <c r="O3728" s="582">
        <v>144</v>
      </c>
      <c r="S3728" s="33">
        <v>1</v>
      </c>
      <c r="T3728">
        <v>5</v>
      </c>
      <c r="U3728">
        <v>1</v>
      </c>
      <c r="V3728" s="33">
        <v>1</v>
      </c>
      <c r="W3728">
        <v>1</v>
      </c>
      <c r="X3728">
        <v>1</v>
      </c>
      <c r="Y3728">
        <v>0</v>
      </c>
      <c r="Z3728" s="33">
        <v>0</v>
      </c>
      <c r="AA3728">
        <v>5</v>
      </c>
      <c r="AB3728">
        <v>100</v>
      </c>
      <c r="AC3728">
        <v>70</v>
      </c>
      <c r="AD3728" s="12">
        <v>0</v>
      </c>
      <c r="AE3728" s="12">
        <v>1</v>
      </c>
      <c r="AF3728" s="12">
        <v>1</v>
      </c>
      <c r="AG3728" s="430"/>
      <c r="AH3728" s="430"/>
      <c r="AI3728" s="430"/>
      <c r="AJ3728" s="430"/>
      <c r="AK3728" s="430"/>
      <c r="AL3728" s="214"/>
      <c r="AM3728" s="214"/>
      <c r="AN3728" s="431"/>
      <c r="AO3728" s="214"/>
      <c r="AP3728" s="214"/>
      <c r="AS3728">
        <v>1</v>
      </c>
    </row>
    <row r="3729" spans="1:45">
      <c r="A3729">
        <v>931146</v>
      </c>
      <c r="B3729" s="8">
        <v>1001</v>
      </c>
      <c r="C3729">
        <v>6</v>
      </c>
      <c r="D3729" s="8">
        <v>1001</v>
      </c>
      <c r="E3729" s="581" t="s">
        <v>9088</v>
      </c>
      <c r="F3729" s="581" t="s">
        <v>9088</v>
      </c>
      <c r="G3729" s="581" t="s">
        <v>9088</v>
      </c>
      <c r="H3729" t="s">
        <v>6325</v>
      </c>
      <c r="I3729">
        <v>1</v>
      </c>
      <c r="J3729">
        <v>5</v>
      </c>
      <c r="K3729" s="33">
        <v>2</v>
      </c>
      <c r="L3729">
        <v>999</v>
      </c>
      <c r="M3729">
        <v>0</v>
      </c>
      <c r="N3729">
        <v>1035</v>
      </c>
      <c r="O3729" s="582">
        <v>145</v>
      </c>
      <c r="S3729" s="33">
        <v>1</v>
      </c>
      <c r="T3729">
        <v>5</v>
      </c>
      <c r="U3729">
        <v>1</v>
      </c>
      <c r="V3729" s="33">
        <v>1</v>
      </c>
      <c r="W3729">
        <v>1</v>
      </c>
      <c r="X3729">
        <v>1</v>
      </c>
      <c r="Y3729">
        <v>0</v>
      </c>
      <c r="Z3729" s="33">
        <v>0</v>
      </c>
      <c r="AA3729">
        <v>5</v>
      </c>
      <c r="AB3729">
        <v>100</v>
      </c>
      <c r="AC3729">
        <v>70</v>
      </c>
      <c r="AD3729" s="12">
        <v>0</v>
      </c>
      <c r="AE3729" s="12">
        <v>1</v>
      </c>
      <c r="AF3729" s="12">
        <v>1</v>
      </c>
      <c r="AG3729" s="430"/>
      <c r="AH3729" s="430"/>
      <c r="AI3729" s="430"/>
      <c r="AJ3729" s="430"/>
      <c r="AK3729" s="430"/>
      <c r="AL3729" s="214"/>
      <c r="AM3729" s="214"/>
      <c r="AN3729" s="431"/>
      <c r="AO3729" s="214"/>
      <c r="AP3729" s="214"/>
      <c r="AS3729">
        <v>1</v>
      </c>
    </row>
    <row r="3730" spans="1:45">
      <c r="A3730">
        <v>931147</v>
      </c>
      <c r="B3730" s="8">
        <v>1001</v>
      </c>
      <c r="C3730">
        <v>6</v>
      </c>
      <c r="D3730" s="8">
        <v>1001</v>
      </c>
      <c r="E3730" s="581" t="s">
        <v>9089</v>
      </c>
      <c r="F3730" s="581" t="s">
        <v>9089</v>
      </c>
      <c r="G3730" s="581" t="s">
        <v>9089</v>
      </c>
      <c r="H3730" t="s">
        <v>6325</v>
      </c>
      <c r="I3730">
        <v>1</v>
      </c>
      <c r="J3730">
        <v>5</v>
      </c>
      <c r="K3730" s="33">
        <v>2</v>
      </c>
      <c r="L3730">
        <v>999</v>
      </c>
      <c r="M3730">
        <v>0</v>
      </c>
      <c r="N3730">
        <v>1035</v>
      </c>
      <c r="O3730" s="582">
        <v>146</v>
      </c>
      <c r="S3730" s="33">
        <v>1</v>
      </c>
      <c r="T3730">
        <v>5</v>
      </c>
      <c r="U3730">
        <v>1</v>
      </c>
      <c r="V3730" s="33">
        <v>1</v>
      </c>
      <c r="W3730">
        <v>1</v>
      </c>
      <c r="X3730">
        <v>1</v>
      </c>
      <c r="Y3730">
        <v>0</v>
      </c>
      <c r="Z3730" s="33">
        <v>0</v>
      </c>
      <c r="AA3730">
        <v>5</v>
      </c>
      <c r="AB3730">
        <v>100</v>
      </c>
      <c r="AC3730">
        <v>70</v>
      </c>
      <c r="AD3730" s="12">
        <v>0</v>
      </c>
      <c r="AE3730" s="12">
        <v>1</v>
      </c>
      <c r="AF3730" s="12">
        <v>1</v>
      </c>
      <c r="AG3730" s="430"/>
      <c r="AH3730" s="430"/>
      <c r="AI3730" s="430"/>
      <c r="AJ3730" s="430"/>
      <c r="AK3730" s="430"/>
      <c r="AL3730" s="214"/>
      <c r="AM3730" s="214"/>
      <c r="AN3730" s="431"/>
      <c r="AO3730" s="214"/>
      <c r="AP3730" s="214"/>
      <c r="AS3730">
        <v>1</v>
      </c>
    </row>
    <row r="3731" spans="1:45">
      <c r="A3731">
        <v>931148</v>
      </c>
      <c r="B3731" s="236">
        <v>1001</v>
      </c>
      <c r="C3731">
        <v>6</v>
      </c>
      <c r="D3731" s="236">
        <v>1001</v>
      </c>
      <c r="E3731" s="581" t="s">
        <v>9090</v>
      </c>
      <c r="F3731" s="581" t="s">
        <v>9090</v>
      </c>
      <c r="G3731" s="581" t="s">
        <v>9090</v>
      </c>
      <c r="H3731" t="s">
        <v>6325</v>
      </c>
      <c r="I3731">
        <v>1</v>
      </c>
      <c r="J3731">
        <v>5</v>
      </c>
      <c r="K3731" s="33">
        <v>2</v>
      </c>
      <c r="L3731">
        <v>999</v>
      </c>
      <c r="M3731">
        <v>0</v>
      </c>
      <c r="N3731">
        <v>1035</v>
      </c>
      <c r="O3731" s="582">
        <v>147</v>
      </c>
      <c r="P3731" s="3"/>
      <c r="Q3731" s="3"/>
      <c r="R3731" s="3"/>
      <c r="S3731" s="33">
        <v>1</v>
      </c>
      <c r="T3731">
        <v>5</v>
      </c>
      <c r="U3731">
        <v>1</v>
      </c>
      <c r="V3731" s="33">
        <v>1</v>
      </c>
      <c r="W3731">
        <v>1</v>
      </c>
      <c r="X3731">
        <v>1</v>
      </c>
      <c r="Y3731">
        <v>0</v>
      </c>
      <c r="Z3731" s="33">
        <v>0</v>
      </c>
      <c r="AA3731">
        <v>5</v>
      </c>
      <c r="AB3731" s="238">
        <v>100</v>
      </c>
      <c r="AC3731">
        <v>70</v>
      </c>
      <c r="AD3731" s="12">
        <v>0</v>
      </c>
      <c r="AE3731" s="12">
        <v>1</v>
      </c>
      <c r="AF3731" s="12">
        <v>1</v>
      </c>
      <c r="AG3731" s="430"/>
      <c r="AH3731" s="430"/>
      <c r="AI3731" s="430"/>
      <c r="AJ3731" s="430"/>
      <c r="AK3731" s="430"/>
      <c r="AL3731" s="214"/>
      <c r="AM3731" s="214"/>
      <c r="AN3731" s="431"/>
      <c r="AO3731" s="214"/>
      <c r="AP3731" s="214"/>
      <c r="AQ3731" s="3"/>
      <c r="AR3731" s="3"/>
      <c r="AS3731">
        <v>1</v>
      </c>
    </row>
    <row r="3732" ht="16.5" customHeight="1" spans="1:45">
      <c r="A3732">
        <v>931149</v>
      </c>
      <c r="B3732" s="238">
        <v>1001</v>
      </c>
      <c r="C3732" s="238">
        <v>1</v>
      </c>
      <c r="D3732" s="238">
        <v>1001</v>
      </c>
      <c r="E3732" s="238" t="s">
        <v>9091</v>
      </c>
      <c r="F3732" s="238" t="s">
        <v>9091</v>
      </c>
      <c r="G3732" s="339"/>
      <c r="H3732" t="s">
        <v>2567</v>
      </c>
      <c r="I3732" s="3">
        <v>1</v>
      </c>
      <c r="J3732" s="3">
        <v>5</v>
      </c>
      <c r="K3732" s="33">
        <v>1</v>
      </c>
      <c r="L3732" s="3">
        <v>999</v>
      </c>
      <c r="M3732" s="3">
        <v>0</v>
      </c>
      <c r="N3732" s="3"/>
      <c r="O3732" s="527"/>
      <c r="P3732" s="3"/>
      <c r="Q3732" s="3"/>
      <c r="R3732" s="3"/>
      <c r="S3732" s="33">
        <v>0</v>
      </c>
      <c r="T3732" s="3">
        <v>5</v>
      </c>
      <c r="U3732" s="3">
        <v>200</v>
      </c>
      <c r="V3732" s="33">
        <v>1</v>
      </c>
      <c r="W3732" s="3">
        <v>1</v>
      </c>
      <c r="X3732" s="3">
        <v>1</v>
      </c>
      <c r="Y3732" s="3">
        <v>0</v>
      </c>
      <c r="Z3732" s="33">
        <v>0</v>
      </c>
      <c r="AA3732" s="3">
        <v>5</v>
      </c>
      <c r="AB3732" s="236">
        <v>1000</v>
      </c>
      <c r="AC3732" s="3">
        <v>56</v>
      </c>
      <c r="AD3732" s="12"/>
      <c r="AE3732" s="12"/>
      <c r="AF3732" s="12"/>
      <c r="AG3732" s="430"/>
      <c r="AH3732" s="430"/>
      <c r="AI3732" s="430"/>
      <c r="AJ3732" s="430"/>
      <c r="AK3732" s="430"/>
      <c r="AL3732" s="214"/>
      <c r="AM3732" s="214"/>
      <c r="AN3732" s="431"/>
      <c r="AO3732" s="214"/>
      <c r="AP3732" s="214"/>
      <c r="AQ3732" s="3"/>
      <c r="AR3732" s="3"/>
      <c r="AS3732">
        <v>1</v>
      </c>
    </row>
    <row r="3733" spans="1:45">
      <c r="A3733">
        <v>931150</v>
      </c>
      <c r="B3733" s="395">
        <v>1001</v>
      </c>
      <c r="C3733" s="395">
        <v>6</v>
      </c>
      <c r="D3733" s="395">
        <v>1001</v>
      </c>
      <c r="E3733" s="395" t="s">
        <v>9092</v>
      </c>
      <c r="F3733" s="395" t="s">
        <v>9092</v>
      </c>
      <c r="G3733" s="395" t="s">
        <v>9093</v>
      </c>
      <c r="H3733" s="3" t="s">
        <v>1667</v>
      </c>
      <c r="I3733" s="3">
        <v>1</v>
      </c>
      <c r="J3733" s="3">
        <v>5</v>
      </c>
      <c r="K3733" s="3">
        <v>2</v>
      </c>
      <c r="L3733" s="3">
        <v>999</v>
      </c>
      <c r="M3733" s="3">
        <v>0</v>
      </c>
      <c r="N3733" s="3">
        <v>1017</v>
      </c>
      <c r="O3733" s="231">
        <v>300109</v>
      </c>
      <c r="P3733" s="3"/>
      <c r="Q3733" s="3"/>
      <c r="R3733" s="3"/>
      <c r="S3733" s="3">
        <v>1</v>
      </c>
      <c r="T3733" s="3">
        <v>5</v>
      </c>
      <c r="U3733" s="3">
        <v>100</v>
      </c>
      <c r="V3733" s="3"/>
      <c r="W3733" s="3">
        <v>1</v>
      </c>
      <c r="X3733" s="3">
        <v>1</v>
      </c>
      <c r="Y3733" s="3">
        <v>0</v>
      </c>
      <c r="Z3733" s="3">
        <v>0</v>
      </c>
      <c r="AA3733" s="3">
        <v>5</v>
      </c>
      <c r="AB3733" s="339">
        <v>2000</v>
      </c>
      <c r="AC3733" s="3">
        <v>56</v>
      </c>
      <c r="AD3733" s="153">
        <v>0</v>
      </c>
      <c r="AE3733" s="153">
        <v>4</v>
      </c>
      <c r="AF3733" s="153">
        <v>2</v>
      </c>
      <c r="AG3733" s="337"/>
      <c r="AH3733" s="337"/>
      <c r="AI3733" s="337"/>
      <c r="AJ3733" s="337"/>
      <c r="AK3733" s="337"/>
      <c r="AL3733" s="234"/>
      <c r="AM3733" s="234"/>
      <c r="AN3733" s="476"/>
      <c r="AO3733" s="234"/>
      <c r="AP3733" s="234"/>
      <c r="AQ3733" s="3"/>
      <c r="AR3733" s="3"/>
      <c r="AS3733">
        <v>1</v>
      </c>
    </row>
    <row r="3734" ht="16.5" customHeight="1" spans="1:45">
      <c r="A3734">
        <v>931151</v>
      </c>
      <c r="B3734">
        <v>1001</v>
      </c>
      <c r="C3734">
        <v>6</v>
      </c>
      <c r="D3734">
        <v>1001</v>
      </c>
      <c r="E3734" s="238" t="s">
        <v>9094</v>
      </c>
      <c r="F3734" s="238" t="s">
        <v>9094</v>
      </c>
      <c r="G3734" s="3" t="s">
        <v>9095</v>
      </c>
      <c r="H3734" t="s">
        <v>2567</v>
      </c>
      <c r="I3734" s="3">
        <v>1</v>
      </c>
      <c r="J3734" s="3">
        <v>5</v>
      </c>
      <c r="K3734" s="33">
        <v>2</v>
      </c>
      <c r="L3734" s="3">
        <v>999</v>
      </c>
      <c r="M3734" s="3">
        <v>0</v>
      </c>
      <c r="N3734" s="3">
        <v>1016</v>
      </c>
      <c r="O3734" s="527" t="s">
        <v>9096</v>
      </c>
      <c r="P3734" s="3"/>
      <c r="Q3734" s="3"/>
      <c r="R3734" s="3"/>
      <c r="S3734" s="33">
        <v>1</v>
      </c>
      <c r="T3734" s="3">
        <v>5</v>
      </c>
      <c r="U3734" s="3">
        <v>200</v>
      </c>
      <c r="V3734" s="33">
        <v>1</v>
      </c>
      <c r="W3734" s="3">
        <v>1</v>
      </c>
      <c r="X3734" s="3">
        <v>1</v>
      </c>
      <c r="Y3734" s="3">
        <v>0</v>
      </c>
      <c r="Z3734" s="33">
        <v>0</v>
      </c>
      <c r="AA3734" s="3">
        <v>5</v>
      </c>
      <c r="AB3734" s="8">
        <v>1000</v>
      </c>
      <c r="AC3734" s="3">
        <v>56</v>
      </c>
      <c r="AD3734" s="12">
        <v>0</v>
      </c>
      <c r="AE3734" s="12">
        <v>1</v>
      </c>
      <c r="AF3734" s="12">
        <v>2</v>
      </c>
      <c r="AG3734" s="430"/>
      <c r="AH3734" s="430"/>
      <c r="AI3734" s="430"/>
      <c r="AJ3734" s="430"/>
      <c r="AK3734" s="430"/>
      <c r="AL3734" s="214"/>
      <c r="AM3734" s="214"/>
      <c r="AN3734" s="431"/>
      <c r="AO3734" s="214"/>
      <c r="AP3734" s="214"/>
      <c r="AQ3734" s="3"/>
      <c r="AR3734" s="3"/>
      <c r="AS3734">
        <v>1</v>
      </c>
    </row>
    <row r="3735" s="61" customFormat="1" spans="1:45">
      <c r="A3735">
        <v>931152</v>
      </c>
      <c r="B3735" s="61">
        <v>1001</v>
      </c>
      <c r="C3735" s="61">
        <v>6</v>
      </c>
      <c r="D3735" s="61">
        <v>1001</v>
      </c>
      <c r="E3735" s="395" t="s">
        <v>9097</v>
      </c>
      <c r="F3735" s="395" t="s">
        <v>9097</v>
      </c>
      <c r="G3735" s="3" t="s">
        <v>9098</v>
      </c>
      <c r="H3735" s="58" t="s">
        <v>1531</v>
      </c>
      <c r="I3735" s="61">
        <v>1</v>
      </c>
      <c r="J3735" s="61">
        <v>5</v>
      </c>
      <c r="K3735" s="61">
        <v>2</v>
      </c>
      <c r="L3735" s="3">
        <v>999</v>
      </c>
      <c r="M3735" s="61">
        <v>0</v>
      </c>
      <c r="N3735" s="3">
        <v>1018</v>
      </c>
      <c r="O3735" s="571" t="s">
        <v>9099</v>
      </c>
      <c r="P3735" s="174"/>
      <c r="Q3735" s="174"/>
      <c r="R3735" s="180"/>
      <c r="S3735" s="61">
        <v>1</v>
      </c>
      <c r="T3735" s="61">
        <v>5</v>
      </c>
      <c r="U3735" s="3">
        <v>200</v>
      </c>
      <c r="V3735" s="33">
        <v>1</v>
      </c>
      <c r="W3735" s="3">
        <v>1</v>
      </c>
      <c r="X3735" s="3">
        <v>1</v>
      </c>
      <c r="Y3735" s="3">
        <v>0</v>
      </c>
      <c r="Z3735" s="33">
        <v>0</v>
      </c>
      <c r="AA3735" s="3">
        <v>5</v>
      </c>
      <c r="AB3735" s="236">
        <v>1000</v>
      </c>
      <c r="AC3735" s="3">
        <v>56</v>
      </c>
      <c r="AD3735" s="12">
        <v>0</v>
      </c>
      <c r="AE3735" s="12">
        <v>5</v>
      </c>
      <c r="AF3735" s="12">
        <v>2</v>
      </c>
      <c r="AG3735" s="430"/>
      <c r="AH3735" s="430"/>
      <c r="AI3735" s="430"/>
      <c r="AJ3735" s="430"/>
      <c r="AK3735" s="430"/>
      <c r="AL3735" s="214"/>
      <c r="AM3735" s="214"/>
      <c r="AN3735" s="431"/>
      <c r="AO3735" s="572"/>
      <c r="AP3735" s="572"/>
      <c r="AQ3735" s="177"/>
      <c r="AR3735" s="180"/>
      <c r="AS3735" s="61">
        <v>1</v>
      </c>
    </row>
    <row r="3736" spans="1:45">
      <c r="A3736" s="1">
        <v>16010012</v>
      </c>
      <c r="B3736" s="1">
        <v>1001</v>
      </c>
      <c r="C3736" s="1">
        <v>6</v>
      </c>
      <c r="D3736" s="1">
        <v>1001</v>
      </c>
      <c r="F3736" s="1" t="s">
        <v>6871</v>
      </c>
      <c r="G3736" s="1" t="s">
        <v>6872</v>
      </c>
      <c r="I3736" s="1">
        <v>1</v>
      </c>
      <c r="J3736" s="1">
        <v>5</v>
      </c>
      <c r="K3736" s="33">
        <v>2</v>
      </c>
      <c r="L3736" s="1">
        <v>999</v>
      </c>
      <c r="M3736" s="1">
        <v>0</v>
      </c>
      <c r="N3736" s="1">
        <v>1017</v>
      </c>
      <c r="O3736" s="2">
        <v>300111</v>
      </c>
      <c r="S3736" s="33">
        <v>1</v>
      </c>
      <c r="T3736" s="1">
        <v>5</v>
      </c>
      <c r="U3736" s="1">
        <v>100</v>
      </c>
      <c r="V3736" s="33">
        <v>1</v>
      </c>
      <c r="W3736" s="1">
        <v>1</v>
      </c>
      <c r="X3736" s="1">
        <v>1</v>
      </c>
      <c r="Y3736" s="1">
        <v>0</v>
      </c>
      <c r="Z3736" s="33">
        <v>0</v>
      </c>
      <c r="AA3736" s="1">
        <v>5</v>
      </c>
      <c r="AB3736" s="1">
        <v>100</v>
      </c>
      <c r="AC3736" s="1">
        <v>110</v>
      </c>
      <c r="AH3736" s="63">
        <v>1</v>
      </c>
      <c r="AS3736" s="1">
        <v>1</v>
      </c>
    </row>
  </sheetData>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134"/>
  <sheetViews>
    <sheetView zoomScale="115" zoomScaleNormal="115" workbookViewId="0">
      <selection activeCell="B13" sqref="B13"/>
    </sheetView>
  </sheetViews>
  <sheetFormatPr defaultColWidth="9" defaultRowHeight="13.5"/>
  <cols>
    <col min="1" max="1" width="9" style="1" customWidth="1"/>
    <col min="2" max="2" width="13.625" style="1" customWidth="1"/>
    <col min="3" max="3" width="11.2583333333333" style="1" customWidth="1"/>
    <col min="5" max="5" width="13.625" style="1" customWidth="1"/>
    <col min="6" max="6" width="20.375" style="1" customWidth="1"/>
    <col min="7" max="7" width="9" style="1" customWidth="1"/>
    <col min="8" max="8" width="13.625" style="1" customWidth="1"/>
    <col min="9" max="9" width="29.625" style="1" customWidth="1"/>
    <col min="10" max="10" width="48.375" style="1" customWidth="1"/>
  </cols>
  <sheetData>
    <row r="1" spans="2:13">
      <c r="F1" s="10" t="s">
        <v>9100</v>
      </c>
    </row>
    <row r="4" s="9" customFormat="1" spans="2:13">
      <c r="B4" s="11" t="s">
        <v>9101</v>
      </c>
      <c r="C4" s="11"/>
      <c r="E4" s="11" t="s">
        <v>9102</v>
      </c>
      <c r="F4" s="11"/>
      <c r="H4" s="11" t="s">
        <v>9103</v>
      </c>
      <c r="I4" s="11" t="s">
        <v>9104</v>
      </c>
      <c r="J4" s="11" t="s">
        <v>9105</v>
      </c>
    </row>
    <row r="5" spans="2:13">
      <c r="B5" s="12">
        <v>1</v>
      </c>
      <c r="C5" s="12" t="s">
        <v>9106</v>
      </c>
      <c r="E5" s="12">
        <v>1</v>
      </c>
      <c r="F5" s="12" t="s">
        <v>9107</v>
      </c>
      <c r="H5" s="12">
        <v>1</v>
      </c>
      <c r="I5" s="12" t="s">
        <v>9108</v>
      </c>
      <c r="J5" s="12" t="s">
        <v>9109</v>
      </c>
    </row>
    <row r="6" spans="2:13">
      <c r="B6" s="12">
        <v>3</v>
      </c>
      <c r="C6" s="12" t="s">
        <v>100</v>
      </c>
      <c r="E6" s="12">
        <v>2</v>
      </c>
      <c r="F6" s="12" t="s">
        <v>9110</v>
      </c>
      <c r="H6" s="12">
        <v>1001</v>
      </c>
      <c r="I6" s="12" t="s">
        <v>9111</v>
      </c>
      <c r="J6" s="12">
        <v>10</v>
      </c>
    </row>
    <row r="7" spans="2:13">
      <c r="B7" s="12">
        <v>4</v>
      </c>
      <c r="C7" s="12" t="s">
        <v>9112</v>
      </c>
      <c r="E7" s="12">
        <v>3</v>
      </c>
      <c r="F7" s="12" t="s">
        <v>9113</v>
      </c>
      <c r="H7" s="12">
        <v>1002</v>
      </c>
      <c r="I7" s="12" t="s">
        <v>9114</v>
      </c>
      <c r="J7" s="12">
        <v>100</v>
      </c>
      <c r="M7" s="13" t="s">
        <v>9115</v>
      </c>
    </row>
    <row r="8" spans="2:13">
      <c r="B8" s="12">
        <v>5</v>
      </c>
      <c r="C8" s="12" t="s">
        <v>106</v>
      </c>
      <c r="E8" s="12">
        <v>4</v>
      </c>
      <c r="F8" s="12" t="s">
        <v>9116</v>
      </c>
      <c r="H8" s="12">
        <v>1003</v>
      </c>
      <c r="I8" t="s">
        <v>9117</v>
      </c>
      <c r="J8">
        <v>10</v>
      </c>
      <c r="M8" s="13" t="s">
        <v>9118</v>
      </c>
    </row>
    <row r="9" spans="2:13">
      <c r="B9" s="12">
        <v>6</v>
      </c>
      <c r="C9" s="12" t="s">
        <v>9119</v>
      </c>
      <c r="E9" s="12"/>
      <c r="F9" s="12"/>
      <c r="H9" s="12">
        <v>1004</v>
      </c>
      <c r="I9" s="12" t="s">
        <v>9120</v>
      </c>
      <c r="J9" s="12" t="s">
        <v>9121</v>
      </c>
      <c r="M9" s="13" t="s">
        <v>9122</v>
      </c>
    </row>
    <row r="10" spans="2:13">
      <c r="B10" s="12">
        <v>7</v>
      </c>
      <c r="C10" s="12" t="s">
        <v>9123</v>
      </c>
      <c r="E10" s="12"/>
      <c r="F10" s="12"/>
      <c r="H10" s="12">
        <v>1005</v>
      </c>
      <c r="I10" s="12" t="s">
        <v>9124</v>
      </c>
      <c r="J10" s="12" t="s">
        <v>9125</v>
      </c>
      <c r="M10" s="13" t="s">
        <v>9126</v>
      </c>
    </row>
    <row r="11" spans="2:13">
      <c r="B11" s="12"/>
      <c r="C11" s="12"/>
      <c r="E11" s="12"/>
      <c r="F11" s="12"/>
      <c r="H11" s="12">
        <v>1006</v>
      </c>
      <c r="I11" s="14" t="s">
        <v>9127</v>
      </c>
      <c r="J11" s="14" t="s">
        <v>9128</v>
      </c>
      <c r="M11" s="13" t="s">
        <v>9115</v>
      </c>
    </row>
    <row r="12" spans="2:13">
      <c r="B12" s="12"/>
      <c r="C12" s="12"/>
      <c r="E12" s="12"/>
      <c r="F12" s="12"/>
      <c r="H12" s="12">
        <v>1007</v>
      </c>
      <c r="I12" s="12" t="s">
        <v>9129</v>
      </c>
      <c r="J12" s="12" t="s">
        <v>9130</v>
      </c>
      <c r="M12" s="13" t="s">
        <v>9118</v>
      </c>
    </row>
    <row r="13" spans="2:13">
      <c r="B13" s="12">
        <v>1001</v>
      </c>
      <c r="C13" s="12" t="s">
        <v>9131</v>
      </c>
      <c r="E13" s="12"/>
      <c r="F13" s="12"/>
      <c r="H13" s="12">
        <v>1008</v>
      </c>
      <c r="I13" s="12" t="s">
        <v>9132</v>
      </c>
      <c r="J13" s="12"/>
      <c r="M13" s="13" t="s">
        <v>9122</v>
      </c>
    </row>
    <row r="14" spans="2:13">
      <c r="B14" s="12">
        <v>1002</v>
      </c>
      <c r="C14" s="12" t="s">
        <v>9133</v>
      </c>
      <c r="E14" s="12"/>
      <c r="F14" s="12"/>
      <c r="H14" s="12">
        <v>1009</v>
      </c>
      <c r="I14" s="12" t="s">
        <v>9134</v>
      </c>
      <c r="J14" s="12"/>
      <c r="M14" s="13" t="s">
        <v>9126</v>
      </c>
    </row>
    <row r="15" spans="2:13">
      <c r="B15" s="12">
        <v>1010</v>
      </c>
      <c r="C15" s="12" t="s">
        <v>9135</v>
      </c>
      <c r="E15" s="12"/>
      <c r="F15" s="12"/>
      <c r="H15" s="12">
        <v>1010</v>
      </c>
      <c r="I15" s="12" t="s">
        <v>9136</v>
      </c>
      <c r="J15" s="12"/>
      <c r="M15" s="13" t="s">
        <v>9137</v>
      </c>
    </row>
    <row r="16" spans="2:13">
      <c r="B16" s="12">
        <v>1011</v>
      </c>
      <c r="C16" s="12" t="s">
        <v>9138</v>
      </c>
      <c r="E16" s="12"/>
      <c r="F16" s="12"/>
      <c r="H16" s="12">
        <v>1011</v>
      </c>
      <c r="I16" s="12" t="s">
        <v>9139</v>
      </c>
      <c r="J16" s="12" t="s">
        <v>9140</v>
      </c>
      <c r="M16" s="13" t="s">
        <v>2585</v>
      </c>
    </row>
    <row r="17" spans="2:13">
      <c r="B17" s="12">
        <v>1100</v>
      </c>
      <c r="C17" s="12" t="s">
        <v>9141</v>
      </c>
      <c r="E17" s="12"/>
      <c r="F17" s="12"/>
      <c r="H17" s="12">
        <v>1012</v>
      </c>
      <c r="I17" s="12" t="s">
        <v>9142</v>
      </c>
      <c r="J17" s="12" t="s">
        <v>9143</v>
      </c>
      <c r="M17" s="13" t="s">
        <v>2590</v>
      </c>
    </row>
    <row r="18" spans="2:13">
      <c r="B18" s="12">
        <v>1101</v>
      </c>
      <c r="C18" s="12" t="s">
        <v>9144</v>
      </c>
      <c r="E18" s="12"/>
      <c r="F18" s="12"/>
      <c r="H18" s="12">
        <v>1013</v>
      </c>
      <c r="I18" s="12" t="s">
        <v>9145</v>
      </c>
      <c r="J18" s="12"/>
      <c r="M18" s="13" t="s">
        <v>2595</v>
      </c>
    </row>
    <row r="19" spans="2:13">
      <c r="B19" s="12">
        <v>1102</v>
      </c>
      <c r="C19" s="12" t="s">
        <v>9146</v>
      </c>
      <c r="E19" s="12"/>
      <c r="F19" s="12"/>
      <c r="H19" s="12">
        <v>1014</v>
      </c>
      <c r="I19" s="12" t="s">
        <v>9147</v>
      </c>
      <c r="J19" s="12" t="s">
        <v>9148</v>
      </c>
      <c r="M19" s="13" t="s">
        <v>9137</v>
      </c>
    </row>
    <row r="20" spans="2:13">
      <c r="B20" s="12">
        <v>1200</v>
      </c>
      <c r="C20" s="12" t="s">
        <v>9149</v>
      </c>
      <c r="E20" s="12"/>
      <c r="F20" s="12"/>
      <c r="H20" s="12">
        <v>1016</v>
      </c>
      <c r="I20" s="12" t="s">
        <v>9150</v>
      </c>
      <c r="J20" s="12"/>
      <c r="M20" s="13" t="s">
        <v>2585</v>
      </c>
    </row>
    <row r="21" spans="2:13">
      <c r="B21" s="12">
        <v>1201</v>
      </c>
      <c r="C21" s="12" t="s">
        <v>9151</v>
      </c>
      <c r="E21" s="12"/>
      <c r="F21" s="12"/>
      <c r="H21" s="12">
        <v>1017</v>
      </c>
      <c r="I21" s="15" t="s">
        <v>9152</v>
      </c>
      <c r="J21" s="12" t="s">
        <v>9153</v>
      </c>
      <c r="M21" s="13" t="s">
        <v>2590</v>
      </c>
    </row>
    <row r="22" spans="2:13">
      <c r="B22" s="12">
        <v>1013</v>
      </c>
      <c r="C22" s="12" t="s">
        <v>9154</v>
      </c>
      <c r="E22" s="12"/>
      <c r="F22" s="12"/>
      <c r="H22" s="12">
        <v>1018</v>
      </c>
      <c r="I22" s="12" t="s">
        <v>9155</v>
      </c>
      <c r="J22" s="12"/>
      <c r="M22" s="13" t="s">
        <v>2595</v>
      </c>
    </row>
    <row r="23" spans="2:13">
      <c r="B23" s="12">
        <v>1012</v>
      </c>
      <c r="C23" s="12" t="s">
        <v>9156</v>
      </c>
      <c r="E23" s="12"/>
      <c r="F23" s="12"/>
      <c r="H23" s="12">
        <v>1019</v>
      </c>
      <c r="I23" s="12" t="s">
        <v>9157</v>
      </c>
      <c r="J23" s="12">
        <v>10</v>
      </c>
      <c r="M23" s="13" t="s">
        <v>9158</v>
      </c>
    </row>
    <row r="24" spans="2:13">
      <c r="B24" s="12">
        <v>1300</v>
      </c>
      <c r="C24" s="12" t="s">
        <v>9159</v>
      </c>
      <c r="E24" s="12"/>
      <c r="F24" s="12"/>
      <c r="H24" s="12">
        <v>1020</v>
      </c>
      <c r="I24" s="12" t="s">
        <v>9160</v>
      </c>
      <c r="J24" s="12"/>
      <c r="M24" s="13" t="s">
        <v>9161</v>
      </c>
    </row>
    <row r="25" spans="2:13">
      <c r="B25" s="12"/>
      <c r="C25" s="12"/>
      <c r="E25" s="12"/>
      <c r="F25" s="12"/>
      <c r="H25" s="12">
        <v>1021</v>
      </c>
      <c r="I25" s="12" t="s">
        <v>9162</v>
      </c>
      <c r="J25" s="12"/>
      <c r="M25" s="13" t="s">
        <v>9163</v>
      </c>
    </row>
    <row r="26" spans="2:13">
      <c r="B26" s="12"/>
      <c r="C26" s="12"/>
      <c r="E26" s="12"/>
      <c r="F26" s="12"/>
      <c r="H26" s="12">
        <v>1022</v>
      </c>
      <c r="I26" s="12" t="s">
        <v>9164</v>
      </c>
      <c r="J26" s="12" t="s">
        <v>9165</v>
      </c>
      <c r="M26" s="13" t="s">
        <v>9166</v>
      </c>
    </row>
    <row r="27" spans="2:13">
      <c r="B27" s="12"/>
      <c r="C27" s="12"/>
      <c r="E27" s="12"/>
      <c r="F27" s="12"/>
      <c r="H27" s="12">
        <v>1023</v>
      </c>
      <c r="I27" s="12" t="s">
        <v>9167</v>
      </c>
      <c r="J27" s="12" t="s">
        <v>9168</v>
      </c>
      <c r="M27" s="13" t="s">
        <v>9158</v>
      </c>
    </row>
    <row r="28" spans="2:13">
      <c r="B28" s="12"/>
      <c r="C28" s="12"/>
      <c r="E28" s="12"/>
      <c r="F28" s="12"/>
      <c r="H28" s="12">
        <v>1024</v>
      </c>
      <c r="I28" s="12" t="s">
        <v>9169</v>
      </c>
      <c r="J28" s="12" t="s">
        <v>9168</v>
      </c>
      <c r="M28" s="13" t="s">
        <v>9161</v>
      </c>
    </row>
    <row r="29" spans="2:13">
      <c r="B29" s="12"/>
      <c r="C29" s="12"/>
      <c r="E29" s="12"/>
      <c r="F29" s="12"/>
      <c r="H29" s="12">
        <v>1025</v>
      </c>
      <c r="I29" s="12" t="s">
        <v>9170</v>
      </c>
      <c r="J29" s="12" t="s">
        <v>9171</v>
      </c>
      <c r="M29" s="13" t="s">
        <v>9163</v>
      </c>
    </row>
    <row r="30" spans="2:13">
      <c r="B30" s="12"/>
      <c r="C30" s="12"/>
      <c r="E30" s="12"/>
      <c r="F30" s="12"/>
      <c r="H30" s="12">
        <v>1026</v>
      </c>
      <c r="I30" s="12" t="s">
        <v>9172</v>
      </c>
      <c r="J30" s="12"/>
      <c r="M30" s="13" t="s">
        <v>9166</v>
      </c>
    </row>
    <row r="31" spans="2:13">
      <c r="H31" s="12">
        <v>1027</v>
      </c>
      <c r="I31" t="s">
        <v>9173</v>
      </c>
      <c r="M31" s="13" t="s">
        <v>2694</v>
      </c>
    </row>
    <row r="32" spans="2:13">
      <c r="H32" s="12">
        <v>1028</v>
      </c>
      <c r="I32" t="s">
        <v>9174</v>
      </c>
      <c r="M32" s="13" t="s">
        <v>2699</v>
      </c>
    </row>
    <row r="33" spans="2:13">
      <c r="H33" s="12">
        <v>1029</v>
      </c>
      <c r="I33" s="4" t="s">
        <v>9175</v>
      </c>
      <c r="K33" s="4"/>
      <c r="L33" s="4"/>
      <c r="M33" s="13" t="s">
        <v>2704</v>
      </c>
    </row>
    <row r="34" spans="2:13">
      <c r="H34">
        <v>1031</v>
      </c>
      <c r="K34" s="4"/>
      <c r="L34" s="4"/>
      <c r="M34" s="13" t="s">
        <v>2709</v>
      </c>
    </row>
    <row r="35" spans="2:13">
      <c r="H35">
        <v>1032</v>
      </c>
      <c r="I35" t="s">
        <v>9176</v>
      </c>
      <c r="K35" s="16" t="s">
        <v>9177</v>
      </c>
      <c r="L35" s="17"/>
      <c r="M35" s="13" t="s">
        <v>9178</v>
      </c>
    </row>
    <row r="36" spans="2:13">
      <c r="H36">
        <v>1033</v>
      </c>
      <c r="I36" t="s">
        <v>9176</v>
      </c>
      <c r="K36" s="18" t="s">
        <v>9179</v>
      </c>
      <c r="L36" s="17"/>
      <c r="M36" s="13" t="s">
        <v>9180</v>
      </c>
    </row>
    <row r="37" spans="2:13">
      <c r="H37">
        <v>1034</v>
      </c>
      <c r="I37" t="s">
        <v>9181</v>
      </c>
      <c r="J37" t="s">
        <v>9182</v>
      </c>
      <c r="K37" s="18"/>
      <c r="L37" s="18"/>
      <c r="M37" s="13" t="s">
        <v>9183</v>
      </c>
    </row>
    <row r="38" spans="2:13">
      <c r="K38" s="18"/>
      <c r="L38" s="18"/>
      <c r="M38" s="13" t="s">
        <v>9184</v>
      </c>
    </row>
    <row r="39" spans="2:13">
      <c r="K39" s="18"/>
      <c r="L39" s="18"/>
    </row>
    <row r="40" spans="2:13">
      <c r="K40" s="18"/>
      <c r="L40" s="18"/>
    </row>
    <row r="41" spans="2:13">
      <c r="K41" s="18"/>
      <c r="L41" s="18"/>
    </row>
    <row r="42" spans="2:13">
      <c r="K42" s="18"/>
      <c r="L42" s="18"/>
    </row>
    <row r="43" spans="2:13">
      <c r="K43" s="18"/>
      <c r="L43" s="18"/>
    </row>
    <row r="44" spans="2:13">
      <c r="B44" s="18" t="s">
        <v>9185</v>
      </c>
      <c r="C44" s="4"/>
      <c r="D44" s="4"/>
      <c r="E44" s="4"/>
      <c r="F44" s="4"/>
      <c r="G44" s="4"/>
      <c r="J44" s="4" t="s">
        <v>9186</v>
      </c>
      <c r="K44" s="18"/>
      <c r="L44" s="18"/>
    </row>
    <row r="45" spans="2:13">
      <c r="B45" s="18" t="s">
        <v>9187</v>
      </c>
      <c r="C45" s="18" t="s">
        <v>9188</v>
      </c>
      <c r="D45" s="19"/>
      <c r="E45" s="17"/>
      <c r="F45" s="4"/>
      <c r="G45" s="4"/>
      <c r="H45" s="4">
        <v>1030</v>
      </c>
      <c r="I45" s="4"/>
      <c r="J45" s="4"/>
      <c r="K45" s="18"/>
      <c r="L45" s="18"/>
    </row>
    <row r="46" spans="2:13">
      <c r="B46" s="16" t="s">
        <v>9189</v>
      </c>
      <c r="C46" s="17"/>
      <c r="D46" s="20"/>
      <c r="E46" s="16" t="s">
        <v>9190</v>
      </c>
      <c r="F46" s="17"/>
      <c r="G46" s="18"/>
      <c r="H46" s="16" t="s">
        <v>9191</v>
      </c>
      <c r="I46" s="17"/>
      <c r="J46" s="20"/>
      <c r="K46" s="18"/>
      <c r="L46" s="18"/>
    </row>
    <row r="47" spans="2:13">
      <c r="B47" s="18">
        <v>1</v>
      </c>
      <c r="C47" s="21" t="s">
        <v>9192</v>
      </c>
      <c r="D47" s="22"/>
      <c r="E47" s="18">
        <v>1</v>
      </c>
      <c r="F47" s="18" t="s">
        <v>9193</v>
      </c>
      <c r="G47" s="18"/>
      <c r="H47" s="18">
        <v>1</v>
      </c>
      <c r="I47" s="18" t="s">
        <v>9194</v>
      </c>
      <c r="J47" s="22"/>
      <c r="K47" s="18"/>
      <c r="L47" s="18"/>
    </row>
    <row r="48" spans="2:13">
      <c r="B48" s="18">
        <v>2</v>
      </c>
      <c r="C48" s="18" t="s">
        <v>9195</v>
      </c>
      <c r="D48" s="22"/>
      <c r="E48" s="18">
        <v>2</v>
      </c>
      <c r="F48" s="18" t="s">
        <v>9196</v>
      </c>
      <c r="G48" s="18"/>
      <c r="H48" s="18">
        <v>2</v>
      </c>
      <c r="I48" s="18" t="s">
        <v>9197</v>
      </c>
      <c r="J48" s="22"/>
      <c r="K48" s="18"/>
      <c r="L48" s="18"/>
    </row>
    <row r="49" spans="2:12">
      <c r="B49" s="18">
        <v>3</v>
      </c>
      <c r="C49" s="18" t="s">
        <v>9149</v>
      </c>
      <c r="D49" s="22"/>
      <c r="E49" s="18">
        <v>3</v>
      </c>
      <c r="F49" s="18"/>
      <c r="G49" s="18"/>
      <c r="H49" s="18">
        <v>3</v>
      </c>
      <c r="I49" s="18" t="s">
        <v>9198</v>
      </c>
      <c r="J49" s="22"/>
      <c r="K49" s="18"/>
      <c r="L49" s="18"/>
    </row>
    <row r="50" spans="2:12">
      <c r="B50" s="18">
        <v>4</v>
      </c>
      <c r="C50" s="18" t="s">
        <v>9199</v>
      </c>
      <c r="D50" s="22"/>
      <c r="E50" s="18">
        <v>4</v>
      </c>
      <c r="F50" s="18"/>
      <c r="G50" s="18"/>
      <c r="H50" s="18"/>
      <c r="I50" s="17"/>
      <c r="J50" s="22"/>
      <c r="K50" s="18"/>
      <c r="L50" s="18"/>
    </row>
    <row r="51" spans="2:12">
      <c r="B51" s="18">
        <v>5</v>
      </c>
      <c r="C51" s="18" t="s">
        <v>9200</v>
      </c>
      <c r="D51" s="22"/>
      <c r="E51" s="18">
        <v>5</v>
      </c>
      <c r="F51" s="18"/>
      <c r="G51" s="18"/>
      <c r="H51" s="16" t="s">
        <v>9201</v>
      </c>
      <c r="I51" s="17"/>
      <c r="J51" s="22"/>
      <c r="K51" s="18"/>
      <c r="L51" s="18"/>
    </row>
    <row r="52" spans="2:12">
      <c r="B52" s="18">
        <v>6</v>
      </c>
      <c r="C52" s="18" t="s">
        <v>9202</v>
      </c>
      <c r="D52" s="22"/>
      <c r="E52" s="18"/>
      <c r="F52" s="17"/>
      <c r="G52" s="18"/>
      <c r="H52" s="18">
        <v>1</v>
      </c>
      <c r="I52" s="18" t="s">
        <v>9203</v>
      </c>
      <c r="J52" s="22"/>
      <c r="K52" s="18"/>
      <c r="L52" s="18"/>
    </row>
    <row r="53" spans="2:12">
      <c r="B53" s="18">
        <v>7</v>
      </c>
      <c r="C53" s="18" t="s">
        <v>9204</v>
      </c>
      <c r="D53" s="22"/>
      <c r="E53" s="16" t="s">
        <v>9205</v>
      </c>
      <c r="F53" s="17"/>
      <c r="G53" s="18"/>
      <c r="H53" s="18">
        <v>2</v>
      </c>
      <c r="I53" s="23" t="s">
        <v>9206</v>
      </c>
      <c r="J53" s="22"/>
      <c r="K53" s="18"/>
      <c r="L53" s="18"/>
    </row>
    <row r="54" spans="2:12">
      <c r="B54" s="18">
        <v>110</v>
      </c>
      <c r="C54" s="18" t="s">
        <v>9207</v>
      </c>
      <c r="D54" s="22"/>
      <c r="E54" s="18">
        <v>1</v>
      </c>
      <c r="F54" s="18" t="s">
        <v>9208</v>
      </c>
      <c r="G54" s="18"/>
      <c r="H54" s="18">
        <v>3</v>
      </c>
      <c r="I54" s="24" t="s">
        <v>9209</v>
      </c>
      <c r="J54" s="22"/>
      <c r="K54" s="18"/>
      <c r="L54" s="18"/>
    </row>
    <row r="55" spans="2:12">
      <c r="B55" s="18">
        <v>999</v>
      </c>
      <c r="C55" s="18" t="s">
        <v>9210</v>
      </c>
      <c r="D55" s="22"/>
      <c r="E55" s="18">
        <v>2</v>
      </c>
      <c r="F55" s="18" t="s">
        <v>9211</v>
      </c>
      <c r="G55" s="18"/>
      <c r="H55" s="18">
        <v>4</v>
      </c>
      <c r="I55" s="25" t="s">
        <v>9212</v>
      </c>
      <c r="J55" s="22"/>
      <c r="K55" s="18"/>
      <c r="L55" s="18"/>
    </row>
    <row r="56" spans="2:12">
      <c r="B56" s="18"/>
      <c r="C56" s="18" t="s">
        <v>9213</v>
      </c>
      <c r="D56" s="22"/>
      <c r="E56" s="18">
        <v>3</v>
      </c>
      <c r="F56" s="18" t="s">
        <v>9214</v>
      </c>
      <c r="G56" s="18"/>
      <c r="H56" s="18">
        <v>5</v>
      </c>
      <c r="I56" s="26" t="s">
        <v>9215</v>
      </c>
      <c r="J56" s="22"/>
      <c r="K56" s="18"/>
      <c r="L56" s="18"/>
    </row>
    <row r="57" spans="2:12">
      <c r="B57" s="18"/>
      <c r="C57" s="18"/>
      <c r="D57" s="22"/>
      <c r="E57" s="18">
        <v>4</v>
      </c>
      <c r="F57" s="18" t="s">
        <v>9216</v>
      </c>
      <c r="G57" s="18"/>
      <c r="H57" s="18">
        <v>6</v>
      </c>
      <c r="I57" s="27" t="s">
        <v>9217</v>
      </c>
      <c r="J57" s="22"/>
      <c r="K57" s="18"/>
      <c r="L57" s="18"/>
    </row>
    <row r="58" spans="2:12">
      <c r="B58" s="18"/>
      <c r="C58" s="18"/>
      <c r="D58" s="22"/>
      <c r="E58" s="18">
        <v>5</v>
      </c>
      <c r="F58" s="18" t="s">
        <v>1518</v>
      </c>
      <c r="G58" s="18"/>
      <c r="H58" s="18"/>
      <c r="I58" s="18"/>
      <c r="J58" s="22"/>
      <c r="K58" s="18"/>
      <c r="L58" s="18"/>
    </row>
    <row r="59" spans="2:12">
      <c r="B59" s="18"/>
      <c r="C59" s="18"/>
      <c r="D59" s="22"/>
      <c r="E59" s="18">
        <v>6</v>
      </c>
      <c r="F59" s="28" t="s">
        <v>9218</v>
      </c>
      <c r="G59" s="18"/>
      <c r="H59" s="16" t="s">
        <v>9219</v>
      </c>
      <c r="I59" s="17"/>
      <c r="J59" s="22"/>
      <c r="K59" s="18"/>
      <c r="L59" s="18"/>
    </row>
    <row r="60" spans="2:12">
      <c r="B60" s="18"/>
      <c r="C60" s="18"/>
      <c r="D60" s="22"/>
      <c r="E60" s="18">
        <v>7</v>
      </c>
      <c r="F60" s="18" t="s">
        <v>4218</v>
      </c>
      <c r="G60" s="18"/>
      <c r="H60" s="18">
        <v>1</v>
      </c>
      <c r="I60" s="18" t="s">
        <v>9220</v>
      </c>
      <c r="J60" s="22"/>
      <c r="K60" s="18"/>
      <c r="L60" s="18"/>
    </row>
    <row r="61" spans="2:12">
      <c r="B61" s="18"/>
      <c r="C61" s="18"/>
      <c r="D61" s="22"/>
      <c r="E61" s="12"/>
      <c r="F61" s="12"/>
      <c r="G61" s="18"/>
      <c r="H61" s="18">
        <v>2</v>
      </c>
      <c r="I61" s="18" t="s">
        <v>9221</v>
      </c>
      <c r="J61" s="22"/>
      <c r="K61" s="18"/>
      <c r="L61" s="18"/>
    </row>
    <row r="62" spans="2:12">
      <c r="B62" s="18"/>
      <c r="C62" s="18"/>
      <c r="D62" s="22"/>
      <c r="E62" s="18"/>
      <c r="F62" s="17"/>
      <c r="G62" s="18"/>
      <c r="H62" s="18">
        <v>3</v>
      </c>
      <c r="I62" s="18" t="s">
        <v>9222</v>
      </c>
      <c r="J62" s="22"/>
      <c r="K62" s="18"/>
      <c r="L62" s="18"/>
    </row>
    <row r="63" spans="2:12">
      <c r="B63" s="18"/>
      <c r="C63" s="18"/>
      <c r="D63" s="22"/>
      <c r="E63" s="16" t="s">
        <v>9223</v>
      </c>
      <c r="F63" s="17"/>
      <c r="G63" s="18"/>
      <c r="H63" s="18">
        <v>4</v>
      </c>
      <c r="I63" s="18" t="s">
        <v>9224</v>
      </c>
      <c r="J63" s="22"/>
      <c r="K63" s="18"/>
      <c r="L63" s="18"/>
    </row>
    <row r="64" spans="2:12">
      <c r="B64" s="18"/>
      <c r="C64" s="18"/>
      <c r="D64" s="22"/>
      <c r="E64" s="18">
        <v>1</v>
      </c>
      <c r="F64" s="18" t="s">
        <v>9225</v>
      </c>
      <c r="G64" s="18"/>
      <c r="H64" s="18"/>
      <c r="I64" s="17"/>
      <c r="J64" s="22"/>
      <c r="K64" s="29"/>
      <c r="L64" s="12"/>
    </row>
    <row r="65" spans="2:12">
      <c r="B65" s="18"/>
      <c r="C65" s="18"/>
      <c r="D65" s="22"/>
      <c r="E65" s="18">
        <v>2</v>
      </c>
      <c r="F65" s="18" t="s">
        <v>9226</v>
      </c>
      <c r="G65" s="18"/>
      <c r="H65" s="16" t="s">
        <v>9227</v>
      </c>
      <c r="I65" s="17"/>
      <c r="J65" s="22"/>
      <c r="K65" s="12"/>
      <c r="L65" s="12"/>
    </row>
    <row r="66" spans="2:12">
      <c r="B66" s="18"/>
      <c r="C66" s="18"/>
      <c r="D66" s="22"/>
      <c r="E66" s="18">
        <v>3</v>
      </c>
      <c r="F66" s="18" t="s">
        <v>9228</v>
      </c>
      <c r="G66" s="18"/>
      <c r="H66" s="18"/>
      <c r="I66" s="18"/>
      <c r="J66" s="22"/>
      <c r="K66" s="12"/>
      <c r="L66" s="12"/>
    </row>
    <row r="67" spans="2:12">
      <c r="B67" s="18"/>
      <c r="C67" s="18"/>
      <c r="D67" s="22"/>
      <c r="E67" s="18">
        <v>4</v>
      </c>
      <c r="F67" s="18" t="s">
        <v>9229</v>
      </c>
      <c r="G67" s="18"/>
      <c r="H67" s="18"/>
      <c r="I67" s="18"/>
      <c r="J67" s="22"/>
      <c r="K67" s="12"/>
      <c r="L67" s="12"/>
    </row>
    <row r="68" spans="2:12">
      <c r="B68" s="18"/>
      <c r="C68" s="18"/>
      <c r="D68" s="22"/>
      <c r="E68" s="18"/>
      <c r="F68" s="17"/>
      <c r="G68" s="18"/>
      <c r="H68" s="18"/>
      <c r="I68" s="18"/>
      <c r="J68" s="22"/>
      <c r="K68" s="12"/>
      <c r="L68" s="12"/>
    </row>
    <row r="69" spans="2:12">
      <c r="B69" s="18"/>
      <c r="C69" s="18"/>
      <c r="D69" s="22"/>
      <c r="E69" s="16" t="s">
        <v>9230</v>
      </c>
      <c r="F69" s="17"/>
      <c r="G69" s="18"/>
      <c r="H69" s="18"/>
      <c r="I69" s="18"/>
      <c r="J69" s="22"/>
      <c r="K69" s="12"/>
      <c r="L69" s="12"/>
    </row>
    <row r="70" spans="2:12">
      <c r="B70" s="18"/>
      <c r="C70" s="18"/>
      <c r="D70" s="22"/>
      <c r="E70" s="18">
        <v>1</v>
      </c>
      <c r="F70" s="18" t="s">
        <v>9231</v>
      </c>
      <c r="G70" s="18"/>
      <c r="H70" s="18"/>
      <c r="I70" s="18"/>
      <c r="J70" s="22"/>
      <c r="K70" s="12"/>
      <c r="L70" s="12"/>
    </row>
    <row r="71" spans="2:12">
      <c r="B71" s="18"/>
      <c r="C71" s="18"/>
      <c r="D71" s="22"/>
      <c r="E71" s="18">
        <v>2</v>
      </c>
      <c r="F71" s="18" t="s">
        <v>1288</v>
      </c>
      <c r="G71" s="18"/>
      <c r="H71" s="16" t="s">
        <v>9232</v>
      </c>
      <c r="I71" s="17"/>
      <c r="J71" s="22"/>
      <c r="K71" s="12"/>
      <c r="L71" s="12"/>
    </row>
    <row r="72" spans="2:12">
      <c r="B72" s="18"/>
      <c r="C72" s="18"/>
      <c r="D72" s="22"/>
      <c r="E72" s="18">
        <v>3</v>
      </c>
      <c r="F72" s="18" t="s">
        <v>9233</v>
      </c>
      <c r="G72" s="18"/>
      <c r="H72" s="18">
        <v>0</v>
      </c>
      <c r="I72" s="18" t="s">
        <v>9234</v>
      </c>
      <c r="J72" s="22"/>
      <c r="K72" s="12"/>
      <c r="L72" s="12"/>
    </row>
    <row r="73" spans="2:12">
      <c r="B73" s="18"/>
      <c r="C73" s="18"/>
      <c r="D73" s="22"/>
      <c r="E73" s="18">
        <v>4</v>
      </c>
      <c r="F73" s="18" t="s">
        <v>9235</v>
      </c>
      <c r="G73" s="18"/>
      <c r="H73" s="18"/>
      <c r="I73" s="18"/>
      <c r="J73" s="22"/>
      <c r="K73" s="12"/>
      <c r="L73" s="12"/>
    </row>
    <row r="74" spans="2:12">
      <c r="B74" s="18"/>
      <c r="C74" s="18"/>
      <c r="D74" s="30"/>
      <c r="E74" s="18" t="s">
        <v>9236</v>
      </c>
      <c r="F74" s="18" t="s">
        <v>9237</v>
      </c>
      <c r="G74" s="18"/>
      <c r="H74" s="18"/>
      <c r="I74" s="18"/>
      <c r="J74" s="30"/>
    </row>
    <row r="75" spans="2:12">
      <c r="B75" s="12"/>
      <c r="C75" s="12"/>
      <c r="D75" s="12"/>
      <c r="E75" s="16" t="s">
        <v>9238</v>
      </c>
      <c r="F75" s="17"/>
      <c r="G75" s="12"/>
      <c r="H75" s="16" t="s">
        <v>9239</v>
      </c>
      <c r="I75" s="17"/>
      <c r="J75" s="16" t="s">
        <v>9240</v>
      </c>
    </row>
    <row r="76" spans="2:12">
      <c r="B76" s="12"/>
      <c r="C76" s="12"/>
      <c r="D76" s="12"/>
      <c r="E76" s="18">
        <v>1</v>
      </c>
      <c r="F76" s="18" t="s">
        <v>9241</v>
      </c>
      <c r="G76" s="12"/>
      <c r="H76" s="18">
        <v>0</v>
      </c>
      <c r="I76" s="18"/>
      <c r="J76" s="18" t="s">
        <v>9242</v>
      </c>
    </row>
    <row r="77" spans="2:12">
      <c r="B77" s="12"/>
      <c r="C77" s="12"/>
      <c r="D77" s="12"/>
      <c r="E77" s="18">
        <v>2</v>
      </c>
      <c r="F77" s="18" t="s">
        <v>9243</v>
      </c>
      <c r="G77" s="12"/>
      <c r="H77" s="18"/>
      <c r="I77" s="18"/>
      <c r="J77" s="12"/>
    </row>
    <row r="78" spans="2:12">
      <c r="B78" s="12"/>
      <c r="C78" s="12"/>
      <c r="D78" s="12"/>
      <c r="E78" s="16" t="s">
        <v>9244</v>
      </c>
      <c r="F78" s="17"/>
      <c r="G78" s="12"/>
      <c r="H78" s="18"/>
      <c r="I78" s="18"/>
      <c r="J78" s="12"/>
    </row>
    <row r="79" spans="2:12">
      <c r="B79" s="12"/>
      <c r="C79" s="12"/>
      <c r="D79" s="12"/>
      <c r="E79" s="18">
        <v>1</v>
      </c>
      <c r="F79" s="18" t="s">
        <v>9194</v>
      </c>
      <c r="G79" s="12"/>
      <c r="H79" s="16" t="s">
        <v>9245</v>
      </c>
      <c r="I79" s="17"/>
      <c r="J79" s="12"/>
    </row>
    <row r="80" spans="2:12">
      <c r="B80" s="12"/>
      <c r="C80" s="12"/>
      <c r="D80" s="12"/>
      <c r="E80" s="18">
        <v>2</v>
      </c>
      <c r="F80" s="18" t="s">
        <v>9197</v>
      </c>
      <c r="G80" s="12"/>
      <c r="H80" s="12">
        <v>1</v>
      </c>
      <c r="I80" s="12"/>
      <c r="J80" s="12"/>
    </row>
    <row r="81" spans="2:10">
      <c r="B81" s="12"/>
      <c r="C81" s="12"/>
      <c r="D81" s="12"/>
      <c r="E81" s="18">
        <v>3</v>
      </c>
      <c r="F81" s="18" t="s">
        <v>9198</v>
      </c>
      <c r="G81" s="12"/>
      <c r="H81" s="12">
        <v>2</v>
      </c>
      <c r="I81" s="12"/>
      <c r="J81" s="12"/>
    </row>
    <row r="82" spans="2:10">
      <c r="B82" s="12"/>
      <c r="C82" s="12"/>
      <c r="D82" s="12"/>
      <c r="E82" s="16" t="s">
        <v>9246</v>
      </c>
      <c r="F82" s="17"/>
      <c r="G82" s="12"/>
      <c r="H82" s="12">
        <v>3</v>
      </c>
      <c r="I82" s="12"/>
      <c r="J82" s="12"/>
    </row>
    <row r="83" spans="2:10">
      <c r="B83" s="12"/>
      <c r="C83" s="12"/>
      <c r="D83" s="12"/>
      <c r="E83" s="18">
        <v>1</v>
      </c>
      <c r="F83" s="18" t="s">
        <v>9247</v>
      </c>
      <c r="G83" s="12"/>
      <c r="H83" s="12">
        <v>4</v>
      </c>
      <c r="I83" s="12"/>
      <c r="J83" s="12"/>
    </row>
    <row r="84" spans="2:10">
      <c r="B84" s="12"/>
      <c r="C84" s="12"/>
      <c r="D84" s="12"/>
      <c r="E84" s="18">
        <v>2</v>
      </c>
      <c r="F84" s="18" t="s">
        <v>9248</v>
      </c>
      <c r="G84" s="12"/>
      <c r="H84" s="12">
        <v>5</v>
      </c>
      <c r="I84" s="12"/>
      <c r="J84" s="12"/>
    </row>
    <row r="85" spans="2:10">
      <c r="E85" s="18">
        <v>3</v>
      </c>
      <c r="F85" s="18" t="s">
        <v>9249</v>
      </c>
    </row>
    <row r="86" spans="2:10">
      <c r="E86" s="18">
        <v>4</v>
      </c>
      <c r="F86" s="18" t="s">
        <v>9250</v>
      </c>
    </row>
    <row r="87" spans="2:10">
      <c r="E87" s="12"/>
      <c r="F87" s="12"/>
    </row>
    <row r="88" spans="2:10">
      <c r="E88" s="16" t="s">
        <v>9251</v>
      </c>
      <c r="F88" s="17"/>
    </row>
    <row r="89" ht="14.25" customHeight="1" spans="2:10">
      <c r="E89" s="31">
        <v>1</v>
      </c>
      <c r="F89" s="31" t="s">
        <v>9252</v>
      </c>
    </row>
    <row r="90" ht="14.25" customHeight="1" spans="2:10">
      <c r="E90" s="31">
        <v>2</v>
      </c>
      <c r="F90" s="31" t="s">
        <v>9253</v>
      </c>
    </row>
    <row r="91" ht="14.25" customHeight="1" spans="2:10">
      <c r="E91" s="31">
        <v>3</v>
      </c>
      <c r="F91" s="31" t="s">
        <v>9254</v>
      </c>
    </row>
    <row r="92" ht="14.25" customHeight="1" spans="2:10">
      <c r="E92" s="31">
        <v>4</v>
      </c>
      <c r="F92" s="31" t="s">
        <v>9255</v>
      </c>
    </row>
    <row r="93" ht="14.25" customHeight="1" spans="2:10">
      <c r="E93" s="31">
        <v>5</v>
      </c>
      <c r="F93" s="31" t="s">
        <v>9256</v>
      </c>
    </row>
    <row r="94" ht="14.25" customHeight="1" spans="2:10">
      <c r="E94" s="31">
        <v>6</v>
      </c>
      <c r="F94" s="31" t="s">
        <v>9257</v>
      </c>
    </row>
    <row r="95" ht="14.25" customHeight="1" spans="2:10">
      <c r="E95" s="31">
        <v>7</v>
      </c>
      <c r="F95" s="31" t="s">
        <v>9258</v>
      </c>
    </row>
    <row r="96" ht="14.25" customHeight="1" spans="2:10">
      <c r="E96" s="31">
        <v>8</v>
      </c>
      <c r="F96" s="31" t="s">
        <v>9259</v>
      </c>
    </row>
    <row r="97" ht="14.25" customHeight="1" spans="5:6">
      <c r="E97" s="31">
        <v>9</v>
      </c>
      <c r="F97" s="31" t="s">
        <v>9260</v>
      </c>
    </row>
    <row r="98" ht="14.25" customHeight="1" spans="5:6">
      <c r="E98" s="31">
        <v>10</v>
      </c>
      <c r="F98" s="31" t="s">
        <v>3803</v>
      </c>
    </row>
    <row r="99" ht="14.25" customHeight="1" spans="5:6">
      <c r="E99" s="31">
        <v>11</v>
      </c>
      <c r="F99" s="31" t="s">
        <v>9261</v>
      </c>
    </row>
    <row r="100" ht="14.25" customHeight="1" spans="5:6">
      <c r="E100" s="31">
        <v>12</v>
      </c>
      <c r="F100" s="31" t="s">
        <v>9262</v>
      </c>
    </row>
    <row r="101" ht="14.25" customHeight="1" spans="5:6">
      <c r="E101" s="31">
        <v>13</v>
      </c>
      <c r="F101" s="31" t="s">
        <v>9263</v>
      </c>
    </row>
    <row r="102" ht="14.25" customHeight="1" spans="5:6">
      <c r="E102" s="31">
        <v>14</v>
      </c>
      <c r="F102" s="31" t="s">
        <v>9264</v>
      </c>
    </row>
    <row r="103" ht="14.25" customHeight="1" spans="5:6">
      <c r="E103" s="31">
        <v>15</v>
      </c>
      <c r="F103" s="31" t="s">
        <v>3928</v>
      </c>
    </row>
    <row r="104" ht="14.25" customHeight="1" spans="5:6">
      <c r="E104" s="31">
        <v>16</v>
      </c>
      <c r="F104" s="31" t="s">
        <v>9265</v>
      </c>
    </row>
    <row r="105" ht="14.25" customHeight="1" spans="5:6">
      <c r="E105" s="31">
        <v>17</v>
      </c>
      <c r="F105" s="31" t="s">
        <v>9266</v>
      </c>
    </row>
    <row r="107" spans="5:6">
      <c r="E107" s="16" t="s">
        <v>9267</v>
      </c>
      <c r="F107" s="17"/>
    </row>
    <row r="108" ht="16.5" customHeight="1" spans="5:6">
      <c r="E108" s="18">
        <v>1</v>
      </c>
      <c r="F108" s="32" t="s">
        <v>9268</v>
      </c>
    </row>
    <row r="109" ht="16.5" customHeight="1" spans="5:6">
      <c r="E109" s="18">
        <v>2</v>
      </c>
      <c r="F109" s="32" t="s">
        <v>9269</v>
      </c>
    </row>
    <row r="110" ht="16.5" customHeight="1" spans="5:6">
      <c r="E110" s="18">
        <v>3</v>
      </c>
      <c r="F110" s="32" t="s">
        <v>9270</v>
      </c>
    </row>
    <row r="111" ht="16.5" customHeight="1" spans="5:6">
      <c r="E111" s="18">
        <v>4</v>
      </c>
      <c r="F111" s="32" t="s">
        <v>9271</v>
      </c>
    </row>
    <row r="112" ht="16.5" customHeight="1" spans="5:6">
      <c r="E112" s="18">
        <v>5</v>
      </c>
      <c r="F112" s="32" t="s">
        <v>9272</v>
      </c>
    </row>
    <row r="113" ht="16.5" customHeight="1" spans="5:6">
      <c r="E113" s="18">
        <v>6</v>
      </c>
      <c r="F113" s="32" t="s">
        <v>9273</v>
      </c>
    </row>
    <row r="114" ht="16.5" customHeight="1" spans="5:6">
      <c r="E114" s="18">
        <v>7</v>
      </c>
      <c r="F114" s="32" t="s">
        <v>9274</v>
      </c>
    </row>
    <row r="115" ht="16.5" customHeight="1" spans="5:6">
      <c r="E115" s="18">
        <v>8</v>
      </c>
      <c r="F115" s="32" t="s">
        <v>9275</v>
      </c>
    </row>
    <row r="116" ht="16.5" customHeight="1" spans="5:6">
      <c r="E116" s="18">
        <v>9</v>
      </c>
      <c r="F116" s="32" t="s">
        <v>9276</v>
      </c>
    </row>
    <row r="117" ht="16.5" customHeight="1" spans="5:6">
      <c r="E117" s="18">
        <v>10</v>
      </c>
      <c r="F117" s="32" t="s">
        <v>9277</v>
      </c>
    </row>
    <row r="118" ht="16.5" customHeight="1" spans="5:6">
      <c r="E118" s="18">
        <v>11</v>
      </c>
      <c r="F118" s="32" t="s">
        <v>9278</v>
      </c>
    </row>
    <row r="119" ht="16.5" customHeight="1" spans="5:6">
      <c r="E119" s="18">
        <v>12</v>
      </c>
      <c r="F119" s="32" t="s">
        <v>9279</v>
      </c>
    </row>
    <row r="120" ht="16.5" customHeight="1" spans="5:6">
      <c r="E120" s="18">
        <v>13</v>
      </c>
      <c r="F120" s="32" t="s">
        <v>9280</v>
      </c>
    </row>
    <row r="121" ht="16.5" customHeight="1" spans="5:6">
      <c r="E121" s="18">
        <v>14</v>
      </c>
      <c r="F121" s="32"/>
    </row>
    <row r="122" ht="16.5" customHeight="1" spans="5:6">
      <c r="E122" s="18">
        <v>15</v>
      </c>
      <c r="F122" s="32"/>
    </row>
    <row r="123" ht="16.5" customHeight="1" spans="5:6">
      <c r="E123" s="18">
        <v>16</v>
      </c>
      <c r="F123" s="32"/>
    </row>
    <row r="124" ht="16.5" customHeight="1" spans="5:6">
      <c r="E124" s="18">
        <v>17</v>
      </c>
      <c r="F124" s="32"/>
    </row>
    <row r="125" ht="16.5" customHeight="1" spans="5:6">
      <c r="E125" s="18">
        <v>18</v>
      </c>
      <c r="F125" s="32"/>
    </row>
    <row r="126" ht="16.5" customHeight="1" spans="5:6">
      <c r="E126" s="18">
        <v>19</v>
      </c>
      <c r="F126" s="32"/>
    </row>
    <row r="127" ht="16.5" customHeight="1" spans="5:6">
      <c r="E127" s="18">
        <v>20</v>
      </c>
      <c r="F127" s="32"/>
    </row>
    <row r="128" ht="16.5" customHeight="1" spans="5:6">
      <c r="E128" s="18">
        <v>21</v>
      </c>
      <c r="F128" s="32"/>
    </row>
    <row r="129" ht="16.5" customHeight="1" spans="5:6">
      <c r="E129" s="18">
        <v>22</v>
      </c>
      <c r="F129" s="32"/>
    </row>
    <row r="130" ht="16.5" customHeight="1" spans="5:6">
      <c r="E130" s="18">
        <v>23</v>
      </c>
      <c r="F130" s="32"/>
    </row>
    <row r="131" ht="16.5" customHeight="1" spans="5:6">
      <c r="E131" s="18">
        <v>24</v>
      </c>
      <c r="F131" s="32"/>
    </row>
    <row r="132" ht="16.5" customHeight="1" spans="5:6">
      <c r="E132" s="18">
        <v>25</v>
      </c>
      <c r="F132" s="32"/>
    </row>
    <row r="133" ht="16.5" customHeight="1" spans="5:6">
      <c r="E133" s="18">
        <v>26</v>
      </c>
      <c r="F133" s="32"/>
    </row>
    <row r="134" spans="5:6">
      <c r="E134" s="18"/>
      <c r="F134" s="17"/>
    </row>
  </sheetData>
  <mergeCells count="27">
    <mergeCell ref="K35:L35"/>
    <mergeCell ref="K36:L36"/>
    <mergeCell ref="C45:E45"/>
    <mergeCell ref="B46:C46"/>
    <mergeCell ref="E46:F46"/>
    <mergeCell ref="H46:I46"/>
    <mergeCell ref="H50:I50"/>
    <mergeCell ref="H51:I51"/>
    <mergeCell ref="E52:F52"/>
    <mergeCell ref="E53:F53"/>
    <mergeCell ref="H59:I59"/>
    <mergeCell ref="E62:F62"/>
    <mergeCell ref="E63:F63"/>
    <mergeCell ref="H64:I64"/>
    <mergeCell ref="H65:I65"/>
    <mergeCell ref="E68:F68"/>
    <mergeCell ref="E69:F69"/>
    <mergeCell ref="H71:I71"/>
    <mergeCell ref="E75:F75"/>
    <mergeCell ref="H75:I75"/>
    <mergeCell ref="E78:F78"/>
    <mergeCell ref="H79:I79"/>
    <mergeCell ref="E82:F82"/>
    <mergeCell ref="E88:F88"/>
    <mergeCell ref="E107:F107"/>
    <mergeCell ref="E134:F134"/>
    <mergeCell ref="F1:H3"/>
  </mergeCells>
  <conditionalFormatting sqref="M7">
    <cfRule type="duplicateValues" dxfId="0" priority="44"/>
  </conditionalFormatting>
  <conditionalFormatting sqref="M10">
    <cfRule type="duplicateValues" dxfId="0" priority="51"/>
  </conditionalFormatting>
  <conditionalFormatting sqref="M11">
    <cfRule type="duplicateValues" dxfId="0" priority="40"/>
  </conditionalFormatting>
  <conditionalFormatting sqref="M14">
    <cfRule type="duplicateValues" dxfId="0" priority="33"/>
  </conditionalFormatting>
  <conditionalFormatting sqref="M15">
    <cfRule type="duplicateValues" dxfId="0" priority="31"/>
  </conditionalFormatting>
  <conditionalFormatting sqref="M18">
    <cfRule type="duplicateValues" dxfId="0" priority="25"/>
  </conditionalFormatting>
  <conditionalFormatting sqref="M19">
    <cfRule type="duplicateValues" dxfId="0" priority="24"/>
  </conditionalFormatting>
  <conditionalFormatting sqref="M22">
    <cfRule type="duplicateValues" dxfId="0" priority="20"/>
  </conditionalFormatting>
  <conditionalFormatting sqref="M23">
    <cfRule type="duplicateValues" dxfId="0" priority="13"/>
  </conditionalFormatting>
  <conditionalFormatting sqref="M26">
    <cfRule type="duplicateValues" dxfId="0" priority="12"/>
  </conditionalFormatting>
  <conditionalFormatting sqref="M27">
    <cfRule type="duplicateValues" dxfId="0" priority="7"/>
  </conditionalFormatting>
  <conditionalFormatting sqref="M30">
    <cfRule type="duplicateValues" dxfId="0" priority="2"/>
  </conditionalFormatting>
  <conditionalFormatting sqref="M31:M38">
    <cfRule type="duplicateValues" dxfId="0" priority="45"/>
  </conditionalFormatting>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workbookViewId="0">
      <selection activeCell="A1" sqref="A1:E10"/>
    </sheetView>
  </sheetViews>
  <sheetFormatPr defaultColWidth="9" defaultRowHeight="13.5"/>
  <cols>
    <col min="6" max="6" width="20.5083333333333" style="1" customWidth="1"/>
  </cols>
  <sheetData>
    <row r="1" spans="1:7">
      <c r="A1" s="7"/>
      <c r="B1" s="7"/>
    </row>
    <row r="7" spans="1:7">
      <c r="A7" s="8"/>
    </row>
    <row r="8" spans="1:7">
      <c r="F8" s="7" t="s">
        <v>9281</v>
      </c>
      <c r="G8" s="7" t="s">
        <v>9104</v>
      </c>
    </row>
    <row r="9" spans="1:7">
      <c r="F9" t="s">
        <v>9282</v>
      </c>
      <c r="G9" t="s">
        <v>9283</v>
      </c>
    </row>
    <row r="10" spans="1:7">
      <c r="F10" t="s">
        <v>9284</v>
      </c>
      <c r="G10" t="s">
        <v>9285</v>
      </c>
    </row>
    <row r="11" spans="1:7">
      <c r="F11" t="s">
        <v>9286</v>
      </c>
      <c r="G11" t="s">
        <v>9287</v>
      </c>
    </row>
    <row r="12" spans="1:7">
      <c r="F12" t="s">
        <v>317</v>
      </c>
      <c r="G12" t="s">
        <v>9288</v>
      </c>
    </row>
    <row r="13" spans="1:7">
      <c r="F13" t="s">
        <v>9289</v>
      </c>
      <c r="G13" t="s">
        <v>9290</v>
      </c>
    </row>
    <row r="14" spans="1:7">
      <c r="F14" s="8" t="s">
        <v>9291</v>
      </c>
      <c r="G14" t="s">
        <v>9292</v>
      </c>
    </row>
    <row r="15" spans="1:7">
      <c r="F15" t="s">
        <v>9293</v>
      </c>
      <c r="G15" t="s">
        <v>9294</v>
      </c>
    </row>
    <row r="16" spans="1:7">
      <c r="F16" t="s">
        <v>9295</v>
      </c>
      <c r="G16" t="s">
        <v>9296</v>
      </c>
    </row>
    <row r="17" spans="6:10">
      <c r="F17" t="s">
        <v>9297</v>
      </c>
      <c r="G17" t="s">
        <v>9298</v>
      </c>
    </row>
    <row r="18" spans="6:10">
      <c r="F18" t="s">
        <v>9299</v>
      </c>
      <c r="G18" t="s">
        <v>9300</v>
      </c>
    </row>
    <row r="19" spans="6:10">
      <c r="F19" t="s">
        <v>438</v>
      </c>
      <c r="G19" t="s">
        <v>9301</v>
      </c>
    </row>
    <row r="24" spans="6:10">
      <c r="I24">
        <v>260007</v>
      </c>
      <c r="J24" t="s">
        <v>2568</v>
      </c>
    </row>
    <row r="25" spans="6:10">
      <c r="I25">
        <v>260008</v>
      </c>
      <c r="J25" t="s">
        <v>2570</v>
      </c>
    </row>
    <row r="26" spans="6:10">
      <c r="I26">
        <v>260009</v>
      </c>
      <c r="J26" t="s">
        <v>2572</v>
      </c>
    </row>
    <row r="27" spans="6:10">
      <c r="I27">
        <v>260010</v>
      </c>
      <c r="J27" t="s">
        <v>2574</v>
      </c>
    </row>
  </sheetData>
  <conditionalFormatting sqref="I24:I27">
    <cfRule type="duplicateValues" dxfId="0" priority="1"/>
  </conditionalFormatting>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9:H51"/>
  <sheetViews>
    <sheetView topLeftCell="A4" workbookViewId="0">
      <selection activeCell="A42" sqref="A42"/>
    </sheetView>
  </sheetViews>
  <sheetFormatPr defaultColWidth="9" defaultRowHeight="13.5" outlineLevelCol="7"/>
  <cols>
    <col min="3" max="4" width="9" style="4" customWidth="1"/>
    <col min="5" max="5" width="15.125" style="4" customWidth="1"/>
    <col min="6" max="6" width="11.125" style="1" customWidth="1"/>
  </cols>
  <sheetData>
    <row r="9" spans="3:8">
      <c r="C9" s="4" t="s">
        <v>9302</v>
      </c>
      <c r="D9" s="4" t="s">
        <v>9303</v>
      </c>
      <c r="E9" s="4" t="s">
        <v>9193</v>
      </c>
      <c r="G9" t="s">
        <v>9304</v>
      </c>
    </row>
    <row r="10" spans="3:8">
      <c r="C10" s="4">
        <v>2</v>
      </c>
      <c r="D10" s="5" t="s">
        <v>9305</v>
      </c>
      <c r="E10" s="4" t="s">
        <v>88</v>
      </c>
      <c r="G10" s="5" t="s">
        <v>9306</v>
      </c>
      <c r="H10" t="s">
        <v>9307</v>
      </c>
    </row>
    <row r="11" spans="3:8">
      <c r="C11" s="4">
        <v>2</v>
      </c>
      <c r="D11" s="5" t="s">
        <v>9308</v>
      </c>
      <c r="E11" s="4" t="s">
        <v>91</v>
      </c>
    </row>
    <row r="12" spans="3:8">
      <c r="C12" s="4">
        <v>2</v>
      </c>
      <c r="D12" s="5" t="s">
        <v>9309</v>
      </c>
      <c r="E12" s="4" t="s">
        <v>9310</v>
      </c>
    </row>
    <row r="13" spans="3:8">
      <c r="C13" s="4">
        <v>2</v>
      </c>
      <c r="D13" s="5" t="s">
        <v>9311</v>
      </c>
      <c r="E13" s="4" t="s">
        <v>9312</v>
      </c>
    </row>
    <row r="14" spans="3:8">
      <c r="C14" s="4">
        <v>2</v>
      </c>
      <c r="D14" s="5" t="s">
        <v>9313</v>
      </c>
      <c r="E14" s="6" t="s">
        <v>9314</v>
      </c>
      <c r="F14" t="s">
        <v>9135</v>
      </c>
    </row>
    <row r="15" spans="3:8">
      <c r="C15" s="4">
        <v>2</v>
      </c>
      <c r="D15" s="5" t="s">
        <v>9315</v>
      </c>
      <c r="E15" s="6" t="s">
        <v>9316</v>
      </c>
      <c r="F15" t="s">
        <v>9317</v>
      </c>
    </row>
    <row r="16" spans="3:8">
      <c r="C16" s="4">
        <v>2</v>
      </c>
      <c r="D16" s="5" t="s">
        <v>9318</v>
      </c>
      <c r="E16" s="4" t="s">
        <v>9319</v>
      </c>
    </row>
    <row r="17" spans="3:6">
      <c r="C17" s="4">
        <v>2</v>
      </c>
      <c r="D17" s="5" t="s">
        <v>9320</v>
      </c>
      <c r="E17" s="4" t="s">
        <v>9321</v>
      </c>
    </row>
    <row r="18" spans="3:6">
      <c r="C18" s="4">
        <v>2</v>
      </c>
      <c r="D18" s="5" t="s">
        <v>9322</v>
      </c>
      <c r="E18" s="4" t="s">
        <v>9323</v>
      </c>
      <c r="F18" t="s">
        <v>9324</v>
      </c>
    </row>
    <row r="19" spans="3:6">
      <c r="C19" s="4">
        <v>2</v>
      </c>
      <c r="D19" s="5" t="s">
        <v>9325</v>
      </c>
      <c r="E19" s="4" t="s">
        <v>353</v>
      </c>
    </row>
    <row r="20" spans="3:6">
      <c r="C20" s="4">
        <v>2</v>
      </c>
      <c r="D20" s="5" t="s">
        <v>9326</v>
      </c>
      <c r="E20" s="4" t="s">
        <v>9327</v>
      </c>
    </row>
    <row r="21" spans="3:6">
      <c r="C21" s="4">
        <v>2</v>
      </c>
      <c r="D21" s="5" t="s">
        <v>9328</v>
      </c>
      <c r="E21" s="4" t="s">
        <v>383</v>
      </c>
    </row>
    <row r="22" spans="3:6">
      <c r="C22" s="4">
        <v>2</v>
      </c>
      <c r="D22" s="5" t="s">
        <v>9329</v>
      </c>
      <c r="E22" s="2" t="s">
        <v>9330</v>
      </c>
    </row>
    <row r="23" spans="3:6">
      <c r="C23" s="4">
        <v>2</v>
      </c>
      <c r="D23" s="5" t="s">
        <v>9331</v>
      </c>
      <c r="E23" s="4" t="s">
        <v>9332</v>
      </c>
    </row>
    <row r="24" spans="3:6">
      <c r="C24" s="4">
        <v>2</v>
      </c>
      <c r="D24" s="5" t="s">
        <v>9333</v>
      </c>
      <c r="E24" s="4" t="s">
        <v>9334</v>
      </c>
    </row>
    <row r="25" spans="3:6">
      <c r="C25" s="4">
        <v>2</v>
      </c>
      <c r="D25" s="5" t="s">
        <v>9335</v>
      </c>
      <c r="E25" s="4" t="s">
        <v>9336</v>
      </c>
    </row>
    <row r="26" spans="3:6">
      <c r="C26" s="4">
        <v>2</v>
      </c>
      <c r="D26" s="5" t="s">
        <v>9337</v>
      </c>
      <c r="E26" s="4" t="s">
        <v>9307</v>
      </c>
    </row>
    <row r="27" spans="3:6">
      <c r="C27" s="4">
        <v>2</v>
      </c>
      <c r="D27" s="5" t="s">
        <v>9338</v>
      </c>
      <c r="E27" s="4" t="s">
        <v>9339</v>
      </c>
    </row>
    <row r="28" spans="3:6">
      <c r="C28" s="4">
        <v>2</v>
      </c>
      <c r="D28" s="5" t="s">
        <v>9340</v>
      </c>
      <c r="E28" s="4" t="s">
        <v>9341</v>
      </c>
    </row>
    <row r="29" spans="3:6">
      <c r="C29" s="4">
        <v>2</v>
      </c>
      <c r="D29" s="5" t="s">
        <v>9342</v>
      </c>
      <c r="E29" s="4" t="s">
        <v>9343</v>
      </c>
    </row>
    <row r="30" spans="3:6">
      <c r="C30" s="4">
        <v>2</v>
      </c>
      <c r="D30" s="5" t="s">
        <v>9344</v>
      </c>
      <c r="E30" s="4" t="s">
        <v>9345</v>
      </c>
    </row>
    <row r="31" spans="3:6">
      <c r="C31" s="4">
        <v>2</v>
      </c>
      <c r="D31" s="5" t="s">
        <v>9346</v>
      </c>
      <c r="E31" s="4" t="s">
        <v>9347</v>
      </c>
    </row>
    <row r="32" spans="3:6">
      <c r="D32" s="5" t="s">
        <v>9348</v>
      </c>
      <c r="E32" s="4" t="s">
        <v>9349</v>
      </c>
      <c r="F32" t="s">
        <v>9350</v>
      </c>
    </row>
    <row r="33" spans="4:6">
      <c r="D33" s="5" t="s">
        <v>9351</v>
      </c>
      <c r="E33" s="4" t="s">
        <v>9352</v>
      </c>
      <c r="F33" t="s">
        <v>9353</v>
      </c>
    </row>
    <row r="34" spans="4:6">
      <c r="D34" s="5" t="s">
        <v>9354</v>
      </c>
      <c r="E34" s="4" t="s">
        <v>9355</v>
      </c>
      <c r="F34" t="s">
        <v>9356</v>
      </c>
    </row>
    <row r="35" spans="4:6">
      <c r="D35" s="5" t="s">
        <v>9357</v>
      </c>
      <c r="E35" s="4" t="s">
        <v>9358</v>
      </c>
      <c r="F35" t="s">
        <v>9359</v>
      </c>
    </row>
    <row r="36" spans="4:6">
      <c r="D36" s="5" t="s">
        <v>9360</v>
      </c>
      <c r="E36" s="4" t="s">
        <v>9361</v>
      </c>
      <c r="F36" t="s">
        <v>9362</v>
      </c>
    </row>
    <row r="37" spans="4:6">
      <c r="D37" s="5" t="s">
        <v>9363</v>
      </c>
      <c r="F37" t="s">
        <v>9364</v>
      </c>
    </row>
    <row r="38" spans="4:6">
      <c r="D38" s="5" t="s">
        <v>9365</v>
      </c>
      <c r="F38" t="s">
        <v>9366</v>
      </c>
    </row>
    <row r="39" spans="4:6">
      <c r="D39" s="5" t="s">
        <v>9367</v>
      </c>
      <c r="F39" t="s">
        <v>9368</v>
      </c>
    </row>
    <row r="40" spans="4:6">
      <c r="D40" s="5" t="s">
        <v>9369</v>
      </c>
      <c r="F40" t="s">
        <v>9370</v>
      </c>
    </row>
    <row r="41" spans="4:6">
      <c r="D41" s="5" t="s">
        <v>9371</v>
      </c>
      <c r="F41" t="s">
        <v>9372</v>
      </c>
    </row>
    <row r="42" spans="4:6">
      <c r="D42" s="5" t="s">
        <v>9373</v>
      </c>
      <c r="F42" t="s">
        <v>9374</v>
      </c>
    </row>
    <row r="43" spans="4:6">
      <c r="D43" s="5" t="s">
        <v>9375</v>
      </c>
      <c r="F43" t="s">
        <v>9376</v>
      </c>
    </row>
    <row r="44" spans="4:6">
      <c r="D44" s="5" t="s">
        <v>9377</v>
      </c>
      <c r="F44" t="s">
        <v>9378</v>
      </c>
    </row>
    <row r="45" spans="4:6">
      <c r="D45" s="5" t="s">
        <v>9379</v>
      </c>
      <c r="F45" t="s">
        <v>9380</v>
      </c>
    </row>
    <row r="46" spans="4:6">
      <c r="D46" s="5" t="s">
        <v>9381</v>
      </c>
      <c r="F46" t="s">
        <v>9382</v>
      </c>
    </row>
    <row r="47" spans="4:6">
      <c r="D47" s="5" t="s">
        <v>9383</v>
      </c>
      <c r="F47" t="s">
        <v>9384</v>
      </c>
    </row>
    <row r="48" spans="4:6">
      <c r="D48" s="5" t="s">
        <v>9385</v>
      </c>
      <c r="F48" t="s">
        <v>9386</v>
      </c>
    </row>
    <row r="49" spans="4:6">
      <c r="D49" s="5" t="s">
        <v>9387</v>
      </c>
      <c r="F49" t="s">
        <v>9388</v>
      </c>
    </row>
    <row r="50" spans="4:6">
      <c r="D50" s="5" t="s">
        <v>9389</v>
      </c>
      <c r="F50" t="s">
        <v>9390</v>
      </c>
    </row>
    <row r="51" spans="4:6">
      <c r="D51" s="5"/>
    </row>
  </sheetData>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43"/>
  <sheetViews>
    <sheetView workbookViewId="0">
      <selection activeCell="S43" sqref="S43"/>
    </sheetView>
  </sheetViews>
  <sheetFormatPr defaultColWidth="9" defaultRowHeight="13.5"/>
  <sheetData>
    <row r="1" spans="2:5">
      <c r="B1" t="s">
        <v>9391</v>
      </c>
      <c r="E1" t="s">
        <v>9392</v>
      </c>
    </row>
    <row r="2" spans="2:5">
      <c r="B2" t="s">
        <v>9393</v>
      </c>
      <c r="E2" t="s">
        <v>9394</v>
      </c>
    </row>
    <row r="3" spans="2:5">
      <c r="B3" t="s">
        <v>9395</v>
      </c>
      <c r="E3" t="s">
        <v>9396</v>
      </c>
    </row>
    <row r="4" spans="2:5">
      <c r="B4" t="s">
        <v>9397</v>
      </c>
      <c r="D4" t="s">
        <v>9398</v>
      </c>
    </row>
    <row r="5" spans="2:5">
      <c r="B5" t="s">
        <v>9399</v>
      </c>
      <c r="D5" t="s">
        <v>9400</v>
      </c>
    </row>
    <row r="6" spans="2:5">
      <c r="B6" t="s">
        <v>9401</v>
      </c>
      <c r="D6" t="s">
        <v>9402</v>
      </c>
    </row>
    <row r="7" spans="2:5">
      <c r="B7" t="s">
        <v>9403</v>
      </c>
      <c r="D7" t="s">
        <v>9404</v>
      </c>
    </row>
    <row r="8" spans="2:5">
      <c r="B8" t="s">
        <v>9405</v>
      </c>
      <c r="D8" t="s">
        <v>9406</v>
      </c>
    </row>
    <row r="9" spans="2:5">
      <c r="B9" t="s">
        <v>9407</v>
      </c>
      <c r="E9" t="s">
        <v>9408</v>
      </c>
    </row>
    <row r="10" spans="2:5">
      <c r="B10" t="s">
        <v>9409</v>
      </c>
    </row>
    <row r="11" spans="2:5">
      <c r="B11" t="s">
        <v>9410</v>
      </c>
    </row>
    <row r="12" spans="2:5">
      <c r="B12" t="s">
        <v>9411</v>
      </c>
    </row>
    <row r="13" spans="2:5">
      <c r="B13" t="s">
        <v>9412</v>
      </c>
    </row>
    <row r="14" spans="2:5">
      <c r="B14" t="s">
        <v>9413</v>
      </c>
    </row>
    <row r="19" spans="8:19">
      <c r="H19">
        <v>1001</v>
      </c>
      <c r="I19" t="s">
        <v>9414</v>
      </c>
      <c r="J19">
        <v>216001</v>
      </c>
      <c r="K19" t="s">
        <v>9414</v>
      </c>
      <c r="L19">
        <v>1</v>
      </c>
      <c r="M19" t="s">
        <v>9414</v>
      </c>
      <c r="N19">
        <v>150</v>
      </c>
      <c r="O19" t="s">
        <v>9415</v>
      </c>
      <c r="P19" t="str">
        <f t="shared" ref="P19:P29" si="0">_xlfn.CONCAT(H19:O19)</f>
        <v>1001,216001,1,150;</v>
      </c>
    </row>
    <row r="20" spans="8:19">
      <c r="H20">
        <v>1001</v>
      </c>
      <c r="I20" t="s">
        <v>9414</v>
      </c>
      <c r="J20">
        <v>214011</v>
      </c>
      <c r="K20" t="s">
        <v>9414</v>
      </c>
      <c r="L20">
        <v>1</v>
      </c>
      <c r="M20" t="s">
        <v>9414</v>
      </c>
      <c r="N20">
        <v>150</v>
      </c>
      <c r="O20" t="s">
        <v>9415</v>
      </c>
      <c r="P20" t="str">
        <f t="shared" si="0"/>
        <v>1001,214011,1,150;</v>
      </c>
    </row>
    <row r="21" spans="8:19">
      <c r="H21">
        <v>1001</v>
      </c>
      <c r="I21" t="s">
        <v>9414</v>
      </c>
      <c r="J21">
        <v>212014</v>
      </c>
      <c r="K21" t="s">
        <v>9414</v>
      </c>
      <c r="L21">
        <v>1</v>
      </c>
      <c r="M21" t="s">
        <v>9414</v>
      </c>
      <c r="N21">
        <v>50</v>
      </c>
      <c r="O21" t="s">
        <v>9415</v>
      </c>
      <c r="P21" t="str">
        <f t="shared" si="0"/>
        <v>1001,212014,1,50;</v>
      </c>
    </row>
    <row r="22" spans="8:19">
      <c r="H22">
        <v>1001</v>
      </c>
      <c r="I22" t="s">
        <v>9414</v>
      </c>
      <c r="J22">
        <v>618004</v>
      </c>
      <c r="K22" t="s">
        <v>9414</v>
      </c>
      <c r="L22">
        <v>1</v>
      </c>
      <c r="M22" t="s">
        <v>9414</v>
      </c>
      <c r="N22">
        <v>30</v>
      </c>
      <c r="O22" t="s">
        <v>9415</v>
      </c>
      <c r="P22" t="str">
        <f t="shared" si="0"/>
        <v>1001,618004,1,30;</v>
      </c>
    </row>
    <row r="23" spans="8:19">
      <c r="H23">
        <v>1001</v>
      </c>
      <c r="I23" t="s">
        <v>9414</v>
      </c>
      <c r="J23">
        <v>214003</v>
      </c>
      <c r="K23" t="s">
        <v>9414</v>
      </c>
      <c r="L23">
        <v>1</v>
      </c>
      <c r="M23" t="s">
        <v>9414</v>
      </c>
      <c r="N23">
        <v>150</v>
      </c>
      <c r="O23" t="s">
        <v>9415</v>
      </c>
      <c r="P23" t="str">
        <f t="shared" si="0"/>
        <v>1001,214003,1,150;</v>
      </c>
    </row>
    <row r="24" spans="8:19">
      <c r="H24">
        <v>1001</v>
      </c>
      <c r="I24" t="s">
        <v>9414</v>
      </c>
      <c r="J24">
        <v>214011</v>
      </c>
      <c r="K24" t="s">
        <v>9414</v>
      </c>
      <c r="L24">
        <v>1</v>
      </c>
      <c r="M24" t="s">
        <v>9414</v>
      </c>
      <c r="N24">
        <v>100</v>
      </c>
      <c r="O24" t="s">
        <v>9415</v>
      </c>
      <c r="P24" t="str">
        <f t="shared" si="0"/>
        <v>1001,214011,1,100;</v>
      </c>
    </row>
    <row r="25" spans="8:19">
      <c r="H25">
        <v>1001</v>
      </c>
      <c r="I25" t="s">
        <v>9414</v>
      </c>
      <c r="J25">
        <v>720001</v>
      </c>
      <c r="K25" t="s">
        <v>9414</v>
      </c>
      <c r="L25">
        <v>1</v>
      </c>
      <c r="M25" t="s">
        <v>9414</v>
      </c>
      <c r="N25">
        <v>70</v>
      </c>
      <c r="O25" t="s">
        <v>9415</v>
      </c>
      <c r="P25" t="str">
        <f t="shared" si="0"/>
        <v>1001,720001,1,70;</v>
      </c>
    </row>
    <row r="26" spans="8:19">
      <c r="H26">
        <v>1001</v>
      </c>
      <c r="I26" t="s">
        <v>9414</v>
      </c>
      <c r="J26">
        <v>213002</v>
      </c>
      <c r="K26" t="s">
        <v>9414</v>
      </c>
      <c r="L26">
        <v>1</v>
      </c>
      <c r="M26" t="s">
        <v>9414</v>
      </c>
      <c r="N26">
        <v>150</v>
      </c>
      <c r="O26" t="s">
        <v>9415</v>
      </c>
      <c r="P26" t="str">
        <f t="shared" si="0"/>
        <v>1001,213002,1,150;</v>
      </c>
    </row>
    <row r="27" spans="8:19">
      <c r="H27">
        <v>1001</v>
      </c>
      <c r="I27" t="s">
        <v>9414</v>
      </c>
      <c r="J27">
        <v>214008</v>
      </c>
      <c r="K27" t="s">
        <v>9414</v>
      </c>
      <c r="L27">
        <v>1</v>
      </c>
      <c r="M27" t="s">
        <v>9414</v>
      </c>
      <c r="N27">
        <v>30</v>
      </c>
      <c r="O27" t="s">
        <v>9415</v>
      </c>
      <c r="P27" t="str">
        <f t="shared" si="0"/>
        <v>1001,214008,1,30;</v>
      </c>
    </row>
    <row r="28" spans="8:19">
      <c r="H28">
        <v>1001</v>
      </c>
      <c r="I28" t="s">
        <v>9414</v>
      </c>
      <c r="J28">
        <v>800007</v>
      </c>
      <c r="K28" t="s">
        <v>9414</v>
      </c>
      <c r="L28">
        <v>1</v>
      </c>
      <c r="M28" t="s">
        <v>9414</v>
      </c>
      <c r="N28">
        <v>70</v>
      </c>
      <c r="O28" t="s">
        <v>9415</v>
      </c>
      <c r="P28" t="str">
        <f t="shared" si="0"/>
        <v>1001,800007,1,70;</v>
      </c>
    </row>
    <row r="29" spans="8:19">
      <c r="H29">
        <v>1001</v>
      </c>
      <c r="I29" t="s">
        <v>9414</v>
      </c>
      <c r="J29">
        <v>212004</v>
      </c>
      <c r="K29" t="s">
        <v>9414</v>
      </c>
      <c r="L29">
        <v>1</v>
      </c>
      <c r="M29" t="s">
        <v>9414</v>
      </c>
      <c r="N29">
        <v>50</v>
      </c>
      <c r="O29" t="s">
        <v>9415</v>
      </c>
      <c r="P29" t="str">
        <f t="shared" si="0"/>
        <v>1001,212004,1,50;</v>
      </c>
      <c r="S29" t="str">
        <f>_xlfn.CONCAT(P19:P29)</f>
        <v>1001,216001,1,150;1001,214011,1,150;1001,212014,1,50;1001,618004,1,30;1001,214003,1,150;1001,214011,1,100;1001,720001,1,70;1001,213002,1,150;1001,214008,1,30;1001,800007,1,70;1001,212004,1,50;</v>
      </c>
    </row>
    <row r="34" spans="8:19">
      <c r="H34">
        <v>1001</v>
      </c>
      <c r="I34" t="s">
        <v>9414</v>
      </c>
      <c r="J34">
        <v>215011</v>
      </c>
      <c r="K34" t="s">
        <v>9414</v>
      </c>
      <c r="L34">
        <v>1</v>
      </c>
      <c r="M34" t="s">
        <v>9414</v>
      </c>
      <c r="N34">
        <v>70</v>
      </c>
      <c r="O34" t="s">
        <v>9415</v>
      </c>
      <c r="P34" t="str">
        <f t="shared" ref="P34:P43" si="1">_xlfn.CONCAT(H34:O34)</f>
        <v>1001,215011,1,70;</v>
      </c>
    </row>
    <row r="35" spans="8:19">
      <c r="H35">
        <v>1001</v>
      </c>
      <c r="I35" t="s">
        <v>9414</v>
      </c>
      <c r="J35">
        <v>3</v>
      </c>
      <c r="K35" t="s">
        <v>9414</v>
      </c>
      <c r="L35">
        <v>100</v>
      </c>
      <c r="M35" t="s">
        <v>9414</v>
      </c>
      <c r="N35">
        <v>180</v>
      </c>
      <c r="O35" t="s">
        <v>9415</v>
      </c>
      <c r="P35" t="str">
        <f t="shared" si="1"/>
        <v>1001,3,100,180;</v>
      </c>
    </row>
    <row r="36" spans="8:19">
      <c r="H36">
        <v>1001</v>
      </c>
      <c r="I36" t="s">
        <v>9414</v>
      </c>
      <c r="J36">
        <v>618006</v>
      </c>
      <c r="K36" t="s">
        <v>9414</v>
      </c>
      <c r="L36">
        <v>1</v>
      </c>
      <c r="M36" t="s">
        <v>9414</v>
      </c>
      <c r="N36">
        <v>50</v>
      </c>
      <c r="O36" t="s">
        <v>9415</v>
      </c>
      <c r="P36" t="str">
        <f t="shared" si="1"/>
        <v>1001,618006,1,50;</v>
      </c>
    </row>
    <row r="37" spans="8:19">
      <c r="H37">
        <v>1001</v>
      </c>
      <c r="I37" t="s">
        <v>9414</v>
      </c>
      <c r="J37">
        <v>210121</v>
      </c>
      <c r="K37" t="s">
        <v>9414</v>
      </c>
      <c r="L37">
        <v>1</v>
      </c>
      <c r="M37" t="s">
        <v>9414</v>
      </c>
      <c r="N37">
        <v>150</v>
      </c>
      <c r="O37" t="s">
        <v>9415</v>
      </c>
      <c r="P37" t="str">
        <f t="shared" si="1"/>
        <v>1001,210121,1,150;</v>
      </c>
    </row>
    <row r="38" spans="8:19">
      <c r="H38">
        <v>1001</v>
      </c>
      <c r="I38" t="s">
        <v>9414</v>
      </c>
      <c r="J38">
        <v>210121</v>
      </c>
      <c r="K38" t="s">
        <v>9414</v>
      </c>
      <c r="L38">
        <v>2</v>
      </c>
      <c r="M38" t="s">
        <v>9414</v>
      </c>
      <c r="N38">
        <v>100</v>
      </c>
      <c r="O38" t="s">
        <v>9415</v>
      </c>
      <c r="P38" t="str">
        <f t="shared" si="1"/>
        <v>1001,210121,2,100;</v>
      </c>
    </row>
    <row r="39" spans="8:19">
      <c r="H39">
        <v>1001</v>
      </c>
      <c r="I39" t="s">
        <v>9414</v>
      </c>
      <c r="J39">
        <v>214014</v>
      </c>
      <c r="K39" t="s">
        <v>9414</v>
      </c>
      <c r="L39">
        <v>1</v>
      </c>
      <c r="M39" t="s">
        <v>9414</v>
      </c>
      <c r="N39">
        <v>50</v>
      </c>
      <c r="O39" t="s">
        <v>9415</v>
      </c>
      <c r="P39" t="str">
        <f t="shared" si="1"/>
        <v>1001,214014,1,50;</v>
      </c>
    </row>
    <row r="40" spans="8:19">
      <c r="H40">
        <v>1001</v>
      </c>
      <c r="I40" t="s">
        <v>9414</v>
      </c>
      <c r="J40">
        <v>214004</v>
      </c>
      <c r="K40" t="s">
        <v>9414</v>
      </c>
      <c r="L40">
        <v>1</v>
      </c>
      <c r="M40" t="s">
        <v>9414</v>
      </c>
      <c r="N40">
        <v>100</v>
      </c>
      <c r="O40" t="s">
        <v>9415</v>
      </c>
      <c r="P40" t="str">
        <f t="shared" si="1"/>
        <v>1001,214004,1,100;</v>
      </c>
    </row>
    <row r="41" spans="8:19">
      <c r="H41">
        <v>1001</v>
      </c>
      <c r="I41" t="s">
        <v>9414</v>
      </c>
      <c r="J41">
        <v>800003</v>
      </c>
      <c r="K41" t="s">
        <v>9414</v>
      </c>
      <c r="L41">
        <v>1</v>
      </c>
      <c r="M41" t="s">
        <v>9414</v>
      </c>
      <c r="N41">
        <v>100</v>
      </c>
      <c r="O41" t="s">
        <v>9415</v>
      </c>
      <c r="P41" t="str">
        <f t="shared" si="1"/>
        <v>1001,800003,1,100;</v>
      </c>
    </row>
    <row r="42" spans="8:19">
      <c r="H42">
        <v>1001</v>
      </c>
      <c r="I42" t="s">
        <v>9414</v>
      </c>
      <c r="J42">
        <v>216002</v>
      </c>
      <c r="K42" t="s">
        <v>9414</v>
      </c>
      <c r="L42">
        <v>1</v>
      </c>
      <c r="M42" t="s">
        <v>9414</v>
      </c>
      <c r="N42">
        <v>150</v>
      </c>
      <c r="O42" t="s">
        <v>9415</v>
      </c>
      <c r="P42" t="str">
        <f t="shared" si="1"/>
        <v>1001,216002,1,150;</v>
      </c>
    </row>
    <row r="43" spans="8:19">
      <c r="H43">
        <v>1001</v>
      </c>
      <c r="I43" t="s">
        <v>9414</v>
      </c>
      <c r="J43">
        <v>216002</v>
      </c>
      <c r="K43" t="s">
        <v>9414</v>
      </c>
      <c r="L43">
        <v>2</v>
      </c>
      <c r="M43" t="s">
        <v>9414</v>
      </c>
      <c r="N43">
        <v>50</v>
      </c>
      <c r="O43" t="s">
        <v>9415</v>
      </c>
      <c r="P43" t="str">
        <f t="shared" si="1"/>
        <v>1001,216002,2,50;</v>
      </c>
      <c r="S43" t="str">
        <f>_xlfn.CONCAT(P34:P43)</f>
        <v>1001,215011,1,70;1001,3,100,180;1001,618006,1,50;1001,210121,1,150;1001,210121,2,100;1001,214014,1,50;1001,214004,1,100;1001,800003,1,100;1001,216002,1,150;1001,216002,2,50;</v>
      </c>
    </row>
  </sheetData>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37"/>
  <sheetViews>
    <sheetView workbookViewId="0">
      <selection activeCell="H50" sqref="H50"/>
    </sheetView>
  </sheetViews>
  <sheetFormatPr defaultColWidth="9" defaultRowHeight="13.5"/>
  <cols>
    <col min="6" max="6" width="19.375" style="1" customWidth="1"/>
    <col min="7" max="7" width="7.375" style="1" customWidth="1"/>
    <col min="10" max="10" width="16.2583333333333" style="1" customWidth="1"/>
  </cols>
  <sheetData>
    <row r="1" spans="2:10">
      <c r="B1" t="s">
        <v>9416</v>
      </c>
    </row>
    <row r="2" spans="2:10">
      <c r="B2" s="2" t="s">
        <v>6492</v>
      </c>
    </row>
    <row r="3" spans="2:10">
      <c r="B3" s="2" t="s">
        <v>6496</v>
      </c>
    </row>
    <row r="4" spans="2:10">
      <c r="B4" s="2" t="s">
        <v>6498</v>
      </c>
    </row>
    <row r="9" spans="2:10">
      <c r="J9" t="s">
        <v>4</v>
      </c>
    </row>
    <row r="10" spans="2:10">
      <c r="F10" t="s">
        <v>4648</v>
      </c>
      <c r="G10">
        <f>_xlfn.XLOOKUP(F10,Sheet1!E:E,Sheet1!A:A)</f>
        <v>713080</v>
      </c>
      <c r="J10" t="s">
        <v>9417</v>
      </c>
    </row>
    <row r="11" spans="2:10">
      <c r="F11" t="s">
        <v>4641</v>
      </c>
      <c r="G11">
        <f>_xlfn.XLOOKUP(F11,Sheet1!E:E,Sheet1!A:A)</f>
        <v>713078</v>
      </c>
      <c r="J11" t="s">
        <v>9418</v>
      </c>
    </row>
    <row r="12" spans="2:10">
      <c r="F12" t="s">
        <v>4576</v>
      </c>
      <c r="G12">
        <f>_xlfn.XLOOKUP(F12,Sheet1!E:E,Sheet1!A:A)</f>
        <v>713064</v>
      </c>
      <c r="J12" t="s">
        <v>9419</v>
      </c>
    </row>
    <row r="13" spans="2:10">
      <c r="F13" t="s">
        <v>4600</v>
      </c>
      <c r="G13">
        <f>_xlfn.XLOOKUP(F13,Sheet1!E:E,Sheet1!A:A)</f>
        <v>713069</v>
      </c>
      <c r="J13" t="s">
        <v>9420</v>
      </c>
    </row>
    <row r="14" spans="2:10">
      <c r="F14" t="s">
        <v>4454</v>
      </c>
      <c r="G14">
        <f>_xlfn.XLOOKUP(F14,Sheet1!E:E,Sheet1!A:A)</f>
        <v>713037</v>
      </c>
      <c r="J14" t="s">
        <v>9421</v>
      </c>
    </row>
    <row r="15" spans="2:10">
      <c r="F15" t="s">
        <v>4515</v>
      </c>
      <c r="G15">
        <f>_xlfn.XLOOKUP(F15,Sheet1!E:E,Sheet1!A:A)</f>
        <v>713050</v>
      </c>
      <c r="J15" t="s">
        <v>9422</v>
      </c>
    </row>
    <row r="16" spans="2:10">
      <c r="F16" t="s">
        <v>4424</v>
      </c>
      <c r="G16">
        <f>_xlfn.XLOOKUP(F16,Sheet1!E:E,Sheet1!A:A)</f>
        <v>713031</v>
      </c>
      <c r="J16" t="s">
        <v>9423</v>
      </c>
    </row>
    <row r="17" spans="6:20">
      <c r="F17" t="s">
        <v>4419</v>
      </c>
      <c r="G17">
        <f>_xlfn.XLOOKUP(F17,Sheet1!E:E,Sheet1!A:A)</f>
        <v>713030</v>
      </c>
      <c r="J17" t="s">
        <v>9424</v>
      </c>
      <c r="Q17" s="3" t="s">
        <v>7181</v>
      </c>
      <c r="R17" s="3" t="s">
        <v>7181</v>
      </c>
      <c r="S17" s="3" t="s">
        <v>9425</v>
      </c>
      <c r="T17" s="3" t="s">
        <v>6721</v>
      </c>
    </row>
    <row r="18" spans="6:20">
      <c r="F18" t="s">
        <v>4648</v>
      </c>
      <c r="G18">
        <f>_xlfn.XLOOKUP(F18,Sheet1!E:E,Sheet1!A:A)</f>
        <v>713080</v>
      </c>
      <c r="J18" t="s">
        <v>9426</v>
      </c>
      <c r="Q18" s="3" t="s">
        <v>7183</v>
      </c>
      <c r="R18" s="3" t="s">
        <v>7183</v>
      </c>
      <c r="S18" s="3" t="s">
        <v>7184</v>
      </c>
      <c r="T18" s="3" t="s">
        <v>6724</v>
      </c>
    </row>
    <row r="19" spans="6:20">
      <c r="F19" t="s">
        <v>4648</v>
      </c>
      <c r="G19">
        <f>_xlfn.XLOOKUP(F19,Sheet1!E:E,Sheet1!A:A)</f>
        <v>713080</v>
      </c>
      <c r="J19" t="s">
        <v>9427</v>
      </c>
    </row>
    <row r="20" spans="6:20">
      <c r="F20" t="s">
        <v>4648</v>
      </c>
      <c r="G20">
        <f>_xlfn.XLOOKUP(F20,Sheet1!E:E,Sheet1!A:A)</f>
        <v>713080</v>
      </c>
      <c r="J20" t="s">
        <v>9428</v>
      </c>
    </row>
    <row r="21" spans="6:20">
      <c r="F21" t="s">
        <v>4648</v>
      </c>
      <c r="G21">
        <f>_xlfn.XLOOKUP(F21,Sheet1!E:E,Sheet1!A:A)</f>
        <v>713080</v>
      </c>
      <c r="J21" t="s">
        <v>9429</v>
      </c>
    </row>
    <row r="22" spans="6:20">
      <c r="F22" t="s">
        <v>4648</v>
      </c>
      <c r="G22">
        <f>_xlfn.XLOOKUP(F22,Sheet1!E:E,Sheet1!A:A)</f>
        <v>713080</v>
      </c>
      <c r="J22" t="s">
        <v>9430</v>
      </c>
    </row>
    <row r="23" spans="6:20">
      <c r="F23" t="s">
        <v>4648</v>
      </c>
      <c r="G23">
        <f>_xlfn.XLOOKUP(F23,Sheet1!E:E,Sheet1!A:A)</f>
        <v>713080</v>
      </c>
      <c r="J23" t="s">
        <v>9431</v>
      </c>
    </row>
    <row r="24" spans="6:20">
      <c r="J24" t="s">
        <v>9432</v>
      </c>
    </row>
    <row r="25" spans="6:20">
      <c r="J25" t="s">
        <v>9433</v>
      </c>
    </row>
    <row r="26" spans="6:20">
      <c r="J26" t="s">
        <v>9434</v>
      </c>
    </row>
    <row r="27" spans="6:20">
      <c r="J27" t="s">
        <v>9435</v>
      </c>
    </row>
    <row r="28" spans="6:20">
      <c r="J28" t="s">
        <v>9436</v>
      </c>
    </row>
    <row r="29" spans="6:20">
      <c r="J29" t="s">
        <v>9437</v>
      </c>
    </row>
    <row r="30" spans="6:20">
      <c r="J30" t="s">
        <v>9438</v>
      </c>
    </row>
    <row r="37" spans="10:10">
      <c r="J37">
        <v>1</v>
      </c>
    </row>
  </sheetData>
  <conditionalFormatting sqref="K43:K47">
    <cfRule type="duplicateValues" dxfId="0" priority="55"/>
  </conditionalFormatting>
  <conditionalFormatting sqref="K48:K52">
    <cfRule type="duplicateValues" dxfId="0" priority="36"/>
  </conditionalFormatting>
  <conditionalFormatting sqref="K53:K57">
    <cfRule type="duplicateValues" dxfId="0" priority="15"/>
  </conditionalFormatting>
  <conditionalFormatting sqref="K58:K62">
    <cfRule type="duplicateValues" dxfId="0" priority="2"/>
  </conditionalFormatting>
  <dataValidations count="1">
    <dataValidation type="list" allowBlank="1" showInputMessage="1" showErrorMessage="1" sqref="F10:F23">
      <formula1>Sheet1!$E$1684:$E$1751</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Sheet1</vt:lpstr>
      <vt:lpstr>物品ID定义</vt:lpstr>
      <vt:lpstr>获取途径</vt:lpstr>
      <vt:lpstr>普通道具定义</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guohao</dc:creator>
  <cp:lastModifiedBy>吕鑫</cp:lastModifiedBy>
  <dcterms:created xsi:type="dcterms:W3CDTF">2013-04-09T09:35:00Z</dcterms:created>
  <cp:lastPrinted>2017-03-20T03:29:00Z</cp:lastPrinted>
  <dcterms:modified xsi:type="dcterms:W3CDTF">2026-03-23T10:58:07Z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eadingLayout">
    <vt:bool>false</vt:bool>
  </property>
  <property fmtid="{D5CDD505-2E9C-101B-9397-08002B2CF9AE}" pid="4" name="ICV">
    <vt:lpwstr>4AD0F921765B470F8BC98812C4661C19</vt:lpwstr>
  </property>
  <property fmtid="{D5CDD505-2E9C-101B-9397-08002B2CF9AE}" pid="5" name="CalculationRule">
    <vt:i4>0</vt:i4>
  </property>
</Properties>
</file>