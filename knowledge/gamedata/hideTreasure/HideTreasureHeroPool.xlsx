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545" windowHeight="11595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Sheet1!$A$6:$AM$6</definedName>
  </definedNames>
  <calcPr calcId="144525" fullCalcOnLoad="1"/>
</workbook>
</file>

<file path=xl/sharedStrings.xml><?xml version="1.0" encoding="utf-8"?>
<sst xmlns="http://schemas.openxmlformats.org/spreadsheetml/2006/main" count="239" uniqueCount="239">
  <si>
    <t xml:space="preserve">英雄Id
Hero.xlsx</t>
  </si>
  <si>
    <t>EmptyKey-B2</t>
  </si>
  <si>
    <t>普通攻击</t>
  </si>
  <si>
    <t>普攻技能等级</t>
  </si>
  <si>
    <t>主动技能1AI权重</t>
  </si>
  <si>
    <t>主动技能1</t>
  </si>
  <si>
    <t>主动技能1等级</t>
  </si>
  <si>
    <t>主动技能2AI权重</t>
  </si>
  <si>
    <t>主动技能2</t>
  </si>
  <si>
    <t>主动技能2等级</t>
  </si>
  <si>
    <t>主动技能3AI权重</t>
  </si>
  <si>
    <t>主动技能3</t>
  </si>
  <si>
    <t>主动技能3等级</t>
  </si>
  <si>
    <t>大招AI权重</t>
  </si>
  <si>
    <t>大招</t>
  </si>
  <si>
    <t>大招等级</t>
  </si>
  <si>
    <t>主动技能456... skill4Id,skill4Level,skill4Weight&amp;&amp;skill5Id,skill5Level,skill5Weight</t>
  </si>
  <si>
    <t>主动技能,level&amp;&amp;主动技能,level</t>
  </si>
  <si>
    <t>被动技能,level&amp;&amp;被动技能,level</t>
  </si>
  <si>
    <t>攻击</t>
  </si>
  <si>
    <t>防御</t>
  </si>
  <si>
    <t>血量</t>
  </si>
  <si>
    <t>速度</t>
  </si>
  <si>
    <t>暴击</t>
  </si>
  <si>
    <t>抗暴</t>
  </si>
  <si>
    <t>命中</t>
  </si>
  <si>
    <t>闪避</t>
  </si>
  <si>
    <t>暴击伤害系数</t>
  </si>
  <si>
    <t>格挡</t>
  </si>
  <si>
    <t>破击</t>
  </si>
  <si>
    <t>抗全</t>
  </si>
  <si>
    <t>技能AI循环顺序，以逗号分隔技能，以分号分隔回合，不填则按顺序释放技能和大招（0为只放普攻，123为技能，4为大招）</t>
  </si>
  <si>
    <t>格挡伤害</t>
  </si>
  <si>
    <t>治疗暴击系数</t>
  </si>
  <si>
    <t>权重</t>
  </si>
  <si>
    <t>初始激活(0否1是)</t>
  </si>
  <si>
    <t>阵容摄像机的偏移量x</t>
  </si>
  <si>
    <t>阵容摄像机的偏移量y</t>
  </si>
  <si>
    <t>阵容摄像机的偏移量z</t>
  </si>
  <si>
    <t>heroId</t>
  </si>
  <si>
    <t>DefaultSkill</t>
  </si>
  <si>
    <t>defaultSkillLevel</t>
  </si>
  <si>
    <t>skill1AIWeight</t>
  </si>
  <si>
    <t>skill1</t>
  </si>
  <si>
    <t>skill1Level</t>
  </si>
  <si>
    <t>skill2AIWeight</t>
  </si>
  <si>
    <t>skill2</t>
  </si>
  <si>
    <t>skill2Level</t>
  </si>
  <si>
    <t>skill3AIWeight</t>
  </si>
  <si>
    <t>skill3</t>
  </si>
  <si>
    <t>skill3Level</t>
  </si>
  <si>
    <t>ultimateSkillAIWeight</t>
  </si>
  <si>
    <t>ultimateSkill</t>
  </si>
  <si>
    <t>ultimateSkillLevel</t>
  </si>
  <si>
    <t>activeSkills</t>
  </si>
  <si>
    <t>skills</t>
  </si>
  <si>
    <t>passiveSkills</t>
  </si>
  <si>
    <t>atk</t>
  </si>
  <si>
    <t>def</t>
  </si>
  <si>
    <t>hp</t>
  </si>
  <si>
    <t>speed</t>
  </si>
  <si>
    <t>cri</t>
  </si>
  <si>
    <t>anticri</t>
  </si>
  <si>
    <t>hit</t>
  </si>
  <si>
    <t>dodge</t>
  </si>
  <si>
    <t>cridamage</t>
  </si>
  <si>
    <t>block</t>
  </si>
  <si>
    <t>antiblock</t>
  </si>
  <si>
    <t>antiwhole</t>
  </si>
  <si>
    <t>skillAI</t>
  </si>
  <si>
    <t>blockdamage</t>
  </si>
  <si>
    <t>critreat</t>
  </si>
  <si>
    <t>cameraOffsetX</t>
  </si>
  <si>
    <t>cameraOffsetY</t>
  </si>
  <si>
    <t>cameraOffsetZ</t>
  </si>
  <si>
    <t>int</t>
  </si>
  <si>
    <t>string</t>
  </si>
  <si>
    <t>double</t>
  </si>
  <si>
    <t>float</t>
  </si>
  <si>
    <t>none</t>
  </si>
  <si>
    <t>defaultSkill</t>
  </si>
  <si>
    <t>weight</t>
  </si>
  <si>
    <t>isUnlock</t>
  </si>
  <si>
    <t>可比</t>
  </si>
  <si>
    <t>摩根</t>
  </si>
  <si>
    <t>卡巴奇</t>
  </si>
  <si>
    <t>克洛</t>
  </si>
  <si>
    <t>强高</t>
  </si>
  <si>
    <t>克里克</t>
  </si>
  <si>
    <t>阿金</t>
  </si>
  <si>
    <t>帕鲁</t>
  </si>
  <si>
    <t>阿龙</t>
  </si>
  <si>
    <t>小八</t>
  </si>
  <si>
    <t>薇薇</t>
  </si>
  <si>
    <t>Mr.5</t>
  </si>
  <si>
    <t>瓦波尔</t>
  </si>
  <si>
    <t>Mr.4</t>
  </si>
  <si>
    <t>Ms.黄金周</t>
  </si>
  <si>
    <t>约撒</t>
  </si>
  <si>
    <t>路飞</t>
  </si>
  <si>
    <t>佐罗</t>
  </si>
  <si>
    <t>奈美</t>
  </si>
  <si>
    <t>撒谎布</t>
  </si>
  <si>
    <t>山智</t>
  </si>
  <si>
    <t>乔巴</t>
  </si>
  <si>
    <t>罗宾</t>
  </si>
  <si>
    <t>弗兰奇</t>
  </si>
  <si>
    <t>布鲁克</t>
  </si>
  <si>
    <t>巴奇</t>
  </si>
  <si>
    <t>烟鬼</t>
  </si>
  <si>
    <t>塔希米</t>
  </si>
  <si>
    <t>Mr.1</t>
  </si>
  <si>
    <t>Mr.2</t>
  </si>
  <si>
    <t>Mr.3</t>
  </si>
  <si>
    <t>Ms.双手指</t>
  </si>
  <si>
    <t>贝拉密</t>
  </si>
  <si>
    <t>杰布拉</t>
  </si>
  <si>
    <t>佳妮法</t>
  </si>
  <si>
    <t>卡古</t>
  </si>
  <si>
    <t>阿布萨罗姆</t>
  </si>
  <si>
    <t>豪格巴克</t>
  </si>
  <si>
    <t>佩罗娜</t>
  </si>
  <si>
    <t>龙马</t>
  </si>
  <si>
    <t>贝宝</t>
  </si>
  <si>
    <t>战桃丸</t>
  </si>
  <si>
    <t>800443,1&amp;&amp;800444,1</t>
  </si>
  <si>
    <t>沙·鳄鱼</t>
  </si>
  <si>
    <t>800453,1&amp;&amp;800454,1</t>
  </si>
  <si>
    <t>艾尼路</t>
  </si>
  <si>
    <t>800464,1</t>
  </si>
  <si>
    <t>青雉</t>
  </si>
  <si>
    <t>800474,1</t>
  </si>
  <si>
    <t>戈普</t>
  </si>
  <si>
    <t>800486,1</t>
  </si>
  <si>
    <t>莫利亚</t>
  </si>
  <si>
    <t>800496,1&amp;&amp;800497,1</t>
  </si>
  <si>
    <t>大熊</t>
  </si>
  <si>
    <t>800507,1</t>
  </si>
  <si>
    <t>黄猿</t>
  </si>
  <si>
    <t>800517,1</t>
  </si>
  <si>
    <t>艾斯</t>
  </si>
  <si>
    <t>赤犬</t>
  </si>
  <si>
    <t>800535,1&amp;&amp;800536,1</t>
  </si>
  <si>
    <t>米霍克</t>
  </si>
  <si>
    <t>鲁兹</t>
  </si>
  <si>
    <t>800555,1&amp;&amp;800558,1&amp;&amp;800561,1</t>
  </si>
  <si>
    <t>800563,1&amp;&amp;800564,1&amp;&amp;800674,1&amp;&amp;800686,1</t>
  </si>
  <si>
    <t>甚平</t>
  </si>
  <si>
    <t>800573,1</t>
  </si>
  <si>
    <t>汉库珂</t>
  </si>
  <si>
    <t>800584,1</t>
  </si>
  <si>
    <t>罗</t>
  </si>
  <si>
    <t>800596,1</t>
  </si>
  <si>
    <t>基德</t>
  </si>
  <si>
    <t>雷利</t>
  </si>
  <si>
    <t>800623,1</t>
  </si>
  <si>
    <t>战国</t>
  </si>
  <si>
    <t>800631,1&amp;&amp;800634,1&amp;&amp;800637,1</t>
  </si>
  <si>
    <t>800683,1&amp;&amp;800695,1&amp;&amp;800638,1&amp;&amp;800639,1</t>
  </si>
  <si>
    <t>麦哲伦</t>
  </si>
  <si>
    <t>800650,1</t>
  </si>
  <si>
    <t>伊娃科夫</t>
  </si>
  <si>
    <t>乔兹</t>
  </si>
  <si>
    <t>白胡子</t>
  </si>
  <si>
    <t>马尔高</t>
  </si>
  <si>
    <t>比斯塔</t>
  </si>
  <si>
    <t>id</t>
  </si>
  <si>
    <t>sceneId</t>
  </si>
  <si>
    <t>positionId</t>
  </si>
  <si>
    <t>centerX</t>
  </si>
  <si>
    <t>centerZ</t>
  </si>
  <si>
    <t>directionX</t>
  </si>
  <si>
    <t>directionZ</t>
  </si>
  <si>
    <t>type</t>
  </si>
  <si>
    <t>seek_radius</t>
  </si>
  <si>
    <t>血战司法岛</t>
  </si>
  <si>
    <t>BloodyFightRaid_raidName_2</t>
  </si>
  <si>
    <t>1001,270002,1</t>
  </si>
  <si>
    <t>海军</t>
  </si>
  <si>
    <t>BloodyFightRaid_raidName_3</t>
  </si>
  <si>
    <t>1001,270003,1</t>
  </si>
  <si>
    <t>司法犬</t>
  </si>
  <si>
    <t>布鲁诺</t>
  </si>
  <si>
    <t>猫头鹰</t>
  </si>
  <si>
    <t>偎取</t>
  </si>
  <si>
    <t>加布拉</t>
  </si>
  <si>
    <t>有罪陪审团</t>
  </si>
  <si>
    <t>斯潘达姆</t>
  </si>
  <si>
    <t>卡库</t>
  </si>
  <si>
    <t>CP9</t>
  </si>
  <si>
    <t>卡莉法</t>
  </si>
  <si>
    <t>路奇</t>
  </si>
  <si>
    <t>角色名称</t>
  </si>
  <si>
    <t>角色品级</t>
  </si>
  <si>
    <t>职业</t>
  </si>
  <si>
    <t>属性权重分配</t>
  </si>
  <si>
    <t>1星属性</t>
  </si>
  <si>
    <t>2星属性</t>
  </si>
  <si>
    <t>3星属性</t>
  </si>
  <si>
    <t>生命</t>
  </si>
  <si>
    <t>综合</t>
  </si>
  <si>
    <t>金</t>
  </si>
  <si>
    <t>高攻战</t>
  </si>
  <si>
    <t>鹰眼</t>
  </si>
  <si>
    <t>平均战</t>
  </si>
  <si>
    <t>坦克</t>
  </si>
  <si>
    <t>射手</t>
  </si>
  <si>
    <t>高攻法</t>
  </si>
  <si>
    <t>紫</t>
  </si>
  <si>
    <t>法师</t>
  </si>
  <si>
    <t>高暴法</t>
  </si>
  <si>
    <t>女帝</t>
  </si>
  <si>
    <t>刺客</t>
  </si>
  <si>
    <t>卡普</t>
  </si>
  <si>
    <t>暴击肉战</t>
  </si>
  <si>
    <t>战士</t>
  </si>
  <si>
    <t>蓝</t>
  </si>
  <si>
    <t>索罗</t>
  </si>
  <si>
    <t>敏战</t>
  </si>
  <si>
    <t>治疗</t>
  </si>
  <si>
    <t>沙鳄鱼</t>
  </si>
  <si>
    <t>山治</t>
  </si>
  <si>
    <t>绿</t>
  </si>
  <si>
    <t>乌索普</t>
  </si>
  <si>
    <t>猎人</t>
  </si>
  <si>
    <t>半肉半输出偏肉</t>
  </si>
  <si>
    <t>半肉半输出偏输出</t>
  </si>
  <si>
    <t>斯摩格</t>
  </si>
  <si>
    <t>肉</t>
  </si>
  <si>
    <t>巴基</t>
  </si>
  <si>
    <t>战</t>
  </si>
  <si>
    <t>培波</t>
  </si>
  <si>
    <t>辅</t>
  </si>
  <si>
    <t>白</t>
  </si>
  <si>
    <t>辅助</t>
  </si>
  <si>
    <t>娜美</t>
  </si>
  <si>
    <t>塔西琪</t>
  </si>
  <si>
    <t>猎</t>
  </si>
  <si>
    <t>刺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</si>
</sst>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);[Red]\(0.00\)"/>
  </numFmts>
  <fonts count="24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7D1FE"/>
        <bgColor indexed="64"/>
      </patternFill>
    </fill>
    <fill>
      <patternFill patternType="solid">
        <fgColor rgb="FFFCCDFE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CFEC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theme="2" tint="-0.0994598223822749"/>
      </left>
      <right style="thin">
        <color theme="2" tint="-0.0994598223822749"/>
      </right>
      <top style="thin">
        <color theme="2" tint="-0.0994598223822749"/>
      </top>
      <bottom style="thin">
        <color theme="2" tint="-0.099459822382274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42" fontId="0" fillId="0" borderId="0">
      <alignment vertical="center"/>
    </xf>
    <xf numFmtId="0" fontId="5" fillId="21" borderId="0">
      <alignment vertical="center"/>
    </xf>
    <xf numFmtId="0" fontId="12" fillId="18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5" fillId="11" borderId="0">
      <alignment vertical="center"/>
    </xf>
    <xf numFmtId="0" fontId="9" fillId="12" borderId="0">
      <alignment vertical="center"/>
    </xf>
    <xf numFmtId="43" fontId="0" fillId="0" borderId="0">
      <alignment vertical="center"/>
    </xf>
    <xf numFmtId="0" fontId="10" fillId="17" borderId="0">
      <alignment vertical="center"/>
    </xf>
    <xf numFmtId="0" fontId="19" fillId="0" borderId="0">
      <alignment vertical="center"/>
    </xf>
    <xf numFmtId="9" fontId="0" fillId="0" borderId="0">
      <alignment vertical="center"/>
    </xf>
    <xf numFmtId="0" fontId="8" fillId="0" borderId="0">
      <alignment vertical="center"/>
    </xf>
    <xf numFmtId="0" fontId="0" fillId="34" borderId="8">
      <alignment vertical="center"/>
    </xf>
    <xf numFmtId="0" fontId="10" fillId="36" borderId="0">
      <alignment vertical="center"/>
    </xf>
    <xf numFmtId="0" fontId="7" fillId="0" borderId="0">
      <alignment vertical="center"/>
    </xf>
    <xf numFmtId="0" fontId="16" fillId="0" borderId="0">
      <alignment vertical="center"/>
    </xf>
    <xf numFmtId="0" fontId="18" fillId="0" borderId="0">
      <alignment vertical="center"/>
    </xf>
    <xf numFmtId="0" fontId="6" fillId="0" borderId="0">
      <alignment vertical="center"/>
    </xf>
    <xf numFmtId="0" fontId="21" fillId="0" borderId="4">
      <alignment vertical="center"/>
    </xf>
    <xf numFmtId="0" fontId="15" fillId="0" borderId="4">
      <alignment vertical="center"/>
    </xf>
    <xf numFmtId="0" fontId="10" fillId="16" borderId="0">
      <alignment vertical="center"/>
    </xf>
    <xf numFmtId="0" fontId="7" fillId="0" borderId="6">
      <alignment vertical="center"/>
    </xf>
    <xf numFmtId="0" fontId="10" fillId="15" borderId="0">
      <alignment vertical="center"/>
    </xf>
    <xf numFmtId="0" fontId="20" fillId="33" borderId="7">
      <alignment vertical="center"/>
    </xf>
    <xf numFmtId="0" fontId="23" fillId="33" borderId="2">
      <alignment vertical="center"/>
    </xf>
    <xf numFmtId="0" fontId="14" fillId="26" borderId="3">
      <alignment vertical="center"/>
    </xf>
    <xf numFmtId="0" fontId="5" fillId="20" borderId="0">
      <alignment vertical="center"/>
    </xf>
    <xf numFmtId="0" fontId="10" fillId="32" borderId="0">
      <alignment vertical="center"/>
    </xf>
    <xf numFmtId="0" fontId="22" fillId="0" borderId="9">
      <alignment vertical="center"/>
    </xf>
    <xf numFmtId="0" fontId="17" fillId="0" borderId="5">
      <alignment vertical="center"/>
    </xf>
    <xf numFmtId="0" fontId="13" fillId="19" borderId="0">
      <alignment vertical="center"/>
    </xf>
    <xf numFmtId="0" fontId="11" fillId="14" borderId="0">
      <alignment vertical="center"/>
    </xf>
    <xf numFmtId="0" fontId="5" fillId="40" borderId="0">
      <alignment vertical="center"/>
    </xf>
    <xf numFmtId="0" fontId="10" fillId="31" borderId="0">
      <alignment vertical="center"/>
    </xf>
    <xf numFmtId="0" fontId="5" fillId="39" borderId="0">
      <alignment vertical="center"/>
    </xf>
    <xf numFmtId="0" fontId="5" fillId="25" borderId="0">
      <alignment vertical="center"/>
    </xf>
    <xf numFmtId="0" fontId="5" fillId="38" borderId="0">
      <alignment vertical="center"/>
    </xf>
    <xf numFmtId="0" fontId="5" fillId="24" borderId="0">
      <alignment vertical="center"/>
    </xf>
    <xf numFmtId="0" fontId="10" fillId="28" borderId="0">
      <alignment vertical="center"/>
    </xf>
    <xf numFmtId="0" fontId="10" fillId="30" borderId="0">
      <alignment vertical="center"/>
    </xf>
    <xf numFmtId="0" fontId="5" fillId="37" borderId="0">
      <alignment vertical="center"/>
    </xf>
    <xf numFmtId="0" fontId="5" fillId="23" borderId="0">
      <alignment vertical="center"/>
    </xf>
    <xf numFmtId="0" fontId="10" fillId="29" borderId="0">
      <alignment vertical="center"/>
    </xf>
    <xf numFmtId="0" fontId="5" fillId="22" borderId="0">
      <alignment vertical="center"/>
    </xf>
    <xf numFmtId="0" fontId="10" fillId="35" borderId="0">
      <alignment vertical="center"/>
    </xf>
    <xf numFmtId="0" fontId="10" fillId="27" borderId="0">
      <alignment vertical="center"/>
    </xf>
    <xf numFmtId="0" fontId="5" fillId="10" borderId="0">
      <alignment vertical="center"/>
    </xf>
    <xf numFmtId="0" fontId="10" fillId="13" borderId="0">
      <alignment vertical="center"/>
    </xf>
    <xf numFmtId="0" fontId="2" fillId="0" borderId="0">
      <alignment vertical="center"/>
    </xf>
  </cellStyleXfs>
  <cellXfs count="50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left" vertical="center"/>
    </xf>
    <xf numFmtId="0" applyNumberFormat="1" fontId="0" applyFont="1" fillId="0" applyFill="1" borderId="0" applyBorder="1" xfId="0" applyProtection="1" applyAlignment="1">
      <alignment horizontal="left"/>
    </xf>
    <xf numFmtId="0" applyNumberFormat="1" fontId="0" applyFont="1" fillId="0" applyFill="1" borderId="0" applyBorder="1" xfId="0" applyProtection="1" applyAlignment="1">
      <alignment horizontal="left" vertical="center" wrapText="1"/>
    </xf>
    <xf numFmtId="0" applyNumberFormat="1" fontId="2" applyFont="1" fillId="0" applyFill="1" borderId="0" applyBorder="1" xfId="49" applyProtection="1" applyAlignment="1">
      <alignment horizontal="left" vertical="center"/>
    </xf>
    <xf numFmtId="0" applyNumberFormat="1" fontId="2" applyFont="1" fillId="0" applyFill="1" borderId="0" applyBorder="1" xfId="49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top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0" applyNumberFormat="1" fontId="0" applyFont="1" fillId="2" applyFill="1" borderId="0" applyBorder="1" xfId="0" applyProtection="1" applyAlignment="1">
      <alignment horizontal="center" vertical="center"/>
    </xf>
    <xf numFmtId="0" applyNumberFormat="1" fontId="0" applyFont="1" fillId="3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/>
    <xf numFmtId="0" applyNumberFormat="1" fontId="0" applyFont="1" fillId="4" applyFill="1" borderId="0" applyBorder="1" xfId="0" applyProtection="1" applyAlignment="1">
      <alignment horizontal="left"/>
    </xf>
    <xf numFmtId="0" applyNumberFormat="1" fontId="0" applyFont="1" fillId="5" applyFill="1" borderId="0" applyBorder="1" xfId="0" applyProtection="1" applyAlignment="1">
      <alignment horizontal="center" vertical="center"/>
    </xf>
    <xf numFmtId="0" applyNumberFormat="1" fontId="3" applyFont="1" fillId="0" applyFill="1" borderId="0" applyBorder="1" xfId="49" applyProtection="1" applyAlignment="1">
      <alignment horizontal="left" vertical="center"/>
    </xf>
    <xf numFmtId="0" applyNumberFormat="1" fontId="0" applyFont="1" fillId="0" applyFill="1" borderId="0" applyBorder="1" xfId="0" applyProtection="1" applyAlignment="1">
      <alignment horizontal="center" vertical="center"/>
    </xf>
    <xf numFmtId="176" applyNumberFormat="1" fontId="0" applyFont="1" fillId="0" applyFill="1" borderId="0" applyBorder="1" xfId="0" applyProtection="1"/>
    <xf numFmtId="49" applyNumberFormat="1" fontId="0" applyFont="1" fillId="0" applyFill="1" borderId="1" applyBorder="1" xfId="0" applyProtection="1" applyAlignment="1">
      <alignment vertical="center"/>
    </xf>
    <xf numFmtId="0" applyNumberFormat="1" fontId="2" applyFont="1" fillId="6" applyFill="1" borderId="0" applyBorder="1" xfId="49" applyProtection="1" applyAlignment="1">
      <alignment horizontal="left" vertical="center"/>
    </xf>
    <xf numFmtId="0" applyNumberFormat="1" fontId="3" applyFont="1" fillId="7" applyFill="1" borderId="0" applyBorder="1" xfId="49" applyProtection="1" applyAlignment="1">
      <alignment horizontal="left" vertical="center" wrapText="1"/>
    </xf>
    <xf numFmtId="0" applyNumberFormat="1" fontId="4" applyFont="1" fillId="7" applyFill="1" borderId="0" applyBorder="1" xfId="0" applyProtection="1" applyAlignment="1">
      <alignment horizontal="left"/>
    </xf>
    <xf numFmtId="0" applyNumberFormat="1" fontId="0" applyFont="1" fillId="7" applyFill="1" borderId="0" applyBorder="1" xfId="0" applyProtection="1" applyAlignment="1">
      <alignment horizontal="left"/>
    </xf>
    <xf numFmtId="49" applyNumberFormat="1" fontId="2" applyFont="1" fillId="0" applyFill="1" borderId="0" applyBorder="1" xfId="49" applyProtection="1" applyAlignment="1">
      <alignment horizontal="left" vertical="center" wrapText="1"/>
    </xf>
    <xf numFmtId="0" applyNumberFormat="1" fontId="0" applyFont="1" fillId="8" applyFill="1" borderId="0" applyBorder="1" xfId="35" applyProtection="1" applyAlignment="1">
      <alignment horizontal="left"/>
    </xf>
    <xf numFmtId="49" applyNumberFormat="1" fontId="2" applyFont="1" fillId="0" applyFill="1" borderId="0" applyBorder="1" xfId="49" applyProtection="1" applyAlignment="1">
      <alignment horizontal="left" vertical="center"/>
    </xf>
    <xf numFmtId="0" applyNumberFormat="1" fontId="0" applyFont="1" fillId="9" applyFill="1" borderId="0" applyBorder="1" xfId="0" applyProtection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AM71"/>
  <sheetViews>
    <sheetView tabSelected="1" zoomScale="85" zoomScaleNormal="85" workbookViewId="0">
      <pane xSplit="2" ySplit="6" topLeftCell="AW7" activePane="bottomRight" state="frozen"/>
      <selection/>
      <selection pane="topRight"/>
      <selection pane="bottomLeft"/>
      <selection pane="bottomRight" activeCell="BC17" sqref="BC17"/>
    </sheetView>
  </sheetViews>
  <sheetFormatPr defaultColWidth="9" defaultRowHeight="13.5"/>
  <cols>
    <col min="1" max="2" width="11.5583333333333" customWidth="1"/>
    <col min="3" max="3" width="14.4416666666667" customWidth="1"/>
    <col min="4" max="4" width="20" customWidth="1"/>
    <col min="5" max="5" width="11" customWidth="1"/>
    <col min="6" max="6" width="13.6666666666667" customWidth="1"/>
    <col min="7" max="7" width="14.775" customWidth="1"/>
    <col min="15" max="15" width="15.1833333333333" customWidth="1"/>
    <col min="17" max="17" width="23.75" customWidth="1"/>
    <col min="18" max="18" width="23.1083333333333" customWidth="1"/>
    <col min="19" max="19" width="21.3833333333333" customWidth="1"/>
    <col min="20" max="20" width="9.63333333333333" customWidth="1"/>
    <col min="28" max="28" width="12.8833333333333" customWidth="1"/>
    <col min="31" max="31" width="17.6333333333333" customWidth="1"/>
    <col min="32" max="32" width="24.6333333333333" customWidth="1"/>
    <col min="33" max="33" width="13.75" customWidth="1"/>
    <col min="34" max="34" width="11" customWidth="1"/>
    <col min="37" max="37" width="20.5416666666667" customWidth="1"/>
    <col min="38" max="38" width="20.5333333333333" customWidth="1"/>
    <col min="39" max="39" width="19.675" customWidth="1"/>
  </cols>
  <sheetData>
    <row r="1">
      <c r="A1" s="0">
        <v>7</v>
      </c>
      <c r="B1" s="0">
        <v>1</v>
      </c>
      <c r="C1" s="0">
        <v>9999</v>
      </c>
      <c r="D1" s="0">
        <v>39</v>
      </c>
    </row>
    <row r="2" ht="67.5" s="3" customFormat="1">
      <c r="A2" s="5" t="s">
        <v>0</v>
      </c>
      <c r="B2" s="5" t="s">
        <v>1</v>
      </c>
      <c r="C2" s="6" t="s">
        <v>2</v>
      </c>
      <c r="D2" s="6" t="s">
        <v>3</v>
      </c>
      <c r="E2" s="7" t="s">
        <v>4</v>
      </c>
      <c r="F2" s="6" t="s">
        <v>5</v>
      </c>
      <c r="G2" s="7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15" t="s">
        <v>19</v>
      </c>
      <c r="U2" s="15" t="s">
        <v>20</v>
      </c>
      <c r="V2" s="15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19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20" t="s">
        <v>31</v>
      </c>
      <c r="AG2" s="3" t="s">
        <v>32</v>
      </c>
      <c r="AH2" s="3" t="s">
        <v>33</v>
      </c>
      <c r="AI2" s="6" t="s">
        <v>34</v>
      </c>
      <c r="AJ2" s="23" t="s">
        <v>35</v>
      </c>
      <c r="AK2" s="6" t="s">
        <v>36</v>
      </c>
      <c r="AL2" s="6" t="s">
        <v>37</v>
      </c>
      <c r="AM2" s="6" t="s">
        <v>38</v>
      </c>
    </row>
    <row r="3" s="4" customFormat="1">
      <c r="A3" s="8" t="s">
        <v>39</v>
      </c>
      <c r="B3" s="8"/>
      <c r="C3" s="6" t="s">
        <v>40</v>
      </c>
      <c r="D3" s="6" t="s">
        <v>41</v>
      </c>
      <c r="E3" s="6" t="s">
        <v>42</v>
      </c>
      <c r="F3" s="6" t="s">
        <v>43</v>
      </c>
      <c r="G3" s="6" t="s">
        <v>44</v>
      </c>
      <c r="H3" s="6" t="s">
        <v>45</v>
      </c>
      <c r="I3" s="6" t="s">
        <v>46</v>
      </c>
      <c r="J3" s="6" t="s">
        <v>47</v>
      </c>
      <c r="K3" s="6" t="s">
        <v>48</v>
      </c>
      <c r="L3" s="6" t="s">
        <v>49</v>
      </c>
      <c r="M3" s="6" t="s">
        <v>50</v>
      </c>
      <c r="N3" s="6" t="s">
        <v>51</v>
      </c>
      <c r="O3" s="6" t="s">
        <v>52</v>
      </c>
      <c r="P3" s="6" t="s">
        <v>53</v>
      </c>
      <c r="Q3" s="6" t="s">
        <v>54</v>
      </c>
      <c r="R3" s="6" t="s">
        <v>55</v>
      </c>
      <c r="S3" s="6" t="s">
        <v>56</v>
      </c>
      <c r="T3" s="15" t="s">
        <v>57</v>
      </c>
      <c r="U3" s="15" t="s">
        <v>58</v>
      </c>
      <c r="V3" s="15" t="s">
        <v>59</v>
      </c>
      <c r="W3" s="6" t="s">
        <v>60</v>
      </c>
      <c r="X3" s="6" t="s">
        <v>61</v>
      </c>
      <c r="Y3" s="6" t="s">
        <v>62</v>
      </c>
      <c r="Z3" s="6" t="s">
        <v>63</v>
      </c>
      <c r="AA3" s="19" t="s">
        <v>64</v>
      </c>
      <c r="AB3" s="6" t="s">
        <v>65</v>
      </c>
      <c r="AC3" s="6" t="s">
        <v>66</v>
      </c>
      <c r="AD3" s="6" t="s">
        <v>67</v>
      </c>
      <c r="AE3" s="6" t="s">
        <v>68</v>
      </c>
      <c r="AF3" s="21" t="s">
        <v>69</v>
      </c>
      <c r="AG3" s="24" t="s">
        <v>70</v>
      </c>
      <c r="AH3" s="4" t="s">
        <v>71</v>
      </c>
      <c r="AI3" s="6"/>
      <c r="AJ3" s="25"/>
      <c r="AK3" s="6" t="s">
        <v>72</v>
      </c>
      <c r="AL3" s="6" t="s">
        <v>73</v>
      </c>
      <c r="AM3" s="6" t="s">
        <v>74</v>
      </c>
    </row>
    <row r="4" s="4" customFormat="1">
      <c r="A4" s="3" t="s">
        <v>75</v>
      </c>
      <c r="B4" s="3"/>
      <c r="C4" s="6" t="s">
        <v>75</v>
      </c>
      <c r="D4" s="6" t="s">
        <v>75</v>
      </c>
      <c r="E4" s="6" t="s">
        <v>75</v>
      </c>
      <c r="F4" s="6" t="s">
        <v>75</v>
      </c>
      <c r="G4" s="6" t="s">
        <v>75</v>
      </c>
      <c r="H4" s="6" t="s">
        <v>75</v>
      </c>
      <c r="I4" s="6" t="s">
        <v>75</v>
      </c>
      <c r="J4" s="6" t="s">
        <v>75</v>
      </c>
      <c r="K4" s="6" t="s">
        <v>75</v>
      </c>
      <c r="L4" s="6" t="s">
        <v>75</v>
      </c>
      <c r="M4" s="6" t="s">
        <v>75</v>
      </c>
      <c r="N4" s="6" t="s">
        <v>75</v>
      </c>
      <c r="O4" s="6" t="s">
        <v>75</v>
      </c>
      <c r="P4" s="6" t="s">
        <v>75</v>
      </c>
      <c r="Q4" s="6" t="s">
        <v>75</v>
      </c>
      <c r="R4" s="15" t="s">
        <v>76</v>
      </c>
      <c r="S4" s="15" t="s">
        <v>76</v>
      </c>
      <c r="T4" s="4" t="s">
        <v>77</v>
      </c>
      <c r="U4" s="4" t="s">
        <v>77</v>
      </c>
      <c r="V4" s="4" t="s">
        <v>77</v>
      </c>
      <c r="W4" s="4" t="s">
        <v>77</v>
      </c>
      <c r="X4" s="4" t="s">
        <v>77</v>
      </c>
      <c r="Y4" s="4" t="s">
        <v>77</v>
      </c>
      <c r="Z4" s="4" t="s">
        <v>77</v>
      </c>
      <c r="AA4" s="4" t="s">
        <v>77</v>
      </c>
      <c r="AB4" s="4" t="s">
        <v>77</v>
      </c>
      <c r="AC4" s="4" t="s">
        <v>77</v>
      </c>
      <c r="AD4" s="4" t="s">
        <v>77</v>
      </c>
      <c r="AE4" s="4" t="s">
        <v>77</v>
      </c>
      <c r="AF4" s="22" t="s">
        <v>76</v>
      </c>
      <c r="AG4" s="24" t="s">
        <v>77</v>
      </c>
      <c r="AH4" s="4" t="s">
        <v>77</v>
      </c>
      <c r="AI4" s="6" t="s">
        <v>75</v>
      </c>
      <c r="AJ4" s="25" t="s">
        <v>75</v>
      </c>
      <c r="AK4" s="6" t="s">
        <v>78</v>
      </c>
      <c r="AL4" s="6" t="s">
        <v>78</v>
      </c>
      <c r="AM4" s="6" t="s">
        <v>78</v>
      </c>
    </row>
    <row r="5" s="4" customFormat="1">
      <c r="A5" s="9" t="s">
        <v>79</v>
      </c>
      <c r="B5" s="9"/>
      <c r="C5" s="6" t="s">
        <v>79</v>
      </c>
      <c r="D5" s="6" t="s">
        <v>79</v>
      </c>
      <c r="E5" s="6" t="s">
        <v>79</v>
      </c>
      <c r="F5" s="6" t="s">
        <v>79</v>
      </c>
      <c r="G5" s="6" t="s">
        <v>79</v>
      </c>
      <c r="H5" s="6" t="s">
        <v>79</v>
      </c>
      <c r="I5" s="6" t="s">
        <v>79</v>
      </c>
      <c r="J5" s="6" t="s">
        <v>79</v>
      </c>
      <c r="K5" s="6" t="s">
        <v>79</v>
      </c>
      <c r="L5" s="6" t="s">
        <v>79</v>
      </c>
      <c r="M5" s="6" t="s">
        <v>79</v>
      </c>
      <c r="N5" s="6" t="s">
        <v>79</v>
      </c>
      <c r="O5" s="6" t="s">
        <v>79</v>
      </c>
      <c r="P5" s="6" t="s">
        <v>79</v>
      </c>
      <c r="Q5" s="6" t="s">
        <v>79</v>
      </c>
      <c r="R5" s="15" t="s">
        <v>79</v>
      </c>
      <c r="S5" s="15" t="s">
        <v>79</v>
      </c>
      <c r="T5" s="15" t="s">
        <v>79</v>
      </c>
      <c r="U5" s="15" t="s">
        <v>79</v>
      </c>
      <c r="V5" s="15" t="s">
        <v>79</v>
      </c>
      <c r="W5" s="15" t="s">
        <v>79</v>
      </c>
      <c r="X5" s="15" t="s">
        <v>79</v>
      </c>
      <c r="Y5" s="15" t="s">
        <v>79</v>
      </c>
      <c r="Z5" s="15" t="s">
        <v>79</v>
      </c>
      <c r="AA5" s="15" t="s">
        <v>79</v>
      </c>
      <c r="AB5" s="15" t="s">
        <v>79</v>
      </c>
      <c r="AC5" s="15" t="s">
        <v>79</v>
      </c>
      <c r="AD5" s="15" t="s">
        <v>79</v>
      </c>
      <c r="AE5" s="15" t="s">
        <v>79</v>
      </c>
      <c r="AF5" s="22" t="s">
        <v>79</v>
      </c>
      <c r="AG5" s="24" t="s">
        <v>79</v>
      </c>
      <c r="AH5" s="4" t="s">
        <v>79</v>
      </c>
      <c r="AI5" s="6" t="s">
        <v>79</v>
      </c>
      <c r="AJ5" s="25" t="s">
        <v>79</v>
      </c>
      <c r="AK5" s="25" t="s">
        <v>79</v>
      </c>
      <c r="AL5" s="25" t="s">
        <v>79</v>
      </c>
      <c r="AM5" s="25" t="s">
        <v>79</v>
      </c>
    </row>
    <row r="6" s="4" customFormat="1">
      <c r="A6" s="8" t="s">
        <v>39</v>
      </c>
      <c r="B6" s="8"/>
      <c r="C6" s="6" t="s">
        <v>80</v>
      </c>
      <c r="D6" s="6" t="s">
        <v>41</v>
      </c>
      <c r="E6" s="6" t="s">
        <v>42</v>
      </c>
      <c r="F6" s="6" t="s">
        <v>43</v>
      </c>
      <c r="G6" s="6" t="s">
        <v>44</v>
      </c>
      <c r="H6" s="6" t="s">
        <v>45</v>
      </c>
      <c r="I6" s="6" t="s">
        <v>46</v>
      </c>
      <c r="J6" s="6" t="s">
        <v>47</v>
      </c>
      <c r="K6" s="6" t="s">
        <v>48</v>
      </c>
      <c r="L6" s="6" t="s">
        <v>49</v>
      </c>
      <c r="M6" s="6" t="s">
        <v>50</v>
      </c>
      <c r="N6" s="6" t="s">
        <v>51</v>
      </c>
      <c r="O6" s="6" t="s">
        <v>52</v>
      </c>
      <c r="P6" s="6" t="s">
        <v>53</v>
      </c>
      <c r="Q6" s="6" t="s">
        <v>54</v>
      </c>
      <c r="R6" s="6" t="s">
        <v>55</v>
      </c>
      <c r="S6" s="6" t="s">
        <v>56</v>
      </c>
      <c r="T6" s="15" t="s">
        <v>57</v>
      </c>
      <c r="U6" s="15" t="s">
        <v>58</v>
      </c>
      <c r="V6" s="15" t="s">
        <v>59</v>
      </c>
      <c r="W6" s="6" t="s">
        <v>60</v>
      </c>
      <c r="X6" s="6" t="s">
        <v>61</v>
      </c>
      <c r="Y6" s="6" t="s">
        <v>62</v>
      </c>
      <c r="Z6" s="6" t="s">
        <v>63</v>
      </c>
      <c r="AA6" s="19" t="s">
        <v>64</v>
      </c>
      <c r="AB6" s="6" t="s">
        <v>65</v>
      </c>
      <c r="AC6" s="6" t="s">
        <v>66</v>
      </c>
      <c r="AD6" s="6" t="s">
        <v>67</v>
      </c>
      <c r="AE6" s="6" t="s">
        <v>68</v>
      </c>
      <c r="AF6" s="21" t="s">
        <v>69</v>
      </c>
      <c r="AG6" s="24" t="s">
        <v>70</v>
      </c>
      <c r="AH6" s="4" t="s">
        <v>71</v>
      </c>
      <c r="AI6" s="6" t="s">
        <v>81</v>
      </c>
      <c r="AJ6" s="25" t="s">
        <v>82</v>
      </c>
      <c r="AK6" s="6"/>
      <c r="AL6" s="6"/>
      <c r="AM6" s="6"/>
    </row>
    <row r="7">
      <c r="A7" s="10">
        <v>111001</v>
      </c>
      <c r="B7" s="10" t="s">
        <v>83</v>
      </c>
      <c r="T7" s="0">
        <v>626</v>
      </c>
      <c r="U7" s="0">
        <v>541</v>
      </c>
      <c r="V7" s="0">
        <v>765</v>
      </c>
      <c r="W7" s="16">
        <v>25</v>
      </c>
      <c r="X7" s="17">
        <v>0.0096</v>
      </c>
      <c r="Y7" s="0">
        <v>1.0096</v>
      </c>
      <c r="Z7" s="0">
        <v>1.0096</v>
      </c>
      <c r="AA7" s="0">
        <v>0.0024</v>
      </c>
      <c r="AB7" s="0">
        <v>1.5</v>
      </c>
      <c r="AC7" s="0">
        <v>0</v>
      </c>
      <c r="AD7" s="0">
        <v>0</v>
      </c>
      <c r="AE7" s="0">
        <v>0</v>
      </c>
      <c r="AG7" s="0">
        <v>0.5</v>
      </c>
      <c r="AI7" s="0">
        <v>20</v>
      </c>
      <c r="AJ7" s="0">
        <v>1</v>
      </c>
    </row>
    <row r="8">
      <c r="A8" s="10">
        <v>111002</v>
      </c>
      <c r="B8" s="10" t="s">
        <v>84</v>
      </c>
      <c r="T8" s="0">
        <v>500</v>
      </c>
      <c r="U8" s="0">
        <v>429</v>
      </c>
      <c r="V8" s="0">
        <v>685</v>
      </c>
      <c r="W8" s="16">
        <v>20</v>
      </c>
      <c r="X8" s="17">
        <v>0.012</v>
      </c>
      <c r="Y8" s="0">
        <v>1.006</v>
      </c>
      <c r="Z8" s="0">
        <v>1.006</v>
      </c>
      <c r="AA8" s="0">
        <v>0.006</v>
      </c>
      <c r="AB8" s="0">
        <v>1.5</v>
      </c>
      <c r="AC8" s="0">
        <v>0</v>
      </c>
      <c r="AD8" s="0">
        <v>0</v>
      </c>
      <c r="AE8" s="0">
        <v>0</v>
      </c>
      <c r="AG8" s="0">
        <v>0.5</v>
      </c>
      <c r="AI8" s="0">
        <v>20</v>
      </c>
      <c r="AJ8" s="0">
        <v>1</v>
      </c>
    </row>
    <row r="9">
      <c r="A9" s="10">
        <v>111003</v>
      </c>
      <c r="B9" s="10" t="s">
        <v>85</v>
      </c>
      <c r="T9" s="0">
        <v>1199</v>
      </c>
      <c r="U9" s="0">
        <v>1081</v>
      </c>
      <c r="V9" s="0">
        <v>1195</v>
      </c>
      <c r="W9" s="16">
        <v>50</v>
      </c>
      <c r="X9" s="17">
        <v>0</v>
      </c>
      <c r="Y9" s="0">
        <v>1.006</v>
      </c>
      <c r="Z9" s="0">
        <v>1.006</v>
      </c>
      <c r="AA9" s="0">
        <v>0.0064</v>
      </c>
      <c r="AB9" s="0">
        <v>1.56</v>
      </c>
      <c r="AC9" s="0">
        <v>0</v>
      </c>
      <c r="AD9" s="0">
        <v>0</v>
      </c>
      <c r="AE9" s="0">
        <v>0</v>
      </c>
      <c r="AG9" s="0">
        <v>0.5</v>
      </c>
      <c r="AI9" s="0">
        <v>20</v>
      </c>
      <c r="AJ9" s="0">
        <v>1</v>
      </c>
    </row>
    <row r="10">
      <c r="A10" s="10">
        <v>111004</v>
      </c>
      <c r="B10" s="10" t="s">
        <v>86</v>
      </c>
      <c r="T10" s="0">
        <v>1388</v>
      </c>
      <c r="U10" s="0">
        <v>1247</v>
      </c>
      <c r="V10" s="0">
        <v>1340</v>
      </c>
      <c r="W10" s="16">
        <v>56</v>
      </c>
      <c r="X10" s="17">
        <v>0</v>
      </c>
      <c r="Y10" s="0">
        <v>1.006</v>
      </c>
      <c r="Z10" s="0">
        <v>1.006</v>
      </c>
      <c r="AA10" s="0">
        <v>0.0064</v>
      </c>
      <c r="AB10" s="0">
        <v>1.56</v>
      </c>
      <c r="AC10" s="0">
        <v>0</v>
      </c>
      <c r="AD10" s="0">
        <v>0</v>
      </c>
      <c r="AE10" s="0">
        <v>0</v>
      </c>
      <c r="AG10" s="0">
        <v>0.5</v>
      </c>
      <c r="AI10" s="0">
        <v>20</v>
      </c>
      <c r="AJ10" s="0">
        <v>1</v>
      </c>
    </row>
    <row r="11">
      <c r="A11" s="10">
        <v>111005</v>
      </c>
      <c r="B11" s="10" t="s">
        <v>87</v>
      </c>
      <c r="T11" s="0">
        <v>761</v>
      </c>
      <c r="U11" s="0">
        <v>692</v>
      </c>
      <c r="V11" s="0">
        <v>879</v>
      </c>
      <c r="W11" s="16">
        <v>35</v>
      </c>
      <c r="X11" s="17">
        <v>0.0096</v>
      </c>
      <c r="Y11" s="0">
        <v>1.0024</v>
      </c>
      <c r="Z11" s="0">
        <v>1.0024</v>
      </c>
      <c r="AA11" s="0">
        <v>0.006</v>
      </c>
      <c r="AB11" s="0">
        <v>1.545</v>
      </c>
      <c r="AC11" s="0">
        <v>0</v>
      </c>
      <c r="AD11" s="0">
        <v>0</v>
      </c>
      <c r="AE11" s="0">
        <v>0</v>
      </c>
      <c r="AG11" s="0">
        <v>0.5</v>
      </c>
      <c r="AI11" s="0">
        <v>20</v>
      </c>
      <c r="AJ11" s="0">
        <v>1</v>
      </c>
    </row>
    <row r="12">
      <c r="A12" s="10">
        <v>111006</v>
      </c>
      <c r="B12" s="10" t="s">
        <v>88</v>
      </c>
      <c r="T12" s="0">
        <v>465</v>
      </c>
      <c r="U12" s="0">
        <v>429</v>
      </c>
      <c r="V12" s="0">
        <v>680</v>
      </c>
      <c r="W12" s="16">
        <v>18</v>
      </c>
      <c r="X12" s="17">
        <v>0.012</v>
      </c>
      <c r="Y12" s="0">
        <v>1.006</v>
      </c>
      <c r="Z12" s="0">
        <v>1.006</v>
      </c>
      <c r="AA12" s="0">
        <v>0.006</v>
      </c>
      <c r="AB12" s="0">
        <v>1.5</v>
      </c>
      <c r="AC12" s="0">
        <v>0</v>
      </c>
      <c r="AD12" s="0">
        <v>0</v>
      </c>
      <c r="AE12" s="0">
        <v>0</v>
      </c>
      <c r="AG12" s="0">
        <v>0.5</v>
      </c>
      <c r="AI12" s="0">
        <v>20</v>
      </c>
      <c r="AJ12" s="0">
        <v>1</v>
      </c>
    </row>
    <row r="13">
      <c r="A13" s="10">
        <v>111007</v>
      </c>
      <c r="B13" s="10" t="s">
        <v>89</v>
      </c>
      <c r="T13" s="0">
        <v>876</v>
      </c>
      <c r="U13" s="0">
        <v>764</v>
      </c>
      <c r="V13" s="0">
        <v>928</v>
      </c>
      <c r="W13" s="16">
        <v>26</v>
      </c>
      <c r="X13" s="17">
        <v>0.0096</v>
      </c>
      <c r="Y13" s="0">
        <v>1.0096</v>
      </c>
      <c r="Z13" s="0">
        <v>1.0096</v>
      </c>
      <c r="AA13" s="0">
        <v>0.0024</v>
      </c>
      <c r="AB13" s="0">
        <v>1.5</v>
      </c>
      <c r="AC13" s="0">
        <v>0</v>
      </c>
      <c r="AD13" s="0">
        <v>0</v>
      </c>
      <c r="AE13" s="0">
        <v>0</v>
      </c>
      <c r="AG13" s="0">
        <v>0.5</v>
      </c>
      <c r="AI13" s="0">
        <v>20</v>
      </c>
      <c r="AJ13" s="0">
        <v>1</v>
      </c>
    </row>
    <row r="14">
      <c r="A14" s="10">
        <v>111008</v>
      </c>
      <c r="B14" s="10" t="s">
        <v>90</v>
      </c>
      <c r="T14" s="0">
        <v>465</v>
      </c>
      <c r="U14" s="0">
        <v>397</v>
      </c>
      <c r="V14" s="0">
        <v>659</v>
      </c>
      <c r="W14" s="16">
        <v>17</v>
      </c>
      <c r="X14" s="17">
        <v>0.012</v>
      </c>
      <c r="Y14" s="0">
        <v>1.006</v>
      </c>
      <c r="Z14" s="0">
        <v>1.006</v>
      </c>
      <c r="AA14" s="0">
        <v>0.006</v>
      </c>
      <c r="AB14" s="0">
        <v>1.5</v>
      </c>
      <c r="AC14" s="0">
        <v>0</v>
      </c>
      <c r="AD14" s="0">
        <v>0</v>
      </c>
      <c r="AE14" s="0">
        <v>0</v>
      </c>
      <c r="AG14" s="0">
        <v>0.5</v>
      </c>
      <c r="AI14" s="0">
        <v>20</v>
      </c>
      <c r="AJ14" s="0">
        <v>1</v>
      </c>
    </row>
    <row r="15">
      <c r="A15" s="10">
        <v>111009</v>
      </c>
      <c r="B15" s="10" t="s">
        <v>91</v>
      </c>
      <c r="T15" s="0">
        <v>581</v>
      </c>
      <c r="U15" s="0">
        <v>501</v>
      </c>
      <c r="V15" s="0">
        <v>734</v>
      </c>
      <c r="W15" s="16">
        <v>24</v>
      </c>
      <c r="X15" s="17">
        <v>0.006</v>
      </c>
      <c r="Y15" s="0">
        <v>1.012</v>
      </c>
      <c r="Z15" s="0">
        <v>1.012</v>
      </c>
      <c r="AA15" s="0">
        <v>0</v>
      </c>
      <c r="AB15" s="0">
        <v>1.5</v>
      </c>
      <c r="AC15" s="0">
        <v>0</v>
      </c>
      <c r="AD15" s="0">
        <v>0</v>
      </c>
      <c r="AE15" s="0">
        <v>0</v>
      </c>
      <c r="AG15" s="0">
        <v>0.5</v>
      </c>
      <c r="AI15" s="0">
        <v>20</v>
      </c>
      <c r="AJ15" s="0">
        <v>1</v>
      </c>
    </row>
    <row r="16">
      <c r="A16" s="10">
        <v>111010</v>
      </c>
      <c r="B16" s="10" t="s">
        <v>92</v>
      </c>
      <c r="T16" s="0">
        <v>509</v>
      </c>
      <c r="U16" s="0">
        <v>436</v>
      </c>
      <c r="V16" s="0">
        <v>702</v>
      </c>
      <c r="W16" s="16">
        <v>22</v>
      </c>
      <c r="X16" s="17">
        <v>0.012</v>
      </c>
      <c r="Y16" s="0">
        <v>1.006</v>
      </c>
      <c r="Z16" s="0">
        <v>1.006</v>
      </c>
      <c r="AA16" s="0">
        <v>0.006</v>
      </c>
      <c r="AB16" s="0">
        <v>1.5</v>
      </c>
      <c r="AC16" s="0">
        <v>0</v>
      </c>
      <c r="AD16" s="0">
        <v>0</v>
      </c>
      <c r="AE16" s="0">
        <v>0</v>
      </c>
      <c r="AG16" s="0">
        <v>0.5</v>
      </c>
      <c r="AI16" s="0">
        <v>20</v>
      </c>
      <c r="AJ16" s="0">
        <v>1</v>
      </c>
    </row>
    <row r="17">
      <c r="A17" s="10">
        <v>111011</v>
      </c>
      <c r="B17" s="10" t="s">
        <v>93</v>
      </c>
      <c r="T17" s="0">
        <v>779</v>
      </c>
      <c r="U17" s="0">
        <v>709</v>
      </c>
      <c r="V17" s="0">
        <v>883</v>
      </c>
      <c r="W17" s="16">
        <v>36</v>
      </c>
      <c r="X17" s="17">
        <v>0.0096</v>
      </c>
      <c r="Y17" s="0">
        <v>1.0024</v>
      </c>
      <c r="Z17" s="0">
        <v>1.0024</v>
      </c>
      <c r="AA17" s="0">
        <v>0.006</v>
      </c>
      <c r="AB17" s="0">
        <v>1.545</v>
      </c>
      <c r="AC17" s="0">
        <v>0</v>
      </c>
      <c r="AD17" s="0">
        <v>0</v>
      </c>
      <c r="AE17" s="0">
        <v>0</v>
      </c>
      <c r="AG17" s="0">
        <v>0.5</v>
      </c>
      <c r="AI17" s="0">
        <v>20</v>
      </c>
      <c r="AJ17" s="0">
        <v>1</v>
      </c>
    </row>
    <row r="18">
      <c r="A18" s="10">
        <v>111012</v>
      </c>
      <c r="B18" s="10" t="s">
        <v>94</v>
      </c>
      <c r="T18" s="0">
        <v>1002</v>
      </c>
      <c r="U18" s="0">
        <v>874</v>
      </c>
      <c r="V18" s="0">
        <v>1040</v>
      </c>
      <c r="W18" s="16">
        <v>29</v>
      </c>
      <c r="X18" s="17">
        <v>0</v>
      </c>
      <c r="Y18" s="0">
        <v>1.0096</v>
      </c>
      <c r="Z18" s="0">
        <v>1.0096</v>
      </c>
      <c r="AA18" s="0">
        <v>0</v>
      </c>
      <c r="AB18" s="0">
        <v>1.542</v>
      </c>
      <c r="AC18" s="0">
        <v>0</v>
      </c>
      <c r="AD18" s="0">
        <v>0</v>
      </c>
      <c r="AE18" s="0">
        <v>0</v>
      </c>
      <c r="AG18" s="0">
        <v>0.5</v>
      </c>
      <c r="AI18" s="0">
        <v>20</v>
      </c>
      <c r="AJ18" s="0">
        <v>1</v>
      </c>
    </row>
    <row r="19">
      <c r="A19" s="10">
        <v>111013</v>
      </c>
      <c r="B19" s="10" t="s">
        <v>95</v>
      </c>
      <c r="T19" s="0">
        <v>500</v>
      </c>
      <c r="U19" s="0">
        <v>429</v>
      </c>
      <c r="V19" s="0">
        <v>688</v>
      </c>
      <c r="W19" s="16">
        <v>16</v>
      </c>
      <c r="X19" s="17">
        <v>0.012</v>
      </c>
      <c r="Y19" s="0">
        <v>1.006</v>
      </c>
      <c r="Z19" s="0">
        <v>1.006</v>
      </c>
      <c r="AA19" s="0">
        <v>0.006</v>
      </c>
      <c r="AB19" s="0">
        <v>1.5</v>
      </c>
      <c r="AC19" s="0">
        <v>0</v>
      </c>
      <c r="AD19" s="0">
        <v>0</v>
      </c>
      <c r="AE19" s="0">
        <v>0</v>
      </c>
      <c r="AG19" s="0">
        <v>0.5</v>
      </c>
      <c r="AI19" s="0">
        <v>20</v>
      </c>
      <c r="AJ19" s="0">
        <v>1</v>
      </c>
    </row>
    <row r="20">
      <c r="A20" s="10">
        <v>111014</v>
      </c>
      <c r="B20" s="10" t="s">
        <v>96</v>
      </c>
      <c r="T20" s="0">
        <v>1092</v>
      </c>
      <c r="U20" s="0">
        <v>985</v>
      </c>
      <c r="V20" s="0">
        <v>1128</v>
      </c>
      <c r="W20" s="16">
        <v>40</v>
      </c>
      <c r="X20" s="17">
        <v>0</v>
      </c>
      <c r="Y20" s="0">
        <v>1.0096</v>
      </c>
      <c r="Z20" s="0">
        <v>1.0096</v>
      </c>
      <c r="AA20" s="0">
        <v>0</v>
      </c>
      <c r="AB20" s="0">
        <v>1.542</v>
      </c>
      <c r="AC20" s="0">
        <v>0</v>
      </c>
      <c r="AD20" s="0">
        <v>0</v>
      </c>
      <c r="AE20" s="0">
        <v>0</v>
      </c>
      <c r="AG20" s="0">
        <v>0.5</v>
      </c>
      <c r="AI20" s="0">
        <v>20</v>
      </c>
      <c r="AJ20" s="0">
        <v>1</v>
      </c>
    </row>
    <row r="21">
      <c r="A21" s="10">
        <v>111015</v>
      </c>
      <c r="B21" s="10" t="s">
        <v>97</v>
      </c>
      <c r="T21" s="0">
        <v>747</v>
      </c>
      <c r="U21" s="0">
        <v>693</v>
      </c>
      <c r="V21" s="0">
        <v>897</v>
      </c>
      <c r="W21" s="16">
        <v>23</v>
      </c>
      <c r="X21" s="17">
        <v>0.0096</v>
      </c>
      <c r="Y21" s="0">
        <v>1.0024</v>
      </c>
      <c r="Z21" s="0">
        <v>1.0024</v>
      </c>
      <c r="AA21" s="0">
        <v>0.006</v>
      </c>
      <c r="AB21" s="0">
        <v>1.545</v>
      </c>
      <c r="AC21" s="0">
        <v>0</v>
      </c>
      <c r="AD21" s="0">
        <v>0</v>
      </c>
      <c r="AE21" s="0">
        <v>0</v>
      </c>
      <c r="AG21" s="0">
        <v>0.5</v>
      </c>
      <c r="AI21" s="0">
        <v>20</v>
      </c>
      <c r="AJ21" s="0">
        <v>1</v>
      </c>
    </row>
    <row r="22">
      <c r="A22" s="10">
        <v>111018</v>
      </c>
      <c r="B22" s="10" t="s">
        <v>98</v>
      </c>
      <c r="T22" s="0">
        <v>684</v>
      </c>
      <c r="U22" s="0">
        <v>579</v>
      </c>
      <c r="V22" s="0">
        <v>779</v>
      </c>
      <c r="W22" s="16">
        <v>30</v>
      </c>
      <c r="X22" s="17">
        <v>0.012</v>
      </c>
      <c r="Y22" s="0">
        <v>1.006</v>
      </c>
      <c r="Z22" s="0">
        <v>1.006</v>
      </c>
      <c r="AA22" s="0">
        <v>0.006</v>
      </c>
      <c r="AB22" s="0">
        <v>1.5</v>
      </c>
      <c r="AC22" s="0">
        <v>0</v>
      </c>
      <c r="AD22" s="0">
        <v>0</v>
      </c>
      <c r="AE22" s="0">
        <v>0</v>
      </c>
      <c r="AG22" s="0">
        <v>0.5</v>
      </c>
      <c r="AI22" s="0">
        <v>20</v>
      </c>
      <c r="AJ22" s="0">
        <v>1</v>
      </c>
    </row>
    <row r="23">
      <c r="A23" s="11">
        <v>112001</v>
      </c>
      <c r="B23" s="11" t="s">
        <v>99</v>
      </c>
      <c r="T23" s="0">
        <v>697</v>
      </c>
      <c r="U23" s="0">
        <v>615</v>
      </c>
      <c r="V23" s="0">
        <v>914</v>
      </c>
      <c r="W23" s="16">
        <v>45</v>
      </c>
      <c r="X23" s="17">
        <v>0.016</v>
      </c>
      <c r="Y23" s="0">
        <v>1.008</v>
      </c>
      <c r="Z23" s="0">
        <v>1.008</v>
      </c>
      <c r="AA23" s="0">
        <v>0.008</v>
      </c>
      <c r="AB23" s="0">
        <v>1.5</v>
      </c>
      <c r="AC23" s="0">
        <v>0</v>
      </c>
      <c r="AD23" s="0">
        <v>0</v>
      </c>
      <c r="AE23" s="0">
        <v>0</v>
      </c>
      <c r="AG23" s="0">
        <v>0.5</v>
      </c>
      <c r="AI23" s="0">
        <v>20</v>
      </c>
      <c r="AJ23" s="0">
        <v>1</v>
      </c>
    </row>
    <row r="24">
      <c r="A24" s="11">
        <v>112002</v>
      </c>
      <c r="B24" s="11" t="s">
        <v>100</v>
      </c>
      <c r="T24" s="0">
        <v>1015</v>
      </c>
      <c r="U24" s="0">
        <v>900</v>
      </c>
      <c r="V24" s="0">
        <v>1164</v>
      </c>
      <c r="W24" s="16">
        <v>55</v>
      </c>
      <c r="X24" s="17">
        <v>0.008</v>
      </c>
      <c r="Y24" s="0">
        <v>1.016</v>
      </c>
      <c r="Z24" s="0">
        <v>1.016</v>
      </c>
      <c r="AA24" s="0">
        <v>0</v>
      </c>
      <c r="AB24" s="0">
        <v>1.5</v>
      </c>
      <c r="AC24" s="0">
        <v>0</v>
      </c>
      <c r="AD24" s="0">
        <v>0</v>
      </c>
      <c r="AE24" s="0">
        <v>0</v>
      </c>
      <c r="AG24" s="0">
        <v>0.5</v>
      </c>
      <c r="AI24" s="0">
        <v>20</v>
      </c>
      <c r="AJ24" s="0">
        <v>1</v>
      </c>
    </row>
    <row r="25">
      <c r="A25" s="11">
        <v>112003</v>
      </c>
      <c r="B25" s="11" t="s">
        <v>101</v>
      </c>
      <c r="T25" s="0">
        <v>1307</v>
      </c>
      <c r="U25" s="0">
        <v>1164</v>
      </c>
      <c r="V25" s="0">
        <v>1352</v>
      </c>
      <c r="W25" s="16">
        <v>60</v>
      </c>
      <c r="X25" s="17">
        <v>0</v>
      </c>
      <c r="Y25" s="0">
        <v>1.0128</v>
      </c>
      <c r="Z25" s="0">
        <v>1.0128</v>
      </c>
      <c r="AA25" s="0">
        <v>0</v>
      </c>
      <c r="AB25" s="0">
        <v>1.556</v>
      </c>
      <c r="AC25" s="0">
        <v>0</v>
      </c>
      <c r="AD25" s="0">
        <v>0</v>
      </c>
      <c r="AE25" s="0">
        <v>0</v>
      </c>
      <c r="AG25" s="0">
        <v>0.5</v>
      </c>
      <c r="AI25" s="0">
        <v>20</v>
      </c>
      <c r="AJ25" s="0">
        <v>1</v>
      </c>
    </row>
    <row r="26">
      <c r="A26" s="11">
        <v>112004</v>
      </c>
      <c r="B26" s="11" t="s">
        <v>102</v>
      </c>
      <c r="T26" s="0">
        <v>1545</v>
      </c>
      <c r="U26" s="0">
        <v>1411</v>
      </c>
      <c r="V26" s="0">
        <v>1556</v>
      </c>
      <c r="W26" s="16">
        <v>90</v>
      </c>
      <c r="X26" s="17">
        <v>0</v>
      </c>
      <c r="Y26" s="0">
        <v>1.016</v>
      </c>
      <c r="Z26" s="0">
        <v>1.016</v>
      </c>
      <c r="AA26" s="0">
        <v>0.0048</v>
      </c>
      <c r="AB26" s="0">
        <v>1.5</v>
      </c>
      <c r="AC26" s="0">
        <v>0</v>
      </c>
      <c r="AD26" s="0">
        <v>0</v>
      </c>
      <c r="AE26" s="0">
        <v>0</v>
      </c>
      <c r="AG26" s="0">
        <v>0.5</v>
      </c>
      <c r="AI26" s="0">
        <v>20</v>
      </c>
      <c r="AJ26" s="0">
        <v>1</v>
      </c>
    </row>
    <row r="27">
      <c r="A27" s="11">
        <v>112005</v>
      </c>
      <c r="B27" s="11" t="s">
        <v>103</v>
      </c>
      <c r="T27" s="0">
        <v>1793</v>
      </c>
      <c r="U27" s="0">
        <v>1633</v>
      </c>
      <c r="V27" s="0">
        <v>1748</v>
      </c>
      <c r="W27" s="16">
        <v>105</v>
      </c>
      <c r="X27" s="17">
        <v>0</v>
      </c>
      <c r="Y27" s="0">
        <v>1.008</v>
      </c>
      <c r="Z27" s="0">
        <v>1.008</v>
      </c>
      <c r="AA27" s="0">
        <v>0.0102</v>
      </c>
      <c r="AB27" s="0">
        <v>1.58</v>
      </c>
      <c r="AC27" s="0">
        <v>0</v>
      </c>
      <c r="AD27" s="0">
        <v>0</v>
      </c>
      <c r="AE27" s="0">
        <v>0</v>
      </c>
      <c r="AG27" s="0">
        <v>0.5</v>
      </c>
      <c r="AI27" s="0">
        <v>20</v>
      </c>
      <c r="AJ27" s="0">
        <v>1</v>
      </c>
    </row>
    <row r="28">
      <c r="A28" s="11">
        <v>112006</v>
      </c>
      <c r="B28" s="11" t="s">
        <v>104</v>
      </c>
      <c r="T28" s="0">
        <v>927</v>
      </c>
      <c r="U28" s="0">
        <v>854</v>
      </c>
      <c r="V28" s="0">
        <v>1096</v>
      </c>
      <c r="W28" s="16">
        <v>60</v>
      </c>
      <c r="X28" s="17">
        <v>0.0128</v>
      </c>
      <c r="Y28" s="0">
        <v>1.0032</v>
      </c>
      <c r="Z28" s="0">
        <v>1.0032</v>
      </c>
      <c r="AA28" s="0">
        <v>0.008</v>
      </c>
      <c r="AB28" s="0">
        <v>1.56</v>
      </c>
      <c r="AC28" s="0">
        <v>0</v>
      </c>
      <c r="AD28" s="0">
        <v>0</v>
      </c>
      <c r="AE28" s="0">
        <v>0</v>
      </c>
      <c r="AG28" s="0">
        <v>0.5</v>
      </c>
      <c r="AI28" s="0">
        <v>20</v>
      </c>
      <c r="AJ28" s="0">
        <v>1</v>
      </c>
    </row>
    <row r="29">
      <c r="A29" s="11">
        <v>112007</v>
      </c>
      <c r="B29" s="11" t="s">
        <v>105</v>
      </c>
      <c r="T29" s="0">
        <v>1245</v>
      </c>
      <c r="U29" s="0">
        <v>1142</v>
      </c>
      <c r="V29" s="0">
        <v>1315</v>
      </c>
      <c r="W29" s="16">
        <v>50</v>
      </c>
      <c r="X29" s="17">
        <v>0</v>
      </c>
      <c r="Y29" s="0">
        <v>1.0128</v>
      </c>
      <c r="Z29" s="0">
        <v>1.0128</v>
      </c>
      <c r="AA29" s="0">
        <v>0</v>
      </c>
      <c r="AB29" s="0">
        <v>1.556</v>
      </c>
      <c r="AC29" s="0">
        <v>0</v>
      </c>
      <c r="AD29" s="0">
        <v>0</v>
      </c>
      <c r="AE29" s="0">
        <v>0</v>
      </c>
      <c r="AG29" s="0">
        <v>0.5</v>
      </c>
      <c r="AI29" s="0">
        <v>20</v>
      </c>
      <c r="AJ29" s="0">
        <v>1</v>
      </c>
    </row>
    <row r="30">
      <c r="A30" s="11">
        <v>112008</v>
      </c>
      <c r="B30" s="11" t="s">
        <v>106</v>
      </c>
      <c r="T30" s="0">
        <v>592</v>
      </c>
      <c r="U30" s="0">
        <v>519</v>
      </c>
      <c r="V30" s="0">
        <v>836</v>
      </c>
      <c r="W30" s="16">
        <v>40</v>
      </c>
      <c r="X30" s="17">
        <v>0.016</v>
      </c>
      <c r="Y30" s="0">
        <v>1.008</v>
      </c>
      <c r="Z30" s="0">
        <v>1.008</v>
      </c>
      <c r="AA30" s="0">
        <v>0.008</v>
      </c>
      <c r="AB30" s="0">
        <v>1.5</v>
      </c>
      <c r="AC30" s="0">
        <v>0</v>
      </c>
      <c r="AD30" s="0">
        <v>0</v>
      </c>
      <c r="AE30" s="0">
        <v>0</v>
      </c>
      <c r="AG30" s="0">
        <v>0.5</v>
      </c>
      <c r="AI30" s="0">
        <v>20</v>
      </c>
      <c r="AJ30" s="0">
        <v>1</v>
      </c>
    </row>
    <row r="31">
      <c r="A31" s="11">
        <v>112009</v>
      </c>
      <c r="B31" s="11" t="s">
        <v>107</v>
      </c>
      <c r="T31" s="0">
        <v>1678</v>
      </c>
      <c r="U31" s="0">
        <v>1529</v>
      </c>
      <c r="V31" s="0">
        <v>1665</v>
      </c>
      <c r="W31" s="16">
        <v>100</v>
      </c>
      <c r="X31" s="17">
        <v>0.0048</v>
      </c>
      <c r="Y31" s="0">
        <v>1</v>
      </c>
      <c r="Z31" s="0">
        <v>1</v>
      </c>
      <c r="AA31" s="0">
        <v>0.023</v>
      </c>
      <c r="AB31" s="0">
        <v>1.54</v>
      </c>
      <c r="AC31" s="0">
        <v>0</v>
      </c>
      <c r="AD31" s="0">
        <v>0</v>
      </c>
      <c r="AE31" s="0">
        <v>0</v>
      </c>
      <c r="AG31" s="0">
        <v>0.5</v>
      </c>
      <c r="AI31" s="0">
        <v>20</v>
      </c>
      <c r="AJ31" s="0">
        <v>1</v>
      </c>
    </row>
    <row r="32">
      <c r="A32" s="11">
        <v>112010</v>
      </c>
      <c r="B32" s="11" t="s">
        <v>108</v>
      </c>
      <c r="T32" s="0">
        <v>1608</v>
      </c>
      <c r="U32" s="0">
        <v>1465</v>
      </c>
      <c r="V32" s="0">
        <v>1622</v>
      </c>
      <c r="W32" s="16">
        <v>95</v>
      </c>
      <c r="X32" s="17">
        <v>0.0048</v>
      </c>
      <c r="Y32" s="0">
        <v>1</v>
      </c>
      <c r="Z32" s="0">
        <v>1</v>
      </c>
      <c r="AA32" s="0">
        <v>0.023</v>
      </c>
      <c r="AB32" s="0">
        <v>1.54</v>
      </c>
      <c r="AC32" s="0">
        <v>0</v>
      </c>
      <c r="AD32" s="0">
        <v>0</v>
      </c>
      <c r="AE32" s="0">
        <v>0</v>
      </c>
      <c r="AG32" s="0">
        <v>0.5</v>
      </c>
      <c r="AI32" s="0">
        <v>20</v>
      </c>
      <c r="AJ32" s="0">
        <v>1</v>
      </c>
    </row>
    <row r="33">
      <c r="A33" s="11">
        <v>112011</v>
      </c>
      <c r="B33" s="11" t="s">
        <v>109</v>
      </c>
      <c r="T33" s="0">
        <v>945</v>
      </c>
      <c r="U33" s="0">
        <v>838</v>
      </c>
      <c r="V33" s="0">
        <v>1083</v>
      </c>
      <c r="W33" s="16">
        <v>54</v>
      </c>
      <c r="X33" s="17">
        <v>0.0128</v>
      </c>
      <c r="Y33" s="0">
        <v>1.0128</v>
      </c>
      <c r="Z33" s="0">
        <v>1.0128</v>
      </c>
      <c r="AA33" s="0">
        <v>0.0032</v>
      </c>
      <c r="AB33" s="0">
        <v>1.5</v>
      </c>
      <c r="AC33" s="0">
        <v>0</v>
      </c>
      <c r="AD33" s="0">
        <v>0</v>
      </c>
      <c r="AE33" s="0">
        <v>0</v>
      </c>
      <c r="AG33" s="0">
        <v>0.5</v>
      </c>
      <c r="AI33" s="0">
        <v>20</v>
      </c>
      <c r="AJ33" s="0">
        <v>1</v>
      </c>
    </row>
    <row r="34">
      <c r="A34" s="11">
        <v>112012</v>
      </c>
      <c r="B34" s="11" t="s">
        <v>110</v>
      </c>
      <c r="T34" s="0">
        <v>1015</v>
      </c>
      <c r="U34" s="0">
        <v>902</v>
      </c>
      <c r="V34" s="0">
        <v>1130</v>
      </c>
      <c r="W34" s="16">
        <v>53</v>
      </c>
      <c r="X34" s="17">
        <v>0.008</v>
      </c>
      <c r="Y34" s="0">
        <v>1.016</v>
      </c>
      <c r="Z34" s="0">
        <v>1.016</v>
      </c>
      <c r="AA34" s="0">
        <v>0</v>
      </c>
      <c r="AB34" s="0">
        <v>1.5</v>
      </c>
      <c r="AC34" s="0">
        <v>0</v>
      </c>
      <c r="AD34" s="0">
        <v>0</v>
      </c>
      <c r="AE34" s="0">
        <v>0</v>
      </c>
      <c r="AG34" s="0">
        <v>0.5</v>
      </c>
      <c r="AI34" s="0">
        <v>20</v>
      </c>
      <c r="AJ34" s="0">
        <v>1</v>
      </c>
    </row>
    <row r="35">
      <c r="A35" s="11">
        <v>112013</v>
      </c>
      <c r="B35" s="11" t="s">
        <v>111</v>
      </c>
      <c r="T35" s="0">
        <v>989</v>
      </c>
      <c r="U35" s="0">
        <v>880</v>
      </c>
      <c r="V35" s="0">
        <v>1085</v>
      </c>
      <c r="W35" s="16">
        <v>50</v>
      </c>
      <c r="X35" s="17">
        <v>0.016</v>
      </c>
      <c r="Y35" s="0">
        <v>1.008</v>
      </c>
      <c r="Z35" s="0">
        <v>1.008</v>
      </c>
      <c r="AA35" s="0">
        <v>0.008</v>
      </c>
      <c r="AB35" s="0">
        <v>1.5</v>
      </c>
      <c r="AC35" s="0">
        <v>0</v>
      </c>
      <c r="AD35" s="0">
        <v>0</v>
      </c>
      <c r="AE35" s="0">
        <v>0</v>
      </c>
      <c r="AG35" s="0">
        <v>0.5</v>
      </c>
      <c r="AI35" s="0">
        <v>20</v>
      </c>
      <c r="AJ35" s="0">
        <v>1</v>
      </c>
    </row>
    <row r="36">
      <c r="A36" s="11">
        <v>112014</v>
      </c>
      <c r="B36" s="11" t="s">
        <v>112</v>
      </c>
      <c r="T36" s="0">
        <v>1678</v>
      </c>
      <c r="U36" s="0">
        <v>1530</v>
      </c>
      <c r="V36" s="0">
        <v>1658</v>
      </c>
      <c r="W36" s="16">
        <v>90</v>
      </c>
      <c r="X36" s="17">
        <v>0</v>
      </c>
      <c r="Y36" s="0">
        <v>1.008</v>
      </c>
      <c r="Z36" s="0">
        <v>1.008</v>
      </c>
      <c r="AA36" s="0">
        <v>0.0102</v>
      </c>
      <c r="AB36" s="0">
        <v>1.58</v>
      </c>
      <c r="AC36" s="0">
        <v>0</v>
      </c>
      <c r="AD36" s="0">
        <v>0</v>
      </c>
      <c r="AE36" s="0">
        <v>0</v>
      </c>
      <c r="AG36" s="0">
        <v>0.5</v>
      </c>
      <c r="AI36" s="0">
        <v>20</v>
      </c>
      <c r="AJ36" s="0">
        <v>1</v>
      </c>
    </row>
    <row r="37">
      <c r="A37" s="11">
        <v>112015</v>
      </c>
      <c r="B37" s="11" t="s">
        <v>113</v>
      </c>
      <c r="T37" s="0">
        <v>592</v>
      </c>
      <c r="U37" s="0">
        <v>520</v>
      </c>
      <c r="V37" s="0">
        <v>822</v>
      </c>
      <c r="W37" s="16">
        <v>41</v>
      </c>
      <c r="X37" s="17">
        <v>0.0128</v>
      </c>
      <c r="Y37" s="0">
        <v>1.0032</v>
      </c>
      <c r="Z37" s="0">
        <v>1.0032</v>
      </c>
      <c r="AA37" s="0">
        <v>0.008</v>
      </c>
      <c r="AB37" s="0">
        <v>1.56</v>
      </c>
      <c r="AC37" s="0">
        <v>0</v>
      </c>
      <c r="AD37" s="0">
        <v>0</v>
      </c>
      <c r="AE37" s="0">
        <v>0</v>
      </c>
      <c r="AG37" s="0">
        <v>0.5</v>
      </c>
      <c r="AI37" s="0">
        <v>20</v>
      </c>
      <c r="AJ37" s="0">
        <v>1</v>
      </c>
    </row>
    <row r="38">
      <c r="A38" s="11">
        <v>112016</v>
      </c>
      <c r="B38" s="11" t="s">
        <v>114</v>
      </c>
      <c r="T38" s="0">
        <v>1740</v>
      </c>
      <c r="U38" s="0">
        <v>1586</v>
      </c>
      <c r="V38" s="0">
        <v>1697</v>
      </c>
      <c r="W38" s="16">
        <v>84</v>
      </c>
      <c r="X38" s="17">
        <v>0</v>
      </c>
      <c r="Y38" s="0">
        <v>1.008</v>
      </c>
      <c r="Z38" s="0">
        <v>1.008</v>
      </c>
      <c r="AA38" s="0">
        <v>0.0102</v>
      </c>
      <c r="AB38" s="0">
        <v>1.58</v>
      </c>
      <c r="AC38" s="0">
        <v>0</v>
      </c>
      <c r="AD38" s="0">
        <v>0</v>
      </c>
      <c r="AE38" s="0">
        <v>0</v>
      </c>
      <c r="AG38" s="0">
        <v>0.5</v>
      </c>
      <c r="AI38" s="0">
        <v>20</v>
      </c>
      <c r="AJ38" s="0">
        <v>1</v>
      </c>
    </row>
    <row r="39">
      <c r="A39" s="11">
        <v>112017</v>
      </c>
      <c r="B39" s="11" t="s">
        <v>115</v>
      </c>
      <c r="T39" s="0">
        <v>1820</v>
      </c>
      <c r="U39" s="0">
        <v>1655</v>
      </c>
      <c r="V39" s="0">
        <v>1786</v>
      </c>
      <c r="W39" s="16">
        <v>98</v>
      </c>
      <c r="X39" s="17">
        <v>0</v>
      </c>
      <c r="Y39" s="0">
        <v>1.008</v>
      </c>
      <c r="Z39" s="0">
        <v>1.008</v>
      </c>
      <c r="AA39" s="0">
        <v>0.0102</v>
      </c>
      <c r="AB39" s="0">
        <v>1.58</v>
      </c>
      <c r="AC39" s="0">
        <v>0</v>
      </c>
      <c r="AD39" s="0">
        <v>0</v>
      </c>
      <c r="AE39" s="0">
        <v>0</v>
      </c>
      <c r="AG39" s="0">
        <v>0.5</v>
      </c>
      <c r="AI39" s="0">
        <v>20</v>
      </c>
      <c r="AJ39" s="0">
        <v>1</v>
      </c>
    </row>
    <row r="40">
      <c r="A40" s="11">
        <v>112019</v>
      </c>
      <c r="B40" s="11" t="s">
        <v>116</v>
      </c>
      <c r="T40" s="0">
        <v>680</v>
      </c>
      <c r="U40" s="0">
        <v>598</v>
      </c>
      <c r="V40" s="0">
        <v>909</v>
      </c>
      <c r="W40" s="16">
        <v>42</v>
      </c>
      <c r="X40" s="17">
        <v>0.016</v>
      </c>
      <c r="Y40" s="0">
        <v>1.008</v>
      </c>
      <c r="Z40" s="0">
        <v>1.008</v>
      </c>
      <c r="AA40" s="0">
        <v>0.008</v>
      </c>
      <c r="AB40" s="0">
        <v>1.5</v>
      </c>
      <c r="AC40" s="0">
        <v>0</v>
      </c>
      <c r="AD40" s="0">
        <v>0</v>
      </c>
      <c r="AE40" s="0">
        <v>0</v>
      </c>
      <c r="AG40" s="0">
        <v>0.5</v>
      </c>
      <c r="AI40" s="0">
        <v>20</v>
      </c>
      <c r="AJ40" s="0">
        <v>1</v>
      </c>
    </row>
    <row r="41">
      <c r="A41" s="11">
        <v>112020</v>
      </c>
      <c r="B41" s="11" t="s">
        <v>117</v>
      </c>
      <c r="T41" s="0">
        <v>980</v>
      </c>
      <c r="U41" s="0">
        <v>902</v>
      </c>
      <c r="V41" s="0">
        <v>1130</v>
      </c>
      <c r="W41" s="16">
        <v>70</v>
      </c>
      <c r="X41" s="17">
        <v>0.0128</v>
      </c>
      <c r="Y41" s="0">
        <v>1.0032</v>
      </c>
      <c r="Z41" s="0">
        <v>1.0032</v>
      </c>
      <c r="AA41" s="0">
        <v>0.008</v>
      </c>
      <c r="AB41" s="0">
        <v>1.56</v>
      </c>
      <c r="AC41" s="0">
        <v>0</v>
      </c>
      <c r="AD41" s="0">
        <v>0</v>
      </c>
      <c r="AE41" s="0">
        <v>0</v>
      </c>
      <c r="AG41" s="0">
        <v>0.5</v>
      </c>
      <c r="AI41" s="0">
        <v>20</v>
      </c>
      <c r="AJ41" s="0">
        <v>1</v>
      </c>
    </row>
    <row r="42">
      <c r="A42" s="11">
        <v>112021</v>
      </c>
      <c r="B42" s="11" t="s">
        <v>118</v>
      </c>
      <c r="T42" s="0">
        <v>935</v>
      </c>
      <c r="U42" s="0">
        <v>829</v>
      </c>
      <c r="V42" s="0">
        <v>1099</v>
      </c>
      <c r="W42" s="16">
        <v>60</v>
      </c>
      <c r="X42" s="17">
        <v>0</v>
      </c>
      <c r="Y42" s="0">
        <v>1</v>
      </c>
      <c r="Z42" s="0">
        <v>1</v>
      </c>
      <c r="AA42" s="0">
        <v>0</v>
      </c>
      <c r="AB42" s="0">
        <v>1.58</v>
      </c>
      <c r="AC42" s="0">
        <v>0</v>
      </c>
      <c r="AD42" s="0">
        <v>0</v>
      </c>
      <c r="AE42" s="0">
        <v>0</v>
      </c>
      <c r="AG42" s="0">
        <v>0.5</v>
      </c>
      <c r="AI42" s="0">
        <v>20</v>
      </c>
      <c r="AJ42" s="0">
        <v>1</v>
      </c>
    </row>
    <row r="43">
      <c r="A43" s="11">
        <v>112023</v>
      </c>
      <c r="B43" s="11" t="s">
        <v>119</v>
      </c>
      <c r="T43" s="0">
        <v>1404</v>
      </c>
      <c r="U43" s="0">
        <v>1284</v>
      </c>
      <c r="V43" s="0">
        <v>1445</v>
      </c>
      <c r="W43" s="16">
        <v>89</v>
      </c>
      <c r="X43" s="17">
        <v>0</v>
      </c>
      <c r="Y43" s="0">
        <v>1</v>
      </c>
      <c r="Z43" s="0">
        <v>1</v>
      </c>
      <c r="AA43" s="0">
        <v>0.007</v>
      </c>
      <c r="AB43" s="0">
        <v>1.58</v>
      </c>
      <c r="AC43" s="0">
        <v>0</v>
      </c>
      <c r="AD43" s="0">
        <v>0</v>
      </c>
      <c r="AE43" s="0">
        <v>0</v>
      </c>
      <c r="AG43" s="0">
        <v>0.5</v>
      </c>
      <c r="AI43" s="0">
        <v>20</v>
      </c>
      <c r="AJ43" s="0">
        <v>1</v>
      </c>
    </row>
    <row r="44">
      <c r="A44" s="11">
        <v>112024</v>
      </c>
      <c r="B44" s="11" t="s">
        <v>120</v>
      </c>
      <c r="T44" s="0">
        <v>1122</v>
      </c>
      <c r="U44" s="0">
        <v>1030</v>
      </c>
      <c r="V44" s="0">
        <v>1223</v>
      </c>
      <c r="W44" s="16">
        <v>58</v>
      </c>
      <c r="X44" s="17">
        <v>0.0128</v>
      </c>
      <c r="Y44" s="0">
        <v>1.0032</v>
      </c>
      <c r="Z44" s="0">
        <v>1.0032</v>
      </c>
      <c r="AA44" s="0">
        <v>0.008</v>
      </c>
      <c r="AB44" s="0">
        <v>1.56</v>
      </c>
      <c r="AC44" s="0">
        <v>0</v>
      </c>
      <c r="AD44" s="0">
        <v>0</v>
      </c>
      <c r="AE44" s="0">
        <v>0</v>
      </c>
      <c r="AG44" s="0">
        <v>0.5</v>
      </c>
      <c r="AI44" s="0">
        <v>20</v>
      </c>
      <c r="AJ44" s="0">
        <v>1</v>
      </c>
    </row>
    <row r="45">
      <c r="A45" s="11">
        <v>112025</v>
      </c>
      <c r="B45" s="11" t="s">
        <v>121</v>
      </c>
      <c r="T45" s="0">
        <v>1202</v>
      </c>
      <c r="U45" s="0">
        <v>1101</v>
      </c>
      <c r="V45" s="0">
        <v>1292</v>
      </c>
      <c r="W45" s="16">
        <v>100</v>
      </c>
      <c r="X45" s="17">
        <v>0</v>
      </c>
      <c r="Y45" s="0">
        <v>1.0128</v>
      </c>
      <c r="Z45" s="0">
        <v>1.0128</v>
      </c>
      <c r="AA45" s="0">
        <v>0</v>
      </c>
      <c r="AB45" s="0">
        <v>1.556</v>
      </c>
      <c r="AC45" s="0">
        <v>0</v>
      </c>
      <c r="AD45" s="0">
        <v>0</v>
      </c>
      <c r="AE45" s="0">
        <v>0</v>
      </c>
      <c r="AG45" s="0">
        <v>0.5</v>
      </c>
      <c r="AI45" s="0">
        <v>20</v>
      </c>
      <c r="AJ45" s="0">
        <v>1</v>
      </c>
    </row>
    <row r="46">
      <c r="A46" s="11">
        <v>112026</v>
      </c>
      <c r="B46" s="11" t="s">
        <v>122</v>
      </c>
      <c r="T46" s="0">
        <v>1369</v>
      </c>
      <c r="U46" s="0">
        <v>1251</v>
      </c>
      <c r="V46" s="0">
        <v>1437</v>
      </c>
      <c r="W46" s="16">
        <v>76</v>
      </c>
      <c r="X46" s="17">
        <v>0</v>
      </c>
      <c r="Y46" s="0">
        <v>1.0128</v>
      </c>
      <c r="Z46" s="0">
        <v>1.0128</v>
      </c>
      <c r="AA46" s="0">
        <v>0</v>
      </c>
      <c r="AB46" s="0">
        <v>1.556</v>
      </c>
      <c r="AC46" s="0">
        <v>0</v>
      </c>
      <c r="AD46" s="0">
        <v>0</v>
      </c>
      <c r="AE46" s="0">
        <v>0</v>
      </c>
      <c r="AG46" s="0">
        <v>0.5</v>
      </c>
      <c r="AI46" s="0">
        <v>20</v>
      </c>
      <c r="AJ46" s="0">
        <v>1</v>
      </c>
    </row>
    <row r="47">
      <c r="A47" s="11">
        <v>112027</v>
      </c>
      <c r="B47" s="11" t="s">
        <v>123</v>
      </c>
      <c r="T47" s="0">
        <v>1122</v>
      </c>
      <c r="U47" s="0">
        <v>1030</v>
      </c>
      <c r="V47" s="0">
        <v>1223</v>
      </c>
      <c r="W47" s="16">
        <v>85</v>
      </c>
      <c r="X47" s="17">
        <v>0.008</v>
      </c>
      <c r="Y47" s="0">
        <v>1.016</v>
      </c>
      <c r="Z47" s="0">
        <v>1.016</v>
      </c>
      <c r="AA47" s="0">
        <v>0</v>
      </c>
      <c r="AB47" s="0">
        <v>1.5</v>
      </c>
      <c r="AC47" s="0">
        <v>0</v>
      </c>
      <c r="AD47" s="0">
        <v>0</v>
      </c>
      <c r="AE47" s="0">
        <v>0</v>
      </c>
      <c r="AG47" s="0">
        <v>0.5</v>
      </c>
      <c r="AI47" s="0">
        <v>20</v>
      </c>
      <c r="AJ47" s="0">
        <v>1</v>
      </c>
    </row>
    <row r="48">
      <c r="A48" s="11">
        <v>112028</v>
      </c>
      <c r="B48" s="11" t="s">
        <v>124</v>
      </c>
      <c r="C48" s="0">
        <v>800435</v>
      </c>
      <c r="D48" s="0">
        <v>1</v>
      </c>
      <c r="E48" s="12">
        <v>10</v>
      </c>
      <c r="F48" s="13">
        <v>800438</v>
      </c>
      <c r="G48" s="0">
        <v>1</v>
      </c>
      <c r="N48" s="0">
        <v>10</v>
      </c>
      <c r="O48" s="13">
        <v>800441</v>
      </c>
      <c r="P48" s="12">
        <v>1</v>
      </c>
      <c r="S48" s="0" t="s">
        <v>125</v>
      </c>
      <c r="T48" s="0">
        <v>1136</v>
      </c>
      <c r="U48" s="0">
        <v>1041</v>
      </c>
      <c r="V48" s="0">
        <v>1381</v>
      </c>
      <c r="W48" s="16">
        <v>80</v>
      </c>
      <c r="X48" s="0">
        <v>0.02</v>
      </c>
      <c r="Y48" s="0">
        <v>1.01</v>
      </c>
      <c r="Z48" s="0">
        <v>1.01</v>
      </c>
      <c r="AA48" s="0">
        <v>0.01</v>
      </c>
      <c r="AB48" s="0">
        <v>1.5</v>
      </c>
      <c r="AC48" s="0">
        <v>0</v>
      </c>
      <c r="AD48" s="0">
        <v>0</v>
      </c>
      <c r="AE48" s="0">
        <v>0</v>
      </c>
      <c r="AG48" s="0">
        <v>0.5</v>
      </c>
      <c r="AI48" s="0">
        <v>20</v>
      </c>
      <c r="AJ48" s="0">
        <v>1</v>
      </c>
      <c r="AK48" s="26">
        <v>0.224</v>
      </c>
      <c r="AL48" s="26">
        <v>-0.05</v>
      </c>
      <c r="AM48" s="26">
        <v>-0.28</v>
      </c>
    </row>
    <row r="49">
      <c r="A49" s="14">
        <v>113001</v>
      </c>
      <c r="B49" s="14" t="s">
        <v>126</v>
      </c>
      <c r="C49" s="0">
        <v>800445</v>
      </c>
      <c r="D49" s="0">
        <v>1</v>
      </c>
      <c r="E49" s="12">
        <v>10</v>
      </c>
      <c r="F49" s="13">
        <v>800448</v>
      </c>
      <c r="G49" s="0">
        <v>1</v>
      </c>
      <c r="N49" s="0">
        <v>10</v>
      </c>
      <c r="O49" s="13">
        <v>800451</v>
      </c>
      <c r="P49" s="12">
        <v>1</v>
      </c>
      <c r="S49" s="0" t="s">
        <v>127</v>
      </c>
      <c r="T49" s="0">
        <v>1963</v>
      </c>
      <c r="U49" s="0">
        <v>1793</v>
      </c>
      <c r="V49" s="0">
        <v>2089</v>
      </c>
      <c r="W49" s="16">
        <v>64</v>
      </c>
      <c r="X49" s="0">
        <v>0</v>
      </c>
      <c r="Y49" s="0">
        <v>1.016</v>
      </c>
      <c r="Z49" s="0">
        <v>1.016</v>
      </c>
      <c r="AA49" s="0">
        <v>0</v>
      </c>
      <c r="AB49" s="0">
        <v>1.57</v>
      </c>
      <c r="AC49" s="0">
        <v>0</v>
      </c>
      <c r="AD49" s="0">
        <v>0</v>
      </c>
      <c r="AE49" s="0">
        <v>0</v>
      </c>
      <c r="AG49" s="0">
        <v>0.5</v>
      </c>
      <c r="AI49" s="0">
        <v>20</v>
      </c>
      <c r="AJ49" s="0">
        <v>1</v>
      </c>
      <c r="AK49" s="26">
        <v>0.101</v>
      </c>
      <c r="AL49" s="26">
        <v>-0.4</v>
      </c>
      <c r="AM49" s="26">
        <v>0</v>
      </c>
    </row>
    <row r="50">
      <c r="A50" s="14">
        <v>113002</v>
      </c>
      <c r="B50" s="14" t="s">
        <v>128</v>
      </c>
      <c r="C50" s="0">
        <v>800455</v>
      </c>
      <c r="D50" s="0">
        <v>1</v>
      </c>
      <c r="E50" s="12">
        <v>10</v>
      </c>
      <c r="F50" s="13">
        <v>800458</v>
      </c>
      <c r="G50" s="0">
        <v>1</v>
      </c>
      <c r="N50" s="0">
        <v>10</v>
      </c>
      <c r="O50" s="13">
        <v>800461</v>
      </c>
      <c r="P50" s="12">
        <v>1</v>
      </c>
      <c r="S50" s="0" t="s">
        <v>129</v>
      </c>
      <c r="T50" s="0">
        <v>2343</v>
      </c>
      <c r="U50" s="0">
        <v>2135</v>
      </c>
      <c r="V50" s="0">
        <v>2371</v>
      </c>
      <c r="W50" s="16">
        <v>125</v>
      </c>
      <c r="X50" s="0">
        <v>0</v>
      </c>
      <c r="Y50" s="0">
        <v>1.02</v>
      </c>
      <c r="Z50" s="0">
        <v>1.02</v>
      </c>
      <c r="AA50" s="0">
        <v>0.006</v>
      </c>
      <c r="AB50" s="0">
        <v>1.5</v>
      </c>
      <c r="AC50" s="0">
        <v>0</v>
      </c>
      <c r="AD50" s="0">
        <v>0</v>
      </c>
      <c r="AE50" s="0">
        <v>0</v>
      </c>
      <c r="AG50" s="0">
        <v>0.5</v>
      </c>
      <c r="AI50" s="0">
        <v>20</v>
      </c>
      <c r="AJ50" s="0">
        <v>1</v>
      </c>
      <c r="AK50" s="26">
        <v>0</v>
      </c>
      <c r="AL50" s="26">
        <v>0</v>
      </c>
      <c r="AM50" s="26">
        <v>0</v>
      </c>
    </row>
    <row r="51">
      <c r="A51" s="14">
        <v>113003</v>
      </c>
      <c r="B51" s="14" t="s">
        <v>130</v>
      </c>
      <c r="C51" s="0">
        <v>800465</v>
      </c>
      <c r="D51" s="0">
        <v>1</v>
      </c>
      <c r="E51" s="12">
        <v>10</v>
      </c>
      <c r="F51" s="13">
        <v>800468</v>
      </c>
      <c r="G51" s="0">
        <v>1</v>
      </c>
      <c r="N51" s="0">
        <v>10</v>
      </c>
      <c r="O51" s="13">
        <v>800471</v>
      </c>
      <c r="P51" s="12">
        <v>1</v>
      </c>
      <c r="S51" s="0" t="s">
        <v>131</v>
      </c>
      <c r="T51" s="0">
        <v>2060</v>
      </c>
      <c r="U51" s="0">
        <v>1850</v>
      </c>
      <c r="V51" s="0">
        <v>2109</v>
      </c>
      <c r="W51" s="16">
        <v>110</v>
      </c>
      <c r="X51" s="0">
        <v>0</v>
      </c>
      <c r="Y51" s="0">
        <v>1.016</v>
      </c>
      <c r="Z51" s="0">
        <v>1.016</v>
      </c>
      <c r="AA51" s="0">
        <v>0</v>
      </c>
      <c r="AB51" s="0">
        <v>1.57</v>
      </c>
      <c r="AC51" s="0">
        <v>0</v>
      </c>
      <c r="AD51" s="0">
        <v>0</v>
      </c>
      <c r="AE51" s="0">
        <v>0</v>
      </c>
      <c r="AG51" s="0">
        <v>0.5</v>
      </c>
      <c r="AI51" s="0">
        <v>20</v>
      </c>
      <c r="AJ51" s="0">
        <v>1</v>
      </c>
      <c r="AK51" s="26">
        <v>0</v>
      </c>
      <c r="AL51" s="26">
        <v>0</v>
      </c>
      <c r="AM51" s="26">
        <v>0</v>
      </c>
    </row>
    <row r="52">
      <c r="A52" s="14">
        <v>113004</v>
      </c>
      <c r="B52" s="14" t="s">
        <v>132</v>
      </c>
      <c r="C52" s="0">
        <v>800475</v>
      </c>
      <c r="D52" s="0">
        <v>1</v>
      </c>
      <c r="E52" s="12">
        <v>10</v>
      </c>
      <c r="F52" s="13">
        <v>800478</v>
      </c>
      <c r="G52" s="0">
        <v>1</v>
      </c>
      <c r="H52" s="12">
        <v>10</v>
      </c>
      <c r="I52" s="13">
        <v>800481</v>
      </c>
      <c r="J52" s="0">
        <v>1</v>
      </c>
      <c r="N52" s="0">
        <v>10</v>
      </c>
      <c r="O52" s="13">
        <v>800484</v>
      </c>
      <c r="P52" s="12">
        <v>1</v>
      </c>
      <c r="S52" s="0" t="s">
        <v>133</v>
      </c>
      <c r="T52" s="0">
        <v>1524</v>
      </c>
      <c r="U52" s="0">
        <v>1406</v>
      </c>
      <c r="V52" s="0">
        <v>1749</v>
      </c>
      <c r="W52" s="16">
        <v>65</v>
      </c>
      <c r="X52" s="0">
        <v>0.02</v>
      </c>
      <c r="Y52" s="0">
        <v>1.01</v>
      </c>
      <c r="Z52" s="0">
        <v>1.01</v>
      </c>
      <c r="AA52" s="0">
        <v>0.01</v>
      </c>
      <c r="AB52" s="0">
        <v>1.5</v>
      </c>
      <c r="AC52" s="0">
        <v>0</v>
      </c>
      <c r="AD52" s="0">
        <v>0</v>
      </c>
      <c r="AE52" s="0">
        <v>0</v>
      </c>
      <c r="AG52" s="0">
        <v>0.5</v>
      </c>
      <c r="AI52" s="0">
        <v>20</v>
      </c>
      <c r="AJ52" s="0">
        <v>1</v>
      </c>
      <c r="AK52" s="26">
        <v>0</v>
      </c>
      <c r="AL52" s="26">
        <v>-0.32</v>
      </c>
      <c r="AM52" s="26">
        <v>0</v>
      </c>
    </row>
    <row r="53">
      <c r="A53" s="14">
        <v>113005</v>
      </c>
      <c r="B53" s="14" t="s">
        <v>134</v>
      </c>
      <c r="C53" s="0">
        <v>800488</v>
      </c>
      <c r="D53" s="0">
        <v>1</v>
      </c>
      <c r="E53" s="12">
        <v>10</v>
      </c>
      <c r="F53" s="13">
        <v>800491</v>
      </c>
      <c r="G53" s="0">
        <v>1</v>
      </c>
      <c r="N53" s="0">
        <v>10</v>
      </c>
      <c r="O53" s="13">
        <v>800494</v>
      </c>
      <c r="P53" s="12">
        <v>1</v>
      </c>
      <c r="S53" s="0" t="s">
        <v>135</v>
      </c>
      <c r="T53" s="0">
        <v>1592</v>
      </c>
      <c r="U53" s="0">
        <v>1461</v>
      </c>
      <c r="V53" s="0">
        <v>1785</v>
      </c>
      <c r="W53" s="16">
        <v>85</v>
      </c>
      <c r="X53" s="0">
        <v>0</v>
      </c>
      <c r="Y53" s="0">
        <v>1</v>
      </c>
      <c r="Z53" s="0">
        <v>1</v>
      </c>
      <c r="AA53" s="0">
        <v>0</v>
      </c>
      <c r="AB53" s="0">
        <v>1.5</v>
      </c>
      <c r="AC53" s="0">
        <v>0</v>
      </c>
      <c r="AD53" s="0">
        <v>0</v>
      </c>
      <c r="AE53" s="0">
        <v>0</v>
      </c>
      <c r="AG53" s="0">
        <v>0.5</v>
      </c>
      <c r="AI53" s="0">
        <v>20</v>
      </c>
      <c r="AJ53" s="0">
        <v>1</v>
      </c>
      <c r="AK53" s="26">
        <v>0.161</v>
      </c>
      <c r="AL53" s="26">
        <v>-0.3</v>
      </c>
      <c r="AM53" s="26">
        <v>-0.29</v>
      </c>
    </row>
    <row r="54">
      <c r="A54" s="14">
        <v>113006</v>
      </c>
      <c r="B54" s="14" t="s">
        <v>136</v>
      </c>
      <c r="C54" s="0">
        <v>800498</v>
      </c>
      <c r="D54" s="0">
        <v>1</v>
      </c>
      <c r="E54" s="12">
        <v>10</v>
      </c>
      <c r="F54" s="13">
        <v>800501</v>
      </c>
      <c r="G54" s="0">
        <v>1</v>
      </c>
      <c r="N54" s="0">
        <v>10</v>
      </c>
      <c r="O54" s="13">
        <v>800504</v>
      </c>
      <c r="P54" s="12">
        <v>1</v>
      </c>
      <c r="S54" s="0" t="s">
        <v>137</v>
      </c>
      <c r="T54" s="0">
        <v>1530</v>
      </c>
      <c r="U54" s="0">
        <v>1404</v>
      </c>
      <c r="V54" s="0">
        <v>1765</v>
      </c>
      <c r="W54" s="16">
        <v>90</v>
      </c>
      <c r="X54" s="0">
        <v>0.016</v>
      </c>
      <c r="Y54" s="0">
        <v>1.004</v>
      </c>
      <c r="Z54" s="0">
        <v>1.004</v>
      </c>
      <c r="AA54" s="0">
        <v>0.01</v>
      </c>
      <c r="AB54" s="0">
        <v>1.575</v>
      </c>
      <c r="AC54" s="0">
        <v>0</v>
      </c>
      <c r="AD54" s="0">
        <v>0</v>
      </c>
      <c r="AE54" s="0">
        <v>0</v>
      </c>
      <c r="AG54" s="0">
        <v>0.5</v>
      </c>
      <c r="AI54" s="0">
        <v>20</v>
      </c>
      <c r="AJ54" s="0">
        <v>1</v>
      </c>
      <c r="AK54" s="26">
        <v>0.047</v>
      </c>
      <c r="AL54" s="26">
        <v>-0.35</v>
      </c>
      <c r="AM54" s="26">
        <v>-0.53</v>
      </c>
    </row>
    <row r="55">
      <c r="A55" s="14">
        <v>113007</v>
      </c>
      <c r="B55" s="14" t="s">
        <v>138</v>
      </c>
      <c r="C55" s="0">
        <v>800508</v>
      </c>
      <c r="D55" s="0">
        <v>1</v>
      </c>
      <c r="E55" s="12">
        <v>10</v>
      </c>
      <c r="F55" s="13">
        <v>800511</v>
      </c>
      <c r="G55" s="0">
        <v>1</v>
      </c>
      <c r="N55" s="0">
        <v>10</v>
      </c>
      <c r="O55" s="13">
        <v>800514</v>
      </c>
      <c r="P55" s="12">
        <v>1</v>
      </c>
      <c r="S55" s="0" t="s">
        <v>139</v>
      </c>
      <c r="T55" s="0">
        <v>2255</v>
      </c>
      <c r="U55" s="0">
        <v>2055</v>
      </c>
      <c r="V55" s="0">
        <v>2301</v>
      </c>
      <c r="W55" s="16">
        <v>120</v>
      </c>
      <c r="X55" s="0">
        <v>0</v>
      </c>
      <c r="Y55" s="0">
        <v>1.02</v>
      </c>
      <c r="Z55" s="0">
        <v>1.02</v>
      </c>
      <c r="AA55" s="0">
        <v>0</v>
      </c>
      <c r="AB55" s="0">
        <v>1.5</v>
      </c>
      <c r="AC55" s="0">
        <v>0</v>
      </c>
      <c r="AD55" s="0">
        <v>0</v>
      </c>
      <c r="AE55" s="0">
        <v>0</v>
      </c>
      <c r="AG55" s="0">
        <v>0.5</v>
      </c>
      <c r="AI55" s="0">
        <v>20</v>
      </c>
      <c r="AJ55" s="0">
        <v>1</v>
      </c>
      <c r="AK55" s="26">
        <v>-0.119</v>
      </c>
      <c r="AL55" s="26">
        <v>-0.15</v>
      </c>
      <c r="AM55" s="26">
        <v>0.29</v>
      </c>
    </row>
    <row r="56">
      <c r="A56" s="14">
        <v>113008</v>
      </c>
      <c r="B56" s="14" t="s">
        <v>140</v>
      </c>
      <c r="T56" s="0">
        <v>2122</v>
      </c>
      <c r="U56" s="0">
        <v>1905</v>
      </c>
      <c r="V56" s="0">
        <v>2170</v>
      </c>
      <c r="W56" s="16">
        <v>76</v>
      </c>
      <c r="X56" s="0">
        <v>0</v>
      </c>
      <c r="Y56" s="0">
        <v>1.016</v>
      </c>
      <c r="Z56" s="0">
        <v>1.016</v>
      </c>
      <c r="AA56" s="0">
        <v>0</v>
      </c>
      <c r="AB56" s="0">
        <v>1.57</v>
      </c>
      <c r="AC56" s="0">
        <v>0</v>
      </c>
      <c r="AD56" s="0">
        <v>0</v>
      </c>
      <c r="AE56" s="0">
        <v>0</v>
      </c>
      <c r="AG56" s="0">
        <v>0.5</v>
      </c>
      <c r="AI56" s="0">
        <v>20</v>
      </c>
      <c r="AJ56" s="0">
        <v>1</v>
      </c>
    </row>
    <row r="57">
      <c r="A57" s="14">
        <v>113009</v>
      </c>
      <c r="B57" s="14" t="s">
        <v>141</v>
      </c>
      <c r="C57" s="0">
        <v>800528</v>
      </c>
      <c r="D57" s="0">
        <v>1</v>
      </c>
      <c r="E57" s="12">
        <v>10</v>
      </c>
      <c r="F57" s="13">
        <v>800531</v>
      </c>
      <c r="G57" s="0">
        <v>1</v>
      </c>
      <c r="N57" s="0">
        <v>10</v>
      </c>
      <c r="O57" s="13">
        <v>800534</v>
      </c>
      <c r="P57" s="12">
        <v>1</v>
      </c>
      <c r="S57" s="0" t="s">
        <v>142</v>
      </c>
      <c r="T57" s="0">
        <v>1601</v>
      </c>
      <c r="U57" s="0">
        <v>1435</v>
      </c>
      <c r="V57" s="0">
        <v>1797</v>
      </c>
      <c r="W57" s="16">
        <v>75</v>
      </c>
      <c r="X57" s="0">
        <v>0.01</v>
      </c>
      <c r="Y57" s="0">
        <v>1.02</v>
      </c>
      <c r="Z57" s="0">
        <v>1.02</v>
      </c>
      <c r="AA57" s="0">
        <v>0</v>
      </c>
      <c r="AB57" s="0">
        <v>1.5</v>
      </c>
      <c r="AC57" s="0">
        <v>0</v>
      </c>
      <c r="AD57" s="0">
        <v>0</v>
      </c>
      <c r="AE57" s="0">
        <v>0</v>
      </c>
      <c r="AG57" s="0">
        <v>0.5</v>
      </c>
      <c r="AI57" s="0">
        <v>20</v>
      </c>
      <c r="AJ57" s="0">
        <v>1</v>
      </c>
      <c r="AK57" s="26">
        <v>0</v>
      </c>
      <c r="AL57" s="26">
        <v>-0.32</v>
      </c>
      <c r="AM57" s="26">
        <v>0</v>
      </c>
    </row>
    <row r="58">
      <c r="A58" s="14">
        <v>113010</v>
      </c>
      <c r="B58" s="14" t="s">
        <v>143</v>
      </c>
      <c r="C58" s="0">
        <v>800538</v>
      </c>
      <c r="D58" s="0">
        <v>1</v>
      </c>
      <c r="E58" s="12">
        <v>10</v>
      </c>
      <c r="F58" s="13">
        <v>800541</v>
      </c>
      <c r="G58" s="0">
        <v>1</v>
      </c>
      <c r="N58" s="0">
        <v>10</v>
      </c>
      <c r="O58" s="13">
        <v>800544</v>
      </c>
      <c r="P58" s="12">
        <v>1</v>
      </c>
      <c r="T58" s="0">
        <v>1963</v>
      </c>
      <c r="U58" s="0">
        <v>1793</v>
      </c>
      <c r="V58" s="0">
        <v>2089</v>
      </c>
      <c r="W58" s="16">
        <v>80</v>
      </c>
      <c r="X58" s="0">
        <v>0.01</v>
      </c>
      <c r="Y58" s="0">
        <v>1.02</v>
      </c>
      <c r="Z58" s="0">
        <v>1.02</v>
      </c>
      <c r="AA58" s="0">
        <v>0</v>
      </c>
      <c r="AB58" s="0">
        <v>1.5</v>
      </c>
      <c r="AC58" s="0">
        <v>0</v>
      </c>
      <c r="AD58" s="0">
        <v>0</v>
      </c>
      <c r="AE58" s="0">
        <v>0</v>
      </c>
      <c r="AG58" s="0">
        <v>0.5</v>
      </c>
      <c r="AI58" s="0">
        <v>20</v>
      </c>
      <c r="AJ58" s="0">
        <v>1</v>
      </c>
      <c r="AK58" s="26">
        <v>0</v>
      </c>
      <c r="AL58" s="26">
        <v>-0.45</v>
      </c>
      <c r="AM58" s="26">
        <v>0</v>
      </c>
    </row>
    <row r="59">
      <c r="A59" s="14">
        <v>113011</v>
      </c>
      <c r="B59" s="14" t="s">
        <v>144</v>
      </c>
      <c r="C59" s="0">
        <v>800548</v>
      </c>
      <c r="D59" s="0">
        <v>1</v>
      </c>
      <c r="E59" s="12">
        <v>10</v>
      </c>
      <c r="F59" s="13">
        <v>800551</v>
      </c>
      <c r="G59" s="0">
        <v>1</v>
      </c>
      <c r="N59" s="0">
        <v>10</v>
      </c>
      <c r="O59" s="13">
        <v>800554</v>
      </c>
      <c r="P59" s="12">
        <v>1</v>
      </c>
      <c r="R59" s="18" t="s">
        <v>145</v>
      </c>
      <c r="S59" s="0" t="s">
        <v>146</v>
      </c>
      <c r="T59" s="0">
        <v>1945</v>
      </c>
      <c r="U59" s="0">
        <v>1777</v>
      </c>
      <c r="V59" s="0">
        <v>2068</v>
      </c>
      <c r="W59" s="16">
        <v>85</v>
      </c>
      <c r="X59" s="0">
        <v>0.01</v>
      </c>
      <c r="Y59" s="0">
        <v>1.02</v>
      </c>
      <c r="Z59" s="0">
        <v>1.02</v>
      </c>
      <c r="AA59" s="0">
        <v>0</v>
      </c>
      <c r="AB59" s="0">
        <v>1.58</v>
      </c>
      <c r="AC59" s="0">
        <v>0</v>
      </c>
      <c r="AD59" s="0">
        <v>0</v>
      </c>
      <c r="AE59" s="0">
        <v>0</v>
      </c>
      <c r="AG59" s="0">
        <v>0.5</v>
      </c>
      <c r="AI59" s="0">
        <v>20</v>
      </c>
      <c r="AJ59" s="0">
        <v>1</v>
      </c>
      <c r="AK59" s="26">
        <v>0</v>
      </c>
      <c r="AL59" s="26">
        <v>-0.6</v>
      </c>
      <c r="AM59" s="26">
        <v>0</v>
      </c>
    </row>
    <row r="60">
      <c r="A60" s="14">
        <v>113012</v>
      </c>
      <c r="B60" s="14" t="s">
        <v>147</v>
      </c>
      <c r="C60" s="0">
        <v>800565</v>
      </c>
      <c r="D60" s="0">
        <v>1</v>
      </c>
      <c r="E60" s="12">
        <v>10</v>
      </c>
      <c r="F60" s="13">
        <v>800568</v>
      </c>
      <c r="G60" s="0">
        <v>1</v>
      </c>
      <c r="N60" s="0">
        <v>10</v>
      </c>
      <c r="O60" s="13">
        <v>800571</v>
      </c>
      <c r="P60" s="12">
        <v>1</v>
      </c>
      <c r="S60" s="0" t="s">
        <v>148</v>
      </c>
      <c r="T60" s="0">
        <v>1672</v>
      </c>
      <c r="U60" s="0">
        <v>1529</v>
      </c>
      <c r="V60" s="0">
        <v>1888</v>
      </c>
      <c r="W60" s="16">
        <v>88</v>
      </c>
      <c r="X60" s="0">
        <v>0.01</v>
      </c>
      <c r="Y60" s="0">
        <v>1.02</v>
      </c>
      <c r="Z60" s="0">
        <v>1.02</v>
      </c>
      <c r="AA60" s="0">
        <v>0</v>
      </c>
      <c r="AB60" s="0">
        <v>1.58</v>
      </c>
      <c r="AC60" s="0">
        <v>0</v>
      </c>
      <c r="AD60" s="0">
        <v>0</v>
      </c>
      <c r="AE60" s="0">
        <v>0</v>
      </c>
      <c r="AG60" s="0">
        <v>0.5</v>
      </c>
      <c r="AI60" s="0">
        <v>20</v>
      </c>
      <c r="AJ60" s="0">
        <v>1</v>
      </c>
      <c r="AK60" s="26">
        <v>0.924</v>
      </c>
      <c r="AL60" s="26">
        <v>-0.15</v>
      </c>
      <c r="AM60" s="26">
        <v>-1.28</v>
      </c>
    </row>
    <row r="61">
      <c r="A61" s="14">
        <v>113013</v>
      </c>
      <c r="B61" s="14" t="s">
        <v>149</v>
      </c>
      <c r="C61" s="0">
        <v>800575</v>
      </c>
      <c r="D61" s="0">
        <v>1</v>
      </c>
      <c r="E61" s="12">
        <v>10</v>
      </c>
      <c r="F61" s="13">
        <v>800578</v>
      </c>
      <c r="G61" s="0">
        <v>1</v>
      </c>
      <c r="N61" s="0">
        <v>10</v>
      </c>
      <c r="O61" s="13">
        <v>800581</v>
      </c>
      <c r="P61" s="12">
        <v>1</v>
      </c>
      <c r="S61" s="0" t="s">
        <v>150</v>
      </c>
      <c r="T61" s="0">
        <v>2281</v>
      </c>
      <c r="U61" s="0">
        <v>2080</v>
      </c>
      <c r="V61" s="0">
        <v>2315</v>
      </c>
      <c r="W61" s="16">
        <v>120</v>
      </c>
      <c r="X61" s="0">
        <v>0</v>
      </c>
      <c r="Y61" s="0">
        <v>1.008</v>
      </c>
      <c r="Z61" s="0">
        <v>1.008</v>
      </c>
      <c r="AA61" s="0">
        <v>0.0102</v>
      </c>
      <c r="AB61" s="0">
        <v>1.58</v>
      </c>
      <c r="AC61" s="0">
        <v>0</v>
      </c>
      <c r="AD61" s="0">
        <v>0</v>
      </c>
      <c r="AE61" s="0">
        <v>0</v>
      </c>
      <c r="AG61" s="0">
        <v>0.5</v>
      </c>
      <c r="AI61" s="0">
        <v>20</v>
      </c>
      <c r="AJ61" s="0">
        <v>1</v>
      </c>
      <c r="AK61" s="26">
        <v>-0.079</v>
      </c>
      <c r="AL61" s="26">
        <v>-0.65</v>
      </c>
      <c r="AM61" s="26">
        <v>0</v>
      </c>
    </row>
    <row r="62">
      <c r="A62" s="14">
        <v>113014</v>
      </c>
      <c r="B62" s="14" t="s">
        <v>151</v>
      </c>
      <c r="C62" s="0">
        <v>800585</v>
      </c>
      <c r="D62" s="0">
        <v>1</v>
      </c>
      <c r="E62" s="12">
        <v>10</v>
      </c>
      <c r="F62" s="13">
        <v>800588</v>
      </c>
      <c r="G62" s="0">
        <v>1</v>
      </c>
      <c r="H62" s="0">
        <v>10</v>
      </c>
      <c r="I62" s="13">
        <v>800591</v>
      </c>
      <c r="J62" s="0">
        <v>1</v>
      </c>
      <c r="N62" s="0">
        <v>10</v>
      </c>
      <c r="O62" s="13">
        <v>800594</v>
      </c>
      <c r="P62" s="12">
        <v>1</v>
      </c>
      <c r="S62" s="0" t="s">
        <v>152</v>
      </c>
      <c r="T62" s="0">
        <v>1963</v>
      </c>
      <c r="U62" s="0">
        <v>1794</v>
      </c>
      <c r="V62" s="0">
        <v>2068</v>
      </c>
      <c r="W62" s="16">
        <v>88</v>
      </c>
      <c r="X62" s="0">
        <v>0</v>
      </c>
      <c r="Y62" s="0">
        <v>1.008</v>
      </c>
      <c r="Z62" s="0">
        <v>1.008</v>
      </c>
      <c r="AA62" s="0">
        <v>0.0102</v>
      </c>
      <c r="AB62" s="0">
        <v>1.58</v>
      </c>
      <c r="AC62" s="0">
        <v>0</v>
      </c>
      <c r="AD62" s="0">
        <v>0</v>
      </c>
      <c r="AE62" s="0">
        <v>0</v>
      </c>
      <c r="AG62" s="0">
        <v>0.5</v>
      </c>
      <c r="AI62" s="0">
        <v>20</v>
      </c>
      <c r="AJ62" s="0">
        <v>1</v>
      </c>
      <c r="AK62" s="26">
        <v>0</v>
      </c>
      <c r="AL62" s="26">
        <v>-0.45</v>
      </c>
      <c r="AM62" s="26">
        <v>0</v>
      </c>
    </row>
    <row r="63">
      <c r="A63" s="14">
        <v>113015</v>
      </c>
      <c r="B63" s="14" t="s">
        <v>153</v>
      </c>
      <c r="C63" s="0">
        <v>800598</v>
      </c>
      <c r="D63" s="0">
        <v>1</v>
      </c>
      <c r="E63" s="12">
        <v>10</v>
      </c>
      <c r="F63" s="13">
        <v>800601</v>
      </c>
      <c r="G63" s="0">
        <v>1</v>
      </c>
      <c r="H63" s="0">
        <v>10</v>
      </c>
      <c r="I63" s="13">
        <v>800604</v>
      </c>
      <c r="J63" s="0">
        <v>1</v>
      </c>
      <c r="N63" s="0">
        <v>10</v>
      </c>
      <c r="O63" s="13">
        <v>800607</v>
      </c>
      <c r="P63" s="12">
        <v>1</v>
      </c>
      <c r="T63" s="0">
        <v>1460</v>
      </c>
      <c r="U63" s="0">
        <v>1342</v>
      </c>
      <c r="V63" s="0">
        <v>1685</v>
      </c>
      <c r="W63" s="16">
        <v>80</v>
      </c>
      <c r="X63" s="0">
        <v>0.01</v>
      </c>
      <c r="Y63" s="0">
        <v>1.02</v>
      </c>
      <c r="Z63" s="0">
        <v>1.02</v>
      </c>
      <c r="AA63" s="0">
        <v>0</v>
      </c>
      <c r="AB63" s="0">
        <v>1.5</v>
      </c>
      <c r="AC63" s="0">
        <v>0</v>
      </c>
      <c r="AD63" s="0">
        <v>0</v>
      </c>
      <c r="AE63" s="0">
        <v>0</v>
      </c>
      <c r="AG63" s="0">
        <v>0.5</v>
      </c>
      <c r="AI63" s="0">
        <v>20</v>
      </c>
      <c r="AJ63" s="0">
        <v>1</v>
      </c>
      <c r="AK63" s="26">
        <v>0.074</v>
      </c>
      <c r="AL63" s="26">
        <v>-0.3</v>
      </c>
      <c r="AM63" s="26">
        <v>0</v>
      </c>
    </row>
    <row r="64">
      <c r="A64" s="14">
        <v>113016</v>
      </c>
      <c r="B64" s="14" t="s">
        <v>154</v>
      </c>
      <c r="C64" s="0">
        <v>800611</v>
      </c>
      <c r="D64" s="0">
        <v>1</v>
      </c>
      <c r="E64" s="12">
        <v>10</v>
      </c>
      <c r="F64" s="13">
        <v>800614</v>
      </c>
      <c r="G64" s="0">
        <v>1</v>
      </c>
      <c r="H64" s="0">
        <v>10</v>
      </c>
      <c r="I64" s="13">
        <v>800617</v>
      </c>
      <c r="J64" s="0">
        <v>1</v>
      </c>
      <c r="N64" s="0">
        <v>10</v>
      </c>
      <c r="O64" s="13">
        <v>800620</v>
      </c>
      <c r="P64" s="12">
        <v>1</v>
      </c>
      <c r="S64" s="0" t="s">
        <v>155</v>
      </c>
      <c r="T64" s="0">
        <v>2007</v>
      </c>
      <c r="U64" s="0">
        <v>1832</v>
      </c>
      <c r="V64" s="0">
        <v>2129</v>
      </c>
      <c r="W64" s="16">
        <v>85</v>
      </c>
      <c r="X64" s="0">
        <v>0</v>
      </c>
      <c r="Y64" s="0">
        <v>1.016</v>
      </c>
      <c r="Z64" s="0">
        <v>1.016</v>
      </c>
      <c r="AA64" s="0">
        <v>0</v>
      </c>
      <c r="AB64" s="0">
        <v>1.57</v>
      </c>
      <c r="AC64" s="0">
        <v>0</v>
      </c>
      <c r="AD64" s="0">
        <v>0</v>
      </c>
      <c r="AE64" s="0">
        <v>0</v>
      </c>
      <c r="AG64" s="0">
        <v>0.5</v>
      </c>
      <c r="AI64" s="0">
        <v>20</v>
      </c>
      <c r="AJ64" s="0">
        <v>1</v>
      </c>
      <c r="AK64" s="26">
        <v>0.074</v>
      </c>
      <c r="AL64" s="26">
        <v>-0.3</v>
      </c>
      <c r="AM64" s="26">
        <v>0</v>
      </c>
    </row>
    <row r="65">
      <c r="A65" s="14">
        <v>113017</v>
      </c>
      <c r="B65" s="14" t="s">
        <v>156</v>
      </c>
      <c r="C65" s="0">
        <v>800624</v>
      </c>
      <c r="D65" s="0">
        <v>1</v>
      </c>
      <c r="E65" s="12">
        <v>10</v>
      </c>
      <c r="F65" s="13">
        <v>800627</v>
      </c>
      <c r="G65" s="0">
        <v>1</v>
      </c>
      <c r="N65" s="0">
        <v>10</v>
      </c>
      <c r="O65" s="13">
        <v>800630</v>
      </c>
      <c r="P65" s="12">
        <v>1</v>
      </c>
      <c r="R65" s="1" t="s">
        <v>157</v>
      </c>
      <c r="S65" s="0" t="s">
        <v>158</v>
      </c>
      <c r="T65" s="0">
        <v>1795</v>
      </c>
      <c r="U65" s="0">
        <v>1640</v>
      </c>
      <c r="V65" s="0">
        <v>1989</v>
      </c>
      <c r="W65" s="16">
        <v>89</v>
      </c>
      <c r="X65" s="0">
        <v>0.02</v>
      </c>
      <c r="Y65" s="0">
        <v>1.01</v>
      </c>
      <c r="Z65" s="0">
        <v>1.01</v>
      </c>
      <c r="AA65" s="0">
        <v>0.01</v>
      </c>
      <c r="AB65" s="0">
        <v>1.5</v>
      </c>
      <c r="AC65" s="0">
        <v>0</v>
      </c>
      <c r="AD65" s="0">
        <v>0</v>
      </c>
      <c r="AE65" s="0">
        <v>0</v>
      </c>
      <c r="AG65" s="0">
        <v>0.5</v>
      </c>
      <c r="AI65" s="0">
        <v>20</v>
      </c>
      <c r="AJ65" s="0">
        <v>1</v>
      </c>
      <c r="AK65" s="26">
        <v>-0.11</v>
      </c>
      <c r="AL65" s="26">
        <v>-0.25</v>
      </c>
      <c r="AM65" s="26">
        <v>0.215</v>
      </c>
    </row>
    <row r="66">
      <c r="A66" s="14">
        <v>113018</v>
      </c>
      <c r="B66" s="14" t="s">
        <v>159</v>
      </c>
      <c r="C66" s="0">
        <v>800641</v>
      </c>
      <c r="D66" s="0">
        <v>1</v>
      </c>
      <c r="E66" s="12">
        <v>10</v>
      </c>
      <c r="F66" s="13">
        <v>800644</v>
      </c>
      <c r="G66" s="0">
        <v>1</v>
      </c>
      <c r="N66" s="0">
        <v>10</v>
      </c>
      <c r="O66" s="13">
        <v>800647</v>
      </c>
      <c r="P66" s="12">
        <v>1</v>
      </c>
      <c r="S66" s="0" t="s">
        <v>160</v>
      </c>
      <c r="T66" s="0">
        <v>1689</v>
      </c>
      <c r="U66" s="0">
        <v>1546</v>
      </c>
      <c r="V66" s="0">
        <v>1883</v>
      </c>
      <c r="W66" s="16">
        <v>115</v>
      </c>
      <c r="X66" s="0">
        <v>0.02</v>
      </c>
      <c r="Y66" s="0">
        <v>1.01</v>
      </c>
      <c r="Z66" s="0">
        <v>1.01</v>
      </c>
      <c r="AA66" s="0">
        <v>0.01</v>
      </c>
      <c r="AB66" s="0">
        <v>1.5</v>
      </c>
      <c r="AC66" s="0">
        <v>0</v>
      </c>
      <c r="AD66" s="0">
        <v>0</v>
      </c>
      <c r="AE66" s="0">
        <v>0</v>
      </c>
      <c r="AG66" s="0">
        <v>0.5</v>
      </c>
      <c r="AI66" s="0">
        <v>20</v>
      </c>
      <c r="AJ66" s="0">
        <v>1</v>
      </c>
      <c r="AK66" s="26">
        <v>0.424</v>
      </c>
      <c r="AL66" s="26">
        <v>0</v>
      </c>
      <c r="AM66" s="26">
        <v>-0.48</v>
      </c>
    </row>
    <row r="67">
      <c r="A67" s="14">
        <v>113019</v>
      </c>
      <c r="B67" s="14" t="s">
        <v>161</v>
      </c>
      <c r="T67" s="0">
        <v>1636</v>
      </c>
      <c r="U67" s="0">
        <v>1501</v>
      </c>
      <c r="V67" s="0">
        <v>1819</v>
      </c>
      <c r="W67" s="16">
        <v>105</v>
      </c>
      <c r="X67" s="0">
        <v>0.016</v>
      </c>
      <c r="Y67" s="0">
        <v>1.004</v>
      </c>
      <c r="Z67" s="0">
        <v>1.004</v>
      </c>
      <c r="AA67" s="0">
        <v>0.01</v>
      </c>
      <c r="AB67" s="0">
        <v>1.575</v>
      </c>
      <c r="AC67" s="0">
        <v>0</v>
      </c>
      <c r="AD67" s="0">
        <v>0</v>
      </c>
      <c r="AE67" s="0">
        <v>0</v>
      </c>
      <c r="AG67" s="0">
        <v>0.5</v>
      </c>
      <c r="AI67" s="0">
        <v>20</v>
      </c>
      <c r="AJ67" s="0">
        <v>1</v>
      </c>
    </row>
    <row r="68">
      <c r="A68" s="14">
        <v>113020</v>
      </c>
      <c r="B68" s="14" t="s">
        <v>162</v>
      </c>
      <c r="T68" s="0">
        <v>1672</v>
      </c>
      <c r="U68" s="0">
        <v>1534</v>
      </c>
      <c r="V68" s="0">
        <v>1825</v>
      </c>
      <c r="W68" s="16">
        <v>118</v>
      </c>
      <c r="X68" s="0">
        <v>0.02</v>
      </c>
      <c r="Y68" s="0">
        <v>1.01</v>
      </c>
      <c r="Z68" s="0">
        <v>1.01</v>
      </c>
      <c r="AA68" s="0">
        <v>0.01</v>
      </c>
      <c r="AB68" s="0">
        <v>1.5</v>
      </c>
      <c r="AC68" s="0">
        <v>0</v>
      </c>
      <c r="AD68" s="0">
        <v>0</v>
      </c>
      <c r="AE68" s="0">
        <v>0</v>
      </c>
      <c r="AG68" s="0">
        <v>0.5</v>
      </c>
      <c r="AI68" s="0">
        <v>20</v>
      </c>
      <c r="AJ68" s="0">
        <v>1</v>
      </c>
    </row>
    <row r="69">
      <c r="A69" s="14">
        <v>113021</v>
      </c>
      <c r="B69" s="14" t="s">
        <v>163</v>
      </c>
      <c r="T69" s="0">
        <v>1972</v>
      </c>
      <c r="U69" s="0">
        <v>1799</v>
      </c>
      <c r="V69" s="0">
        <v>2123</v>
      </c>
      <c r="W69" s="16">
        <v>100</v>
      </c>
      <c r="X69" s="0">
        <v>0.01</v>
      </c>
      <c r="Y69" s="0">
        <v>1.02</v>
      </c>
      <c r="Z69" s="0">
        <v>1.02</v>
      </c>
      <c r="AA69" s="0">
        <v>0</v>
      </c>
      <c r="AB69" s="0">
        <v>1.5</v>
      </c>
      <c r="AC69" s="0">
        <v>0</v>
      </c>
      <c r="AD69" s="0">
        <v>0</v>
      </c>
      <c r="AE69" s="0">
        <v>0</v>
      </c>
      <c r="AG69" s="0">
        <v>0.5</v>
      </c>
      <c r="AI69" s="0">
        <v>20</v>
      </c>
      <c r="AJ69" s="0">
        <v>1</v>
      </c>
    </row>
    <row r="70">
      <c r="A70" s="14">
        <v>113022</v>
      </c>
      <c r="B70" s="14" t="s">
        <v>164</v>
      </c>
      <c r="T70" s="0">
        <v>2025</v>
      </c>
      <c r="U70" s="0">
        <v>1847</v>
      </c>
      <c r="V70" s="0">
        <v>2161</v>
      </c>
      <c r="W70" s="16">
        <v>120</v>
      </c>
      <c r="X70" s="0">
        <v>0</v>
      </c>
      <c r="Y70" s="0">
        <v>1.016</v>
      </c>
      <c r="Z70" s="0">
        <v>1.016</v>
      </c>
      <c r="AA70" s="0">
        <v>0</v>
      </c>
      <c r="AB70" s="0">
        <v>1.57</v>
      </c>
      <c r="AC70" s="0">
        <v>0</v>
      </c>
      <c r="AD70" s="0">
        <v>0</v>
      </c>
      <c r="AE70" s="0">
        <v>0</v>
      </c>
      <c r="AG70" s="0">
        <v>0.5</v>
      </c>
      <c r="AI70" s="0">
        <v>20</v>
      </c>
      <c r="AJ70" s="0">
        <v>1</v>
      </c>
    </row>
    <row r="71">
      <c r="A71" s="14">
        <v>113023</v>
      </c>
      <c r="B71" s="14" t="s">
        <v>165</v>
      </c>
      <c r="T71" s="0">
        <v>2343</v>
      </c>
      <c r="U71" s="0">
        <v>2135</v>
      </c>
      <c r="V71" s="0">
        <v>2371</v>
      </c>
      <c r="W71" s="16">
        <v>120</v>
      </c>
      <c r="X71" s="0">
        <v>0</v>
      </c>
      <c r="Y71" s="0">
        <v>1.016</v>
      </c>
      <c r="Z71" s="0">
        <v>1.016</v>
      </c>
      <c r="AA71" s="0">
        <v>0</v>
      </c>
      <c r="AB71" s="0">
        <v>1.57</v>
      </c>
      <c r="AC71" s="0">
        <v>0</v>
      </c>
      <c r="AD71" s="0">
        <v>0</v>
      </c>
      <c r="AE71" s="0">
        <v>0</v>
      </c>
      <c r="AG71" s="0">
        <v>0.5</v>
      </c>
      <c r="AI71" s="0">
        <v>20</v>
      </c>
      <c r="AJ71" s="0">
        <v>1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N27"/>
  <sheetViews>
    <sheetView workbookViewId="0">
      <selection activeCell="I28" sqref="I28"/>
    </sheetView>
  </sheetViews>
  <sheetFormatPr defaultColWidth="9" defaultRowHeight="13.5"/>
  <cols>
    <col min="13" max="14" width="10.8833333333333" customWidth="1"/>
  </cols>
  <sheetData>
    <row r="1">
      <c r="A1" s="0" t="s">
        <v>166</v>
      </c>
      <c r="B1" s="0" t="s">
        <v>167</v>
      </c>
      <c r="C1" s="0" t="s">
        <v>168</v>
      </c>
      <c r="D1" s="0" t="s">
        <v>169</v>
      </c>
      <c r="E1" s="0" t="s">
        <v>170</v>
      </c>
      <c r="F1" s="0" t="s">
        <v>171</v>
      </c>
      <c r="G1" s="0" t="s">
        <v>172</v>
      </c>
      <c r="H1" s="0" t="s">
        <v>173</v>
      </c>
      <c r="I1" s="0" t="s">
        <v>174</v>
      </c>
    </row>
    <row r="2">
      <c r="A2" s="0">
        <v>999</v>
      </c>
      <c r="B2" s="0">
        <v>2</v>
      </c>
      <c r="C2" s="0">
        <v>999</v>
      </c>
      <c r="D2" s="0">
        <v>-29</v>
      </c>
      <c r="E2" s="0">
        <v>38.3</v>
      </c>
      <c r="F2" s="0">
        <v>0</v>
      </c>
      <c r="G2" s="0">
        <v>-1</v>
      </c>
      <c r="H2" s="0">
        <v>0</v>
      </c>
      <c r="I2" s="0">
        <v>0.5</v>
      </c>
    </row>
    <row r="3">
      <c r="A3" s="0">
        <v>800</v>
      </c>
      <c r="B3" s="0">
        <v>2</v>
      </c>
      <c r="C3" s="0">
        <v>800</v>
      </c>
      <c r="D3" s="0">
        <v>-29</v>
      </c>
      <c r="E3" s="0">
        <v>31.3</v>
      </c>
      <c r="F3" s="0">
        <v>0</v>
      </c>
      <c r="G3" s="0">
        <v>1</v>
      </c>
      <c r="H3" s="0">
        <v>0</v>
      </c>
      <c r="I3" s="0">
        <v>0.5</v>
      </c>
    </row>
    <row r="4">
      <c r="A4" s="0">
        <v>801</v>
      </c>
      <c r="B4" s="0">
        <v>2</v>
      </c>
      <c r="C4" s="0">
        <v>801</v>
      </c>
      <c r="D4" s="0">
        <v>-30.5</v>
      </c>
      <c r="E4" s="0">
        <v>30.7</v>
      </c>
      <c r="F4" s="0">
        <v>0</v>
      </c>
      <c r="G4" s="0">
        <v>1</v>
      </c>
      <c r="H4" s="0">
        <v>0</v>
      </c>
      <c r="I4" s="0">
        <v>0.5</v>
      </c>
    </row>
    <row r="5">
      <c r="A5" s="0">
        <v>802</v>
      </c>
      <c r="B5" s="0">
        <v>2</v>
      </c>
      <c r="C5" s="0">
        <v>802</v>
      </c>
      <c r="D5" s="0">
        <v>-27.3</v>
      </c>
      <c r="E5" s="0">
        <v>30.7</v>
      </c>
      <c r="F5" s="0">
        <v>0</v>
      </c>
      <c r="G5" s="0">
        <v>1</v>
      </c>
      <c r="H5" s="0">
        <v>0</v>
      </c>
      <c r="I5" s="0">
        <v>0.5</v>
      </c>
    </row>
    <row r="6">
      <c r="A6" s="0">
        <v>803</v>
      </c>
      <c r="B6" s="0">
        <v>2</v>
      </c>
      <c r="C6" s="0">
        <v>803</v>
      </c>
      <c r="D6" s="0">
        <v>-25.3</v>
      </c>
      <c r="E6" s="0">
        <v>32.1</v>
      </c>
      <c r="F6" s="0">
        <v>-0.6</v>
      </c>
      <c r="G6" s="0">
        <v>1</v>
      </c>
      <c r="H6" s="0">
        <v>0</v>
      </c>
      <c r="I6" s="0">
        <v>0.5</v>
      </c>
    </row>
    <row r="7">
      <c r="A7" s="0">
        <v>804</v>
      </c>
      <c r="B7" s="0">
        <v>2</v>
      </c>
      <c r="C7" s="0">
        <v>804</v>
      </c>
      <c r="D7" s="0">
        <v>-32.63</v>
      </c>
      <c r="E7" s="0">
        <v>32.1</v>
      </c>
      <c r="F7" s="0">
        <v>0.5</v>
      </c>
      <c r="G7" s="0">
        <v>1</v>
      </c>
      <c r="H7" s="0">
        <v>0</v>
      </c>
      <c r="I7" s="0">
        <v>0.5</v>
      </c>
    </row>
    <row r="8">
      <c r="A8" s="0">
        <v>805</v>
      </c>
      <c r="B8" s="0">
        <v>2</v>
      </c>
      <c r="C8" s="0">
        <v>805</v>
      </c>
      <c r="D8" s="0">
        <v>-31.8</v>
      </c>
      <c r="E8" s="0">
        <v>29.2</v>
      </c>
      <c r="F8" s="0">
        <v>0</v>
      </c>
      <c r="G8" s="0">
        <v>-1</v>
      </c>
      <c r="H8" s="0">
        <v>0</v>
      </c>
      <c r="I8" s="0">
        <v>0.5</v>
      </c>
    </row>
    <row r="9">
      <c r="A9" s="0">
        <v>806</v>
      </c>
      <c r="B9" s="0">
        <v>2</v>
      </c>
      <c r="C9" s="0">
        <v>806</v>
      </c>
      <c r="D9" s="0">
        <v>-26.2</v>
      </c>
      <c r="E9" s="0">
        <v>29.2</v>
      </c>
      <c r="F9" s="0">
        <v>0</v>
      </c>
      <c r="G9" s="0">
        <v>-1</v>
      </c>
      <c r="H9" s="0">
        <v>0</v>
      </c>
      <c r="I9" s="0">
        <v>0.5</v>
      </c>
    </row>
    <row r="15">
      <c r="M15" s="0" t="s">
        <v>175</v>
      </c>
    </row>
    <row r="16" ht="14.25">
      <c r="A16" s="0">
        <v>2</v>
      </c>
      <c r="B16" s="2" t="s">
        <v>176</v>
      </c>
      <c r="D16" s="0">
        <v>40</v>
      </c>
      <c r="E16" s="0">
        <v>0</v>
      </c>
      <c r="F16" s="0" t="s">
        <v>177</v>
      </c>
      <c r="M16" s="0">
        <v>1</v>
      </c>
      <c r="N16" s="0" t="s">
        <v>178</v>
      </c>
    </row>
    <row r="17" ht="14.25">
      <c r="A17" s="0">
        <v>3</v>
      </c>
      <c r="B17" s="2" t="s">
        <v>179</v>
      </c>
      <c r="D17" s="0">
        <v>50</v>
      </c>
      <c r="E17" s="0">
        <v>1</v>
      </c>
      <c r="F17" s="0" t="s">
        <v>180</v>
      </c>
      <c r="M17" s="0">
        <v>2</v>
      </c>
      <c r="N17" s="0" t="s">
        <v>181</v>
      </c>
    </row>
    <row r="18">
      <c r="M18" s="0">
        <v>3</v>
      </c>
      <c r="N18" s="0" t="s">
        <v>182</v>
      </c>
    </row>
    <row r="19">
      <c r="M19" s="0">
        <v>4</v>
      </c>
      <c r="N19" s="0" t="s">
        <v>183</v>
      </c>
    </row>
    <row r="20">
      <c r="M20" s="0">
        <v>5</v>
      </c>
      <c r="N20" s="0" t="s">
        <v>184</v>
      </c>
    </row>
    <row r="21">
      <c r="M21" s="0">
        <v>6</v>
      </c>
      <c r="N21" s="0" t="s">
        <v>185</v>
      </c>
    </row>
    <row r="22">
      <c r="M22" s="0">
        <v>7</v>
      </c>
      <c r="N22" s="0" t="s">
        <v>186</v>
      </c>
    </row>
    <row r="23">
      <c r="M23" s="0">
        <v>8</v>
      </c>
      <c r="N23" s="0" t="s">
        <v>187</v>
      </c>
    </row>
    <row r="24">
      <c r="M24" s="0">
        <v>9</v>
      </c>
      <c r="N24" s="0" t="s">
        <v>188</v>
      </c>
    </row>
    <row r="25">
      <c r="M25" s="0">
        <v>10</v>
      </c>
      <c r="N25" s="0" t="s">
        <v>189</v>
      </c>
    </row>
    <row r="26">
      <c r="M26" s="0">
        <v>11</v>
      </c>
      <c r="N26" s="0" t="s">
        <v>190</v>
      </c>
    </row>
    <row r="27">
      <c r="M27" s="0">
        <v>12</v>
      </c>
      <c r="N27" s="0" t="s">
        <v>191</v>
      </c>
    </row>
  </sheetData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AB133"/>
  <sheetViews>
    <sheetView topLeftCell="A40" workbookViewId="0">
      <selection activeCell="F58" sqref="F58"/>
    </sheetView>
  </sheetViews>
  <sheetFormatPr defaultColWidth="9" defaultRowHeight="13.5"/>
  <sheetData>
    <row r="1">
      <c r="A1" s="0" t="s">
        <v>192</v>
      </c>
      <c r="B1" s="0" t="s">
        <v>193</v>
      </c>
      <c r="C1" s="0" t="s">
        <v>194</v>
      </c>
      <c r="D1" s="0" t="s">
        <v>195</v>
      </c>
      <c r="H1" s="0" t="s">
        <v>196</v>
      </c>
      <c r="L1" s="0" t="s">
        <v>197</v>
      </c>
      <c r="P1" s="0" t="s">
        <v>198</v>
      </c>
      <c r="U1" s="0" t="e">
        <f>ROUND(VLOOKUP($C1,Sheet3!$A$1:$S$50,9+S1,0),0)</f>
        <v>#N/A</v>
      </c>
      <c r="V1" s="0" t="e">
        <f>ROUND(VLOOKUP($C1,Sheet3!$A$1:$S$50,10+S1,0),0)</f>
        <v>#N/A</v>
      </c>
      <c r="W1" s="0" t="e">
        <f>ROUND(VLOOKUP($C1,Sheet3!$A$1:$S$50,8+S1,0),0)</f>
        <v>#N/A</v>
      </c>
    </row>
    <row r="2">
      <c r="D2" s="0" t="s">
        <v>199</v>
      </c>
      <c r="E2" s="0" t="s">
        <v>19</v>
      </c>
      <c r="F2" s="0" t="s">
        <v>20</v>
      </c>
      <c r="G2" s="0" t="s">
        <v>200</v>
      </c>
      <c r="H2" s="0" t="s">
        <v>199</v>
      </c>
      <c r="I2" s="0" t="s">
        <v>19</v>
      </c>
      <c r="J2" s="0" t="s">
        <v>20</v>
      </c>
      <c r="K2" s="0" t="s">
        <v>22</v>
      </c>
      <c r="L2" s="0" t="s">
        <v>199</v>
      </c>
      <c r="M2" s="0" t="s">
        <v>19</v>
      </c>
      <c r="N2" s="0" t="s">
        <v>20</v>
      </c>
      <c r="O2" s="0" t="s">
        <v>22</v>
      </c>
      <c r="P2" s="0" t="s">
        <v>199</v>
      </c>
      <c r="Q2" s="0" t="s">
        <v>19</v>
      </c>
      <c r="R2" s="0" t="s">
        <v>20</v>
      </c>
      <c r="S2" s="0" t="s">
        <v>22</v>
      </c>
      <c r="X2" s="0">
        <v>0</v>
      </c>
      <c r="Z2" s="0">
        <v>2645</v>
      </c>
      <c r="AA2" s="0">
        <v>759</v>
      </c>
      <c r="AB2" s="0">
        <v>11960</v>
      </c>
    </row>
    <row r="3">
      <c r="A3" s="0" t="s">
        <v>154</v>
      </c>
      <c r="B3" s="0" t="s">
        <v>201</v>
      </c>
      <c r="C3" s="0" t="s">
        <v>202</v>
      </c>
      <c r="D3" s="0">
        <v>1500</v>
      </c>
      <c r="E3" s="0">
        <v>7500</v>
      </c>
      <c r="F3" s="0">
        <v>1000</v>
      </c>
      <c r="G3" s="0">
        <v>10000</v>
      </c>
      <c r="H3" s="0">
        <v>14375</v>
      </c>
      <c r="I3" s="0">
        <v>3450</v>
      </c>
      <c r="J3" s="0">
        <v>862.5</v>
      </c>
      <c r="K3" s="0">
        <v>565</v>
      </c>
      <c r="L3" s="0">
        <v>20125</v>
      </c>
      <c r="M3" s="0">
        <v>4830</v>
      </c>
      <c r="N3" s="0">
        <v>1207.5</v>
      </c>
      <c r="O3" s="0">
        <v>565</v>
      </c>
      <c r="P3" s="0">
        <v>28750</v>
      </c>
      <c r="Q3" s="0">
        <v>6900</v>
      </c>
      <c r="R3" s="0">
        <v>1725</v>
      </c>
      <c r="S3" s="0">
        <v>565</v>
      </c>
      <c r="X3" s="0">
        <v>4</v>
      </c>
      <c r="Z3" s="0">
        <v>3703</v>
      </c>
      <c r="AA3" s="0">
        <v>1063</v>
      </c>
      <c r="AB3" s="0">
        <v>16744</v>
      </c>
    </row>
    <row r="4">
      <c r="A4" s="0" t="s">
        <v>203</v>
      </c>
      <c r="B4" s="0" t="s">
        <v>201</v>
      </c>
      <c r="C4" s="0" t="s">
        <v>202</v>
      </c>
      <c r="D4" s="0">
        <v>2500</v>
      </c>
      <c r="E4" s="0">
        <v>6000</v>
      </c>
      <c r="F4" s="0">
        <v>1500</v>
      </c>
      <c r="G4" s="0">
        <v>10000</v>
      </c>
      <c r="H4" s="0">
        <v>16675</v>
      </c>
      <c r="I4" s="0">
        <v>2932.5</v>
      </c>
      <c r="J4" s="0">
        <v>1150</v>
      </c>
      <c r="K4" s="0">
        <v>492</v>
      </c>
      <c r="L4" s="0">
        <v>23345</v>
      </c>
      <c r="M4" s="0">
        <v>4105.5</v>
      </c>
      <c r="N4" s="0">
        <v>1610</v>
      </c>
      <c r="O4" s="0">
        <v>492</v>
      </c>
      <c r="P4" s="0">
        <v>33350</v>
      </c>
      <c r="Q4" s="0">
        <v>5865</v>
      </c>
      <c r="R4" s="0">
        <v>2300</v>
      </c>
      <c r="S4" s="0">
        <v>492</v>
      </c>
      <c r="X4" s="0">
        <v>8</v>
      </c>
      <c r="Z4" s="0">
        <v>5290</v>
      </c>
      <c r="AA4" s="0">
        <v>1518</v>
      </c>
      <c r="AB4" s="0">
        <v>23920</v>
      </c>
    </row>
    <row r="5">
      <c r="A5" s="0" t="s">
        <v>159</v>
      </c>
      <c r="B5" s="0" t="s">
        <v>201</v>
      </c>
      <c r="C5" s="0" t="s">
        <v>204</v>
      </c>
      <c r="D5" s="0">
        <v>2550</v>
      </c>
      <c r="E5" s="0">
        <v>5450</v>
      </c>
      <c r="F5" s="0">
        <v>2000</v>
      </c>
      <c r="G5" s="0">
        <v>10000</v>
      </c>
      <c r="H5" s="0">
        <v>17250</v>
      </c>
      <c r="I5" s="0">
        <v>2731.25</v>
      </c>
      <c r="J5" s="0">
        <v>1293.75</v>
      </c>
      <c r="K5" s="0">
        <v>536</v>
      </c>
      <c r="L5" s="0">
        <v>24150</v>
      </c>
      <c r="M5" s="0">
        <v>3823.75</v>
      </c>
      <c r="N5" s="0">
        <v>1811.25</v>
      </c>
      <c r="O5" s="0">
        <v>536</v>
      </c>
      <c r="P5" s="0">
        <v>34500</v>
      </c>
      <c r="Q5" s="0">
        <v>5462.5</v>
      </c>
      <c r="R5" s="0">
        <v>2587.5</v>
      </c>
      <c r="S5" s="0">
        <v>536</v>
      </c>
      <c r="X5" s="0">
        <v>0</v>
      </c>
      <c r="Z5" s="0">
        <v>2760</v>
      </c>
      <c r="AA5" s="0">
        <v>805</v>
      </c>
      <c r="AB5" s="0">
        <v>10350</v>
      </c>
    </row>
    <row r="6">
      <c r="A6" s="0" t="s">
        <v>156</v>
      </c>
      <c r="B6" s="0" t="s">
        <v>201</v>
      </c>
      <c r="C6" s="0" t="s">
        <v>205</v>
      </c>
      <c r="D6" s="0">
        <v>3250</v>
      </c>
      <c r="E6" s="0">
        <v>4500</v>
      </c>
      <c r="F6" s="0">
        <v>2250</v>
      </c>
      <c r="G6" s="0">
        <v>10000</v>
      </c>
      <c r="H6" s="0">
        <v>21562.5</v>
      </c>
      <c r="I6" s="0">
        <v>2242.5</v>
      </c>
      <c r="J6" s="0">
        <v>1351.25</v>
      </c>
      <c r="K6" s="0">
        <v>469</v>
      </c>
      <c r="L6" s="0">
        <v>30187.5</v>
      </c>
      <c r="M6" s="0">
        <v>3139.5</v>
      </c>
      <c r="N6" s="0">
        <v>1891.75</v>
      </c>
      <c r="O6" s="0">
        <v>469</v>
      </c>
      <c r="P6" s="0">
        <v>43125</v>
      </c>
      <c r="Q6" s="0">
        <v>4485</v>
      </c>
      <c r="R6" s="0">
        <v>2702.5</v>
      </c>
      <c r="S6" s="0">
        <v>469</v>
      </c>
      <c r="X6" s="0">
        <v>4</v>
      </c>
      <c r="Z6" s="0">
        <v>3864</v>
      </c>
      <c r="AA6" s="0">
        <v>1127</v>
      </c>
      <c r="AB6" s="0">
        <v>14490</v>
      </c>
    </row>
    <row r="7">
      <c r="A7" s="0" t="s">
        <v>128</v>
      </c>
      <c r="B7" s="0" t="s">
        <v>201</v>
      </c>
      <c r="C7" s="0" t="s">
        <v>206</v>
      </c>
      <c r="D7" s="0">
        <v>1500</v>
      </c>
      <c r="E7" s="0">
        <v>7000</v>
      </c>
      <c r="F7" s="0">
        <v>1500</v>
      </c>
      <c r="G7" s="0">
        <v>10000</v>
      </c>
      <c r="H7" s="0">
        <v>14950</v>
      </c>
      <c r="I7" s="0">
        <v>3248.75</v>
      </c>
      <c r="J7" s="0">
        <v>1006.25</v>
      </c>
      <c r="K7" s="0">
        <v>505</v>
      </c>
      <c r="L7" s="0">
        <v>20930</v>
      </c>
      <c r="M7" s="0">
        <v>4548.25</v>
      </c>
      <c r="N7" s="0">
        <v>1408.75</v>
      </c>
      <c r="O7" s="0">
        <v>505</v>
      </c>
      <c r="P7" s="0">
        <v>29900</v>
      </c>
      <c r="Q7" s="0">
        <v>6497.5</v>
      </c>
      <c r="R7" s="0">
        <v>2012.5</v>
      </c>
      <c r="S7" s="0">
        <v>505</v>
      </c>
      <c r="X7" s="0">
        <v>8</v>
      </c>
      <c r="Z7" s="0">
        <v>5520</v>
      </c>
      <c r="AA7" s="0">
        <v>1610</v>
      </c>
      <c r="AB7" s="0">
        <v>20700</v>
      </c>
    </row>
    <row r="8">
      <c r="A8" s="0" t="s">
        <v>163</v>
      </c>
      <c r="B8" s="0" t="s">
        <v>201</v>
      </c>
      <c r="C8" s="0" t="s">
        <v>207</v>
      </c>
      <c r="D8" s="0">
        <v>2000</v>
      </c>
      <c r="E8" s="0">
        <v>6500</v>
      </c>
      <c r="F8" s="0">
        <v>1500</v>
      </c>
      <c r="G8" s="0">
        <v>10000</v>
      </c>
      <c r="H8" s="0">
        <v>15525</v>
      </c>
      <c r="I8" s="0">
        <v>3018.75</v>
      </c>
      <c r="J8" s="0">
        <v>1178.75</v>
      </c>
      <c r="K8" s="0">
        <v>550</v>
      </c>
      <c r="L8" s="0">
        <v>21735</v>
      </c>
      <c r="M8" s="0">
        <v>4226.25</v>
      </c>
      <c r="N8" s="0">
        <v>1650.25</v>
      </c>
      <c r="O8" s="0">
        <v>550</v>
      </c>
      <c r="P8" s="0">
        <v>31050</v>
      </c>
      <c r="Q8" s="0">
        <v>6037.5</v>
      </c>
      <c r="R8" s="0">
        <v>2357.5</v>
      </c>
      <c r="S8" s="0">
        <v>550</v>
      </c>
      <c r="X8" s="0">
        <v>0</v>
      </c>
      <c r="Z8" s="0">
        <v>2323</v>
      </c>
      <c r="AA8" s="0">
        <v>851</v>
      </c>
      <c r="AB8" s="0">
        <v>14260</v>
      </c>
    </row>
    <row r="9">
      <c r="A9" s="0" t="s">
        <v>130</v>
      </c>
      <c r="B9" s="0" t="s">
        <v>208</v>
      </c>
      <c r="C9" s="0" t="s">
        <v>209</v>
      </c>
      <c r="D9" s="0">
        <v>1800</v>
      </c>
      <c r="E9" s="0">
        <v>6900</v>
      </c>
      <c r="F9" s="0">
        <v>1300</v>
      </c>
      <c r="G9" s="0">
        <v>10000</v>
      </c>
      <c r="H9" s="0">
        <v>15021.875</v>
      </c>
      <c r="I9" s="0">
        <v>2867.8125</v>
      </c>
      <c r="J9" s="0">
        <v>1092.5</v>
      </c>
      <c r="K9" s="0">
        <v>490</v>
      </c>
      <c r="L9" s="0">
        <v>21030.625</v>
      </c>
      <c r="M9" s="0">
        <v>4014.9375</v>
      </c>
      <c r="N9" s="0">
        <v>1529.5</v>
      </c>
      <c r="O9" s="0">
        <v>490</v>
      </c>
      <c r="P9" s="0">
        <v>30043.75</v>
      </c>
      <c r="Q9" s="0">
        <v>5735.625</v>
      </c>
      <c r="R9" s="0">
        <v>2185</v>
      </c>
      <c r="S9" s="0">
        <v>490</v>
      </c>
      <c r="X9" s="0">
        <v>4</v>
      </c>
      <c r="Z9" s="0">
        <v>3252</v>
      </c>
      <c r="AA9" s="0">
        <v>1191</v>
      </c>
      <c r="AB9" s="0">
        <v>19964</v>
      </c>
    </row>
    <row r="10">
      <c r="A10" s="0" t="s">
        <v>138</v>
      </c>
      <c r="B10" s="0" t="s">
        <v>208</v>
      </c>
      <c r="C10" s="0" t="s">
        <v>210</v>
      </c>
      <c r="D10" s="0">
        <v>1400</v>
      </c>
      <c r="E10" s="0">
        <v>7200</v>
      </c>
      <c r="F10" s="0">
        <v>1400</v>
      </c>
      <c r="G10" s="0">
        <v>10000</v>
      </c>
      <c r="H10" s="0">
        <v>15295</v>
      </c>
      <c r="I10" s="0">
        <v>3031.6875</v>
      </c>
      <c r="J10" s="0">
        <v>901.3125</v>
      </c>
      <c r="K10" s="0">
        <v>542</v>
      </c>
      <c r="L10" s="0">
        <v>21413</v>
      </c>
      <c r="M10" s="0">
        <v>4244.3625</v>
      </c>
      <c r="N10" s="0">
        <v>1261.8375</v>
      </c>
      <c r="O10" s="0">
        <v>542</v>
      </c>
      <c r="P10" s="0">
        <v>30590</v>
      </c>
      <c r="Q10" s="0">
        <v>6063.375</v>
      </c>
      <c r="R10" s="0">
        <v>1802.625</v>
      </c>
      <c r="S10" s="0">
        <v>542</v>
      </c>
      <c r="X10" s="0">
        <v>8</v>
      </c>
      <c r="Z10" s="0">
        <v>4646</v>
      </c>
      <c r="AA10" s="0">
        <v>1702</v>
      </c>
      <c r="AB10" s="0">
        <v>28520</v>
      </c>
    </row>
    <row r="11">
      <c r="A11" s="0" t="s">
        <v>141</v>
      </c>
      <c r="B11" s="0" t="s">
        <v>208</v>
      </c>
      <c r="C11" s="0" t="s">
        <v>205</v>
      </c>
      <c r="D11" s="0">
        <v>3150</v>
      </c>
      <c r="E11" s="0">
        <v>4500</v>
      </c>
      <c r="F11" s="0">
        <v>2350</v>
      </c>
      <c r="G11" s="0">
        <v>10000</v>
      </c>
      <c r="H11" s="0">
        <v>18572.5</v>
      </c>
      <c r="I11" s="0">
        <v>2239.625</v>
      </c>
      <c r="J11" s="0">
        <v>1365.625</v>
      </c>
      <c r="K11" s="0">
        <v>455</v>
      </c>
      <c r="L11" s="0">
        <v>26001.5</v>
      </c>
      <c r="M11" s="0">
        <v>3135.475</v>
      </c>
      <c r="N11" s="0">
        <v>1911.875</v>
      </c>
      <c r="O11" s="0">
        <v>455</v>
      </c>
      <c r="P11" s="0">
        <v>37145</v>
      </c>
      <c r="Q11" s="0">
        <v>4479.25</v>
      </c>
      <c r="R11" s="0">
        <v>2731.25</v>
      </c>
      <c r="S11" s="0">
        <v>455</v>
      </c>
      <c r="X11" s="0">
        <v>0</v>
      </c>
      <c r="Z11" s="0">
        <v>1679</v>
      </c>
      <c r="AA11" s="0">
        <v>1081</v>
      </c>
      <c r="AB11" s="0">
        <v>18400</v>
      </c>
    </row>
    <row r="12">
      <c r="A12" s="0" t="s">
        <v>136</v>
      </c>
      <c r="B12" s="0" t="s">
        <v>208</v>
      </c>
      <c r="C12" s="0" t="s">
        <v>205</v>
      </c>
      <c r="D12" s="0">
        <v>2800</v>
      </c>
      <c r="E12" s="0">
        <v>4600</v>
      </c>
      <c r="F12" s="0">
        <v>2600</v>
      </c>
      <c r="G12" s="0">
        <v>10000</v>
      </c>
      <c r="H12" s="0">
        <v>17480</v>
      </c>
      <c r="I12" s="0">
        <v>2294.25</v>
      </c>
      <c r="J12" s="0">
        <v>1420.25</v>
      </c>
      <c r="K12" s="0">
        <v>506</v>
      </c>
      <c r="L12" s="0">
        <v>24472</v>
      </c>
      <c r="M12" s="0">
        <v>3211.95</v>
      </c>
      <c r="N12" s="0">
        <v>1988.35</v>
      </c>
      <c r="O12" s="0">
        <v>506</v>
      </c>
      <c r="P12" s="0">
        <v>34960</v>
      </c>
      <c r="Q12" s="0">
        <v>4588.5</v>
      </c>
      <c r="R12" s="0">
        <v>2840.5</v>
      </c>
      <c r="S12" s="0">
        <v>506</v>
      </c>
      <c r="X12" s="0">
        <v>4</v>
      </c>
      <c r="Z12" s="0">
        <v>2351</v>
      </c>
      <c r="AA12" s="0">
        <v>1513</v>
      </c>
      <c r="AB12" s="0">
        <v>25760</v>
      </c>
    </row>
    <row r="13">
      <c r="A13" s="0" t="s">
        <v>211</v>
      </c>
      <c r="B13" s="0" t="s">
        <v>208</v>
      </c>
      <c r="C13" s="0" t="s">
        <v>212</v>
      </c>
      <c r="D13" s="0">
        <v>1250</v>
      </c>
      <c r="E13" s="0">
        <v>7600</v>
      </c>
      <c r="F13" s="0">
        <v>1150</v>
      </c>
      <c r="G13" s="0">
        <v>10000</v>
      </c>
      <c r="H13" s="0">
        <v>14748.75</v>
      </c>
      <c r="I13" s="0">
        <v>3195.5625</v>
      </c>
      <c r="J13" s="0">
        <v>792.0625</v>
      </c>
      <c r="K13" s="0">
        <v>600</v>
      </c>
      <c r="L13" s="0">
        <v>20648.25</v>
      </c>
      <c r="M13" s="0">
        <v>4473.7875</v>
      </c>
      <c r="N13" s="0">
        <v>1108.8875</v>
      </c>
      <c r="O13" s="0">
        <v>600</v>
      </c>
      <c r="P13" s="0">
        <v>29497.5</v>
      </c>
      <c r="Q13" s="0">
        <v>6391.125</v>
      </c>
      <c r="R13" s="0">
        <v>1584.125</v>
      </c>
      <c r="S13" s="0">
        <v>600</v>
      </c>
      <c r="X13" s="0">
        <v>8</v>
      </c>
      <c r="Z13" s="0">
        <v>3358</v>
      </c>
      <c r="AA13" s="0">
        <v>2162</v>
      </c>
      <c r="AB13" s="0">
        <v>36800</v>
      </c>
    </row>
    <row r="14">
      <c r="A14" s="0" t="s">
        <v>213</v>
      </c>
      <c r="B14" s="0" t="s">
        <v>208</v>
      </c>
      <c r="C14" s="0" t="s">
        <v>205</v>
      </c>
      <c r="D14" s="0">
        <v>3500</v>
      </c>
      <c r="E14" s="0">
        <v>4000</v>
      </c>
      <c r="F14" s="0">
        <v>2500</v>
      </c>
      <c r="G14" s="0">
        <v>10000</v>
      </c>
      <c r="H14" s="0">
        <v>19938.125</v>
      </c>
      <c r="I14" s="0">
        <v>2130.375</v>
      </c>
      <c r="J14" s="0">
        <v>1338.3125</v>
      </c>
      <c r="K14" s="0">
        <v>445</v>
      </c>
      <c r="L14" s="0">
        <v>27913.375</v>
      </c>
      <c r="M14" s="0">
        <v>2982.525</v>
      </c>
      <c r="N14" s="0">
        <v>1873.6375</v>
      </c>
      <c r="O14" s="0">
        <v>445</v>
      </c>
      <c r="P14" s="0">
        <v>39876.25</v>
      </c>
      <c r="Q14" s="0">
        <v>4260.75</v>
      </c>
      <c r="R14" s="0">
        <v>2676.625</v>
      </c>
      <c r="S14" s="0">
        <v>445</v>
      </c>
      <c r="X14" s="0">
        <v>0</v>
      </c>
      <c r="Z14" s="0">
        <v>2231</v>
      </c>
      <c r="AA14" s="0">
        <v>1001</v>
      </c>
      <c r="AB14" s="0">
        <v>13685</v>
      </c>
    </row>
    <row r="15">
      <c r="A15" s="0" t="s">
        <v>147</v>
      </c>
      <c r="B15" s="0" t="s">
        <v>208</v>
      </c>
      <c r="C15" s="0" t="s">
        <v>214</v>
      </c>
      <c r="D15" s="0">
        <v>2500</v>
      </c>
      <c r="E15" s="0">
        <v>5700</v>
      </c>
      <c r="F15" s="0">
        <v>1800</v>
      </c>
      <c r="G15" s="0">
        <v>10000</v>
      </c>
      <c r="H15" s="0">
        <v>16933.75</v>
      </c>
      <c r="I15" s="0">
        <v>2649.3125</v>
      </c>
      <c r="J15" s="0">
        <v>1119.8125</v>
      </c>
      <c r="K15" s="0">
        <v>468</v>
      </c>
      <c r="L15" s="0">
        <v>23707.25</v>
      </c>
      <c r="M15" s="0">
        <v>3709.0375</v>
      </c>
      <c r="N15" s="0">
        <v>1567.7375</v>
      </c>
      <c r="O15" s="0">
        <v>468</v>
      </c>
      <c r="P15" s="0">
        <v>33867.5</v>
      </c>
      <c r="Q15" s="0">
        <v>5298.625</v>
      </c>
      <c r="R15" s="0">
        <v>2239.625</v>
      </c>
      <c r="S15" s="0">
        <v>468</v>
      </c>
      <c r="X15" s="0">
        <v>4</v>
      </c>
      <c r="Z15" s="0">
        <v>3123</v>
      </c>
      <c r="AA15" s="0">
        <v>1401</v>
      </c>
      <c r="AB15" s="0">
        <v>19159</v>
      </c>
    </row>
    <row r="16">
      <c r="A16" s="0" t="s">
        <v>151</v>
      </c>
      <c r="B16" s="0" t="s">
        <v>208</v>
      </c>
      <c r="C16" s="0" t="s">
        <v>212</v>
      </c>
      <c r="D16" s="0">
        <v>1500</v>
      </c>
      <c r="E16" s="0">
        <v>7000</v>
      </c>
      <c r="F16" s="0">
        <v>1500</v>
      </c>
      <c r="G16" s="0">
        <v>10000</v>
      </c>
      <c r="H16" s="0">
        <v>14339.0625</v>
      </c>
      <c r="I16" s="0">
        <v>3168.25</v>
      </c>
      <c r="J16" s="0">
        <v>860.34375</v>
      </c>
      <c r="K16" s="0">
        <v>557</v>
      </c>
      <c r="L16" s="0">
        <v>20074.6875</v>
      </c>
      <c r="M16" s="0">
        <v>4435.55</v>
      </c>
      <c r="N16" s="0">
        <v>1204.48125</v>
      </c>
      <c r="O16" s="0">
        <v>557</v>
      </c>
      <c r="P16" s="0">
        <v>28678.125</v>
      </c>
      <c r="Q16" s="0">
        <v>6336.5</v>
      </c>
      <c r="R16" s="0">
        <v>1720.6875</v>
      </c>
      <c r="S16" s="0">
        <v>557</v>
      </c>
      <c r="X16" s="0">
        <v>8</v>
      </c>
      <c r="Z16" s="0">
        <v>4462</v>
      </c>
      <c r="AA16" s="0">
        <v>2001</v>
      </c>
      <c r="AB16" s="0">
        <v>27370</v>
      </c>
    </row>
    <row r="17">
      <c r="A17" s="0" t="s">
        <v>153</v>
      </c>
      <c r="B17" s="0" t="s">
        <v>208</v>
      </c>
      <c r="C17" s="0" t="s">
        <v>215</v>
      </c>
      <c r="D17" s="0">
        <v>2000</v>
      </c>
      <c r="E17" s="0">
        <v>6000</v>
      </c>
      <c r="F17" s="0">
        <v>2000</v>
      </c>
      <c r="G17" s="0">
        <v>10000</v>
      </c>
      <c r="H17" s="0">
        <v>18026.25</v>
      </c>
      <c r="I17" s="0">
        <v>2485.4375</v>
      </c>
      <c r="J17" s="0">
        <v>1174.4375</v>
      </c>
      <c r="K17" s="0">
        <v>527</v>
      </c>
      <c r="L17" s="0">
        <v>25236.75</v>
      </c>
      <c r="M17" s="0">
        <v>3479.6125</v>
      </c>
      <c r="N17" s="0">
        <v>1644.2125</v>
      </c>
      <c r="O17" s="0">
        <v>527</v>
      </c>
      <c r="P17" s="0">
        <v>36052.5</v>
      </c>
      <c r="Q17" s="0">
        <v>4970.875</v>
      </c>
      <c r="R17" s="0">
        <v>2348.875</v>
      </c>
      <c r="S17" s="0">
        <v>527</v>
      </c>
      <c r="X17" s="0">
        <v>0</v>
      </c>
      <c r="Z17" s="0">
        <v>2783</v>
      </c>
      <c r="AA17" s="0">
        <v>667</v>
      </c>
      <c r="AB17" s="0">
        <v>11500</v>
      </c>
    </row>
    <row r="18">
      <c r="A18" s="0" t="s">
        <v>164</v>
      </c>
      <c r="B18" s="0" t="s">
        <v>208</v>
      </c>
      <c r="C18" s="0" t="s">
        <v>215</v>
      </c>
      <c r="D18" s="0">
        <v>2400</v>
      </c>
      <c r="E18" s="0">
        <v>6100</v>
      </c>
      <c r="F18" s="0">
        <v>1500</v>
      </c>
      <c r="G18" s="0">
        <v>10000</v>
      </c>
      <c r="H18" s="0">
        <v>16114.375</v>
      </c>
      <c r="I18" s="0">
        <v>2594.6875</v>
      </c>
      <c r="J18" s="0">
        <v>1256.375</v>
      </c>
      <c r="K18" s="0">
        <v>560</v>
      </c>
      <c r="L18" s="0">
        <v>22560.125</v>
      </c>
      <c r="M18" s="0">
        <v>3632.5625</v>
      </c>
      <c r="N18" s="0">
        <v>1758.925</v>
      </c>
      <c r="O18" s="0">
        <v>560</v>
      </c>
      <c r="P18" s="0">
        <v>32228.75</v>
      </c>
      <c r="Q18" s="0">
        <v>5189.375</v>
      </c>
      <c r="R18" s="0">
        <v>2512.75</v>
      </c>
      <c r="S18" s="0">
        <v>560</v>
      </c>
      <c r="X18" s="0">
        <v>4</v>
      </c>
      <c r="Z18" s="0">
        <v>3896</v>
      </c>
      <c r="AA18" s="0">
        <v>934</v>
      </c>
      <c r="AB18" s="0">
        <v>16100</v>
      </c>
    </row>
    <row r="19">
      <c r="A19" s="0" t="s">
        <v>162</v>
      </c>
      <c r="B19" s="0" t="s">
        <v>208</v>
      </c>
      <c r="C19" s="0" t="s">
        <v>205</v>
      </c>
      <c r="D19" s="0">
        <v>2750</v>
      </c>
      <c r="E19" s="0">
        <v>4500</v>
      </c>
      <c r="F19" s="0">
        <v>2750</v>
      </c>
      <c r="G19" s="0">
        <v>10000</v>
      </c>
      <c r="H19" s="0">
        <v>17070.3125</v>
      </c>
      <c r="I19" s="0">
        <v>2307.90625</v>
      </c>
      <c r="J19" s="0">
        <v>1447.5625</v>
      </c>
      <c r="K19" s="0">
        <v>500</v>
      </c>
      <c r="L19" s="0">
        <v>23898.4375</v>
      </c>
      <c r="M19" s="0">
        <v>3231.06875</v>
      </c>
      <c r="N19" s="0">
        <v>2026.5875</v>
      </c>
      <c r="O19" s="0">
        <v>500</v>
      </c>
      <c r="P19" s="0">
        <v>34140.625</v>
      </c>
      <c r="Q19" s="0">
        <v>4615.8125</v>
      </c>
      <c r="R19" s="0">
        <v>2895.125</v>
      </c>
      <c r="S19" s="0">
        <v>500</v>
      </c>
      <c r="X19" s="0">
        <v>8</v>
      </c>
      <c r="Z19" s="0">
        <v>5566</v>
      </c>
      <c r="AA19" s="0">
        <v>1334</v>
      </c>
      <c r="AB19" s="0">
        <v>23000</v>
      </c>
    </row>
    <row r="20">
      <c r="A20" s="0" t="s">
        <v>99</v>
      </c>
      <c r="B20" s="0" t="s">
        <v>216</v>
      </c>
      <c r="C20" s="0" t="s">
        <v>205</v>
      </c>
      <c r="D20" s="0">
        <v>2750</v>
      </c>
      <c r="E20" s="0">
        <v>4500</v>
      </c>
      <c r="F20" s="0">
        <v>2750</v>
      </c>
      <c r="G20" s="0">
        <v>10000</v>
      </c>
      <c r="H20" s="0">
        <v>18112.5</v>
      </c>
      <c r="I20" s="0">
        <v>2070</v>
      </c>
      <c r="J20" s="0">
        <v>1293.75</v>
      </c>
      <c r="K20" s="0">
        <v>410</v>
      </c>
      <c r="L20" s="0">
        <v>25357.5</v>
      </c>
      <c r="M20" s="0">
        <v>2898</v>
      </c>
      <c r="N20" s="0">
        <v>1811.25</v>
      </c>
      <c r="O20" s="0">
        <v>410</v>
      </c>
      <c r="P20" s="0">
        <v>36225</v>
      </c>
      <c r="Q20" s="0">
        <v>4140</v>
      </c>
      <c r="R20" s="0">
        <v>2587.5</v>
      </c>
      <c r="S20" s="0">
        <v>410</v>
      </c>
      <c r="X20" s="0">
        <v>0</v>
      </c>
      <c r="Z20" s="0">
        <v>2070</v>
      </c>
      <c r="AA20" s="0">
        <v>1294</v>
      </c>
      <c r="AB20" s="0">
        <v>18113</v>
      </c>
    </row>
    <row r="21">
      <c r="A21" s="0" t="s">
        <v>217</v>
      </c>
      <c r="B21" s="0" t="s">
        <v>216</v>
      </c>
      <c r="C21" s="0" t="s">
        <v>215</v>
      </c>
      <c r="D21" s="0">
        <v>2500</v>
      </c>
      <c r="E21" s="0">
        <v>6000</v>
      </c>
      <c r="F21" s="0">
        <v>1500</v>
      </c>
      <c r="G21" s="0">
        <v>10000</v>
      </c>
      <c r="H21" s="0">
        <v>14231.25</v>
      </c>
      <c r="I21" s="0">
        <v>2587.5</v>
      </c>
      <c r="J21" s="0">
        <v>1164.375</v>
      </c>
      <c r="K21" s="0">
        <v>420</v>
      </c>
      <c r="L21" s="0">
        <v>19923.75</v>
      </c>
      <c r="M21" s="0">
        <v>3622.5</v>
      </c>
      <c r="N21" s="0">
        <v>1630.125</v>
      </c>
      <c r="O21" s="0">
        <v>420</v>
      </c>
      <c r="P21" s="0">
        <v>28462.5</v>
      </c>
      <c r="Q21" s="0">
        <v>5175</v>
      </c>
      <c r="R21" s="0">
        <v>2328.75</v>
      </c>
      <c r="S21" s="0">
        <v>420</v>
      </c>
      <c r="X21" s="0">
        <v>4</v>
      </c>
      <c r="Z21" s="0">
        <v>2898</v>
      </c>
      <c r="AA21" s="0">
        <v>1811</v>
      </c>
      <c r="AB21" s="0">
        <v>25358</v>
      </c>
    </row>
    <row r="22">
      <c r="A22" s="0" t="s">
        <v>144</v>
      </c>
      <c r="B22" s="0" t="s">
        <v>216</v>
      </c>
      <c r="C22" s="0" t="s">
        <v>218</v>
      </c>
      <c r="D22" s="0">
        <v>2250</v>
      </c>
      <c r="E22" s="0">
        <v>6250</v>
      </c>
      <c r="F22" s="0">
        <v>1500</v>
      </c>
      <c r="G22" s="0">
        <v>10000</v>
      </c>
      <c r="H22" s="0">
        <v>12161.25</v>
      </c>
      <c r="I22" s="0">
        <v>2846.25</v>
      </c>
      <c r="J22" s="0">
        <v>1112.625</v>
      </c>
      <c r="K22" s="0">
        <v>465</v>
      </c>
      <c r="L22" s="0">
        <v>17025.75</v>
      </c>
      <c r="M22" s="0">
        <v>3984.75</v>
      </c>
      <c r="N22" s="0">
        <v>1557.675</v>
      </c>
      <c r="O22" s="0">
        <v>465</v>
      </c>
      <c r="P22" s="0">
        <v>24322.5</v>
      </c>
      <c r="Q22" s="0">
        <v>5692.5</v>
      </c>
      <c r="R22" s="0">
        <v>2225.25</v>
      </c>
      <c r="S22" s="0">
        <v>465</v>
      </c>
      <c r="X22" s="0">
        <v>8</v>
      </c>
      <c r="Z22" s="0">
        <v>4140</v>
      </c>
      <c r="AA22" s="0">
        <v>2588</v>
      </c>
      <c r="AB22" s="0">
        <v>36225</v>
      </c>
    </row>
    <row r="23">
      <c r="A23" s="0" t="s">
        <v>117</v>
      </c>
      <c r="B23" s="0" t="s">
        <v>216</v>
      </c>
      <c r="C23" s="0" t="s">
        <v>219</v>
      </c>
      <c r="D23" s="0">
        <v>2000</v>
      </c>
      <c r="E23" s="0">
        <v>6500</v>
      </c>
      <c r="F23" s="0">
        <v>1500</v>
      </c>
      <c r="G23" s="0">
        <v>10000</v>
      </c>
      <c r="H23" s="0">
        <v>15525</v>
      </c>
      <c r="I23" s="0">
        <v>2484</v>
      </c>
      <c r="J23" s="0">
        <v>1138.5</v>
      </c>
      <c r="K23" s="0">
        <v>435</v>
      </c>
      <c r="L23" s="0">
        <v>21735</v>
      </c>
      <c r="M23" s="0">
        <v>3477.6</v>
      </c>
      <c r="N23" s="0">
        <v>1593.9</v>
      </c>
      <c r="O23" s="0">
        <v>435</v>
      </c>
      <c r="P23" s="0">
        <v>31050</v>
      </c>
      <c r="Q23" s="0">
        <v>4968</v>
      </c>
      <c r="R23" s="0">
        <v>2277</v>
      </c>
      <c r="S23" s="0">
        <v>435</v>
      </c>
      <c r="X23" s="0">
        <v>0</v>
      </c>
      <c r="Z23" s="0">
        <v>2588</v>
      </c>
      <c r="AA23" s="0">
        <v>1164</v>
      </c>
      <c r="AB23" s="0">
        <v>14231</v>
      </c>
    </row>
    <row r="24">
      <c r="A24" s="0" t="s">
        <v>124</v>
      </c>
      <c r="B24" s="0" t="s">
        <v>216</v>
      </c>
      <c r="C24" s="0" t="s">
        <v>205</v>
      </c>
      <c r="D24" s="0">
        <v>2550</v>
      </c>
      <c r="E24" s="0">
        <v>4900</v>
      </c>
      <c r="F24" s="0">
        <v>2550</v>
      </c>
      <c r="G24" s="0">
        <v>10000</v>
      </c>
      <c r="H24" s="0">
        <v>15783.75</v>
      </c>
      <c r="I24" s="0">
        <v>2277</v>
      </c>
      <c r="J24" s="0">
        <v>1319.625</v>
      </c>
      <c r="K24" s="0">
        <v>460</v>
      </c>
      <c r="L24" s="0">
        <v>22097.25</v>
      </c>
      <c r="M24" s="0">
        <v>3187.8</v>
      </c>
      <c r="N24" s="0">
        <v>1847.475</v>
      </c>
      <c r="O24" s="0">
        <v>460</v>
      </c>
      <c r="P24" s="0">
        <v>31567.5</v>
      </c>
      <c r="Q24" s="0">
        <v>4554</v>
      </c>
      <c r="R24" s="0">
        <v>2639.25</v>
      </c>
      <c r="S24" s="0">
        <v>460</v>
      </c>
      <c r="X24" s="0">
        <v>4</v>
      </c>
      <c r="Z24" s="0">
        <v>3623</v>
      </c>
      <c r="AA24" s="0">
        <v>1630</v>
      </c>
      <c r="AB24" s="0">
        <v>19924</v>
      </c>
    </row>
    <row r="25">
      <c r="A25" s="0" t="s">
        <v>220</v>
      </c>
      <c r="B25" s="0" t="s">
        <v>216</v>
      </c>
      <c r="C25" s="0" t="s">
        <v>209</v>
      </c>
      <c r="D25" s="0">
        <v>1575</v>
      </c>
      <c r="E25" s="0">
        <v>6950</v>
      </c>
      <c r="F25" s="0">
        <v>1475</v>
      </c>
      <c r="G25" s="0">
        <v>10000</v>
      </c>
      <c r="H25" s="0">
        <v>13455</v>
      </c>
      <c r="I25" s="0">
        <v>2872.125</v>
      </c>
      <c r="J25" s="0">
        <v>957.375</v>
      </c>
      <c r="K25" s="0">
        <v>444</v>
      </c>
      <c r="L25" s="0">
        <v>18837</v>
      </c>
      <c r="M25" s="0">
        <v>4020.975</v>
      </c>
      <c r="N25" s="0">
        <v>1340.325</v>
      </c>
      <c r="O25" s="0">
        <v>444</v>
      </c>
      <c r="P25" s="0">
        <v>26910</v>
      </c>
      <c r="Q25" s="0">
        <v>5744.25</v>
      </c>
      <c r="R25" s="0">
        <v>1914.75</v>
      </c>
      <c r="S25" s="0">
        <v>444</v>
      </c>
      <c r="X25" s="0">
        <v>8</v>
      </c>
      <c r="Z25" s="0">
        <v>5175</v>
      </c>
      <c r="AA25" s="0">
        <v>2329</v>
      </c>
      <c r="AB25" s="0">
        <v>28463</v>
      </c>
    </row>
    <row r="26">
      <c r="A26" s="0" t="s">
        <v>134</v>
      </c>
      <c r="B26" s="0" t="s">
        <v>216</v>
      </c>
      <c r="C26" s="0" t="s">
        <v>209</v>
      </c>
      <c r="D26" s="0">
        <v>1825</v>
      </c>
      <c r="E26" s="0">
        <v>7050</v>
      </c>
      <c r="F26" s="0">
        <v>1125</v>
      </c>
      <c r="G26" s="0">
        <v>10000</v>
      </c>
      <c r="H26" s="0">
        <v>12937.5</v>
      </c>
      <c r="I26" s="0">
        <v>2975.625</v>
      </c>
      <c r="J26" s="0">
        <v>905.625</v>
      </c>
      <c r="K26" s="0">
        <v>500</v>
      </c>
      <c r="L26" s="0">
        <v>18112.5</v>
      </c>
      <c r="M26" s="0">
        <v>4165.875</v>
      </c>
      <c r="N26" s="0">
        <v>1267.875</v>
      </c>
      <c r="O26" s="0">
        <v>500</v>
      </c>
      <c r="P26" s="0">
        <v>25875</v>
      </c>
      <c r="Q26" s="0">
        <v>5951.25</v>
      </c>
      <c r="R26" s="0">
        <v>1811.25</v>
      </c>
      <c r="S26" s="0">
        <v>500</v>
      </c>
      <c r="X26" s="0">
        <v>0</v>
      </c>
      <c r="Z26" s="0">
        <v>2415</v>
      </c>
      <c r="AA26" s="0">
        <v>874</v>
      </c>
      <c r="AB26" s="0">
        <v>13110</v>
      </c>
    </row>
    <row r="27">
      <c r="A27" s="0" t="s">
        <v>120</v>
      </c>
      <c r="B27" s="0" t="s">
        <v>216</v>
      </c>
      <c r="C27" s="0" t="s">
        <v>219</v>
      </c>
      <c r="D27" s="0">
        <v>2025</v>
      </c>
      <c r="E27" s="0">
        <v>6700</v>
      </c>
      <c r="F27" s="0">
        <v>1275</v>
      </c>
      <c r="G27" s="0">
        <v>10000</v>
      </c>
      <c r="H27" s="0">
        <v>10479.375</v>
      </c>
      <c r="I27" s="0">
        <v>3467.25</v>
      </c>
      <c r="J27" s="0">
        <v>659.8125</v>
      </c>
      <c r="K27" s="0">
        <v>423</v>
      </c>
      <c r="L27" s="0">
        <v>14671.125</v>
      </c>
      <c r="M27" s="0">
        <v>4854.15</v>
      </c>
      <c r="N27" s="0">
        <v>923.7375</v>
      </c>
      <c r="O27" s="0">
        <v>423</v>
      </c>
      <c r="P27" s="0">
        <v>20958.75</v>
      </c>
      <c r="Q27" s="0">
        <v>6934.5</v>
      </c>
      <c r="R27" s="0">
        <v>1319.625</v>
      </c>
      <c r="S27" s="0">
        <v>423</v>
      </c>
      <c r="X27" s="0">
        <v>4</v>
      </c>
      <c r="Z27" s="0">
        <v>3381</v>
      </c>
      <c r="AA27" s="0">
        <v>1224</v>
      </c>
      <c r="AB27" s="0">
        <v>18354</v>
      </c>
    </row>
    <row r="28">
      <c r="A28" s="0" t="s">
        <v>122</v>
      </c>
      <c r="B28" s="0" t="s">
        <v>216</v>
      </c>
      <c r="C28" s="0" t="s">
        <v>202</v>
      </c>
      <c r="D28" s="0">
        <v>2200</v>
      </c>
      <c r="E28" s="0">
        <v>5950</v>
      </c>
      <c r="F28" s="0">
        <v>1850</v>
      </c>
      <c r="G28" s="0">
        <v>10000</v>
      </c>
      <c r="H28" s="0">
        <v>12420</v>
      </c>
      <c r="I28" s="0">
        <v>2923.875</v>
      </c>
      <c r="J28" s="0">
        <v>1009.125</v>
      </c>
      <c r="K28" s="0">
        <v>456</v>
      </c>
      <c r="L28" s="0">
        <v>17388</v>
      </c>
      <c r="M28" s="0">
        <v>4093.425</v>
      </c>
      <c r="N28" s="0">
        <v>1412.775</v>
      </c>
      <c r="O28" s="0">
        <v>456</v>
      </c>
      <c r="P28" s="0">
        <v>24840</v>
      </c>
      <c r="Q28" s="0">
        <v>5847.75</v>
      </c>
      <c r="R28" s="0">
        <v>2018.25</v>
      </c>
      <c r="S28" s="0">
        <v>456</v>
      </c>
      <c r="X28" s="0">
        <v>8</v>
      </c>
      <c r="Z28" s="0">
        <v>4830</v>
      </c>
      <c r="AA28" s="0">
        <v>1748</v>
      </c>
      <c r="AB28" s="0">
        <v>26220</v>
      </c>
    </row>
    <row r="29">
      <c r="A29" s="0" t="s">
        <v>140</v>
      </c>
      <c r="B29" s="0" t="s">
        <v>216</v>
      </c>
      <c r="C29" s="0" t="s">
        <v>209</v>
      </c>
      <c r="D29" s="0">
        <v>1650</v>
      </c>
      <c r="E29" s="0">
        <v>7150</v>
      </c>
      <c r="F29" s="0">
        <v>1200</v>
      </c>
      <c r="G29" s="0">
        <v>10000</v>
      </c>
      <c r="H29" s="0">
        <v>12808.125</v>
      </c>
      <c r="I29" s="0">
        <v>2962.6875</v>
      </c>
      <c r="J29" s="0">
        <v>931.5</v>
      </c>
      <c r="K29" s="0">
        <v>456</v>
      </c>
      <c r="L29" s="0">
        <v>17931.375</v>
      </c>
      <c r="M29" s="0">
        <v>4147.7625</v>
      </c>
      <c r="N29" s="0">
        <v>1304.1</v>
      </c>
      <c r="O29" s="0">
        <v>456</v>
      </c>
      <c r="P29" s="0">
        <v>25616.25</v>
      </c>
      <c r="Q29" s="0">
        <v>5925.375</v>
      </c>
      <c r="R29" s="0">
        <v>1863</v>
      </c>
      <c r="S29" s="0">
        <v>456</v>
      </c>
      <c r="X29" s="0">
        <v>0</v>
      </c>
      <c r="Z29" s="0">
        <v>2810</v>
      </c>
      <c r="AA29" s="0">
        <v>831</v>
      </c>
      <c r="AB29" s="0">
        <v>12463</v>
      </c>
    </row>
    <row r="30">
      <c r="A30" s="0" t="s">
        <v>221</v>
      </c>
      <c r="B30" s="0" t="s">
        <v>222</v>
      </c>
      <c r="C30" s="0" t="s">
        <v>215</v>
      </c>
      <c r="D30" s="0">
        <v>1250</v>
      </c>
      <c r="E30" s="0">
        <v>7500</v>
      </c>
      <c r="F30" s="0">
        <v>1250</v>
      </c>
      <c r="G30" s="0">
        <v>10000</v>
      </c>
      <c r="H30" s="0">
        <v>11974.375</v>
      </c>
      <c r="I30" s="0">
        <v>2981.375</v>
      </c>
      <c r="J30" s="0">
        <v>708.6875</v>
      </c>
      <c r="K30" s="0">
        <v>522</v>
      </c>
      <c r="L30" s="0">
        <v>16764.125</v>
      </c>
      <c r="M30" s="0">
        <v>4173.925</v>
      </c>
      <c r="N30" s="0">
        <v>992.1625</v>
      </c>
      <c r="O30" s="0">
        <v>522</v>
      </c>
      <c r="P30" s="0">
        <v>23948.75</v>
      </c>
      <c r="Q30" s="0">
        <v>5962.75</v>
      </c>
      <c r="R30" s="0">
        <v>1417.375</v>
      </c>
      <c r="S30" s="0">
        <v>522</v>
      </c>
      <c r="X30" s="0">
        <v>4</v>
      </c>
      <c r="Z30" s="0">
        <v>3934</v>
      </c>
      <c r="AA30" s="0">
        <v>1163</v>
      </c>
      <c r="AB30" s="0">
        <v>17448</v>
      </c>
    </row>
    <row r="31">
      <c r="A31" s="0" t="s">
        <v>223</v>
      </c>
      <c r="B31" s="0" t="s">
        <v>222</v>
      </c>
      <c r="C31" s="0" t="s">
        <v>224</v>
      </c>
      <c r="D31" s="0">
        <v>1200</v>
      </c>
      <c r="E31" s="0">
        <v>7200</v>
      </c>
      <c r="F31" s="0">
        <v>1600</v>
      </c>
      <c r="G31" s="0">
        <v>10000</v>
      </c>
      <c r="H31" s="0">
        <v>12463.125</v>
      </c>
      <c r="I31" s="0">
        <v>2810.3125</v>
      </c>
      <c r="J31" s="0">
        <v>830.875</v>
      </c>
      <c r="K31" s="0">
        <v>472</v>
      </c>
      <c r="L31" s="0">
        <v>17448.375</v>
      </c>
      <c r="M31" s="0">
        <v>3934.4375</v>
      </c>
      <c r="N31" s="0">
        <v>1163.225</v>
      </c>
      <c r="O31" s="0">
        <v>472</v>
      </c>
      <c r="P31" s="0">
        <v>24926.25</v>
      </c>
      <c r="Q31" s="0">
        <v>5620.625</v>
      </c>
      <c r="R31" s="0">
        <v>1661.75</v>
      </c>
      <c r="S31" s="0">
        <v>472</v>
      </c>
      <c r="X31" s="0">
        <v>8</v>
      </c>
      <c r="Z31" s="0">
        <v>5621</v>
      </c>
      <c r="AA31" s="0">
        <v>1662</v>
      </c>
      <c r="AB31" s="0">
        <v>24926</v>
      </c>
    </row>
    <row r="32">
      <c r="A32" s="0" t="s">
        <v>116</v>
      </c>
      <c r="B32" s="0" t="s">
        <v>222</v>
      </c>
      <c r="C32" s="0" t="s">
        <v>225</v>
      </c>
      <c r="D32" s="0">
        <v>2250</v>
      </c>
      <c r="E32" s="0">
        <v>5850</v>
      </c>
      <c r="F32" s="0">
        <v>1900</v>
      </c>
      <c r="G32" s="0">
        <v>10000</v>
      </c>
      <c r="H32" s="0">
        <v>15640</v>
      </c>
      <c r="I32" s="0">
        <v>2223.8125</v>
      </c>
      <c r="J32" s="0">
        <v>1099.6875</v>
      </c>
      <c r="K32" s="0">
        <v>407</v>
      </c>
      <c r="L32" s="0">
        <v>21896</v>
      </c>
      <c r="M32" s="0">
        <v>3113.3375</v>
      </c>
      <c r="N32" s="0">
        <v>1539.5625</v>
      </c>
      <c r="O32" s="0">
        <v>407</v>
      </c>
      <c r="P32" s="0">
        <v>31280</v>
      </c>
      <c r="Q32" s="0">
        <v>4447.625</v>
      </c>
      <c r="R32" s="0">
        <v>2199.375</v>
      </c>
      <c r="S32" s="0">
        <v>407</v>
      </c>
      <c r="X32" s="0">
        <v>0</v>
      </c>
      <c r="Z32" s="0">
        <v>2981</v>
      </c>
      <c r="AA32" s="0">
        <v>709</v>
      </c>
      <c r="AB32" s="0">
        <v>11974</v>
      </c>
    </row>
    <row r="33">
      <c r="A33" s="0" t="s">
        <v>118</v>
      </c>
      <c r="B33" s="0" t="s">
        <v>222</v>
      </c>
      <c r="C33" s="0" t="s">
        <v>226</v>
      </c>
      <c r="D33" s="0">
        <v>2050</v>
      </c>
      <c r="E33" s="0">
        <v>6150</v>
      </c>
      <c r="F33" s="0">
        <v>1800</v>
      </c>
      <c r="G33" s="0">
        <v>10000</v>
      </c>
      <c r="H33" s="0">
        <v>15151.25</v>
      </c>
      <c r="I33" s="0">
        <v>2346</v>
      </c>
      <c r="J33" s="0">
        <v>1026.375</v>
      </c>
      <c r="K33" s="0">
        <v>425</v>
      </c>
      <c r="L33" s="0">
        <v>21211.75</v>
      </c>
      <c r="M33" s="0">
        <v>3284.4</v>
      </c>
      <c r="N33" s="0">
        <v>1436.925</v>
      </c>
      <c r="O33" s="0">
        <v>425</v>
      </c>
      <c r="P33" s="0">
        <v>30302.5</v>
      </c>
      <c r="Q33" s="0">
        <v>4692</v>
      </c>
      <c r="R33" s="0">
        <v>2052.75</v>
      </c>
      <c r="S33" s="0">
        <v>425</v>
      </c>
      <c r="X33" s="0">
        <v>4</v>
      </c>
      <c r="Z33" s="0">
        <v>4174</v>
      </c>
      <c r="AA33" s="0">
        <v>992</v>
      </c>
      <c r="AB33" s="0">
        <v>16764</v>
      </c>
    </row>
    <row r="34">
      <c r="A34" s="0" t="s">
        <v>227</v>
      </c>
      <c r="B34" s="0" t="s">
        <v>222</v>
      </c>
      <c r="C34" s="0" t="s">
        <v>228</v>
      </c>
      <c r="D34" s="0">
        <v>3150</v>
      </c>
      <c r="E34" s="0">
        <v>4150</v>
      </c>
      <c r="F34" s="0">
        <v>2700</v>
      </c>
      <c r="G34" s="0">
        <v>10000</v>
      </c>
      <c r="H34" s="0">
        <v>18572.5</v>
      </c>
      <c r="I34" s="0">
        <v>2028.3125</v>
      </c>
      <c r="J34" s="0">
        <v>1001.9375</v>
      </c>
      <c r="K34" s="0">
        <v>419</v>
      </c>
      <c r="L34" s="0">
        <v>26001.5</v>
      </c>
      <c r="M34" s="0">
        <v>2839.6375</v>
      </c>
      <c r="N34" s="0">
        <v>1402.7125</v>
      </c>
      <c r="O34" s="0">
        <v>419</v>
      </c>
      <c r="P34" s="0">
        <v>37145</v>
      </c>
      <c r="Q34" s="0">
        <v>4056.625</v>
      </c>
      <c r="R34" s="0">
        <v>2003.875</v>
      </c>
      <c r="S34" s="0">
        <v>419</v>
      </c>
      <c r="X34" s="0">
        <v>8</v>
      </c>
      <c r="Z34" s="0">
        <v>5963</v>
      </c>
      <c r="AA34" s="0">
        <v>1417</v>
      </c>
      <c r="AB34" s="0">
        <v>23949</v>
      </c>
    </row>
    <row r="35">
      <c r="A35" s="0" t="s">
        <v>229</v>
      </c>
      <c r="B35" s="0" t="s">
        <v>222</v>
      </c>
      <c r="C35" s="0" t="s">
        <v>230</v>
      </c>
      <c r="D35" s="0">
        <v>2000</v>
      </c>
      <c r="E35" s="0">
        <v>6250</v>
      </c>
      <c r="F35" s="0">
        <v>1750</v>
      </c>
      <c r="G35" s="0">
        <v>10000</v>
      </c>
      <c r="H35" s="0">
        <v>17595</v>
      </c>
      <c r="I35" s="0">
        <v>2174.9375</v>
      </c>
      <c r="J35" s="0">
        <v>953.0625</v>
      </c>
      <c r="K35" s="0">
        <v>477</v>
      </c>
      <c r="L35" s="0">
        <v>24633</v>
      </c>
      <c r="M35" s="0">
        <v>3044.9125</v>
      </c>
      <c r="N35" s="0">
        <v>1334.2875</v>
      </c>
      <c r="O35" s="0">
        <v>477</v>
      </c>
      <c r="P35" s="0">
        <v>35190</v>
      </c>
      <c r="Q35" s="0">
        <v>4349.875</v>
      </c>
      <c r="R35" s="0">
        <v>1906.125</v>
      </c>
      <c r="S35" s="0">
        <v>477</v>
      </c>
      <c r="X35" s="0">
        <v>0</v>
      </c>
      <c r="Z35" s="0">
        <v>2116</v>
      </c>
      <c r="AA35" s="0">
        <v>989</v>
      </c>
      <c r="AB35" s="0">
        <v>14950</v>
      </c>
    </row>
    <row r="36">
      <c r="A36" s="0" t="s">
        <v>231</v>
      </c>
      <c r="B36" s="0" t="s">
        <v>222</v>
      </c>
      <c r="C36" s="0" t="s">
        <v>230</v>
      </c>
      <c r="D36" s="0">
        <v>2475</v>
      </c>
      <c r="E36" s="0">
        <v>5650</v>
      </c>
      <c r="F36" s="0">
        <v>1875</v>
      </c>
      <c r="G36" s="0">
        <v>10000</v>
      </c>
      <c r="H36" s="0">
        <v>16495.3125</v>
      </c>
      <c r="I36" s="0">
        <v>2321.5625</v>
      </c>
      <c r="J36" s="0">
        <v>916.40625</v>
      </c>
      <c r="K36" s="0">
        <v>450</v>
      </c>
      <c r="L36" s="0">
        <v>23093.4375</v>
      </c>
      <c r="M36" s="0">
        <v>3250.1875</v>
      </c>
      <c r="N36" s="0">
        <v>1282.96875</v>
      </c>
      <c r="O36" s="0">
        <v>450</v>
      </c>
      <c r="P36" s="0">
        <v>32990.625</v>
      </c>
      <c r="Q36" s="0">
        <v>4643.125</v>
      </c>
      <c r="R36" s="0">
        <v>1832.8125</v>
      </c>
      <c r="S36" s="0">
        <v>450</v>
      </c>
      <c r="X36" s="0">
        <v>4</v>
      </c>
      <c r="Z36" s="0">
        <v>2962</v>
      </c>
      <c r="AA36" s="0">
        <v>1385</v>
      </c>
      <c r="AB36" s="0">
        <v>20930</v>
      </c>
    </row>
    <row r="37">
      <c r="A37" s="0" t="s">
        <v>119</v>
      </c>
      <c r="B37" s="0" t="s">
        <v>222</v>
      </c>
      <c r="C37" s="0" t="s">
        <v>230</v>
      </c>
      <c r="D37" s="0">
        <v>2500</v>
      </c>
      <c r="E37" s="0">
        <v>5475</v>
      </c>
      <c r="F37" s="0">
        <v>2025</v>
      </c>
      <c r="G37" s="0">
        <v>10000</v>
      </c>
      <c r="H37" s="0">
        <v>12218.75</v>
      </c>
      <c r="I37" s="0">
        <v>2675.90625</v>
      </c>
      <c r="J37" s="0">
        <v>989.71875</v>
      </c>
      <c r="K37" s="0">
        <v>454</v>
      </c>
      <c r="L37" s="0">
        <v>17106.25</v>
      </c>
      <c r="M37" s="0">
        <v>3746.26875</v>
      </c>
      <c r="N37" s="0">
        <v>1385.60625</v>
      </c>
      <c r="O37" s="0">
        <v>454</v>
      </c>
      <c r="P37" s="0">
        <v>24437.5</v>
      </c>
      <c r="Q37" s="0">
        <v>5351.8125</v>
      </c>
      <c r="R37" s="0">
        <v>1979.4375</v>
      </c>
      <c r="S37" s="0">
        <v>454</v>
      </c>
      <c r="X37" s="0">
        <v>8</v>
      </c>
      <c r="Z37" s="0">
        <v>4232</v>
      </c>
      <c r="AA37" s="0">
        <v>1978</v>
      </c>
      <c r="AB37" s="0">
        <v>29900</v>
      </c>
    </row>
    <row r="38">
      <c r="A38" s="0" t="s">
        <v>121</v>
      </c>
      <c r="B38" s="0" t="s">
        <v>222</v>
      </c>
      <c r="C38" s="0" t="s">
        <v>232</v>
      </c>
      <c r="D38" s="0">
        <v>2600</v>
      </c>
      <c r="E38" s="0">
        <v>6125</v>
      </c>
      <c r="F38" s="0">
        <v>1275</v>
      </c>
      <c r="G38" s="0">
        <v>10000</v>
      </c>
      <c r="H38" s="0">
        <v>14662.5</v>
      </c>
      <c r="I38" s="0">
        <v>2798.09375</v>
      </c>
      <c r="J38" s="0">
        <v>623.15625</v>
      </c>
      <c r="K38" s="0">
        <v>499</v>
      </c>
      <c r="L38" s="0">
        <v>20527.5</v>
      </c>
      <c r="M38" s="0">
        <v>3917.33125</v>
      </c>
      <c r="N38" s="0">
        <v>872.41875</v>
      </c>
      <c r="O38" s="0">
        <v>499</v>
      </c>
      <c r="P38" s="0">
        <v>29325</v>
      </c>
      <c r="Q38" s="0">
        <v>5596.1875</v>
      </c>
      <c r="R38" s="0">
        <v>1246.3125</v>
      </c>
      <c r="S38" s="0">
        <v>499</v>
      </c>
      <c r="X38" s="0">
        <v>0</v>
      </c>
      <c r="Z38" s="0">
        <v>2300</v>
      </c>
      <c r="AA38" s="0">
        <v>966</v>
      </c>
      <c r="AB38" s="0">
        <v>13340</v>
      </c>
    </row>
    <row r="39">
      <c r="A39" s="0" t="s">
        <v>104</v>
      </c>
      <c r="B39" s="0" t="s">
        <v>233</v>
      </c>
      <c r="C39" s="0" t="s">
        <v>230</v>
      </c>
      <c r="D39" s="0">
        <v>2000</v>
      </c>
      <c r="E39" s="0">
        <v>6100</v>
      </c>
      <c r="F39" s="0">
        <v>1900</v>
      </c>
      <c r="G39" s="0">
        <v>10000</v>
      </c>
      <c r="H39" s="0">
        <v>14950</v>
      </c>
      <c r="I39" s="0">
        <v>2116</v>
      </c>
      <c r="J39" s="0">
        <v>989</v>
      </c>
      <c r="K39" s="0">
        <v>439</v>
      </c>
      <c r="L39" s="0">
        <v>20930</v>
      </c>
      <c r="M39" s="0">
        <v>2962.4</v>
      </c>
      <c r="N39" s="0">
        <v>1384.6</v>
      </c>
      <c r="O39" s="0">
        <v>439</v>
      </c>
      <c r="P39" s="0">
        <v>29900</v>
      </c>
      <c r="Q39" s="0">
        <v>4232</v>
      </c>
      <c r="R39" s="0">
        <v>1978</v>
      </c>
      <c r="S39" s="0">
        <v>439</v>
      </c>
      <c r="X39" s="0">
        <v>4</v>
      </c>
      <c r="Z39" s="0">
        <v>3220</v>
      </c>
      <c r="AA39" s="0">
        <v>1352</v>
      </c>
      <c r="AB39" s="0">
        <v>18676</v>
      </c>
    </row>
    <row r="40">
      <c r="A40" s="0" t="s">
        <v>105</v>
      </c>
      <c r="B40" s="0" t="s">
        <v>233</v>
      </c>
      <c r="C40" s="0" t="s">
        <v>234</v>
      </c>
      <c r="D40" s="0">
        <v>2200</v>
      </c>
      <c r="E40" s="0">
        <v>5800</v>
      </c>
      <c r="F40" s="0">
        <v>2000</v>
      </c>
      <c r="G40" s="0">
        <v>10000</v>
      </c>
      <c r="H40" s="0">
        <v>13340</v>
      </c>
      <c r="I40" s="0">
        <v>2300</v>
      </c>
      <c r="J40" s="0">
        <v>966</v>
      </c>
      <c r="K40" s="0">
        <v>415</v>
      </c>
      <c r="L40" s="0">
        <v>18676</v>
      </c>
      <c r="M40" s="0">
        <v>3220</v>
      </c>
      <c r="N40" s="0">
        <v>1352.4</v>
      </c>
      <c r="O40" s="0">
        <v>415</v>
      </c>
      <c r="P40" s="0">
        <v>26680</v>
      </c>
      <c r="Q40" s="0">
        <v>4600</v>
      </c>
      <c r="R40" s="0">
        <v>1932</v>
      </c>
      <c r="S40" s="0">
        <v>415</v>
      </c>
      <c r="X40" s="0">
        <v>8</v>
      </c>
      <c r="Z40" s="0">
        <v>4600</v>
      </c>
      <c r="AA40" s="0">
        <v>1932</v>
      </c>
      <c r="AB40" s="0">
        <v>26680</v>
      </c>
    </row>
    <row r="41">
      <c r="A41" s="0" t="s">
        <v>107</v>
      </c>
      <c r="B41" s="0" t="s">
        <v>233</v>
      </c>
      <c r="C41" s="0" t="s">
        <v>202</v>
      </c>
      <c r="D41" s="0">
        <v>1400</v>
      </c>
      <c r="E41" s="0">
        <v>7200</v>
      </c>
      <c r="F41" s="0">
        <v>1400</v>
      </c>
      <c r="G41" s="0">
        <v>10000</v>
      </c>
      <c r="H41" s="0">
        <v>14030</v>
      </c>
      <c r="I41" s="0">
        <v>2277</v>
      </c>
      <c r="J41" s="0">
        <v>920</v>
      </c>
      <c r="K41" s="0">
        <v>532</v>
      </c>
      <c r="L41" s="0">
        <v>19642</v>
      </c>
      <c r="M41" s="0">
        <v>3187.8</v>
      </c>
      <c r="N41" s="0">
        <v>1288</v>
      </c>
      <c r="O41" s="0">
        <v>532</v>
      </c>
      <c r="P41" s="0">
        <v>28060</v>
      </c>
      <c r="Q41" s="0">
        <v>4554</v>
      </c>
      <c r="R41" s="0">
        <v>1840</v>
      </c>
      <c r="S41" s="0">
        <v>532</v>
      </c>
      <c r="X41" s="0">
        <v>0</v>
      </c>
      <c r="Z41" s="0">
        <v>1725</v>
      </c>
      <c r="AA41" s="0">
        <v>1150</v>
      </c>
      <c r="AB41" s="0">
        <v>17250</v>
      </c>
    </row>
    <row r="42">
      <c r="A42" s="0" t="s">
        <v>235</v>
      </c>
      <c r="B42" s="0" t="s">
        <v>233</v>
      </c>
      <c r="C42" s="0" t="s">
        <v>209</v>
      </c>
      <c r="D42" s="0">
        <v>1600</v>
      </c>
      <c r="E42" s="0">
        <v>6800</v>
      </c>
      <c r="F42" s="0">
        <v>1600</v>
      </c>
      <c r="G42" s="0">
        <v>10000</v>
      </c>
      <c r="H42" s="0">
        <v>13110</v>
      </c>
      <c r="I42" s="0">
        <v>2415</v>
      </c>
      <c r="J42" s="0">
        <v>874</v>
      </c>
      <c r="K42" s="0">
        <v>439</v>
      </c>
      <c r="L42" s="0">
        <v>18354</v>
      </c>
      <c r="M42" s="0">
        <v>3381</v>
      </c>
      <c r="N42" s="0">
        <v>1223.6</v>
      </c>
      <c r="O42" s="0">
        <v>439</v>
      </c>
      <c r="P42" s="0">
        <v>26220</v>
      </c>
      <c r="Q42" s="0">
        <v>4830</v>
      </c>
      <c r="R42" s="0">
        <v>1748</v>
      </c>
      <c r="S42" s="0">
        <v>439</v>
      </c>
      <c r="X42" s="0">
        <v>4</v>
      </c>
      <c r="Z42" s="0">
        <v>2415</v>
      </c>
      <c r="AA42" s="0">
        <v>1610</v>
      </c>
      <c r="AB42" s="0">
        <v>24150</v>
      </c>
    </row>
    <row r="43">
      <c r="A43" s="0" t="s">
        <v>106</v>
      </c>
      <c r="B43" s="0" t="s">
        <v>233</v>
      </c>
      <c r="C43" s="0" t="s">
        <v>205</v>
      </c>
      <c r="D43" s="0">
        <v>3500</v>
      </c>
      <c r="E43" s="0">
        <v>4000</v>
      </c>
      <c r="F43" s="0">
        <v>2500</v>
      </c>
      <c r="G43" s="0">
        <v>10000</v>
      </c>
      <c r="H43" s="0">
        <v>17250</v>
      </c>
      <c r="I43" s="0">
        <v>1725</v>
      </c>
      <c r="J43" s="0">
        <v>1150</v>
      </c>
      <c r="K43" s="0">
        <v>405</v>
      </c>
      <c r="L43" s="0">
        <v>24150</v>
      </c>
      <c r="M43" s="0">
        <v>2415</v>
      </c>
      <c r="N43" s="0">
        <v>1610</v>
      </c>
      <c r="O43" s="0">
        <v>405</v>
      </c>
      <c r="P43" s="0">
        <v>34500</v>
      </c>
      <c r="Q43" s="0">
        <v>3450</v>
      </c>
      <c r="R43" s="0">
        <v>2300</v>
      </c>
      <c r="S43" s="0">
        <v>405</v>
      </c>
      <c r="X43" s="0">
        <v>8</v>
      </c>
      <c r="Z43" s="0">
        <v>3450</v>
      </c>
      <c r="AA43" s="0">
        <v>2300</v>
      </c>
      <c r="AB43" s="0">
        <v>34500</v>
      </c>
    </row>
    <row r="44">
      <c r="A44" s="0" t="s">
        <v>236</v>
      </c>
      <c r="B44" s="0" t="s">
        <v>233</v>
      </c>
      <c r="C44" s="0" t="s">
        <v>202</v>
      </c>
      <c r="D44" s="0">
        <v>1850</v>
      </c>
      <c r="E44" s="0">
        <v>6250</v>
      </c>
      <c r="F44" s="0">
        <v>1900</v>
      </c>
      <c r="G44" s="0">
        <v>10000</v>
      </c>
      <c r="H44" s="0">
        <v>11960</v>
      </c>
      <c r="I44" s="0">
        <v>2461</v>
      </c>
      <c r="J44" s="0">
        <v>943</v>
      </c>
      <c r="K44" s="0">
        <v>418</v>
      </c>
      <c r="L44" s="0">
        <v>16744</v>
      </c>
      <c r="M44" s="0">
        <v>3445.4</v>
      </c>
      <c r="N44" s="0">
        <v>1320.2</v>
      </c>
      <c r="O44" s="0">
        <v>418</v>
      </c>
      <c r="P44" s="0">
        <v>23920</v>
      </c>
      <c r="Q44" s="0">
        <v>4922</v>
      </c>
      <c r="R44" s="0">
        <v>1886</v>
      </c>
      <c r="S44" s="0">
        <v>418</v>
      </c>
      <c r="X44" s="0">
        <v>0</v>
      </c>
      <c r="Z44" s="0">
        <v>2277</v>
      </c>
      <c r="AA44" s="0">
        <v>920</v>
      </c>
      <c r="AB44" s="0">
        <v>14030</v>
      </c>
    </row>
    <row r="45">
      <c r="A45" s="0" t="s">
        <v>89</v>
      </c>
      <c r="B45" s="0" t="s">
        <v>233</v>
      </c>
      <c r="C45" s="0" t="s">
        <v>230</v>
      </c>
      <c r="D45" s="0">
        <v>2000</v>
      </c>
      <c r="E45" s="0">
        <v>6350</v>
      </c>
      <c r="F45" s="0">
        <v>1650</v>
      </c>
      <c r="G45" s="0">
        <v>10000</v>
      </c>
      <c r="H45" s="0">
        <v>14260</v>
      </c>
      <c r="I45" s="0">
        <v>2323</v>
      </c>
      <c r="J45" s="0">
        <v>851</v>
      </c>
      <c r="K45" s="0">
        <v>384</v>
      </c>
      <c r="L45" s="0">
        <v>19964</v>
      </c>
      <c r="M45" s="0">
        <v>3252.2</v>
      </c>
      <c r="N45" s="0">
        <v>1191.4</v>
      </c>
      <c r="O45" s="0">
        <v>384</v>
      </c>
      <c r="P45" s="0">
        <v>28520</v>
      </c>
      <c r="Q45" s="0">
        <v>4646</v>
      </c>
      <c r="R45" s="0">
        <v>1702</v>
      </c>
      <c r="S45" s="0">
        <v>384</v>
      </c>
      <c r="X45" s="0">
        <v>4</v>
      </c>
      <c r="Z45" s="0">
        <v>3188</v>
      </c>
      <c r="AA45" s="0">
        <v>1288</v>
      </c>
      <c r="AB45" s="0">
        <v>19642</v>
      </c>
    </row>
    <row r="46">
      <c r="A46" s="0" t="s">
        <v>90</v>
      </c>
      <c r="B46" s="0" t="s">
        <v>233</v>
      </c>
      <c r="C46" s="0" t="s">
        <v>228</v>
      </c>
      <c r="D46" s="0">
        <v>3200</v>
      </c>
      <c r="E46" s="0">
        <v>4700</v>
      </c>
      <c r="F46" s="0">
        <v>2100</v>
      </c>
      <c r="G46" s="0">
        <v>10000</v>
      </c>
      <c r="H46" s="0">
        <v>18400</v>
      </c>
      <c r="I46" s="0">
        <v>1679</v>
      </c>
      <c r="J46" s="0">
        <v>1081</v>
      </c>
      <c r="K46" s="0">
        <v>367</v>
      </c>
      <c r="L46" s="0">
        <v>25760</v>
      </c>
      <c r="M46" s="0">
        <v>2350.6</v>
      </c>
      <c r="N46" s="0">
        <v>1513.4</v>
      </c>
      <c r="O46" s="0">
        <v>367</v>
      </c>
      <c r="P46" s="0">
        <v>36800</v>
      </c>
      <c r="Q46" s="0">
        <v>3358</v>
      </c>
      <c r="R46" s="0">
        <v>2162</v>
      </c>
      <c r="S46" s="0">
        <v>367</v>
      </c>
      <c r="X46" s="0">
        <v>8</v>
      </c>
      <c r="Z46" s="0">
        <v>4554</v>
      </c>
      <c r="AA46" s="0">
        <v>1840</v>
      </c>
      <c r="AB46" s="0">
        <v>28060</v>
      </c>
    </row>
    <row r="47">
      <c r="A47" s="0" t="s">
        <v>87</v>
      </c>
      <c r="B47" s="0" t="s">
        <v>233</v>
      </c>
      <c r="C47" s="0" t="s">
        <v>237</v>
      </c>
      <c r="D47" s="0">
        <v>1900</v>
      </c>
      <c r="E47" s="0">
        <v>6925</v>
      </c>
      <c r="F47" s="0">
        <v>1175</v>
      </c>
      <c r="G47" s="0">
        <v>10000</v>
      </c>
      <c r="H47" s="0">
        <v>11960</v>
      </c>
      <c r="I47" s="0">
        <v>2645</v>
      </c>
      <c r="J47" s="0">
        <v>759</v>
      </c>
      <c r="K47" s="0">
        <v>394</v>
      </c>
      <c r="L47" s="0">
        <v>16744</v>
      </c>
      <c r="M47" s="0">
        <v>3703</v>
      </c>
      <c r="N47" s="0">
        <v>1062.6</v>
      </c>
      <c r="O47" s="0">
        <v>394</v>
      </c>
      <c r="P47" s="0">
        <v>23920</v>
      </c>
      <c r="Q47" s="0">
        <v>5290</v>
      </c>
      <c r="R47" s="0">
        <v>1518</v>
      </c>
      <c r="S47" s="0">
        <v>394</v>
      </c>
      <c r="X47" s="0">
        <v>0</v>
      </c>
      <c r="Z47" s="0">
        <v>2175</v>
      </c>
      <c r="AA47" s="0">
        <v>953</v>
      </c>
      <c r="AB47" s="0">
        <v>17595</v>
      </c>
    </row>
    <row r="48">
      <c r="A48" s="0" t="s">
        <v>88</v>
      </c>
      <c r="B48" s="0" t="s">
        <v>233</v>
      </c>
      <c r="C48" s="0" t="s">
        <v>237</v>
      </c>
      <c r="D48" s="0">
        <v>1650</v>
      </c>
      <c r="E48" s="0">
        <v>6275</v>
      </c>
      <c r="F48" s="0">
        <v>2075</v>
      </c>
      <c r="G48" s="0">
        <v>10000</v>
      </c>
      <c r="H48" s="0">
        <v>10350</v>
      </c>
      <c r="I48" s="0">
        <v>2760</v>
      </c>
      <c r="J48" s="0">
        <v>805</v>
      </c>
      <c r="K48" s="0">
        <v>368</v>
      </c>
      <c r="L48" s="0">
        <v>14490</v>
      </c>
      <c r="M48" s="0">
        <v>3864</v>
      </c>
      <c r="N48" s="0">
        <v>1127</v>
      </c>
      <c r="O48" s="0">
        <v>368</v>
      </c>
      <c r="P48" s="0">
        <v>20700</v>
      </c>
      <c r="Q48" s="0">
        <v>5520</v>
      </c>
      <c r="R48" s="0">
        <v>1610</v>
      </c>
      <c r="S48" s="0">
        <v>368</v>
      </c>
      <c r="X48" s="0">
        <v>4</v>
      </c>
      <c r="Z48" s="0">
        <v>3045</v>
      </c>
      <c r="AA48" s="0">
        <v>1334</v>
      </c>
      <c r="AB48" s="0">
        <v>24633</v>
      </c>
    </row>
    <row r="49">
      <c r="A49" s="0" t="s">
        <v>91</v>
      </c>
      <c r="B49" s="0" t="s">
        <v>233</v>
      </c>
      <c r="C49" s="0" t="s">
        <v>230</v>
      </c>
      <c r="D49" s="0">
        <v>1855</v>
      </c>
      <c r="E49" s="0">
        <v>6375</v>
      </c>
      <c r="F49" s="0">
        <v>1770</v>
      </c>
      <c r="G49" s="0">
        <v>10000</v>
      </c>
      <c r="H49" s="0">
        <v>13685</v>
      </c>
      <c r="I49" s="0">
        <v>2231</v>
      </c>
      <c r="J49" s="0">
        <v>1000.5</v>
      </c>
      <c r="K49" s="0">
        <v>374</v>
      </c>
      <c r="L49" s="0">
        <v>19159</v>
      </c>
      <c r="M49" s="0">
        <v>3123.4</v>
      </c>
      <c r="N49" s="0">
        <v>1400.7</v>
      </c>
      <c r="O49" s="0">
        <v>374</v>
      </c>
      <c r="P49" s="0">
        <v>27370</v>
      </c>
      <c r="Q49" s="0">
        <v>4462</v>
      </c>
      <c r="R49" s="0">
        <v>2001</v>
      </c>
      <c r="S49" s="0">
        <v>374</v>
      </c>
      <c r="X49" s="0">
        <v>8</v>
      </c>
      <c r="Z49" s="0">
        <v>4350</v>
      </c>
      <c r="AA49" s="0">
        <v>1906</v>
      </c>
      <c r="AB49" s="0">
        <v>35190</v>
      </c>
    </row>
    <row r="50">
      <c r="A50" s="0" t="s">
        <v>92</v>
      </c>
      <c r="B50" s="0" t="s">
        <v>233</v>
      </c>
      <c r="C50" s="0" t="s">
        <v>238</v>
      </c>
      <c r="D50" s="0">
        <v>1270</v>
      </c>
      <c r="E50" s="0">
        <v>7755</v>
      </c>
      <c r="F50" s="0">
        <v>975</v>
      </c>
      <c r="G50" s="0">
        <v>10000</v>
      </c>
      <c r="H50" s="0">
        <v>11500</v>
      </c>
      <c r="I50" s="0">
        <v>2783</v>
      </c>
      <c r="J50" s="0">
        <v>667</v>
      </c>
      <c r="K50" s="0">
        <v>372</v>
      </c>
      <c r="L50" s="0">
        <v>16100</v>
      </c>
      <c r="M50" s="0">
        <v>3896.2</v>
      </c>
      <c r="N50" s="0">
        <v>933.8</v>
      </c>
      <c r="O50" s="0">
        <v>372</v>
      </c>
      <c r="P50" s="0">
        <v>23000</v>
      </c>
      <c r="Q50" s="0">
        <v>5566</v>
      </c>
      <c r="R50" s="0">
        <v>1334</v>
      </c>
      <c r="S50" s="0">
        <v>372</v>
      </c>
      <c r="X50" s="0">
        <v>0</v>
      </c>
      <c r="Z50" s="0">
        <v>2028</v>
      </c>
      <c r="AA50" s="0">
        <v>1002</v>
      </c>
      <c r="AB50" s="0">
        <v>18573</v>
      </c>
    </row>
    <row r="51">
      <c r="X51" s="0">
        <v>4</v>
      </c>
      <c r="Z51" s="0">
        <v>2840</v>
      </c>
      <c r="AA51" s="0">
        <v>1403</v>
      </c>
      <c r="AB51" s="0">
        <v>26002</v>
      </c>
    </row>
    <row r="52">
      <c r="X52" s="0">
        <v>8</v>
      </c>
      <c r="Z52" s="0">
        <v>4057</v>
      </c>
      <c r="AA52" s="0">
        <v>2004</v>
      </c>
      <c r="AB52" s="0">
        <v>37145</v>
      </c>
    </row>
    <row r="53">
      <c r="X53" s="0">
        <v>0</v>
      </c>
      <c r="Z53" s="0">
        <v>2461</v>
      </c>
      <c r="AA53" s="0">
        <v>943</v>
      </c>
      <c r="AB53" s="0">
        <v>11960</v>
      </c>
    </row>
    <row r="54">
      <c r="X54" s="0">
        <v>4</v>
      </c>
      <c r="Z54" s="0">
        <v>3445</v>
      </c>
      <c r="AA54" s="0">
        <v>1320</v>
      </c>
      <c r="AB54" s="0">
        <v>16744</v>
      </c>
    </row>
    <row r="55">
      <c r="X55" s="0">
        <v>8</v>
      </c>
      <c r="Z55" s="0">
        <v>4922</v>
      </c>
      <c r="AA55" s="0">
        <v>1886</v>
      </c>
      <c r="AB55" s="0">
        <v>23920</v>
      </c>
    </row>
    <row r="56">
      <c r="X56" s="0">
        <v>0</v>
      </c>
      <c r="Z56" s="0">
        <v>2224</v>
      </c>
      <c r="AA56" s="0">
        <v>1100</v>
      </c>
      <c r="AB56" s="0">
        <v>15640</v>
      </c>
    </row>
    <row r="57">
      <c r="E57" s="0" t="s">
        <v>211</v>
      </c>
      <c r="F57" s="0">
        <v>280</v>
      </c>
      <c r="X57" s="0">
        <v>4</v>
      </c>
      <c r="Z57" s="0">
        <v>3113</v>
      </c>
      <c r="AA57" s="0">
        <v>1540</v>
      </c>
      <c r="AB57" s="0">
        <v>21896</v>
      </c>
    </row>
    <row r="58">
      <c r="E58" s="0" t="s">
        <v>154</v>
      </c>
      <c r="F58" s="0">
        <v>374</v>
      </c>
      <c r="X58" s="0">
        <v>8</v>
      </c>
      <c r="Z58" s="0">
        <v>4448</v>
      </c>
      <c r="AA58" s="0">
        <v>2199</v>
      </c>
      <c r="AB58" s="0">
        <v>31280</v>
      </c>
    </row>
    <row r="59">
      <c r="E59" s="0" t="s">
        <v>138</v>
      </c>
      <c r="F59" s="0">
        <v>370</v>
      </c>
      <c r="X59" s="0">
        <v>0</v>
      </c>
      <c r="Z59" s="0">
        <v>2484</v>
      </c>
      <c r="AA59" s="0">
        <v>1139</v>
      </c>
      <c r="AB59" s="0">
        <v>15525</v>
      </c>
    </row>
    <row r="60">
      <c r="E60" s="0" t="s">
        <v>203</v>
      </c>
      <c r="F60" s="0">
        <v>366</v>
      </c>
      <c r="X60" s="0">
        <v>4</v>
      </c>
      <c r="Z60" s="0">
        <v>3478</v>
      </c>
      <c r="AA60" s="0">
        <v>1594</v>
      </c>
      <c r="AB60" s="0">
        <v>21735</v>
      </c>
    </row>
    <row r="61">
      <c r="E61" s="0" t="s">
        <v>223</v>
      </c>
      <c r="F61" s="0">
        <v>363</v>
      </c>
      <c r="X61" s="0">
        <v>8</v>
      </c>
      <c r="Z61" s="0">
        <v>4968</v>
      </c>
      <c r="AA61" s="0">
        <v>2277</v>
      </c>
      <c r="AB61" s="0">
        <v>31050</v>
      </c>
    </row>
    <row r="62">
      <c r="E62" s="0" t="s">
        <v>235</v>
      </c>
      <c r="F62" s="0">
        <v>361</v>
      </c>
      <c r="X62" s="0">
        <v>0</v>
      </c>
      <c r="Z62" s="0">
        <v>2346</v>
      </c>
      <c r="AA62" s="0">
        <v>1026</v>
      </c>
      <c r="AB62" s="0">
        <v>15151</v>
      </c>
    </row>
    <row r="63">
      <c r="E63" s="0" t="s">
        <v>236</v>
      </c>
      <c r="F63" s="0">
        <v>355</v>
      </c>
      <c r="X63" s="0">
        <v>4</v>
      </c>
      <c r="Z63" s="0">
        <v>3284</v>
      </c>
      <c r="AA63" s="0">
        <v>1437</v>
      </c>
      <c r="AB63" s="0">
        <v>21212</v>
      </c>
    </row>
    <row r="64">
      <c r="E64" s="0" t="s">
        <v>144</v>
      </c>
      <c r="F64" s="0">
        <v>352</v>
      </c>
      <c r="X64" s="0">
        <v>8</v>
      </c>
      <c r="Z64" s="0">
        <v>4692</v>
      </c>
      <c r="AA64" s="0">
        <v>2053</v>
      </c>
      <c r="AB64" s="0">
        <v>30303</v>
      </c>
    </row>
    <row r="65">
      <c r="E65" s="1" t="s">
        <v>121</v>
      </c>
      <c r="F65" s="1">
        <v>348</v>
      </c>
      <c r="X65" s="0">
        <v>0</v>
      </c>
      <c r="Z65" s="0">
        <v>2676</v>
      </c>
      <c r="AA65" s="0">
        <v>990</v>
      </c>
      <c r="AB65" s="0">
        <v>12219</v>
      </c>
    </row>
    <row r="66">
      <c r="E66" s="1" t="s">
        <v>117</v>
      </c>
      <c r="F66" s="1">
        <v>345</v>
      </c>
      <c r="X66" s="0">
        <v>4</v>
      </c>
      <c r="Z66" s="0">
        <v>3746</v>
      </c>
      <c r="AA66" s="0">
        <v>1386</v>
      </c>
      <c r="AB66" s="0">
        <v>17106</v>
      </c>
    </row>
    <row r="67">
      <c r="E67" s="1" t="s">
        <v>116</v>
      </c>
      <c r="F67" s="1">
        <v>342</v>
      </c>
      <c r="X67" s="0">
        <v>8</v>
      </c>
      <c r="Z67" s="0">
        <v>5352</v>
      </c>
      <c r="AA67" s="0">
        <v>1979</v>
      </c>
      <c r="AB67" s="0">
        <v>24438</v>
      </c>
    </row>
    <row r="68">
      <c r="E68" s="1" t="s">
        <v>118</v>
      </c>
      <c r="F68" s="1">
        <v>339</v>
      </c>
      <c r="X68" s="0">
        <v>0</v>
      </c>
      <c r="Z68" s="0">
        <v>3467</v>
      </c>
      <c r="AA68" s="0">
        <v>660</v>
      </c>
      <c r="AB68" s="0">
        <v>10479</v>
      </c>
    </row>
    <row r="69">
      <c r="E69" s="1" t="s">
        <v>119</v>
      </c>
      <c r="F69" s="1">
        <v>336</v>
      </c>
      <c r="X69" s="0">
        <v>4</v>
      </c>
      <c r="Z69" s="0">
        <v>4854</v>
      </c>
      <c r="AA69" s="0">
        <v>924</v>
      </c>
      <c r="AB69" s="0">
        <v>14671</v>
      </c>
    </row>
    <row r="70">
      <c r="E70" s="1" t="s">
        <v>104</v>
      </c>
      <c r="F70" s="1">
        <v>331</v>
      </c>
      <c r="X70" s="0">
        <v>8</v>
      </c>
      <c r="Z70" s="0">
        <v>6935</v>
      </c>
      <c r="AA70" s="0">
        <v>1320</v>
      </c>
      <c r="AB70" s="0">
        <v>20959</v>
      </c>
    </row>
    <row r="71">
      <c r="E71" s="1" t="s">
        <v>105</v>
      </c>
      <c r="F71" s="1">
        <v>330</v>
      </c>
      <c r="X71" s="0">
        <v>0</v>
      </c>
      <c r="Z71" s="0">
        <v>2798</v>
      </c>
      <c r="AA71" s="0">
        <v>623</v>
      </c>
      <c r="AB71" s="0">
        <v>14663</v>
      </c>
    </row>
    <row r="72">
      <c r="E72" s="1" t="s">
        <v>88</v>
      </c>
      <c r="F72" s="1">
        <v>326</v>
      </c>
      <c r="X72" s="0">
        <v>4</v>
      </c>
      <c r="Z72" s="0">
        <v>3917</v>
      </c>
      <c r="AA72" s="0">
        <v>872</v>
      </c>
      <c r="AB72" s="0">
        <v>20528</v>
      </c>
    </row>
    <row r="73">
      <c r="E73" s="1" t="s">
        <v>107</v>
      </c>
      <c r="F73" s="1">
        <v>324</v>
      </c>
      <c r="X73" s="0">
        <v>8</v>
      </c>
      <c r="Z73" s="0">
        <v>5596</v>
      </c>
      <c r="AA73" s="0">
        <v>1246</v>
      </c>
      <c r="AB73" s="0">
        <v>29325</v>
      </c>
    </row>
    <row r="74">
      <c r="E74" s="1" t="s">
        <v>159</v>
      </c>
      <c r="F74" s="1">
        <v>318</v>
      </c>
      <c r="X74" s="0">
        <v>0</v>
      </c>
      <c r="Z74" s="0">
        <v>2924</v>
      </c>
      <c r="AA74" s="0">
        <v>1009</v>
      </c>
      <c r="AB74" s="0">
        <v>12420</v>
      </c>
    </row>
    <row r="75">
      <c r="E75" s="1" t="s">
        <v>128</v>
      </c>
      <c r="F75" s="1">
        <v>314</v>
      </c>
      <c r="X75" s="0">
        <v>4</v>
      </c>
      <c r="Z75" s="0">
        <v>4093</v>
      </c>
      <c r="AA75" s="0">
        <v>1413</v>
      </c>
      <c r="AB75" s="0">
        <v>17388</v>
      </c>
    </row>
    <row r="76">
      <c r="E76" s="1" t="s">
        <v>217</v>
      </c>
      <c r="F76" s="1">
        <v>311</v>
      </c>
      <c r="X76" s="0">
        <v>8</v>
      </c>
      <c r="Z76" s="0">
        <v>5848</v>
      </c>
      <c r="AA76" s="0">
        <v>2018</v>
      </c>
      <c r="AB76" s="0">
        <v>24840</v>
      </c>
    </row>
    <row r="77">
      <c r="E77" s="1" t="s">
        <v>134</v>
      </c>
      <c r="F77" s="1">
        <v>306</v>
      </c>
      <c r="X77" s="0">
        <v>0</v>
      </c>
      <c r="Z77" s="0">
        <v>2322</v>
      </c>
      <c r="AA77" s="0">
        <v>916</v>
      </c>
      <c r="AB77" s="0">
        <v>16495</v>
      </c>
    </row>
    <row r="78">
      <c r="E78" s="1" t="s">
        <v>130</v>
      </c>
      <c r="F78" s="1">
        <v>302</v>
      </c>
      <c r="X78" s="0">
        <v>4</v>
      </c>
      <c r="Z78" s="0">
        <v>3250</v>
      </c>
      <c r="AA78" s="0">
        <v>1283</v>
      </c>
      <c r="AB78" s="0">
        <v>23093</v>
      </c>
    </row>
    <row r="79">
      <c r="E79" s="1" t="s">
        <v>220</v>
      </c>
      <c r="F79" s="1">
        <v>297</v>
      </c>
      <c r="X79" s="0">
        <v>8</v>
      </c>
      <c r="Z79" s="0">
        <v>4643</v>
      </c>
      <c r="AA79" s="0">
        <v>1833</v>
      </c>
      <c r="AB79" s="0">
        <v>32991</v>
      </c>
    </row>
    <row r="80">
      <c r="E80" s="1" t="s">
        <v>120</v>
      </c>
      <c r="F80" s="1">
        <v>295</v>
      </c>
      <c r="X80" s="0">
        <v>0</v>
      </c>
      <c r="Z80" s="0">
        <v>2277</v>
      </c>
      <c r="AA80" s="0">
        <v>1320</v>
      </c>
      <c r="AB80" s="0">
        <v>15784</v>
      </c>
    </row>
    <row r="81">
      <c r="E81" s="1" t="s">
        <v>140</v>
      </c>
      <c r="F81" s="1">
        <v>291</v>
      </c>
      <c r="X81" s="0">
        <v>4</v>
      </c>
      <c r="Z81" s="0">
        <v>3188</v>
      </c>
      <c r="AA81" s="0">
        <v>1847</v>
      </c>
      <c r="AB81" s="0">
        <v>22097</v>
      </c>
    </row>
    <row r="82">
      <c r="E82" s="1" t="s">
        <v>87</v>
      </c>
      <c r="F82" s="1">
        <v>288</v>
      </c>
      <c r="X82" s="0">
        <v>8</v>
      </c>
      <c r="Z82" s="0">
        <v>4554</v>
      </c>
      <c r="AA82" s="0">
        <v>2639</v>
      </c>
      <c r="AB82" s="0">
        <v>31568</v>
      </c>
    </row>
    <row r="83">
      <c r="E83" s="1" t="s">
        <v>88</v>
      </c>
      <c r="F83" s="1">
        <v>283</v>
      </c>
      <c r="X83" s="0">
        <v>0</v>
      </c>
      <c r="Z83" s="0">
        <v>2872</v>
      </c>
      <c r="AA83" s="0">
        <v>957</v>
      </c>
      <c r="AB83" s="0">
        <v>13455</v>
      </c>
    </row>
    <row r="84">
      <c r="E84" s="1" t="s">
        <v>151</v>
      </c>
      <c r="F84" s="1">
        <v>279</v>
      </c>
      <c r="X84" s="0">
        <v>4</v>
      </c>
      <c r="Z84" s="0">
        <v>4021</v>
      </c>
      <c r="AA84" s="0">
        <v>1340</v>
      </c>
      <c r="AB84" s="0">
        <v>18837</v>
      </c>
    </row>
    <row r="85">
      <c r="E85" s="1" t="s">
        <v>92</v>
      </c>
      <c r="F85" s="1">
        <v>275</v>
      </c>
      <c r="X85" s="0">
        <v>8</v>
      </c>
      <c r="Z85" s="0">
        <v>5744</v>
      </c>
      <c r="AA85" s="0">
        <v>1915</v>
      </c>
      <c r="AB85" s="0">
        <v>26910</v>
      </c>
    </row>
    <row r="86">
      <c r="E86" s="1" t="s">
        <v>122</v>
      </c>
      <c r="F86" s="1">
        <v>268</v>
      </c>
      <c r="X86" s="0">
        <v>0</v>
      </c>
      <c r="Z86" s="0">
        <v>3249</v>
      </c>
      <c r="AA86" s="0">
        <v>1006</v>
      </c>
      <c r="AB86" s="0">
        <v>14950</v>
      </c>
    </row>
    <row r="87">
      <c r="E87" s="1" t="s">
        <v>147</v>
      </c>
      <c r="F87" s="1">
        <v>261</v>
      </c>
      <c r="X87" s="0">
        <v>4</v>
      </c>
      <c r="Z87" s="0">
        <v>4548</v>
      </c>
      <c r="AA87" s="0">
        <v>1409</v>
      </c>
      <c r="AB87" s="0">
        <v>20930</v>
      </c>
    </row>
    <row r="88">
      <c r="E88" s="1" t="s">
        <v>91</v>
      </c>
      <c r="F88" s="1">
        <v>255</v>
      </c>
      <c r="X88" s="0">
        <v>8</v>
      </c>
      <c r="Z88" s="0">
        <v>6498</v>
      </c>
      <c r="AA88" s="0">
        <v>2013</v>
      </c>
      <c r="AB88" s="0">
        <v>29900</v>
      </c>
    </row>
    <row r="89">
      <c r="E89" s="1" t="s">
        <v>231</v>
      </c>
      <c r="F89" s="1">
        <v>252</v>
      </c>
      <c r="X89" s="0">
        <v>0</v>
      </c>
      <c r="Z89" s="0">
        <v>2868</v>
      </c>
      <c r="AA89" s="0">
        <v>1093</v>
      </c>
      <c r="AB89" s="0">
        <v>15022</v>
      </c>
    </row>
    <row r="90">
      <c r="E90" s="1" t="s">
        <v>229</v>
      </c>
      <c r="F90" s="1">
        <v>247</v>
      </c>
      <c r="X90" s="0">
        <v>4</v>
      </c>
      <c r="Z90" s="0">
        <v>4015</v>
      </c>
      <c r="AA90" s="0">
        <v>1530</v>
      </c>
      <c r="AB90" s="0">
        <v>21031</v>
      </c>
    </row>
    <row r="91">
      <c r="E91" s="1" t="s">
        <v>153</v>
      </c>
      <c r="F91" s="1">
        <v>241</v>
      </c>
      <c r="X91" s="0">
        <v>8</v>
      </c>
      <c r="Z91" s="0">
        <v>5736</v>
      </c>
      <c r="AA91" s="0">
        <v>2185</v>
      </c>
      <c r="AB91" s="0">
        <v>30044</v>
      </c>
    </row>
    <row r="92">
      <c r="E92" s="1" t="s">
        <v>221</v>
      </c>
      <c r="F92" s="1">
        <v>236</v>
      </c>
      <c r="X92" s="0">
        <v>0</v>
      </c>
      <c r="Z92" s="0">
        <v>2130</v>
      </c>
      <c r="AA92" s="0">
        <v>1338</v>
      </c>
      <c r="AB92" s="0">
        <v>19938</v>
      </c>
    </row>
    <row r="93">
      <c r="E93" s="1" t="s">
        <v>89</v>
      </c>
      <c r="F93" s="1">
        <v>233</v>
      </c>
      <c r="X93" s="0">
        <v>4</v>
      </c>
      <c r="Z93" s="0">
        <v>2983</v>
      </c>
      <c r="AA93" s="0">
        <v>1874</v>
      </c>
      <c r="AB93" s="0">
        <v>27913</v>
      </c>
    </row>
    <row r="94">
      <c r="E94" s="1" t="s">
        <v>156</v>
      </c>
      <c r="F94" s="1">
        <v>230</v>
      </c>
      <c r="X94" s="0">
        <v>8</v>
      </c>
      <c r="Z94" s="0">
        <v>4261</v>
      </c>
      <c r="AA94" s="0">
        <v>2677</v>
      </c>
      <c r="AB94" s="0">
        <v>39876</v>
      </c>
    </row>
    <row r="95">
      <c r="E95" s="1" t="s">
        <v>136</v>
      </c>
      <c r="F95" s="1">
        <v>228</v>
      </c>
      <c r="X95" s="0">
        <v>0</v>
      </c>
      <c r="Z95" s="0">
        <v>2976</v>
      </c>
      <c r="AA95" s="0">
        <v>906</v>
      </c>
      <c r="AB95" s="0">
        <v>12938</v>
      </c>
    </row>
    <row r="96">
      <c r="E96" s="1" t="s">
        <v>99</v>
      </c>
      <c r="F96" s="1">
        <v>223</v>
      </c>
      <c r="X96" s="0">
        <v>4</v>
      </c>
      <c r="Z96" s="0">
        <v>4166</v>
      </c>
      <c r="AA96" s="0">
        <v>1268</v>
      </c>
      <c r="AB96" s="0">
        <v>18113</v>
      </c>
    </row>
    <row r="97">
      <c r="E97" s="1" t="s">
        <v>106</v>
      </c>
      <c r="F97" s="1">
        <v>220</v>
      </c>
      <c r="X97" s="0">
        <v>8</v>
      </c>
      <c r="Z97" s="0">
        <v>5951</v>
      </c>
      <c r="AA97" s="0">
        <v>1811</v>
      </c>
      <c r="AB97" s="0">
        <v>25875</v>
      </c>
    </row>
    <row r="98">
      <c r="E98" s="1" t="s">
        <v>124</v>
      </c>
      <c r="F98" s="1">
        <v>217</v>
      </c>
      <c r="X98" s="0">
        <v>0</v>
      </c>
      <c r="Z98" s="0">
        <v>2294</v>
      </c>
      <c r="AA98" s="0">
        <v>1420</v>
      </c>
      <c r="AB98" s="0">
        <v>17480</v>
      </c>
    </row>
    <row r="99">
      <c r="E99" s="1" t="s">
        <v>141</v>
      </c>
      <c r="F99" s="1">
        <v>215</v>
      </c>
      <c r="X99" s="0">
        <v>4</v>
      </c>
      <c r="Z99" s="0">
        <v>3212</v>
      </c>
      <c r="AA99" s="0">
        <v>1988</v>
      </c>
      <c r="AB99" s="0">
        <v>24472</v>
      </c>
    </row>
    <row r="100">
      <c r="E100" s="1" t="s">
        <v>90</v>
      </c>
      <c r="F100" s="1">
        <v>211</v>
      </c>
      <c r="X100" s="0">
        <v>8</v>
      </c>
      <c r="Z100" s="0">
        <v>4589</v>
      </c>
      <c r="AA100" s="0">
        <v>2841</v>
      </c>
      <c r="AB100" s="0">
        <v>34960</v>
      </c>
    </row>
    <row r="101">
      <c r="E101" s="1" t="s">
        <v>227</v>
      </c>
      <c r="F101" s="1">
        <v>209</v>
      </c>
      <c r="X101" s="0">
        <v>0</v>
      </c>
      <c r="Z101" s="0">
        <v>3032</v>
      </c>
      <c r="AA101" s="0">
        <v>901</v>
      </c>
      <c r="AB101" s="0">
        <v>15295</v>
      </c>
    </row>
    <row r="102">
      <c r="E102" s="1" t="s">
        <v>213</v>
      </c>
      <c r="F102" s="1">
        <v>204</v>
      </c>
      <c r="X102" s="0">
        <v>4</v>
      </c>
      <c r="Z102" s="0">
        <v>4244</v>
      </c>
      <c r="AA102" s="0">
        <v>1262</v>
      </c>
      <c r="AB102" s="0">
        <v>21413</v>
      </c>
    </row>
    <row r="103">
      <c r="X103" s="0">
        <v>8</v>
      </c>
      <c r="Z103" s="0">
        <v>6063</v>
      </c>
      <c r="AA103" s="0">
        <v>1803</v>
      </c>
      <c r="AB103" s="0">
        <v>30590</v>
      </c>
    </row>
    <row r="104">
      <c r="X104" s="0">
        <v>0</v>
      </c>
      <c r="Z104" s="0">
        <v>2240</v>
      </c>
      <c r="AA104" s="0">
        <v>1366</v>
      </c>
      <c r="AB104" s="0">
        <v>18573</v>
      </c>
    </row>
    <row r="105">
      <c r="X105" s="0">
        <v>4</v>
      </c>
      <c r="Z105" s="0">
        <v>3135</v>
      </c>
      <c r="AA105" s="0">
        <v>1912</v>
      </c>
      <c r="AB105" s="0">
        <v>26002</v>
      </c>
    </row>
    <row r="106">
      <c r="X106" s="0">
        <v>8</v>
      </c>
      <c r="Z106" s="0">
        <v>4479</v>
      </c>
      <c r="AA106" s="0">
        <v>2731</v>
      </c>
      <c r="AB106" s="0">
        <v>37145</v>
      </c>
    </row>
    <row r="107">
      <c r="X107" s="0">
        <v>0</v>
      </c>
      <c r="Z107" s="0">
        <v>2933</v>
      </c>
      <c r="AA107" s="0">
        <v>1150</v>
      </c>
      <c r="AB107" s="0">
        <v>16675</v>
      </c>
    </row>
    <row r="108">
      <c r="X108" s="0">
        <v>4</v>
      </c>
      <c r="Z108" s="0">
        <v>4106</v>
      </c>
      <c r="AA108" s="0">
        <v>1610</v>
      </c>
      <c r="AB108" s="0">
        <v>23345</v>
      </c>
    </row>
    <row r="109">
      <c r="X109" s="0">
        <v>8</v>
      </c>
      <c r="Z109" s="0">
        <v>5865</v>
      </c>
      <c r="AA109" s="0">
        <v>2300</v>
      </c>
      <c r="AB109" s="0">
        <v>33350</v>
      </c>
    </row>
    <row r="110">
      <c r="X110" s="0">
        <v>0</v>
      </c>
      <c r="Z110" s="0">
        <v>2846</v>
      </c>
      <c r="AA110" s="0">
        <v>1113</v>
      </c>
      <c r="AB110" s="0">
        <v>12161</v>
      </c>
    </row>
    <row r="111">
      <c r="X111" s="0">
        <v>4</v>
      </c>
      <c r="Z111" s="0">
        <v>3985</v>
      </c>
      <c r="AA111" s="0">
        <v>1558</v>
      </c>
      <c r="AB111" s="0">
        <v>17026</v>
      </c>
    </row>
    <row r="112">
      <c r="X112" s="0">
        <v>8</v>
      </c>
      <c r="Z112" s="0">
        <v>5693</v>
      </c>
      <c r="AA112" s="0">
        <v>2225</v>
      </c>
      <c r="AB112" s="0">
        <v>24323</v>
      </c>
    </row>
    <row r="113">
      <c r="X113" s="0">
        <v>0</v>
      </c>
      <c r="Z113" s="0">
        <v>2649</v>
      </c>
      <c r="AA113" s="0">
        <v>1120</v>
      </c>
      <c r="AB113" s="0">
        <v>16934</v>
      </c>
    </row>
    <row r="114">
      <c r="X114" s="0">
        <v>4</v>
      </c>
      <c r="Z114" s="0">
        <v>3709</v>
      </c>
      <c r="AA114" s="0">
        <v>1568</v>
      </c>
      <c r="AB114" s="0">
        <v>23707</v>
      </c>
    </row>
    <row r="115">
      <c r="X115" s="0">
        <v>8</v>
      </c>
      <c r="Z115" s="0">
        <v>5299</v>
      </c>
      <c r="AA115" s="0">
        <v>2240</v>
      </c>
      <c r="AB115" s="0">
        <v>33868</v>
      </c>
    </row>
    <row r="116">
      <c r="X116" s="0">
        <v>0</v>
      </c>
      <c r="Z116" s="0">
        <v>3196</v>
      </c>
      <c r="AA116" s="0">
        <v>792</v>
      </c>
      <c r="AB116" s="0">
        <v>14749</v>
      </c>
    </row>
    <row r="117">
      <c r="X117" s="0">
        <v>4</v>
      </c>
      <c r="Z117" s="0">
        <v>4474</v>
      </c>
      <c r="AA117" s="0">
        <v>1109</v>
      </c>
      <c r="AB117" s="0">
        <v>20648</v>
      </c>
    </row>
    <row r="118">
      <c r="X118" s="0">
        <v>8</v>
      </c>
      <c r="Z118" s="0">
        <v>6391</v>
      </c>
      <c r="AA118" s="0">
        <v>1584</v>
      </c>
      <c r="AB118" s="0">
        <v>29498</v>
      </c>
    </row>
    <row r="119">
      <c r="X119" s="0">
        <v>0</v>
      </c>
      <c r="Z119" s="0">
        <v>3168</v>
      </c>
      <c r="AA119" s="0">
        <v>860</v>
      </c>
      <c r="AB119" s="0">
        <v>14339</v>
      </c>
    </row>
    <row r="120">
      <c r="X120" s="0">
        <v>4</v>
      </c>
      <c r="Z120" s="0">
        <v>4436</v>
      </c>
      <c r="AA120" s="0">
        <v>1204</v>
      </c>
      <c r="AB120" s="0">
        <v>20075</v>
      </c>
    </row>
    <row r="121">
      <c r="X121" s="0">
        <v>8</v>
      </c>
      <c r="Z121" s="0">
        <v>6337</v>
      </c>
      <c r="AA121" s="0">
        <v>1721</v>
      </c>
      <c r="AB121" s="0">
        <v>28678</v>
      </c>
    </row>
    <row r="122">
      <c r="X122" s="0">
        <v>0</v>
      </c>
      <c r="Z122" s="0">
        <v>2485</v>
      </c>
      <c r="AA122" s="0">
        <v>1174</v>
      </c>
      <c r="AB122" s="0">
        <v>18026</v>
      </c>
    </row>
    <row r="123">
      <c r="X123" s="0">
        <v>4</v>
      </c>
      <c r="Z123" s="0">
        <v>3480</v>
      </c>
      <c r="AA123" s="0">
        <v>1644</v>
      </c>
      <c r="AB123" s="0">
        <v>25237</v>
      </c>
    </row>
    <row r="124">
      <c r="X124" s="0">
        <v>8</v>
      </c>
      <c r="Z124" s="0">
        <v>4971</v>
      </c>
      <c r="AA124" s="0">
        <v>2349</v>
      </c>
      <c r="AB124" s="0">
        <v>36053</v>
      </c>
    </row>
    <row r="125">
      <c r="X125" s="0">
        <v>0</v>
      </c>
      <c r="Z125" s="0">
        <v>3450</v>
      </c>
      <c r="AA125" s="0">
        <v>863</v>
      </c>
      <c r="AB125" s="0">
        <v>14375</v>
      </c>
    </row>
    <row r="126">
      <c r="X126" s="0">
        <v>4</v>
      </c>
      <c r="Z126" s="0">
        <v>4830</v>
      </c>
      <c r="AA126" s="0">
        <v>1208</v>
      </c>
      <c r="AB126" s="0">
        <v>20125</v>
      </c>
    </row>
    <row r="127">
      <c r="X127" s="0">
        <v>8</v>
      </c>
      <c r="Z127" s="0">
        <v>6900</v>
      </c>
      <c r="AA127" s="0">
        <v>1725</v>
      </c>
      <c r="AB127" s="0">
        <v>28750</v>
      </c>
    </row>
    <row r="128">
      <c r="X128" s="0">
        <v>0</v>
      </c>
      <c r="Z128" s="0">
        <v>2243</v>
      </c>
      <c r="AA128" s="0">
        <v>1351</v>
      </c>
      <c r="AB128" s="0">
        <v>21563</v>
      </c>
    </row>
    <row r="129">
      <c r="X129" s="0">
        <v>4</v>
      </c>
      <c r="Z129" s="0">
        <v>3140</v>
      </c>
      <c r="AA129" s="0">
        <v>1892</v>
      </c>
      <c r="AB129" s="0">
        <v>30188</v>
      </c>
    </row>
    <row r="130">
      <c r="X130" s="0">
        <v>8</v>
      </c>
      <c r="Z130" s="0">
        <v>4485</v>
      </c>
      <c r="AA130" s="0">
        <v>2703</v>
      </c>
      <c r="AB130" s="0">
        <v>43125</v>
      </c>
    </row>
    <row r="131">
      <c r="X131" s="0">
        <v>0</v>
      </c>
      <c r="Z131" s="0">
        <v>2731</v>
      </c>
      <c r="AA131" s="0">
        <v>1294</v>
      </c>
      <c r="AB131" s="0">
        <v>17250</v>
      </c>
    </row>
    <row r="132">
      <c r="X132" s="0">
        <v>4</v>
      </c>
      <c r="Z132" s="0">
        <v>3824</v>
      </c>
      <c r="AA132" s="0">
        <v>1811</v>
      </c>
      <c r="AB132" s="0">
        <v>24150</v>
      </c>
    </row>
    <row r="133">
      <c r="X133" s="0">
        <v>8</v>
      </c>
      <c r="Z133" s="0">
        <v>5463</v>
      </c>
      <c r="AA133" s="0">
        <v>2588</v>
      </c>
      <c r="AB133" s="0">
        <v>34500</v>
      </c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1"/>
  <sheetViews>
    <sheetView workbookViewId="0">
      <selection activeCell="E9" sqref="E9"/>
    </sheetView>
  </sheetViews>
  <sheetFormatPr defaultColWidth="9" defaultRowHeight="13.5" outlineLevelCol="3"/>
  <sheetData>
    <row r="1">
      <c r="A1" s="0">
        <v>7</v>
      </c>
      <c r="B1" s="0">
        <v>1</v>
      </c>
      <c r="C1" s="0">
        <v>9999</v>
      </c>
      <c r="D1" s="0">
        <v>42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南</cp:lastModifiedBy>
  <dcterms:created xsi:type="dcterms:W3CDTF">2006-09-16T00:00:00Z</dcterms:created>
  <dcterms:modified xsi:type="dcterms:W3CDTF">2019-08-30T08:45:16Z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2052-11.1.0.8976</vt:lpwstr>
  </property>
  <property fmtid="{D5CDD505-2E9C-101B-9397-08002B2CF9AE}" pid="3" name="KSOReadingLayout">
    <vt:bool>false</vt:bool>
  </property>
</Properties>
</file>