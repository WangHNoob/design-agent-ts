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52" windowHeight="12525"/>
  </bookViews>
  <sheets>
    <sheet name="Sheet1" sheetId="1" r:id="rId1"/>
    <sheet name="Sheet2" sheetId="2" r:id="rId2"/>
    <sheet name="Sheet3" sheetId="3" r:id="rId3"/>
  </sheets>
  <externalReferences>
    <externalReference r:id="rId4"/>
    <externalReference r:id="rId5"/>
  </externalReferences>
  <definedNames>
    <definedName name="_xlnm._FilterDatabase" localSheetId="0" hidden="1">Sheet1!$A$6:$Q$462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2" authorId="0">
      <text>
        <r>
          <rPr>
            <b/>
            <sz val="9"/>
            <rFont val="宋体"/>
            <charset val="134"/>
          </rPr>
          <t xml:space="preserve">类型:
1:10;2:5;
</t>
        </r>
        <r>
          <rPr>
            <sz val="9"/>
            <rFont val="宋体"/>
            <charset val="134"/>
          </rPr>
          <t>1.英雄等级
2.英雄星级
3.突破
4.亲密度</t>
        </r>
      </text>
    </comment>
  </commentList>
</comments>
</file>

<file path=xl/sharedStrings.xml><?xml version="1.0" encoding="utf-8"?>
<sst xmlns="http://schemas.openxmlformats.org/spreadsheetml/2006/main" count="2111" uniqueCount="857">
  <si>
    <t>16</t>
  </si>
  <si>
    <t>id</t>
  </si>
  <si>
    <t>英雄id</t>
  </si>
  <si>
    <t>显示顺序</t>
  </si>
  <si>
    <t>解锁条件</t>
  </si>
  <si>
    <t>是否开放</t>
  </si>
  <si>
    <t>属性属性</t>
  </si>
  <si>
    <t>属性加成百分比</t>
  </si>
  <si>
    <t>实际buff</t>
  </si>
  <si>
    <t>加成技能</t>
  </si>
  <si>
    <t>针对所有阵上人加的buff</t>
  </si>
  <si>
    <t>给队伍加的战斗力</t>
  </si>
  <si>
    <t>战斗力系数D</t>
  </si>
  <si>
    <t>描述</t>
  </si>
  <si>
    <t>描述的图标名</t>
  </si>
  <si>
    <t>战斗力系数B</t>
  </si>
  <si>
    <t>战斗力系数C</t>
  </si>
  <si>
    <t>EmptyKey-Q2</t>
  </si>
  <si>
    <t>EmptyKey-R2</t>
  </si>
  <si>
    <t>heroId</t>
  </si>
  <si>
    <t>orderNum</t>
  </si>
  <si>
    <t>unlockCondition</t>
  </si>
  <si>
    <t>isOpen</t>
  </si>
  <si>
    <t>propAdd</t>
  </si>
  <si>
    <t>propAddPercent</t>
  </si>
  <si>
    <t>fightBuffId</t>
  </si>
  <si>
    <t>skillId</t>
  </si>
  <si>
    <t>powerFactorD</t>
  </si>
  <si>
    <t>descIndex</t>
  </si>
  <si>
    <t>descIcon</t>
  </si>
  <si>
    <t>powerFactorB</t>
  </si>
  <si>
    <t>powerFactorC</t>
  </si>
  <si>
    <t>int</t>
  </si>
  <si>
    <t>string</t>
  </si>
  <si>
    <t>float</t>
  </si>
  <si>
    <t>primary</t>
  </si>
  <si>
    <t>index</t>
  </si>
  <si>
    <t>none</t>
  </si>
  <si>
    <t>fightBuffId4all</t>
  </si>
  <si>
    <t>fightPower</t>
  </si>
  <si>
    <t>1:70</t>
  </si>
  <si>
    <t>我方成员防御力+10</t>
  </si>
  <si>
    <t>UI_heroshuxing_icon_fangyu</t>
  </si>
  <si>
    <t>3:3</t>
  </si>
  <si>
    <t>我方成员生命+400</t>
  </si>
  <si>
    <t>UI_heroshuxing_icon_naili</t>
  </si>
  <si>
    <t>2:6</t>
  </si>
  <si>
    <t>每回合我方全体回复1.5%生命</t>
  </si>
  <si>
    <t>我方成员攻击+25</t>
  </si>
  <si>
    <t>UI_heroshuxing_icon_liliang</t>
  </si>
  <si>
    <t>我方成员防御力+20</t>
  </si>
  <si>
    <t>我方成员攻击+1.5%</t>
  </si>
  <si>
    <t>我方成员暴击率+1%</t>
  </si>
  <si>
    <t>UI_heroshuxing_icon_baoji</t>
  </si>
  <si>
    <t>我方成员暴击率+1.5%</t>
  </si>
  <si>
    <t>我方成员伤害加成+0.5%</t>
  </si>
  <si>
    <t>我方成员暴击伤害+2%</t>
  </si>
  <si>
    <t>我方成员暴击伤害+3%</t>
  </si>
  <si>
    <t>我方成员命中率+0.5%</t>
  </si>
  <si>
    <t>UI_heroshuxing_icon_jingzhun</t>
  </si>
  <si>
    <t>我方成员伤害加成+1%</t>
  </si>
  <si>
    <t>UI_heroshuxing_icon_shanghaijiacheng</t>
  </si>
  <si>
    <t>敌方全体命中降低1.5%</t>
  </si>
  <si>
    <t>我方成员生命+200</t>
  </si>
  <si>
    <t>我方成员韧性+1%</t>
  </si>
  <si>
    <t>UI_heroshuxing_icon_renxing</t>
  </si>
  <si>
    <t>首回合我方全体减伤增加3%</t>
  </si>
  <si>
    <t>UI_heroshuxing_icon_quanshuxingkangxing</t>
  </si>
  <si>
    <t>我方成员攻击+50</t>
  </si>
  <si>
    <t>最后一排角色的攻击提高5%</t>
  </si>
  <si>
    <t>我方成员韧性+0.5%</t>
  </si>
  <si>
    <t>我方成员伤害减免+1%</t>
  </si>
  <si>
    <t>UI_heroshuxing_icon_shanghaijianmian</t>
  </si>
  <si>
    <t>第一排角色防御提高5%</t>
  </si>
  <si>
    <t>我方成员暴击+0.5%</t>
  </si>
  <si>
    <t>我方成员攻击+1%</t>
  </si>
  <si>
    <t>终结技与奥义技能的伤害提高\n2%</t>
  </si>
  <si>
    <t>UI_heroshuxing_icon_quanshuxingshanghai</t>
  </si>
  <si>
    <t>我方成员命中率+1%</t>
  </si>
  <si>
    <t>首两回合我方全体攻击提高2%</t>
  </si>
  <si>
    <t>我方成员闪避率+0.5%</t>
  </si>
  <si>
    <t>UI_heroshuxing_icon_shanbi</t>
  </si>
  <si>
    <t>我方成员闪避率+1%</t>
  </si>
  <si>
    <t>首回合我方全体闪避提高3%</t>
  </si>
  <si>
    <t>我方的属性伤害提高0.5%</t>
  </si>
  <si>
    <t>60017</t>
  </si>
  <si>
    <t>我方的属性伤害提高1%</t>
  </si>
  <si>
    <t>我方的属性伤害提高1.5%</t>
  </si>
  <si>
    <t>我方成员生命+1.5%</t>
  </si>
  <si>
    <t>我方成员破击+0.5%</t>
  </si>
  <si>
    <t>UI_heroshuxing_icon_poji</t>
  </si>
  <si>
    <t>我方成员破击+1%</t>
  </si>
  <si>
    <t>“单体技能”的招式伤害提高\n2%</t>
  </si>
  <si>
    <t>敌方全体命中降低0.5%</t>
  </si>
  <si>
    <t>60050</t>
  </si>
  <si>
    <t>敌方全体攻击力降低20</t>
  </si>
  <si>
    <t>敌方全体攻击降低1.5%</t>
  </si>
  <si>
    <t>我方成员格挡+1%</t>
  </si>
  <si>
    <t>约撒</t>
  </si>
  <si>
    <t>60051</t>
  </si>
  <si>
    <t>敌方全体韧性降低1%</t>
  </si>
  <si>
    <t>我方成员攻击+1%，防御+1%</t>
  </si>
  <si>
    <t>我方成员攻击+0.5%，防御+0.5%</t>
  </si>
  <si>
    <t>路飞</t>
  </si>
  <si>
    <t>海盗阵营角色伤害提高2%</t>
  </si>
  <si>
    <t>2:7</t>
  </si>
  <si>
    <t>我方成员暴击+1%</t>
  </si>
  <si>
    <t>佐罗</t>
  </si>
  <si>
    <t>首回合我方全体攻击力提高4%</t>
  </si>
  <si>
    <t>我方成员暴击+1%，攻击+1%</t>
  </si>
  <si>
    <t>奈美</t>
  </si>
  <si>
    <t>男性角色攻击力提高1.5%</t>
  </si>
  <si>
    <t>我方成员命中率+1%，闪避率+1%</t>
  </si>
  <si>
    <t>撒谎布</t>
  </si>
  <si>
    <t>我方的属性伤害提高2%</t>
  </si>
  <si>
    <t>我方成员伤害加成+2%</t>
  </si>
  <si>
    <t>“单体技能”的招式伤害提高\n1%</t>
  </si>
  <si>
    <t>山智</t>
  </si>
  <si>
    <t>我方全体奥义技能的暴击率提\n高2%</t>
  </si>
  <si>
    <t>60052</t>
  </si>
  <si>
    <t>首回合我方全体伤害提高5%</t>
  </si>
  <si>
    <t>我方成员治疗加成+2%</t>
  </si>
  <si>
    <t>乔巴</t>
  </si>
  <si>
    <t>每回合开始我方生命值最低的角\n色减伤提高5%，持续1回合</t>
  </si>
  <si>
    <t>60053</t>
  </si>
  <si>
    <t>每回合我方全体回复2%生命</t>
  </si>
  <si>
    <t>敌方全体治疗效果降低2%</t>
  </si>
  <si>
    <t>罗宾</t>
  </si>
  <si>
    <t>每回合开始我方随机1人攻击力\n提高5%，持续1回合</t>
  </si>
  <si>
    <t>60028</t>
  </si>
  <si>
    <t>每回合随机标记一名敌人，使\n其受到的伤害增加7%</t>
  </si>
  <si>
    <t>UI_heroshuxing_icon_zhaojia</t>
  </si>
  <si>
    <t>我方成员生命+1%</t>
  </si>
  <si>
    <t>弗兰奇</t>
  </si>
  <si>
    <t>我方阵型前两排角色生命值增\n加3%</t>
  </si>
  <si>
    <t>我方成员韧性+2%</t>
  </si>
  <si>
    <t>布鲁克</t>
  </si>
  <si>
    <t>首两回合我方全体伤害提高3%</t>
  </si>
  <si>
    <t>我方成员闪避+2%</t>
  </si>
  <si>
    <t>我方成员闪避+1%</t>
  </si>
  <si>
    <t>巴奇</t>
  </si>
  <si>
    <t>我方阵型后两排角色闪避增加\n2%</t>
  </si>
  <si>
    <t>我方成员暴击伤害+5%</t>
  </si>
  <si>
    <t>我方成员防御+1%</t>
  </si>
  <si>
    <t>烟鬼</t>
  </si>
  <si>
    <t>海军阵营角色攻击力提高2%</t>
  </si>
  <si>
    <t>60054</t>
  </si>
  <si>
    <t>对海盗阵营角色造成的伤害提\n高3%</t>
  </si>
  <si>
    <t>塔希米</t>
  </si>
  <si>
    <t>60055</t>
  </si>
  <si>
    <t>终结技与奥义技能的伤害提高\n3%</t>
  </si>
  <si>
    <t>Mr.1</t>
  </si>
  <si>
    <t>我方成员防御+1.5%</t>
  </si>
  <si>
    <t>我方成员韧性+1%，防御+1%</t>
  </si>
  <si>
    <t>首回合我方全体攻击提高2%</t>
  </si>
  <si>
    <t>Mr.2</t>
  </si>
  <si>
    <t>我方成员命中+1.5%</t>
  </si>
  <si>
    <t>60056</t>
  </si>
  <si>
    <t>首两回合我方全体攻击力提高\n3%</t>
  </si>
  <si>
    <t>我方角色最大生命提高1%</t>
  </si>
  <si>
    <t>Mr.3</t>
  </si>
  <si>
    <t>我方成员抗暴击伤害+3%</t>
  </si>
  <si>
    <t>我方全体受到的所有伤害降低\n2%</t>
  </si>
  <si>
    <t>我方全体附加2%反伤</t>
  </si>
  <si>
    <t>Ms.双手指</t>
  </si>
  <si>
    <t>我方全体附加3%反伤</t>
  </si>
  <si>
    <t>60022</t>
  </si>
  <si>
    <t>我方全体附加5%反伤</t>
  </si>
  <si>
    <t>贝拉密</t>
  </si>
  <si>
    <t>我方成员伤害加成+1.5%</t>
  </si>
  <si>
    <t>60058</t>
  </si>
  <si>
    <t>每回合我方全体攻击力提高1%，\n最多叠加5层</t>
  </si>
  <si>
    <t>我方全体吸血效果增加1%</t>
  </si>
  <si>
    <t>杰布拉</t>
  </si>
  <si>
    <t>我方全体吸血效果增加2%</t>
  </si>
  <si>
    <t>我方全体角色最大生命提高3%</t>
  </si>
  <si>
    <t>我方全体受到的所有伤害降低\n1%</t>
  </si>
  <si>
    <t>佳妮法</t>
  </si>
  <si>
    <t>我方成员治疗加成+4%</t>
  </si>
  <si>
    <t>61087</t>
  </si>
  <si>
    <t>每回合开始随机清除我方的一\n个负面状态</t>
  </si>
  <si>
    <t>卡古</t>
  </si>
  <si>
    <t>对生命值低于30%的目标造成\n的伤害提升5%</t>
  </si>
  <si>
    <t>60046</t>
  </si>
  <si>
    <t>受到流血、灼烧、感电、中毒\n影响的敌人，受到的伤害提高5%</t>
  </si>
  <si>
    <t>阿布萨罗姆</t>
  </si>
  <si>
    <t>60029</t>
  </si>
  <si>
    <t>首回合我方全体闪避增加5%</t>
  </si>
  <si>
    <t>UI_heroshuxing_icon_minjie</t>
  </si>
  <si>
    <t>豪格巴克</t>
  </si>
  <si>
    <t>60030</t>
  </si>
  <si>
    <t>每回合开始时我方随机一人\n回复10%生命</t>
  </si>
  <si>
    <t>我方成员命中+1%</t>
  </si>
  <si>
    <t>佩罗娜</t>
  </si>
  <si>
    <t>敌方全体攻击力减少1.5%</t>
  </si>
  <si>
    <t>60031</t>
  </si>
  <si>
    <t>首回合敌方随机1名角色减速\n15%</t>
  </si>
  <si>
    <t>龙马</t>
  </si>
  <si>
    <t>“直线技能”的招式伤害提高\n2%</t>
  </si>
  <si>
    <t>“单体技能”的招式伤害提高\n3%</t>
  </si>
  <si>
    <t>1</t>
  </si>
  <si>
    <t>61084</t>
  </si>
  <si>
    <t>我方成员攻击+0.5%，生命+0.5%</t>
  </si>
  <si>
    <t>贝宝</t>
  </si>
  <si>
    <t>61085</t>
  </si>
  <si>
    <t>61086</t>
  </si>
  <si>
    <t>我方成员攻击+2%，防御+2%</t>
  </si>
  <si>
    <t>61001</t>
  </si>
  <si>
    <t>我方血量最高的成员伤害+7%</t>
  </si>
  <si>
    <t>战桃丸</t>
  </si>
  <si>
    <t>61002</t>
  </si>
  <si>
    <t>我方血量最多的成员，生命+5%，\n韧性+5%</t>
  </si>
  <si>
    <t>2:8</t>
  </si>
  <si>
    <t>60060</t>
  </si>
  <si>
    <t>我方前两排角色的格挡率+15%</t>
  </si>
  <si>
    <t>60117</t>
  </si>
  <si>
    <t>敌方全体闪避率-3%</t>
  </si>
  <si>
    <t>沙·鳄鱼</t>
  </si>
  <si>
    <t>60061</t>
  </si>
  <si>
    <t>我方海盗阵营角色伤害+5%</t>
  </si>
  <si>
    <t>60024</t>
  </si>
  <si>
    <t>我方七武海阵营角色，暴击率+3%、\n暴击伤害+10%</t>
  </si>
  <si>
    <t>60118</t>
  </si>
  <si>
    <t>每回合开始前己方随机1人获得\n10点怒气</t>
  </si>
  <si>
    <t>艾尼路</t>
  </si>
  <si>
    <t>60062</t>
  </si>
  <si>
    <t>我方“直线技能”的招式伤害\n+8%</t>
  </si>
  <si>
    <t>60026</t>
  </si>
  <si>
    <t>“全体技能”的招式伤害提高\n10%</t>
  </si>
  <si>
    <t>61015</t>
  </si>
  <si>
    <t>1250</t>
  </si>
  <si>
    <t>我方成员防御力+3%</t>
  </si>
  <si>
    <t>青雉</t>
  </si>
  <si>
    <t>60063</t>
  </si>
  <si>
    <t>首回合敌方随机1名角色速度-10%</t>
  </si>
  <si>
    <t>60033</t>
  </si>
  <si>
    <t>敌方前两排的角色速度-10%</t>
  </si>
  <si>
    <t>60119</t>
  </si>
  <si>
    <t>海军阵营角色生命值提高3%</t>
  </si>
  <si>
    <t>戈普</t>
  </si>
  <si>
    <t>60064</t>
  </si>
  <si>
    <t>我方海军阵营的角色韧性+10%</t>
  </si>
  <si>
    <t>60034</t>
  </si>
  <si>
    <t>海军阵营角色的攻击+5%，暴击\n+5%</t>
  </si>
  <si>
    <t>61003</t>
  </si>
  <si>
    <t xml:space="preserve">首回合敌方前两排成员的伤害降\n低5% </t>
  </si>
  <si>
    <t>莫利亚</t>
  </si>
  <si>
    <t>60065</t>
  </si>
  <si>
    <t>我方后两排角色攻击力+5%</t>
  </si>
  <si>
    <t>61004</t>
  </si>
  <si>
    <t>敌方攻击力-5%，暴击率-5%</t>
  </si>
  <si>
    <t>每回合开始前我方随机1人会清\n除1个负面状态</t>
  </si>
  <si>
    <t>大熊</t>
  </si>
  <si>
    <t>60066</t>
  </si>
  <si>
    <t>我方成员每回合回复2%生命</t>
  </si>
  <si>
    <t>60036</t>
  </si>
  <si>
    <t>每回合开始时我方血量最低角\n色有几率获得一个20%生命的\n护盾</t>
  </si>
  <si>
    <t>60120</t>
  </si>
  <si>
    <t>首回合我方成员暴击率+3%</t>
  </si>
  <si>
    <t>黄猿</t>
  </si>
  <si>
    <t>60067</t>
  </si>
  <si>
    <t>对敌方生命值低于30%的目标造\n成的伤害+10%</t>
  </si>
  <si>
    <t>61016</t>
  </si>
  <si>
    <t>己方命中率增+10%，暴击伤害\n+10%</t>
  </si>
  <si>
    <t>61005</t>
  </si>
  <si>
    <t>我方成员的火属性伤害+10%</t>
  </si>
  <si>
    <t>艾斯</t>
  </si>
  <si>
    <t>61006</t>
  </si>
  <si>
    <t>我方成员的火属性抗性+10%</t>
  </si>
  <si>
    <t>60037</t>
  </si>
  <si>
    <t>己方的终结技和奥义技能伤害\n+10%</t>
  </si>
  <si>
    <t>61007</t>
  </si>
  <si>
    <t>击杀敌方目标的角色伤害+5%</t>
  </si>
  <si>
    <t>赤犬</t>
  </si>
  <si>
    <t>60069</t>
  </si>
  <si>
    <t>我方前两排角色减伤+5%</t>
  </si>
  <si>
    <t>60038</t>
  </si>
  <si>
    <t>我方成员受到的属性伤害-15%</t>
  </si>
  <si>
    <t>61017</t>
  </si>
  <si>
    <t>我方全员攻击力+3%</t>
  </si>
  <si>
    <t>米霍克</t>
  </si>
  <si>
    <t>60070</t>
  </si>
  <si>
    <t>己方全员首回合攻击力提高5%</t>
  </si>
  <si>
    <t>60039</t>
  </si>
  <si>
    <t>首回合己方随机1人增加1点魂\n玉且攻击力提升10%</t>
  </si>
  <si>
    <t>60127</t>
  </si>
  <si>
    <t>敌方每死亡1名角色，我方全员\n回复3%生命值</t>
  </si>
  <si>
    <t>鲁兹</t>
  </si>
  <si>
    <t>61008</t>
  </si>
  <si>
    <t>我方世界政府阵营的角色伤害+5%</t>
  </si>
  <si>
    <t>60040</t>
  </si>
  <si>
    <t>我方成员忽视敌方目标15%的防\n御力</t>
  </si>
  <si>
    <t>60122</t>
  </si>
  <si>
    <t>我方攻击力最高的角色减伤+7%</t>
  </si>
  <si>
    <t>甚平</t>
  </si>
  <si>
    <t>60072</t>
  </si>
  <si>
    <t>我方第一排角色的韧性+5%，\n防御力+5%</t>
  </si>
  <si>
    <t>60077</t>
  </si>
  <si>
    <t>每回合开始前我方随机一名角\n色回复15%生命</t>
  </si>
  <si>
    <t>60123</t>
  </si>
  <si>
    <t>敌方男性角色命中率-5%</t>
  </si>
  <si>
    <t>汉库珂</t>
  </si>
  <si>
    <t>60073</t>
  </si>
  <si>
    <t>每回合随机标记一名敌人，使\n其受到的伤害增加10%</t>
  </si>
  <si>
    <t>60042</t>
  </si>
  <si>
    <t>我方男性角色的攻击力+5%，\n命中率+10%</t>
  </si>
  <si>
    <t>60129</t>
  </si>
  <si>
    <t>每回合开始我方随机1人攻击力\n+10%，持续1回合</t>
  </si>
  <si>
    <t>罗</t>
  </si>
  <si>
    <t>60074</t>
  </si>
  <si>
    <t>我方第一排的角色有几率免疫\n击飞、击退效果</t>
  </si>
  <si>
    <t>60043</t>
  </si>
  <si>
    <t>60047</t>
  </si>
  <si>
    <t>战斗开始前两回合我方免疫封印\n和封技效果，全员吸血效果+5%</t>
  </si>
  <si>
    <t>60124</t>
  </si>
  <si>
    <t>我方成员生命+3%</t>
  </si>
  <si>
    <t>基德</t>
  </si>
  <si>
    <t>61009</t>
  </si>
  <si>
    <t>我方超新星阵营的角色减伤+5%</t>
  </si>
  <si>
    <t>61014</t>
  </si>
  <si>
    <t>每回合开始前会在前排随机放\n置一枚“钢盾”</t>
  </si>
  <si>
    <t>61018</t>
  </si>
  <si>
    <t>我方成员暴击+3%</t>
  </si>
  <si>
    <t>雷利</t>
  </si>
  <si>
    <t>61019</t>
  </si>
  <si>
    <t>我方成员命中+10%，攻击+3%</t>
  </si>
  <si>
    <t>61010</t>
  </si>
  <si>
    <t>首回合随机给予我方一名角色\n50点怒气，暴击+5%</t>
  </si>
  <si>
    <t>61020</t>
  </si>
  <si>
    <t>我方成员防御力+5%</t>
  </si>
  <si>
    <t>战国</t>
  </si>
  <si>
    <t>61011</t>
  </si>
  <si>
    <t>我方海军阵营的角色闪避+5%，\n生命+3%</t>
  </si>
  <si>
    <t>每回合结束后我方海军阵营的\n角色可恢复5%生命</t>
  </si>
  <si>
    <t>60125</t>
  </si>
  <si>
    <t>敌方成员伤害-3%</t>
  </si>
  <si>
    <t>麦哲伦</t>
  </si>
  <si>
    <t>61013</t>
  </si>
  <si>
    <t>敌方成员暴击率-5%，暴击伤\n害-10%</t>
  </si>
  <si>
    <t>60078</t>
  </si>
  <si>
    <t>敌方成员所受到的治疗效果-35%</t>
  </si>
  <si>
    <t>敌方男性角色攻击力-5%</t>
  </si>
  <si>
    <t>伊娃科夫</t>
  </si>
  <si>
    <t>我方成员攻击力和防御力提高3%</t>
  </si>
  <si>
    <t>首回合己方攻击力和暴击率提\n高5%</t>
  </si>
  <si>
    <t>我方成员生命值提高5%</t>
  </si>
  <si>
    <t>乔兹</t>
  </si>
  <si>
    <t>我方全体成员攻击力+5%</t>
  </si>
  <si>
    <t>61093</t>
  </si>
  <si>
    <t>每当己方成员死亡时存活的随\n机1名己方成员获得50怒气</t>
  </si>
  <si>
    <t>61097</t>
  </si>
  <si>
    <t>我方全员攻击力和生命+3%</t>
  </si>
  <si>
    <t>白胡子</t>
  </si>
  <si>
    <t>61098</t>
  </si>
  <si>
    <t>我方成员忽视敌方目标10%的\n防御力</t>
  </si>
  <si>
    <t>61099</t>
  </si>
  <si>
    <t>进入战斗后会施放强烈震击，\n使敌方全员命中和闪避降低\n20%，持续两回合</t>
  </si>
  <si>
    <t>我方单体技能的暴击率+5%</t>
  </si>
  <si>
    <t>马尔高</t>
  </si>
  <si>
    <t>61095</t>
  </si>
  <si>
    <t>我方范围攻击技能的伤害+8%</t>
  </si>
  <si>
    <t>我方成员造成的属性伤害+15%</t>
  </si>
  <si>
    <t>我方成员闪避+3%</t>
  </si>
  <si>
    <t>比斯塔</t>
  </si>
  <si>
    <t>我方成员受到范围技能攻击时\n伤害降低10%</t>
  </si>
  <si>
    <t>前两回合己方随机一人速度和\n闪避提高15%</t>
  </si>
  <si>
    <t>61103</t>
  </si>
  <si>
    <t>我方成员生命、攻击、防御属\n性+2%</t>
  </si>
  <si>
    <t>红发</t>
  </si>
  <si>
    <t>61104</t>
  </si>
  <si>
    <t>我方成员生命低于50%时，闪\n避+5%，命中+5%</t>
  </si>
  <si>
    <t>61105</t>
  </si>
  <si>
    <t>首回合敌方随机1人降低2点魂\n玉</t>
  </si>
  <si>
    <t>61109</t>
  </si>
  <si>
    <t>我方成员命中+10%</t>
  </si>
  <si>
    <t>新世界乌索普</t>
  </si>
  <si>
    <t>61110</t>
  </si>
  <si>
    <t>首回合敌方随机1名角色伤害降\n低15%</t>
  </si>
  <si>
    <t>61111</t>
  </si>
  <si>
    <t>首回合敌方随机1名角色造成伤害\n后有10%几率中断行动</t>
  </si>
  <si>
    <t>61106</t>
  </si>
  <si>
    <t>我方全员攻击力、暴击率+3%</t>
  </si>
  <si>
    <t>新世界索隆</t>
  </si>
  <si>
    <t>61107</t>
  </si>
  <si>
    <t>我方成员生命+5%，伤害+5%</t>
  </si>
  <si>
    <t>61108</t>
  </si>
  <si>
    <t>前两回合我方成员的暴击率和韧性提高10%</t>
  </si>
  <si>
    <t>我方全员暗属性伤害+15%</t>
  </si>
  <si>
    <t>黑胡子</t>
  </si>
  <si>
    <t>敌方全员所有伤害降低10%</t>
  </si>
  <si>
    <t>敌方成员攻击力、暴击、命中降\n低8%</t>
  </si>
  <si>
    <t>我方全员攻击力提升5%，草帽团\n成员翻倍</t>
  </si>
  <si>
    <t>新世界娜美</t>
  </si>
  <si>
    <t>我方全员命中提升7%，草帽团成\n员翻倍</t>
  </si>
  <si>
    <t>我方全员造成伤害时有10%几率使\n伤害提升50%，草帽团成员伤害\n翻倍</t>
  </si>
  <si>
    <t>我方全员造成的伤害提升7%</t>
  </si>
  <si>
    <t>明哥</t>
  </si>
  <si>
    <t>我方全员破击增加15%</t>
  </si>
  <si>
    <t>每回合随机1名我方成员获得1层盾白\n线，受到大于10%最大生命的伤害时，\n使伤害等于10%的最大生命值</t>
  </si>
  <si>
    <t>我方全员受到的属性伤害降低12%</t>
  </si>
  <si>
    <t>新世界罗宾</t>
  </si>
  <si>
    <t>敌方全员攻击力降低10%</t>
  </si>
  <si>
    <t>每回合我方随机一人速度、攻击\n力、命中提升5%</t>
  </si>
  <si>
    <t>草帽团成员伤害提升10%</t>
  </si>
  <si>
    <t>新世界路飞</t>
  </si>
  <si>
    <t>61127</t>
  </si>
  <si>
    <t>我方全员受到的雷和毒属性伤害\n降低20%</t>
  </si>
  <si>
    <t>61128</t>
  </si>
  <si>
    <t>首回合我方全员释放奥义时有20%几\n率忽视目标伤害减免</t>
  </si>
  <si>
    <t>61129</t>
  </si>
  <si>
    <t>海军阵营所有伤害减免提升8%</t>
  </si>
  <si>
    <t>新世界烟鬼</t>
  </si>
  <si>
    <t>61130</t>
  </si>
  <si>
    <t>敌方全员终结技和奥义伤害降低10%</t>
  </si>
  <si>
    <t>61131</t>
  </si>
  <si>
    <t>首回合为我方全员附加15%最大生\n命的护盾</t>
  </si>
  <si>
    <t>我方海军阵营攻击力提升7%</t>
  </si>
  <si>
    <t>新世界塔西米</t>
  </si>
  <si>
    <t>本回合如果没有释放奥义，则使下一\n次奥义伤害提升10%，最多叠\n加30%</t>
  </si>
  <si>
    <t>我方造成击杀时回复10%最大生命</t>
  </si>
  <si>
    <t>草帽团成员闪避提升10%</t>
  </si>
  <si>
    <t>新世界山治</t>
  </si>
  <si>
    <t>61137</t>
  </si>
  <si>
    <t>我方全员被非奥义技能攻击时所\n有伤害降低10%</t>
  </si>
  <si>
    <t>61138</t>
  </si>
  <si>
    <t>我方全员每回合释放的首个技能\n伤害、命中提升20%</t>
  </si>
  <si>
    <t>每回合回复我方血量最低的角色\n10%生命</t>
  </si>
  <si>
    <t>新世界乔巴</t>
  </si>
  <si>
    <t>我方全员治疗效果提升10%</t>
  </si>
  <si>
    <t>每回合回复我方全员8%生命</t>
  </si>
  <si>
    <t>61142</t>
  </si>
  <si>
    <t>我方全员对生命高于50%敌方角\n色造成伤害提升10%</t>
  </si>
  <si>
    <t>新世界罗</t>
  </si>
  <si>
    <t>61143</t>
  </si>
  <si>
    <t>首回合随机一名我方角色攻击力、\n暴击提升10%</t>
  </si>
  <si>
    <t>61144</t>
  </si>
  <si>
    <t>首两回合敌方全员释放技能有8%的\n几率无法造成伤害和负面效果</t>
  </si>
  <si>
    <t>61146</t>
  </si>
  <si>
    <t>前两排我方角色格挡提升10%</t>
  </si>
  <si>
    <t>新世界弗兰奇</t>
  </si>
  <si>
    <t>61147</t>
  </si>
  <si>
    <t>我方全员承受的暴击伤害减低20%</t>
  </si>
  <si>
    <t>61148</t>
  </si>
  <si>
    <t>每次释放技能当前回合所有\n伤害提升5%</t>
  </si>
  <si>
    <t>敌方全员命中降低7%</t>
  </si>
  <si>
    <t>新世界布鲁克</t>
  </si>
  <si>
    <t>我方全员速度提升5%</t>
  </si>
  <si>
    <t>我方每名角色首次阵亡时随机\n冻结1名敌方角色</t>
  </si>
  <si>
    <t>我方全员最大生命提升7%</t>
  </si>
  <si>
    <t>藤虎</t>
  </si>
  <si>
    <t>我方全员闪避增加10%</t>
  </si>
  <si>
    <t>每回合随机1名敌方角色技能消\n耗增加1魂玉</t>
  </si>
  <si>
    <t>61155</t>
  </si>
  <si>
    <t>我方全员破击增加5%</t>
  </si>
  <si>
    <t>锦卫门</t>
  </si>
  <si>
    <t>61156</t>
  </si>
  <si>
    <t>我方全员火属性伤害增加10%</t>
  </si>
  <si>
    <t>61157</t>
  </si>
  <si>
    <t>我方全员奥义伤害增加15%</t>
  </si>
  <si>
    <t>我方全员命中、闪避提升7%</t>
  </si>
  <si>
    <t>卡塔库栗</t>
  </si>
  <si>
    <t>大妈海贼团防御、韧性提升10%</t>
  </si>
  <si>
    <t>我方全员生命低于70%时暴击提\n升10%</t>
  </si>
  <si>
    <t>61161</t>
  </si>
  <si>
    <t>我方全员火属性伤害提升15%</t>
  </si>
  <si>
    <t>萨波</t>
  </si>
  <si>
    <t>61162</t>
  </si>
  <si>
    <t>路飞和艾斯攻击、暴击提升15%</t>
  </si>
  <si>
    <t>61163</t>
  </si>
  <si>
    <t>我方奥义技能有20%几率减少目\n标1点魂玉</t>
  </si>
  <si>
    <t>61164</t>
  </si>
  <si>
    <t>生命低于50%的我方角色速度\n提升5%</t>
  </si>
  <si>
    <t>大妈</t>
  </si>
  <si>
    <t>61165</t>
  </si>
  <si>
    <t>每阵亡1名敌方角色我方全员\n攻击提升5%</t>
  </si>
  <si>
    <t>61166</t>
  </si>
  <si>
    <t>首回合随机为1名敌方角色附\n加恐惧效果</t>
  </si>
  <si>
    <t>61167</t>
  </si>
  <si>
    <t>我方全员毒属性伤害提升15%</t>
  </si>
  <si>
    <t>凯撒</t>
  </si>
  <si>
    <t>61168</t>
  </si>
  <si>
    <t>敌方全员所有属性抗性降低15%</t>
  </si>
  <si>
    <t>61169</t>
  </si>
  <si>
    <t>首回合释放奥义后获得20点\n怒气</t>
  </si>
  <si>
    <t>克力架</t>
  </si>
  <si>
    <t>我方全员受到的所有伤害降\n低10%</t>
  </si>
  <si>
    <t>首回合我方前排阻挡列伤</t>
  </si>
  <si>
    <t>我方全员最大生命提升10%</t>
  </si>
  <si>
    <t>凯多</t>
  </si>
  <si>
    <t>敌方全员速度降低10%</t>
  </si>
  <si>
    <t>战斗开始时我方全员怒气增\n加30点</t>
  </si>
  <si>
    <t>我方全员治疗效果提升15%</t>
  </si>
  <si>
    <t>斯慕吉</t>
  </si>
  <si>
    <t>我方每名角色行动前为其榨\n出1个可以被驱散的负面效果</t>
  </si>
  <si>
    <t>使我方全员造成伤害的20%转化\n为自身生命</t>
  </si>
  <si>
    <t>61181</t>
  </si>
  <si>
    <t>我方全员冰属性抗性、冰属\n性伤害提升10%</t>
  </si>
  <si>
    <t>61182</t>
  </si>
  <si>
    <t>我方全员技能造成伤害时有\n几率造成少量冰属性伤害</t>
  </si>
  <si>
    <t>61183</t>
  </si>
  <si>
    <t>每回合降低敌方全体攻击、\n防御5%，每场战斗生效3次</t>
  </si>
  <si>
    <t>61184</t>
  </si>
  <si>
    <t>我方全员造成的属性伤害\n提升10%</t>
  </si>
  <si>
    <t>我方全员格挡、韧性提升7%</t>
  </si>
  <si>
    <t>首回合我方海军阵营的角色\n属性抗性提升50%</t>
  </si>
  <si>
    <t>61187</t>
  </si>
  <si>
    <t>我方全员毒属性抗性、毒\n属性伤害提升10%</t>
  </si>
  <si>
    <t>蕾久</t>
  </si>
  <si>
    <t>61188</t>
  </si>
  <si>
    <t>我方全员技能攻击时附加\n自身攻击力20%毒属性伤害</t>
  </si>
  <si>
    <t>61189</t>
  </si>
  <si>
    <t>我方全员被技能攻击时有\n30%的几率免疫负面效果</t>
  </si>
  <si>
    <t>我方全员暴击提升5%</t>
  </si>
  <si>
    <t>新豹子</t>
  </si>
  <si>
    <t>我方攻击力最高的角色速\n度提升10%</t>
  </si>
  <si>
    <t>我方全员被技能攻击时对\n攻击者造成其攻击力20%的真实伤害</t>
  </si>
  <si>
    <t>我方全员命中率+7%，男性\n角色翻倍</t>
  </si>
  <si>
    <t>新女帝</t>
  </si>
  <si>
    <t>敌方男性角色暴击率降低10%</t>
  </si>
  <si>
    <t>每回合随机1名男性敌人怒\n气获取减少50%</t>
  </si>
  <si>
    <t>我方全员属性伤害提升15%</t>
  </si>
  <si>
    <t>新小马</t>
  </si>
  <si>
    <t>敌方全员格挡降低10%</t>
  </si>
  <si>
    <t>每战败一名队友，己方全体\n回复10%生命</t>
  </si>
  <si>
    <t>61200</t>
  </si>
  <si>
    <t>我方全员防御、格挡增加5%，\n草帽团翻倍</t>
  </si>
  <si>
    <t>巴托</t>
  </si>
  <si>
    <t>61201</t>
  </si>
  <si>
    <t>回合开始时为前排2名角色附加\n10%最大生命值的护盾</t>
  </si>
  <si>
    <t>61202</t>
  </si>
  <si>
    <t>我方全员受击时有10%的几率免疫\n并反弹负面效果</t>
  </si>
  <si>
    <t>61203</t>
  </si>
  <si>
    <t>我方全员破击、命中增加7%</t>
  </si>
  <si>
    <t>新鹰眼</t>
  </si>
  <si>
    <t>61204</t>
  </si>
  <si>
    <t>我方全员暴伤增加15%</t>
  </si>
  <si>
    <t>61205</t>
  </si>
  <si>
    <t>我方全员释放单体终结、单体奥义\n技能时，附加斩断效果</t>
  </si>
  <si>
    <t>敌方全员韧性、命中降低7%</t>
  </si>
  <si>
    <t>白马</t>
  </si>
  <si>
    <t>每回合随机1名己方角色，使其释\n放首个技能时必暴</t>
  </si>
  <si>
    <t>我方全员造成的所有伤害提升7%</t>
  </si>
  <si>
    <t>糖糖</t>
  </si>
  <si>
    <t>敌方全员命中、闪避降低10%</t>
  </si>
  <si>
    <t>己方非召唤角色战败时，在前排位\n置召唤一名脑袋夹子，最多生\n效2次</t>
  </si>
  <si>
    <t>61214</t>
  </si>
  <si>
    <t>我方全员最大生命值提升7%，光月\n家族成员翻倍</t>
  </si>
  <si>
    <t>御田</t>
  </si>
  <si>
    <t>61215</t>
  </si>
  <si>
    <t>敌方全员火属性抗性降低10%</t>
  </si>
  <si>
    <t>61216</t>
  </si>
  <si>
    <t>首回合我方角色有20%概率完全回避\n非单体伤害</t>
  </si>
  <si>
    <t>61217</t>
  </si>
  <si>
    <t>我方全员暴击、破击提升7%</t>
  </si>
  <si>
    <t>61218</t>
  </si>
  <si>
    <t>敌方全员受到的暴击伤害提升10%</t>
  </si>
  <si>
    <t>61219</t>
  </si>
  <si>
    <t>释放终结奥义技能时，有30%几率所\n有伤害提升50%</t>
  </si>
  <si>
    <t>兔子</t>
  </si>
  <si>
    <t>敌方全员韧性、格挡降低7%</t>
  </si>
  <si>
    <t>在敌方阵营创造静电球，每回合对\n敌方全体造成其最大生命值5%的\n雷属性伤害（仅玩家对战生效）</t>
  </si>
  <si>
    <t>我方剑道类角色速度提升7%</t>
  </si>
  <si>
    <t>小菊</t>
  </si>
  <si>
    <t>敌方全员防御降低20%</t>
  </si>
  <si>
    <t>前两回合，我方技能魂玉消耗减1，\n并且正常获得怒气</t>
  </si>
  <si>
    <t>我方全员格挡、韧性提升8%</t>
  </si>
  <si>
    <t>小老白</t>
  </si>
  <si>
    <t>场上每有一个角色战败，我方全体\n暴击伤害增加7%</t>
  </si>
  <si>
    <t>前2回合，己方成功格挡时，50%概率\n免疫30%最终伤害</t>
  </si>
  <si>
    <t>我方全员破击增加8%</t>
  </si>
  <si>
    <t>baby5</t>
  </si>
  <si>
    <t>己方全体非奥义技能所有伤害\n增加20%</t>
  </si>
  <si>
    <t>新世界佩罗娜</t>
  </si>
  <si>
    <t>前2回合，己方全员攻击、速度提升4%</t>
  </si>
  <si>
    <t>己方全体每回合开始时，额外\n获得1点魂玉</t>
  </si>
  <si>
    <t>61235</t>
  </si>
  <si>
    <t>我方第一排角色格挡、韧性提升18%</t>
  </si>
  <si>
    <t>年轻卡普</t>
  </si>
  <si>
    <t>61236</t>
  </si>
  <si>
    <t>我方全员暴击率提升5%、暴击伤害\n提升15%</t>
  </si>
  <si>
    <t>61237</t>
  </si>
  <si>
    <t>每回合己方首个行动的角色，施放\n单体终结或奥义时附带击飞效果</t>
  </si>
  <si>
    <t>敌方全员破击、命中降低8%</t>
  </si>
  <si>
    <t>四皇黑胡子</t>
  </si>
  <si>
    <t>我方全体攻击、伤害加成每回合\n永久提升4%，可叠加6层</t>
  </si>
  <si>
    <t>战斗开始时己方位于第四排的角色，\n本场战斗属性伤害可以造成暴击</t>
  </si>
  <si>
    <t>61242</t>
  </si>
  <si>
    <t>奇数回合己方全体攻击提升10%</t>
  </si>
  <si>
    <t>犬岚</t>
  </si>
  <si>
    <t>61243</t>
  </si>
  <si>
    <t>敌方全员雷属性抗性降低15%</t>
  </si>
  <si>
    <t>61244</t>
  </si>
  <si>
    <t>回合开始时，己方生命最少的一\n名角色获得免疫一次技能伤害\n的效果</t>
  </si>
  <si>
    <t>61246</t>
  </si>
  <si>
    <t>我方全员命中提升15%</t>
  </si>
  <si>
    <t>猫蝮蛇</t>
  </si>
  <si>
    <t>偶数回合己方全体速度提升8%</t>
  </si>
  <si>
    <t>己方生命值最高的角色受到攻\n击时，回复已损失血量10%的生\n命值</t>
  </si>
  <si>
    <t>61250</t>
  </si>
  <si>
    <t>回合结束时，为己方全体回复6%\n最大生命值</t>
  </si>
  <si>
    <t>布玲</t>
  </si>
  <si>
    <t>61251</t>
  </si>
  <si>
    <t>前2回合，己方速度最快的角色\n速度提升15%</t>
  </si>
  <si>
    <t>61252</t>
  </si>
  <si>
    <t>首回合，己方后2排角色行动前，\n驱散自身所有负面效果</t>
  </si>
  <si>
    <t>61253</t>
  </si>
  <si>
    <t>敌方全体闪避率降低15%</t>
  </si>
  <si>
    <t>霍金斯</t>
  </si>
  <si>
    <t>61254</t>
  </si>
  <si>
    <t>敌方攻击最高的角色攻击、速度\n降低15%</t>
  </si>
  <si>
    <t>61255</t>
  </si>
  <si>
    <t>己方首个受到致命伤害的角色打断\n敌方行动，并回复50%生命值\n（会与角色本身的天赋同时触发）</t>
  </si>
  <si>
    <t>61257</t>
  </si>
  <si>
    <t>战斗前2回合，己方全体防御\n提升20%</t>
  </si>
  <si>
    <t>德雷克</t>
  </si>
  <si>
    <t>61258</t>
  </si>
  <si>
    <t>攻击防御小于自身的角色时，\n攻击提升12%</t>
  </si>
  <si>
    <t>61259</t>
  </si>
  <si>
    <t>己方角色行动后使己方全体速度\n提升3%，可叠加，持续至本回合\n结束</t>
  </si>
  <si>
    <t>我方全员闪避提升14%</t>
  </si>
  <si>
    <t>希流</t>
  </si>
  <si>
    <t>敌方全员伤害加成减少15%</t>
  </si>
  <si>
    <t>战斗开始时，己方最后排角色获得\n隐身效果，持续3回合</t>
  </si>
  <si>
    <t>61263</t>
  </si>
  <si>
    <t>我方全员生命、防御提升10%</t>
  </si>
  <si>
    <t>大将战国</t>
  </si>
  <si>
    <t>61264</t>
  </si>
  <si>
    <t>己方攻击最高的角色，每回合攻击\n永久提升4%</t>
  </si>
  <si>
    <t>61265</t>
  </si>
  <si>
    <t>战斗开始时，己方全体获得30%的\n最大生命值护盾</t>
  </si>
  <si>
    <t>己方全员生命、韧性、格挡提升8%</t>
  </si>
  <si>
    <t>龙人凯多</t>
  </si>
  <si>
    <t>61267</t>
  </si>
  <si>
    <t>己方全员暴击、命中、破击提升8%</t>
  </si>
  <si>
    <t>61268</t>
  </si>
  <si>
    <t>己方攻击带有护盾的角色时，\n攻击提升20%</t>
  </si>
  <si>
    <t>0.07</t>
  </si>
  <si>
    <t>己方全员生命提升12%</t>
  </si>
  <si>
    <t>旱灾杰克</t>
  </si>
  <si>
    <t>前3回合结束时，己方全体回复\n13%最大生命值</t>
  </si>
  <si>
    <t>61271</t>
  </si>
  <si>
    <t>己方角色释放终结或者奥义命\n中时，有20%概率使目标向后\n击退1格</t>
  </si>
  <si>
    <t>UI_jinglian_icon</t>
  </si>
  <si>
    <t>己方全员命中、闪避提升10%</t>
  </si>
  <si>
    <t>疫灾昆因</t>
  </si>
  <si>
    <t>敌方全体所有伤害减免每回合\n永久降低4%</t>
  </si>
  <si>
    <t>61274</t>
  </si>
  <si>
    <t>己方百兽团角色受到致命伤害\n时，速度、攻击永久提升20%，\n最多叠加1次</t>
  </si>
  <si>
    <t>61275</t>
  </si>
  <si>
    <t>己方全体造成的真实伤害提升20%</t>
  </si>
  <si>
    <t>大和</t>
  </si>
  <si>
    <t>61276</t>
  </si>
  <si>
    <t>敌方全体暴击、破击降低10%</t>
  </si>
  <si>
    <t>61277</t>
  </si>
  <si>
    <t>己方角色施放技能时，使己方全体\n攻击提升1%，可叠加，持\n续3回合</t>
  </si>
  <si>
    <t>61278</t>
  </si>
  <si>
    <t>敌方全体命中、闪避降低12%</t>
  </si>
  <si>
    <t>乌塔</t>
  </si>
  <si>
    <t>61279</t>
  </si>
  <si>
    <t>前3回合，己方全体速度提升12%</t>
  </si>
  <si>
    <t>61280</t>
  </si>
  <si>
    <t>己方角色释放单体技能时，攻击、\n暴击提升15%</t>
  </si>
  <si>
    <t>61281</t>
  </si>
  <si>
    <t>前3回合，己方全体格挡提升20%</t>
  </si>
  <si>
    <t>润缇</t>
  </si>
  <si>
    <t>己方成功格挡时，50%概率\n免疫30%最终伤害</t>
  </si>
  <si>
    <t>己方成功格挡时，使己方全体速度\n提升10%，可叠加2次，持\n续2回合</t>
  </si>
  <si>
    <t>61284</t>
  </si>
  <si>
    <t>己方全体攻击提升8%</t>
  </si>
  <si>
    <t>0.045</t>
  </si>
  <si>
    <t>烬</t>
  </si>
  <si>
    <t>61285</t>
  </si>
  <si>
    <t>己方全体速度提升12%，防御降低36%</t>
  </si>
  <si>
    <t>0.05</t>
  </si>
  <si>
    <t>61286</t>
  </si>
  <si>
    <t>己方全体攻击时，如果目标攻击小于自\n身，则有25%的几率使其无敌效果失效</t>
  </si>
  <si>
    <t>0.0625</t>
  </si>
  <si>
    <t>61288</t>
  </si>
  <si>
    <t>己方全体格挡提升13%</t>
  </si>
  <si>
    <t>佩吉万</t>
  </si>
  <si>
    <t>己方成功格挡时，回复自\n身10%生命值</t>
  </si>
  <si>
    <t>61290</t>
  </si>
  <si>
    <t>己方全体速度提升7%，百兽团提升\n效果翻倍</t>
  </si>
  <si>
    <t>61291</t>
  </si>
  <si>
    <t>前3回合，己方全体暴击\n提升15%</t>
  </si>
  <si>
    <t>基拉</t>
  </si>
  <si>
    <t>61292</t>
  </si>
  <si>
    <t>回合结束时，己方全体攻\n击永久提升2%</t>
  </si>
  <si>
    <t>61293</t>
  </si>
  <si>
    <t>己方角色命中时，己方全\n体速度提升2%，持续2回\n合，可叠加10次</t>
  </si>
  <si>
    <t>61294</t>
  </si>
  <si>
    <t>己方超新星攻击提升15%</t>
  </si>
  <si>
    <t>新世界基德</t>
  </si>
  <si>
    <t>61295</t>
  </si>
  <si>
    <t>首回合，己方全体速度提\n升16%</t>
  </si>
  <si>
    <t>61296</t>
  </si>
  <si>
    <t>己方全体角色释放的前5个\n技能，命中提升35%</t>
  </si>
  <si>
    <t>61297</t>
  </si>
  <si>
    <t>己方超新星速度提升10%</t>
  </si>
  <si>
    <t>和之国罗</t>
  </si>
  <si>
    <t>61298</t>
  </si>
  <si>
    <t>己方全体命中提升18%</t>
  </si>
  <si>
    <t>61299</t>
  </si>
  <si>
    <t>敌方全体首回合无法回复生命</t>
  </si>
  <si>
    <t>61300</t>
  </si>
  <si>
    <t>己方场上的百兽团角色最大\n生命、防御提升12%</t>
  </si>
  <si>
    <t>UR大妈</t>
  </si>
  <si>
    <t>61301</t>
  </si>
  <si>
    <t>己方全体攻击提升12%</t>
  </si>
  <si>
    <t>61302</t>
  </si>
  <si>
    <t>前4回合开始时，敌方全体最\n大生命值永久降低8%\n（仅在与玩家对战的模式生效）</t>
  </si>
  <si>
    <t>61303</t>
  </si>
  <si>
    <t>己方超新星和草帽团成员攻击、\n暴击率提升10%</t>
  </si>
  <si>
    <t>和之国路飞</t>
  </si>
  <si>
    <t>61304</t>
  </si>
  <si>
    <t>我方全员命中提升8%、暴击\n伤害提升16%</t>
  </si>
  <si>
    <t>61305</t>
  </si>
  <si>
    <t>前2回合，己方奥义有概率让\n目标无敌效果失效\n（单体50%，范围30%）</t>
  </si>
  <si>
    <t>61306</t>
  </si>
  <si>
    <t>己方全体命中提升10%，敌方全体\n闪避降低10%</t>
  </si>
  <si>
    <t>和之国罗宾</t>
  </si>
  <si>
    <t>61307</t>
  </si>
  <si>
    <t>前2回合，敌方全体无法进入隐身\n状态</t>
  </si>
  <si>
    <t>61308</t>
  </si>
  <si>
    <t>每回合己方生命最少的一名角\n色获得一层花之盾\n，下次受到的技能伤害不会超过2%</t>
  </si>
  <si>
    <t>61309</t>
  </si>
  <si>
    <t>己方草帽团角色速度提升10%</t>
  </si>
  <si>
    <t>61310</t>
  </si>
  <si>
    <t>己方全体暴击伤害提升20%</t>
  </si>
  <si>
    <t>61311</t>
  </si>
  <si>
    <t>己方全体攻击时，每命中一个\n目标，自身攻击提\n升2%，持续至本回合结束</t>
  </si>
  <si>
    <t>61312</t>
  </si>
  <si>
    <t>己方全体速度提升8%</t>
  </si>
  <si>
    <t>和之国索隆</t>
  </si>
  <si>
    <t>61313</t>
  </si>
  <si>
    <t>己方草帽团最终伤害加成提升10%</t>
  </si>
  <si>
    <t>61314</t>
  </si>
  <si>
    <t>己方角色释放技能时，每点魂玉使所有伤害提升5%</t>
  </si>
  <si>
    <t>82475</t>
  </si>
  <si>
    <t>回合开始时，己方全体回复10%生命值</t>
  </si>
  <si>
    <t>和之国乔巴</t>
  </si>
  <si>
    <t>82476</t>
  </si>
  <si>
    <t>己方草帽团角色溢出的治疗效果\n的50%转化为可叠加的护盾，护盾效\n果持续1回合</t>
  </si>
  <si>
    <t>82477</t>
  </si>
  <si>
    <t>前2回合，己方角色行动前，有\n50%概率清除来自敌方附加的效果，\n草帽团角色概率翻倍</t>
  </si>
  <si>
    <t>82496</t>
  </si>
  <si>
    <t>己方全体命中提升15%</t>
  </si>
  <si>
    <t>和之国乌索普</t>
  </si>
  <si>
    <t>82497</t>
  </si>
  <si>
    <t>第4回合开始时，己方全体攻击、\n速度提升15%，持续2回合</t>
  </si>
  <si>
    <t>82498</t>
  </si>
  <si>
    <t>己方全体每次释放单体技能时，暴\n击伤害永久提升7%，最多叠加5层</t>
  </si>
  <si>
    <t>82502</t>
  </si>
  <si>
    <t>己方全员闪避提升15%</t>
  </si>
  <si>
    <t>和之国娜美</t>
  </si>
  <si>
    <t>82503</t>
  </si>
  <si>
    <t>己方后2排角色属性伤害提升25%</t>
  </si>
  <si>
    <t>82504</t>
  </si>
  <si>
    <t>己方场上的每个草帽团角色，使己\n方的草帽团角色速度提升5%</t>
  </si>
  <si>
    <t>82509</t>
  </si>
  <si>
    <t>82510</t>
  </si>
  <si>
    <t>每回合开始时，己方草帽团角色获\n得持续1回合20%最大生命值的护盾</t>
  </si>
  <si>
    <t>82511</t>
  </si>
  <si>
    <t>行动前，带有护盾的己方角色速度、\n攻击提升6%，可叠加，持续4回合</t>
  </si>
  <si>
    <t>己方全员速度提升10%</t>
  </si>
  <si>
    <t>和之国布鲁克</t>
  </si>
  <si>
    <t>己方全员闪避提升18%</t>
  </si>
  <si>
    <t>战斗开始时，敌方随机2人获得恐惧\n效果，持续2回合</t>
  </si>
  <si>
    <t>82526</t>
  </si>
  <si>
    <t>己方全体格挡提升12%</t>
  </si>
  <si>
    <t>和之国甚平</t>
  </si>
  <si>
    <t>82527</t>
  </si>
  <si>
    <t>战斗开始时，己方场上所有草帽团角\n色平分50%速度加成</t>
  </si>
  <si>
    <t>82528</t>
  </si>
  <si>
    <t>前2回合，己方首个草帽团角色行动后，\n使自身与己方第一排草帽团角色在本\n回合最大生命值不会被降低</t>
  </si>
  <si>
    <t>前2回合，敌方全体闪避减少20%</t>
  </si>
  <si>
    <t>黑色玛利亚</t>
  </si>
  <si>
    <t>己方全体速度提升7%，前2回合提升翻倍</t>
  </si>
  <si>
    <t>每回合结束时，敌方剩余血量百分比最多\n的角色，最终伤害减免永久减少25%</t>
  </si>
  <si>
    <t>82569</t>
  </si>
  <si>
    <t>罗杰</t>
  </si>
  <si>
    <t>82570</t>
  </si>
  <si>
    <t>敌方角色死亡时，己方全体永久提升6%速\n度，可叠加5层</t>
  </si>
  <si>
    <t>82571</t>
  </si>
  <si>
    <t>奇数回合开始时，使敌方最后排的1名角色，\n限制技能伤害、无敌、必闪效果失\n效，持续1回合</t>
  </si>
  <si>
    <t>己方全体速度，命中，闪避提升8%</t>
  </si>
  <si>
    <t>金狮子</t>
  </si>
  <si>
    <t>前2回合，回合开始时，使敌方速度最高\n的角色无法继续获得护盾，持续1回合</t>
  </si>
  <si>
    <t>使敌方首个死亡的角色无法复活</t>
  </si>
  <si>
    <t>己方全体闪避提升15%</t>
  </si>
  <si>
    <t>荞麦假面</t>
  </si>
  <si>
    <t>己方全体最终伤害加成提升8%</t>
  </si>
  <si>
    <t>战斗开始时，我方攻击最高的角色获得一\n次30%生命值的锁血，被技能命中触发\n锁血效果后消失</t>
  </si>
  <si>
    <t>首回合己方全体免疫属性伤害</t>
  </si>
  <si>
    <t>绿牛</t>
  </si>
  <si>
    <t>战斗开始时己方全体速度提升\n10%敌方全体闪避降低10%</t>
  </si>
  <si>
    <t>战斗开始时选取敌方速度最\n低的角色，使其无法造成技能伤\n害与负面效果，持续1次行动</t>
  </si>
  <si>
    <t>战斗开始时己方命中提升15%</t>
  </si>
  <si>
    <t>大口真神大和</t>
  </si>
  <si>
    <t>战斗开始时己方速度提升12%\n格挡提升15%</t>
  </si>
  <si>
    <t>战斗前两回合己方\n格挡减伤比率提升20%</t>
  </si>
  <si>
    <t>基德与罗</t>
  </si>
  <si>
    <t>战斗前三回合己方速度提升12%\n闪避提升10%</t>
  </si>
  <si>
    <t>战斗前三回合己方破韧效率\n提升5%</t>
  </si>
  <si>
    <t>己方全体破击提升15%</t>
  </si>
  <si>
    <t>波尼</t>
  </si>
  <si>
    <t>战斗前三回合己方速度提升12%\n获得自身基础防御值12%的\n坚韧防御</t>
  </si>
  <si>
    <t>61317</t>
  </si>
  <si>
    <t>己方全体的终结技和奥义破韧效\n率提升15%</t>
  </si>
  <si>
    <t>82835</t>
  </si>
  <si>
    <t>己方全体攻击提升10%\n破韧效率提升5%</t>
  </si>
  <si>
    <t>s老鹰</t>
  </si>
  <si>
    <t>82836</t>
  </si>
  <si>
    <t>战斗前三回合己方速度提升12%\n坚韧暴击伤害提升10%</t>
  </si>
  <si>
    <t>82837</t>
  </si>
  <si>
    <t>每回合开始时\n己方坚韧攻击提升初始面板的10%\n可叠加二次，持续至第二回合结束</t>
  </si>
  <si>
    <t>己方全体所有伤害减免\n提升30%</t>
  </si>
  <si>
    <t>s蛇女</t>
  </si>
  <si>
    <t>战斗前三回合己方速度提升12%\n男性角色破韧效率提升10%</t>
  </si>
  <si>
    <t>82880</t>
  </si>
  <si>
    <t>己方全体坚韧伤害减免\n提升10%</t>
  </si>
  <si>
    <t>己方全体战斗前2回合，\n魂玉消耗降低1颗</t>
  </si>
  <si>
    <t>己方全体速度提升12%，\n坚韧防御提升10%</t>
  </si>
  <si>
    <t>82915</t>
  </si>
  <si>
    <t>首回合速度提升2%。\n终结与奥义攻击时\n附带初始攻击力30%追加坚韧伤害</t>
  </si>
  <si>
    <t>82938</t>
  </si>
  <si>
    <t>己方全体攻击提升15%\n坚韧攻击提升初始10%</t>
  </si>
  <si>
    <t>尼卡路飞</t>
  </si>
  <si>
    <t>82939</t>
  </si>
  <si>
    <t>己方全体速度提升12%\n最终伤害提升10%</t>
  </si>
  <si>
    <t>82940</t>
  </si>
  <si>
    <t>队友行动结束时当坚韧值低于50%\n给予15%坚韧值、10%破韧效率\n持续2回合，触发叠加最多2次</t>
  </si>
  <si>
    <t>83083</t>
  </si>
  <si>
    <t>己方坚韧暴击提升8%</t>
  </si>
  <si>
    <t>83084</t>
  </si>
  <si>
    <t>己方全体速度提升12%\n破韧效率提升5%</t>
  </si>
  <si>
    <t>83085</t>
  </si>
  <si>
    <t>己方行动后坚韧攻击\n提升初始攻击的3%，每回合2次\n永久生效，最多叠加10层</t>
  </si>
  <si>
    <t>83107</t>
  </si>
  <si>
    <t>己方坚韧防御提升10%\n所有伤害提升20%</t>
  </si>
  <si>
    <t>斯图西</t>
  </si>
  <si>
    <t>83108</t>
  </si>
  <si>
    <t>己方全体速度提升12%\n坚韧伤害减免提升10%</t>
  </si>
  <si>
    <t>83109</t>
  </si>
  <si>
    <t>释放终结技与奥义时\n恢复自身10%坚韧值\n每回合生效一次</t>
  </si>
  <si>
    <t>己方破韧效率提升5%\n坚韧防御提升10%</t>
  </si>
  <si>
    <t>S小熊</t>
  </si>
  <si>
    <t>83120</t>
  </si>
  <si>
    <t>己方全体速度提升12%，\n坚韧伤害减免提升10%</t>
  </si>
  <si>
    <t>83121</t>
  </si>
  <si>
    <t>己方前2回合开始时。\n获得自身生命值25%坚韧护盾\n持续1回合</t>
  </si>
  <si>
    <t>83186</t>
  </si>
  <si>
    <t>己方攻击力提升15%\n坚韧暴击伤害提升15%</t>
  </si>
  <si>
    <t>83187</t>
  </si>
  <si>
    <t>己方全体速度提升12%，\n每回合结束时，坚韧伤害减免提升5%\n最多5次</t>
  </si>
  <si>
    <t>83188</t>
  </si>
  <si>
    <t>坚韧值变化时获得提升。\n低于50%，坚韧伤害减免20%\n高于50%，破韧效率20%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</si>
</sst>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0"/>
      <name val="宋体"/>
      <charset val="134"/>
      <scheme val="minor"/>
    </font>
    <font>
      <sz val="11"/>
      <name val="宋体"/>
      <charset val="134"/>
      <scheme val="minor"/>
    </font>
    <font>
      <sz val="11"/>
      <color theme="1"/>
      <name val="等线"/>
      <charset val="134"/>
    </font>
    <font>
      <sz val="11"/>
      <color theme="1"/>
      <name val="黑体"/>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9">
    <fill>
      <patternFill patternType="none"/>
    </fill>
    <fill>
      <patternFill patternType="gray125"/>
    </fill>
    <fill>
      <patternFill patternType="solid">
        <fgColor theme="5" tint="0.6"/>
        <bgColor indexed="64"/>
      </patternFill>
    </fill>
    <fill>
      <patternFill patternType="solid">
        <fgColor theme="8" tint="0.4"/>
        <bgColor indexed="64"/>
      </patternFill>
    </fill>
    <fill>
      <patternFill patternType="solid">
        <fgColor theme="9" tint="0.8"/>
        <bgColor indexed="64"/>
      </patternFill>
    </fill>
    <fill>
      <patternFill patternType="solid">
        <fgColor theme="2" tint="-0.25"/>
        <bgColor indexed="64"/>
      </patternFill>
    </fill>
    <fill>
      <patternFill patternType="solid">
        <fgColor theme="3" tint="0.6"/>
        <bgColor indexed="64"/>
      </patternFill>
    </fill>
    <fill>
      <patternFill patternType="solid">
        <fgColor rgb="FF00B0F0"/>
        <bgColor indexed="64"/>
      </patternFill>
    </fill>
    <fill>
      <patternFill patternType="solid">
        <fgColor theme="2" tint="-0.1"/>
        <bgColor indexed="64"/>
      </patternFill>
    </fill>
    <fill>
      <patternFill patternType="solid">
        <fgColor theme="5" tint="0.4"/>
        <bgColor indexed="64"/>
      </patternFill>
    </fill>
    <fill>
      <patternFill patternType="solid">
        <fgColor theme="9" tint="0.6"/>
        <bgColor indexed="64"/>
      </patternFill>
    </fill>
    <fill>
      <patternFill patternType="solid">
        <fgColor theme="8" tint="0.8"/>
        <bgColor indexed="64"/>
      </patternFill>
    </fill>
    <fill>
      <patternFill patternType="solid">
        <fgColor theme="4" tint="0.8"/>
        <bgColor indexed="64"/>
      </patternFill>
    </fill>
    <fill>
      <patternFill patternType="solid">
        <fgColor theme="7" tint="0.4"/>
        <bgColor indexed="64"/>
      </patternFill>
    </fill>
    <fill>
      <patternFill patternType="solid">
        <fgColor theme="5" tint="0.8"/>
        <bgColor indexed="64"/>
      </patternFill>
    </fill>
    <fill>
      <patternFill patternType="solid">
        <fgColor theme="3" tint="0.8"/>
        <bgColor indexed="64"/>
      </patternFill>
    </fill>
    <fill>
      <patternFill patternType="solid">
        <fgColor theme="9" tint="-0.5"/>
        <bgColor indexed="64"/>
      </patternFill>
    </fill>
    <fill>
      <patternFill patternType="solid">
        <fgColor theme="8" tint="0.6"/>
        <bgColor indexed="64"/>
      </patternFill>
    </fill>
    <fill>
      <patternFill patternType="solid">
        <fgColor theme="0" tint="-0.25"/>
        <bgColor indexed="64"/>
      </patternFill>
    </fill>
    <fill>
      <patternFill patternType="solid">
        <fgColor rgb="FFFFFF00"/>
        <bgColor indexed="64"/>
      </patternFill>
    </fill>
    <fill>
      <patternFill patternType="solid">
        <fgColor theme="6" tint="0.6"/>
        <bgColor indexed="64"/>
      </patternFill>
    </fill>
    <fill>
      <patternFill patternType="solid">
        <fgColor rgb="FFF3E2FF"/>
        <bgColor indexed="64"/>
      </patternFill>
    </fill>
    <fill>
      <patternFill patternType="solid">
        <fgColor theme="7" tint="0.6"/>
        <bgColor indexed="64"/>
      </patternFill>
    </fill>
    <fill>
      <patternFill patternType="solid">
        <fgColor theme="9" tint="0.4"/>
        <bgColor indexed="64"/>
      </patternFill>
    </fill>
    <fill>
      <patternFill patternType="solid">
        <fgColor rgb="FFFEABF1"/>
        <bgColor indexed="64"/>
      </patternFill>
    </fill>
    <fill>
      <patternFill patternType="solid">
        <fgColor theme="1" tint="0.25"/>
        <bgColor indexed="64"/>
      </patternFill>
    </fill>
    <fill>
      <patternFill patternType="solid">
        <fgColor theme="5" tint="-0.25"/>
        <bgColor indexed="64"/>
      </patternFill>
    </fill>
    <fill>
      <patternFill patternType="solid">
        <fgColor theme="2" tint="-0.75"/>
        <bgColor indexed="64"/>
      </patternFill>
    </fill>
    <fill>
      <patternFill patternType="solid">
        <fgColor theme="7" tint="-0.25"/>
        <bgColor indexed="64"/>
      </patternFill>
    </fill>
    <fill>
      <patternFill patternType="solid">
        <fgColor theme="6" tint="0.4"/>
        <bgColor indexed="64"/>
      </patternFill>
    </fill>
    <fill>
      <patternFill patternType="solid">
        <fgColor theme="0" tint="-0.35"/>
        <bgColor indexed="64"/>
      </patternFill>
    </fill>
    <fill>
      <patternFill patternType="solid">
        <fgColor rgb="FF92D050"/>
        <bgColor indexed="64"/>
      </patternFill>
    </fill>
    <fill>
      <patternFill patternType="solid">
        <fgColor rgb="FF65F676"/>
        <bgColor indexed="64"/>
      </patternFill>
    </fill>
    <fill>
      <patternFill patternType="solid">
        <fgColor rgb="FFBBFED4"/>
        <bgColor indexed="64"/>
      </patternFill>
    </fill>
    <fill>
      <patternFill patternType="solid">
        <fgColor rgb="FFFFC000"/>
        <bgColor indexed="64"/>
      </patternFill>
    </fill>
    <fill>
      <patternFill patternType="solid">
        <fgColor rgb="FFFBFC9C"/>
        <bgColor indexed="64"/>
      </patternFill>
    </fill>
    <fill>
      <patternFill patternType="solid">
        <fgColor rgb="FFFDCDFB"/>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8" borderId="1">
      <alignment vertical="center"/>
    </xf>
    <xf numFmtId="0" fontId="8" fillId="0" borderId="0">
      <alignment vertical="center"/>
    </xf>
    <xf numFmtId="0" fontId="9" fillId="0" borderId="0">
      <alignment vertical="center"/>
    </xf>
    <xf numFmtId="0" fontId="10" fillId="0" borderId="0">
      <alignment vertical="center"/>
    </xf>
    <xf numFmtId="0" fontId="11" fillId="0" borderId="2">
      <alignment vertical="center"/>
    </xf>
    <xf numFmtId="0" fontId="12" fillId="0" borderId="2">
      <alignment vertical="center"/>
    </xf>
    <xf numFmtId="0" fontId="13" fillId="0" borderId="3">
      <alignment vertical="center"/>
    </xf>
    <xf numFmtId="0" fontId="13" fillId="0" borderId="0">
      <alignment vertical="center"/>
    </xf>
    <xf numFmtId="0" fontId="14" fillId="39" borderId="4">
      <alignment vertical="center"/>
    </xf>
    <xf numFmtId="0" fontId="15" fillId="40" borderId="5">
      <alignment vertical="center"/>
    </xf>
    <xf numFmtId="0" fontId="16" fillId="40" borderId="4">
      <alignment vertical="center"/>
    </xf>
    <xf numFmtId="0" fontId="17" fillId="41" borderId="6">
      <alignment vertical="center"/>
    </xf>
    <xf numFmtId="0" fontId="18" fillId="0" borderId="7">
      <alignment vertical="center"/>
    </xf>
    <xf numFmtId="0" fontId="19" fillId="0" borderId="8">
      <alignment vertical="center"/>
    </xf>
    <xf numFmtId="0" fontId="20" fillId="42" borderId="0">
      <alignment vertical="center"/>
    </xf>
    <xf numFmtId="0" fontId="21" fillId="43" borderId="0">
      <alignment vertical="center"/>
    </xf>
    <xf numFmtId="0" fontId="22" fillId="44" borderId="0">
      <alignment vertical="center"/>
    </xf>
    <xf numFmtId="0" fontId="23" fillId="45" borderId="0">
      <alignment vertical="center"/>
    </xf>
    <xf numFmtId="0" fontId="24" fillId="46" borderId="0">
      <alignment vertical="center"/>
    </xf>
    <xf numFmtId="0" fontId="24" fillId="47" borderId="0">
      <alignment vertical="center"/>
    </xf>
    <xf numFmtId="0" fontId="23" fillId="48" borderId="0">
      <alignment vertical="center"/>
    </xf>
    <xf numFmtId="0" fontId="23" fillId="49" borderId="0">
      <alignment vertical="center"/>
    </xf>
    <xf numFmtId="0" fontId="24" fillId="50" borderId="0">
      <alignment vertical="center"/>
    </xf>
    <xf numFmtId="0" fontId="24" fillId="51" borderId="0">
      <alignment vertical="center"/>
    </xf>
    <xf numFmtId="0" fontId="23" fillId="52" borderId="0">
      <alignment vertical="center"/>
    </xf>
    <xf numFmtId="0" fontId="23" fillId="53" borderId="0">
      <alignment vertical="center"/>
    </xf>
    <xf numFmtId="0" fontId="24" fillId="54" borderId="0">
      <alignment vertical="center"/>
    </xf>
    <xf numFmtId="0" fontId="24" fillId="55" borderId="0">
      <alignment vertical="center"/>
    </xf>
    <xf numFmtId="0" fontId="23" fillId="56" borderId="0">
      <alignment vertical="center"/>
    </xf>
    <xf numFmtId="0" fontId="23" fillId="57" borderId="0">
      <alignment vertical="center"/>
    </xf>
    <xf numFmtId="0" fontId="24" fillId="58" borderId="0">
      <alignment vertical="center"/>
    </xf>
    <xf numFmtId="0" fontId="24" fillId="59" borderId="0">
      <alignment vertical="center"/>
    </xf>
    <xf numFmtId="0" fontId="23" fillId="60" borderId="0">
      <alignment vertical="center"/>
    </xf>
    <xf numFmtId="0" fontId="23" fillId="61" borderId="0">
      <alignment vertical="center"/>
    </xf>
    <xf numFmtId="0" fontId="24" fillId="62" borderId="0">
      <alignment vertical="center"/>
    </xf>
    <xf numFmtId="0" fontId="24" fillId="63" borderId="0">
      <alignment vertical="center"/>
    </xf>
    <xf numFmtId="0" fontId="23" fillId="64" borderId="0">
      <alignment vertical="center"/>
    </xf>
    <xf numFmtId="0" fontId="23" fillId="65" borderId="0">
      <alignment vertical="center"/>
    </xf>
    <xf numFmtId="0" fontId="24" fillId="66" borderId="0">
      <alignment vertical="center"/>
    </xf>
    <xf numFmtId="0" fontId="24" fillId="67" borderId="0">
      <alignment vertical="center"/>
    </xf>
    <xf numFmtId="0" fontId="23" fillId="68" borderId="0">
      <alignment vertical="center"/>
    </xf>
    <xf numFmtId="0" fontId="0" fillId="0" borderId="0"/>
  </cellStyleXfs>
  <cellXfs count="186">
    <xf numFmtId="0" fontId="0" fillId="0" borderId="0" xfId="0" applyNumberFormat="1" applyFont="1" applyFill="1" applyBorder="1" applyAlignment="1" applyProtection="1">
      <alignment vertical="center"/>
    </xf>
    <xf numFmtId="0" fontId="0" fillId="2" borderId="0" xfId="0" applyNumberFormat="1" applyFont="1" applyFill="1" applyBorder="1" applyAlignment="1" applyProtection="1">
      <alignment vertical="center"/>
    </xf>
    <xf numFmtId="0" fontId="0" fillId="3" borderId="0" xfId="0" applyNumberFormat="1" applyFont="1" applyFill="1" applyBorder="1" applyAlignment="1" applyProtection="1">
      <alignment vertical="center"/>
    </xf>
    <xf numFmtId="0" fontId="0" fillId="4" borderId="0" xfId="0" applyNumberFormat="1" applyFont="1" applyFill="1" applyBorder="1" applyAlignment="1" applyProtection="1">
      <alignment vertical="center"/>
    </xf>
    <xf numFmtId="0" fontId="0" fillId="5" borderId="0" xfId="0" applyNumberFormat="1" applyFont="1" applyFill="1" applyBorder="1" applyAlignment="1" applyProtection="1">
      <alignment vertical="center"/>
    </xf>
    <xf numFmtId="0" fontId="0" fillId="6" borderId="0" xfId="0" applyNumberFormat="1" applyFont="1" applyFill="1" applyBorder="1" applyAlignment="1" applyProtection="1">
      <alignment vertical="center"/>
    </xf>
    <xf numFmtId="0" fontId="0" fillId="7" borderId="0" xfId="0" applyNumberFormat="1" applyFont="1" applyFill="1" applyBorder="1" applyAlignment="1" applyProtection="1">
      <alignment vertical="center"/>
    </xf>
    <xf numFmtId="0" fontId="0" fillId="8" borderId="0" xfId="0" applyNumberFormat="1" applyFont="1" applyFill="1" applyBorder="1" applyAlignment="1" applyProtection="1">
      <alignment vertical="center"/>
    </xf>
    <xf numFmtId="0" fontId="0" fillId="9" borderId="0" xfId="0" applyNumberFormat="1" applyFont="1" applyFill="1" applyBorder="1" applyAlignment="1" applyProtection="1">
      <alignment vertical="center"/>
    </xf>
    <xf numFmtId="0" fontId="0" fillId="10" borderId="0" xfId="0" applyNumberFormat="1" applyFont="1" applyFill="1" applyBorder="1" applyAlignment="1" applyProtection="1">
      <alignment vertical="center"/>
    </xf>
    <xf numFmtId="0" fontId="0" fillId="11" borderId="0" xfId="0" applyNumberFormat="1" applyFont="1" applyFill="1" applyBorder="1" applyAlignment="1" applyProtection="1">
      <alignment vertical="center"/>
    </xf>
    <xf numFmtId="0" fontId="0" fillId="12" borderId="0" xfId="0" applyNumberFormat="1" applyFont="1" applyFill="1" applyBorder="1" applyAlignment="1" applyProtection="1">
      <alignment vertical="center"/>
    </xf>
    <xf numFmtId="0" fontId="0" fillId="13" borderId="0" xfId="0" applyNumberFormat="1" applyFont="1" applyFill="1" applyBorder="1" applyAlignment="1" applyProtection="1">
      <alignment vertical="center"/>
    </xf>
    <xf numFmtId="0" fontId="0" fillId="14" borderId="0" xfId="0" applyNumberFormat="1" applyFont="1" applyFill="1" applyBorder="1" applyAlignment="1" applyProtection="1">
      <alignment vertical="center"/>
    </xf>
    <xf numFmtId="0" fontId="0" fillId="15" borderId="0" xfId="0" applyNumberFormat="1" applyFont="1" applyFill="1" applyBorder="1" applyAlignment="1" applyProtection="1">
      <alignment vertical="center"/>
    </xf>
    <xf numFmtId="0" fontId="1" fillId="16" borderId="0" xfId="0" applyNumberFormat="1" applyFont="1" applyFill="1" applyBorder="1" applyAlignment="1" applyProtection="1">
      <alignment vertical="center"/>
    </xf>
    <xf numFmtId="0" fontId="0" fillId="17" borderId="0" xfId="0" applyNumberFormat="1" applyFont="1" applyFill="1" applyBorder="1" applyAlignment="1" applyProtection="1">
      <alignment vertical="center"/>
    </xf>
    <xf numFmtId="0" fontId="0" fillId="18" borderId="0" xfId="0" applyNumberFormat="1" applyFont="1" applyFill="1" applyBorder="1" applyAlignment="1" applyProtection="1">
      <alignment vertical="center"/>
    </xf>
    <xf numFmtId="0" fontId="0" fillId="19" borderId="0" xfId="0" applyNumberFormat="1" applyFont="1" applyFill="1" applyBorder="1" applyAlignment="1" applyProtection="1">
      <alignment vertical="center"/>
    </xf>
    <xf numFmtId="0" fontId="0" fillId="20" borderId="0" xfId="0" applyNumberFormat="1" applyFont="1" applyFill="1" applyBorder="1" applyAlignment="1" applyProtection="1">
      <alignment vertical="center"/>
    </xf>
    <xf numFmtId="0" fontId="0" fillId="21" borderId="0" xfId="0" applyNumberFormat="1" applyFont="1" applyFill="1" applyBorder="1" applyAlignment="1" applyProtection="1">
      <alignment vertical="center"/>
    </xf>
    <xf numFmtId="0" fontId="0" fillId="22" borderId="0" xfId="0" applyNumberFormat="1" applyFont="1" applyFill="1" applyBorder="1" applyAlignment="1" applyProtection="1">
      <alignment vertical="center"/>
    </xf>
    <xf numFmtId="0" fontId="0" fillId="23" borderId="0" xfId="0" applyNumberFormat="1" applyFont="1" applyFill="1" applyBorder="1" applyAlignment="1" applyProtection="1">
      <alignment vertical="center"/>
    </xf>
    <xf numFmtId="0" fontId="0" fillId="24" borderId="0" xfId="0" applyNumberFormat="1" applyFont="1" applyFill="1" applyBorder="1" applyAlignment="1" applyProtection="1">
      <alignment vertical="center"/>
    </xf>
    <xf numFmtId="0" fontId="1" fillId="25" borderId="0" xfId="0" applyNumberFormat="1" applyFont="1" applyFill="1" applyBorder="1" applyAlignment="1" applyProtection="1">
      <alignment vertical="center"/>
    </xf>
    <xf numFmtId="0" fontId="2" fillId="20" borderId="0" xfId="0" applyNumberFormat="1" applyFont="1" applyFill="1" applyBorder="1" applyAlignment="1" applyProtection="1">
      <alignment vertical="center"/>
    </xf>
    <xf numFmtId="0" fontId="1" fillId="26" borderId="0" xfId="0" applyNumberFormat="1" applyFont="1" applyFill="1" applyBorder="1" applyAlignment="1" applyProtection="1">
      <alignment vertical="center"/>
    </xf>
    <xf numFmtId="0" fontId="2" fillId="22" borderId="0" xfId="0" applyNumberFormat="1" applyFont="1" applyFill="1" applyBorder="1" applyAlignment="1" applyProtection="1">
      <alignment vertical="center"/>
    </xf>
    <xf numFmtId="0" fontId="1" fillId="27" borderId="0" xfId="0" applyNumberFormat="1" applyFont="1" applyFill="1" applyBorder="1" applyAlignment="1" applyProtection="1">
      <alignment vertical="center"/>
    </xf>
    <xf numFmtId="0" fontId="2" fillId="19" borderId="0" xfId="0" applyNumberFormat="1" applyFont="1" applyFill="1" applyBorder="1" applyAlignment="1" applyProtection="1">
      <alignment vertical="center"/>
    </xf>
    <xf numFmtId="0" fontId="1" fillId="28" borderId="0" xfId="0" applyNumberFormat="1" applyFont="1" applyFill="1" applyBorder="1" applyAlignment="1" applyProtection="1">
      <alignment vertical="center"/>
    </xf>
    <xf numFmtId="0" fontId="2" fillId="29" borderId="0" xfId="0" applyNumberFormat="1" applyFont="1" applyFill="1" applyBorder="1" applyAlignment="1" applyProtection="1">
      <alignment vertical="center"/>
    </xf>
    <xf numFmtId="0" fontId="2" fillId="3" borderId="0" xfId="0" applyNumberFormat="1" applyFont="1" applyFill="1" applyBorder="1" applyAlignment="1" applyProtection="1">
      <alignment vertical="center"/>
    </xf>
    <xf numFmtId="0" fontId="2" fillId="9" borderId="0" xfId="0" applyNumberFormat="1" applyFont="1" applyFill="1" applyBorder="1" applyAlignment="1" applyProtection="1">
      <alignment vertical="center"/>
    </xf>
    <xf numFmtId="0" fontId="0" fillId="30" borderId="0" xfId="0" applyNumberFormat="1" applyFont="1" applyFill="1" applyBorder="1" applyAlignment="1" applyProtection="1">
      <alignment vertical="center"/>
    </xf>
    <xf numFmtId="0" fontId="2" fillId="24" borderId="0" xfId="0" applyNumberFormat="1" applyFont="1" applyFill="1" applyBorder="1" applyAlignment="1" applyProtection="1">
      <alignment vertical="center"/>
    </xf>
    <xf numFmtId="0" fontId="2" fillId="31" borderId="0" xfId="0" applyNumberFormat="1" applyFont="1" applyFill="1" applyBorder="1" applyAlignment="1" applyProtection="1">
      <alignment vertical="center"/>
    </xf>
    <xf numFmtId="0" fontId="2" fillId="10" borderId="0" xfId="0" applyNumberFormat="1" applyFont="1" applyFill="1" applyBorder="1" applyAlignment="1" applyProtection="1">
      <alignment vertical="center"/>
    </xf>
    <xf numFmtId="0" fontId="0" fillId="32" borderId="0" xfId="0" applyNumberFormat="1" applyFont="1" applyFill="1" applyBorder="1" applyAlignment="1" applyProtection="1">
      <alignment vertical="center"/>
    </xf>
    <xf numFmtId="0" fontId="0" fillId="33" borderId="0" xfId="0" applyNumberFormat="1" applyFont="1" applyFill="1" applyBorder="1" applyAlignment="1" applyProtection="1">
      <alignment vertical="center"/>
    </xf>
    <xf numFmtId="0" fontId="0" fillId="34" borderId="0" xfId="0" applyNumberFormat="1" applyFont="1" applyFill="1" applyBorder="1" applyAlignment="1" applyProtection="1">
      <alignment vertical="center"/>
    </xf>
    <xf numFmtId="49" fontId="0" fillId="0" borderId="0" xfId="0" applyNumberFormat="1" applyFont="1" applyFill="1" applyBorder="1" applyAlignment="1" applyProtection="1">
      <alignment vertical="center"/>
    </xf>
    <xf numFmtId="49" fontId="0"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xf>
    <xf numFmtId="0" fontId="3"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horizontal="left" vertical="center"/>
    </xf>
    <xf numFmtId="49" fontId="3" fillId="0" borderId="0" xfId="0" applyNumberFormat="1" applyFont="1" applyFill="1" applyBorder="1" applyAlignment="1" applyProtection="1">
      <alignment vertical="center"/>
    </xf>
    <xf numFmtId="49" fontId="3" fillId="0" borderId="0" xfId="0" applyNumberFormat="1" applyFont="1" applyFill="1" applyBorder="1" applyAlignment="1" applyProtection="1">
      <alignment horizontal="left" vertical="center"/>
    </xf>
    <xf numFmtId="49" fontId="0" fillId="21" borderId="0" xfId="0" applyNumberFormat="1" applyFont="1" applyFill="1" applyBorder="1" applyAlignment="1" applyProtection="1">
      <alignment vertical="center"/>
    </xf>
    <xf numFmtId="0" fontId="0" fillId="21" borderId="0" xfId="0" applyNumberFormat="1" applyFont="1" applyFill="1" applyBorder="1" applyAlignment="1" applyProtection="1">
      <alignment horizontal="left" vertical="center"/>
    </xf>
    <xf numFmtId="49" fontId="0" fillId="33" borderId="0" xfId="0" applyNumberFormat="1" applyFont="1" applyFill="1" applyBorder="1" applyAlignment="1" applyProtection="1">
      <alignment vertical="center"/>
    </xf>
    <xf numFmtId="0" fontId="0" fillId="33" borderId="0" xfId="0" applyNumberFormat="1" applyFont="1" applyFill="1" applyBorder="1" applyAlignment="1" applyProtection="1">
      <alignment horizontal="left" vertical="center"/>
    </xf>
    <xf numFmtId="49" fontId="0" fillId="33" borderId="0" xfId="0" applyNumberFormat="1" applyFont="1" applyFill="1" applyBorder="1" applyAlignment="1" applyProtection="1">
      <alignment horizontal="left" vertical="center"/>
    </xf>
    <xf numFmtId="49" fontId="0" fillId="21" borderId="0" xfId="0" applyNumberFormat="1" applyFont="1" applyFill="1" applyBorder="1" applyAlignment="1" applyProtection="1">
      <alignment horizontal="left" vertical="center"/>
    </xf>
    <xf numFmtId="0" fontId="0" fillId="35" borderId="0" xfId="0" applyNumberFormat="1" applyFont="1" applyFill="1" applyBorder="1" applyAlignment="1" applyProtection="1">
      <alignment vertical="center"/>
    </xf>
    <xf numFmtId="49" fontId="0" fillId="23" borderId="0" xfId="0" applyNumberFormat="1" applyFont="1" applyFill="1" applyBorder="1" applyAlignment="1" applyProtection="1">
      <alignment horizontal="left" vertical="center"/>
    </xf>
    <xf numFmtId="0" fontId="0" fillId="36" borderId="0" xfId="0" applyNumberFormat="1" applyFont="1" applyFill="1" applyBorder="1" applyAlignment="1" applyProtection="1">
      <alignment horizontal="left" vertical="center"/>
    </xf>
    <xf numFmtId="0" fontId="0" fillId="2" borderId="0" xfId="0" applyNumberFormat="1" applyFont="1" applyFill="1" applyBorder="1" applyAlignment="1" applyProtection="1">
      <alignment horizontal="left" vertical="center"/>
    </xf>
    <xf numFmtId="49" fontId="0" fillId="2" borderId="0" xfId="0" applyNumberFormat="1" applyFont="1" applyFill="1" applyBorder="1" applyAlignment="1" applyProtection="1">
      <alignment vertical="center"/>
    </xf>
    <xf numFmtId="49" fontId="0" fillId="2" borderId="0" xfId="0" applyNumberFormat="1" applyFont="1" applyFill="1" applyBorder="1" applyAlignment="1" applyProtection="1">
      <alignment horizontal="left" vertical="center"/>
    </xf>
    <xf numFmtId="49" fontId="0" fillId="3" borderId="0" xfId="0" applyNumberFormat="1" applyFont="1" applyFill="1" applyBorder="1" applyAlignment="1" applyProtection="1">
      <alignment vertical="center"/>
    </xf>
    <xf numFmtId="49" fontId="0" fillId="3" borderId="0" xfId="0" applyNumberFormat="1" applyFont="1" applyFill="1" applyBorder="1" applyAlignment="1" applyProtection="1">
      <alignment horizontal="left" vertical="center"/>
    </xf>
    <xf numFmtId="49" fontId="0" fillId="4" borderId="0" xfId="0" applyNumberFormat="1" applyFont="1" applyFill="1" applyBorder="1" applyAlignment="1" applyProtection="1">
      <alignment vertical="center"/>
    </xf>
    <xf numFmtId="49" fontId="0" fillId="4" borderId="0" xfId="0" applyNumberFormat="1" applyFont="1" applyFill="1" applyBorder="1" applyAlignment="1" applyProtection="1">
      <alignment horizontal="left" vertical="center"/>
    </xf>
    <xf numFmtId="0" fontId="0" fillId="4" borderId="0" xfId="0" applyNumberFormat="1" applyFont="1" applyFill="1" applyBorder="1" applyAlignment="1" applyProtection="1">
      <alignment horizontal="left" vertical="center"/>
    </xf>
    <xf numFmtId="49" fontId="0" fillId="5" borderId="0" xfId="0" applyNumberFormat="1" applyFont="1" applyFill="1" applyBorder="1" applyAlignment="1" applyProtection="1">
      <alignment vertical="center"/>
    </xf>
    <xf numFmtId="49" fontId="0" fillId="5" borderId="0" xfId="0" applyNumberFormat="1" applyFont="1" applyFill="1" applyBorder="1" applyAlignment="1" applyProtection="1">
      <alignment horizontal="left" vertical="center"/>
    </xf>
    <xf numFmtId="49" fontId="0" fillId="6" borderId="0" xfId="0" applyNumberFormat="1" applyFont="1" applyFill="1" applyBorder="1" applyAlignment="1" applyProtection="1">
      <alignment vertical="center"/>
    </xf>
    <xf numFmtId="49" fontId="0" fillId="6" borderId="0" xfId="0" applyNumberFormat="1" applyFont="1" applyFill="1" applyBorder="1" applyAlignment="1" applyProtection="1">
      <alignment horizontal="left" vertical="center"/>
    </xf>
    <xf numFmtId="49" fontId="0" fillId="7" borderId="0" xfId="0" applyNumberFormat="1" applyFont="1" applyFill="1" applyBorder="1" applyAlignment="1" applyProtection="1">
      <alignment vertical="center"/>
    </xf>
    <xf numFmtId="49" fontId="0" fillId="7" borderId="0" xfId="0" applyNumberFormat="1" applyFont="1" applyFill="1" applyBorder="1" applyAlignment="1" applyProtection="1">
      <alignment horizontal="left" vertical="center"/>
    </xf>
    <xf numFmtId="49" fontId="0" fillId="8" borderId="0" xfId="0" applyNumberFormat="1" applyFont="1" applyFill="1" applyBorder="1" applyAlignment="1" applyProtection="1">
      <alignment vertical="center"/>
    </xf>
    <xf numFmtId="49" fontId="0" fillId="8" borderId="0" xfId="0" applyNumberFormat="1" applyFont="1" applyFill="1" applyBorder="1" applyAlignment="1" applyProtection="1">
      <alignment horizontal="left" vertical="center"/>
    </xf>
    <xf numFmtId="0" fontId="0" fillId="8" borderId="0" xfId="0" applyNumberFormat="1" applyFont="1" applyFill="1" applyBorder="1" applyAlignment="1" applyProtection="1">
      <alignment horizontal="left" vertical="center"/>
    </xf>
    <xf numFmtId="49" fontId="0" fillId="9" borderId="0" xfId="0" applyNumberFormat="1" applyFont="1" applyFill="1" applyBorder="1" applyAlignment="1" applyProtection="1">
      <alignment vertical="center"/>
    </xf>
    <xf numFmtId="49" fontId="0" fillId="9" borderId="0" xfId="0" applyNumberFormat="1" applyFont="1" applyFill="1" applyBorder="1" applyAlignment="1" applyProtection="1">
      <alignment horizontal="left" vertical="center"/>
    </xf>
    <xf numFmtId="49" fontId="0" fillId="10" borderId="0" xfId="0" applyNumberFormat="1" applyFont="1" applyFill="1" applyBorder="1" applyAlignment="1" applyProtection="1">
      <alignment vertical="center"/>
    </xf>
    <xf numFmtId="49" fontId="0" fillId="10" borderId="0" xfId="0" applyNumberFormat="1" applyFont="1" applyFill="1" applyBorder="1" applyAlignment="1" applyProtection="1">
      <alignment horizontal="left" vertical="center"/>
    </xf>
    <xf numFmtId="0" fontId="0" fillId="10" borderId="0" xfId="0" applyNumberFormat="1" applyFont="1" applyFill="1" applyBorder="1" applyAlignment="1" applyProtection="1">
      <alignment horizontal="left" vertical="center"/>
    </xf>
    <xf numFmtId="49" fontId="0" fillId="11" borderId="0" xfId="0" applyNumberFormat="1" applyFont="1" applyFill="1" applyBorder="1" applyAlignment="1" applyProtection="1">
      <alignment vertical="center"/>
    </xf>
    <xf numFmtId="49" fontId="0" fillId="11" borderId="0" xfId="0" applyNumberFormat="1" applyFont="1" applyFill="1" applyBorder="1" applyAlignment="1" applyProtection="1">
      <alignment horizontal="left" vertical="center"/>
    </xf>
    <xf numFmtId="49" fontId="0" fillId="23" borderId="0" xfId="0" applyNumberFormat="1" applyFont="1" applyFill="1" applyBorder="1" applyAlignment="1" applyProtection="1">
      <alignment vertical="center"/>
    </xf>
    <xf numFmtId="0" fontId="0" fillId="3" borderId="0" xfId="0" applyNumberFormat="1" applyFont="1" applyFill="1" applyBorder="1" applyAlignment="1" applyProtection="1">
      <alignment horizontal="left" vertical="center"/>
    </xf>
    <xf numFmtId="0" fontId="0" fillId="4" borderId="0" xfId="0" applyNumberFormat="1" applyFont="1" applyFill="1" applyBorder="1" applyAlignment="1" applyProtection="1">
      <alignment horizontal="center" vertical="center"/>
    </xf>
    <xf numFmtId="0" fontId="0" fillId="5" borderId="0" xfId="0" applyNumberFormat="1" applyFont="1" applyFill="1" applyBorder="1" applyAlignment="1" applyProtection="1">
      <alignment horizontal="left" vertical="center"/>
    </xf>
    <xf numFmtId="0" fontId="0" fillId="6" borderId="0" xfId="0" applyNumberFormat="1" applyFont="1" applyFill="1" applyBorder="1" applyAlignment="1" applyProtection="1">
      <alignment horizontal="left" vertical="center"/>
    </xf>
    <xf numFmtId="0" fontId="0" fillId="7" borderId="0" xfId="0" applyNumberFormat="1" applyFont="1" applyFill="1" applyBorder="1" applyAlignment="1" applyProtection="1">
      <alignment horizontal="left" vertical="center"/>
    </xf>
    <xf numFmtId="0" fontId="0" fillId="9" borderId="0" xfId="0" applyNumberFormat="1" applyFont="1" applyFill="1" applyBorder="1" applyAlignment="1" applyProtection="1">
      <alignment horizontal="left" vertical="center"/>
    </xf>
    <xf numFmtId="0" fontId="0" fillId="11" borderId="0" xfId="0" applyNumberFormat="1" applyFont="1" applyFill="1" applyBorder="1" applyAlignment="1" applyProtection="1">
      <alignment horizontal="left" vertical="center"/>
    </xf>
    <xf numFmtId="49" fontId="0" fillId="12" borderId="0" xfId="0" applyNumberFormat="1" applyFont="1" applyFill="1" applyBorder="1" applyAlignment="1" applyProtection="1">
      <alignment vertical="center"/>
    </xf>
    <xf numFmtId="49" fontId="0" fillId="12" borderId="0" xfId="0" applyNumberFormat="1" applyFont="1" applyFill="1" applyBorder="1" applyAlignment="1" applyProtection="1">
      <alignment horizontal="left" vertical="center"/>
    </xf>
    <xf numFmtId="0" fontId="0" fillId="12" borderId="0" xfId="0" applyNumberFormat="1" applyFont="1" applyFill="1" applyBorder="1" applyAlignment="1" applyProtection="1">
      <alignment horizontal="left" vertical="center"/>
    </xf>
    <xf numFmtId="49" fontId="0" fillId="13" borderId="0" xfId="0" applyNumberFormat="1" applyFont="1" applyFill="1" applyBorder="1" applyAlignment="1" applyProtection="1">
      <alignment vertical="center"/>
    </xf>
    <xf numFmtId="49" fontId="0" fillId="13" borderId="0" xfId="0" applyNumberFormat="1" applyFont="1" applyFill="1" applyBorder="1" applyAlignment="1" applyProtection="1">
      <alignment horizontal="left" vertical="center"/>
    </xf>
    <xf numFmtId="49" fontId="0" fillId="14" borderId="0" xfId="0" applyNumberFormat="1" applyFont="1" applyFill="1" applyBorder="1" applyAlignment="1" applyProtection="1">
      <alignment vertical="center"/>
    </xf>
    <xf numFmtId="49" fontId="0" fillId="14" borderId="0" xfId="0" applyNumberFormat="1" applyFont="1" applyFill="1" applyBorder="1" applyAlignment="1" applyProtection="1">
      <alignment horizontal="left" vertical="center"/>
    </xf>
    <xf numFmtId="0" fontId="0" fillId="14" borderId="0" xfId="0" applyNumberFormat="1" applyFont="1" applyFill="1" applyBorder="1" applyAlignment="1" applyProtection="1">
      <alignment horizontal="left" vertical="center"/>
    </xf>
    <xf numFmtId="49" fontId="0" fillId="15" borderId="0" xfId="0" applyNumberFormat="1" applyFont="1" applyFill="1" applyBorder="1" applyAlignment="1" applyProtection="1">
      <alignment vertical="center"/>
    </xf>
    <xf numFmtId="49" fontId="0" fillId="15" borderId="0" xfId="0" applyNumberFormat="1" applyFont="1" applyFill="1" applyBorder="1" applyAlignment="1" applyProtection="1">
      <alignment horizontal="left" vertical="center"/>
    </xf>
    <xf numFmtId="49" fontId="1" fillId="16" borderId="0" xfId="0" applyNumberFormat="1" applyFont="1" applyFill="1" applyBorder="1" applyAlignment="1" applyProtection="1">
      <alignment vertical="center"/>
    </xf>
    <xf numFmtId="49" fontId="1" fillId="16" borderId="0" xfId="0" applyNumberFormat="1" applyFont="1" applyFill="1" applyBorder="1" applyAlignment="1" applyProtection="1">
      <alignment horizontal="left" vertical="center"/>
    </xf>
    <xf numFmtId="49" fontId="0" fillId="17" borderId="0" xfId="0" applyNumberFormat="1" applyFont="1" applyFill="1" applyBorder="1" applyAlignment="1" applyProtection="1">
      <alignment vertical="center"/>
    </xf>
    <xf numFmtId="0" fontId="0" fillId="17" borderId="0" xfId="0" applyNumberFormat="1" applyFont="1" applyFill="1" applyBorder="1" applyAlignment="1" applyProtection="1">
      <alignment horizontal="left" vertical="center"/>
    </xf>
    <xf numFmtId="49" fontId="0" fillId="17" borderId="0" xfId="0" applyNumberFormat="1" applyFont="1" applyFill="1" applyBorder="1" applyAlignment="1" applyProtection="1">
      <alignment horizontal="left" vertical="center"/>
    </xf>
    <xf numFmtId="49" fontId="0" fillId="18" borderId="0" xfId="0" applyNumberFormat="1" applyFont="1" applyFill="1" applyBorder="1" applyAlignment="1" applyProtection="1">
      <alignment vertical="center"/>
    </xf>
    <xf numFmtId="0" fontId="0" fillId="18" borderId="0" xfId="0" applyNumberFormat="1" applyFont="1" applyFill="1" applyBorder="1" applyAlignment="1" applyProtection="1">
      <alignment horizontal="left" vertical="center"/>
    </xf>
    <xf numFmtId="0" fontId="0" fillId="37" borderId="0" xfId="0" applyNumberFormat="1" applyFont="1" applyFill="1" applyBorder="1" applyAlignment="1" applyProtection="1">
      <alignment horizontal="left" vertical="center"/>
    </xf>
    <xf numFmtId="49" fontId="0" fillId="18" borderId="0" xfId="0" applyNumberFormat="1" applyFont="1" applyFill="1" applyBorder="1" applyAlignment="1" applyProtection="1">
      <alignment horizontal="left" vertical="center"/>
    </xf>
    <xf numFmtId="49" fontId="0" fillId="19" borderId="0" xfId="0" applyNumberFormat="1" applyFont="1" applyFill="1" applyBorder="1" applyAlignment="1" applyProtection="1">
      <alignment vertical="center"/>
    </xf>
    <xf numFmtId="0" fontId="0" fillId="19" borderId="0" xfId="0" applyNumberFormat="1" applyFont="1" applyFill="1" applyBorder="1" applyAlignment="1" applyProtection="1">
      <alignment horizontal="left" vertical="center"/>
    </xf>
    <xf numFmtId="49" fontId="0" fillId="19" borderId="0" xfId="0" applyNumberFormat="1" applyFont="1" applyFill="1" applyBorder="1" applyAlignment="1" applyProtection="1">
      <alignment horizontal="left" vertical="center"/>
    </xf>
    <xf numFmtId="49" fontId="0" fillId="20" borderId="0" xfId="0" applyNumberFormat="1" applyFont="1" applyFill="1" applyBorder="1" applyAlignment="1" applyProtection="1">
      <alignment vertical="center"/>
    </xf>
    <xf numFmtId="49" fontId="0" fillId="20" borderId="0" xfId="0" applyNumberFormat="1" applyFont="1" applyFill="1" applyBorder="1" applyAlignment="1" applyProtection="1">
      <alignment horizontal="left" vertical="center"/>
    </xf>
    <xf numFmtId="49" fontId="0" fillId="22" borderId="0" xfId="0" applyNumberFormat="1" applyFont="1" applyFill="1" applyBorder="1" applyAlignment="1" applyProtection="1">
      <alignment vertical="center"/>
    </xf>
    <xf numFmtId="49" fontId="0" fillId="22" borderId="0" xfId="0" applyNumberFormat="1" applyFont="1" applyFill="1" applyBorder="1" applyAlignment="1" applyProtection="1">
      <alignment horizontal="left" vertical="center"/>
    </xf>
    <xf numFmtId="0" fontId="0" fillId="20" borderId="0" xfId="0" applyNumberFormat="1" applyFont="1" applyFill="1" applyBorder="1" applyAlignment="1" applyProtection="1">
      <alignment horizontal="left" vertical="center"/>
    </xf>
    <xf numFmtId="0" fontId="0" fillId="13" borderId="0" xfId="0" applyNumberFormat="1" applyFont="1" applyFill="1" applyBorder="1" applyAlignment="1" applyProtection="1">
      <alignment horizontal="left" vertical="center"/>
    </xf>
    <xf numFmtId="0" fontId="0" fillId="15" borderId="0" xfId="0" applyNumberFormat="1" applyFont="1" applyFill="1" applyBorder="1" applyAlignment="1" applyProtection="1">
      <alignment horizontal="left" vertical="center"/>
    </xf>
    <xf numFmtId="0" fontId="1" fillId="16" borderId="0" xfId="0" applyNumberFormat="1" applyFont="1" applyFill="1" applyBorder="1" applyAlignment="1" applyProtection="1">
      <alignment horizontal="left" vertical="center"/>
    </xf>
    <xf numFmtId="0" fontId="0" fillId="17" borderId="0" xfId="0" applyNumberFormat="1" applyFont="1" applyFill="1" applyBorder="1" applyAlignment="1" applyProtection="1">
      <alignment horizontal="right" vertical="center"/>
    </xf>
    <xf numFmtId="0" fontId="0" fillId="18" borderId="0" xfId="0" applyNumberFormat="1" applyFont="1" applyFill="1" applyBorder="1" applyAlignment="1" applyProtection="1">
      <alignment horizontal="right" vertical="center"/>
    </xf>
    <xf numFmtId="0" fontId="0" fillId="19" borderId="0" xfId="0" applyNumberFormat="1" applyFont="1" applyFill="1" applyBorder="1" applyAlignment="1" applyProtection="1">
      <alignment horizontal="right" vertical="center"/>
    </xf>
    <xf numFmtId="0" fontId="0" fillId="22" borderId="0" xfId="0" applyNumberFormat="1" applyFont="1" applyFill="1" applyBorder="1" applyAlignment="1" applyProtection="1">
      <alignment horizontal="left" vertical="center"/>
    </xf>
    <xf numFmtId="0" fontId="0" fillId="23" borderId="0" xfId="0" applyNumberFormat="1" applyFont="1" applyFill="1" applyBorder="1" applyAlignment="1" applyProtection="1">
      <alignment horizontal="left" vertical="center"/>
    </xf>
    <xf numFmtId="49" fontId="0" fillId="24" borderId="0" xfId="0" applyNumberFormat="1" applyFont="1" applyFill="1" applyBorder="1" applyAlignment="1" applyProtection="1">
      <alignment vertical="center"/>
    </xf>
    <xf numFmtId="49" fontId="0" fillId="24" borderId="0" xfId="0" applyNumberFormat="1" applyFont="1" applyFill="1" applyBorder="1" applyAlignment="1" applyProtection="1">
      <alignment horizontal="left" vertical="center"/>
    </xf>
    <xf numFmtId="49" fontId="1" fillId="25" borderId="0" xfId="0" applyNumberFormat="1" applyFont="1" applyFill="1" applyBorder="1" applyAlignment="1" applyProtection="1">
      <alignment vertical="center"/>
    </xf>
    <xf numFmtId="49" fontId="1" fillId="25" borderId="0" xfId="0" applyNumberFormat="1" applyFont="1" applyFill="1" applyBorder="1" applyAlignment="1" applyProtection="1">
      <alignment horizontal="left" vertical="center"/>
    </xf>
    <xf numFmtId="49" fontId="2" fillId="20" borderId="0" xfId="0" applyNumberFormat="1" applyFont="1" applyFill="1" applyBorder="1" applyAlignment="1" applyProtection="1">
      <alignment vertical="center"/>
    </xf>
    <xf numFmtId="49" fontId="2" fillId="20" borderId="0" xfId="0" applyNumberFormat="1" applyFont="1" applyFill="1" applyBorder="1" applyAlignment="1" applyProtection="1">
      <alignment horizontal="left" vertical="center"/>
    </xf>
    <xf numFmtId="49" fontId="1" fillId="26" borderId="0" xfId="0" applyNumberFormat="1" applyFont="1" applyFill="1" applyBorder="1" applyAlignment="1" applyProtection="1">
      <alignment vertical="center"/>
    </xf>
    <xf numFmtId="49" fontId="1" fillId="26" borderId="0" xfId="0" applyNumberFormat="1" applyFont="1" applyFill="1" applyBorder="1" applyAlignment="1" applyProtection="1">
      <alignment horizontal="left" vertical="center"/>
    </xf>
    <xf numFmtId="49" fontId="2" fillId="22" borderId="0" xfId="0" applyNumberFormat="1" applyFont="1" applyFill="1" applyBorder="1" applyAlignment="1" applyProtection="1">
      <alignment vertical="center"/>
    </xf>
    <xf numFmtId="49" fontId="2" fillId="22" borderId="0" xfId="0" applyNumberFormat="1" applyFont="1" applyFill="1" applyBorder="1" applyAlignment="1" applyProtection="1">
      <alignment horizontal="left" vertical="center"/>
    </xf>
    <xf numFmtId="49" fontId="1" fillId="27" borderId="0" xfId="0" applyNumberFormat="1" applyFont="1" applyFill="1" applyBorder="1" applyAlignment="1" applyProtection="1">
      <alignment vertical="center"/>
    </xf>
    <xf numFmtId="49" fontId="1" fillId="27" borderId="0" xfId="0" applyNumberFormat="1" applyFont="1" applyFill="1" applyBorder="1" applyAlignment="1" applyProtection="1">
      <alignment horizontal="left" vertical="center"/>
    </xf>
    <xf numFmtId="49" fontId="2" fillId="19" borderId="0" xfId="0" applyNumberFormat="1" applyFont="1" applyFill="1" applyBorder="1" applyAlignment="1" applyProtection="1">
      <alignment vertical="center"/>
    </xf>
    <xf numFmtId="49" fontId="2" fillId="19" borderId="0" xfId="0" applyNumberFormat="1" applyFont="1" applyFill="1" applyBorder="1" applyAlignment="1" applyProtection="1">
      <alignment horizontal="left" vertical="center"/>
    </xf>
    <xf numFmtId="49" fontId="1" fillId="28" borderId="0" xfId="0" applyNumberFormat="1" applyFont="1" applyFill="1" applyBorder="1" applyAlignment="1" applyProtection="1">
      <alignment vertical="center"/>
    </xf>
    <xf numFmtId="49" fontId="1" fillId="28" borderId="0" xfId="0" applyNumberFormat="1" applyFont="1" applyFill="1" applyBorder="1" applyAlignment="1" applyProtection="1">
      <alignment horizontal="left" vertical="center"/>
    </xf>
    <xf numFmtId="49" fontId="2" fillId="29" borderId="0" xfId="0" applyNumberFormat="1" applyFont="1" applyFill="1" applyBorder="1" applyAlignment="1" applyProtection="1">
      <alignment vertical="center"/>
    </xf>
    <xf numFmtId="49" fontId="2" fillId="29" borderId="0" xfId="0" applyNumberFormat="1" applyFont="1" applyFill="1" applyBorder="1" applyAlignment="1" applyProtection="1">
      <alignment horizontal="left" vertical="center"/>
    </xf>
    <xf numFmtId="49" fontId="2" fillId="3" borderId="0" xfId="0" applyNumberFormat="1" applyFont="1" applyFill="1" applyBorder="1" applyAlignment="1" applyProtection="1">
      <alignment vertical="center"/>
    </xf>
    <xf numFmtId="49" fontId="2" fillId="3" borderId="0" xfId="0" applyNumberFormat="1" applyFont="1" applyFill="1" applyBorder="1" applyAlignment="1" applyProtection="1">
      <alignment horizontal="left" vertical="center"/>
    </xf>
    <xf numFmtId="49" fontId="2" fillId="9" borderId="0" xfId="0" applyNumberFormat="1" applyFont="1" applyFill="1" applyBorder="1" applyAlignment="1" applyProtection="1">
      <alignment vertical="center"/>
    </xf>
    <xf numFmtId="49" fontId="2" fillId="9" borderId="0" xfId="0" applyNumberFormat="1" applyFont="1" applyFill="1" applyBorder="1" applyAlignment="1" applyProtection="1">
      <alignment horizontal="left" vertical="center"/>
    </xf>
    <xf numFmtId="49" fontId="0" fillId="30" borderId="0" xfId="0" applyNumberFormat="1" applyFont="1" applyFill="1" applyBorder="1" applyAlignment="1" applyProtection="1">
      <alignment horizontal="left" vertical="center"/>
    </xf>
    <xf numFmtId="49" fontId="0" fillId="30" borderId="0" xfId="0" applyNumberFormat="1" applyFont="1" applyFill="1" applyBorder="1" applyAlignment="1" applyProtection="1">
      <alignment vertical="center"/>
    </xf>
    <xf numFmtId="49" fontId="2" fillId="24" borderId="0" xfId="0" applyNumberFormat="1" applyFont="1" applyFill="1" applyBorder="1" applyAlignment="1" applyProtection="1">
      <alignment vertical="center"/>
    </xf>
    <xf numFmtId="49" fontId="2" fillId="24" borderId="0" xfId="0" applyNumberFormat="1" applyFont="1" applyFill="1" applyBorder="1" applyAlignment="1" applyProtection="1">
      <alignment horizontal="left" vertical="center"/>
    </xf>
    <xf numFmtId="0" fontId="0" fillId="24" borderId="0" xfId="0" applyNumberFormat="1" applyFont="1" applyFill="1" applyBorder="1" applyAlignment="1" applyProtection="1">
      <alignment horizontal="left" vertical="center"/>
    </xf>
    <xf numFmtId="0" fontId="1" fillId="25" borderId="0" xfId="0" applyNumberFormat="1" applyFont="1" applyFill="1" applyBorder="1" applyAlignment="1" applyProtection="1">
      <alignment horizontal="left" vertical="center"/>
    </xf>
    <xf numFmtId="0" fontId="2" fillId="20" borderId="0" xfId="0" applyNumberFormat="1" applyFont="1" applyFill="1" applyBorder="1" applyAlignment="1" applyProtection="1">
      <alignment horizontal="left" vertical="center"/>
    </xf>
    <xf numFmtId="0" fontId="1" fillId="26" borderId="0" xfId="0" applyNumberFormat="1" applyFont="1" applyFill="1" applyBorder="1" applyAlignment="1" applyProtection="1">
      <alignment horizontal="left" vertical="center"/>
    </xf>
    <xf numFmtId="0" fontId="2" fillId="22" borderId="0" xfId="0" applyNumberFormat="1" applyFont="1" applyFill="1" applyBorder="1" applyAlignment="1" applyProtection="1">
      <alignment horizontal="left" vertical="center"/>
    </xf>
    <xf numFmtId="0" fontId="1" fillId="27" borderId="0" xfId="0" applyNumberFormat="1" applyFont="1" applyFill="1" applyBorder="1" applyAlignment="1" applyProtection="1">
      <alignment horizontal="left" vertical="center"/>
    </xf>
    <xf numFmtId="0" fontId="2" fillId="19" borderId="0" xfId="0" applyNumberFormat="1" applyFont="1" applyFill="1" applyBorder="1" applyAlignment="1" applyProtection="1">
      <alignment horizontal="left" vertical="center"/>
    </xf>
    <xf numFmtId="0" fontId="1" fillId="28" borderId="0" xfId="0" applyNumberFormat="1" applyFont="1" applyFill="1" applyBorder="1" applyAlignment="1" applyProtection="1">
      <alignment horizontal="left" vertical="center"/>
    </xf>
    <xf numFmtId="0" fontId="2" fillId="29" borderId="0" xfId="0" applyNumberFormat="1" applyFont="1" applyFill="1" applyBorder="1" applyAlignment="1" applyProtection="1">
      <alignment horizontal="left" vertical="center"/>
    </xf>
    <xf numFmtId="0" fontId="2" fillId="3" borderId="0" xfId="0" applyNumberFormat="1" applyFont="1" applyFill="1" applyBorder="1" applyAlignment="1" applyProtection="1">
      <alignment horizontal="left" vertical="center"/>
    </xf>
    <xf numFmtId="0" fontId="2" fillId="9" borderId="0" xfId="0" applyNumberFormat="1" applyFont="1" applyFill="1" applyBorder="1" applyAlignment="1" applyProtection="1">
      <alignment horizontal="left" vertical="center"/>
    </xf>
    <xf numFmtId="0" fontId="2" fillId="9" borderId="0" xfId="0" applyNumberFormat="1" applyFont="1" applyFill="1" applyBorder="1" applyAlignment="1" applyProtection="1">
      <alignment horizontal="right" vertical="center"/>
    </xf>
    <xf numFmtId="0" fontId="0" fillId="30" borderId="0" xfId="0" applyNumberFormat="1" applyFont="1" applyFill="1" applyBorder="1" applyAlignment="1" applyProtection="1">
      <alignment horizontal="left" vertical="center"/>
    </xf>
    <xf numFmtId="0" fontId="2" fillId="24" borderId="0" xfId="0" applyNumberFormat="1" applyFont="1" applyFill="1" applyBorder="1" applyAlignment="1" applyProtection="1">
      <alignment horizontal="left" vertical="center"/>
    </xf>
    <xf numFmtId="49" fontId="2" fillId="31" borderId="0" xfId="0" applyNumberFormat="1" applyFont="1" applyFill="1" applyBorder="1" applyAlignment="1" applyProtection="1">
      <alignment vertical="center"/>
    </xf>
    <xf numFmtId="49" fontId="2" fillId="31" borderId="0" xfId="0" applyNumberFormat="1" applyFont="1" applyFill="1" applyBorder="1" applyAlignment="1" applyProtection="1">
      <alignment horizontal="left" vertical="center"/>
    </xf>
    <xf numFmtId="49" fontId="2" fillId="10" borderId="0" xfId="0" applyNumberFormat="1" applyFont="1" applyFill="1" applyBorder="1" applyAlignment="1" applyProtection="1">
      <alignment vertical="center"/>
    </xf>
    <xf numFmtId="49" fontId="2" fillId="10" borderId="0" xfId="0" applyNumberFormat="1" applyFont="1" applyFill="1" applyBorder="1" applyAlignment="1" applyProtection="1">
      <alignment horizontal="left" vertical="center"/>
    </xf>
    <xf numFmtId="0" fontId="4" fillId="31" borderId="0" xfId="0" applyNumberFormat="1" applyFont="1" applyFill="1" applyBorder="1" applyAlignment="1" applyProtection="1">
      <alignment horizontal="left" vertical="center"/>
    </xf>
    <xf numFmtId="0" fontId="4" fillId="3" borderId="0" xfId="0" applyNumberFormat="1" applyFont="1" applyFill="1" applyBorder="1" applyAlignment="1" applyProtection="1">
      <alignment horizontal="left" vertical="center"/>
    </xf>
    <xf numFmtId="0" fontId="4" fillId="17" borderId="0" xfId="0" applyNumberFormat="1" applyFont="1" applyFill="1" applyBorder="1" applyAlignment="1" applyProtection="1">
      <alignment horizontal="left" vertical="center"/>
    </xf>
    <xf numFmtId="0" fontId="5" fillId="31" borderId="0" xfId="0" applyNumberFormat="1" applyFont="1" applyFill="1" applyBorder="1" applyAlignment="1" applyProtection="1">
      <alignment horizontal="left" vertical="center"/>
    </xf>
    <xf numFmtId="49" fontId="0" fillId="32" borderId="0" xfId="0" applyNumberFormat="1" applyFont="1" applyFill="1" applyBorder="1" applyAlignment="1" applyProtection="1">
      <alignment vertical="center"/>
    </xf>
    <xf numFmtId="49" fontId="0" fillId="32" borderId="0" xfId="0" applyNumberFormat="1" applyFont="1" applyFill="1" applyBorder="1" applyAlignment="1" applyProtection="1">
      <alignment horizontal="left" vertical="center"/>
    </xf>
    <xf numFmtId="0" fontId="2" fillId="32" borderId="0" xfId="0" applyNumberFormat="1" applyFont="1" applyFill="1" applyBorder="1" applyAlignment="1" applyProtection="1">
      <alignment horizontal="left" vertical="center"/>
    </xf>
    <xf numFmtId="0" fontId="2" fillId="21" borderId="0" xfId="0" applyNumberFormat="1" applyFont="1" applyFill="1" applyBorder="1" applyAlignment="1" applyProtection="1">
      <alignment vertical="center"/>
    </xf>
    <xf numFmtId="0" fontId="2" fillId="21" borderId="0" xfId="0" applyNumberFormat="1" applyFont="1" applyFill="1" applyBorder="1" applyAlignment="1" applyProtection="1">
      <alignment horizontal="left" vertical="center"/>
    </xf>
    <xf numFmtId="0" fontId="2" fillId="33" borderId="0" xfId="0" applyNumberFormat="1" applyFont="1" applyFill="1" applyBorder="1" applyAlignment="1" applyProtection="1">
      <alignment vertical="center"/>
    </xf>
    <xf numFmtId="0" fontId="2" fillId="33" borderId="0" xfId="0" applyNumberFormat="1" applyFont="1" applyFill="1" applyBorder="1" applyAlignment="1" applyProtection="1">
      <alignment horizontal="left" vertical="center"/>
    </xf>
    <xf numFmtId="0" fontId="2" fillId="31" borderId="0" xfId="0" applyNumberFormat="1" applyFont="1" applyFill="1" applyBorder="1" applyAlignment="1" applyProtection="1">
      <alignment horizontal="left" vertical="center"/>
    </xf>
    <xf numFmtId="0" fontId="2" fillId="10" borderId="0" xfId="0" applyNumberFormat="1" applyFont="1" applyFill="1" applyBorder="1" applyAlignment="1" applyProtection="1">
      <alignment horizontal="left" vertical="center"/>
    </xf>
    <xf numFmtId="0" fontId="0" fillId="32" borderId="0" xfId="0" applyNumberFormat="1" applyFont="1" applyFill="1" applyBorder="1" applyAlignment="1" applyProtection="1">
      <alignment horizontal="left" vertical="center"/>
    </xf>
    <xf numFmtId="49" fontId="0" fillId="34" borderId="0" xfId="0" applyNumberFormat="1" applyFont="1" applyFill="1" applyBorder="1" applyAlignment="1" applyProtection="1">
      <alignment vertical="center"/>
    </xf>
    <xf numFmtId="49" fontId="0" fillId="34" borderId="0" xfId="0" applyNumberFormat="1" applyFont="1" applyFill="1" applyBorder="1" applyAlignment="1" applyProtection="1">
      <alignment horizontal="left" vertical="center"/>
    </xf>
    <xf numFmtId="0" fontId="2" fillId="34" borderId="0" xfId="0" applyNumberFormat="1" applyFont="1" applyFill="1" applyBorder="1" applyAlignment="1" applyProtection="1">
      <alignment horizontal="left" vertical="center"/>
    </xf>
    <xf numFmtId="0" fontId="0" fillId="34" borderId="0" xfId="0" applyNumberFormat="1" applyFont="1" applyFill="1" applyBorder="1" applyAlignment="1" applyProtection="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colors>
    <mruColors>
      <color rgb="00FBFC9C"/>
      <color rgb="00FEABF1"/>
      <color rgb="0065F676"/>
      <color rgb="00F3E2FF"/>
      <color rgb="00BBFED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op\data\excel\Her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p2.0\data\excel\Hero.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4"/>
      <sheetName val="Sheet2"/>
      <sheetName val="Sheet3"/>
    </sheetNames>
    <sheetDataSet>
      <sheetData sheetId="0">
        <row r="1">
          <cell r="A1">
            <v>7</v>
          </cell>
          <cell r="B1">
            <v>1</v>
          </cell>
        </row>
        <row r="2">
          <cell r="A2" t="str">
            <v>英雄id</v>
          </cell>
          <cell r="B2" t="str">
            <v>同源英雄Id（不可同时上2个同源英雄）</v>
          </cell>
        </row>
        <row r="3">
          <cell r="A3" t="str">
            <v>heroId</v>
          </cell>
        </row>
        <row r="4">
          <cell r="A4" t="str">
            <v>int</v>
          </cell>
        </row>
        <row r="5">
          <cell r="A5" t="str">
            <v>primary</v>
          </cell>
        </row>
        <row r="6">
          <cell r="A6" t="str">
            <v>heroId</v>
          </cell>
          <cell r="B6" t="str">
            <v>sourceHeroId</v>
          </cell>
        </row>
        <row r="7">
          <cell r="A7">
            <v>111001</v>
          </cell>
          <cell r="B7">
            <v>111001</v>
          </cell>
        </row>
        <row r="8">
          <cell r="A8">
            <v>111002</v>
          </cell>
          <cell r="B8">
            <v>111002</v>
          </cell>
        </row>
        <row r="9">
          <cell r="A9">
            <v>111003</v>
          </cell>
          <cell r="B9">
            <v>111003</v>
          </cell>
        </row>
        <row r="10">
          <cell r="A10">
            <v>111004</v>
          </cell>
          <cell r="B10">
            <v>111004</v>
          </cell>
        </row>
        <row r="11">
          <cell r="A11">
            <v>111005</v>
          </cell>
          <cell r="B11">
            <v>111005</v>
          </cell>
        </row>
        <row r="12">
          <cell r="A12">
            <v>111006</v>
          </cell>
          <cell r="B12">
            <v>111006</v>
          </cell>
        </row>
        <row r="13">
          <cell r="A13">
            <v>111007</v>
          </cell>
          <cell r="B13">
            <v>111007</v>
          </cell>
        </row>
        <row r="14">
          <cell r="A14">
            <v>111008</v>
          </cell>
          <cell r="B14">
            <v>111008</v>
          </cell>
        </row>
        <row r="15">
          <cell r="A15">
            <v>111009</v>
          </cell>
          <cell r="B15">
            <v>111009</v>
          </cell>
        </row>
        <row r="16">
          <cell r="A16">
            <v>111010</v>
          </cell>
          <cell r="B16">
            <v>111010</v>
          </cell>
        </row>
        <row r="17">
          <cell r="A17">
            <v>111011</v>
          </cell>
          <cell r="B17">
            <v>111011</v>
          </cell>
        </row>
        <row r="18">
          <cell r="A18">
            <v>111012</v>
          </cell>
          <cell r="B18">
            <v>111012</v>
          </cell>
        </row>
        <row r="19">
          <cell r="A19">
            <v>111013</v>
          </cell>
          <cell r="B19">
            <v>111013</v>
          </cell>
        </row>
        <row r="20">
          <cell r="A20">
            <v>111014</v>
          </cell>
          <cell r="B20">
            <v>111014</v>
          </cell>
        </row>
        <row r="21">
          <cell r="A21">
            <v>111015</v>
          </cell>
          <cell r="B21">
            <v>111015</v>
          </cell>
        </row>
        <row r="22">
          <cell r="A22">
            <v>111016</v>
          </cell>
          <cell r="B22">
            <v>111016</v>
          </cell>
        </row>
        <row r="23">
          <cell r="A23">
            <v>111017</v>
          </cell>
          <cell r="B23">
            <v>111017</v>
          </cell>
        </row>
        <row r="24">
          <cell r="A24">
            <v>111018</v>
          </cell>
          <cell r="B24">
            <v>111018</v>
          </cell>
        </row>
        <row r="25">
          <cell r="A25">
            <v>112001</v>
          </cell>
          <cell r="B25">
            <v>112001</v>
          </cell>
        </row>
        <row r="26">
          <cell r="A26">
            <v>112002</v>
          </cell>
          <cell r="B26">
            <v>112002</v>
          </cell>
        </row>
        <row r="27">
          <cell r="A27">
            <v>112003</v>
          </cell>
          <cell r="B27">
            <v>112003</v>
          </cell>
        </row>
        <row r="28">
          <cell r="A28">
            <v>112004</v>
          </cell>
          <cell r="B28">
            <v>112004</v>
          </cell>
        </row>
        <row r="29">
          <cell r="A29">
            <v>112005</v>
          </cell>
          <cell r="B29">
            <v>112005</v>
          </cell>
        </row>
        <row r="30">
          <cell r="A30">
            <v>112006</v>
          </cell>
          <cell r="B30">
            <v>112006</v>
          </cell>
        </row>
        <row r="31">
          <cell r="A31">
            <v>112007</v>
          </cell>
          <cell r="B31">
            <v>112007</v>
          </cell>
        </row>
        <row r="32">
          <cell r="A32">
            <v>112008</v>
          </cell>
          <cell r="B32">
            <v>112008</v>
          </cell>
        </row>
        <row r="33">
          <cell r="A33">
            <v>112009</v>
          </cell>
          <cell r="B33">
            <v>112009</v>
          </cell>
        </row>
        <row r="34">
          <cell r="A34">
            <v>112010</v>
          </cell>
          <cell r="B34">
            <v>112010</v>
          </cell>
        </row>
        <row r="35">
          <cell r="A35">
            <v>112011</v>
          </cell>
          <cell r="B35">
            <v>112011</v>
          </cell>
        </row>
        <row r="36">
          <cell r="A36">
            <v>112012</v>
          </cell>
          <cell r="B36">
            <v>112012</v>
          </cell>
        </row>
        <row r="37">
          <cell r="A37">
            <v>112013</v>
          </cell>
          <cell r="B37">
            <v>112013</v>
          </cell>
        </row>
        <row r="38">
          <cell r="A38">
            <v>112014</v>
          </cell>
          <cell r="B38">
            <v>112014</v>
          </cell>
        </row>
        <row r="39">
          <cell r="A39">
            <v>112015</v>
          </cell>
          <cell r="B39">
            <v>112015</v>
          </cell>
        </row>
        <row r="40">
          <cell r="A40">
            <v>112016</v>
          </cell>
          <cell r="B40">
            <v>112016</v>
          </cell>
        </row>
        <row r="41">
          <cell r="A41">
            <v>112017</v>
          </cell>
          <cell r="B41">
            <v>112017</v>
          </cell>
        </row>
        <row r="42">
          <cell r="A42">
            <v>112018</v>
          </cell>
          <cell r="B42">
            <v>112018</v>
          </cell>
        </row>
        <row r="43">
          <cell r="A43">
            <v>112019</v>
          </cell>
          <cell r="B43">
            <v>112019</v>
          </cell>
        </row>
        <row r="44">
          <cell r="A44">
            <v>112020</v>
          </cell>
          <cell r="B44">
            <v>112020</v>
          </cell>
        </row>
        <row r="45">
          <cell r="A45">
            <v>112021</v>
          </cell>
          <cell r="B45">
            <v>112021</v>
          </cell>
        </row>
        <row r="46">
          <cell r="A46">
            <v>112022</v>
          </cell>
          <cell r="B46">
            <v>112022</v>
          </cell>
        </row>
        <row r="47">
          <cell r="A47">
            <v>112023</v>
          </cell>
          <cell r="B47">
            <v>112023</v>
          </cell>
        </row>
        <row r="48">
          <cell r="A48">
            <v>112024</v>
          </cell>
          <cell r="B48">
            <v>112024</v>
          </cell>
        </row>
        <row r="49">
          <cell r="A49">
            <v>112025</v>
          </cell>
          <cell r="B49">
            <v>112025</v>
          </cell>
        </row>
        <row r="50">
          <cell r="A50">
            <v>112026</v>
          </cell>
          <cell r="B50">
            <v>112026</v>
          </cell>
        </row>
        <row r="51">
          <cell r="A51">
            <v>112027</v>
          </cell>
          <cell r="B51">
            <v>112027</v>
          </cell>
        </row>
        <row r="52">
          <cell r="A52">
            <v>112028</v>
          </cell>
          <cell r="B52">
            <v>112028</v>
          </cell>
        </row>
        <row r="53">
          <cell r="A53">
            <v>113001</v>
          </cell>
          <cell r="B53">
            <v>113001</v>
          </cell>
        </row>
        <row r="54">
          <cell r="A54">
            <v>113002</v>
          </cell>
          <cell r="B54">
            <v>113002</v>
          </cell>
        </row>
        <row r="55">
          <cell r="A55">
            <v>113003</v>
          </cell>
          <cell r="B55">
            <v>113003</v>
          </cell>
        </row>
        <row r="56">
          <cell r="A56">
            <v>113004</v>
          </cell>
          <cell r="B56">
            <v>113004</v>
          </cell>
        </row>
        <row r="57">
          <cell r="A57">
            <v>113005</v>
          </cell>
          <cell r="B57">
            <v>113005</v>
          </cell>
        </row>
        <row r="58">
          <cell r="A58">
            <v>113006</v>
          </cell>
          <cell r="B58">
            <v>113006</v>
          </cell>
        </row>
        <row r="59">
          <cell r="A59">
            <v>113007</v>
          </cell>
          <cell r="B59">
            <v>113007</v>
          </cell>
        </row>
        <row r="60">
          <cell r="A60">
            <v>113008</v>
          </cell>
          <cell r="B60">
            <v>113008</v>
          </cell>
        </row>
        <row r="61">
          <cell r="A61">
            <v>113009</v>
          </cell>
          <cell r="B61">
            <v>113009</v>
          </cell>
        </row>
        <row r="62">
          <cell r="A62">
            <v>113010</v>
          </cell>
          <cell r="B62">
            <v>113010</v>
          </cell>
        </row>
        <row r="63">
          <cell r="A63">
            <v>113011</v>
          </cell>
          <cell r="B63">
            <v>113011</v>
          </cell>
        </row>
        <row r="64">
          <cell r="A64">
            <v>113012</v>
          </cell>
          <cell r="B64">
            <v>113012</v>
          </cell>
        </row>
        <row r="65">
          <cell r="A65">
            <v>113013</v>
          </cell>
          <cell r="B65">
            <v>113013</v>
          </cell>
        </row>
        <row r="66">
          <cell r="A66">
            <v>113014</v>
          </cell>
          <cell r="B66">
            <v>113014</v>
          </cell>
        </row>
        <row r="67">
          <cell r="A67">
            <v>113015</v>
          </cell>
          <cell r="B67">
            <v>113015</v>
          </cell>
        </row>
        <row r="68">
          <cell r="A68">
            <v>113016</v>
          </cell>
          <cell r="B68">
            <v>113016</v>
          </cell>
        </row>
        <row r="69">
          <cell r="A69">
            <v>113017</v>
          </cell>
          <cell r="B69">
            <v>113017</v>
          </cell>
        </row>
        <row r="70">
          <cell r="A70">
            <v>113018</v>
          </cell>
          <cell r="B70">
            <v>113018</v>
          </cell>
        </row>
        <row r="71">
          <cell r="A71">
            <v>113019</v>
          </cell>
          <cell r="B71">
            <v>113019</v>
          </cell>
        </row>
        <row r="72">
          <cell r="A72">
            <v>113020</v>
          </cell>
          <cell r="B72">
            <v>113020</v>
          </cell>
        </row>
        <row r="73">
          <cell r="A73">
            <v>113021</v>
          </cell>
          <cell r="B73">
            <v>113021</v>
          </cell>
        </row>
        <row r="74">
          <cell r="A74">
            <v>113022</v>
          </cell>
          <cell r="B74">
            <v>113022</v>
          </cell>
        </row>
        <row r="75">
          <cell r="A75">
            <v>113023</v>
          </cell>
          <cell r="B75">
            <v>113023</v>
          </cell>
        </row>
        <row r="76">
          <cell r="A76">
            <v>113024</v>
          </cell>
          <cell r="B76">
            <v>113024</v>
          </cell>
        </row>
        <row r="77">
          <cell r="A77">
            <v>113025</v>
          </cell>
          <cell r="B77">
            <v>113025</v>
          </cell>
        </row>
        <row r="78">
          <cell r="A78">
            <v>113026</v>
          </cell>
          <cell r="B78">
            <v>112002</v>
          </cell>
        </row>
        <row r="79">
          <cell r="A79">
            <v>113027</v>
          </cell>
          <cell r="B79">
            <v>113027</v>
          </cell>
        </row>
        <row r="80">
          <cell r="A80">
            <v>121001</v>
          </cell>
          <cell r="B80">
            <v>121001</v>
          </cell>
        </row>
        <row r="81">
          <cell r="A81">
            <v>121002</v>
          </cell>
          <cell r="B81">
            <v>121002</v>
          </cell>
        </row>
        <row r="82">
          <cell r="A82">
            <v>121003</v>
          </cell>
          <cell r="B82">
            <v>121003</v>
          </cell>
        </row>
        <row r="83">
          <cell r="A83">
            <v>121004</v>
          </cell>
          <cell r="B83">
            <v>121004</v>
          </cell>
        </row>
        <row r="84">
          <cell r="A84">
            <v>121005</v>
          </cell>
          <cell r="B84">
            <v>121005</v>
          </cell>
        </row>
        <row r="85">
          <cell r="A85">
            <v>121006</v>
          </cell>
          <cell r="B85">
            <v>121006</v>
          </cell>
        </row>
        <row r="86">
          <cell r="A86">
            <v>121007</v>
          </cell>
          <cell r="B86">
            <v>121007</v>
          </cell>
        </row>
        <row r="87">
          <cell r="A87">
            <v>121008</v>
          </cell>
          <cell r="B87">
            <v>121008</v>
          </cell>
        </row>
        <row r="88">
          <cell r="A88">
            <v>121009</v>
          </cell>
          <cell r="B88">
            <v>121009</v>
          </cell>
        </row>
        <row r="89">
          <cell r="A89">
            <v>121010</v>
          </cell>
          <cell r="B89">
            <v>121010</v>
          </cell>
        </row>
        <row r="90">
          <cell r="A90">
            <v>121011</v>
          </cell>
          <cell r="B90">
            <v>121011</v>
          </cell>
        </row>
        <row r="91">
          <cell r="A91">
            <v>121012</v>
          </cell>
          <cell r="B91">
            <v>121012</v>
          </cell>
        </row>
        <row r="92">
          <cell r="A92">
            <v>121013</v>
          </cell>
          <cell r="B92">
            <v>121013</v>
          </cell>
        </row>
        <row r="93">
          <cell r="A93">
            <v>121014</v>
          </cell>
          <cell r="B93">
            <v>121014</v>
          </cell>
        </row>
        <row r="94">
          <cell r="A94">
            <v>121015</v>
          </cell>
          <cell r="B94">
            <v>121015</v>
          </cell>
        </row>
        <row r="95">
          <cell r="A95">
            <v>121016</v>
          </cell>
          <cell r="B95">
            <v>121016</v>
          </cell>
        </row>
        <row r="96">
          <cell r="A96">
            <v>121017</v>
          </cell>
          <cell r="B96">
            <v>121017</v>
          </cell>
        </row>
        <row r="97">
          <cell r="A97">
            <v>121018</v>
          </cell>
          <cell r="B97">
            <v>121018</v>
          </cell>
        </row>
        <row r="98">
          <cell r="A98">
            <v>121019</v>
          </cell>
          <cell r="B98">
            <v>121019</v>
          </cell>
        </row>
        <row r="99">
          <cell r="A99">
            <v>121020</v>
          </cell>
          <cell r="B99">
            <v>121020</v>
          </cell>
        </row>
        <row r="100">
          <cell r="A100">
            <v>121021</v>
          </cell>
          <cell r="B100">
            <v>121021</v>
          </cell>
        </row>
        <row r="101">
          <cell r="A101">
            <v>121022</v>
          </cell>
          <cell r="B101">
            <v>121022</v>
          </cell>
        </row>
        <row r="102">
          <cell r="A102">
            <v>121023</v>
          </cell>
          <cell r="B102">
            <v>121023</v>
          </cell>
        </row>
        <row r="103">
          <cell r="A103">
            <v>121025</v>
          </cell>
          <cell r="B103">
            <v>121025</v>
          </cell>
        </row>
        <row r="104">
          <cell r="A104">
            <v>121026</v>
          </cell>
          <cell r="B104">
            <v>121026</v>
          </cell>
        </row>
        <row r="105">
          <cell r="A105">
            <v>121027</v>
          </cell>
          <cell r="B105">
            <v>121027</v>
          </cell>
        </row>
        <row r="106">
          <cell r="A106">
            <v>121028</v>
          </cell>
          <cell r="B106">
            <v>121028</v>
          </cell>
        </row>
        <row r="107">
          <cell r="A107">
            <v>121032</v>
          </cell>
          <cell r="B107">
            <v>121032</v>
          </cell>
        </row>
        <row r="108">
          <cell r="A108">
            <v>121033</v>
          </cell>
          <cell r="B108">
            <v>121033</v>
          </cell>
        </row>
        <row r="109">
          <cell r="A109">
            <v>121034</v>
          </cell>
          <cell r="B109">
            <v>121034</v>
          </cell>
        </row>
        <row r="110">
          <cell r="A110">
            <v>121035</v>
          </cell>
          <cell r="B110">
            <v>121035</v>
          </cell>
        </row>
        <row r="111">
          <cell r="A111">
            <v>121036</v>
          </cell>
          <cell r="B111">
            <v>121036</v>
          </cell>
        </row>
        <row r="112">
          <cell r="A112">
            <v>121037</v>
          </cell>
          <cell r="B112">
            <v>121037</v>
          </cell>
        </row>
        <row r="113">
          <cell r="A113">
            <v>121038</v>
          </cell>
          <cell r="B113">
            <v>121038</v>
          </cell>
        </row>
        <row r="114">
          <cell r="A114">
            <v>121039</v>
          </cell>
          <cell r="B114">
            <v>121039</v>
          </cell>
        </row>
        <row r="115">
          <cell r="A115">
            <v>121040</v>
          </cell>
          <cell r="B115">
            <v>121040</v>
          </cell>
        </row>
        <row r="116">
          <cell r="A116">
            <v>121041</v>
          </cell>
          <cell r="B116">
            <v>121041</v>
          </cell>
        </row>
        <row r="117">
          <cell r="A117">
            <v>121042</v>
          </cell>
          <cell r="B117">
            <v>121042</v>
          </cell>
        </row>
        <row r="118">
          <cell r="A118">
            <v>121043</v>
          </cell>
          <cell r="B118">
            <v>121043</v>
          </cell>
        </row>
        <row r="119">
          <cell r="A119">
            <v>121044</v>
          </cell>
          <cell r="B119">
            <v>121044</v>
          </cell>
        </row>
        <row r="120">
          <cell r="A120">
            <v>121045</v>
          </cell>
          <cell r="B120">
            <v>121045</v>
          </cell>
        </row>
        <row r="121">
          <cell r="A121">
            <v>121046</v>
          </cell>
          <cell r="B121">
            <v>121046</v>
          </cell>
        </row>
        <row r="122">
          <cell r="A122">
            <v>121047</v>
          </cell>
          <cell r="B122">
            <v>121047</v>
          </cell>
        </row>
        <row r="123">
          <cell r="A123">
            <v>121048</v>
          </cell>
          <cell r="B123">
            <v>121048</v>
          </cell>
        </row>
        <row r="124">
          <cell r="A124">
            <v>121049</v>
          </cell>
          <cell r="B124">
            <v>121049</v>
          </cell>
        </row>
        <row r="125">
          <cell r="A125">
            <v>121050</v>
          </cell>
          <cell r="B125">
            <v>121050</v>
          </cell>
        </row>
        <row r="126">
          <cell r="A126">
            <v>121051</v>
          </cell>
          <cell r="B126">
            <v>121051</v>
          </cell>
        </row>
        <row r="127">
          <cell r="A127">
            <v>121052</v>
          </cell>
          <cell r="B127">
            <v>121052</v>
          </cell>
        </row>
        <row r="128">
          <cell r="A128">
            <v>121053</v>
          </cell>
          <cell r="B128">
            <v>121053</v>
          </cell>
        </row>
        <row r="129">
          <cell r="A129">
            <v>121054</v>
          </cell>
          <cell r="B129">
            <v>121054</v>
          </cell>
        </row>
        <row r="130">
          <cell r="A130">
            <v>121055</v>
          </cell>
          <cell r="B130">
            <v>121055</v>
          </cell>
        </row>
        <row r="131">
          <cell r="A131">
            <v>121056</v>
          </cell>
          <cell r="B131">
            <v>121056</v>
          </cell>
        </row>
        <row r="132">
          <cell r="A132">
            <v>121057</v>
          </cell>
          <cell r="B132">
            <v>121057</v>
          </cell>
        </row>
        <row r="133">
          <cell r="A133">
            <v>121058</v>
          </cell>
          <cell r="B133">
            <v>121058</v>
          </cell>
        </row>
        <row r="134">
          <cell r="A134">
            <v>121059</v>
          </cell>
          <cell r="B134">
            <v>121059</v>
          </cell>
        </row>
        <row r="135">
          <cell r="A135">
            <v>121060</v>
          </cell>
          <cell r="B135">
            <v>121060</v>
          </cell>
        </row>
        <row r="136">
          <cell r="A136">
            <v>121061</v>
          </cell>
          <cell r="B136">
            <v>121061</v>
          </cell>
        </row>
        <row r="137">
          <cell r="A137">
            <v>121062</v>
          </cell>
          <cell r="B137">
            <v>121062</v>
          </cell>
        </row>
        <row r="138">
          <cell r="A138">
            <v>121063</v>
          </cell>
          <cell r="B138">
            <v>121063</v>
          </cell>
        </row>
        <row r="139">
          <cell r="A139">
            <v>121064</v>
          </cell>
          <cell r="B139">
            <v>121064</v>
          </cell>
        </row>
        <row r="140">
          <cell r="A140">
            <v>121065</v>
          </cell>
          <cell r="B140">
            <v>121065</v>
          </cell>
        </row>
        <row r="141">
          <cell r="A141">
            <v>121066</v>
          </cell>
          <cell r="B141">
            <v>121066</v>
          </cell>
        </row>
        <row r="142">
          <cell r="A142">
            <v>121067</v>
          </cell>
          <cell r="B142">
            <v>121067</v>
          </cell>
        </row>
        <row r="143">
          <cell r="A143">
            <v>121068</v>
          </cell>
          <cell r="B143">
            <v>121068</v>
          </cell>
        </row>
        <row r="144">
          <cell r="A144">
            <v>121069</v>
          </cell>
          <cell r="B144">
            <v>121069</v>
          </cell>
        </row>
        <row r="145">
          <cell r="A145">
            <v>121070</v>
          </cell>
          <cell r="B145">
            <v>121070</v>
          </cell>
        </row>
        <row r="146">
          <cell r="A146">
            <v>121071</v>
          </cell>
          <cell r="B146">
            <v>121071</v>
          </cell>
        </row>
        <row r="147">
          <cell r="A147">
            <v>121072</v>
          </cell>
          <cell r="B147">
            <v>121072</v>
          </cell>
        </row>
        <row r="148">
          <cell r="A148">
            <v>121073</v>
          </cell>
          <cell r="B148">
            <v>121073</v>
          </cell>
        </row>
        <row r="149">
          <cell r="A149">
            <v>121074</v>
          </cell>
          <cell r="B149">
            <v>121074</v>
          </cell>
        </row>
        <row r="150">
          <cell r="A150">
            <v>121075</v>
          </cell>
          <cell r="B150">
            <v>121075</v>
          </cell>
        </row>
        <row r="151">
          <cell r="A151">
            <v>121076</v>
          </cell>
          <cell r="B151">
            <v>121076</v>
          </cell>
        </row>
        <row r="152">
          <cell r="A152">
            <v>121077</v>
          </cell>
          <cell r="B152">
            <v>121077</v>
          </cell>
        </row>
        <row r="153">
          <cell r="A153">
            <v>121078</v>
          </cell>
          <cell r="B153">
            <v>121078</v>
          </cell>
        </row>
        <row r="154">
          <cell r="A154">
            <v>121079</v>
          </cell>
          <cell r="B154">
            <v>121079</v>
          </cell>
        </row>
        <row r="155">
          <cell r="A155">
            <v>121080</v>
          </cell>
          <cell r="B155">
            <v>121080</v>
          </cell>
        </row>
        <row r="156">
          <cell r="A156">
            <v>121081</v>
          </cell>
          <cell r="B156">
            <v>121081</v>
          </cell>
        </row>
        <row r="157">
          <cell r="A157">
            <v>121082</v>
          </cell>
          <cell r="B157">
            <v>121082</v>
          </cell>
        </row>
        <row r="158">
          <cell r="A158">
            <v>121083</v>
          </cell>
          <cell r="B158">
            <v>121083</v>
          </cell>
        </row>
        <row r="159">
          <cell r="A159">
            <v>121084</v>
          </cell>
          <cell r="B159">
            <v>121084</v>
          </cell>
        </row>
        <row r="160">
          <cell r="A160">
            <v>121085</v>
          </cell>
          <cell r="B160">
            <v>121085</v>
          </cell>
        </row>
        <row r="161">
          <cell r="A161">
            <v>121086</v>
          </cell>
          <cell r="B161">
            <v>121086</v>
          </cell>
        </row>
        <row r="162">
          <cell r="A162">
            <v>121087</v>
          </cell>
          <cell r="B162">
            <v>121087</v>
          </cell>
        </row>
        <row r="163">
          <cell r="A163">
            <v>121088</v>
          </cell>
          <cell r="B163">
            <v>121088</v>
          </cell>
        </row>
        <row r="164">
          <cell r="A164">
            <v>121089</v>
          </cell>
          <cell r="B164">
            <v>121089</v>
          </cell>
        </row>
        <row r="165">
          <cell r="A165">
            <v>121090</v>
          </cell>
          <cell r="B165">
            <v>121090</v>
          </cell>
        </row>
        <row r="166">
          <cell r="A166">
            <v>121091</v>
          </cell>
          <cell r="B166">
            <v>121091</v>
          </cell>
        </row>
        <row r="167">
          <cell r="A167">
            <v>121092</v>
          </cell>
          <cell r="B167">
            <v>121092</v>
          </cell>
        </row>
        <row r="168">
          <cell r="A168">
            <v>121093</v>
          </cell>
          <cell r="B168">
            <v>121093</v>
          </cell>
        </row>
        <row r="169">
          <cell r="A169">
            <v>121094</v>
          </cell>
          <cell r="B169">
            <v>121094</v>
          </cell>
        </row>
        <row r="170">
          <cell r="A170">
            <v>121095</v>
          </cell>
          <cell r="B170">
            <v>121095</v>
          </cell>
        </row>
        <row r="171">
          <cell r="A171">
            <v>121096</v>
          </cell>
          <cell r="B171">
            <v>121096</v>
          </cell>
        </row>
        <row r="172">
          <cell r="A172">
            <v>121097</v>
          </cell>
          <cell r="B172">
            <v>121097</v>
          </cell>
        </row>
        <row r="173">
          <cell r="A173">
            <v>121098</v>
          </cell>
          <cell r="B173">
            <v>121098</v>
          </cell>
        </row>
        <row r="174">
          <cell r="A174">
            <v>121099</v>
          </cell>
          <cell r="B174">
            <v>121099</v>
          </cell>
        </row>
        <row r="175">
          <cell r="A175">
            <v>121100</v>
          </cell>
          <cell r="B175">
            <v>121100</v>
          </cell>
        </row>
        <row r="176">
          <cell r="A176">
            <v>121101</v>
          </cell>
          <cell r="B176">
            <v>121101</v>
          </cell>
        </row>
        <row r="177">
          <cell r="A177">
            <v>121102</v>
          </cell>
          <cell r="B177">
            <v>121102</v>
          </cell>
        </row>
        <row r="178">
          <cell r="A178">
            <v>121103</v>
          </cell>
          <cell r="B178">
            <v>121103</v>
          </cell>
        </row>
        <row r="179">
          <cell r="A179">
            <v>121104</v>
          </cell>
          <cell r="B179">
            <v>121104</v>
          </cell>
        </row>
        <row r="180">
          <cell r="A180">
            <v>121105</v>
          </cell>
          <cell r="B180">
            <v>121105</v>
          </cell>
        </row>
        <row r="181">
          <cell r="A181">
            <v>121106</v>
          </cell>
          <cell r="B181">
            <v>121106</v>
          </cell>
        </row>
        <row r="182">
          <cell r="A182">
            <v>121107</v>
          </cell>
          <cell r="B182">
            <v>121107</v>
          </cell>
        </row>
        <row r="183">
          <cell r="A183">
            <v>121108</v>
          </cell>
          <cell r="B183">
            <v>121108</v>
          </cell>
        </row>
        <row r="184">
          <cell r="A184">
            <v>121109</v>
          </cell>
          <cell r="B184">
            <v>121109</v>
          </cell>
        </row>
        <row r="185">
          <cell r="A185">
            <v>121110</v>
          </cell>
          <cell r="B185">
            <v>121110</v>
          </cell>
        </row>
        <row r="186">
          <cell r="A186">
            <v>121111</v>
          </cell>
          <cell r="B186">
            <v>121111</v>
          </cell>
        </row>
        <row r="187">
          <cell r="A187">
            <v>121112</v>
          </cell>
          <cell r="B187">
            <v>121112</v>
          </cell>
        </row>
        <row r="188">
          <cell r="A188">
            <v>121113</v>
          </cell>
          <cell r="B188">
            <v>121113</v>
          </cell>
        </row>
        <row r="189">
          <cell r="A189">
            <v>121114</v>
          </cell>
          <cell r="B189">
            <v>121114</v>
          </cell>
        </row>
        <row r="190">
          <cell r="A190">
            <v>121115</v>
          </cell>
          <cell r="B190">
            <v>121115</v>
          </cell>
        </row>
        <row r="191">
          <cell r="A191">
            <v>121116</v>
          </cell>
          <cell r="B191">
            <v>121116</v>
          </cell>
        </row>
        <row r="192">
          <cell r="A192">
            <v>121117</v>
          </cell>
          <cell r="B192">
            <v>121117</v>
          </cell>
        </row>
        <row r="193">
          <cell r="A193">
            <v>121118</v>
          </cell>
          <cell r="B193">
            <v>121118</v>
          </cell>
        </row>
        <row r="194">
          <cell r="A194">
            <v>121119</v>
          </cell>
          <cell r="B194">
            <v>121119</v>
          </cell>
        </row>
        <row r="195">
          <cell r="A195">
            <v>121120</v>
          </cell>
          <cell r="B195">
            <v>121120</v>
          </cell>
        </row>
        <row r="196">
          <cell r="A196">
            <v>121121</v>
          </cell>
          <cell r="B196">
            <v>121121</v>
          </cell>
        </row>
        <row r="197">
          <cell r="A197">
            <v>121122</v>
          </cell>
          <cell r="B197">
            <v>121122</v>
          </cell>
        </row>
        <row r="198">
          <cell r="A198">
            <v>121123</v>
          </cell>
          <cell r="B198">
            <v>121123</v>
          </cell>
        </row>
        <row r="199">
          <cell r="A199">
            <v>121124</v>
          </cell>
          <cell r="B199">
            <v>121124</v>
          </cell>
        </row>
        <row r="200">
          <cell r="A200">
            <v>121125</v>
          </cell>
          <cell r="B200">
            <v>121125</v>
          </cell>
        </row>
        <row r="201">
          <cell r="A201">
            <v>121126</v>
          </cell>
          <cell r="B201">
            <v>121126</v>
          </cell>
        </row>
        <row r="202">
          <cell r="A202">
            <v>121127</v>
          </cell>
          <cell r="B202">
            <v>121127</v>
          </cell>
        </row>
        <row r="203">
          <cell r="A203">
            <v>121128</v>
          </cell>
          <cell r="B203">
            <v>121128</v>
          </cell>
        </row>
        <row r="204">
          <cell r="A204">
            <v>121129</v>
          </cell>
          <cell r="B204">
            <v>121129</v>
          </cell>
        </row>
        <row r="205">
          <cell r="A205">
            <v>121130</v>
          </cell>
          <cell r="B205">
            <v>121130</v>
          </cell>
        </row>
        <row r="206">
          <cell r="A206">
            <v>121131</v>
          </cell>
          <cell r="B206">
            <v>121131</v>
          </cell>
        </row>
        <row r="207">
          <cell r="A207">
            <v>121132</v>
          </cell>
          <cell r="B207">
            <v>121132</v>
          </cell>
        </row>
        <row r="208">
          <cell r="A208">
            <v>121133</v>
          </cell>
          <cell r="B208">
            <v>121133</v>
          </cell>
        </row>
        <row r="209">
          <cell r="A209">
            <v>121134</v>
          </cell>
          <cell r="B209">
            <v>121134</v>
          </cell>
        </row>
        <row r="210">
          <cell r="A210">
            <v>121135</v>
          </cell>
          <cell r="B210">
            <v>121135</v>
          </cell>
        </row>
        <row r="211">
          <cell r="A211">
            <v>121136</v>
          </cell>
          <cell r="B211">
            <v>121136</v>
          </cell>
        </row>
        <row r="212">
          <cell r="A212">
            <v>121137</v>
          </cell>
          <cell r="B212">
            <v>121137</v>
          </cell>
        </row>
        <row r="213">
          <cell r="A213">
            <v>121138</v>
          </cell>
          <cell r="B213">
            <v>121138</v>
          </cell>
        </row>
        <row r="214">
          <cell r="A214">
            <v>121139</v>
          </cell>
          <cell r="B214">
            <v>121139</v>
          </cell>
        </row>
        <row r="215">
          <cell r="A215">
            <v>121140</v>
          </cell>
          <cell r="B215">
            <v>121140</v>
          </cell>
        </row>
        <row r="216">
          <cell r="A216">
            <v>121141</v>
          </cell>
          <cell r="B216">
            <v>121141</v>
          </cell>
        </row>
        <row r="217">
          <cell r="A217">
            <v>121142</v>
          </cell>
          <cell r="B217">
            <v>121142</v>
          </cell>
        </row>
        <row r="218">
          <cell r="A218">
            <v>121143</v>
          </cell>
          <cell r="B218">
            <v>121143</v>
          </cell>
        </row>
        <row r="219">
          <cell r="A219">
            <v>121144</v>
          </cell>
          <cell r="B219">
            <v>121144</v>
          </cell>
        </row>
        <row r="220">
          <cell r="A220">
            <v>121145</v>
          </cell>
          <cell r="B220">
            <v>121145</v>
          </cell>
        </row>
        <row r="221">
          <cell r="A221">
            <v>121146</v>
          </cell>
          <cell r="B221">
            <v>121146</v>
          </cell>
        </row>
        <row r="222">
          <cell r="A222">
            <v>121147</v>
          </cell>
          <cell r="B222">
            <v>121147</v>
          </cell>
        </row>
        <row r="223">
          <cell r="A223">
            <v>121148</v>
          </cell>
          <cell r="B223">
            <v>121148</v>
          </cell>
        </row>
        <row r="224">
          <cell r="A224">
            <v>121149</v>
          </cell>
          <cell r="B224">
            <v>121149</v>
          </cell>
        </row>
        <row r="225">
          <cell r="A225">
            <v>121150</v>
          </cell>
          <cell r="B225">
            <v>121150</v>
          </cell>
        </row>
        <row r="226">
          <cell r="A226">
            <v>121151</v>
          </cell>
          <cell r="B226">
            <v>121151</v>
          </cell>
        </row>
        <row r="227">
          <cell r="A227">
            <v>121152</v>
          </cell>
          <cell r="B227">
            <v>121152</v>
          </cell>
        </row>
        <row r="228">
          <cell r="A228">
            <v>121153</v>
          </cell>
          <cell r="B228">
            <v>121153</v>
          </cell>
        </row>
        <row r="229">
          <cell r="A229">
            <v>121154</v>
          </cell>
          <cell r="B229">
            <v>121154</v>
          </cell>
        </row>
        <row r="230">
          <cell r="A230">
            <v>121155</v>
          </cell>
          <cell r="B230">
            <v>121155</v>
          </cell>
        </row>
        <row r="231">
          <cell r="A231">
            <v>121156</v>
          </cell>
          <cell r="B231">
            <v>121156</v>
          </cell>
        </row>
        <row r="232">
          <cell r="A232">
            <v>121157</v>
          </cell>
          <cell r="B232">
            <v>121157</v>
          </cell>
        </row>
        <row r="233">
          <cell r="A233">
            <v>121158</v>
          </cell>
          <cell r="B233">
            <v>121158</v>
          </cell>
        </row>
        <row r="234">
          <cell r="A234">
            <v>121159</v>
          </cell>
          <cell r="B234">
            <v>121159</v>
          </cell>
        </row>
        <row r="235">
          <cell r="A235">
            <v>121160</v>
          </cell>
          <cell r="B235">
            <v>121160</v>
          </cell>
        </row>
        <row r="236">
          <cell r="A236">
            <v>121161</v>
          </cell>
          <cell r="B236">
            <v>121161</v>
          </cell>
        </row>
        <row r="237">
          <cell r="A237">
            <v>121162</v>
          </cell>
          <cell r="B237">
            <v>121162</v>
          </cell>
        </row>
        <row r="238">
          <cell r="A238">
            <v>121163</v>
          </cell>
          <cell r="B238">
            <v>121163</v>
          </cell>
        </row>
        <row r="239">
          <cell r="A239">
            <v>121164</v>
          </cell>
          <cell r="B239">
            <v>121164</v>
          </cell>
        </row>
        <row r="240">
          <cell r="A240">
            <v>121165</v>
          </cell>
          <cell r="B240">
            <v>121165</v>
          </cell>
        </row>
        <row r="241">
          <cell r="A241">
            <v>121166</v>
          </cell>
          <cell r="B241">
            <v>121166</v>
          </cell>
        </row>
        <row r="242">
          <cell r="A242">
            <v>121167</v>
          </cell>
          <cell r="B242">
            <v>121167</v>
          </cell>
        </row>
        <row r="243">
          <cell r="A243">
            <v>121168</v>
          </cell>
          <cell r="B243">
            <v>121168</v>
          </cell>
        </row>
        <row r="244">
          <cell r="A244">
            <v>121169</v>
          </cell>
          <cell r="B244">
            <v>121169</v>
          </cell>
        </row>
        <row r="245">
          <cell r="A245">
            <v>121170</v>
          </cell>
          <cell r="B245">
            <v>121170</v>
          </cell>
        </row>
        <row r="246">
          <cell r="A246">
            <v>121171</v>
          </cell>
          <cell r="B246">
            <v>121171</v>
          </cell>
        </row>
        <row r="247">
          <cell r="A247">
            <v>121172</v>
          </cell>
          <cell r="B247">
            <v>121172</v>
          </cell>
        </row>
        <row r="248">
          <cell r="A248">
            <v>121173</v>
          </cell>
          <cell r="B248">
            <v>121173</v>
          </cell>
        </row>
        <row r="249">
          <cell r="A249">
            <v>121174</v>
          </cell>
          <cell r="B249">
            <v>121174</v>
          </cell>
        </row>
        <row r="250">
          <cell r="A250">
            <v>121175</v>
          </cell>
          <cell r="B250">
            <v>121175</v>
          </cell>
        </row>
        <row r="251">
          <cell r="A251">
            <v>121176</v>
          </cell>
          <cell r="B251">
            <v>121176</v>
          </cell>
        </row>
        <row r="252">
          <cell r="A252">
            <v>121177</v>
          </cell>
          <cell r="B252">
            <v>121177</v>
          </cell>
        </row>
        <row r="253">
          <cell r="A253">
            <v>121178</v>
          </cell>
          <cell r="B253">
            <v>121178</v>
          </cell>
        </row>
        <row r="254">
          <cell r="A254">
            <v>121179</v>
          </cell>
          <cell r="B254">
            <v>121179</v>
          </cell>
        </row>
        <row r="255">
          <cell r="A255">
            <v>121180</v>
          </cell>
          <cell r="B255">
            <v>121180</v>
          </cell>
        </row>
        <row r="256">
          <cell r="A256">
            <v>121181</v>
          </cell>
          <cell r="B256">
            <v>121181</v>
          </cell>
        </row>
        <row r="257">
          <cell r="A257">
            <v>121182</v>
          </cell>
          <cell r="B257">
            <v>121182</v>
          </cell>
        </row>
        <row r="258">
          <cell r="A258">
            <v>121183</v>
          </cell>
          <cell r="B258">
            <v>121183</v>
          </cell>
        </row>
        <row r="259">
          <cell r="A259">
            <v>121184</v>
          </cell>
          <cell r="B259">
            <v>121184</v>
          </cell>
        </row>
        <row r="260">
          <cell r="A260">
            <v>121185</v>
          </cell>
          <cell r="B260">
            <v>121185</v>
          </cell>
        </row>
        <row r="261">
          <cell r="A261">
            <v>121186</v>
          </cell>
          <cell r="B261">
            <v>121186</v>
          </cell>
        </row>
        <row r="262">
          <cell r="A262">
            <v>121187</v>
          </cell>
          <cell r="B262">
            <v>121187</v>
          </cell>
        </row>
        <row r="263">
          <cell r="A263">
            <v>121188</v>
          </cell>
          <cell r="B263">
            <v>121188</v>
          </cell>
        </row>
        <row r="264">
          <cell r="A264">
            <v>121189</v>
          </cell>
          <cell r="B264">
            <v>121189</v>
          </cell>
        </row>
        <row r="265">
          <cell r="A265">
            <v>121190</v>
          </cell>
          <cell r="B265">
            <v>121190</v>
          </cell>
        </row>
        <row r="266">
          <cell r="A266">
            <v>121191</v>
          </cell>
          <cell r="B266">
            <v>121191</v>
          </cell>
        </row>
        <row r="267">
          <cell r="A267">
            <v>121192</v>
          </cell>
          <cell r="B267">
            <v>121192</v>
          </cell>
        </row>
        <row r="268">
          <cell r="A268">
            <v>121193</v>
          </cell>
          <cell r="B268">
            <v>121193</v>
          </cell>
        </row>
        <row r="269">
          <cell r="A269">
            <v>121194</v>
          </cell>
          <cell r="B269">
            <v>121194</v>
          </cell>
        </row>
        <row r="270">
          <cell r="A270">
            <v>121195</v>
          </cell>
          <cell r="B270">
            <v>121195</v>
          </cell>
        </row>
        <row r="271">
          <cell r="A271">
            <v>121196</v>
          </cell>
          <cell r="B271">
            <v>121196</v>
          </cell>
        </row>
        <row r="272">
          <cell r="A272">
            <v>121197</v>
          </cell>
          <cell r="B272">
            <v>121197</v>
          </cell>
        </row>
        <row r="273">
          <cell r="A273">
            <v>121198</v>
          </cell>
          <cell r="B273">
            <v>121198</v>
          </cell>
        </row>
        <row r="274">
          <cell r="A274">
            <v>121199</v>
          </cell>
          <cell r="B274">
            <v>121199</v>
          </cell>
        </row>
        <row r="275">
          <cell r="A275">
            <v>121200</v>
          </cell>
          <cell r="B275">
            <v>121200</v>
          </cell>
        </row>
        <row r="276">
          <cell r="A276">
            <v>121201</v>
          </cell>
          <cell r="B276">
            <v>121201</v>
          </cell>
        </row>
        <row r="277">
          <cell r="A277">
            <v>121202</v>
          </cell>
          <cell r="B277">
            <v>121202</v>
          </cell>
        </row>
        <row r="278">
          <cell r="A278">
            <v>1111001</v>
          </cell>
          <cell r="B278">
            <v>1111001</v>
          </cell>
        </row>
        <row r="279">
          <cell r="A279">
            <v>1111002</v>
          </cell>
          <cell r="B279">
            <v>1111002</v>
          </cell>
        </row>
        <row r="280">
          <cell r="A280">
            <v>1111003</v>
          </cell>
          <cell r="B280">
            <v>1111003</v>
          </cell>
        </row>
        <row r="281">
          <cell r="A281">
            <v>1111004</v>
          </cell>
          <cell r="B281">
            <v>1111004</v>
          </cell>
        </row>
        <row r="282">
          <cell r="A282">
            <v>1111005</v>
          </cell>
          <cell r="B282">
            <v>1111005</v>
          </cell>
        </row>
        <row r="283">
          <cell r="A283">
            <v>1111006</v>
          </cell>
          <cell r="B283">
            <v>1111006</v>
          </cell>
        </row>
        <row r="284">
          <cell r="A284">
            <v>1111007</v>
          </cell>
          <cell r="B284">
            <v>1111007</v>
          </cell>
        </row>
        <row r="285">
          <cell r="A285">
            <v>1111008</v>
          </cell>
          <cell r="B285">
            <v>1111008</v>
          </cell>
        </row>
        <row r="286">
          <cell r="A286">
            <v>1111009</v>
          </cell>
          <cell r="B286">
            <v>1111009</v>
          </cell>
        </row>
        <row r="287">
          <cell r="A287">
            <v>1111010</v>
          </cell>
          <cell r="B287">
            <v>1111010</v>
          </cell>
        </row>
        <row r="288">
          <cell r="A288">
            <v>1111011</v>
          </cell>
          <cell r="B288">
            <v>1111011</v>
          </cell>
        </row>
        <row r="289">
          <cell r="A289">
            <v>1111012</v>
          </cell>
          <cell r="B289">
            <v>1111012</v>
          </cell>
        </row>
        <row r="290">
          <cell r="A290">
            <v>1111013</v>
          </cell>
          <cell r="B290">
            <v>1111013</v>
          </cell>
        </row>
        <row r="291">
          <cell r="A291">
            <v>1111014</v>
          </cell>
          <cell r="B291">
            <v>1111014</v>
          </cell>
        </row>
        <row r="292">
          <cell r="A292">
            <v>1111015</v>
          </cell>
          <cell r="B292">
            <v>1111015</v>
          </cell>
        </row>
        <row r="293">
          <cell r="A293">
            <v>1111016</v>
          </cell>
          <cell r="B293">
            <v>1111016</v>
          </cell>
        </row>
        <row r="294">
          <cell r="A294">
            <v>1111018</v>
          </cell>
          <cell r="B294">
            <v>1111018</v>
          </cell>
        </row>
        <row r="295">
          <cell r="A295">
            <v>1112001</v>
          </cell>
          <cell r="B295">
            <v>1112001</v>
          </cell>
        </row>
        <row r="296">
          <cell r="A296">
            <v>1112002</v>
          </cell>
          <cell r="B296">
            <v>1112002</v>
          </cell>
        </row>
        <row r="297">
          <cell r="A297">
            <v>1112003</v>
          </cell>
          <cell r="B297">
            <v>1112003</v>
          </cell>
        </row>
        <row r="298">
          <cell r="A298">
            <v>1112004</v>
          </cell>
          <cell r="B298">
            <v>1112004</v>
          </cell>
        </row>
        <row r="299">
          <cell r="A299">
            <v>1112005</v>
          </cell>
          <cell r="B299">
            <v>1112005</v>
          </cell>
        </row>
        <row r="300">
          <cell r="A300">
            <v>1112006</v>
          </cell>
          <cell r="B300">
            <v>1112006</v>
          </cell>
        </row>
        <row r="301">
          <cell r="A301">
            <v>1112007</v>
          </cell>
          <cell r="B301">
            <v>1112007</v>
          </cell>
        </row>
        <row r="302">
          <cell r="A302">
            <v>1112008</v>
          </cell>
          <cell r="B302">
            <v>1112008</v>
          </cell>
        </row>
        <row r="303">
          <cell r="A303">
            <v>1112009</v>
          </cell>
          <cell r="B303">
            <v>1112009</v>
          </cell>
        </row>
        <row r="304">
          <cell r="A304">
            <v>1112010</v>
          </cell>
          <cell r="B304">
            <v>1112010</v>
          </cell>
        </row>
        <row r="305">
          <cell r="A305">
            <v>1112011</v>
          </cell>
          <cell r="B305">
            <v>1112011</v>
          </cell>
        </row>
        <row r="306">
          <cell r="A306">
            <v>1112012</v>
          </cell>
          <cell r="B306">
            <v>1112012</v>
          </cell>
        </row>
        <row r="307">
          <cell r="A307">
            <v>1112013</v>
          </cell>
          <cell r="B307">
            <v>1112013</v>
          </cell>
        </row>
        <row r="308">
          <cell r="A308">
            <v>1112014</v>
          </cell>
          <cell r="B308">
            <v>1112014</v>
          </cell>
        </row>
        <row r="309">
          <cell r="A309">
            <v>1112015</v>
          </cell>
          <cell r="B309">
            <v>1112015</v>
          </cell>
        </row>
        <row r="310">
          <cell r="A310">
            <v>1112016</v>
          </cell>
          <cell r="B310">
            <v>1112016</v>
          </cell>
        </row>
        <row r="311">
          <cell r="A311">
            <v>1112017</v>
          </cell>
          <cell r="B311">
            <v>1112017</v>
          </cell>
        </row>
        <row r="312">
          <cell r="A312">
            <v>1112018</v>
          </cell>
          <cell r="B312">
            <v>1112018</v>
          </cell>
        </row>
        <row r="313">
          <cell r="A313">
            <v>1112019</v>
          </cell>
          <cell r="B313">
            <v>1112019</v>
          </cell>
        </row>
        <row r="314">
          <cell r="A314">
            <v>1112020</v>
          </cell>
          <cell r="B314">
            <v>1112020</v>
          </cell>
        </row>
        <row r="315">
          <cell r="A315">
            <v>1112021</v>
          </cell>
          <cell r="B315">
            <v>1112021</v>
          </cell>
        </row>
        <row r="316">
          <cell r="A316">
            <v>1112022</v>
          </cell>
          <cell r="B316">
            <v>1112022</v>
          </cell>
        </row>
        <row r="317">
          <cell r="A317">
            <v>1112023</v>
          </cell>
          <cell r="B317">
            <v>1112023</v>
          </cell>
        </row>
        <row r="318">
          <cell r="A318">
            <v>1112024</v>
          </cell>
          <cell r="B318">
            <v>1112024</v>
          </cell>
        </row>
        <row r="319">
          <cell r="A319">
            <v>1112025</v>
          </cell>
          <cell r="B319">
            <v>1112025</v>
          </cell>
        </row>
        <row r="320">
          <cell r="A320">
            <v>1112026</v>
          </cell>
          <cell r="B320">
            <v>1112026</v>
          </cell>
        </row>
        <row r="321">
          <cell r="A321">
            <v>1112027</v>
          </cell>
          <cell r="B321">
            <v>1112027</v>
          </cell>
        </row>
        <row r="322">
          <cell r="A322">
            <v>1112028</v>
          </cell>
          <cell r="B322">
            <v>1112028</v>
          </cell>
        </row>
        <row r="323">
          <cell r="A323">
            <v>1113001</v>
          </cell>
          <cell r="B323">
            <v>1113001</v>
          </cell>
        </row>
        <row r="324">
          <cell r="A324">
            <v>1113002</v>
          </cell>
          <cell r="B324">
            <v>1113002</v>
          </cell>
        </row>
        <row r="325">
          <cell r="A325">
            <v>1113003</v>
          </cell>
          <cell r="B325">
            <v>1113003</v>
          </cell>
        </row>
        <row r="326">
          <cell r="A326">
            <v>1113004</v>
          </cell>
          <cell r="B326">
            <v>1113004</v>
          </cell>
        </row>
        <row r="327">
          <cell r="A327">
            <v>1113005</v>
          </cell>
          <cell r="B327">
            <v>1113005</v>
          </cell>
        </row>
        <row r="328">
          <cell r="A328">
            <v>1113006</v>
          </cell>
          <cell r="B328">
            <v>1113006</v>
          </cell>
        </row>
        <row r="329">
          <cell r="A329">
            <v>1113007</v>
          </cell>
          <cell r="B329">
            <v>1113007</v>
          </cell>
        </row>
        <row r="330">
          <cell r="A330">
            <v>1113008</v>
          </cell>
          <cell r="B330">
            <v>1113008</v>
          </cell>
        </row>
        <row r="331">
          <cell r="A331">
            <v>1113009</v>
          </cell>
          <cell r="B331">
            <v>1113009</v>
          </cell>
        </row>
        <row r="332">
          <cell r="A332">
            <v>1113010</v>
          </cell>
          <cell r="B332">
            <v>1113010</v>
          </cell>
        </row>
        <row r="333">
          <cell r="A333">
            <v>1113011</v>
          </cell>
          <cell r="B333">
            <v>1113011</v>
          </cell>
        </row>
        <row r="334">
          <cell r="A334">
            <v>11113011</v>
          </cell>
          <cell r="B334">
            <v>11113011</v>
          </cell>
        </row>
        <row r="335">
          <cell r="A335">
            <v>1114001</v>
          </cell>
          <cell r="B335">
            <v>1114001</v>
          </cell>
        </row>
        <row r="336">
          <cell r="A336">
            <v>11113005</v>
          </cell>
          <cell r="B336">
            <v>11113005</v>
          </cell>
        </row>
        <row r="337">
          <cell r="A337">
            <v>1113012</v>
          </cell>
          <cell r="B337">
            <v>1113012</v>
          </cell>
        </row>
        <row r="338">
          <cell r="A338">
            <v>1113013</v>
          </cell>
          <cell r="B338">
            <v>1113013</v>
          </cell>
        </row>
        <row r="339">
          <cell r="A339">
            <v>1113014</v>
          </cell>
          <cell r="B339">
            <v>1113014</v>
          </cell>
        </row>
        <row r="340">
          <cell r="A340">
            <v>1113015</v>
          </cell>
          <cell r="B340">
            <v>1113015</v>
          </cell>
        </row>
        <row r="341">
          <cell r="A341">
            <v>1113016</v>
          </cell>
          <cell r="B341">
            <v>1113016</v>
          </cell>
        </row>
        <row r="342">
          <cell r="A342">
            <v>1113017</v>
          </cell>
          <cell r="B342">
            <v>1113017</v>
          </cell>
        </row>
        <row r="343">
          <cell r="A343">
            <v>11113017</v>
          </cell>
          <cell r="B343">
            <v>11113017</v>
          </cell>
        </row>
        <row r="344">
          <cell r="A344">
            <v>1113018</v>
          </cell>
          <cell r="B344">
            <v>1113018</v>
          </cell>
        </row>
        <row r="345">
          <cell r="A345">
            <v>1113019</v>
          </cell>
          <cell r="B345">
            <v>1113019</v>
          </cell>
        </row>
        <row r="346">
          <cell r="A346">
            <v>4000001</v>
          </cell>
          <cell r="B346">
            <v>4000001</v>
          </cell>
        </row>
        <row r="347">
          <cell r="A347">
            <v>4000002</v>
          </cell>
          <cell r="B347">
            <v>4000002</v>
          </cell>
        </row>
        <row r="348">
          <cell r="A348">
            <v>4000003</v>
          </cell>
          <cell r="B348">
            <v>4000003</v>
          </cell>
        </row>
        <row r="349">
          <cell r="A349">
            <v>4000004</v>
          </cell>
          <cell r="B349">
            <v>4000004</v>
          </cell>
        </row>
        <row r="350">
          <cell r="A350">
            <v>4000005</v>
          </cell>
          <cell r="B350">
            <v>4000005</v>
          </cell>
        </row>
        <row r="351">
          <cell r="A351">
            <v>4000006</v>
          </cell>
          <cell r="B351">
            <v>4000006</v>
          </cell>
        </row>
        <row r="352">
          <cell r="A352">
            <v>4000007</v>
          </cell>
          <cell r="B352">
            <v>4000007</v>
          </cell>
        </row>
        <row r="353">
          <cell r="A353">
            <v>4000008</v>
          </cell>
          <cell r="B353">
            <v>4000008</v>
          </cell>
        </row>
        <row r="354">
          <cell r="A354">
            <v>4000009</v>
          </cell>
          <cell r="B354">
            <v>4000009</v>
          </cell>
        </row>
        <row r="355">
          <cell r="A355">
            <v>4000010</v>
          </cell>
          <cell r="B355">
            <v>4000010</v>
          </cell>
        </row>
        <row r="356">
          <cell r="A356">
            <v>4000011</v>
          </cell>
          <cell r="B356">
            <v>4000011</v>
          </cell>
        </row>
        <row r="357">
          <cell r="A357">
            <v>4000012</v>
          </cell>
          <cell r="B357">
            <v>4000012</v>
          </cell>
        </row>
        <row r="358">
          <cell r="A358">
            <v>4000013</v>
          </cell>
          <cell r="B358">
            <v>4000013</v>
          </cell>
        </row>
        <row r="359">
          <cell r="A359">
            <v>4000014</v>
          </cell>
          <cell r="B359">
            <v>4000014</v>
          </cell>
        </row>
        <row r="360">
          <cell r="A360">
            <v>4000015</v>
          </cell>
          <cell r="B360">
            <v>4000015</v>
          </cell>
        </row>
        <row r="361">
          <cell r="A361">
            <v>4000016</v>
          </cell>
          <cell r="B361">
            <v>4000016</v>
          </cell>
        </row>
        <row r="362">
          <cell r="A362">
            <v>4000017</v>
          </cell>
          <cell r="B362">
            <v>4000017</v>
          </cell>
        </row>
        <row r="363">
          <cell r="A363">
            <v>4000018</v>
          </cell>
          <cell r="B363">
            <v>4000018</v>
          </cell>
        </row>
        <row r="364">
          <cell r="A364">
            <v>4000019</v>
          </cell>
          <cell r="B364">
            <v>4000019</v>
          </cell>
        </row>
        <row r="365">
          <cell r="A365">
            <v>4000020</v>
          </cell>
          <cell r="B365">
            <v>4000020</v>
          </cell>
        </row>
        <row r="366">
          <cell r="A366">
            <v>4000021</v>
          </cell>
          <cell r="B366">
            <v>4000021</v>
          </cell>
        </row>
        <row r="367">
          <cell r="A367">
            <v>4000022</v>
          </cell>
          <cell r="B367">
            <v>4000022</v>
          </cell>
        </row>
        <row r="368">
          <cell r="A368">
            <v>4000023</v>
          </cell>
          <cell r="B368">
            <v>4000023</v>
          </cell>
        </row>
        <row r="369">
          <cell r="A369">
            <v>4000024</v>
          </cell>
          <cell r="B369">
            <v>4000024</v>
          </cell>
        </row>
        <row r="370">
          <cell r="A370">
            <v>4000025</v>
          </cell>
          <cell r="B370">
            <v>4000025</v>
          </cell>
        </row>
        <row r="371">
          <cell r="A371">
            <v>4000026</v>
          </cell>
          <cell r="B371">
            <v>4000026</v>
          </cell>
        </row>
        <row r="372">
          <cell r="A372">
            <v>4000027</v>
          </cell>
          <cell r="B372">
            <v>4000027</v>
          </cell>
        </row>
        <row r="373">
          <cell r="A373">
            <v>4000028</v>
          </cell>
          <cell r="B373">
            <v>4000028</v>
          </cell>
        </row>
        <row r="374">
          <cell r="A374">
            <v>4000029</v>
          </cell>
          <cell r="B374">
            <v>4000029</v>
          </cell>
        </row>
        <row r="375">
          <cell r="A375">
            <v>4000030</v>
          </cell>
          <cell r="B375">
            <v>4000030</v>
          </cell>
        </row>
        <row r="376">
          <cell r="A376">
            <v>4000031</v>
          </cell>
          <cell r="B376">
            <v>4000031</v>
          </cell>
        </row>
        <row r="377">
          <cell r="A377">
            <v>4000032</v>
          </cell>
          <cell r="B377">
            <v>4000032</v>
          </cell>
        </row>
        <row r="378">
          <cell r="A378">
            <v>4000033</v>
          </cell>
          <cell r="B378">
            <v>4000033</v>
          </cell>
        </row>
        <row r="379">
          <cell r="A379">
            <v>4000034</v>
          </cell>
          <cell r="B379">
            <v>4000034</v>
          </cell>
        </row>
        <row r="380">
          <cell r="A380">
            <v>4000035</v>
          </cell>
          <cell r="B380">
            <v>4000035</v>
          </cell>
        </row>
        <row r="381">
          <cell r="A381">
            <v>4000036</v>
          </cell>
          <cell r="B381">
            <v>4000036</v>
          </cell>
        </row>
        <row r="382">
          <cell r="A382">
            <v>4000037</v>
          </cell>
          <cell r="B382">
            <v>4000037</v>
          </cell>
        </row>
        <row r="383">
          <cell r="A383">
            <v>4000038</v>
          </cell>
          <cell r="B383">
            <v>4000038</v>
          </cell>
        </row>
      </sheetData>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Sheet4"/>
      <sheetName val="Sheet2"/>
      <sheetName val="Sheet3"/>
      <sheetName val="Sheet6"/>
    </sheetNames>
    <sheetDataSet>
      <sheetData sheetId="0">
        <row r="7">
          <cell r="A7">
            <v>111001</v>
          </cell>
          <cell r="B7">
            <v>111001</v>
          </cell>
          <cell r="C7" t="str">
            <v>可比</v>
          </cell>
          <cell r="D7" t="str">
            <v>可比</v>
          </cell>
        </row>
        <row r="7">
          <cell r="F7">
            <v>0</v>
          </cell>
          <cell r="G7" t="str">
            <v>凭借自身努力和毅力，以成为将校为目标的年轻海军士兵。被路飞所救，并加入了向往的海军。</v>
          </cell>
          <cell r="H7" t="str">
            <v>以成为将校为目标的海军士兵，攻防兼备。\n攻击技能附带减速效果，牵制单个敌人。\n治疗技能可提升自身防御力。</v>
          </cell>
          <cell r="I7" t="str">
            <v>自我治疗</v>
          </cell>
          <cell r="J7" t="str">
            <v>前排优先</v>
          </cell>
          <cell r="K7" t="str">
            <v>无</v>
          </cell>
          <cell r="L7" t="str">
            <v>185,184</v>
          </cell>
          <cell r="M7">
            <v>1</v>
          </cell>
          <cell r="N7">
            <v>1</v>
          </cell>
          <cell r="O7">
            <v>4</v>
          </cell>
          <cell r="P7">
            <v>4</v>
          </cell>
          <cell r="Q7">
            <v>2</v>
          </cell>
          <cell r="R7" t="str">
            <v>海军</v>
          </cell>
          <cell r="S7">
            <v>2</v>
          </cell>
          <cell r="T7">
            <v>6</v>
          </cell>
          <cell r="U7">
            <v>1</v>
          </cell>
        </row>
        <row r="8">
          <cell r="A8">
            <v>111002</v>
          </cell>
          <cell r="B8">
            <v>111002</v>
          </cell>
          <cell r="C8" t="str">
            <v>摩根</v>
          </cell>
          <cell r="D8" t="str">
            <v>斧手摩根</v>
          </cell>
        </row>
        <row r="8">
          <cell r="F8">
            <v>0</v>
          </cell>
          <cell r="G8" t="str">
            <v>凡是胆敢反抗自己的人，即使是同伴也毫不留情地给予处刑。对于权力和地位随意滥用的谢尔兹镇海军上校。</v>
          </cell>
          <cell r="H8" t="str">
            <v>原海军总部上校，攻防兼备。\n斧头可击破敌人的护甲，降低敌方防御。\n对处于破甲状态的敌人，造成更多伤害。</v>
          </cell>
          <cell r="I8" t="str">
            <v>攻守平衡</v>
          </cell>
          <cell r="J8" t="str">
            <v>前排优先</v>
          </cell>
          <cell r="K8" t="str">
            <v>无</v>
          </cell>
          <cell r="L8" t="str">
            <v>166,165</v>
          </cell>
          <cell r="M8">
            <v>1</v>
          </cell>
          <cell r="N8">
            <v>1</v>
          </cell>
          <cell r="O8">
            <v>4</v>
          </cell>
          <cell r="P8">
            <v>4</v>
          </cell>
          <cell r="Q8">
            <v>2</v>
          </cell>
          <cell r="R8" t="str">
            <v>海军</v>
          </cell>
          <cell r="S8">
            <v>2</v>
          </cell>
          <cell r="T8">
            <v>6</v>
          </cell>
          <cell r="U8">
            <v>1</v>
          </cell>
        </row>
        <row r="9">
          <cell r="A9">
            <v>111003</v>
          </cell>
          <cell r="B9">
            <v>111003</v>
          </cell>
          <cell r="C9" t="str">
            <v>卡巴奇</v>
          </cell>
          <cell r="D9" t="str">
            <v>卡巴奇</v>
          </cell>
        </row>
        <row r="9">
          <cell r="F9">
            <v>0</v>
          </cell>
          <cell r="G9" t="str">
            <v>擅长利用陀螺等杂技出其不意地攻击对手并且能得心应手地使用剑术的杂技剑士。</v>
          </cell>
          <cell r="H9" t="str">
            <v>爱用独轮车的杂技剑士，擅长进攻。\n杂技可造成火焰伤害和灼烧效果。\n身形灵巧，杂技技能可提升速度和闪避。</v>
          </cell>
          <cell r="I9" t="str">
            <v>单点爆发</v>
          </cell>
          <cell r="J9" t="str">
            <v>前排优先</v>
          </cell>
          <cell r="K9" t="str">
            <v>无</v>
          </cell>
          <cell r="L9" t="str">
            <v>188,187</v>
          </cell>
          <cell r="M9">
            <v>1</v>
          </cell>
          <cell r="N9">
            <v>1</v>
          </cell>
          <cell r="O9">
            <v>5</v>
          </cell>
          <cell r="P9">
            <v>5</v>
          </cell>
          <cell r="Q9">
            <v>3</v>
          </cell>
          <cell r="R9" t="str">
            <v>巴基海盗团</v>
          </cell>
          <cell r="S9">
            <v>2</v>
          </cell>
          <cell r="T9">
            <v>6</v>
          </cell>
          <cell r="U9">
            <v>1</v>
          </cell>
        </row>
        <row r="10">
          <cell r="A10">
            <v>111004</v>
          </cell>
          <cell r="B10">
            <v>111004</v>
          </cell>
          <cell r="C10" t="str">
            <v>克洛</v>
          </cell>
          <cell r="D10" t="str">
            <v>克洛</v>
          </cell>
        </row>
        <row r="10">
          <cell r="F10">
            <v>0</v>
          </cell>
          <cell r="G10" t="str">
            <v>黑猫海盗团原船长，老谋深算的男人，做事谨慎！擅长用神速的“无声步”秒杀敌人！</v>
          </cell>
          <cell r="H10" t="str">
            <v>擅用诡计的黑猫海盗团原船长，擅长进攻。\n使目标流血，且对流血目标造成额外伤害。\n能够使用高速暗杀术，精通速度和闪避。</v>
          </cell>
          <cell r="I10" t="str">
            <v>单点爆发</v>
          </cell>
          <cell r="J10" t="str">
            <v>前排优先</v>
          </cell>
          <cell r="K10" t="str">
            <v>无</v>
          </cell>
          <cell r="L10" t="str">
            <v>168,169</v>
          </cell>
          <cell r="M10">
            <v>1</v>
          </cell>
          <cell r="N10">
            <v>1</v>
          </cell>
          <cell r="O10">
            <v>4</v>
          </cell>
          <cell r="P10">
            <v>4</v>
          </cell>
          <cell r="Q10">
            <v>3</v>
          </cell>
          <cell r="R10" t="str">
            <v>黑猫海盗团</v>
          </cell>
          <cell r="S10">
            <v>2</v>
          </cell>
          <cell r="T10">
            <v>6</v>
          </cell>
          <cell r="U10">
            <v>1</v>
          </cell>
        </row>
        <row r="11">
          <cell r="A11">
            <v>111005</v>
          </cell>
          <cell r="B11">
            <v>111005</v>
          </cell>
          <cell r="C11" t="str">
            <v>强高</v>
          </cell>
          <cell r="D11" t="str">
            <v>强高</v>
          </cell>
        </row>
        <row r="11">
          <cell r="F11">
            <v>0</v>
          </cell>
          <cell r="G11" t="str">
            <v>黑猫海盗团的现任船长，非常搞笑的催眠师！缺点是催眠时连他自己都会被催眠。</v>
          </cell>
          <cell r="H11" t="str">
            <v>非常搞笑的催眠师，擅长辅助。\n催眠敌方可使其无法行动，但被击即会醒来\n催眠友方可增加攻击，但同时会降低防御。</v>
          </cell>
          <cell r="I11" t="str">
            <v>团队控制</v>
          </cell>
          <cell r="J11" t="str">
            <v>前排优先</v>
          </cell>
          <cell r="K11" t="str">
            <v>无</v>
          </cell>
          <cell r="L11" t="str">
            <v>90,300048</v>
          </cell>
          <cell r="M11">
            <v>1</v>
          </cell>
          <cell r="N11">
            <v>1</v>
          </cell>
          <cell r="O11">
            <v>6</v>
          </cell>
          <cell r="P11">
            <v>6</v>
          </cell>
          <cell r="Q11">
            <v>3</v>
          </cell>
          <cell r="R11" t="str">
            <v>海军</v>
          </cell>
          <cell r="S11">
            <v>2</v>
          </cell>
          <cell r="T11">
            <v>6</v>
          </cell>
          <cell r="U11">
            <v>1</v>
          </cell>
        </row>
        <row r="12">
          <cell r="A12">
            <v>111006</v>
          </cell>
          <cell r="B12">
            <v>111006</v>
          </cell>
          <cell r="C12" t="str">
            <v>克里克</v>
          </cell>
          <cell r="D12" t="str">
            <v>克里克</v>
          </cell>
        </row>
        <row r="12">
          <cell r="F12">
            <v>0</v>
          </cell>
          <cell r="G12" t="str">
            <v>率领着5000名部下和50艘海盗船组成的“海盗舰队”，是克里克海盗团的首领。全身都藏着武器的“无敌男人”。为达到目的，不择手段，进行冷酷无情的掠夺行为。</v>
          </cell>
          <cell r="H12" t="str">
            <v>全身都藏着武器的“无敌男人”，擅长防守\n长枪技能可造成灼烧伤害和流血伤害。\n剑山斗篷可反弹近战伤害。</v>
          </cell>
          <cell r="I12" t="str">
            <v>攻守平衡</v>
          </cell>
          <cell r="J12" t="str">
            <v>前排优先</v>
          </cell>
          <cell r="K12" t="str">
            <v>无</v>
          </cell>
          <cell r="L12" t="str">
            <v>177,176</v>
          </cell>
          <cell r="M12">
            <v>1</v>
          </cell>
          <cell r="N12">
            <v>1</v>
          </cell>
          <cell r="O12">
            <v>6</v>
          </cell>
          <cell r="P12">
            <v>6</v>
          </cell>
          <cell r="Q12">
            <v>3</v>
          </cell>
          <cell r="R12" t="str">
            <v>克里克海盗团</v>
          </cell>
          <cell r="S12">
            <v>2</v>
          </cell>
          <cell r="T12">
            <v>6</v>
          </cell>
          <cell r="U12">
            <v>1</v>
          </cell>
        </row>
        <row r="13">
          <cell r="A13">
            <v>111007</v>
          </cell>
          <cell r="B13">
            <v>111007</v>
          </cell>
          <cell r="C13" t="str">
            <v>阿金</v>
          </cell>
          <cell r="D13" t="str">
            <v>阿金</v>
          </cell>
        </row>
        <row r="13">
          <cell r="F13">
            <v>0</v>
          </cell>
          <cell r="G13" t="str">
            <v>克里克海盗团战斗总队长，也是克里克的左右手。他在饿得濒死的时候被山智所救，后来心境发生了很大变化。</v>
          </cell>
          <cell r="H13" t="str">
            <v>人称“鬼人”的战斗队长，擅长进攻。\n技能附带破甲和眩晕效果，牵制单个敌人。\n技能附加暴击效果，伤害暴击。</v>
          </cell>
          <cell r="I13" t="str">
            <v>攻守平衡</v>
          </cell>
          <cell r="J13" t="str">
            <v>前排优先</v>
          </cell>
          <cell r="K13" t="str">
            <v>无</v>
          </cell>
          <cell r="L13" t="str">
            <v>181,180</v>
          </cell>
          <cell r="M13">
            <v>1</v>
          </cell>
          <cell r="N13">
            <v>1</v>
          </cell>
          <cell r="O13">
            <v>4</v>
          </cell>
          <cell r="P13">
            <v>4</v>
          </cell>
          <cell r="Q13">
            <v>3</v>
          </cell>
          <cell r="R13" t="str">
            <v>克里克海盗团</v>
          </cell>
          <cell r="S13">
            <v>2</v>
          </cell>
          <cell r="T13">
            <v>6</v>
          </cell>
          <cell r="U13">
            <v>1</v>
          </cell>
        </row>
        <row r="14">
          <cell r="A14">
            <v>111008</v>
          </cell>
          <cell r="B14">
            <v>111008</v>
          </cell>
          <cell r="C14" t="str">
            <v>帕鲁</v>
          </cell>
          <cell r="D14" t="str">
            <v>帕鲁</v>
          </cell>
        </row>
        <row r="14">
          <cell r="F14">
            <v>0</v>
          </cell>
          <cell r="G14" t="str">
            <v>克里克海盗团第二部队队长，号称在战斗中从不受伤，全身装备的盾牌具有攻守兼备的效果，但只要受了小伤，看到自己流血，就有点火的坏毛病。</v>
          </cell>
          <cell r="H14" t="str">
            <v>人称“铁壁帕鲁”，擅长防御。\n抵抗击退效果和火焰伤害。\n血量较低时，防御力大幅提升。</v>
          </cell>
          <cell r="I14" t="str">
            <v>防御壁垒</v>
          </cell>
          <cell r="J14" t="str">
            <v>前排优先</v>
          </cell>
          <cell r="K14" t="str">
            <v>无</v>
          </cell>
          <cell r="L14" t="str">
            <v>298,297</v>
          </cell>
          <cell r="M14">
            <v>1</v>
          </cell>
          <cell r="N14">
            <v>1</v>
          </cell>
          <cell r="O14">
            <v>4</v>
          </cell>
          <cell r="P14">
            <v>4</v>
          </cell>
          <cell r="Q14">
            <v>3</v>
          </cell>
          <cell r="R14" t="str">
            <v>克里克海盗团</v>
          </cell>
          <cell r="S14">
            <v>2</v>
          </cell>
          <cell r="T14">
            <v>6</v>
          </cell>
          <cell r="U14">
            <v>1</v>
          </cell>
        </row>
        <row r="15">
          <cell r="A15">
            <v>111009</v>
          </cell>
          <cell r="B15">
            <v>111009</v>
          </cell>
          <cell r="C15" t="str">
            <v>阿龙</v>
          </cell>
          <cell r="D15" t="str">
            <v>阿龙</v>
          </cell>
        </row>
        <row r="15">
          <cell r="F15">
            <v>0</v>
          </cell>
          <cell r="G15" t="str">
            <v>把人类当作下等的生物，企图支配“东海”的鱼人船长，只把人类看作道具。</v>
          </cell>
          <cell r="H15" t="str">
            <v>企图支配东海的鱼人船长，擅长进攻。\n对破甲的敌人造成更多伤害。\n低血量时攻击大幅提升，但防御降低。</v>
          </cell>
          <cell r="I15" t="str">
            <v>攻守平衡</v>
          </cell>
          <cell r="J15" t="str">
            <v>前排优先</v>
          </cell>
          <cell r="K15" t="str">
            <v>无</v>
          </cell>
          <cell r="L15" t="str">
            <v>173,172</v>
          </cell>
          <cell r="M15">
            <v>1</v>
          </cell>
          <cell r="N15">
            <v>1</v>
          </cell>
          <cell r="O15">
            <v>4</v>
          </cell>
          <cell r="P15">
            <v>4</v>
          </cell>
          <cell r="Q15">
            <v>3</v>
          </cell>
          <cell r="R15" t="str">
            <v>阿龙一伙</v>
          </cell>
          <cell r="S15">
            <v>2</v>
          </cell>
          <cell r="T15">
            <v>6</v>
          </cell>
          <cell r="U15">
            <v>1</v>
          </cell>
        </row>
        <row r="16">
          <cell r="A16">
            <v>111010</v>
          </cell>
          <cell r="B16">
            <v>111010</v>
          </cell>
          <cell r="C16" t="str">
            <v>小八</v>
          </cell>
          <cell r="D16" t="str">
            <v>小八</v>
          </cell>
        </row>
        <row r="16">
          <cell r="F16">
            <v>0</v>
          </cell>
          <cell r="G16" t="str">
            <v>使用“六刀流”的章鱼鱼人，虽然是海盗，但性格非常和善，让人讨厌不起来。</v>
          </cell>
          <cell r="H16" t="str">
            <v>熟练使用六刀流的章鱼鱼人，擅长防御。\n技能可提升自身防御。\n血量较低时，闪避率大幅提升。</v>
          </cell>
          <cell r="I16" t="str">
            <v>攻守平衡</v>
          </cell>
          <cell r="J16" t="str">
            <v>前排优先</v>
          </cell>
          <cell r="K16" t="str">
            <v>无</v>
          </cell>
          <cell r="L16" t="str">
            <v>223,222</v>
          </cell>
          <cell r="M16">
            <v>1</v>
          </cell>
          <cell r="N16">
            <v>1</v>
          </cell>
          <cell r="O16">
            <v>5</v>
          </cell>
          <cell r="P16">
            <v>5</v>
          </cell>
          <cell r="Q16">
            <v>3</v>
          </cell>
          <cell r="R16" t="str">
            <v>阿龙一伙</v>
          </cell>
          <cell r="S16">
            <v>2</v>
          </cell>
          <cell r="T16">
            <v>6</v>
          </cell>
          <cell r="U16">
            <v>1</v>
          </cell>
        </row>
        <row r="17">
          <cell r="A17">
            <v>111011</v>
          </cell>
          <cell r="B17">
            <v>111011</v>
          </cell>
          <cell r="C17" t="str">
            <v>薇薇</v>
          </cell>
          <cell r="D17" t="str">
            <v>薇薇</v>
          </cell>
        </row>
        <row r="17">
          <cell r="F17">
            <v>1</v>
          </cell>
          <cell r="G17" t="str">
            <v>阿鲁巴拿的公主，为了保护自己的国家，潜入巴洛克工作社内部。以Ms.星期三的身份探查危害国家的情况。</v>
          </cell>
          <cell r="H17" t="str">
            <v>阿拉巴斯坦的公主，擅长辅助。\n技能附带减速效果，可削弱敌方行动速度。\n技能附带封印效果，可禁用敌方奥义技。</v>
          </cell>
          <cell r="I17" t="str">
            <v>团队辅助</v>
          </cell>
          <cell r="J17" t="str">
            <v>前排优先</v>
          </cell>
          <cell r="K17" t="str">
            <v>无</v>
          </cell>
          <cell r="L17" t="str">
            <v>318,319</v>
          </cell>
          <cell r="M17">
            <v>1</v>
          </cell>
          <cell r="N17">
            <v>1</v>
          </cell>
          <cell r="O17">
            <v>6</v>
          </cell>
          <cell r="P17">
            <v>6</v>
          </cell>
          <cell r="Q17">
            <v>8</v>
          </cell>
          <cell r="R17" t="str">
            <v>巴洛克工作室</v>
          </cell>
          <cell r="S17">
            <v>2</v>
          </cell>
          <cell r="T17">
            <v>6</v>
          </cell>
          <cell r="U17">
            <v>1</v>
          </cell>
        </row>
        <row r="18">
          <cell r="A18">
            <v>111012</v>
          </cell>
          <cell r="B18">
            <v>111012</v>
          </cell>
          <cell r="C18" t="str">
            <v>Mr.5</v>
          </cell>
          <cell r="D18" t="str">
            <v>Mr.5</v>
          </cell>
        </row>
        <row r="18">
          <cell r="F18">
            <v>0</v>
          </cell>
          <cell r="G18" t="str">
            <v>巴洛克工作社的高级指挥，炸弹之果的能力者，喜欢挖鼻孔。他在执行任务的过程中沉着冷静，对自己有极大的自信。</v>
          </cell>
          <cell r="H18" t="str">
            <v>冷酷执行任务的炸弹男，擅长属性伤害。\n技能附带火属性伤害和灼烧效果。\n炸弹之果天赋提升火属性伤害。</v>
          </cell>
          <cell r="I18" t="str">
            <v>持续输出</v>
          </cell>
          <cell r="J18" t="str">
            <v>前排优先</v>
          </cell>
          <cell r="K18" t="str">
            <v>炸弹之果</v>
          </cell>
          <cell r="L18" t="str">
            <v>228,229</v>
          </cell>
          <cell r="M18">
            <v>1</v>
          </cell>
          <cell r="N18">
            <v>1</v>
          </cell>
          <cell r="O18">
            <v>3</v>
          </cell>
          <cell r="P18">
            <v>3</v>
          </cell>
          <cell r="Q18">
            <v>5</v>
          </cell>
          <cell r="R18" t="str">
            <v>巴洛克工作室</v>
          </cell>
          <cell r="S18">
            <v>2</v>
          </cell>
          <cell r="T18">
            <v>6</v>
          </cell>
          <cell r="U18">
            <v>1</v>
          </cell>
        </row>
        <row r="19">
          <cell r="A19">
            <v>111013</v>
          </cell>
          <cell r="B19">
            <v>111013</v>
          </cell>
          <cell r="C19" t="str">
            <v>瓦波尔</v>
          </cell>
          <cell r="D19" t="str">
            <v>瓦波尔</v>
          </cell>
        </row>
        <row r="19">
          <cell r="F19">
            <v>0</v>
          </cell>
          <cell r="G19" t="str">
            <v>贪生怕死、舍弃国家的铁桶王国国王。后假扮海盗，企图复辟王权。是狼吞虎咽之果的能力者，什么都能吃下去。</v>
          </cell>
          <cell r="H19" t="str">
            <v>舍弃国家的铁桶王国国王，擅长防御。\n技能附带减伤效果，可减少受到的伤害。\n拥有自我治疗能力，且免疫1次致死伤害。</v>
          </cell>
          <cell r="I19" t="str">
            <v>防御壁垒</v>
          </cell>
          <cell r="J19" t="str">
            <v>前排优先</v>
          </cell>
          <cell r="K19" t="str">
            <v>吞吞之果</v>
          </cell>
          <cell r="L19" t="str">
            <v>233,234</v>
          </cell>
          <cell r="M19">
            <v>1</v>
          </cell>
          <cell r="N19">
            <v>1</v>
          </cell>
          <cell r="O19">
            <v>3</v>
          </cell>
          <cell r="P19">
            <v>3</v>
          </cell>
          <cell r="Q19">
            <v>3</v>
          </cell>
          <cell r="R19" t="str">
            <v>白铁海盗团</v>
          </cell>
          <cell r="S19">
            <v>2</v>
          </cell>
          <cell r="T19">
            <v>6</v>
          </cell>
          <cell r="U19">
            <v>1</v>
          </cell>
        </row>
        <row r="20">
          <cell r="A20">
            <v>111014</v>
          </cell>
          <cell r="B20">
            <v>111014</v>
          </cell>
          <cell r="C20" t="str">
            <v>Mr.4</v>
          </cell>
          <cell r="D20" t="str">
            <v>Mr.4</v>
          </cell>
        </row>
        <row r="20">
          <cell r="F20">
            <v>0</v>
          </cell>
          <cell r="G20" t="str">
            <v>巴洛克工作社的高级指挥，拥有强大的力量，与自己宠物合作可以形成巨大的破坏力。</v>
          </cell>
          <cell r="H20" t="str">
            <v>动作迟缓但威力无限，擅长进攻。\n技能附带击飞效果，可打破敌方阵型。\n拥有全力打击天赋，伤害提升但速度下降。</v>
          </cell>
          <cell r="I20" t="str">
            <v>单点爆发</v>
          </cell>
          <cell r="J20" t="str">
            <v>前排优先</v>
          </cell>
          <cell r="K20" t="str">
            <v>无</v>
          </cell>
          <cell r="L20" t="str">
            <v>226,225</v>
          </cell>
          <cell r="M20">
            <v>1</v>
          </cell>
          <cell r="N20">
            <v>1</v>
          </cell>
          <cell r="O20">
            <v>6</v>
          </cell>
          <cell r="P20">
            <v>6</v>
          </cell>
          <cell r="Q20">
            <v>5</v>
          </cell>
          <cell r="R20" t="str">
            <v>巴洛克工作室</v>
          </cell>
          <cell r="S20">
            <v>2</v>
          </cell>
          <cell r="T20">
            <v>6</v>
          </cell>
          <cell r="U20">
            <v>1</v>
          </cell>
        </row>
        <row r="21">
          <cell r="A21">
            <v>111015</v>
          </cell>
          <cell r="B21">
            <v>111015</v>
          </cell>
          <cell r="C21" t="str">
            <v>Ms.黄金周</v>
          </cell>
          <cell r="D21" t="str">
            <v>Miss.黄金周</v>
          </cell>
        </row>
        <row r="21">
          <cell r="F21">
            <v>1</v>
          </cell>
          <cell r="G21" t="str">
            <v>巴洛克工作社高级指挥Mr.3的搭档，是个喜欢喝茶的小姑娘画家，可以通过画板的颜料控制他人的感情。</v>
          </cell>
          <cell r="H21" t="str">
            <v>擅长使用彩色颜料的写实画家，擅长辅助。\n技能附带驱散效果，消除敌方的增益状态。\n拥有情绪控制天赋，增加友方怒气获得量。</v>
          </cell>
          <cell r="I21" t="str">
            <v>团队辅助</v>
          </cell>
          <cell r="J21" t="str">
            <v>前排优先</v>
          </cell>
          <cell r="K21" t="str">
            <v>无</v>
          </cell>
          <cell r="L21" t="str">
            <v>236,237</v>
          </cell>
          <cell r="M21">
            <v>1</v>
          </cell>
          <cell r="N21">
            <v>1</v>
          </cell>
          <cell r="O21">
            <v>6</v>
          </cell>
          <cell r="P21">
            <v>6</v>
          </cell>
          <cell r="Q21">
            <v>5</v>
          </cell>
          <cell r="R21" t="str">
            <v>巴洛克工作室</v>
          </cell>
          <cell r="S21">
            <v>2</v>
          </cell>
          <cell r="T21">
            <v>6</v>
          </cell>
          <cell r="U21">
            <v>1</v>
          </cell>
        </row>
        <row r="22">
          <cell r="A22">
            <v>111016</v>
          </cell>
          <cell r="B22">
            <v>111016</v>
          </cell>
          <cell r="C22" t="str">
            <v>猫头鹰</v>
          </cell>
          <cell r="D22" t="str">
            <v>猫头鹰</v>
          </cell>
        </row>
        <row r="22">
          <cell r="F22">
            <v>0</v>
          </cell>
          <cell r="G22" t="str">
            <v>非常讲义气的赏金猎人，佐罗的小弟。教会了路飞鼻孔舞。</v>
          </cell>
        </row>
        <row r="22">
          <cell r="I22">
            <v>0</v>
          </cell>
          <cell r="J22">
            <v>0</v>
          </cell>
          <cell r="K22">
            <v>0</v>
          </cell>
        </row>
        <row r="22">
          <cell r="M22">
            <v>0</v>
          </cell>
          <cell r="N22">
            <v>1</v>
          </cell>
          <cell r="O22">
            <v>4</v>
          </cell>
          <cell r="P22">
            <v>4</v>
          </cell>
          <cell r="Q22">
            <v>4</v>
          </cell>
          <cell r="R22" t="str">
            <v>世界政府</v>
          </cell>
          <cell r="S22">
            <v>2</v>
          </cell>
          <cell r="T22">
            <v>6</v>
          </cell>
          <cell r="U22">
            <v>1</v>
          </cell>
        </row>
        <row r="23">
          <cell r="A23">
            <v>111017</v>
          </cell>
          <cell r="B23">
            <v>111017</v>
          </cell>
          <cell r="C23" t="str">
            <v>脸谱</v>
          </cell>
          <cell r="D23" t="str">
            <v>脸谱</v>
          </cell>
        </row>
        <row r="23">
          <cell r="F23">
            <v>0</v>
          </cell>
          <cell r="G23" t="str">
            <v>CP9成员，喜欢表演切腹自杀，口头禅是“哟哟咿”。拥有六式非常独特的“生命归还”技能。</v>
          </cell>
        </row>
        <row r="23">
          <cell r="I23">
            <v>0</v>
          </cell>
          <cell r="J23">
            <v>0</v>
          </cell>
          <cell r="K23">
            <v>0</v>
          </cell>
        </row>
        <row r="23">
          <cell r="M23">
            <v>0</v>
          </cell>
          <cell r="N23">
            <v>1</v>
          </cell>
          <cell r="O23">
            <v>4</v>
          </cell>
          <cell r="P23">
            <v>4</v>
          </cell>
          <cell r="Q23">
            <v>4</v>
          </cell>
          <cell r="R23" t="str">
            <v>世界政府</v>
          </cell>
          <cell r="S23">
            <v>2</v>
          </cell>
          <cell r="T23">
            <v>6</v>
          </cell>
          <cell r="U23">
            <v>1</v>
          </cell>
        </row>
        <row r="24">
          <cell r="A24">
            <v>111018</v>
          </cell>
          <cell r="B24">
            <v>111018</v>
          </cell>
          <cell r="C24" t="str">
            <v>约撒</v>
          </cell>
          <cell r="D24" t="str">
            <v>约撒</v>
          </cell>
        </row>
        <row r="24">
          <cell r="F24">
            <v>0</v>
          </cell>
          <cell r="G24" t="str">
            <v>非常讲义气的赏金猎人，佐罗的小弟。教会了路飞鼻孔舞。</v>
          </cell>
          <cell r="H24" t="str">
            <v>讲义气重人情的好搭档，擅长进攻。\n技能附带封技效果，可禁用敌人普通技能。\n技能提升自身速度和攻击，增加伤害输出。</v>
          </cell>
          <cell r="I24" t="str">
            <v>攻守平衡</v>
          </cell>
          <cell r="J24" t="str">
            <v>前排优先</v>
          </cell>
          <cell r="K24" t="str">
            <v>无</v>
          </cell>
          <cell r="L24" t="str">
            <v>375,376</v>
          </cell>
          <cell r="M24">
            <v>1</v>
          </cell>
          <cell r="N24">
            <v>1</v>
          </cell>
          <cell r="O24">
            <v>5</v>
          </cell>
          <cell r="P24">
            <v>5</v>
          </cell>
          <cell r="Q24">
            <v>8</v>
          </cell>
          <cell r="R24" t="str">
            <v>赏金猎人</v>
          </cell>
          <cell r="S24">
            <v>2</v>
          </cell>
          <cell r="T24">
            <v>6</v>
          </cell>
          <cell r="U24">
            <v>1</v>
          </cell>
        </row>
        <row r="25">
          <cell r="A25">
            <v>112001</v>
          </cell>
          <cell r="B25">
            <v>112001</v>
          </cell>
          <cell r="C25" t="str">
            <v>路飞</v>
          </cell>
          <cell r="D25" t="str">
            <v>路飞</v>
          </cell>
        </row>
        <row r="25">
          <cell r="F25">
            <v>0</v>
          </cell>
          <cell r="G25" t="str">
            <v>橡皮之果能力者，拥有众多招式。杰克斯托付给他的帽子就是他的宝贝。现在是草帽一伙的船长。</v>
          </cell>
          <cell r="H25" t="str">
            <v>力量强悍的能力者，攻防兼备。\n拥有橡皮之果能力，反弹伤害，抵抗雷电。\n对单个目标伤害极高，可打破敌方阵型。</v>
          </cell>
          <cell r="I25" t="str">
            <v>攻守平衡</v>
          </cell>
          <cell r="J25" t="str">
            <v>前排优先</v>
          </cell>
          <cell r="K25" t="str">
            <v>橡皮之果</v>
          </cell>
          <cell r="L25" t="str">
            <v>5,3</v>
          </cell>
          <cell r="M25">
            <v>1</v>
          </cell>
          <cell r="N25">
            <v>1</v>
          </cell>
          <cell r="O25">
            <v>3</v>
          </cell>
          <cell r="P25">
            <v>3</v>
          </cell>
          <cell r="Q25">
            <v>1</v>
          </cell>
          <cell r="R25" t="str">
            <v>草帽海盗团</v>
          </cell>
          <cell r="S25">
            <v>3</v>
          </cell>
          <cell r="T25">
            <v>7</v>
          </cell>
          <cell r="U25">
            <v>2</v>
          </cell>
        </row>
        <row r="26">
          <cell r="A26">
            <v>112002</v>
          </cell>
          <cell r="B26">
            <v>112002</v>
          </cell>
          <cell r="C26" t="str">
            <v>佐罗</v>
          </cell>
          <cell r="D26" t="str">
            <v>佐罗</v>
          </cell>
        </row>
        <row r="26">
          <cell r="F26">
            <v>0</v>
          </cell>
          <cell r="G26" t="str">
            <v>想要成为世界第一剑客的三刀流剑士，曾被人们称为“海盗猎人”。但被路飞的梦想和决心所感动，成为了他的第一个伙伴。</v>
          </cell>
          <cell r="H26" t="str">
            <v>伤害超高的剑客，擅长进攻。\n不是胜利就是死亡！低血量时伤害骤增。\n嗜血斩杀，附加流血伤害，一击致命。</v>
          </cell>
          <cell r="I26" t="str">
            <v>单点爆发</v>
          </cell>
          <cell r="J26" t="str">
            <v>前排优先</v>
          </cell>
          <cell r="K26" t="str">
            <v>无</v>
          </cell>
          <cell r="L26" t="str">
            <v>28,25</v>
          </cell>
          <cell r="M26">
            <v>1</v>
          </cell>
          <cell r="N26">
            <v>1</v>
          </cell>
          <cell r="O26">
            <v>5</v>
          </cell>
          <cell r="P26">
            <v>5</v>
          </cell>
          <cell r="Q26">
            <v>1</v>
          </cell>
          <cell r="R26" t="str">
            <v>草帽海盗团</v>
          </cell>
          <cell r="S26">
            <v>3</v>
          </cell>
          <cell r="T26">
            <v>7</v>
          </cell>
          <cell r="U26">
            <v>2</v>
          </cell>
        </row>
        <row r="27">
          <cell r="A27">
            <v>112003</v>
          </cell>
          <cell r="B27">
            <v>112003</v>
          </cell>
          <cell r="C27" t="str">
            <v>奈美</v>
          </cell>
          <cell r="D27" t="str">
            <v>奈美</v>
          </cell>
        </row>
        <row r="27">
          <cell r="F27">
            <v>1</v>
          </cell>
          <cell r="G27" t="str">
            <v>草帽一伙的天才导航员。在交涉事务方面，无人可与她匹敌。最喜欢金钱。</v>
          </cell>
          <cell r="H27" t="str">
            <v>掌控全场的航海士，擅长属性伤害。\n操控战场气候，削弱敌方能力。\n行动迅速，闪避天赋，精通雷电操控。</v>
          </cell>
          <cell r="I27" t="str">
            <v>团队控制</v>
          </cell>
          <cell r="J27" t="str">
            <v>前排优先</v>
          </cell>
          <cell r="K27" t="str">
            <v>无</v>
          </cell>
          <cell r="L27" t="str">
            <v>67,70</v>
          </cell>
          <cell r="M27">
            <v>1</v>
          </cell>
          <cell r="N27">
            <v>1</v>
          </cell>
          <cell r="O27">
            <v>6</v>
          </cell>
          <cell r="P27">
            <v>6</v>
          </cell>
          <cell r="Q27">
            <v>1</v>
          </cell>
          <cell r="R27" t="str">
            <v>草帽海盗团</v>
          </cell>
          <cell r="S27">
            <v>3</v>
          </cell>
          <cell r="T27">
            <v>7</v>
          </cell>
          <cell r="U27">
            <v>2</v>
          </cell>
        </row>
        <row r="28">
          <cell r="A28">
            <v>112004</v>
          </cell>
          <cell r="B28">
            <v>112004</v>
          </cell>
          <cell r="C28" t="str">
            <v>撒谎布</v>
          </cell>
          <cell r="D28" t="str">
            <v>撒谎布</v>
          </cell>
        </row>
        <row r="28">
          <cell r="F28">
            <v>0</v>
          </cell>
          <cell r="G28" t="str">
            <v>撒谎的本领无人能比，草帽一伙的狙击手。理想是成为“光荣的海上战士”！</v>
          </cell>
          <cell r="H28" t="str">
            <v>百发百中的神射手，擅长进攻。\n射出附带特殊效果的弹药，削弱敌方能力。\n精准射击，必杀暴击，人称破坏之王。</v>
          </cell>
          <cell r="I28" t="str">
            <v>单体控制</v>
          </cell>
          <cell r="J28" t="str">
            <v>后排优先</v>
          </cell>
          <cell r="K28" t="str">
            <v>无</v>
          </cell>
          <cell r="L28" t="str">
            <v>62,56</v>
          </cell>
          <cell r="M28">
            <v>1</v>
          </cell>
          <cell r="N28">
            <v>1</v>
          </cell>
          <cell r="O28">
            <v>6</v>
          </cell>
          <cell r="P28">
            <v>6</v>
          </cell>
          <cell r="Q28">
            <v>1</v>
          </cell>
          <cell r="R28" t="str">
            <v>草帽海盗团</v>
          </cell>
          <cell r="S28">
            <v>3</v>
          </cell>
          <cell r="T28">
            <v>7</v>
          </cell>
          <cell r="U28">
            <v>2</v>
          </cell>
        </row>
        <row r="29">
          <cell r="A29">
            <v>112005</v>
          </cell>
          <cell r="B29">
            <v>112005</v>
          </cell>
          <cell r="C29" t="str">
            <v>山智</v>
          </cell>
          <cell r="D29" t="str">
            <v>山智</v>
          </cell>
        </row>
        <row r="29">
          <cell r="F29">
            <v>0</v>
          </cell>
          <cell r="G29" t="str">
            <v>是个海上厨师，本是海上餐厅的副厨师长，后来加入草帽一伙。目标是传说中的“蓝海”。面对美女就表现的无可救药。</v>
          </cell>
          <cell r="H29" t="str">
            <v>愈战愈勇的踢技达人，擅长进攻。\n连续踢技，伤害持续提升。\n技能附带压制效果，牵制单个敌人。</v>
          </cell>
          <cell r="I29" t="str">
            <v>极限输出</v>
          </cell>
          <cell r="J29" t="str">
            <v>对位优先</v>
          </cell>
          <cell r="K29" t="str">
            <v>无</v>
          </cell>
          <cell r="L29" t="str">
            <v>51,49</v>
          </cell>
          <cell r="M29">
            <v>1</v>
          </cell>
          <cell r="N29">
            <v>1</v>
          </cell>
          <cell r="O29">
            <v>4</v>
          </cell>
          <cell r="P29">
            <v>4</v>
          </cell>
          <cell r="Q29">
            <v>1</v>
          </cell>
          <cell r="R29" t="str">
            <v>草帽海盗团</v>
          </cell>
          <cell r="S29">
            <v>3</v>
          </cell>
          <cell r="T29">
            <v>7</v>
          </cell>
          <cell r="U29">
            <v>2</v>
          </cell>
        </row>
        <row r="30">
          <cell r="A30">
            <v>112006</v>
          </cell>
          <cell r="B30">
            <v>112006</v>
          </cell>
          <cell r="C30" t="str">
            <v>乔巴</v>
          </cell>
          <cell r="D30" t="str">
            <v>乔巴</v>
          </cell>
        </row>
        <row r="30">
          <cell r="F30">
            <v>0</v>
          </cell>
          <cell r="G30" t="str">
            <v>吃了人人之果的蓝鼻子驯鹿，曾经被鹿群和人类当做怪物。在与西尔尔克相遇后，决心成为医生。现在是草帽一伙的船医。</v>
          </cell>
          <cell r="H30" t="str">
            <v>草帽海盗团的船医，擅长治疗。\n可解除友方的负面效果，提供增益效果。\n发动奥义可切换至战斗形态，输出伤害。</v>
          </cell>
          <cell r="I30" t="str">
            <v>医疗辅助</v>
          </cell>
          <cell r="J30" t="str">
            <v>己方优先</v>
          </cell>
          <cell r="K30" t="str">
            <v>人人之果</v>
          </cell>
          <cell r="L30" t="str">
            <v>83,85</v>
          </cell>
          <cell r="M30">
            <v>1</v>
          </cell>
          <cell r="N30">
            <v>1</v>
          </cell>
          <cell r="O30">
            <v>1</v>
          </cell>
          <cell r="P30">
            <v>1</v>
          </cell>
          <cell r="Q30">
            <v>1</v>
          </cell>
          <cell r="R30" t="str">
            <v>草帽海盗团</v>
          </cell>
          <cell r="S30">
            <v>3</v>
          </cell>
          <cell r="T30">
            <v>7</v>
          </cell>
          <cell r="U30">
            <v>2</v>
          </cell>
        </row>
        <row r="31">
          <cell r="A31">
            <v>112007</v>
          </cell>
          <cell r="B31">
            <v>112007</v>
          </cell>
          <cell r="C31" t="str">
            <v>罗宾</v>
          </cell>
          <cell r="D31" t="str">
            <v>罗宾</v>
          </cell>
        </row>
        <row r="31">
          <cell r="F31">
            <v>1</v>
          </cell>
          <cell r="G31" t="str">
            <v>不断寻求世界真相的考古学家！是花花之果的能力者，阿鲁巴拿战役后加入了草帽海盗团。</v>
          </cell>
          <cell r="H31" t="str">
            <v>探索历史的能力者，擅长偷袭。\n可以给敌方带来多种负面效果。\n扰乱敌方后排，控制敌方，帮助队友输出。</v>
          </cell>
          <cell r="I31" t="str">
            <v>功能辅助</v>
          </cell>
          <cell r="J31" t="str">
            <v>后排优先</v>
          </cell>
          <cell r="K31" t="str">
            <v>花花之果</v>
          </cell>
          <cell r="L31" t="str">
            <v>328,324</v>
          </cell>
          <cell r="M31">
            <v>1</v>
          </cell>
          <cell r="N31">
            <v>1</v>
          </cell>
          <cell r="O31">
            <v>3</v>
          </cell>
          <cell r="P31">
            <v>3</v>
          </cell>
          <cell r="Q31">
            <v>1</v>
          </cell>
          <cell r="R31" t="str">
            <v>草帽海盗团</v>
          </cell>
          <cell r="S31">
            <v>3</v>
          </cell>
          <cell r="T31">
            <v>7</v>
          </cell>
          <cell r="U31">
            <v>2</v>
          </cell>
        </row>
        <row r="32">
          <cell r="A32">
            <v>112008</v>
          </cell>
          <cell r="B32">
            <v>112008</v>
          </cell>
          <cell r="C32" t="str">
            <v>弗兰奇</v>
          </cell>
          <cell r="D32" t="str">
            <v>弗兰奇</v>
          </cell>
        </row>
        <row r="32">
          <cell r="F32">
            <v>0</v>
          </cell>
          <cell r="G32" t="str">
            <v>草帽海盗团钢铁船匠，拥有传说中的造船技术。性格豪放，心地坦荡，而且全身上下都经过了改造！</v>
          </cell>
          <cell r="H32" t="str">
            <v>渴望到达世界尽头的钢铁船匠，擅长防御。\n拥有多种被动防御技，拥有自我修复天赋。\n拥有嘲讽技能，可以吸引敌人的火力。</v>
          </cell>
          <cell r="I32" t="str">
            <v>防御壁垒</v>
          </cell>
          <cell r="J32" t="str">
            <v>前排优先</v>
          </cell>
          <cell r="K32" t="str">
            <v>无</v>
          </cell>
          <cell r="L32" t="str">
            <v>77,78</v>
          </cell>
          <cell r="M32">
            <v>1</v>
          </cell>
          <cell r="N32">
            <v>1</v>
          </cell>
          <cell r="O32">
            <v>6</v>
          </cell>
          <cell r="P32">
            <v>6</v>
          </cell>
          <cell r="Q32">
            <v>1</v>
          </cell>
          <cell r="R32" t="str">
            <v>草帽海盗团</v>
          </cell>
          <cell r="S32">
            <v>3</v>
          </cell>
          <cell r="T32">
            <v>7</v>
          </cell>
          <cell r="U32">
            <v>2</v>
          </cell>
        </row>
        <row r="33">
          <cell r="A33">
            <v>112009</v>
          </cell>
          <cell r="B33">
            <v>112009</v>
          </cell>
          <cell r="C33" t="str">
            <v>布鲁克</v>
          </cell>
          <cell r="D33" t="str">
            <v>布鲁克</v>
          </cell>
        </row>
        <row r="33">
          <cell r="F33">
            <v>0</v>
          </cell>
          <cell r="G33" t="str">
            <v>在黄泉之果的能力下，肉体化为白骨后又再次复活的骷髅人。除担任草帽一伙的音乐家外，还积极参加战斗。</v>
          </cell>
          <cell r="H33" t="str">
            <v>快乐作战的音乐家，擅长进攻。\n拥有黄泉之果的能力，阵亡后有概率复活。\n每回合会随机演奏乐曲，提供全体增益效果。</v>
          </cell>
          <cell r="I33" t="str">
            <v>单点爆发</v>
          </cell>
          <cell r="J33" t="str">
            <v>对位优先</v>
          </cell>
          <cell r="K33" t="str">
            <v>黄泉之果</v>
          </cell>
          <cell r="L33" t="str">
            <v>106,100</v>
          </cell>
          <cell r="M33">
            <v>1</v>
          </cell>
          <cell r="N33">
            <v>1</v>
          </cell>
          <cell r="O33">
            <v>3</v>
          </cell>
          <cell r="P33">
            <v>3</v>
          </cell>
          <cell r="Q33">
            <v>1</v>
          </cell>
          <cell r="R33" t="str">
            <v>草帽海盗团</v>
          </cell>
          <cell r="S33">
            <v>3</v>
          </cell>
          <cell r="T33">
            <v>7</v>
          </cell>
          <cell r="U33">
            <v>2</v>
          </cell>
        </row>
        <row r="34">
          <cell r="A34">
            <v>112010</v>
          </cell>
          <cell r="B34">
            <v>112010</v>
          </cell>
          <cell r="C34" t="str">
            <v>巴奇</v>
          </cell>
          <cell r="D34" t="str">
            <v>巴奇</v>
          </cell>
        </row>
        <row r="34">
          <cell r="F34">
            <v>0</v>
          </cell>
          <cell r="G34" t="str">
            <v>巴奇年轻的时候，和杰克斯曾呆在同一艘船上。看上去像马戏团一样的巴奇海盗团的船长，还是四分五裂之果的能力者。</v>
          </cell>
          <cell r="H34" t="str">
            <v>拥有群体伤害的能力者，擅长进攻。\n华丽炮击，附带火焰伤害和灼烧效果。\n技能附带压制效果，牵制单个敌人。</v>
          </cell>
          <cell r="I34" t="str">
            <v>持续输出</v>
          </cell>
          <cell r="J34" t="str">
            <v>前排优先</v>
          </cell>
          <cell r="K34" t="str">
            <v>四分五裂之果</v>
          </cell>
          <cell r="L34" t="str">
            <v>98,95</v>
          </cell>
          <cell r="M34">
            <v>1</v>
          </cell>
          <cell r="N34">
            <v>1</v>
          </cell>
          <cell r="O34">
            <v>3</v>
          </cell>
          <cell r="P34">
            <v>3</v>
          </cell>
          <cell r="Q34">
            <v>3</v>
          </cell>
          <cell r="R34" t="str">
            <v>巴基海盗团</v>
          </cell>
          <cell r="S34">
            <v>3</v>
          </cell>
          <cell r="T34">
            <v>7</v>
          </cell>
          <cell r="U34">
            <v>2</v>
          </cell>
        </row>
        <row r="35">
          <cell r="A35">
            <v>112011</v>
          </cell>
          <cell r="B35">
            <v>112011</v>
          </cell>
          <cell r="C35" t="str">
            <v>烟鬼</v>
          </cell>
          <cell r="D35" t="str">
            <v>烟鬼</v>
          </cell>
        </row>
        <row r="35">
          <cell r="F35">
            <v>0</v>
          </cell>
          <cell r="G35" t="str">
            <v>对于自己逮捕海盗的能力有着绝对自信的海军总部上校，也是全身都能化为烟雾的冒烟之果能力者。路飞曾从其手中逃过一劫，至今他一直在追捕路飞。</v>
          </cell>
          <cell r="H35" t="str">
            <v>海军总部准将，攻防兼备。\n执行正义的能力者，对海盗伤害提高。\n防御力强悍，抵抗非属性伤害。</v>
          </cell>
          <cell r="I35" t="str">
            <v>攻守平衡</v>
          </cell>
          <cell r="J35" t="str">
            <v>前排优先</v>
          </cell>
          <cell r="K35" t="str">
            <v>烟雾之果</v>
          </cell>
          <cell r="L35" t="str">
            <v>115,113</v>
          </cell>
          <cell r="M35">
            <v>1</v>
          </cell>
          <cell r="N35">
            <v>1</v>
          </cell>
          <cell r="O35">
            <v>2</v>
          </cell>
          <cell r="P35">
            <v>2</v>
          </cell>
          <cell r="Q35">
            <v>2</v>
          </cell>
          <cell r="R35" t="str">
            <v>海军</v>
          </cell>
          <cell r="S35">
            <v>3</v>
          </cell>
          <cell r="T35">
            <v>7</v>
          </cell>
          <cell r="U35">
            <v>2</v>
          </cell>
        </row>
        <row r="36">
          <cell r="A36">
            <v>112012</v>
          </cell>
          <cell r="B36">
            <v>112012</v>
          </cell>
          <cell r="C36" t="str">
            <v>塔希米</v>
          </cell>
          <cell r="D36" t="str">
            <v>塔希米</v>
          </cell>
        </row>
        <row r="36">
          <cell r="F36">
            <v>1</v>
          </cell>
          <cell r="G36" t="str">
            <v>将正义托付在自己刀剑上的海军剑士。剑术本领一流，但是因视力不好经常出差错。</v>
          </cell>
          <cell r="H36" t="str">
            <v>剑术一流的剑士，攻防兼备。\n时雨招式，对单个敌人造成爆发伤害。\n薄霞招式，可造成大量群体伤害。</v>
          </cell>
          <cell r="I36" t="str">
            <v>持续输出</v>
          </cell>
          <cell r="J36" t="str">
            <v>前排优先</v>
          </cell>
          <cell r="K36" t="str">
            <v>无</v>
          </cell>
          <cell r="L36" t="str">
            <v>131,130</v>
          </cell>
          <cell r="M36">
            <v>1</v>
          </cell>
          <cell r="N36">
            <v>1</v>
          </cell>
          <cell r="O36">
            <v>5</v>
          </cell>
          <cell r="P36">
            <v>5</v>
          </cell>
          <cell r="Q36">
            <v>2</v>
          </cell>
          <cell r="R36" t="str">
            <v>海军</v>
          </cell>
          <cell r="S36">
            <v>3</v>
          </cell>
          <cell r="T36">
            <v>7</v>
          </cell>
          <cell r="U36">
            <v>2</v>
          </cell>
        </row>
        <row r="37">
          <cell r="A37">
            <v>112013</v>
          </cell>
          <cell r="B37">
            <v>112013</v>
          </cell>
          <cell r="C37" t="str">
            <v>Mr.1</v>
          </cell>
          <cell r="D37" t="str">
            <v>Mr.1</v>
          </cell>
        </row>
        <row r="37">
          <cell r="F37">
            <v>0</v>
          </cell>
          <cell r="G37" t="str">
            <v>巴洛克工作社高级指挥中最强的男人。通过快斩之果的能力可以将全身变成刀刃，同时皮肤也会变得像钢铁一样坚硬。</v>
          </cell>
          <cell r="H37" t="str">
            <v>可以斩断一切的刀刃人，攻防兼备。\n技能附带流血效果，持续造成伤害。\n拥有快斩之果天赋，减免受到的伤害。</v>
          </cell>
          <cell r="I37" t="str">
            <v>伤害反射</v>
          </cell>
          <cell r="J37" t="str">
            <v>前排优先</v>
          </cell>
          <cell r="K37" t="str">
            <v>快斩之果</v>
          </cell>
          <cell r="L37" t="str">
            <v>123,122</v>
          </cell>
          <cell r="M37">
            <v>1</v>
          </cell>
          <cell r="N37">
            <v>1</v>
          </cell>
          <cell r="O37">
            <v>3</v>
          </cell>
          <cell r="P37">
            <v>3</v>
          </cell>
          <cell r="Q37">
            <v>5</v>
          </cell>
          <cell r="R37" t="str">
            <v>巴洛克工作室</v>
          </cell>
          <cell r="S37">
            <v>3</v>
          </cell>
          <cell r="T37">
            <v>7</v>
          </cell>
          <cell r="U37">
            <v>2</v>
          </cell>
        </row>
        <row r="38">
          <cell r="A38">
            <v>112014</v>
          </cell>
          <cell r="B38">
            <v>112014</v>
          </cell>
          <cell r="C38" t="str">
            <v>Mr.2</v>
          </cell>
          <cell r="D38" t="str">
            <v>Mr.2</v>
          </cell>
        </row>
        <row r="38">
          <cell r="F38">
            <v>2</v>
          </cell>
          <cell r="G38" t="str">
            <v>巴洛克工作社唯一没有搭档的高级指挥。是模仿之果的能力者。为人重义气，阿鲁巴拿战役后与草帽海盗团成为好友。</v>
          </cell>
          <cell r="H38" t="str">
            <v>坚信人妖之道的能力者，擅长进攻。\n技能可提升属性，大幅提升伤害能力。\n身形灵巧，拥有出色的速度和闪避能力。</v>
          </cell>
          <cell r="I38" t="str">
            <v>单点爆发</v>
          </cell>
          <cell r="J38" t="str">
            <v>对位优先</v>
          </cell>
          <cell r="K38" t="str">
            <v>模仿之果</v>
          </cell>
          <cell r="L38" t="str">
            <v>145,141</v>
          </cell>
          <cell r="M38">
            <v>1</v>
          </cell>
          <cell r="N38">
            <v>1</v>
          </cell>
          <cell r="O38">
            <v>3</v>
          </cell>
          <cell r="P38">
            <v>3</v>
          </cell>
          <cell r="Q38">
            <v>5</v>
          </cell>
          <cell r="R38" t="str">
            <v>巴洛克工作室</v>
          </cell>
          <cell r="S38">
            <v>3</v>
          </cell>
          <cell r="T38">
            <v>7</v>
          </cell>
          <cell r="U38">
            <v>2</v>
          </cell>
        </row>
        <row r="39">
          <cell r="A39">
            <v>112015</v>
          </cell>
          <cell r="B39">
            <v>112015</v>
          </cell>
          <cell r="C39" t="str">
            <v>Mr.3</v>
          </cell>
          <cell r="D39" t="str">
            <v>Mr.3</v>
          </cell>
        </row>
        <row r="39">
          <cell r="F39">
            <v>0</v>
          </cell>
          <cell r="G39" t="str">
            <v>巴洛克工作社的高级指挥。融化之果的能力者。喜欢把敌人做成蜡烛娃娃，是个作战头脑派。</v>
          </cell>
          <cell r="H39" t="str">
            <v>追求疯狂美学的艺术家，擅长防御。\n奥义技会战斗形态，大幅增加防御能力。\n技能附带牵制效果，降低敌人的速度和闪避</v>
          </cell>
          <cell r="I39" t="str">
            <v>团队控制</v>
          </cell>
          <cell r="J39" t="str">
            <v>后排优先</v>
          </cell>
          <cell r="K39" t="str">
            <v>融化之果</v>
          </cell>
          <cell r="L39" t="str">
            <v>137,294</v>
          </cell>
          <cell r="M39">
            <v>1</v>
          </cell>
          <cell r="N39">
            <v>1</v>
          </cell>
          <cell r="O39">
            <v>3</v>
          </cell>
          <cell r="P39">
            <v>3</v>
          </cell>
          <cell r="Q39">
            <v>5</v>
          </cell>
          <cell r="R39" t="str">
            <v>巴洛克工作室</v>
          </cell>
          <cell r="S39">
            <v>3</v>
          </cell>
          <cell r="T39">
            <v>7</v>
          </cell>
          <cell r="U39">
            <v>2</v>
          </cell>
        </row>
        <row r="40">
          <cell r="A40">
            <v>112016</v>
          </cell>
          <cell r="B40">
            <v>112016</v>
          </cell>
          <cell r="C40" t="str">
            <v>Ms.双手指</v>
          </cell>
          <cell r="D40" t="str">
            <v>Miss.双手指</v>
          </cell>
        </row>
        <row r="40">
          <cell r="F40">
            <v>1</v>
          </cell>
          <cell r="G40" t="str">
            <v>巴洛克工作社Mr.1的搭档，荆棘之果能力者。是个性格冷酷的女杀手。</v>
          </cell>
          <cell r="H40" t="str">
            <v>危险的尖刺美女，擅长进攻。\n技能附带急速效果，大幅提升行动速度。\n技能附带击退效果，可打破敌方阵型。</v>
          </cell>
          <cell r="I40" t="str">
            <v>伤害反射</v>
          </cell>
          <cell r="J40" t="str">
            <v>前排优先</v>
          </cell>
          <cell r="K40" t="str">
            <v>荆棘之果</v>
          </cell>
          <cell r="L40" t="str">
            <v>316,310</v>
          </cell>
          <cell r="M40">
            <v>1</v>
          </cell>
          <cell r="N40">
            <v>1</v>
          </cell>
          <cell r="O40">
            <v>3</v>
          </cell>
          <cell r="P40">
            <v>3</v>
          </cell>
          <cell r="Q40">
            <v>5</v>
          </cell>
          <cell r="R40" t="str">
            <v>巴洛克工作室</v>
          </cell>
          <cell r="S40">
            <v>3</v>
          </cell>
          <cell r="T40">
            <v>7</v>
          </cell>
          <cell r="U40">
            <v>2</v>
          </cell>
        </row>
        <row r="41">
          <cell r="A41">
            <v>112017</v>
          </cell>
          <cell r="B41">
            <v>112017</v>
          </cell>
          <cell r="C41" t="str">
            <v>贝拉密</v>
          </cell>
          <cell r="D41" t="str">
            <v>贝拉密</v>
          </cell>
        </row>
        <row r="41">
          <cell r="F41">
            <v>0</v>
          </cell>
          <cell r="G41" t="str">
            <v>贝拉密海盗团团长，弹簧之果能力者。从小就仰慕七武海多弗朗明哥，是被人相当看好的海盗新人。</v>
          </cell>
          <cell r="H41" t="str">
            <v>自称是“新时代的海盗”，擅长进攻。\n愈战愈勇，大幅提升战斗属性。\n奥义技牺牲自我，大幅提升伤害能力。</v>
          </cell>
          <cell r="I41" t="str">
            <v>单点爆发</v>
          </cell>
          <cell r="J41" t="str">
            <v>对位优先</v>
          </cell>
          <cell r="K41" t="str">
            <v>弹簧之果</v>
          </cell>
          <cell r="L41" t="str">
            <v>220,218</v>
          </cell>
          <cell r="M41">
            <v>1</v>
          </cell>
          <cell r="N41">
            <v>1</v>
          </cell>
          <cell r="O41">
            <v>3</v>
          </cell>
          <cell r="P41">
            <v>3</v>
          </cell>
          <cell r="Q41">
            <v>3</v>
          </cell>
          <cell r="R41" t="str">
            <v>比拿米海盗团</v>
          </cell>
          <cell r="S41">
            <v>3</v>
          </cell>
          <cell r="T41">
            <v>7</v>
          </cell>
          <cell r="U41">
            <v>2</v>
          </cell>
        </row>
        <row r="42">
          <cell r="A42">
            <v>112018</v>
          </cell>
          <cell r="B42">
            <v>112018</v>
          </cell>
          <cell r="C42" t="str">
            <v>瓦帕</v>
          </cell>
          <cell r="D42" t="str">
            <v>瓦帕</v>
          </cell>
        </row>
        <row r="42">
          <cell r="F42">
            <v>0</v>
          </cell>
          <cell r="G42" t="str">
            <v>山迪亚大战士的后代，一心想要击败艾尼路，实力强悍。勇猛善战，表情凶恶，被称为“战鬼”。</v>
          </cell>
          <cell r="H42" t="str">
            <v>挑战神的山迪亚的勇敢战士，擅长进攻。</v>
          </cell>
          <cell r="I42" t="str">
            <v>单点爆发</v>
          </cell>
          <cell r="J42">
            <v>0</v>
          </cell>
          <cell r="K42">
            <v>0</v>
          </cell>
        </row>
        <row r="42">
          <cell r="M42">
            <v>0</v>
          </cell>
          <cell r="N42">
            <v>1</v>
          </cell>
          <cell r="O42">
            <v>4</v>
          </cell>
          <cell r="P42">
            <v>4</v>
          </cell>
          <cell r="Q42">
            <v>8</v>
          </cell>
          <cell r="R42" t="str">
            <v>山迪亚</v>
          </cell>
          <cell r="S42">
            <v>3</v>
          </cell>
          <cell r="T42">
            <v>7</v>
          </cell>
          <cell r="U42">
            <v>2</v>
          </cell>
        </row>
        <row r="43">
          <cell r="A43">
            <v>112019</v>
          </cell>
          <cell r="B43">
            <v>112019</v>
          </cell>
          <cell r="C43" t="str">
            <v>杰布拉</v>
          </cell>
          <cell r="D43" t="str">
            <v>杰布拉（狼人）</v>
          </cell>
        </row>
        <row r="43">
          <cell r="F43">
            <v>0</v>
          </cell>
          <cell r="G43" t="str">
            <v>CP9的谍报员。犬犬之果形态“狼”的能力者。信条是利用锋利的爪牙，让对手不战而降！</v>
          </cell>
          <cell r="H43" t="str">
            <v>CP9的谍报员，擅长防御。\n技能可造成流血效果，同时吸血回复生命。\n嗜血的战斗大师，变为狼形态可保护队友。</v>
          </cell>
          <cell r="I43" t="str">
            <v>攻守平衡</v>
          </cell>
          <cell r="J43" t="str">
            <v>前排优先</v>
          </cell>
          <cell r="K43" t="str">
            <v>犬犬之果</v>
          </cell>
          <cell r="L43" t="str">
            <v>261,258,</v>
          </cell>
          <cell r="M43">
            <v>1</v>
          </cell>
          <cell r="N43">
            <v>1</v>
          </cell>
          <cell r="O43">
            <v>1</v>
          </cell>
          <cell r="P43">
            <v>1</v>
          </cell>
          <cell r="Q43">
            <v>4</v>
          </cell>
          <cell r="R43" t="str">
            <v>CP9</v>
          </cell>
          <cell r="S43">
            <v>3</v>
          </cell>
          <cell r="T43">
            <v>7</v>
          </cell>
          <cell r="U43">
            <v>2</v>
          </cell>
        </row>
        <row r="44">
          <cell r="A44">
            <v>112020</v>
          </cell>
          <cell r="B44">
            <v>112020</v>
          </cell>
          <cell r="C44" t="str">
            <v>佳妮法</v>
          </cell>
          <cell r="D44" t="str">
            <v>佳妮法</v>
          </cell>
        </row>
        <row r="44">
          <cell r="F44">
            <v>1</v>
          </cell>
          <cell r="G44" t="str">
            <v>CP9唯一的女谍报员，潜伏在水之都市长身边夺取机密资料。泡泡之果能力者。口头禅是“这是性骚扰”和“无礼之徒”。</v>
          </cell>
          <cell r="H44" t="str">
            <v>CP9的谍报员，擅长辅助。\n通过魅惑敌方男性降低敌方战斗力。\n队友进攻时候的美女杀手。</v>
          </cell>
          <cell r="I44" t="str">
            <v>功能辅助</v>
          </cell>
          <cell r="J44" t="str">
            <v>前排优先</v>
          </cell>
          <cell r="K44" t="str">
            <v>泡泡之果</v>
          </cell>
          <cell r="L44" t="str">
            <v>285,283</v>
          </cell>
          <cell r="M44">
            <v>1</v>
          </cell>
          <cell r="N44">
            <v>1</v>
          </cell>
          <cell r="O44">
            <v>3</v>
          </cell>
          <cell r="P44">
            <v>3</v>
          </cell>
          <cell r="Q44">
            <v>4</v>
          </cell>
          <cell r="R44" t="str">
            <v>CP9</v>
          </cell>
          <cell r="S44">
            <v>3</v>
          </cell>
          <cell r="T44">
            <v>7</v>
          </cell>
          <cell r="U44">
            <v>2</v>
          </cell>
        </row>
        <row r="45">
          <cell r="A45">
            <v>112021</v>
          </cell>
          <cell r="B45">
            <v>112021</v>
          </cell>
          <cell r="C45" t="str">
            <v>卡古</v>
          </cell>
          <cell r="D45" t="str">
            <v>卡古</v>
          </cell>
        </row>
        <row r="45">
          <cell r="F45">
            <v>0</v>
          </cell>
          <cell r="G45" t="str">
            <v>CP9唯一的剑术使用者。可以娴熟地使用四刀流。在恶魔果实的能力下变身为长颈鹿。</v>
          </cell>
          <cell r="H45" t="str">
            <v>CP9的谍报员，擅长进攻。\n可以使敌人持续流血，也可通过嗜血回复。\n四刀流战斗大师，流血技能让敌人头疼。</v>
          </cell>
          <cell r="I45" t="str">
            <v>攻守平衡</v>
          </cell>
          <cell r="J45" t="str">
            <v>前排优先</v>
          </cell>
          <cell r="K45" t="str">
            <v>牛牛之果</v>
          </cell>
          <cell r="L45" t="str">
            <v>362,360</v>
          </cell>
          <cell r="M45">
            <v>1</v>
          </cell>
          <cell r="N45">
            <v>1</v>
          </cell>
          <cell r="O45">
            <v>1</v>
          </cell>
          <cell r="P45">
            <v>1</v>
          </cell>
          <cell r="Q45">
            <v>4</v>
          </cell>
          <cell r="R45" t="str">
            <v>CP9</v>
          </cell>
          <cell r="S45">
            <v>3</v>
          </cell>
          <cell r="T45">
            <v>7</v>
          </cell>
          <cell r="U45">
            <v>2</v>
          </cell>
        </row>
        <row r="46">
          <cell r="A46">
            <v>112022</v>
          </cell>
          <cell r="B46">
            <v>112022</v>
          </cell>
          <cell r="C46" t="str">
            <v>鲁兹</v>
          </cell>
          <cell r="D46" t="str">
            <v>罗布·鲁兹</v>
          </cell>
        </row>
        <row r="46">
          <cell r="F46">
            <v>0</v>
          </cell>
          <cell r="G46" t="str">
            <v>CP9史上堪称最强的冷酷的杀戮兵器！从13岁起就隶属CP9，凭借出类拔萃的体术完成黑暗任务。</v>
          </cell>
        </row>
        <row r="46">
          <cell r="I46" t="str">
            <v>单点爆发</v>
          </cell>
          <cell r="J46">
            <v>0</v>
          </cell>
          <cell r="K46" t="str">
            <v>猫猫之果</v>
          </cell>
        </row>
        <row r="46">
          <cell r="M46">
            <v>0</v>
          </cell>
          <cell r="N46">
            <v>0</v>
          </cell>
          <cell r="O46">
            <v>1</v>
          </cell>
          <cell r="P46">
            <v>1</v>
          </cell>
          <cell r="Q46">
            <v>4</v>
          </cell>
          <cell r="R46" t="str">
            <v>世界政府</v>
          </cell>
          <cell r="S46">
            <v>3</v>
          </cell>
          <cell r="T46">
            <v>7</v>
          </cell>
          <cell r="U46">
            <v>2</v>
          </cell>
        </row>
        <row r="47">
          <cell r="A47">
            <v>112023</v>
          </cell>
          <cell r="B47">
            <v>112023</v>
          </cell>
          <cell r="C47" t="str">
            <v>阿布萨罗姆</v>
          </cell>
          <cell r="D47" t="str">
            <v>阿布萨罗姆</v>
          </cell>
        </row>
        <row r="47">
          <cell r="F47">
            <v>0</v>
          </cell>
          <cell r="G47" t="str">
            <v>统帅将军僵尸的指挥官。透明之果的能力者。经过豪格巴克的改造后，具有野兽的力量。</v>
          </cell>
          <cell r="H47" t="str">
            <v>莫利亚的手下，统帅将军僵尸的指挥官。\n透明之果能力者，可以随时让身体消失。\n非常的不受欢迎，却执拗的妄想与美女结婚。</v>
          </cell>
          <cell r="I47" t="str">
            <v>单点爆发</v>
          </cell>
          <cell r="J47" t="str">
            <v>前排优先</v>
          </cell>
          <cell r="K47" t="str">
            <v>透明之果</v>
          </cell>
          <cell r="L47" t="str">
            <v>212,210</v>
          </cell>
          <cell r="M47">
            <v>1</v>
          </cell>
          <cell r="N47">
            <v>1</v>
          </cell>
          <cell r="O47">
            <v>3</v>
          </cell>
          <cell r="P47">
            <v>3</v>
          </cell>
          <cell r="Q47">
            <v>5</v>
          </cell>
          <cell r="R47" t="str">
            <v>恐怖之船</v>
          </cell>
          <cell r="S47">
            <v>3</v>
          </cell>
          <cell r="T47">
            <v>7</v>
          </cell>
          <cell r="U47">
            <v>2</v>
          </cell>
        </row>
        <row r="48">
          <cell r="A48">
            <v>112024</v>
          </cell>
          <cell r="B48">
            <v>112024</v>
          </cell>
          <cell r="C48" t="str">
            <v>豪格巴克</v>
          </cell>
          <cell r="D48" t="str">
            <v>豪格巴克</v>
          </cell>
        </row>
        <row r="48">
          <cell r="F48">
            <v>0</v>
          </cell>
          <cell r="G48" t="str">
            <v>拥有博士称号的天才外科医生。是莫利亚僵尸军团的缔造者。</v>
          </cell>
          <cell r="H48" t="str">
            <v>天才的外科医生。\n可以对友方进行改造，添加增益。\n治疗、复活队友，疯狂的战斗医师。</v>
          </cell>
          <cell r="I48" t="str">
            <v>医疗辅助</v>
          </cell>
          <cell r="J48" t="str">
            <v>己方优先</v>
          </cell>
          <cell r="K48" t="str">
            <v>无</v>
          </cell>
          <cell r="L48" t="str">
            <v>353,351</v>
          </cell>
          <cell r="M48">
            <v>1</v>
          </cell>
          <cell r="N48">
            <v>1</v>
          </cell>
          <cell r="O48" t="str">
            <v>4</v>
          </cell>
          <cell r="P48">
            <v>4</v>
          </cell>
          <cell r="Q48">
            <v>5</v>
          </cell>
          <cell r="R48" t="str">
            <v>恐怖之船</v>
          </cell>
          <cell r="S48">
            <v>3</v>
          </cell>
          <cell r="T48">
            <v>7</v>
          </cell>
          <cell r="U48">
            <v>2</v>
          </cell>
        </row>
        <row r="49">
          <cell r="A49">
            <v>112025</v>
          </cell>
          <cell r="B49">
            <v>112025</v>
          </cell>
          <cell r="C49" t="str">
            <v>佩罗娜</v>
          </cell>
          <cell r="D49" t="str">
            <v>佩罗娜</v>
          </cell>
        </row>
        <row r="49">
          <cell r="F49">
            <v>1</v>
          </cell>
          <cell r="G49" t="str">
            <v>食用了幽灵之果的幽灵人。动物僵尸和吓人僵尸的指挥官。是个外表可爱、内心单纯的女孩。</v>
          </cell>
          <cell r="H49" t="str">
            <v>喜欢布偶指挥幽灵的女孩。\n擅长使用幽灵技能对敌方进行骚扰。\n队友进攻时的强力辅助。</v>
          </cell>
          <cell r="I49" t="str">
            <v>团队控制</v>
          </cell>
          <cell r="J49" t="str">
            <v>后排优先</v>
          </cell>
          <cell r="K49" t="str">
            <v>幽灵之果</v>
          </cell>
          <cell r="L49" t="str">
            <v>196,195</v>
          </cell>
          <cell r="M49">
            <v>1</v>
          </cell>
          <cell r="N49">
            <v>1</v>
          </cell>
          <cell r="O49">
            <v>3</v>
          </cell>
          <cell r="P49">
            <v>3</v>
          </cell>
          <cell r="Q49">
            <v>5</v>
          </cell>
          <cell r="R49" t="str">
            <v>恐怖之船</v>
          </cell>
          <cell r="S49">
            <v>3</v>
          </cell>
          <cell r="T49">
            <v>7</v>
          </cell>
          <cell r="U49">
            <v>2</v>
          </cell>
        </row>
        <row r="50">
          <cell r="A50">
            <v>112026</v>
          </cell>
          <cell r="B50">
            <v>112026</v>
          </cell>
          <cell r="C50" t="str">
            <v>龙马</v>
          </cell>
          <cell r="D50" t="str">
            <v>龙马</v>
          </cell>
        </row>
        <row r="50">
          <cell r="F50">
            <v>0</v>
          </cell>
          <cell r="G50" t="str">
            <v>出生在和之国的武士僵尸。传说中斩龙的武士，是个技术高超的剑士。</v>
          </cell>
          <cell r="H50" t="str">
            <v>强大的和之国武士，攻防兼备。\n攻击可造成暗影伤害。\n擅长增长怒气的剑士，强大的武士。</v>
          </cell>
          <cell r="I50" t="str">
            <v>攻守平衡</v>
          </cell>
          <cell r="J50" t="str">
            <v>对位优先</v>
          </cell>
          <cell r="K50" t="str">
            <v>无</v>
          </cell>
          <cell r="L50" t="str">
            <v>204,203</v>
          </cell>
          <cell r="M50">
            <v>1</v>
          </cell>
          <cell r="N50">
            <v>1</v>
          </cell>
          <cell r="O50">
            <v>5</v>
          </cell>
          <cell r="P50">
            <v>5</v>
          </cell>
          <cell r="Q50">
            <v>5</v>
          </cell>
          <cell r="R50" t="str">
            <v>恐怖之船</v>
          </cell>
          <cell r="S50">
            <v>3</v>
          </cell>
          <cell r="T50">
            <v>7</v>
          </cell>
          <cell r="U50">
            <v>2</v>
          </cell>
        </row>
        <row r="51">
          <cell r="A51">
            <v>112027</v>
          </cell>
          <cell r="B51">
            <v>112027</v>
          </cell>
          <cell r="C51" t="str">
            <v>贝宝</v>
          </cell>
          <cell r="D51" t="str">
            <v>贝宝</v>
          </cell>
        </row>
        <row r="51">
          <cell r="F51">
            <v>0</v>
          </cell>
          <cell r="G51" t="str">
            <v>罗所率领的心脏海盗团的一员。会使用人类语言，容易被无心的话所伤害，是承受力脆弱的熊。</v>
          </cell>
          <cell r="H51" t="str">
            <v>会功夫的情感细腻的公熊。\n罗所率领的心脏海盗团的一员。\n身手敏捷，擅长踢技。</v>
          </cell>
          <cell r="I51" t="str">
            <v>单点爆发</v>
          </cell>
          <cell r="J51" t="str">
            <v>前排优先</v>
          </cell>
          <cell r="K51" t="str">
            <v>无</v>
          </cell>
          <cell r="L51" t="str">
            <v>439,438</v>
          </cell>
          <cell r="M51">
            <v>1</v>
          </cell>
          <cell r="N51">
            <v>1</v>
          </cell>
          <cell r="O51">
            <v>4</v>
          </cell>
          <cell r="P51">
            <v>4</v>
          </cell>
          <cell r="Q51">
            <v>3</v>
          </cell>
          <cell r="R51" t="str">
            <v>心脏海盗团</v>
          </cell>
          <cell r="S51">
            <v>3</v>
          </cell>
          <cell r="T51">
            <v>7</v>
          </cell>
          <cell r="U51">
            <v>2</v>
          </cell>
        </row>
        <row r="52">
          <cell r="A52">
            <v>112028</v>
          </cell>
          <cell r="B52">
            <v>112028</v>
          </cell>
          <cell r="C52" t="str">
            <v>战桃丸</v>
          </cell>
          <cell r="D52" t="str">
            <v>战桃丸</v>
          </cell>
        </row>
        <row r="52">
          <cell r="F52">
            <v>0</v>
          </cell>
          <cell r="G52" t="str">
            <v>原海军总部科学部队队长。率领着“和平主义者”，自称“世界第一守口如瓶的男人”！！</v>
          </cell>
          <cell r="H52" t="str">
            <v>原海军总部科学部队队长。\n率领着“和平主义者”。\n擅长防御，拥有强大的防守能力。</v>
          </cell>
          <cell r="I52" t="str">
            <v>防御壁垒</v>
          </cell>
          <cell r="J52" t="str">
            <v>前排优先</v>
          </cell>
          <cell r="K52" t="str">
            <v>无</v>
          </cell>
          <cell r="L52" t="str">
            <v>447,494</v>
          </cell>
          <cell r="M52">
            <v>1</v>
          </cell>
          <cell r="N52">
            <v>1</v>
          </cell>
          <cell r="O52">
            <v>4</v>
          </cell>
          <cell r="P52">
            <v>4</v>
          </cell>
          <cell r="Q52">
            <v>2</v>
          </cell>
          <cell r="R52" t="str">
            <v>海军</v>
          </cell>
          <cell r="S52">
            <v>3</v>
          </cell>
          <cell r="T52">
            <v>8</v>
          </cell>
          <cell r="U52">
            <v>3</v>
          </cell>
        </row>
        <row r="53">
          <cell r="A53">
            <v>112029</v>
          </cell>
          <cell r="B53">
            <v>112029</v>
          </cell>
          <cell r="C53" t="str">
            <v>Baby5</v>
          </cell>
          <cell r="D53" t="str">
            <v>Baby5</v>
          </cell>
        </row>
        <row r="53">
          <cell r="F53">
            <v>1</v>
          </cell>
          <cell r="G53" t="str">
            <v>唐吉诃德家族杀手兼女仆。武器果实能力者。渴望被需要而无法拒绝别人的请求。</v>
          </cell>
          <cell r="H53" t="str">
            <v>唐吉诃德家族杀手兼女仆。\n武器果实能力者。\n可变化为多种武器进行战斗。</v>
          </cell>
        </row>
        <row r="53">
          <cell r="J53" t="str">
            <v>前排优先</v>
          </cell>
          <cell r="K53" t="str">
            <v>武器之果</v>
          </cell>
          <cell r="L53" t="str">
            <v>725,726</v>
          </cell>
          <cell r="M53">
            <v>1</v>
          </cell>
          <cell r="N53">
            <v>0</v>
          </cell>
          <cell r="O53">
            <v>3</v>
          </cell>
          <cell r="P53">
            <v>3</v>
          </cell>
          <cell r="Q53">
            <v>5</v>
          </cell>
          <cell r="R53" t="str">
            <v>八宝水军</v>
          </cell>
          <cell r="S53">
            <v>3</v>
          </cell>
          <cell r="T53">
            <v>7</v>
          </cell>
          <cell r="U53">
            <v>2</v>
          </cell>
        </row>
        <row r="54">
          <cell r="A54">
            <v>112030</v>
          </cell>
          <cell r="B54">
            <v>112030</v>
          </cell>
          <cell r="C54" t="str">
            <v>莉贝卡</v>
          </cell>
          <cell r="D54" t="str">
            <v>莉贝卡</v>
          </cell>
        </row>
        <row r="54">
          <cell r="F54">
            <v>1</v>
          </cell>
        </row>
        <row r="54">
          <cell r="M54">
            <v>1</v>
          </cell>
          <cell r="N54">
            <v>0</v>
          </cell>
          <cell r="O54">
            <v>5</v>
          </cell>
          <cell r="P54">
            <v>5</v>
          </cell>
          <cell r="Q54">
            <v>8</v>
          </cell>
          <cell r="R54" t="str">
            <v>德雷斯罗兹</v>
          </cell>
          <cell r="S54">
            <v>3</v>
          </cell>
          <cell r="T54">
            <v>7</v>
          </cell>
          <cell r="U54">
            <v>2</v>
          </cell>
        </row>
        <row r="55">
          <cell r="A55">
            <v>113001</v>
          </cell>
          <cell r="B55">
            <v>113001</v>
          </cell>
          <cell r="C55" t="str">
            <v>沙·鳄鱼</v>
          </cell>
          <cell r="D55" t="str">
            <v>沙·鳄鱼</v>
          </cell>
        </row>
        <row r="55">
          <cell r="F55">
            <v>0</v>
          </cell>
          <cell r="G55" t="str">
            <v>表面上扮演着“阿拉巴斯坦的守护神”，其实私下却是企图统治阿拉巴斯坦王国的巴洛克工作社的老板。悬赏金额高达8100万贝里，“王下七武海”之一。</v>
          </cell>
          <cell r="H55" t="str">
            <v>拥有恐怖群体伤害的能力者，擅长属性伤害\n对多名敌人造成流血伤害，并提高对其伤害\n拥有强大的属性伤害，抵抗非属性伤害。</v>
          </cell>
          <cell r="I55" t="str">
            <v>团队压制</v>
          </cell>
          <cell r="J55" t="str">
            <v>前排优先</v>
          </cell>
          <cell r="K55" t="str">
            <v>沙沙之果</v>
          </cell>
          <cell r="L55" t="str">
            <v>246,243</v>
          </cell>
          <cell r="M55">
            <v>1</v>
          </cell>
          <cell r="N55">
            <v>1</v>
          </cell>
          <cell r="O55">
            <v>2</v>
          </cell>
          <cell r="P55">
            <v>2</v>
          </cell>
          <cell r="Q55">
            <v>5</v>
          </cell>
          <cell r="R55" t="str">
            <v>巴洛克工作室</v>
          </cell>
          <cell r="S55">
            <v>3</v>
          </cell>
          <cell r="T55">
            <v>8</v>
          </cell>
          <cell r="U55">
            <v>3</v>
          </cell>
        </row>
        <row r="56">
          <cell r="A56">
            <v>113002</v>
          </cell>
          <cell r="B56">
            <v>113002</v>
          </cell>
          <cell r="C56" t="str">
            <v>艾尼路</v>
          </cell>
          <cell r="D56" t="str">
            <v>艾尼路</v>
          </cell>
        </row>
        <row r="56">
          <cell r="F56">
            <v>0</v>
          </cell>
          <cell r="G56" t="str">
            <v>具有操纵雷电之果能力的雷人。在天空圣地实施了长达6年的恐怖统治。</v>
          </cell>
          <cell r="H56" t="str">
            <v>空岛唯一的神，擅长进攻。\n技能附带雷属性伤害，无视敌方基础防御。\n激活雷神形态后，大幅提升对敌人的伤害。</v>
          </cell>
          <cell r="I56" t="str">
            <v>范围输出</v>
          </cell>
          <cell r="J56" t="str">
            <v>后排优先</v>
          </cell>
          <cell r="K56" t="str">
            <v>雷电之果</v>
          </cell>
          <cell r="L56" t="str">
            <v>252,254</v>
          </cell>
          <cell r="M56">
            <v>1</v>
          </cell>
          <cell r="N56">
            <v>1</v>
          </cell>
          <cell r="O56">
            <v>2</v>
          </cell>
          <cell r="P56">
            <v>2</v>
          </cell>
          <cell r="Q56">
            <v>8</v>
          </cell>
          <cell r="R56" t="str">
            <v>空岛神</v>
          </cell>
          <cell r="S56">
            <v>3</v>
          </cell>
          <cell r="T56">
            <v>8</v>
          </cell>
          <cell r="U56">
            <v>3</v>
          </cell>
        </row>
        <row r="57">
          <cell r="A57">
            <v>113003</v>
          </cell>
          <cell r="B57">
            <v>113003</v>
          </cell>
          <cell r="C57" t="str">
            <v>青雉</v>
          </cell>
          <cell r="D57" t="str">
            <v>青雉</v>
          </cell>
        </row>
        <row r="57">
          <cell r="F57">
            <v>0</v>
          </cell>
          <cell r="G57" t="str">
            <v>既是冰冻之果的能力者，亦是海军总部的最高战斗力之一！他是个在漫不经心的态度背后，持有独特正义观的海军总部大将。对赤犬过头的正义心存抵触。</v>
          </cell>
          <cell r="H57" t="str">
            <v>海军三大将之一，擅长属性伤害。\n冰冻之果能力者，拥有超高的冰属性伤害。\n技能附带冰冻效果，大幅限制敌人行动速度</v>
          </cell>
          <cell r="I57" t="str">
            <v>团队控制</v>
          </cell>
          <cell r="J57" t="str">
            <v>前排优先</v>
          </cell>
          <cell r="K57" t="str">
            <v>冰冻之果</v>
          </cell>
          <cell r="L57" t="str">
            <v>155,151</v>
          </cell>
          <cell r="M57">
            <v>1</v>
          </cell>
          <cell r="N57">
            <v>1</v>
          </cell>
          <cell r="O57">
            <v>2</v>
          </cell>
          <cell r="P57">
            <v>2</v>
          </cell>
          <cell r="Q57">
            <v>2</v>
          </cell>
          <cell r="R57" t="str">
            <v>海军</v>
          </cell>
          <cell r="S57">
            <v>3</v>
          </cell>
          <cell r="T57">
            <v>8</v>
          </cell>
          <cell r="U57">
            <v>3</v>
          </cell>
        </row>
        <row r="58">
          <cell r="A58">
            <v>113004</v>
          </cell>
          <cell r="B58">
            <v>113004</v>
          </cell>
          <cell r="C58" t="str">
            <v>戈普</v>
          </cell>
          <cell r="D58" t="str">
            <v>戈普</v>
          </cell>
        </row>
        <row r="58">
          <cell r="F58">
            <v>0</v>
          </cell>
          <cell r="G58" t="str">
            <v>凭借一双拳头驰骋于大海，活着的“传说中的海兵”！是曾和战国共同追拿罗杰的海军英雄。一个豪放磊落、大胆无畏的血性男子。</v>
          </cell>
          <cell r="H58" t="str">
            <v>路飞的祖父，绰号“铁拳”，擅长防御。\n海军英雄，激发队伍中海军势力的属性。\n拥有多种被动防御技，可大幅减少伤害。</v>
          </cell>
          <cell r="I58" t="str">
            <v>防御壁垒</v>
          </cell>
          <cell r="J58" t="str">
            <v>前排优先</v>
          </cell>
          <cell r="K58" t="str">
            <v>无</v>
          </cell>
          <cell r="L58" t="str">
            <v>292,289</v>
          </cell>
          <cell r="M58">
            <v>1</v>
          </cell>
          <cell r="N58">
            <v>1</v>
          </cell>
          <cell r="O58">
            <v>4</v>
          </cell>
          <cell r="P58">
            <v>4</v>
          </cell>
          <cell r="Q58">
            <v>2</v>
          </cell>
          <cell r="R58" t="str">
            <v>海军</v>
          </cell>
          <cell r="S58">
            <v>3</v>
          </cell>
          <cell r="T58">
            <v>8</v>
          </cell>
          <cell r="U58">
            <v>3</v>
          </cell>
        </row>
        <row r="59">
          <cell r="A59">
            <v>113005</v>
          </cell>
          <cell r="B59">
            <v>113005</v>
          </cell>
          <cell r="C59" t="str">
            <v>莫利亚</v>
          </cell>
          <cell r="D59" t="str">
            <v>莫利亚</v>
          </cell>
        </row>
        <row r="59">
          <cell r="F59">
            <v>0</v>
          </cell>
          <cell r="G59" t="str">
            <v>操纵影子的能力者，恐怖之船的统治者！身为王下七武海的一员，据说是曾经和“四皇”之一的盖德不相上下的实力者。</v>
          </cell>
          <cell r="H59" t="str">
            <v>王下七武海之一，擅长进攻。\n暗影大师，操纵影子攻击敌人。\n擅长使用影子的力量打击敌人。</v>
          </cell>
          <cell r="I59" t="str">
            <v>暗影法师</v>
          </cell>
          <cell r="J59" t="str">
            <v>血量最少</v>
          </cell>
          <cell r="K59" t="str">
            <v>影子之果</v>
          </cell>
          <cell r="L59" t="str">
            <v>385,383</v>
          </cell>
          <cell r="M59">
            <v>1</v>
          </cell>
          <cell r="N59">
            <v>1</v>
          </cell>
          <cell r="O59">
            <v>3</v>
          </cell>
          <cell r="P59">
            <v>3</v>
          </cell>
          <cell r="Q59">
            <v>5</v>
          </cell>
          <cell r="R59" t="str">
            <v>恐怖之船</v>
          </cell>
          <cell r="S59">
            <v>3</v>
          </cell>
          <cell r="T59">
            <v>8</v>
          </cell>
          <cell r="U59">
            <v>3</v>
          </cell>
        </row>
        <row r="60">
          <cell r="A60">
            <v>113006</v>
          </cell>
          <cell r="B60">
            <v>113006</v>
          </cell>
          <cell r="C60" t="str">
            <v>大熊</v>
          </cell>
          <cell r="D60" t="str">
            <v>大熊</v>
          </cell>
        </row>
        <row r="60">
          <cell r="F60">
            <v>0</v>
          </cell>
          <cell r="G60" t="str">
            <v>将自己的身体献给政府的王下七武海，同时也是和平主义者的原型。和革命军有着千丝万缕的关联，帮助草帽一伙等的行动存在大量谜团。</v>
          </cell>
          <cell r="H60" t="str">
            <v>王下七武海之一，擅长防御和辅助。\n肉球之果能力者，反弹自身受到的伤害。\n可把敌人从战场拍飞，让敌人丧失作战能力</v>
          </cell>
          <cell r="I60" t="str">
            <v>防御辅助</v>
          </cell>
          <cell r="J60" t="str">
            <v>前排优先</v>
          </cell>
          <cell r="K60" t="str">
            <v>肉球之果</v>
          </cell>
          <cell r="L60" t="str">
            <v>270,268</v>
          </cell>
          <cell r="M60">
            <v>1</v>
          </cell>
          <cell r="N60">
            <v>1</v>
          </cell>
          <cell r="O60">
            <v>3</v>
          </cell>
          <cell r="P60">
            <v>3</v>
          </cell>
          <cell r="Q60">
            <v>5</v>
          </cell>
          <cell r="R60" t="str">
            <v>扑克牌海盗团</v>
          </cell>
          <cell r="S60">
            <v>3</v>
          </cell>
          <cell r="T60">
            <v>8</v>
          </cell>
          <cell r="U60">
            <v>3</v>
          </cell>
        </row>
        <row r="61">
          <cell r="A61">
            <v>113007</v>
          </cell>
          <cell r="B61">
            <v>113007</v>
          </cell>
          <cell r="C61" t="str">
            <v>黄猿</v>
          </cell>
          <cell r="D61" t="str">
            <v>波尔萨利诺</v>
          </cell>
        </row>
        <row r="61">
          <cell r="F61">
            <v>0</v>
          </cell>
          <cell r="G61" t="str">
            <v>冠以“最高战斗力”之名，“闪光之果”的光线人！与赤犬和青雉二人秉持的截然相反的正义不同，他标榜模棱两可的正义。</v>
          </cell>
          <cell r="H61" t="str">
            <v>海军三大将之一，擅长属性伤害。\n闪光之果能力者，拥有超高的光属性伤害。\n拥有极高的闪避率，暴击率属性随速度提升</v>
          </cell>
          <cell r="I61" t="str">
            <v>单点爆发</v>
          </cell>
          <cell r="J61" t="str">
            <v>后排优先</v>
          </cell>
          <cell r="K61" t="str">
            <v>闪光之果</v>
          </cell>
          <cell r="L61" t="str">
            <v>373,369</v>
          </cell>
          <cell r="M61">
            <v>1</v>
          </cell>
          <cell r="N61">
            <v>1</v>
          </cell>
          <cell r="O61">
            <v>2</v>
          </cell>
          <cell r="P61">
            <v>2</v>
          </cell>
          <cell r="Q61">
            <v>2</v>
          </cell>
          <cell r="R61" t="str">
            <v>海军</v>
          </cell>
          <cell r="S61">
            <v>3</v>
          </cell>
          <cell r="T61">
            <v>8</v>
          </cell>
          <cell r="U61">
            <v>3</v>
          </cell>
        </row>
        <row r="62">
          <cell r="A62">
            <v>113008</v>
          </cell>
          <cell r="B62">
            <v>113008</v>
          </cell>
          <cell r="C62" t="str">
            <v>艾斯</v>
          </cell>
          <cell r="D62" t="str">
            <v>艾斯</v>
          </cell>
        </row>
        <row r="62">
          <cell r="F62">
            <v>0</v>
          </cell>
          <cell r="G62" t="str">
            <v>为让白胡子成为王，奔波在大海上的罗杰的儿子！白胡子海盗团2小队队长，路飞的结拜兄弟。</v>
          </cell>
          <cell r="H62" t="str">
            <v>罗杰的儿子，擅长属性伤害。\n技能附带火属性伤害和灼烧效果。\n燃烧之果能力者，大幅提升火属性伤害。</v>
          </cell>
          <cell r="I62" t="str">
            <v>持续输出</v>
          </cell>
          <cell r="J62" t="str">
            <v>前排优先</v>
          </cell>
          <cell r="K62" t="str">
            <v>燃烧之果</v>
          </cell>
          <cell r="L62" t="str">
            <v>400008,400007</v>
          </cell>
          <cell r="M62">
            <v>1</v>
          </cell>
          <cell r="N62">
            <v>1</v>
          </cell>
          <cell r="O62">
            <v>2</v>
          </cell>
          <cell r="P62">
            <v>2</v>
          </cell>
          <cell r="Q62">
            <v>3</v>
          </cell>
          <cell r="R62" t="str">
            <v>白胡子海盗团</v>
          </cell>
          <cell r="S62">
            <v>3</v>
          </cell>
          <cell r="T62">
            <v>8</v>
          </cell>
          <cell r="U62">
            <v>3</v>
          </cell>
        </row>
        <row r="63">
          <cell r="A63">
            <v>113009</v>
          </cell>
          <cell r="B63">
            <v>113009</v>
          </cell>
          <cell r="C63" t="str">
            <v>赤犬</v>
          </cell>
          <cell r="D63" t="str">
            <v>萨卡斯基</v>
          </cell>
        </row>
        <row r="63">
          <cell r="F63">
            <v>0</v>
          </cell>
          <cell r="G63" t="str">
            <v>贯彻“彻底的正义”，挥舞岩浆之拳的海军“最高战斗力”！对于邪恶毫不留情，采取彻底的铲除行动。</v>
          </cell>
          <cell r="H63" t="str">
            <v>海军三大将之一，攻防兼备。\n岩浆之果能力者，抵抗属性伤害。\n技能附带熔岩灼烧，可降低敌方属性抗性。</v>
          </cell>
          <cell r="I63" t="str">
            <v>元素屏障</v>
          </cell>
          <cell r="J63" t="str">
            <v>前排优先</v>
          </cell>
          <cell r="K63" t="str">
            <v>岩浆之果</v>
          </cell>
          <cell r="L63" t="str">
            <v>277,276</v>
          </cell>
          <cell r="M63">
            <v>1</v>
          </cell>
          <cell r="N63">
            <v>1</v>
          </cell>
          <cell r="O63">
            <v>2</v>
          </cell>
          <cell r="P63">
            <v>2</v>
          </cell>
          <cell r="Q63">
            <v>2</v>
          </cell>
          <cell r="R63" t="str">
            <v>海军</v>
          </cell>
          <cell r="S63">
            <v>3</v>
          </cell>
          <cell r="T63">
            <v>8</v>
          </cell>
          <cell r="U63">
            <v>3</v>
          </cell>
        </row>
        <row r="64">
          <cell r="A64">
            <v>113010</v>
          </cell>
          <cell r="B64">
            <v>113010</v>
          </cell>
          <cell r="C64" t="str">
            <v>米霍克</v>
          </cell>
          <cell r="D64" t="str">
            <v>鹰眼</v>
          </cell>
        </row>
        <row r="64">
          <cell r="F64">
            <v>0</v>
          </cell>
          <cell r="G64" t="str">
            <v>世界最强的剑客，“王下七武海”之一！！可以一击毁掉巨大船舰！</v>
          </cell>
          <cell r="H64" t="str">
            <v>刚柔兼备的剑豪，攻防兼备。\n伤害巨大的黑刀，无视任何防御。\n利刃斩断敌人，一击破敌！</v>
          </cell>
          <cell r="I64" t="str">
            <v>攻守平衡</v>
          </cell>
          <cell r="J64" t="str">
            <v>前排优先</v>
          </cell>
          <cell r="K64" t="str">
            <v>无</v>
          </cell>
          <cell r="L64" t="str">
            <v>306,303</v>
          </cell>
          <cell r="M64">
            <v>1</v>
          </cell>
          <cell r="N64">
            <v>1</v>
          </cell>
          <cell r="O64">
            <v>5</v>
          </cell>
          <cell r="P64">
            <v>5</v>
          </cell>
          <cell r="Q64">
            <v>5</v>
          </cell>
          <cell r="R64" t="str">
            <v>王下七武海</v>
          </cell>
          <cell r="S64">
            <v>3</v>
          </cell>
          <cell r="T64">
            <v>8</v>
          </cell>
          <cell r="U64">
            <v>3</v>
          </cell>
        </row>
        <row r="65">
          <cell r="A65">
            <v>113011</v>
          </cell>
          <cell r="B65">
            <v>113011</v>
          </cell>
          <cell r="C65" t="str">
            <v>鲁兹</v>
          </cell>
          <cell r="D65" t="str">
            <v>罗布·鲁兹</v>
          </cell>
        </row>
        <row r="65">
          <cell r="F65">
            <v>0</v>
          </cell>
          <cell r="G65" t="str">
            <v>CP9史上堪称最强的冷酷的杀戮兵器！从13岁起就隶属CP9，凭借出类拔萃的体术完成黑暗任务。</v>
          </cell>
          <cell r="H65" t="str">
            <v>CP9最冷酷杀戮机器，擅长进攻。\n高额伤害可以最大限度降低敌方战斗力。\n伤害输出大师，化身为豹捕猎所有敌人。</v>
          </cell>
          <cell r="I65" t="str">
            <v>单点爆发</v>
          </cell>
          <cell r="J65" t="str">
            <v>对位优先</v>
          </cell>
          <cell r="K65" t="str">
            <v>猫猫之果</v>
          </cell>
          <cell r="L65" t="str">
            <v>162,161</v>
          </cell>
          <cell r="M65">
            <v>1</v>
          </cell>
          <cell r="N65">
            <v>1</v>
          </cell>
          <cell r="O65">
            <v>1</v>
          </cell>
          <cell r="P65">
            <v>1</v>
          </cell>
          <cell r="Q65">
            <v>4</v>
          </cell>
          <cell r="R65" t="str">
            <v>世界政府</v>
          </cell>
          <cell r="S65">
            <v>3</v>
          </cell>
          <cell r="T65">
            <v>8</v>
          </cell>
          <cell r="U65">
            <v>3</v>
          </cell>
        </row>
        <row r="66">
          <cell r="A66">
            <v>113012</v>
          </cell>
          <cell r="B66">
            <v>113012</v>
          </cell>
          <cell r="C66" t="str">
            <v>甚平</v>
          </cell>
          <cell r="D66" t="str">
            <v>甚平</v>
          </cell>
        </row>
        <row r="66">
          <cell r="F66">
            <v>0</v>
          </cell>
          <cell r="G66" t="str">
            <v>用高超的武艺贯彻仁义精神，心地善良的鱼人老大“海侠甚平”！！</v>
          </cell>
          <cell r="H66" t="str">
            <v>王下七武海之一，拥有可怕的怪力。\n精通“鱼人空手道”和“鱼人柔术”。\n有着出色的生存能力和反击能力。</v>
          </cell>
          <cell r="I66" t="str">
            <v>后发制人</v>
          </cell>
          <cell r="J66" t="str">
            <v>前排优先</v>
          </cell>
          <cell r="K66" t="str">
            <v>无</v>
          </cell>
          <cell r="L66" t="str">
            <v>399,398</v>
          </cell>
          <cell r="M66">
            <v>1</v>
          </cell>
          <cell r="N66">
            <v>1</v>
          </cell>
          <cell r="O66">
            <v>4</v>
          </cell>
          <cell r="P66">
            <v>4</v>
          </cell>
          <cell r="Q66">
            <v>5</v>
          </cell>
          <cell r="R66" t="str">
            <v>王下七武海</v>
          </cell>
          <cell r="S66">
            <v>3</v>
          </cell>
          <cell r="T66">
            <v>8</v>
          </cell>
          <cell r="U66">
            <v>3</v>
          </cell>
        </row>
        <row r="67">
          <cell r="A67">
            <v>113013</v>
          </cell>
          <cell r="B67">
            <v>113013</v>
          </cell>
          <cell r="C67" t="str">
            <v>汉库珂</v>
          </cell>
          <cell r="D67" t="str">
            <v>女帝</v>
          </cell>
        </row>
        <row r="67">
          <cell r="F67">
            <v>1</v>
          </cell>
          <cell r="G67" t="str">
            <v>被称为世界第一的绝世美女，无论男女老幼都被她迷得神魂颠倒！拥有霸王色霸气，是海军元帅也认可的实力者。</v>
          </cell>
          <cell r="H67" t="str">
            <v>王下七武海之一，擅长进攻。\n甜甜之果能力者，九蛇海盗团的现任船长。\n被称为世界第一的绝世美女。</v>
          </cell>
          <cell r="I67" t="str">
            <v>爆发输出</v>
          </cell>
          <cell r="J67" t="str">
            <v>对位优先</v>
          </cell>
          <cell r="K67" t="str">
            <v>甜甜之果</v>
          </cell>
          <cell r="L67" t="str">
            <v>416,412</v>
          </cell>
          <cell r="M67">
            <v>1</v>
          </cell>
          <cell r="N67">
            <v>1</v>
          </cell>
          <cell r="O67">
            <v>3</v>
          </cell>
          <cell r="P67">
            <v>3</v>
          </cell>
          <cell r="Q67">
            <v>5</v>
          </cell>
          <cell r="R67" t="str">
            <v>王下七武海</v>
          </cell>
          <cell r="S67">
            <v>3</v>
          </cell>
          <cell r="T67">
            <v>8</v>
          </cell>
          <cell r="U67">
            <v>3</v>
          </cell>
        </row>
        <row r="68">
          <cell r="A68">
            <v>113014</v>
          </cell>
          <cell r="B68">
            <v>113014</v>
          </cell>
          <cell r="C68" t="str">
            <v>罗</v>
          </cell>
          <cell r="D68" t="str">
            <v>罗</v>
          </cell>
        </row>
        <row r="68">
          <cell r="F68">
            <v>0</v>
          </cell>
          <cell r="G68" t="str">
            <v>不做鲁莽的赌注，总是要争取万无一失的胜利，是位头脑敏锐的海盗。</v>
          </cell>
          <cell r="H68" t="str">
            <v>在"北海"大名鼎鼎的超亿元通缉犯。\n有将攻击范围内的敌人交换位置的能力。\n手术之果的拥有者，是位头脑敏锐的海盗。</v>
          </cell>
          <cell r="I68" t="str">
            <v>攻守平衡</v>
          </cell>
          <cell r="J68" t="str">
            <v>前排优先</v>
          </cell>
          <cell r="K68" t="str">
            <v>手术之果</v>
          </cell>
          <cell r="L68" t="str">
            <v>407,401</v>
          </cell>
          <cell r="M68">
            <v>1</v>
          </cell>
          <cell r="N68">
            <v>1</v>
          </cell>
          <cell r="O68">
            <v>3</v>
          </cell>
          <cell r="P68">
            <v>3</v>
          </cell>
          <cell r="Q68">
            <v>9</v>
          </cell>
          <cell r="R68" t="str">
            <v>心脏海盗团</v>
          </cell>
          <cell r="S68">
            <v>3</v>
          </cell>
          <cell r="T68">
            <v>8</v>
          </cell>
          <cell r="U68">
            <v>3</v>
          </cell>
        </row>
        <row r="69">
          <cell r="A69">
            <v>113015</v>
          </cell>
          <cell r="B69">
            <v>113015</v>
          </cell>
          <cell r="C69" t="str">
            <v>基德</v>
          </cell>
          <cell r="D69" t="str">
            <v>基德</v>
          </cell>
        </row>
        <row r="69">
          <cell r="F69">
            <v>0</v>
          </cell>
          <cell r="G69" t="str">
            <v>和路飞，佐罗同时登陆香波迪群岛的原超新星。是毫不留情地铲除阻碍自己前进的人，以残忍著称的人物。</v>
          </cell>
          <cell r="H69" t="str">
            <v>超新星之一，擅长进攻和防守。\n具有吸引铁的能力，拥有强大的进攻手段。\n会毫不留情地铲除阻碍自己的人。</v>
          </cell>
          <cell r="I69" t="str">
            <v>攻守平衡</v>
          </cell>
          <cell r="J69" t="str">
            <v>前排优先</v>
          </cell>
          <cell r="K69" t="str">
            <v>磁力吸引</v>
          </cell>
          <cell r="L69" t="str">
            <v>425,419</v>
          </cell>
          <cell r="M69">
            <v>1</v>
          </cell>
          <cell r="N69">
            <v>1</v>
          </cell>
          <cell r="O69">
            <v>3</v>
          </cell>
          <cell r="P69">
            <v>3</v>
          </cell>
          <cell r="Q69">
            <v>9</v>
          </cell>
          <cell r="R69" t="str">
            <v>基德海盗团</v>
          </cell>
          <cell r="S69">
            <v>3</v>
          </cell>
          <cell r="T69">
            <v>8</v>
          </cell>
          <cell r="U69">
            <v>3</v>
          </cell>
        </row>
        <row r="70">
          <cell r="A70">
            <v>113016</v>
          </cell>
          <cell r="B70">
            <v>113016</v>
          </cell>
          <cell r="C70" t="str">
            <v>雷利</v>
          </cell>
          <cell r="D70" t="str">
            <v>雷利</v>
          </cell>
        </row>
        <row r="70">
          <cell r="F70">
            <v>0</v>
          </cell>
          <cell r="G70" t="str">
            <v>将时代托付给下一代的老绅士，曾是被称为“冥王”的“海盗王”的左右手！！</v>
          </cell>
          <cell r="H70" t="str">
            <v>被称为“冥王”，是“海盗王”的左右手。\n将时代托付给下一代的老绅士。\n剑客达人，擅长进攻。</v>
          </cell>
          <cell r="I70" t="str">
            <v>极限输出</v>
          </cell>
          <cell r="J70" t="str">
            <v>对位优先</v>
          </cell>
          <cell r="K70" t="str">
            <v>无</v>
          </cell>
          <cell r="L70" t="str">
            <v>455,453</v>
          </cell>
          <cell r="M70">
            <v>1</v>
          </cell>
          <cell r="N70">
            <v>1</v>
          </cell>
          <cell r="O70">
            <v>5</v>
          </cell>
          <cell r="P70">
            <v>5</v>
          </cell>
          <cell r="Q70">
            <v>3</v>
          </cell>
          <cell r="R70" t="str">
            <v>罗杰海盗团</v>
          </cell>
          <cell r="S70">
            <v>3</v>
          </cell>
          <cell r="T70">
            <v>8</v>
          </cell>
          <cell r="U70">
            <v>3</v>
          </cell>
        </row>
        <row r="71">
          <cell r="A71">
            <v>113017</v>
          </cell>
          <cell r="B71">
            <v>113017</v>
          </cell>
          <cell r="C71" t="str">
            <v>战国</v>
          </cell>
          <cell r="D71" t="str">
            <v>战国</v>
          </cell>
        </row>
        <row r="71">
          <cell r="F71">
            <v>0</v>
          </cell>
          <cell r="G71" t="str">
            <v>率领强大的精锐海兵的儒帅“佛之战国”！！在大海盗时代之前就统帅海军总部的元帅。凭借足智多谋的策略和绝对正义的信念，立下了累累战功。</v>
          </cell>
          <cell r="H71" t="str">
            <v>率领强大的精锐海兵的儒帅。\n人人之果大佛形态的拥有者。\n统帅海军总部的海军元帅。</v>
          </cell>
          <cell r="I71" t="str">
            <v>攻守平衡</v>
          </cell>
          <cell r="J71" t="str">
            <v>前排优先</v>
          </cell>
          <cell r="K71" t="str">
            <v>人人之果</v>
          </cell>
          <cell r="L71" t="str">
            <v>461,464</v>
          </cell>
          <cell r="M71">
            <v>1</v>
          </cell>
          <cell r="N71">
            <v>1</v>
          </cell>
          <cell r="O71">
            <v>1</v>
          </cell>
          <cell r="P71">
            <v>1</v>
          </cell>
          <cell r="Q71">
            <v>2</v>
          </cell>
          <cell r="R71" t="str">
            <v>海军</v>
          </cell>
          <cell r="S71">
            <v>3</v>
          </cell>
          <cell r="T71">
            <v>8</v>
          </cell>
          <cell r="U71">
            <v>3</v>
          </cell>
        </row>
        <row r="72">
          <cell r="A72">
            <v>113018</v>
          </cell>
          <cell r="B72">
            <v>113018</v>
          </cell>
          <cell r="C72" t="str">
            <v>麦哲伦</v>
          </cell>
          <cell r="D72" t="str">
            <v>麦哲伦</v>
          </cell>
        </row>
        <row r="72">
          <cell r="F72">
            <v>0</v>
          </cell>
          <cell r="G72" t="str">
            <v>令囚犯们胆战心惊的因佩尔地狱监狱长！！身上长有让人联想到恶魔的犄角和翅膀，负责管理号称世界第一的监狱。</v>
          </cell>
          <cell r="H72" t="str">
            <v>因佩尔地狱监狱长，剧毒之果能力者。\n全身充满了毒素，一旦接触就会中毒。\n会使用可怕的毒属性攻击并腐蚀敌人。</v>
          </cell>
          <cell r="I72" t="str">
            <v>团队输出</v>
          </cell>
          <cell r="J72" t="str">
            <v>前排优先</v>
          </cell>
          <cell r="K72" t="str">
            <v>剧毒之果</v>
          </cell>
          <cell r="L72" t="str">
            <v>471,470</v>
          </cell>
          <cell r="M72">
            <v>1</v>
          </cell>
          <cell r="N72">
            <v>1</v>
          </cell>
          <cell r="O72">
            <v>3</v>
          </cell>
          <cell r="P72">
            <v>3</v>
          </cell>
          <cell r="Q72">
            <v>4</v>
          </cell>
          <cell r="R72" t="str">
            <v>推进城</v>
          </cell>
          <cell r="S72">
            <v>3</v>
          </cell>
          <cell r="T72">
            <v>8</v>
          </cell>
          <cell r="U72">
            <v>3</v>
          </cell>
        </row>
        <row r="73">
          <cell r="A73">
            <v>113019</v>
          </cell>
          <cell r="B73">
            <v>113019</v>
          </cell>
          <cell r="C73" t="str">
            <v>伊娃科夫</v>
          </cell>
          <cell r="D73" t="str">
            <v>伊娃科夫</v>
          </cell>
        </row>
        <row r="73">
          <cell r="F73">
            <v>2</v>
          </cell>
          <cell r="G73" t="str">
            <v>激昂的革命家，引导“新人类”的奇迹之人！！在大监狱因佩尔地狱的地下秘密建立了“新人类”的王国，解救了误入此地的囚犯们。</v>
          </cell>
          <cell r="H73" t="str">
            <v>最强大的人妖，荷尔蒙之果能力者。\n有着巨大的脸，异常庞大的深紫色爆炸发。\n对队伍有巨大的辅助作用。</v>
          </cell>
          <cell r="I73" t="str">
            <v>治疗辅助</v>
          </cell>
          <cell r="J73" t="str">
            <v>前排优先</v>
          </cell>
          <cell r="K73" t="str">
            <v>荷尔蒙之果</v>
          </cell>
          <cell r="L73" t="str">
            <v>487,491</v>
          </cell>
          <cell r="M73">
            <v>1</v>
          </cell>
          <cell r="N73">
            <v>1</v>
          </cell>
          <cell r="O73">
            <v>3</v>
          </cell>
          <cell r="P73">
            <v>3</v>
          </cell>
          <cell r="Q73">
            <v>8</v>
          </cell>
          <cell r="R73" t="str">
            <v>革命军</v>
          </cell>
          <cell r="S73">
            <v>3</v>
          </cell>
          <cell r="T73">
            <v>8</v>
          </cell>
          <cell r="U73">
            <v>3</v>
          </cell>
        </row>
        <row r="74">
          <cell r="A74">
            <v>113020</v>
          </cell>
          <cell r="B74">
            <v>113020</v>
          </cell>
          <cell r="C74" t="str">
            <v>乔兹</v>
          </cell>
          <cell r="D74" t="str">
            <v>乔兹</v>
          </cell>
        </row>
        <row r="74">
          <cell r="F74">
            <v>0</v>
          </cell>
          <cell r="G74" t="str">
            <v>外号“钻石”乔兹，白胡子海盗团第三队队长，超人系钻石果实能力者，拥有世界上最强物理防御的身体</v>
          </cell>
          <cell r="H74" t="str">
            <v>拥有超强的防御力和腕力。\n武装色霸气也极为出色。\n能为队伍承受大量伤害。</v>
          </cell>
          <cell r="I74" t="str">
            <v>防御壁垒</v>
          </cell>
          <cell r="J74" t="str">
            <v>前排优先</v>
          </cell>
          <cell r="K74" t="str">
            <v>闪亮之果</v>
          </cell>
          <cell r="L74" t="str">
            <v>503,502</v>
          </cell>
          <cell r="M74">
            <v>1</v>
          </cell>
          <cell r="N74">
            <v>1</v>
          </cell>
          <cell r="O74">
            <v>3</v>
          </cell>
          <cell r="P74">
            <v>3</v>
          </cell>
          <cell r="Q74">
            <v>3</v>
          </cell>
          <cell r="R74" t="str">
            <v>白胡子海盗团</v>
          </cell>
          <cell r="S74">
            <v>3</v>
          </cell>
          <cell r="T74">
            <v>8</v>
          </cell>
          <cell r="U74">
            <v>3</v>
          </cell>
        </row>
        <row r="75">
          <cell r="A75">
            <v>113021</v>
          </cell>
          <cell r="B75">
            <v>113021</v>
          </cell>
          <cell r="C75" t="str">
            <v>白胡子</v>
          </cell>
          <cell r="D75" t="str">
            <v>白胡子</v>
          </cell>
        </row>
        <row r="75">
          <cell r="F75">
            <v>0</v>
          </cell>
          <cell r="G75" t="str">
            <v>白胡子海盗团的船长，拥有毁灭世界的力量，被称为世界最强男人。</v>
          </cell>
          <cell r="H75" t="str">
            <v>被誉为活着的传说。\n最大的梦想是建立“家庭”。\n拥有毁天灭地的输出。</v>
          </cell>
          <cell r="I75" t="str">
            <v>极限输出</v>
          </cell>
          <cell r="J75" t="str">
            <v>前排优先</v>
          </cell>
          <cell r="K75" t="str">
            <v>震动之果</v>
          </cell>
          <cell r="L75" t="str">
            <v>510,511</v>
          </cell>
          <cell r="M75">
            <v>1</v>
          </cell>
          <cell r="N75">
            <v>1</v>
          </cell>
          <cell r="O75">
            <v>3</v>
          </cell>
          <cell r="P75">
            <v>3</v>
          </cell>
          <cell r="Q75">
            <v>3</v>
          </cell>
          <cell r="R75" t="str">
            <v>白胡子海盗团</v>
          </cell>
          <cell r="S75">
            <v>3</v>
          </cell>
          <cell r="T75">
            <v>8</v>
          </cell>
          <cell r="U75">
            <v>3</v>
          </cell>
        </row>
        <row r="76">
          <cell r="A76">
            <v>113022</v>
          </cell>
          <cell r="B76">
            <v>113022</v>
          </cell>
          <cell r="C76" t="str">
            <v>马尔高</v>
          </cell>
          <cell r="D76" t="str">
            <v>马尔高</v>
          </cell>
        </row>
        <row r="76">
          <cell r="F76">
            <v>0</v>
          </cell>
          <cell r="G76" t="str">
            <v>白胡子海盗团第一队队长兼船医，动物系“幻兽种”鸟鸟之果·不死鸟型能力者，拥有超强的再生能力。</v>
          </cell>
          <cell r="H76" t="str">
            <v>马尔高性格冷静，忠心于白胡子。\n留着金色的朋克头，看起来像菠萝。\n第二形态下可以造成恐怖的输出。</v>
          </cell>
          <cell r="I76" t="str">
            <v>单点爆发</v>
          </cell>
          <cell r="J76" t="str">
            <v>对位优先</v>
          </cell>
          <cell r="K76" t="str">
            <v>鸟鸟之果</v>
          </cell>
          <cell r="L76" t="str">
            <v>528,529</v>
          </cell>
          <cell r="M76">
            <v>1</v>
          </cell>
          <cell r="N76">
            <v>1</v>
          </cell>
          <cell r="O76">
            <v>1</v>
          </cell>
          <cell r="P76">
            <v>1</v>
          </cell>
          <cell r="Q76">
            <v>3</v>
          </cell>
          <cell r="R76" t="str">
            <v>白胡子海盗团</v>
          </cell>
          <cell r="S76">
            <v>3</v>
          </cell>
          <cell r="T76">
            <v>8</v>
          </cell>
          <cell r="U76">
            <v>3</v>
          </cell>
        </row>
        <row r="77">
          <cell r="A77">
            <v>113023</v>
          </cell>
          <cell r="B77">
            <v>113023</v>
          </cell>
          <cell r="C77" t="str">
            <v>比斯塔</v>
          </cell>
          <cell r="D77" t="str">
            <v>比斯塔</v>
          </cell>
        </row>
        <row r="77">
          <cell r="F77">
            <v>0</v>
          </cell>
          <cell r="G77" t="str">
            <v>外号“花剑”，白胡子海盗团五番队队长，二十多年前就已经是白胡子海盗团成员。有名的剑豪，沉稳的二刀流剑士。</v>
          </cell>
          <cell r="H77" t="str">
            <v>性格沉稳，总是保持着微笑。\n使用武器为双剑，二刀流剑士。\n拥有越战越强的特性。</v>
          </cell>
          <cell r="I77" t="str">
            <v>持续输出</v>
          </cell>
          <cell r="J77" t="str">
            <v>对位优先</v>
          </cell>
          <cell r="K77" t="str">
            <v>无</v>
          </cell>
          <cell r="L77" t="str">
            <v>535,537</v>
          </cell>
          <cell r="M77">
            <v>1</v>
          </cell>
          <cell r="N77">
            <v>1</v>
          </cell>
          <cell r="O77">
            <v>5</v>
          </cell>
          <cell r="P77">
            <v>5</v>
          </cell>
          <cell r="Q77">
            <v>3</v>
          </cell>
          <cell r="R77" t="str">
            <v>白胡子海盗团</v>
          </cell>
          <cell r="S77">
            <v>3</v>
          </cell>
          <cell r="T77">
            <v>8</v>
          </cell>
          <cell r="U77">
            <v>3</v>
          </cell>
        </row>
        <row r="78">
          <cell r="A78">
            <v>113024</v>
          </cell>
          <cell r="B78">
            <v>113024</v>
          </cell>
          <cell r="C78" t="str">
            <v>杰克斯</v>
          </cell>
          <cell r="D78" t="str">
            <v>杰克斯</v>
          </cell>
        </row>
        <row r="78">
          <cell r="F78">
            <v>0</v>
          </cell>
          <cell r="G78" t="str">
            <v>过去曾在罗杰海盗团见习，在罗杰海盗团解散后，成立了红发海盗团，短短十一年内跻身四皇之一。</v>
          </cell>
          <cell r="H78" t="str">
            <v>左侧脸颊曾被黑胡子所伤，留有三道疤痕。\n性格豪爽大方，不拘小节。\n进入霸者姿态后将无可匹敌。</v>
          </cell>
          <cell r="I78" t="str">
            <v>单点爆发</v>
          </cell>
          <cell r="J78" t="str">
            <v>前排优先</v>
          </cell>
          <cell r="K78" t="str">
            <v>无</v>
          </cell>
          <cell r="L78" t="str">
            <v>544,545</v>
          </cell>
          <cell r="M78">
            <v>1</v>
          </cell>
          <cell r="N78">
            <v>1</v>
          </cell>
          <cell r="O78">
            <v>5</v>
          </cell>
          <cell r="P78">
            <v>5</v>
          </cell>
          <cell r="Q78">
            <v>3</v>
          </cell>
          <cell r="R78" t="str">
            <v>黑猫海盗团</v>
          </cell>
          <cell r="S78">
            <v>3</v>
          </cell>
          <cell r="T78">
            <v>8</v>
          </cell>
          <cell r="U78">
            <v>3</v>
          </cell>
        </row>
        <row r="79">
          <cell r="A79">
            <v>113025</v>
          </cell>
          <cell r="B79">
            <v>112004</v>
          </cell>
          <cell r="C79" t="str">
            <v>新世界撒谎布</v>
          </cell>
          <cell r="D79" t="str">
            <v>两年后撒谎布</v>
          </cell>
        </row>
        <row r="79">
          <cell r="F79">
            <v>0</v>
          </cell>
          <cell r="G79" t="str">
            <v>曾经为自己力量的不足而懊恼不已，但经过2年的修行后，身心都得到茁壮成长。</v>
          </cell>
          <cell r="H79" t="str">
            <v>草帽团百发百中的狙击手。\n立志成为勇敢的海上战士。\n命中率高，且能在攻击时控制敌方行动。</v>
          </cell>
          <cell r="I79" t="str">
            <v>控制爆发</v>
          </cell>
          <cell r="J79" t="str">
            <v>后排优先</v>
          </cell>
          <cell r="K79" t="str">
            <v>无</v>
          </cell>
          <cell r="L79" t="str">
            <v>552,553</v>
          </cell>
          <cell r="M79">
            <v>1</v>
          </cell>
          <cell r="N79">
            <v>1</v>
          </cell>
          <cell r="O79">
            <v>6</v>
          </cell>
          <cell r="P79">
            <v>6</v>
          </cell>
          <cell r="Q79">
            <v>1</v>
          </cell>
          <cell r="R79" t="str">
            <v>草帽海盗团</v>
          </cell>
          <cell r="S79">
            <v>3</v>
          </cell>
          <cell r="T79">
            <v>8</v>
          </cell>
          <cell r="U79">
            <v>3</v>
          </cell>
        </row>
        <row r="80">
          <cell r="A80">
            <v>113026</v>
          </cell>
          <cell r="B80">
            <v>112002</v>
          </cell>
          <cell r="C80" t="str">
            <v>新世界佐罗</v>
          </cell>
          <cell r="D80" t="str">
            <v>两年后佐罗</v>
          </cell>
        </row>
        <row r="80">
          <cell r="F80">
            <v>0</v>
          </cell>
          <cell r="G80" t="str">
            <v>喜欢直来直往，经过两年的修炼，可使武器上缠绕武装色霸气，离大剑豪的目标越来越近。</v>
          </cell>
          <cell r="H80" t="str">
            <v>三刀流剑士，立志成为世界第一大剑豪。\n在米霍克身边修炼两年，实力大增。\n造成伤害同时提升队友生存能力。</v>
          </cell>
          <cell r="I80" t="str">
            <v>攻守平衡</v>
          </cell>
          <cell r="J80" t="str">
            <v>前排优先</v>
          </cell>
          <cell r="K80" t="str">
            <v>无</v>
          </cell>
          <cell r="L80" t="str">
            <v>560,561</v>
          </cell>
          <cell r="M80">
            <v>1</v>
          </cell>
          <cell r="N80">
            <v>1</v>
          </cell>
          <cell r="O80">
            <v>5</v>
          </cell>
          <cell r="P80">
            <v>5</v>
          </cell>
          <cell r="Q80">
            <v>1</v>
          </cell>
          <cell r="R80" t="str">
            <v>草帽海盗团</v>
          </cell>
          <cell r="S80">
            <v>3</v>
          </cell>
          <cell r="T80">
            <v>8</v>
          </cell>
          <cell r="U80">
            <v>3</v>
          </cell>
        </row>
        <row r="81">
          <cell r="A81">
            <v>113027</v>
          </cell>
          <cell r="B81">
            <v>113027</v>
          </cell>
          <cell r="C81" t="str">
            <v>黑胡子</v>
          </cell>
          <cell r="D81" t="str">
            <v>黑胡子</v>
          </cell>
        </row>
        <row r="81">
          <cell r="F81">
            <v>0</v>
          </cell>
          <cell r="G81" t="str">
            <v>虎视眈眈地觊觎时代的顶点！！野心勃勃的黑暗实力者！！</v>
          </cell>
          <cell r="H81" t="str">
            <v>双果实能力者。\n不会同情弱者，只看重强大的力量。\n在场时，能有效的限制敌方输出。</v>
          </cell>
          <cell r="I81" t="str">
            <v>防御壁垒</v>
          </cell>
          <cell r="J81" t="str">
            <v>前排优先</v>
          </cell>
          <cell r="K81" t="str">
            <v>双果实</v>
          </cell>
          <cell r="L81" t="str">
            <v>568,569</v>
          </cell>
          <cell r="M81">
            <v>1</v>
          </cell>
          <cell r="N81">
            <v>1</v>
          </cell>
          <cell r="O81">
            <v>2</v>
          </cell>
          <cell r="P81">
            <v>2</v>
          </cell>
          <cell r="Q81">
            <v>3</v>
          </cell>
          <cell r="R81" t="str">
            <v>黑胡子海盗团</v>
          </cell>
          <cell r="S81">
            <v>3</v>
          </cell>
          <cell r="T81">
            <v>8</v>
          </cell>
          <cell r="U81">
            <v>3</v>
          </cell>
        </row>
        <row r="82">
          <cell r="A82">
            <v>113028</v>
          </cell>
          <cell r="B82">
            <v>112003</v>
          </cell>
          <cell r="C82" t="str">
            <v>新世界奈美</v>
          </cell>
          <cell r="D82" t="str">
            <v>新世界奈美</v>
          </cell>
        </row>
        <row r="82">
          <cell r="F82">
            <v>1</v>
          </cell>
          <cell r="G82" t="str">
            <v>擅长航海术，梦想是绘制出世界地图，在空岛学习后，气象学知识也大幅提升。</v>
          </cell>
          <cell r="H82" t="str">
            <v>草帽海盗团的航海士，称号小贼猫。\n武器为“魔法天候棒”，头脑聪明又机灵。\n战斗中造成大量属性伤害且拥有强力控制。</v>
          </cell>
          <cell r="I82" t="str">
            <v>控制爆发</v>
          </cell>
          <cell r="J82" t="str">
            <v>前排优先</v>
          </cell>
          <cell r="K82" t="str">
            <v>无</v>
          </cell>
          <cell r="L82" t="str">
            <v>581,582</v>
          </cell>
          <cell r="M82">
            <v>1</v>
          </cell>
          <cell r="N82">
            <v>1</v>
          </cell>
          <cell r="O82">
            <v>6</v>
          </cell>
          <cell r="P82">
            <v>6</v>
          </cell>
          <cell r="Q82">
            <v>1</v>
          </cell>
          <cell r="R82" t="str">
            <v>草帽海盗团</v>
          </cell>
          <cell r="S82">
            <v>3</v>
          </cell>
          <cell r="T82">
            <v>8</v>
          </cell>
          <cell r="U82">
            <v>3</v>
          </cell>
        </row>
        <row r="83">
          <cell r="A83">
            <v>113029</v>
          </cell>
          <cell r="B83">
            <v>112007</v>
          </cell>
          <cell r="C83" t="str">
            <v>新世界罗宾</v>
          </cell>
          <cell r="D83" t="str">
            <v>新世界罗宾</v>
          </cell>
        </row>
        <row r="83">
          <cell r="F83">
            <v>1</v>
          </cell>
          <cell r="G83" t="str">
            <v>年仅8岁便成为考古学家，目标是找到真正的历史正文，绝不饶恕践踏历史文物的人。</v>
          </cell>
          <cell r="H83" t="str">
            <v>草帽海盗团的考古学家，花花之果能力者。\n西海考古学之岛“奥哈拉”的唯一幸存者。\n战斗中可提升队友属性并降低敌方属性。</v>
          </cell>
          <cell r="I83" t="str">
            <v>进攻辅助</v>
          </cell>
          <cell r="J83" t="str">
            <v>后排优先</v>
          </cell>
          <cell r="K83" t="str">
            <v>花花之果</v>
          </cell>
          <cell r="L83" t="str">
            <v>590,592</v>
          </cell>
          <cell r="M83">
            <v>1</v>
          </cell>
          <cell r="N83">
            <v>1</v>
          </cell>
          <cell r="O83">
            <v>3</v>
          </cell>
          <cell r="P83">
            <v>3</v>
          </cell>
          <cell r="Q83">
            <v>1</v>
          </cell>
          <cell r="R83" t="str">
            <v>草帽海盗团</v>
          </cell>
          <cell r="S83">
            <v>3</v>
          </cell>
          <cell r="T83">
            <v>8</v>
          </cell>
          <cell r="U83">
            <v>3</v>
          </cell>
        </row>
        <row r="84">
          <cell r="A84">
            <v>113030</v>
          </cell>
          <cell r="B84">
            <v>113030</v>
          </cell>
          <cell r="C84" t="str">
            <v>多弗拉门戈</v>
          </cell>
          <cell r="D84" t="str">
            <v>多弗拉门戈</v>
          </cell>
        </row>
        <row r="84">
          <cell r="F84">
            <v>0</v>
          </cell>
          <cell r="G84" t="str">
            <v>和世界政府联手进行活动，躲在历史阴影里的海盗！！</v>
          </cell>
          <cell r="H84" t="str">
            <v>曾是天龙人的一员。\n桀敖不驯，冷血无情，为达目的不择手段。\n可召唤分身线偶一同战斗。</v>
          </cell>
          <cell r="I84" t="str">
            <v>攻守平衡</v>
          </cell>
          <cell r="J84" t="str">
            <v>对位优先</v>
          </cell>
          <cell r="K84" t="str">
            <v>线线之果</v>
          </cell>
          <cell r="L84" t="str">
            <v>599,600</v>
          </cell>
          <cell r="M84">
            <v>1</v>
          </cell>
          <cell r="N84">
            <v>1</v>
          </cell>
          <cell r="O84">
            <v>3</v>
          </cell>
          <cell r="P84">
            <v>3</v>
          </cell>
          <cell r="Q84">
            <v>5</v>
          </cell>
          <cell r="R84" t="str">
            <v>王下七武海</v>
          </cell>
          <cell r="S84">
            <v>3</v>
          </cell>
          <cell r="T84">
            <v>8</v>
          </cell>
          <cell r="U84">
            <v>3</v>
          </cell>
        </row>
        <row r="85">
          <cell r="A85">
            <v>113031</v>
          </cell>
          <cell r="B85">
            <v>112001</v>
          </cell>
          <cell r="C85" t="str">
            <v>新世界路飞</v>
          </cell>
          <cell r="D85" t="str">
            <v>新世界路飞</v>
          </cell>
        </row>
        <row r="85">
          <cell r="F85">
            <v>0</v>
          </cell>
          <cell r="G85" t="str">
            <v>超人系橡胶之果能力者，梦想是找到传说中的OnePiece，成为海盗王！</v>
          </cell>
          <cell r="H85" t="str">
            <v>草帽海盗团的船长，十分重视伙伴。\n经过两年的修行，开发出新招式“四档”。\n进入“四档”时，能力大幅提升。</v>
          </cell>
          <cell r="I85" t="str">
            <v>攻守平衡</v>
          </cell>
          <cell r="J85" t="str">
            <v>前排优先</v>
          </cell>
          <cell r="K85" t="str">
            <v>橡皮之果</v>
          </cell>
          <cell r="L85" t="str">
            <v>616,617</v>
          </cell>
          <cell r="M85">
            <v>1</v>
          </cell>
          <cell r="N85">
            <v>1</v>
          </cell>
          <cell r="O85">
            <v>3</v>
          </cell>
          <cell r="P85">
            <v>3</v>
          </cell>
          <cell r="Q85">
            <v>1</v>
          </cell>
          <cell r="R85" t="str">
            <v>草帽海盗团</v>
          </cell>
          <cell r="S85">
            <v>3</v>
          </cell>
          <cell r="T85">
            <v>8</v>
          </cell>
          <cell r="U85">
            <v>3</v>
          </cell>
        </row>
        <row r="86">
          <cell r="A86">
            <v>113032</v>
          </cell>
          <cell r="B86">
            <v>112011</v>
          </cell>
          <cell r="C86" t="str">
            <v>新世界烟鬼</v>
          </cell>
          <cell r="D86" t="str">
            <v>新世界烟鬼</v>
          </cell>
        </row>
        <row r="86">
          <cell r="F86">
            <v>0</v>
          </cell>
          <cell r="G86" t="str">
            <v>自然系烟雾之果能力者，以路飞为一生的宿敌而精进自己。</v>
          </cell>
          <cell r="H86" t="str">
            <v>海军G5支部中将。\n践行自己内心的正义。\n减少所受伤害的同时，可通过攻击削弱对手。</v>
          </cell>
          <cell r="I86" t="str">
            <v>防御辅助</v>
          </cell>
          <cell r="J86" t="str">
            <v>前排优先</v>
          </cell>
          <cell r="K86" t="str">
            <v>烟雾之果</v>
          </cell>
          <cell r="L86" t="str">
            <v>627,628</v>
          </cell>
          <cell r="M86">
            <v>1</v>
          </cell>
          <cell r="N86">
            <v>1</v>
          </cell>
          <cell r="O86">
            <v>2</v>
          </cell>
          <cell r="P86">
            <v>2</v>
          </cell>
          <cell r="Q86">
            <v>2</v>
          </cell>
          <cell r="R86" t="str">
            <v>海军</v>
          </cell>
          <cell r="S86">
            <v>3</v>
          </cell>
          <cell r="T86">
            <v>8</v>
          </cell>
          <cell r="U86">
            <v>3</v>
          </cell>
        </row>
        <row r="87">
          <cell r="A87">
            <v>113033</v>
          </cell>
          <cell r="B87">
            <v>112012</v>
          </cell>
          <cell r="C87" t="str">
            <v>新世界塔希米</v>
          </cell>
          <cell r="D87" t="str">
            <v>新世界塔希米</v>
          </cell>
        </row>
        <row r="87">
          <cell r="F87">
            <v>1</v>
          </cell>
          <cell r="G87" t="str">
            <v>百折不挠的坚强女剑士，经过两年的修炼，实力成长显著。</v>
          </cell>
          <cell r="H87" t="str">
            <v>海军G5支部上校。\n秉性善良，为人正直，能顾全大局。\n稳扎稳打，爆发伤害出色。</v>
          </cell>
          <cell r="I87" t="str">
            <v>控制爆发</v>
          </cell>
          <cell r="J87" t="str">
            <v>前排优先</v>
          </cell>
          <cell r="K87" t="str">
            <v>无</v>
          </cell>
          <cell r="L87" t="str">
            <v>634,636</v>
          </cell>
          <cell r="M87">
            <v>1</v>
          </cell>
          <cell r="N87">
            <v>1</v>
          </cell>
          <cell r="O87">
            <v>5</v>
          </cell>
          <cell r="P87">
            <v>5</v>
          </cell>
          <cell r="Q87">
            <v>2</v>
          </cell>
          <cell r="R87" t="str">
            <v>海军</v>
          </cell>
          <cell r="S87">
            <v>3</v>
          </cell>
          <cell r="T87">
            <v>8</v>
          </cell>
          <cell r="U87">
            <v>3</v>
          </cell>
        </row>
        <row r="88">
          <cell r="A88">
            <v>113034</v>
          </cell>
          <cell r="B88">
            <v>113034</v>
          </cell>
          <cell r="C88" t="str">
            <v>锦卫门</v>
          </cell>
          <cell r="D88" t="str">
            <v>锦卫门</v>
          </cell>
        </row>
        <row r="88">
          <cell r="F88">
            <v>0</v>
          </cell>
          <cell r="G88" t="str">
            <v>来自和之国九里的武士，为了实现主公的遗愿而不断奋战。</v>
          </cell>
          <cell r="H88" t="str">
            <v>和之国武士。\n剑术高超，为人忠义。\n以带有强力火焰伤害的剑术进行战斗。</v>
          </cell>
          <cell r="I88" t="str">
            <v>单点爆发</v>
          </cell>
          <cell r="J88" t="str">
            <v>前排优先</v>
          </cell>
          <cell r="K88" t="str">
            <v>服服之果</v>
          </cell>
          <cell r="L88" t="str">
            <v>643,644</v>
          </cell>
          <cell r="M88">
            <v>1</v>
          </cell>
          <cell r="N88">
            <v>1</v>
          </cell>
          <cell r="O88">
            <v>3</v>
          </cell>
          <cell r="P88">
            <v>3</v>
          </cell>
          <cell r="Q88">
            <v>8</v>
          </cell>
          <cell r="R88" t="str">
            <v>赤鞘九侠</v>
          </cell>
          <cell r="S88">
            <v>3</v>
          </cell>
          <cell r="T88">
            <v>8</v>
          </cell>
          <cell r="U88">
            <v>3</v>
          </cell>
        </row>
        <row r="89">
          <cell r="A89">
            <v>113035</v>
          </cell>
          <cell r="B89">
            <v>112008</v>
          </cell>
          <cell r="C89" t="str">
            <v>新世界弗兰奇</v>
          </cell>
          <cell r="D89" t="str">
            <v>新世界弗兰奇</v>
          </cell>
        </row>
        <row r="89">
          <cell r="F89">
            <v>0</v>
          </cell>
          <cell r="G89" t="str">
            <v>机关岛上，在研究所中，发现了贝加庞克遗留的兵器类发明文献后，将自己再次改造。</v>
          </cell>
          <cell r="H89" t="str">
            <v>草帽海盗团的船匠，性格豪放。\n在机关岛两年，将自己的身体再次改造。\n防御和爆发能力出众。</v>
          </cell>
          <cell r="I89" t="str">
            <v>攻守平衡</v>
          </cell>
          <cell r="J89" t="str">
            <v>前排优先</v>
          </cell>
          <cell r="K89" t="str">
            <v>无</v>
          </cell>
          <cell r="L89" t="str">
            <v>665,666</v>
          </cell>
          <cell r="M89">
            <v>1</v>
          </cell>
          <cell r="N89">
            <v>1</v>
          </cell>
          <cell r="O89">
            <v>4</v>
          </cell>
          <cell r="P89">
            <v>4</v>
          </cell>
          <cell r="Q89">
            <v>1</v>
          </cell>
          <cell r="R89" t="str">
            <v>草帽海盗团</v>
          </cell>
          <cell r="S89">
            <v>3</v>
          </cell>
          <cell r="T89">
            <v>8</v>
          </cell>
          <cell r="U89">
            <v>3</v>
          </cell>
        </row>
        <row r="90">
          <cell r="A90">
            <v>113036</v>
          </cell>
          <cell r="B90">
            <v>112009</v>
          </cell>
          <cell r="C90" t="str">
            <v>新世界布鲁克</v>
          </cell>
          <cell r="D90" t="str">
            <v>新世界布鲁克</v>
          </cell>
        </row>
        <row r="90">
          <cell r="F90">
            <v>0</v>
          </cell>
          <cell r="G90" t="str">
            <v>超人系黄泉之果能力者，重视伙伴的骷髅人，两年后告别了明星的生活与伙伴一同前往新世界。</v>
          </cell>
          <cell r="H90" t="str">
            <v>草帽海盗团的音乐家，人称“灵魂之王”。\n虽身为一具白骨，但却有不凡的实力。\n可通过冻结或催眠方式限制敌方行动。</v>
          </cell>
          <cell r="I90" t="str">
            <v>控制爆发</v>
          </cell>
          <cell r="J90" t="str">
            <v>对位优先</v>
          </cell>
          <cell r="K90" t="str">
            <v>黄泉之果</v>
          </cell>
          <cell r="L90" t="str">
            <v>651,652</v>
          </cell>
          <cell r="M90">
            <v>1</v>
          </cell>
          <cell r="N90">
            <v>1</v>
          </cell>
          <cell r="O90">
            <v>3</v>
          </cell>
          <cell r="P90">
            <v>3</v>
          </cell>
          <cell r="Q90">
            <v>1</v>
          </cell>
          <cell r="R90" t="str">
            <v>草帽海盗团</v>
          </cell>
          <cell r="S90">
            <v>3</v>
          </cell>
          <cell r="T90">
            <v>8</v>
          </cell>
          <cell r="U90">
            <v>3</v>
          </cell>
        </row>
        <row r="91">
          <cell r="A91">
            <v>113037</v>
          </cell>
          <cell r="B91">
            <v>112005</v>
          </cell>
          <cell r="C91" t="str">
            <v>新世界山智</v>
          </cell>
          <cell r="D91" t="str">
            <v>新世界山智</v>
          </cell>
        </row>
        <row r="91">
          <cell r="F91">
            <v>0</v>
          </cell>
          <cell r="G91" t="str">
            <v>践行着骑士精神的绅士，两年后的他尤为擅长见闻色霸气，拥有不凡的实力。</v>
          </cell>
          <cell r="H91" t="str">
            <v>草帽海盗团的厨师，有“黑足”的称号。\n温柔冷静，信赖着伙伴们。\n爆发能力出众，拥有独特的生存能力。</v>
          </cell>
          <cell r="I91" t="str">
            <v>单点爆发</v>
          </cell>
          <cell r="J91" t="str">
            <v>对位优先</v>
          </cell>
          <cell r="K91" t="str">
            <v>无</v>
          </cell>
          <cell r="L91" t="str">
            <v>659,660</v>
          </cell>
          <cell r="M91">
            <v>1</v>
          </cell>
          <cell r="N91">
            <v>1</v>
          </cell>
          <cell r="O91">
            <v>4</v>
          </cell>
          <cell r="P91">
            <v>4</v>
          </cell>
          <cell r="Q91">
            <v>1</v>
          </cell>
          <cell r="R91" t="str">
            <v>草帽海盗团</v>
          </cell>
          <cell r="S91">
            <v>3</v>
          </cell>
          <cell r="T91">
            <v>8</v>
          </cell>
          <cell r="U91">
            <v>3</v>
          </cell>
        </row>
        <row r="92">
          <cell r="A92">
            <v>113038</v>
          </cell>
          <cell r="B92">
            <v>112006</v>
          </cell>
          <cell r="C92" t="str">
            <v>新世界乔巴</v>
          </cell>
          <cell r="D92" t="str">
            <v>新世界乔巴</v>
          </cell>
        </row>
        <row r="92">
          <cell r="F92">
            <v>0</v>
          </cell>
          <cell r="G92" t="str">
            <v>拥有出色医术的医师，经过两年的锻炼，技艺更加炉火纯青。</v>
          </cell>
          <cell r="H92" t="str">
            <v>草帽海盗团的船医，梦想是制造出万能药。\n绝对不会对受伤的人见死不救。\n具有多种回复与辅助技能，支援能力优秀。</v>
          </cell>
          <cell r="I92" t="str">
            <v>医疗辅助</v>
          </cell>
          <cell r="J92" t="str">
            <v>前排优先</v>
          </cell>
          <cell r="K92" t="str">
            <v>人人之果</v>
          </cell>
          <cell r="L92" t="str">
            <v>677,678</v>
          </cell>
          <cell r="M92">
            <v>1</v>
          </cell>
          <cell r="N92">
            <v>1</v>
          </cell>
          <cell r="O92">
            <v>1</v>
          </cell>
          <cell r="P92">
            <v>1</v>
          </cell>
          <cell r="Q92">
            <v>1</v>
          </cell>
          <cell r="R92" t="str">
            <v>草帽海盗团</v>
          </cell>
          <cell r="S92">
            <v>3</v>
          </cell>
          <cell r="T92">
            <v>8</v>
          </cell>
          <cell r="U92">
            <v>3</v>
          </cell>
        </row>
        <row r="93">
          <cell r="A93">
            <v>113039</v>
          </cell>
          <cell r="B93">
            <v>113014</v>
          </cell>
          <cell r="C93" t="str">
            <v>新世界罗</v>
          </cell>
          <cell r="D93" t="str">
            <v>新世界罗</v>
          </cell>
        </row>
        <row r="93">
          <cell r="F93">
            <v>0</v>
          </cell>
          <cell r="G93" t="str">
            <v>超人系手术果实能力者，有着“死亡外科医生”的称号。</v>
          </cell>
          <cell r="H93" t="str">
            <v>红心海盗团团长。\n为人冷静有城府，富有心计。\n通过操纵心脏进行战斗，攻击方式多样。</v>
          </cell>
          <cell r="I93" t="str">
            <v>攻击辅助</v>
          </cell>
          <cell r="J93" t="str">
            <v>前排优先</v>
          </cell>
          <cell r="K93" t="str">
            <v>手术之果</v>
          </cell>
          <cell r="L93" t="str">
            <v>685,686</v>
          </cell>
          <cell r="M93">
            <v>1</v>
          </cell>
          <cell r="N93">
            <v>1</v>
          </cell>
          <cell r="O93">
            <v>3</v>
          </cell>
          <cell r="P93">
            <v>3</v>
          </cell>
          <cell r="Q93">
            <v>9</v>
          </cell>
          <cell r="R93" t="str">
            <v>心脏海盗团</v>
          </cell>
          <cell r="S93">
            <v>3</v>
          </cell>
          <cell r="T93">
            <v>8</v>
          </cell>
          <cell r="U93">
            <v>3</v>
          </cell>
        </row>
        <row r="94">
          <cell r="A94">
            <v>113040</v>
          </cell>
          <cell r="B94">
            <v>113040</v>
          </cell>
          <cell r="C94" t="str">
            <v>卡塔库栗</v>
          </cell>
          <cell r="D94" t="str">
            <v>卡塔库栗</v>
          </cell>
        </row>
        <row r="94">
          <cell r="F94">
            <v>0</v>
          </cell>
          <cell r="G94" t="str">
            <v>超人系糯糯之果能力者，被誉为夏洛特家族的最高杰作，在家族里深受弟弟妹妹们的爱戴和崇拜。</v>
          </cell>
          <cell r="H94" t="str">
            <v>夏洛特家族次子，非常擅长见闻色霸气。\n智勇双全，沉着冷静。\n拥有较强的生存能力，且能造成不俗的伤害。</v>
          </cell>
          <cell r="I94" t="str">
            <v>攻守平衡</v>
          </cell>
          <cell r="J94" t="str">
            <v>前排优先</v>
          </cell>
          <cell r="K94" t="str">
            <v>糯糯之果</v>
          </cell>
          <cell r="L94" t="str">
            <v>693,694</v>
          </cell>
          <cell r="M94">
            <v>1</v>
          </cell>
          <cell r="N94">
            <v>1</v>
          </cell>
          <cell r="O94">
            <v>3</v>
          </cell>
          <cell r="P94">
            <v>3</v>
          </cell>
          <cell r="Q94">
            <v>3</v>
          </cell>
          <cell r="R94" t="str">
            <v>大妈海盗团</v>
          </cell>
          <cell r="S94">
            <v>3</v>
          </cell>
          <cell r="T94">
            <v>8</v>
          </cell>
          <cell r="U94">
            <v>3</v>
          </cell>
        </row>
        <row r="95">
          <cell r="A95">
            <v>113041</v>
          </cell>
          <cell r="B95">
            <v>113041</v>
          </cell>
          <cell r="C95" t="str">
            <v>凯撒</v>
          </cell>
          <cell r="D95" t="str">
            <v>凯撒</v>
          </cell>
        </row>
        <row r="95">
          <cell r="F95">
            <v>0</v>
          </cell>
          <cell r="G95" t="str">
            <v>原海军本部科学部队科学家，因进行各种惨无人道的实验而被科学部队驱逐并通缉。</v>
          </cell>
          <cell r="H95" t="str">
            <v>PH部队的首领，瓦斯之果能力者。\n性格自负，思想太过偏激。\n可造成大量毒气伤害。</v>
          </cell>
          <cell r="I95" t="str">
            <v>元素输出</v>
          </cell>
          <cell r="J95" t="str">
            <v>前排优先</v>
          </cell>
          <cell r="K95" t="str">
            <v>瓦斯之果</v>
          </cell>
          <cell r="L95" t="str">
            <v>702,699</v>
          </cell>
          <cell r="M95">
            <v>1</v>
          </cell>
          <cell r="N95">
            <v>1</v>
          </cell>
          <cell r="O95">
            <v>2</v>
          </cell>
          <cell r="P95">
            <v>2</v>
          </cell>
          <cell r="Q95">
            <v>8</v>
          </cell>
          <cell r="R95" t="str">
            <v>世界政府</v>
          </cell>
          <cell r="S95">
            <v>3</v>
          </cell>
          <cell r="T95">
            <v>8</v>
          </cell>
          <cell r="U95">
            <v>3</v>
          </cell>
        </row>
        <row r="96">
          <cell r="A96">
            <v>113042</v>
          </cell>
          <cell r="B96">
            <v>113042</v>
          </cell>
          <cell r="C96" t="str">
            <v>萨波</v>
          </cell>
          <cell r="D96" t="str">
            <v>萨波</v>
          </cell>
        </row>
        <row r="96">
          <cell r="F96">
            <v>0</v>
          </cell>
          <cell r="G96" t="str">
            <v>首次出海时遭到天龙人的袭击后，留在革命军中成长，后吃下烧烧之果，继承了兄弟艾斯的意志。</v>
          </cell>
          <cell r="H96" t="str">
            <v>革命军参谋总长，二把手。\n路飞和艾斯的结拜兄弟，性格温和。\n继承了艾斯的意志，可使用火焰攻击。</v>
          </cell>
          <cell r="I96" t="str">
            <v>攻守平衡</v>
          </cell>
          <cell r="J96" t="str">
            <v>前排优先</v>
          </cell>
          <cell r="K96" t="str">
            <v>燃烧之果</v>
          </cell>
          <cell r="L96" t="str">
            <v>709,710</v>
          </cell>
          <cell r="M96">
            <v>1</v>
          </cell>
          <cell r="N96">
            <v>1</v>
          </cell>
          <cell r="O96">
            <v>2</v>
          </cell>
          <cell r="P96">
            <v>2</v>
          </cell>
          <cell r="Q96">
            <v>3</v>
          </cell>
          <cell r="R96" t="str">
            <v>革命军</v>
          </cell>
          <cell r="S96">
            <v>3</v>
          </cell>
          <cell r="T96">
            <v>8</v>
          </cell>
          <cell r="U96">
            <v>3</v>
          </cell>
        </row>
        <row r="97">
          <cell r="A97">
            <v>113043</v>
          </cell>
          <cell r="B97">
            <v>113043</v>
          </cell>
          <cell r="C97" t="str">
            <v>藤虎</v>
          </cell>
          <cell r="D97" t="str">
            <v>藤虎</v>
          </cell>
        </row>
        <row r="97">
          <cell r="F97">
            <v>0</v>
          </cell>
          <cell r="G97" t="str">
            <v>原为无人知晓的民间高手，两年间通过“世界征兵”破格提升为海军大将。</v>
          </cell>
          <cell r="H97" t="str">
            <v>新海军三大将之一。\n实力强大，贯彻内心的正义。\n可造成恐怖的范围伤害。</v>
          </cell>
          <cell r="I97" t="str">
            <v>控制爆发</v>
          </cell>
          <cell r="J97" t="str">
            <v>前排优先</v>
          </cell>
          <cell r="K97" t="str">
            <v>重重之果</v>
          </cell>
          <cell r="L97" t="str">
            <v>717,718</v>
          </cell>
          <cell r="M97">
            <v>1</v>
          </cell>
          <cell r="N97">
            <v>1</v>
          </cell>
          <cell r="O97">
            <v>3</v>
          </cell>
          <cell r="P97">
            <v>3</v>
          </cell>
          <cell r="Q97">
            <v>2</v>
          </cell>
          <cell r="R97" t="str">
            <v>海军</v>
          </cell>
          <cell r="S97">
            <v>3</v>
          </cell>
          <cell r="T97">
            <v>8</v>
          </cell>
          <cell r="U97">
            <v>3</v>
          </cell>
        </row>
        <row r="98">
          <cell r="A98">
            <v>113044</v>
          </cell>
          <cell r="B98">
            <v>113044</v>
          </cell>
          <cell r="C98" t="str">
            <v>夏洛特·玲玲</v>
          </cell>
          <cell r="D98" t="str">
            <v>夏洛特·玲玲</v>
          </cell>
        </row>
        <row r="98">
          <cell r="F98">
            <v>1</v>
          </cell>
          <cell r="G98" t="str">
            <v>BIGMOM海盗团的船长，实力强如怪物，被称为“天生破坏者”。</v>
          </cell>
          <cell r="H98" t="str">
            <v>新世界的“四皇”之一。\n身材高大，体型肥胖，极度的嗜吃甜食。\n进攻和防守能力都很恐怖。</v>
          </cell>
          <cell r="I98" t="str">
            <v>攻守平衡</v>
          </cell>
          <cell r="J98" t="str">
            <v>前排优先</v>
          </cell>
          <cell r="K98" t="str">
            <v>魂魂之果</v>
          </cell>
          <cell r="L98" t="str">
            <v>735,731</v>
          </cell>
          <cell r="M98">
            <v>1</v>
          </cell>
          <cell r="N98">
            <v>1</v>
          </cell>
          <cell r="O98">
            <v>3</v>
          </cell>
          <cell r="P98">
            <v>3</v>
          </cell>
          <cell r="Q98">
            <v>3</v>
          </cell>
          <cell r="R98" t="str">
            <v>大妈海盗团</v>
          </cell>
          <cell r="S98">
            <v>3</v>
          </cell>
          <cell r="T98">
            <v>8</v>
          </cell>
          <cell r="U98">
            <v>3</v>
          </cell>
        </row>
        <row r="99">
          <cell r="A99">
            <v>113045</v>
          </cell>
          <cell r="B99">
            <v>113045</v>
          </cell>
          <cell r="C99" t="str">
            <v>苏打饼</v>
          </cell>
          <cell r="D99" t="str">
            <v>苏打饼</v>
          </cell>
        </row>
        <row r="99">
          <cell r="F99">
            <v>0</v>
          </cell>
          <cell r="G99" t="str">
            <v>BIGMOM海盗团“甜点三将星”之一，饼干果实能力者，被称为“饼干骑士”。</v>
          </cell>
          <cell r="H99" t="str">
            <v>夏洛特家族第十子，饼干大臣。\n最高干部三将星之一，实力非常强大。\n可召唤饼干士兵帮助战斗。</v>
          </cell>
          <cell r="I99" t="str">
            <v>攻守平衡</v>
          </cell>
          <cell r="J99" t="str">
            <v>前排优先</v>
          </cell>
          <cell r="K99" t="str">
            <v>饼干之果</v>
          </cell>
          <cell r="L99" t="str">
            <v>739,744</v>
          </cell>
          <cell r="M99">
            <v>1</v>
          </cell>
          <cell r="N99">
            <v>1</v>
          </cell>
          <cell r="O99">
            <v>3</v>
          </cell>
          <cell r="P99">
            <v>3</v>
          </cell>
          <cell r="Q99">
            <v>3</v>
          </cell>
          <cell r="R99" t="str">
            <v>大妈海盗团</v>
          </cell>
          <cell r="S99">
            <v>3</v>
          </cell>
          <cell r="T99">
            <v>8</v>
          </cell>
          <cell r="U99">
            <v>3</v>
          </cell>
        </row>
        <row r="100">
          <cell r="A100">
            <v>113046</v>
          </cell>
          <cell r="B100">
            <v>113046</v>
          </cell>
          <cell r="C100" t="str">
            <v>奶昔</v>
          </cell>
          <cell r="D100" t="str">
            <v>奶昔</v>
          </cell>
        </row>
        <row r="100">
          <cell r="F100">
            <v>1</v>
          </cell>
          <cell r="G100" t="str">
            <v>四皇“BIGMOM”夏洛特·玲玲的第14个女儿，托特兰王国的果汁大臣。</v>
          </cell>
          <cell r="H100" t="str">
            <v>夏洛特家族第14女，“甜点三将星”之一。\n出手冷酷，责任心强。\n能够榨出敌方体内的水分。</v>
          </cell>
          <cell r="I100" t="str">
            <v>持续输出</v>
          </cell>
          <cell r="J100" t="str">
            <v>前排优先</v>
          </cell>
          <cell r="K100" t="str">
            <v>榨榨之果</v>
          </cell>
          <cell r="L100" t="str">
            <v>751,752</v>
          </cell>
          <cell r="M100">
            <v>1</v>
          </cell>
          <cell r="N100">
            <v>1</v>
          </cell>
          <cell r="O100">
            <v>3</v>
          </cell>
          <cell r="P100">
            <v>3</v>
          </cell>
          <cell r="Q100">
            <v>3</v>
          </cell>
          <cell r="R100" t="str">
            <v>大妈海盗团</v>
          </cell>
          <cell r="S100">
            <v>3</v>
          </cell>
          <cell r="T100">
            <v>8</v>
          </cell>
          <cell r="U100">
            <v>3</v>
          </cell>
        </row>
        <row r="101">
          <cell r="A101">
            <v>113047</v>
          </cell>
          <cell r="B101">
            <v>113047</v>
          </cell>
          <cell r="C101" t="str">
            <v>凯多</v>
          </cell>
          <cell r="D101" t="str">
            <v>凯多</v>
          </cell>
        </row>
        <row r="101">
          <cell r="F101">
            <v>0</v>
          </cell>
          <cell r="G101" t="str">
            <v>百兽海盗团的船长，实力极其强悍，被称为“最强的生物”。</v>
          </cell>
          <cell r="H101" t="str">
            <v>新世界的“四皇”之一。\n喜怒无常，好酒好战，计策多端。\n暴怒时会让敌人束手无策。</v>
          </cell>
          <cell r="I101" t="str">
            <v>攻守平衡</v>
          </cell>
          <cell r="J101" t="str">
            <v>前排优先</v>
          </cell>
          <cell r="K101" t="str">
            <v>不明</v>
          </cell>
          <cell r="L101" t="str">
            <v>763,765</v>
          </cell>
          <cell r="M101">
            <v>1</v>
          </cell>
          <cell r="N101">
            <v>1</v>
          </cell>
          <cell r="O101">
            <v>1</v>
          </cell>
          <cell r="P101">
            <v>1</v>
          </cell>
          <cell r="Q101">
            <v>3</v>
          </cell>
          <cell r="R101" t="str">
            <v>百兽海盗团</v>
          </cell>
          <cell r="S101">
            <v>3</v>
          </cell>
          <cell r="T101">
            <v>8</v>
          </cell>
          <cell r="U101">
            <v>3</v>
          </cell>
        </row>
        <row r="102">
          <cell r="A102">
            <v>113048</v>
          </cell>
          <cell r="B102">
            <v>113048</v>
          </cell>
          <cell r="C102" t="str">
            <v>凯文迪修</v>
          </cell>
          <cell r="D102" t="str">
            <v>凯文迪修（小怪）</v>
          </cell>
        </row>
        <row r="102">
          <cell r="F102">
            <v>0</v>
          </cell>
        </row>
        <row r="102">
          <cell r="M102">
            <v>1</v>
          </cell>
          <cell r="N102">
            <v>0</v>
          </cell>
          <cell r="O102">
            <v>5</v>
          </cell>
          <cell r="P102">
            <v>5</v>
          </cell>
          <cell r="Q102">
            <v>2</v>
          </cell>
          <cell r="R102" t="str">
            <v>俊美海盗团</v>
          </cell>
          <cell r="S102">
            <v>3</v>
          </cell>
          <cell r="T102">
            <v>8</v>
          </cell>
          <cell r="U102">
            <v>3</v>
          </cell>
        </row>
        <row r="103">
          <cell r="A103">
            <v>113049</v>
          </cell>
          <cell r="B103">
            <v>113003</v>
          </cell>
          <cell r="C103" t="str">
            <v>新世界库赞</v>
          </cell>
          <cell r="D103" t="str">
            <v>新世界库赞</v>
          </cell>
        </row>
        <row r="103">
          <cell r="F103">
            <v>0</v>
          </cell>
          <cell r="G103" t="str">
            <v>与赤犬在庞克哈萨德上激战十天落败后选择辞职，离开海军。在之后和黑胡子海盗团有所牵扯。</v>
          </cell>
          <cell r="H103" t="str">
            <v>原“海军总部”最高战力之一。\n冰冻之果能力者，实力强大。\n可通过冻结限制敌方行动。</v>
          </cell>
          <cell r="I103" t="str">
            <v>控制法师</v>
          </cell>
          <cell r="J103" t="str">
            <v>对位优先</v>
          </cell>
          <cell r="K103" t="str">
            <v>冰冻之果</v>
          </cell>
          <cell r="L103" t="str">
            <v>784,785</v>
          </cell>
          <cell r="M103">
            <v>1</v>
          </cell>
          <cell r="N103">
            <v>1</v>
          </cell>
          <cell r="O103">
            <v>2</v>
          </cell>
          <cell r="P103">
            <v>2</v>
          </cell>
          <cell r="Q103">
            <v>8</v>
          </cell>
          <cell r="R103" t="str">
            <v>海军</v>
          </cell>
          <cell r="S103">
            <v>3</v>
          </cell>
          <cell r="T103">
            <v>8</v>
          </cell>
          <cell r="U103">
            <v>3</v>
          </cell>
        </row>
        <row r="104">
          <cell r="A104">
            <v>113050</v>
          </cell>
          <cell r="B104">
            <v>113009</v>
          </cell>
          <cell r="C104" t="str">
            <v>新世界赤犬</v>
          </cell>
          <cell r="D104" t="str">
            <v>新世界赤犬</v>
          </cell>
        </row>
        <row r="104">
          <cell r="F104">
            <v>0</v>
          </cell>
          <cell r="G104" t="str">
            <v>奉行着“彻底的正义”之理念，顶上战争后将海军本部迁入“新世界”，以显示打击新世界各路海盗的决心。</v>
          </cell>
          <cell r="H104" t="str">
            <v>现海军本部元帅。\n性格刚直，手段残酷不留一切情面。\n可攻可守，能融化一切。</v>
          </cell>
          <cell r="I104" t="str">
            <v>攻守平衡</v>
          </cell>
          <cell r="J104" t="str">
            <v>前排优先</v>
          </cell>
          <cell r="K104" t="str">
            <v>岩浆之果</v>
          </cell>
          <cell r="L104" t="str">
            <v>792,793</v>
          </cell>
          <cell r="M104">
            <v>1</v>
          </cell>
          <cell r="N104">
            <v>1</v>
          </cell>
          <cell r="O104">
            <v>2</v>
          </cell>
          <cell r="P104">
            <v>2</v>
          </cell>
          <cell r="Q104">
            <v>2</v>
          </cell>
          <cell r="R104" t="str">
            <v>海军</v>
          </cell>
          <cell r="S104">
            <v>3</v>
          </cell>
          <cell r="T104">
            <v>8</v>
          </cell>
          <cell r="U104">
            <v>3</v>
          </cell>
        </row>
        <row r="105">
          <cell r="A105">
            <v>113051</v>
          </cell>
          <cell r="B105">
            <v>113051</v>
          </cell>
          <cell r="C105" t="str">
            <v>丽久</v>
          </cell>
          <cell r="D105" t="str">
            <v>丽久</v>
          </cell>
        </row>
        <row r="105">
          <cell r="F105">
            <v>1</v>
          </cell>
          <cell r="G105" t="str">
            <v>温思默克家族的长女，个人很喜欢毒素，拥有化解中毒的能力。</v>
          </cell>
          <cell r="H105" t="str">
            <v>杰尔马王国的公主，山智的姐姐。\n大方得体、举止优雅、善于交际、有礼貌。\n擅长使用剧毒，爆发出大量毒伤害。</v>
          </cell>
          <cell r="I105" t="str">
            <v>攻击辅助</v>
          </cell>
          <cell r="J105" t="str">
            <v>对位优先</v>
          </cell>
          <cell r="K105" t="str">
            <v>无</v>
          </cell>
          <cell r="L105" t="str">
            <v>800,801</v>
          </cell>
          <cell r="M105">
            <v>1</v>
          </cell>
          <cell r="N105">
            <v>1</v>
          </cell>
          <cell r="O105">
            <v>4</v>
          </cell>
          <cell r="P105">
            <v>4</v>
          </cell>
          <cell r="Q105">
            <v>8</v>
          </cell>
          <cell r="R105" t="str">
            <v>温思默克家族</v>
          </cell>
          <cell r="S105">
            <v>3</v>
          </cell>
          <cell r="T105">
            <v>8</v>
          </cell>
          <cell r="U105">
            <v>3</v>
          </cell>
        </row>
        <row r="106">
          <cell r="A106">
            <v>113052</v>
          </cell>
          <cell r="B106">
            <v>113011</v>
          </cell>
          <cell r="C106" t="str">
            <v>新世界鲁兹</v>
          </cell>
          <cell r="D106" t="str">
            <v>新世界鲁兹</v>
          </cell>
        </row>
        <row r="106">
          <cell r="F106">
            <v>0</v>
          </cell>
          <cell r="G106" t="str">
            <v>两年后成为天龙人直属部队“CP-AIGIS0”的特工。</v>
          </cell>
          <cell r="H106" t="str">
            <v>“CP-AIGIS0”的特工，擅长体术进攻。\n崇尚必要的恶，奉行黑暗的正义。\n伤害输出大师，化身为豹捕猎所有敌人。</v>
          </cell>
          <cell r="I106" t="str">
            <v>单点爆发</v>
          </cell>
          <cell r="J106" t="str">
            <v>对位优先</v>
          </cell>
          <cell r="K106" t="str">
            <v>猫猫之果</v>
          </cell>
          <cell r="L106" t="str">
            <v>809,810</v>
          </cell>
          <cell r="M106">
            <v>1</v>
          </cell>
          <cell r="N106">
            <v>1</v>
          </cell>
          <cell r="O106">
            <v>1</v>
          </cell>
          <cell r="P106">
            <v>1</v>
          </cell>
          <cell r="Q106">
            <v>4</v>
          </cell>
          <cell r="R106" t="str">
            <v>世界政府</v>
          </cell>
          <cell r="S106">
            <v>3</v>
          </cell>
          <cell r="T106">
            <v>8</v>
          </cell>
          <cell r="U106">
            <v>3</v>
          </cell>
        </row>
        <row r="107">
          <cell r="A107">
            <v>113053</v>
          </cell>
          <cell r="B107">
            <v>113013</v>
          </cell>
          <cell r="C107" t="str">
            <v>推进城汉库珂</v>
          </cell>
          <cell r="D107" t="str">
            <v>推进城汉库珂</v>
          </cell>
        </row>
        <row r="107">
          <cell r="F107">
            <v>1</v>
          </cell>
          <cell r="G107" t="str">
            <v>九蛇海盗团团长，曾被迫吃下甜甜之果，从而拥有着能将男女老幼尽数迷倒并变成石头的能力！</v>
          </cell>
          <cell r="H107" t="str">
            <v>女儿国“亚马逊百合”的皇帝。\n甜甜之果能力者，可以将对方变成石头。\n被人称为绝世美女“海盗女帝”。</v>
          </cell>
          <cell r="I107" t="str">
            <v>控制爆发</v>
          </cell>
          <cell r="J107" t="str">
            <v>对位优先</v>
          </cell>
          <cell r="K107" t="str">
            <v>甜甜之果</v>
          </cell>
          <cell r="L107" t="str">
            <v>817,818</v>
          </cell>
          <cell r="M107">
            <v>1</v>
          </cell>
          <cell r="N107">
            <v>1</v>
          </cell>
          <cell r="O107">
            <v>3</v>
          </cell>
          <cell r="P107">
            <v>3</v>
          </cell>
          <cell r="Q107">
            <v>5</v>
          </cell>
          <cell r="R107" t="str">
            <v>王下七武海</v>
          </cell>
          <cell r="S107">
            <v>3</v>
          </cell>
          <cell r="T107">
            <v>8</v>
          </cell>
          <cell r="U107">
            <v>3</v>
          </cell>
        </row>
        <row r="108">
          <cell r="A108">
            <v>113054</v>
          </cell>
          <cell r="B108">
            <v>113054</v>
          </cell>
          <cell r="C108" t="str">
            <v>巴尔托洛梅奥</v>
          </cell>
          <cell r="D108" t="str">
            <v>巴尔托洛梅奥</v>
          </cell>
        </row>
        <row r="108">
          <cell r="F108">
            <v>0</v>
          </cell>
          <cell r="G108" t="str">
            <v>屏障之果能力者，出身罗格镇，见证了路飞在罗格镇处刑台上展现的气魄而对其心生崇拜。</v>
          </cell>
          <cell r="H108" t="str">
            <v>巴托俱乐部首领兼草帽大船团第二番船长。\n看似放任不羁，却极度重视义气。\n擅长使用屏障保护自己和队友。</v>
          </cell>
          <cell r="I108" t="str">
            <v>防御辅助</v>
          </cell>
          <cell r="J108" t="str">
            <v>前排优先</v>
          </cell>
          <cell r="K108" t="str">
            <v>屏障之果</v>
          </cell>
          <cell r="L108" t="str">
            <v>826,827</v>
          </cell>
          <cell r="M108">
            <v>1</v>
          </cell>
          <cell r="N108">
            <v>1</v>
          </cell>
          <cell r="O108">
            <v>3</v>
          </cell>
          <cell r="P108">
            <v>3</v>
          </cell>
          <cell r="Q108">
            <v>3</v>
          </cell>
          <cell r="R108" t="str">
            <v>巴托俱乐部</v>
          </cell>
          <cell r="S108">
            <v>3</v>
          </cell>
          <cell r="T108">
            <v>8</v>
          </cell>
          <cell r="U108">
            <v>3</v>
          </cell>
        </row>
        <row r="109">
          <cell r="A109">
            <v>113055</v>
          </cell>
          <cell r="B109">
            <v>113022</v>
          </cell>
          <cell r="C109" t="str">
            <v>新世界马尔高</v>
          </cell>
          <cell r="D109" t="str">
            <v>新世界马尔高</v>
          </cell>
        </row>
        <row r="109">
          <cell r="F109">
            <v>0</v>
          </cell>
          <cell r="G109" t="str">
            <v>马尔高性格冷静，两年后来到和之国，同路飞一起对抗凯多。</v>
          </cell>
          <cell r="H109" t="str">
            <v>动物系，幻兽种鸟鸟之果能力者。\n实力强劲，义薄云天。\n可复活已经战败的队友。</v>
          </cell>
          <cell r="I109" t="str">
            <v>辅助爆发</v>
          </cell>
          <cell r="J109" t="str">
            <v>对位优先</v>
          </cell>
          <cell r="K109" t="str">
            <v>鸟鸟之果</v>
          </cell>
          <cell r="L109" t="str">
            <v>835,836</v>
          </cell>
          <cell r="M109">
            <v>1</v>
          </cell>
          <cell r="N109">
            <v>1</v>
          </cell>
          <cell r="O109">
            <v>1</v>
          </cell>
          <cell r="P109">
            <v>1</v>
          </cell>
          <cell r="Q109">
            <v>3</v>
          </cell>
          <cell r="R109" t="str">
            <v>白胡子海盗团</v>
          </cell>
          <cell r="S109">
            <v>3</v>
          </cell>
          <cell r="T109">
            <v>8</v>
          </cell>
          <cell r="U109">
            <v>3</v>
          </cell>
        </row>
        <row r="110">
          <cell r="A110">
            <v>113056</v>
          </cell>
          <cell r="B110">
            <v>113010</v>
          </cell>
          <cell r="C110" t="str">
            <v>新世界米霍克</v>
          </cell>
          <cell r="D110" t="str">
            <v>新世界米霍克</v>
          </cell>
        </row>
        <row r="110">
          <cell r="F110">
            <v>0</v>
          </cell>
          <cell r="G110" t="str">
            <v>草帽团分散的两年间，接受了佐罗的请求，指导他剑术，世界会议后，七武海身份被废除。</v>
          </cell>
          <cell r="H110" t="str">
            <v>被誉为“世界第一大剑豪”。\n个性沉稳冷静，我行我素。\n实力强劲，且可多次行动。</v>
          </cell>
          <cell r="I110" t="str">
            <v>攻守平衡</v>
          </cell>
          <cell r="J110" t="str">
            <v>对位优先</v>
          </cell>
          <cell r="K110" t="str">
            <v>无</v>
          </cell>
          <cell r="L110" t="str">
            <v>845,846</v>
          </cell>
          <cell r="M110">
            <v>1</v>
          </cell>
          <cell r="N110">
            <v>1</v>
          </cell>
          <cell r="O110">
            <v>5</v>
          </cell>
          <cell r="P110">
            <v>5</v>
          </cell>
          <cell r="Q110">
            <v>5</v>
          </cell>
          <cell r="R110" t="str">
            <v>王下七武海</v>
          </cell>
          <cell r="S110">
            <v>3</v>
          </cell>
          <cell r="T110">
            <v>8</v>
          </cell>
          <cell r="U110">
            <v>3</v>
          </cell>
        </row>
        <row r="111">
          <cell r="A111">
            <v>113057</v>
          </cell>
          <cell r="B111">
            <v>113057</v>
          </cell>
          <cell r="C111" t="str">
            <v>糖糖</v>
          </cell>
          <cell r="D111" t="str">
            <v>糖糖（英雄）</v>
          </cell>
        </row>
        <row r="111">
          <cell r="F111">
            <v>1</v>
          </cell>
          <cell r="G111" t="str">
            <v>奉多弗拉门戈的命令，把过半的德雷斯罗萨居民变成了玩具，被家族视为重要的干部。</v>
          </cell>
          <cell r="H111" t="str">
            <v>多弗拉门戈家族干部。\n童趣之果能力者。\n能将触碰到的人变成玩具。</v>
          </cell>
          <cell r="I111" t="str">
            <v>辅助控制</v>
          </cell>
          <cell r="J111" t="str">
            <v>对位优先</v>
          </cell>
          <cell r="K111" t="str">
            <v>童趣之果</v>
          </cell>
          <cell r="L111" t="str">
            <v>864,865</v>
          </cell>
          <cell r="M111">
            <v>1</v>
          </cell>
          <cell r="N111">
            <v>1</v>
          </cell>
          <cell r="O111">
            <v>3</v>
          </cell>
          <cell r="P111">
            <v>3</v>
          </cell>
          <cell r="Q111">
            <v>3</v>
          </cell>
          <cell r="R111" t="str">
            <v>唐吉诃德家族</v>
          </cell>
          <cell r="S111">
            <v>3</v>
          </cell>
          <cell r="T111">
            <v>8</v>
          </cell>
          <cell r="U111">
            <v>3</v>
          </cell>
        </row>
        <row r="112">
          <cell r="A112">
            <v>113058</v>
          </cell>
          <cell r="B112">
            <v>113058</v>
          </cell>
          <cell r="C112" t="str">
            <v>凯文迪修</v>
          </cell>
          <cell r="D112" t="str">
            <v>凯文迪修SSR</v>
          </cell>
        </row>
        <row r="112">
          <cell r="F112">
            <v>0</v>
          </cell>
          <cell r="G112" t="str">
            <v>隆美尔王国出身，有杀人梦游症，梦游时会变成第二人格，杀戮性极强。</v>
          </cell>
          <cell r="H112" t="str">
            <v>俊美海盗团船长兼草帽大船团第一番船长。\n个性自恋，拥有双重人格。\n爆发伤害出色。</v>
          </cell>
          <cell r="I112" t="str">
            <v>持续输出</v>
          </cell>
          <cell r="J112" t="str">
            <v>对位优先</v>
          </cell>
          <cell r="K112" t="str">
            <v>无</v>
          </cell>
          <cell r="L112" t="str">
            <v>852,856</v>
          </cell>
          <cell r="M112">
            <v>1</v>
          </cell>
          <cell r="N112">
            <v>1</v>
          </cell>
          <cell r="O112">
            <v>5</v>
          </cell>
          <cell r="P112">
            <v>5</v>
          </cell>
          <cell r="Q112">
            <v>3</v>
          </cell>
          <cell r="R112" t="str">
            <v>俊美海盗团</v>
          </cell>
          <cell r="S112">
            <v>3</v>
          </cell>
          <cell r="T112">
            <v>8</v>
          </cell>
          <cell r="U112">
            <v>3</v>
          </cell>
        </row>
        <row r="113">
          <cell r="A113">
            <v>113059</v>
          </cell>
          <cell r="B113">
            <v>113059</v>
          </cell>
          <cell r="C113" t="str">
            <v>光月御殿</v>
          </cell>
          <cell r="D113" t="str">
            <v>光月御殿</v>
          </cell>
        </row>
        <row r="113">
          <cell r="F113">
            <v>0</v>
          </cell>
          <cell r="G113" t="str">
            <v>原和之国将军继承人，上任和之国将军光月寿喜烧的儿子。</v>
          </cell>
          <cell r="H113" t="str">
            <v>拥有聆听万物之声的能力。\n拥有武器“天羽羽斩”和“阎魔”。\n攻守兼备，爆发伤害极高。</v>
          </cell>
          <cell r="I113" t="str">
            <v>攻守平衡</v>
          </cell>
          <cell r="J113" t="str">
            <v>对位优先</v>
          </cell>
          <cell r="K113" t="str">
            <v>无</v>
          </cell>
          <cell r="L113" t="str">
            <v>878,879</v>
          </cell>
          <cell r="M113">
            <v>1</v>
          </cell>
          <cell r="N113">
            <v>1</v>
          </cell>
          <cell r="O113">
            <v>5</v>
          </cell>
          <cell r="P113">
            <v>5</v>
          </cell>
          <cell r="Q113">
            <v>3</v>
          </cell>
          <cell r="R113" t="str">
            <v>罗杰海盗团</v>
          </cell>
          <cell r="S113">
            <v>3</v>
          </cell>
          <cell r="T113">
            <v>8</v>
          </cell>
          <cell r="U113">
            <v>3</v>
          </cell>
        </row>
        <row r="114">
          <cell r="A114">
            <v>113060</v>
          </cell>
          <cell r="B114">
            <v>113016</v>
          </cell>
          <cell r="C114" t="str">
            <v>青年雷利</v>
          </cell>
          <cell r="D114" t="str">
            <v>青年雷利</v>
          </cell>
        </row>
        <row r="114">
          <cell r="F114">
            <v>0</v>
          </cell>
          <cell r="G114" t="str">
            <v>性格沉稳，年轻时的雷利因为自己家被烧毁而四处游荡，遇到罗杰后，成为了其第一个伙伴。</v>
          </cell>
          <cell r="H114" t="str">
            <v>罗杰海盗团的副船长。\n会使用多种霸气。\n在场时，震慑敌方，使其能力下降。</v>
          </cell>
          <cell r="I114" t="str">
            <v>单点爆发</v>
          </cell>
          <cell r="J114" t="str">
            <v>对位优先</v>
          </cell>
          <cell r="K114" t="str">
            <v>无</v>
          </cell>
          <cell r="L114" t="str">
            <v>886,887</v>
          </cell>
          <cell r="M114">
            <v>1</v>
          </cell>
          <cell r="N114">
            <v>1</v>
          </cell>
          <cell r="O114">
            <v>5</v>
          </cell>
          <cell r="P114">
            <v>5</v>
          </cell>
          <cell r="Q114">
            <v>3</v>
          </cell>
          <cell r="R114" t="str">
            <v>罗杰海盗团</v>
          </cell>
          <cell r="S114">
            <v>3</v>
          </cell>
          <cell r="T114">
            <v>8</v>
          </cell>
          <cell r="U114">
            <v>3</v>
          </cell>
        </row>
        <row r="115">
          <cell r="A115">
            <v>113061</v>
          </cell>
          <cell r="B115">
            <v>113061</v>
          </cell>
          <cell r="C115" t="str">
            <v>凯罗特</v>
          </cell>
          <cell r="D115" t="str">
            <v>凯罗特</v>
          </cell>
        </row>
        <row r="115">
          <cell r="F115">
            <v>1</v>
          </cell>
          <cell r="G115" t="str">
            <v>凯罗特渴望自由的冒险，除了天真可爱，她还充满警惕性，会在暗处仔细观察敌人然后迅速对其展开攻击。</v>
          </cell>
          <cell r="H115" t="str">
            <v>她来自佐乌默克莫公国，是一名纯毛族。\n这个民族被称为“天生的战士”。\n擅长使用静电攻击、控制敌人。</v>
          </cell>
          <cell r="I115" t="str">
            <v>控制爆发</v>
          </cell>
          <cell r="J115" t="str">
            <v>对位优先</v>
          </cell>
          <cell r="K115" t="str">
            <v>无</v>
          </cell>
          <cell r="L115" t="str">
            <v>893,896</v>
          </cell>
          <cell r="M115">
            <v>1</v>
          </cell>
          <cell r="N115">
            <v>1</v>
          </cell>
          <cell r="O115">
            <v>4</v>
          </cell>
          <cell r="P115">
            <v>4</v>
          </cell>
          <cell r="Q115">
            <v>8</v>
          </cell>
          <cell r="R115" t="str">
            <v>火枪队</v>
          </cell>
          <cell r="S115">
            <v>3</v>
          </cell>
          <cell r="T115">
            <v>8</v>
          </cell>
          <cell r="U115">
            <v>3</v>
          </cell>
        </row>
        <row r="116">
          <cell r="A116">
            <v>113062</v>
          </cell>
          <cell r="B116">
            <v>113062</v>
          </cell>
          <cell r="C116" t="str">
            <v>阿菊</v>
          </cell>
          <cell r="D116" t="str">
            <v>阿菊</v>
          </cell>
        </row>
        <row r="116">
          <cell r="F116">
            <v>0</v>
          </cell>
          <cell r="G116" t="str">
            <v>虽然性别为男性，但心理性别为女性，行为举止以及性格也像极了女性，遇到激动之事会哭泣。</v>
          </cell>
          <cell r="H116" t="str">
            <v>光月御殿的家臣，“赤鞘九侠”之一。\n和之国第一美男子剑士“残雪菊之丞”。\n剑术卓越，爆发伤害极高。</v>
          </cell>
          <cell r="I116" t="str">
            <v>单点爆发</v>
          </cell>
          <cell r="J116" t="str">
            <v>对位优先</v>
          </cell>
          <cell r="K116" t="str">
            <v>无</v>
          </cell>
          <cell r="L116" t="str">
            <v>904,903</v>
          </cell>
          <cell r="M116">
            <v>1</v>
          </cell>
          <cell r="N116">
            <v>1</v>
          </cell>
          <cell r="O116">
            <v>5</v>
          </cell>
          <cell r="P116">
            <v>5</v>
          </cell>
          <cell r="Q116">
            <v>8</v>
          </cell>
          <cell r="R116" t="str">
            <v>赤鞘九侠</v>
          </cell>
          <cell r="S116">
            <v>3</v>
          </cell>
          <cell r="T116">
            <v>8</v>
          </cell>
          <cell r="U116">
            <v>3</v>
          </cell>
        </row>
        <row r="117">
          <cell r="A117">
            <v>113063</v>
          </cell>
          <cell r="B117">
            <v>113063</v>
          </cell>
          <cell r="C117" t="str">
            <v>Baby5</v>
          </cell>
          <cell r="D117" t="str">
            <v>Baby5</v>
          </cell>
        </row>
        <row r="117">
          <cell r="F117">
            <v>1</v>
          </cell>
          <cell r="G117" t="str">
            <v>渴望被人需要，只要被别人需要就无法拒绝别人，经常上当受骗，被很多渣男人求婚。</v>
          </cell>
          <cell r="H117" t="str">
            <v>原唐吉诃德家族女仆兼杀手。\n身穿为女仆装黑色长发。\n身体可以变为武器，攻击性极强。</v>
          </cell>
          <cell r="I117" t="str">
            <v>辅助输出</v>
          </cell>
          <cell r="J117" t="str">
            <v>对位优先</v>
          </cell>
          <cell r="K117" t="str">
            <v>武器之果</v>
          </cell>
          <cell r="L117" t="str">
            <v>911,912</v>
          </cell>
          <cell r="M117">
            <v>1</v>
          </cell>
          <cell r="N117">
            <v>1</v>
          </cell>
          <cell r="O117">
            <v>3</v>
          </cell>
          <cell r="P117">
            <v>3</v>
          </cell>
          <cell r="Q117">
            <v>3</v>
          </cell>
          <cell r="R117" t="str">
            <v>八宝水军</v>
          </cell>
          <cell r="S117">
            <v>3</v>
          </cell>
          <cell r="T117">
            <v>8</v>
          </cell>
          <cell r="U117">
            <v>3</v>
          </cell>
        </row>
        <row r="118">
          <cell r="A118">
            <v>113064</v>
          </cell>
          <cell r="B118">
            <v>113021</v>
          </cell>
          <cell r="C118" t="str">
            <v>年轻白胡子</v>
          </cell>
          <cell r="D118" t="str">
            <v>年轻白胡子</v>
          </cell>
        </row>
        <row r="118">
          <cell r="F118">
            <v>0</v>
          </cell>
          <cell r="G118" t="str">
            <v>原洛克斯海盗团成员，现任“白胡子”海盗团船长，对财宝没有任何兴趣，绝不允许任何人伤害自己的同伴。</v>
          </cell>
          <cell r="H118" t="str">
            <v>“白胡子”海盗团船长。\n被誉为“世界最强的男人”。\n食用了“震震果实”，拥有毁天灭地的力量。</v>
          </cell>
          <cell r="I118" t="str">
            <v>攻守平衡</v>
          </cell>
          <cell r="J118" t="str">
            <v>前排优先</v>
          </cell>
          <cell r="K118" t="str">
            <v>震动之果</v>
          </cell>
          <cell r="L118" t="str">
            <v>920,921</v>
          </cell>
          <cell r="M118">
            <v>1</v>
          </cell>
          <cell r="N118">
            <v>1</v>
          </cell>
          <cell r="O118">
            <v>3</v>
          </cell>
          <cell r="P118">
            <v>3</v>
          </cell>
          <cell r="Q118">
            <v>3</v>
          </cell>
          <cell r="R118" t="str">
            <v>白胡子海盗团</v>
          </cell>
          <cell r="S118">
            <v>3</v>
          </cell>
          <cell r="T118">
            <v>8</v>
          </cell>
          <cell r="U118">
            <v>3</v>
          </cell>
        </row>
        <row r="119">
          <cell r="A119">
            <v>113065</v>
          </cell>
          <cell r="B119">
            <v>112025</v>
          </cell>
          <cell r="C119" t="str">
            <v>新世界佩罗娜</v>
          </cell>
          <cell r="D119" t="str">
            <v>新世界佩罗娜</v>
          </cell>
        </row>
        <row r="119">
          <cell r="F119">
            <v>1</v>
          </cell>
          <cell r="G119" t="str">
            <v>原莫利亚手下的干部，大事件之后，与佐罗、米霍克一起在克拉伊咖那岛居住了两年。</v>
          </cell>
          <cell r="H119" t="str">
            <v>性格傲娇的幽灵公主。\n会召唤各种幽灵。\n战斗可辅助队友打出更高的伤害。</v>
          </cell>
          <cell r="I119" t="str">
            <v>辅助法师</v>
          </cell>
          <cell r="J119" t="str">
            <v>对位优先</v>
          </cell>
          <cell r="K119" t="str">
            <v>幽灵之果</v>
          </cell>
          <cell r="L119" t="str">
            <v>928,930</v>
          </cell>
          <cell r="M119">
            <v>1</v>
          </cell>
          <cell r="N119">
            <v>1</v>
          </cell>
          <cell r="O119">
            <v>3</v>
          </cell>
          <cell r="P119">
            <v>3</v>
          </cell>
          <cell r="Q119">
            <v>3</v>
          </cell>
          <cell r="R119" t="str">
            <v>恐怖之船</v>
          </cell>
          <cell r="S119">
            <v>3</v>
          </cell>
          <cell r="T119">
            <v>8</v>
          </cell>
          <cell r="U119">
            <v>3</v>
          </cell>
        </row>
        <row r="120">
          <cell r="A120">
            <v>113066</v>
          </cell>
          <cell r="B120">
            <v>113004</v>
          </cell>
          <cell r="C120" t="str">
            <v>英雄戈普</v>
          </cell>
          <cell r="D120" t="str">
            <v>英雄戈普</v>
          </cell>
        </row>
        <row r="120">
          <cell r="F120">
            <v>0</v>
          </cell>
          <cell r="G120" t="str">
            <v>在38年前独自一人挡下了洛克斯海盗团的进击，并和罗杰联手将整个海盗团毁灭。</v>
          </cell>
          <cell r="H120" t="str">
            <v>海军本部中将，海军中的传奇人物。\n性格刚烈，幽默风趣，很关心部下。\n不同的状态下可保护队友或提升队友输出。</v>
          </cell>
          <cell r="I120" t="str">
            <v>防御壁垒</v>
          </cell>
          <cell r="J120" t="str">
            <v>前排优先</v>
          </cell>
          <cell r="K120" t="str">
            <v>无</v>
          </cell>
          <cell r="L120" t="str">
            <v>937,938</v>
          </cell>
          <cell r="M120">
            <v>1</v>
          </cell>
          <cell r="N120">
            <v>1</v>
          </cell>
          <cell r="O120">
            <v>4</v>
          </cell>
          <cell r="P120">
            <v>4</v>
          </cell>
          <cell r="Q120">
            <v>2</v>
          </cell>
          <cell r="R120" t="str">
            <v>海军</v>
          </cell>
          <cell r="S120">
            <v>3</v>
          </cell>
          <cell r="T120">
            <v>8</v>
          </cell>
          <cell r="U120">
            <v>3</v>
          </cell>
        </row>
        <row r="121">
          <cell r="A121">
            <v>113067</v>
          </cell>
          <cell r="B121">
            <v>113027</v>
          </cell>
          <cell r="C121" t="str">
            <v>新世界黑胡子</v>
          </cell>
          <cell r="D121" t="str">
            <v>新世界黑胡子</v>
          </cell>
        </row>
        <row r="121">
          <cell r="F121">
            <v>0</v>
          </cell>
          <cell r="G121" t="str">
            <v>在白胡子海盗团隐忍二十多年，得到暗暗之果后，开始暴露自己的野心，并成为了新世界“四皇”之一。</v>
          </cell>
          <cell r="H121" t="str">
            <v>新世界的“四皇”之一。\n性格阴险、贪婪、残忍。\n能使别人的能力为己所用。</v>
          </cell>
          <cell r="I121" t="str">
            <v>攻守平衡</v>
          </cell>
          <cell r="J121" t="str">
            <v>前排优先</v>
          </cell>
          <cell r="K121" t="str">
            <v>双果实</v>
          </cell>
          <cell r="L121" t="str">
            <v>957,959</v>
          </cell>
          <cell r="M121">
            <v>1</v>
          </cell>
          <cell r="N121">
            <v>1</v>
          </cell>
          <cell r="O121">
            <v>2</v>
          </cell>
          <cell r="P121">
            <v>2</v>
          </cell>
          <cell r="Q121">
            <v>3</v>
          </cell>
          <cell r="R121" t="str">
            <v>黑胡子海盗团</v>
          </cell>
          <cell r="S121">
            <v>3</v>
          </cell>
          <cell r="T121">
            <v>8</v>
          </cell>
          <cell r="U121">
            <v>3</v>
          </cell>
        </row>
        <row r="122">
          <cell r="A122">
            <v>113068</v>
          </cell>
          <cell r="B122">
            <v>113068</v>
          </cell>
          <cell r="C122" t="str">
            <v>犬岚</v>
          </cell>
          <cell r="D122" t="str">
            <v>犬岚公爵</v>
          </cell>
        </row>
        <row r="122">
          <cell r="F122">
            <v>0</v>
          </cell>
          <cell r="G122" t="str">
            <v>光月御殿的家臣，赤鞘九侠之一，曾随光月御殿成为白胡子海盗团和罗杰海盗团的一员。</v>
          </cell>
          <cell r="H122" t="str">
            <v>佐乌岛两位国王之一。\n善良、和蔼、珍惜伙伴。\n能够保护队友。</v>
          </cell>
          <cell r="I122" t="str">
            <v>辅助爆发</v>
          </cell>
          <cell r="J122" t="str">
            <v>前排优先</v>
          </cell>
          <cell r="K122" t="str">
            <v>无</v>
          </cell>
          <cell r="L122" t="str">
            <v>969,968</v>
          </cell>
          <cell r="M122">
            <v>1</v>
          </cell>
          <cell r="N122">
            <v>1</v>
          </cell>
          <cell r="O122">
            <v>4</v>
          </cell>
          <cell r="P122">
            <v>4</v>
          </cell>
          <cell r="Q122">
            <v>8</v>
          </cell>
          <cell r="R122" t="str">
            <v>赤鞘九侠</v>
          </cell>
          <cell r="S122">
            <v>3</v>
          </cell>
          <cell r="T122">
            <v>8</v>
          </cell>
          <cell r="U122">
            <v>3</v>
          </cell>
        </row>
        <row r="123">
          <cell r="A123">
            <v>113069</v>
          </cell>
          <cell r="B123">
            <v>113069</v>
          </cell>
          <cell r="C123" t="str">
            <v>猫蝮蛇</v>
          </cell>
          <cell r="D123" t="str">
            <v>猫蝮蛇</v>
          </cell>
        </row>
        <row r="123">
          <cell r="F123">
            <v>0</v>
          </cell>
          <cell r="G123" t="str">
            <v>光月御殿的家臣，赤鞘九侠之一，曾随光月御殿成为白胡子海盗团和罗杰海盗团的一员。</v>
          </cell>
          <cell r="H123" t="str">
            <v>佐乌岛两位国王之一。\n性格狂暴，重情义，知恩必报。\n黑夜时分，能力大增。</v>
          </cell>
          <cell r="I123" t="str">
            <v>控制法师</v>
          </cell>
          <cell r="J123" t="str">
            <v>对位优先</v>
          </cell>
          <cell r="K123" t="str">
            <v>无</v>
          </cell>
          <cell r="L123" t="str">
            <v>979,975</v>
          </cell>
          <cell r="M123">
            <v>1</v>
          </cell>
          <cell r="N123">
            <v>1</v>
          </cell>
          <cell r="O123">
            <v>4</v>
          </cell>
          <cell r="P123">
            <v>4</v>
          </cell>
          <cell r="Q123">
            <v>8</v>
          </cell>
          <cell r="R123" t="str">
            <v>赤鞘九侠</v>
          </cell>
          <cell r="S123">
            <v>3</v>
          </cell>
          <cell r="T123">
            <v>8</v>
          </cell>
          <cell r="U123">
            <v>3</v>
          </cell>
        </row>
        <row r="124">
          <cell r="A124">
            <v>113070</v>
          </cell>
          <cell r="B124">
            <v>113070</v>
          </cell>
          <cell r="C124" t="str">
            <v>布玲</v>
          </cell>
          <cell r="D124" t="str">
            <v>布玲</v>
          </cell>
        </row>
        <row r="124">
          <cell r="F124">
            <v>1</v>
          </cell>
          <cell r="G124" t="str">
            <v>四皇“BIGMOM”夏洛特·玲玲的第35个女儿，巧克力大臣候补，咖啡店“卡拉梅尔”的店长。</v>
          </cell>
          <cell r="H124" t="str">
            <v>夏洛特家族第35女，记忆果实能力者。\n本性并不邪恶，善于伪装自己。\n能删除敌方记忆，使其失去战斗能力。</v>
          </cell>
          <cell r="I124" t="str">
            <v>辅助控制</v>
          </cell>
          <cell r="J124" t="str">
            <v>对位优先</v>
          </cell>
          <cell r="K124" t="str">
            <v>记忆果实</v>
          </cell>
          <cell r="L124" t="str">
            <v>997,998</v>
          </cell>
          <cell r="M124">
            <v>1</v>
          </cell>
          <cell r="N124">
            <v>1</v>
          </cell>
          <cell r="O124">
            <v>3</v>
          </cell>
          <cell r="P124">
            <v>3</v>
          </cell>
          <cell r="Q124">
            <v>3</v>
          </cell>
          <cell r="R124" t="str">
            <v>大妈海盗团</v>
          </cell>
          <cell r="S124">
            <v>3</v>
          </cell>
          <cell r="T124">
            <v>8</v>
          </cell>
          <cell r="U124">
            <v>3</v>
          </cell>
        </row>
        <row r="125">
          <cell r="A125">
            <v>113071</v>
          </cell>
          <cell r="B125">
            <v>113071</v>
          </cell>
          <cell r="C125" t="str">
            <v>霍金斯</v>
          </cell>
          <cell r="D125" t="str">
            <v>霍金斯</v>
          </cell>
        </row>
        <row r="125">
          <cell r="F125">
            <v>0</v>
          </cell>
          <cell r="G125" t="str">
            <v>登陆香波地群岛的超新星之一，两年后成为了百兽海盗团“台柱”。</v>
          </cell>
          <cell r="H125" t="str">
            <v>霍金斯海盗团船长，稻草果实能力者。\n性格沉稳内敛，遇事冷静。\n沉迷占卜，并通过占卜的来进行战斗。</v>
          </cell>
          <cell r="I125" t="str">
            <v>功能术士</v>
          </cell>
          <cell r="J125" t="str">
            <v>前排优先</v>
          </cell>
          <cell r="K125" t="str">
            <v>稻草之果</v>
          </cell>
          <cell r="L125" t="str">
            <v>1021,1020</v>
          </cell>
          <cell r="M125">
            <v>1</v>
          </cell>
          <cell r="N125">
            <v>1</v>
          </cell>
          <cell r="O125">
            <v>3</v>
          </cell>
          <cell r="P125">
            <v>3</v>
          </cell>
          <cell r="Q125">
            <v>3</v>
          </cell>
          <cell r="R125" t="str">
            <v>百兽海贼团</v>
          </cell>
          <cell r="S125">
            <v>3</v>
          </cell>
          <cell r="T125">
            <v>8</v>
          </cell>
          <cell r="U125">
            <v>3</v>
          </cell>
        </row>
        <row r="126">
          <cell r="A126">
            <v>113072</v>
          </cell>
          <cell r="B126">
            <v>113072</v>
          </cell>
          <cell r="C126" t="str">
            <v>德雷克</v>
          </cell>
          <cell r="D126" t="str">
            <v>德雷克</v>
          </cell>
        </row>
        <row r="126">
          <cell r="F126">
            <v>0</v>
          </cell>
          <cell r="G126" t="str">
            <v>北海出身，曾为海军少将，后受命打入海盗内部而离开海军，建立德雷克海盗团。</v>
          </cell>
          <cell r="H126" t="str">
            <v>德雷克海盗团船长，龙龙之果能力者。\n人称“堕落的海军少将”。\n会使用锋利的爪痕，虚弱敌人的防御。</v>
          </cell>
          <cell r="I126" t="str">
            <v>进攻辅助</v>
          </cell>
          <cell r="J126" t="str">
            <v>对位优先</v>
          </cell>
          <cell r="K126" t="str">
            <v>龙龙之果</v>
          </cell>
          <cell r="L126" t="str">
            <v>1043,1046</v>
          </cell>
          <cell r="M126">
            <v>1</v>
          </cell>
          <cell r="N126">
            <v>1</v>
          </cell>
          <cell r="O126">
            <v>1</v>
          </cell>
          <cell r="P126">
            <v>1</v>
          </cell>
          <cell r="Q126">
            <v>3</v>
          </cell>
          <cell r="R126" t="str">
            <v>百兽海贼团</v>
          </cell>
          <cell r="S126">
            <v>3</v>
          </cell>
          <cell r="T126">
            <v>8</v>
          </cell>
          <cell r="U126">
            <v>3</v>
          </cell>
        </row>
        <row r="127">
          <cell r="A127">
            <v>113073</v>
          </cell>
          <cell r="B127">
            <v>113073</v>
          </cell>
          <cell r="C127" t="str">
            <v>希流</v>
          </cell>
          <cell r="D127" t="str">
            <v>希流</v>
          </cell>
        </row>
        <row r="127">
          <cell r="F127">
            <v>0</v>
          </cell>
          <cell r="G127" t="str">
            <v>原推进城看守长，因乱杀犯人，被判为缓刑的死刑犯，后加入黑胡子海盗团，成为2号船船长。</v>
          </cell>
          <cell r="H127" t="str">
            <v>黑胡子海盗团2号船船长，透明之果能力者。\n个性残忍嗜杀，心狠手辣。\n杀人于无形之中。</v>
          </cell>
          <cell r="I127" t="str">
            <v>攻守平衡</v>
          </cell>
          <cell r="J127" t="str">
            <v>前排优先</v>
          </cell>
          <cell r="K127" t="str">
            <v>透明之果</v>
          </cell>
          <cell r="L127" t="str">
            <v>1065,1066</v>
          </cell>
          <cell r="M127">
            <v>1</v>
          </cell>
          <cell r="N127">
            <v>0</v>
          </cell>
          <cell r="O127">
            <v>3</v>
          </cell>
          <cell r="P127">
            <v>3</v>
          </cell>
          <cell r="Q127">
            <v>3</v>
          </cell>
          <cell r="R127" t="str">
            <v>黑胡子海盗团</v>
          </cell>
          <cell r="S127">
            <v>3</v>
          </cell>
          <cell r="T127">
            <v>8</v>
          </cell>
          <cell r="U127">
            <v>3</v>
          </cell>
        </row>
        <row r="128">
          <cell r="A128">
            <v>121001</v>
          </cell>
          <cell r="B128">
            <v>121001</v>
          </cell>
          <cell r="C128" t="str">
            <v>持刀黑猫海盗</v>
          </cell>
          <cell r="D128" t="str">
            <v>持刀黑猫海盗</v>
          </cell>
        </row>
        <row r="128">
          <cell r="F128">
            <v>0</v>
          </cell>
        </row>
        <row r="128">
          <cell r="M128">
            <v>0</v>
          </cell>
          <cell r="N128">
            <v>0</v>
          </cell>
          <cell r="O128">
            <v>1</v>
          </cell>
          <cell r="P128">
            <v>1</v>
          </cell>
          <cell r="Q128">
            <v>3</v>
          </cell>
          <cell r="R128" t="str">
            <v>黑猫海盗团</v>
          </cell>
          <cell r="S128">
            <v>1</v>
          </cell>
          <cell r="T128">
            <v>1</v>
          </cell>
          <cell r="U128">
            <v>1</v>
          </cell>
        </row>
        <row r="129">
          <cell r="A129">
            <v>121002</v>
          </cell>
          <cell r="B129">
            <v>121002</v>
          </cell>
          <cell r="C129" t="str">
            <v>石锤黑猫海盗</v>
          </cell>
          <cell r="D129" t="str">
            <v>石锤黑猫海盗</v>
          </cell>
        </row>
        <row r="129">
          <cell r="F129">
            <v>0</v>
          </cell>
        </row>
        <row r="129">
          <cell r="M129">
            <v>0</v>
          </cell>
          <cell r="N129">
            <v>0</v>
          </cell>
          <cell r="O129">
            <v>1</v>
          </cell>
          <cell r="P129">
            <v>1</v>
          </cell>
          <cell r="Q129">
            <v>3</v>
          </cell>
          <cell r="R129" t="str">
            <v>黑猫海盗团</v>
          </cell>
          <cell r="S129">
            <v>1</v>
          </cell>
          <cell r="T129">
            <v>1</v>
          </cell>
          <cell r="U129">
            <v>1</v>
          </cell>
        </row>
        <row r="130">
          <cell r="A130">
            <v>121003</v>
          </cell>
          <cell r="B130">
            <v>121003</v>
          </cell>
          <cell r="C130" t="str">
            <v>花斑猫</v>
          </cell>
          <cell r="D130" t="str">
            <v>花斑猫</v>
          </cell>
        </row>
        <row r="130">
          <cell r="F130">
            <v>0</v>
          </cell>
        </row>
        <row r="130">
          <cell r="M130">
            <v>0</v>
          </cell>
          <cell r="N130">
            <v>1</v>
          </cell>
          <cell r="O130">
            <v>1</v>
          </cell>
          <cell r="P130">
            <v>1</v>
          </cell>
          <cell r="Q130">
            <v>3</v>
          </cell>
          <cell r="R130" t="str">
            <v>黑猫海盗团</v>
          </cell>
          <cell r="S130">
            <v>1</v>
          </cell>
          <cell r="T130">
            <v>1</v>
          </cell>
          <cell r="U130">
            <v>1</v>
          </cell>
        </row>
        <row r="131">
          <cell r="A131">
            <v>121004</v>
          </cell>
          <cell r="B131">
            <v>121004</v>
          </cell>
          <cell r="C131" t="str">
            <v>暹罗猫</v>
          </cell>
          <cell r="D131" t="str">
            <v>暹罗猫</v>
          </cell>
        </row>
        <row r="131">
          <cell r="F131">
            <v>0</v>
          </cell>
        </row>
        <row r="131">
          <cell r="M131">
            <v>0</v>
          </cell>
          <cell r="N131">
            <v>1</v>
          </cell>
          <cell r="O131">
            <v>1</v>
          </cell>
          <cell r="P131">
            <v>1</v>
          </cell>
          <cell r="Q131">
            <v>3</v>
          </cell>
          <cell r="R131" t="str">
            <v>黑猫海盗团</v>
          </cell>
          <cell r="S131">
            <v>1</v>
          </cell>
          <cell r="T131">
            <v>1</v>
          </cell>
          <cell r="U131">
            <v>1</v>
          </cell>
        </row>
        <row r="132">
          <cell r="A132">
            <v>121005</v>
          </cell>
          <cell r="B132">
            <v>121005</v>
          </cell>
          <cell r="C132" t="str">
            <v>布拉哈姆</v>
          </cell>
          <cell r="D132" t="str">
            <v>布拉哈姆</v>
          </cell>
        </row>
        <row r="132">
          <cell r="F132">
            <v>0</v>
          </cell>
        </row>
        <row r="132">
          <cell r="M132">
            <v>0</v>
          </cell>
          <cell r="N132">
            <v>1</v>
          </cell>
          <cell r="O132">
            <v>1</v>
          </cell>
          <cell r="P132">
            <v>1</v>
          </cell>
          <cell r="Q132">
            <v>3</v>
          </cell>
          <cell r="R132" t="str">
            <v>山迪亚</v>
          </cell>
          <cell r="S132">
            <v>1</v>
          </cell>
          <cell r="T132">
            <v>1</v>
          </cell>
          <cell r="U132">
            <v>1</v>
          </cell>
        </row>
        <row r="133">
          <cell r="A133">
            <v>121006</v>
          </cell>
          <cell r="B133">
            <v>121006</v>
          </cell>
          <cell r="C133" t="str">
            <v>黑莫里莫</v>
          </cell>
          <cell r="D133" t="str">
            <v>黑莫里莫</v>
          </cell>
        </row>
        <row r="133">
          <cell r="F133">
            <v>0</v>
          </cell>
        </row>
        <row r="133">
          <cell r="M133">
            <v>0</v>
          </cell>
          <cell r="N133">
            <v>1</v>
          </cell>
          <cell r="O133">
            <v>1</v>
          </cell>
          <cell r="P133">
            <v>1</v>
          </cell>
          <cell r="Q133">
            <v>3</v>
          </cell>
          <cell r="R133" t="str">
            <v>白铁海盗团</v>
          </cell>
          <cell r="S133">
            <v>1</v>
          </cell>
          <cell r="T133">
            <v>1</v>
          </cell>
          <cell r="U133">
            <v>1</v>
          </cell>
        </row>
        <row r="134">
          <cell r="A134">
            <v>121007</v>
          </cell>
          <cell r="B134">
            <v>121007</v>
          </cell>
          <cell r="C134" t="str">
            <v>佛萨</v>
          </cell>
          <cell r="D134" t="str">
            <v>佛萨（测试）</v>
          </cell>
        </row>
        <row r="134">
          <cell r="F134">
            <v>0</v>
          </cell>
        </row>
        <row r="134">
          <cell r="M134">
            <v>0</v>
          </cell>
          <cell r="N134">
            <v>0</v>
          </cell>
          <cell r="O134">
            <v>1</v>
          </cell>
          <cell r="P134">
            <v>1</v>
          </cell>
          <cell r="Q134">
            <v>3</v>
          </cell>
          <cell r="R134" t="str">
            <v/>
          </cell>
          <cell r="S134">
            <v>1</v>
          </cell>
          <cell r="T134">
            <v>1</v>
          </cell>
          <cell r="U134">
            <v>1</v>
          </cell>
        </row>
        <row r="135">
          <cell r="A135">
            <v>121008</v>
          </cell>
          <cell r="B135">
            <v>121008</v>
          </cell>
          <cell r="C135" t="str">
            <v>海军士兵A</v>
          </cell>
          <cell r="D135" t="str">
            <v>海军士兵A</v>
          </cell>
        </row>
        <row r="135">
          <cell r="F135">
            <v>0</v>
          </cell>
        </row>
        <row r="135">
          <cell r="M135">
            <v>0</v>
          </cell>
          <cell r="N135">
            <v>0</v>
          </cell>
          <cell r="O135">
            <v>1</v>
          </cell>
          <cell r="P135">
            <v>1</v>
          </cell>
          <cell r="Q135">
            <v>2</v>
          </cell>
          <cell r="R135" t="str">
            <v>海军</v>
          </cell>
          <cell r="S135">
            <v>1</v>
          </cell>
          <cell r="T135">
            <v>1</v>
          </cell>
          <cell r="U135">
            <v>1</v>
          </cell>
        </row>
        <row r="136">
          <cell r="A136">
            <v>121009</v>
          </cell>
          <cell r="B136">
            <v>121009</v>
          </cell>
          <cell r="C136" t="str">
            <v>海军士兵B</v>
          </cell>
          <cell r="D136" t="str">
            <v>海军士兵B</v>
          </cell>
        </row>
        <row r="136">
          <cell r="F136">
            <v>0</v>
          </cell>
        </row>
        <row r="136">
          <cell r="M136">
            <v>0</v>
          </cell>
          <cell r="N136">
            <v>0</v>
          </cell>
          <cell r="O136">
            <v>1</v>
          </cell>
          <cell r="P136">
            <v>1</v>
          </cell>
          <cell r="Q136">
            <v>2</v>
          </cell>
          <cell r="R136" t="str">
            <v>海军</v>
          </cell>
          <cell r="S136">
            <v>1</v>
          </cell>
          <cell r="T136">
            <v>1</v>
          </cell>
          <cell r="U136">
            <v>1</v>
          </cell>
        </row>
        <row r="137">
          <cell r="A137">
            <v>121010</v>
          </cell>
          <cell r="B137">
            <v>121010</v>
          </cell>
          <cell r="C137" t="str">
            <v>希路麦波</v>
          </cell>
          <cell r="D137" t="str">
            <v>希路麦波</v>
          </cell>
        </row>
        <row r="137">
          <cell r="F137">
            <v>0</v>
          </cell>
        </row>
        <row r="137">
          <cell r="M137">
            <v>0</v>
          </cell>
          <cell r="N137">
            <v>1</v>
          </cell>
          <cell r="O137">
            <v>1</v>
          </cell>
          <cell r="P137">
            <v>1</v>
          </cell>
          <cell r="Q137">
            <v>2</v>
          </cell>
          <cell r="R137" t="str">
            <v>海军</v>
          </cell>
          <cell r="S137">
            <v>1</v>
          </cell>
          <cell r="T137">
            <v>1</v>
          </cell>
          <cell r="U137">
            <v>1</v>
          </cell>
        </row>
        <row r="138">
          <cell r="A138">
            <v>121011</v>
          </cell>
          <cell r="B138">
            <v>121011</v>
          </cell>
          <cell r="C138" t="str">
            <v>布特尔</v>
          </cell>
          <cell r="D138" t="str">
            <v>布尔特</v>
          </cell>
        </row>
        <row r="138">
          <cell r="F138">
            <v>0</v>
          </cell>
        </row>
        <row r="138">
          <cell r="M138">
            <v>0</v>
          </cell>
          <cell r="N138">
            <v>1</v>
          </cell>
          <cell r="O138">
            <v>1</v>
          </cell>
          <cell r="P138">
            <v>1</v>
          </cell>
          <cell r="Q138">
            <v>8</v>
          </cell>
          <cell r="R138" t="str">
            <v/>
          </cell>
          <cell r="S138">
            <v>1</v>
          </cell>
          <cell r="T138">
            <v>1</v>
          </cell>
          <cell r="U138">
            <v>1</v>
          </cell>
        </row>
        <row r="139">
          <cell r="A139">
            <v>121012</v>
          </cell>
          <cell r="B139">
            <v>121012</v>
          </cell>
          <cell r="C139" t="str">
            <v>克罗卡斯</v>
          </cell>
          <cell r="D139" t="str">
            <v>克罗卡斯</v>
          </cell>
        </row>
        <row r="139">
          <cell r="F139">
            <v>0</v>
          </cell>
        </row>
        <row r="139">
          <cell r="M139">
            <v>0</v>
          </cell>
          <cell r="N139">
            <v>1</v>
          </cell>
          <cell r="O139">
            <v>1</v>
          </cell>
          <cell r="P139">
            <v>1</v>
          </cell>
          <cell r="Q139">
            <v>8</v>
          </cell>
          <cell r="R139" t="str">
            <v/>
          </cell>
          <cell r="S139">
            <v>1</v>
          </cell>
          <cell r="T139">
            <v>1</v>
          </cell>
          <cell r="U139">
            <v>1</v>
          </cell>
        </row>
        <row r="140">
          <cell r="A140">
            <v>121013</v>
          </cell>
          <cell r="B140">
            <v>121013</v>
          </cell>
          <cell r="C140" t="str">
            <v>步枪海兵</v>
          </cell>
          <cell r="D140" t="str">
            <v>步枪海兵</v>
          </cell>
        </row>
        <row r="140">
          <cell r="F140">
            <v>0</v>
          </cell>
        </row>
        <row r="140">
          <cell r="M140">
            <v>0</v>
          </cell>
          <cell r="N140">
            <v>0</v>
          </cell>
          <cell r="O140">
            <v>1</v>
          </cell>
          <cell r="P140">
            <v>1</v>
          </cell>
          <cell r="Q140">
            <v>2</v>
          </cell>
          <cell r="R140" t="str">
            <v>海军</v>
          </cell>
          <cell r="S140">
            <v>1</v>
          </cell>
          <cell r="T140">
            <v>1</v>
          </cell>
          <cell r="U140">
            <v>1</v>
          </cell>
        </row>
        <row r="141">
          <cell r="A141">
            <v>121014</v>
          </cell>
          <cell r="B141">
            <v>121014</v>
          </cell>
          <cell r="C141" t="str">
            <v>小丑海盗A</v>
          </cell>
          <cell r="D141" t="str">
            <v>小丑海盗01帽子一个尖</v>
          </cell>
        </row>
        <row r="141">
          <cell r="F141">
            <v>0</v>
          </cell>
        </row>
        <row r="141">
          <cell r="M141">
            <v>0</v>
          </cell>
          <cell r="N141">
            <v>0</v>
          </cell>
          <cell r="O141">
            <v>1</v>
          </cell>
          <cell r="P141">
            <v>1</v>
          </cell>
          <cell r="Q141">
            <v>3</v>
          </cell>
          <cell r="R141" t="str">
            <v>小丑海盗团</v>
          </cell>
          <cell r="S141">
            <v>1</v>
          </cell>
          <cell r="T141">
            <v>1</v>
          </cell>
          <cell r="U141">
            <v>1</v>
          </cell>
        </row>
        <row r="142">
          <cell r="A142">
            <v>121015</v>
          </cell>
          <cell r="B142">
            <v>121015</v>
          </cell>
          <cell r="C142" t="str">
            <v>小丑海盗B</v>
          </cell>
          <cell r="D142" t="str">
            <v>小丑海盗02帽子两个尖</v>
          </cell>
        </row>
        <row r="142">
          <cell r="F142">
            <v>0</v>
          </cell>
        </row>
        <row r="142">
          <cell r="M142">
            <v>0</v>
          </cell>
          <cell r="N142">
            <v>0</v>
          </cell>
          <cell r="O142">
            <v>1</v>
          </cell>
          <cell r="P142">
            <v>1</v>
          </cell>
          <cell r="Q142">
            <v>3</v>
          </cell>
          <cell r="R142" t="str">
            <v>小丑海盗团</v>
          </cell>
          <cell r="S142">
            <v>1</v>
          </cell>
          <cell r="T142">
            <v>1</v>
          </cell>
          <cell r="U142">
            <v>1</v>
          </cell>
        </row>
        <row r="143">
          <cell r="A143">
            <v>121016</v>
          </cell>
          <cell r="B143">
            <v>121016</v>
          </cell>
          <cell r="C143" t="str">
            <v>小丑海盗C</v>
          </cell>
          <cell r="D143" t="str">
            <v>小丑海盗03秃子</v>
          </cell>
        </row>
        <row r="143">
          <cell r="F143">
            <v>0</v>
          </cell>
        </row>
        <row r="143">
          <cell r="M143">
            <v>0</v>
          </cell>
          <cell r="N143">
            <v>0</v>
          </cell>
          <cell r="O143">
            <v>1</v>
          </cell>
          <cell r="P143">
            <v>1</v>
          </cell>
          <cell r="Q143">
            <v>3</v>
          </cell>
          <cell r="R143" t="str">
            <v>小丑海盗团</v>
          </cell>
          <cell r="S143">
            <v>1</v>
          </cell>
          <cell r="T143">
            <v>1</v>
          </cell>
          <cell r="U143">
            <v>1</v>
          </cell>
        </row>
        <row r="144">
          <cell r="A144">
            <v>121017</v>
          </cell>
          <cell r="B144">
            <v>121017</v>
          </cell>
          <cell r="C144" t="str">
            <v>持刀海盗</v>
          </cell>
          <cell r="D144" t="str">
            <v>持刀海盗A</v>
          </cell>
        </row>
        <row r="144">
          <cell r="F144">
            <v>0</v>
          </cell>
        </row>
        <row r="144">
          <cell r="M144">
            <v>0</v>
          </cell>
          <cell r="N144">
            <v>0</v>
          </cell>
          <cell r="O144">
            <v>1</v>
          </cell>
          <cell r="P144">
            <v>1</v>
          </cell>
          <cell r="Q144">
            <v>3</v>
          </cell>
          <cell r="R144" t="str">
            <v/>
          </cell>
          <cell r="S144">
            <v>1</v>
          </cell>
          <cell r="T144">
            <v>1</v>
          </cell>
          <cell r="U144">
            <v>1</v>
          </cell>
        </row>
        <row r="145">
          <cell r="A145">
            <v>121018</v>
          </cell>
          <cell r="B145">
            <v>121018</v>
          </cell>
          <cell r="C145" t="str">
            <v>手枪海盗</v>
          </cell>
          <cell r="D145" t="str">
            <v>手枪海盗</v>
          </cell>
        </row>
        <row r="145">
          <cell r="F145">
            <v>0</v>
          </cell>
        </row>
        <row r="145">
          <cell r="M145">
            <v>0</v>
          </cell>
          <cell r="N145">
            <v>0</v>
          </cell>
          <cell r="O145">
            <v>1</v>
          </cell>
          <cell r="P145">
            <v>1</v>
          </cell>
          <cell r="Q145">
            <v>3</v>
          </cell>
          <cell r="R145" t="str">
            <v/>
          </cell>
          <cell r="S145">
            <v>1</v>
          </cell>
          <cell r="T145">
            <v>1</v>
          </cell>
          <cell r="U145">
            <v>1</v>
          </cell>
        </row>
        <row r="146">
          <cell r="A146">
            <v>121019</v>
          </cell>
          <cell r="B146">
            <v>121019</v>
          </cell>
          <cell r="C146" t="str">
            <v>步枪海盗</v>
          </cell>
          <cell r="D146" t="str">
            <v>步枪海盗A</v>
          </cell>
        </row>
        <row r="146">
          <cell r="F146">
            <v>0</v>
          </cell>
        </row>
        <row r="146">
          <cell r="M146">
            <v>0</v>
          </cell>
          <cell r="N146">
            <v>0</v>
          </cell>
          <cell r="O146">
            <v>1</v>
          </cell>
          <cell r="P146">
            <v>1</v>
          </cell>
          <cell r="Q146">
            <v>3</v>
          </cell>
          <cell r="R146" t="str">
            <v/>
          </cell>
          <cell r="S146">
            <v>1</v>
          </cell>
          <cell r="T146">
            <v>1</v>
          </cell>
          <cell r="U146">
            <v>1</v>
          </cell>
        </row>
        <row r="147">
          <cell r="A147">
            <v>121020</v>
          </cell>
          <cell r="B147">
            <v>121020</v>
          </cell>
          <cell r="C147" t="str">
            <v>火炮海盗</v>
          </cell>
          <cell r="D147" t="str">
            <v>火炮海盗A</v>
          </cell>
        </row>
        <row r="147">
          <cell r="F147">
            <v>0</v>
          </cell>
        </row>
        <row r="147">
          <cell r="M147">
            <v>0</v>
          </cell>
          <cell r="N147">
            <v>0</v>
          </cell>
          <cell r="O147">
            <v>1</v>
          </cell>
          <cell r="P147">
            <v>1</v>
          </cell>
          <cell r="Q147">
            <v>3</v>
          </cell>
          <cell r="R147" t="str">
            <v/>
          </cell>
          <cell r="S147">
            <v>1</v>
          </cell>
          <cell r="T147">
            <v>1</v>
          </cell>
          <cell r="U147">
            <v>1</v>
          </cell>
        </row>
        <row r="148">
          <cell r="A148">
            <v>121021</v>
          </cell>
          <cell r="B148">
            <v>121021</v>
          </cell>
          <cell r="C148" t="str">
            <v>毛奇</v>
          </cell>
          <cell r="D148" t="str">
            <v>毛奇</v>
          </cell>
        </row>
        <row r="148">
          <cell r="F148">
            <v>0</v>
          </cell>
        </row>
        <row r="148">
          <cell r="M148">
            <v>0</v>
          </cell>
          <cell r="N148">
            <v>1</v>
          </cell>
          <cell r="O148">
            <v>1</v>
          </cell>
          <cell r="P148">
            <v>1</v>
          </cell>
          <cell r="Q148">
            <v>3</v>
          </cell>
          <cell r="R148" t="str">
            <v>小丑海盗团</v>
          </cell>
          <cell r="S148">
            <v>1</v>
          </cell>
          <cell r="T148">
            <v>1</v>
          </cell>
          <cell r="U148">
            <v>1</v>
          </cell>
        </row>
        <row r="149">
          <cell r="A149">
            <v>121022</v>
          </cell>
          <cell r="B149">
            <v>121022</v>
          </cell>
          <cell r="C149" t="str">
            <v>黑带</v>
          </cell>
          <cell r="D149" t="str">
            <v>黑带</v>
          </cell>
        </row>
        <row r="149">
          <cell r="F149">
            <v>0</v>
          </cell>
        </row>
        <row r="149">
          <cell r="M149">
            <v>0</v>
          </cell>
          <cell r="N149">
            <v>1</v>
          </cell>
          <cell r="O149">
            <v>1</v>
          </cell>
          <cell r="P149">
            <v>1</v>
          </cell>
          <cell r="Q149">
            <v>3</v>
          </cell>
          <cell r="R149" t="str">
            <v>阿龙一伙</v>
          </cell>
          <cell r="S149">
            <v>1</v>
          </cell>
          <cell r="T149">
            <v>1</v>
          </cell>
          <cell r="U149">
            <v>1</v>
          </cell>
        </row>
        <row r="150">
          <cell r="A150">
            <v>121023</v>
          </cell>
          <cell r="B150">
            <v>121023</v>
          </cell>
          <cell r="C150" t="str">
            <v>阿秋</v>
          </cell>
          <cell r="D150" t="str">
            <v>阿秋</v>
          </cell>
        </row>
        <row r="150">
          <cell r="F150">
            <v>0</v>
          </cell>
        </row>
        <row r="150">
          <cell r="M150">
            <v>0</v>
          </cell>
          <cell r="N150">
            <v>1</v>
          </cell>
          <cell r="O150">
            <v>1</v>
          </cell>
          <cell r="P150">
            <v>1</v>
          </cell>
          <cell r="Q150">
            <v>3</v>
          </cell>
          <cell r="R150" t="str">
            <v>阿龙一伙</v>
          </cell>
          <cell r="S150">
            <v>1</v>
          </cell>
          <cell r="T150">
            <v>1</v>
          </cell>
          <cell r="U150">
            <v>1</v>
          </cell>
        </row>
        <row r="151">
          <cell r="A151">
            <v>121025</v>
          </cell>
          <cell r="B151">
            <v>121025</v>
          </cell>
          <cell r="C151" t="str">
            <v>阔嘴鱼人</v>
          </cell>
          <cell r="D151" t="str">
            <v>阔嘴鱼人</v>
          </cell>
        </row>
        <row r="151">
          <cell r="F151">
            <v>0</v>
          </cell>
        </row>
        <row r="151">
          <cell r="M151">
            <v>0</v>
          </cell>
          <cell r="N151">
            <v>0</v>
          </cell>
          <cell r="O151">
            <v>1</v>
          </cell>
          <cell r="P151">
            <v>1</v>
          </cell>
          <cell r="Q151">
            <v>3</v>
          </cell>
          <cell r="R151" t="str">
            <v/>
          </cell>
          <cell r="S151">
            <v>1</v>
          </cell>
          <cell r="T151">
            <v>1</v>
          </cell>
          <cell r="U151">
            <v>1</v>
          </cell>
        </row>
        <row r="152">
          <cell r="A152">
            <v>121026</v>
          </cell>
          <cell r="B152">
            <v>121026</v>
          </cell>
          <cell r="C152" t="str">
            <v>流氓鱼人</v>
          </cell>
          <cell r="D152" t="str">
            <v>流氓鱼人</v>
          </cell>
        </row>
        <row r="152">
          <cell r="F152">
            <v>0</v>
          </cell>
        </row>
        <row r="152">
          <cell r="M152">
            <v>0</v>
          </cell>
          <cell r="N152">
            <v>0</v>
          </cell>
          <cell r="O152">
            <v>1</v>
          </cell>
          <cell r="P152">
            <v>1</v>
          </cell>
          <cell r="Q152">
            <v>3</v>
          </cell>
          <cell r="R152" t="str">
            <v/>
          </cell>
          <cell r="S152">
            <v>1</v>
          </cell>
          <cell r="T152">
            <v>1</v>
          </cell>
          <cell r="U152">
            <v>1</v>
          </cell>
        </row>
        <row r="153">
          <cell r="A153">
            <v>121027</v>
          </cell>
          <cell r="B153">
            <v>121027</v>
          </cell>
          <cell r="C153" t="str">
            <v>胖鱼人</v>
          </cell>
          <cell r="D153" t="str">
            <v>胖鱼人</v>
          </cell>
        </row>
        <row r="153">
          <cell r="F153">
            <v>0</v>
          </cell>
        </row>
        <row r="153">
          <cell r="M153">
            <v>0</v>
          </cell>
          <cell r="N153">
            <v>0</v>
          </cell>
          <cell r="O153">
            <v>1</v>
          </cell>
          <cell r="P153">
            <v>1</v>
          </cell>
          <cell r="Q153">
            <v>3</v>
          </cell>
          <cell r="R153" t="str">
            <v/>
          </cell>
          <cell r="S153">
            <v>1</v>
          </cell>
          <cell r="T153">
            <v>1</v>
          </cell>
          <cell r="U153">
            <v>1</v>
          </cell>
        </row>
        <row r="154">
          <cell r="A154">
            <v>121028</v>
          </cell>
          <cell r="B154">
            <v>121028</v>
          </cell>
          <cell r="C154" t="str">
            <v>刺豚鱼人</v>
          </cell>
          <cell r="D154" t="str">
            <v>刺豚鱼人</v>
          </cell>
        </row>
        <row r="154">
          <cell r="F154">
            <v>0</v>
          </cell>
        </row>
        <row r="154">
          <cell r="M154">
            <v>0</v>
          </cell>
          <cell r="N154">
            <v>0</v>
          </cell>
          <cell r="O154">
            <v>1</v>
          </cell>
          <cell r="P154">
            <v>1</v>
          </cell>
          <cell r="Q154">
            <v>3</v>
          </cell>
          <cell r="R154" t="str">
            <v/>
          </cell>
          <cell r="S154">
            <v>1</v>
          </cell>
          <cell r="T154">
            <v>1</v>
          </cell>
          <cell r="U154">
            <v>1</v>
          </cell>
        </row>
        <row r="155">
          <cell r="A155">
            <v>121032</v>
          </cell>
          <cell r="B155">
            <v>121032</v>
          </cell>
          <cell r="C155" t="str">
            <v>胖黑猫持刀</v>
          </cell>
          <cell r="D155" t="str">
            <v>胖黑猫持刀</v>
          </cell>
        </row>
        <row r="155">
          <cell r="F155">
            <v>0</v>
          </cell>
        </row>
        <row r="155">
          <cell r="M155">
            <v>0</v>
          </cell>
          <cell r="N155">
            <v>0</v>
          </cell>
          <cell r="O155">
            <v>1</v>
          </cell>
          <cell r="P155">
            <v>1</v>
          </cell>
          <cell r="Q155">
            <v>3</v>
          </cell>
          <cell r="R155" t="str">
            <v/>
          </cell>
          <cell r="S155">
            <v>1</v>
          </cell>
          <cell r="T155">
            <v>1</v>
          </cell>
          <cell r="U155">
            <v>1</v>
          </cell>
        </row>
        <row r="156">
          <cell r="A156">
            <v>121033</v>
          </cell>
          <cell r="B156">
            <v>121033</v>
          </cell>
          <cell r="C156" t="str">
            <v>步枪海盗B</v>
          </cell>
          <cell r="D156" t="str">
            <v>步枪海盗B</v>
          </cell>
        </row>
        <row r="156">
          <cell r="F156">
            <v>0</v>
          </cell>
        </row>
        <row r="156">
          <cell r="M156">
            <v>0</v>
          </cell>
          <cell r="N156">
            <v>0</v>
          </cell>
          <cell r="O156">
            <v>1</v>
          </cell>
          <cell r="P156">
            <v>1</v>
          </cell>
          <cell r="Q156">
            <v>3</v>
          </cell>
          <cell r="R156" t="str">
            <v/>
          </cell>
          <cell r="S156">
            <v>1</v>
          </cell>
          <cell r="T156">
            <v>1</v>
          </cell>
          <cell r="U156">
            <v>1</v>
          </cell>
        </row>
        <row r="157">
          <cell r="A157">
            <v>121034</v>
          </cell>
          <cell r="B157">
            <v>121034</v>
          </cell>
          <cell r="C157" t="str">
            <v>单斧海盗</v>
          </cell>
          <cell r="D157" t="str">
            <v>单斧海盗</v>
          </cell>
        </row>
        <row r="157">
          <cell r="F157">
            <v>0</v>
          </cell>
        </row>
        <row r="157">
          <cell r="M157">
            <v>0</v>
          </cell>
          <cell r="N157">
            <v>0</v>
          </cell>
          <cell r="O157">
            <v>1</v>
          </cell>
          <cell r="P157">
            <v>1</v>
          </cell>
          <cell r="Q157">
            <v>3</v>
          </cell>
          <cell r="R157" t="str">
            <v/>
          </cell>
          <cell r="S157">
            <v>1</v>
          </cell>
          <cell r="T157">
            <v>1</v>
          </cell>
          <cell r="U157">
            <v>1</v>
          </cell>
        </row>
        <row r="158">
          <cell r="A158">
            <v>121035</v>
          </cell>
          <cell r="B158">
            <v>121035</v>
          </cell>
          <cell r="C158" t="str">
            <v>持刀海盗B</v>
          </cell>
          <cell r="D158" t="str">
            <v>持刀海盗B</v>
          </cell>
        </row>
        <row r="158">
          <cell r="F158">
            <v>0</v>
          </cell>
        </row>
        <row r="158">
          <cell r="M158">
            <v>0</v>
          </cell>
          <cell r="N158">
            <v>0</v>
          </cell>
          <cell r="O158">
            <v>1</v>
          </cell>
          <cell r="P158">
            <v>1</v>
          </cell>
          <cell r="Q158">
            <v>3</v>
          </cell>
          <cell r="R158" t="str">
            <v/>
          </cell>
          <cell r="S158">
            <v>1</v>
          </cell>
          <cell r="T158">
            <v>1</v>
          </cell>
          <cell r="U158">
            <v>1</v>
          </cell>
        </row>
        <row r="159">
          <cell r="A159">
            <v>121036</v>
          </cell>
          <cell r="B159">
            <v>121036</v>
          </cell>
          <cell r="C159" t="str">
            <v>火炮海盗B</v>
          </cell>
          <cell r="D159" t="str">
            <v>火炮海盗B</v>
          </cell>
        </row>
        <row r="159">
          <cell r="F159">
            <v>0</v>
          </cell>
        </row>
        <row r="159">
          <cell r="M159">
            <v>0</v>
          </cell>
          <cell r="N159">
            <v>0</v>
          </cell>
          <cell r="O159">
            <v>1</v>
          </cell>
          <cell r="P159">
            <v>1</v>
          </cell>
          <cell r="Q159">
            <v>3</v>
          </cell>
          <cell r="R159" t="str">
            <v/>
          </cell>
          <cell r="S159">
            <v>1</v>
          </cell>
          <cell r="T159">
            <v>1</v>
          </cell>
          <cell r="U159">
            <v>1</v>
          </cell>
        </row>
        <row r="160">
          <cell r="A160">
            <v>121037</v>
          </cell>
          <cell r="B160">
            <v>121037</v>
          </cell>
          <cell r="C160" t="str">
            <v>Mr.9</v>
          </cell>
          <cell r="D160" t="str">
            <v>Mr.9</v>
          </cell>
        </row>
        <row r="160">
          <cell r="F160">
            <v>0</v>
          </cell>
        </row>
        <row r="160">
          <cell r="M160">
            <v>0</v>
          </cell>
          <cell r="N160">
            <v>1</v>
          </cell>
          <cell r="O160">
            <v>1</v>
          </cell>
          <cell r="P160">
            <v>1</v>
          </cell>
          <cell r="Q160">
            <v>8</v>
          </cell>
          <cell r="R160" t="str">
            <v>巴洛克工作社</v>
          </cell>
          <cell r="S160">
            <v>1</v>
          </cell>
          <cell r="T160">
            <v>1</v>
          </cell>
          <cell r="U160">
            <v>1</v>
          </cell>
        </row>
        <row r="161">
          <cell r="A161">
            <v>121038</v>
          </cell>
          <cell r="B161">
            <v>121038</v>
          </cell>
          <cell r="C161" t="str">
            <v>Miss.星期一</v>
          </cell>
          <cell r="D161" t="str">
            <v>Miss.星期一</v>
          </cell>
        </row>
        <row r="161">
          <cell r="F161">
            <v>1</v>
          </cell>
        </row>
        <row r="161">
          <cell r="M161">
            <v>0</v>
          </cell>
          <cell r="N161">
            <v>1</v>
          </cell>
          <cell r="O161">
            <v>1</v>
          </cell>
          <cell r="P161">
            <v>1</v>
          </cell>
          <cell r="Q161">
            <v>8</v>
          </cell>
          <cell r="R161" t="str">
            <v>巴洛克工作社</v>
          </cell>
          <cell r="S161">
            <v>1</v>
          </cell>
          <cell r="T161">
            <v>1</v>
          </cell>
          <cell r="U161">
            <v>1</v>
          </cell>
        </row>
        <row r="162">
          <cell r="A162">
            <v>121039</v>
          </cell>
          <cell r="B162">
            <v>121039</v>
          </cell>
          <cell r="C162" t="str">
            <v>Mr.8</v>
          </cell>
          <cell r="D162" t="str">
            <v>Mr.8</v>
          </cell>
        </row>
        <row r="162">
          <cell r="F162">
            <v>0</v>
          </cell>
        </row>
        <row r="162">
          <cell r="M162">
            <v>0</v>
          </cell>
          <cell r="N162">
            <v>1</v>
          </cell>
          <cell r="O162">
            <v>1</v>
          </cell>
          <cell r="P162">
            <v>1</v>
          </cell>
          <cell r="Q162">
            <v>8</v>
          </cell>
          <cell r="R162" t="str">
            <v>巴洛克工作社</v>
          </cell>
          <cell r="S162">
            <v>1</v>
          </cell>
          <cell r="T162">
            <v>1</v>
          </cell>
          <cell r="U162">
            <v>1</v>
          </cell>
        </row>
        <row r="163">
          <cell r="A163">
            <v>121040</v>
          </cell>
          <cell r="B163">
            <v>121040</v>
          </cell>
          <cell r="C163" t="str">
            <v>Miss.情人节</v>
          </cell>
          <cell r="D163" t="str">
            <v>Miss.情人节</v>
          </cell>
        </row>
        <row r="163">
          <cell r="F163">
            <v>1</v>
          </cell>
        </row>
        <row r="163">
          <cell r="M163">
            <v>0</v>
          </cell>
          <cell r="N163">
            <v>1</v>
          </cell>
          <cell r="O163">
            <v>1</v>
          </cell>
          <cell r="P163">
            <v>1</v>
          </cell>
          <cell r="Q163">
            <v>8</v>
          </cell>
          <cell r="R163" t="str">
            <v>巴洛克工作社</v>
          </cell>
          <cell r="S163">
            <v>1</v>
          </cell>
          <cell r="T163">
            <v>1</v>
          </cell>
          <cell r="U163">
            <v>1</v>
          </cell>
        </row>
        <row r="164">
          <cell r="A164">
            <v>121041</v>
          </cell>
          <cell r="B164">
            <v>121041</v>
          </cell>
          <cell r="C164" t="str">
            <v>肉食兔</v>
          </cell>
          <cell r="D164" t="str">
            <v>肉食兔大佬（兔子拉邦）</v>
          </cell>
        </row>
        <row r="164">
          <cell r="F164">
            <v>0</v>
          </cell>
        </row>
        <row r="164">
          <cell r="M164">
            <v>0</v>
          </cell>
          <cell r="N164">
            <v>1</v>
          </cell>
          <cell r="O164">
            <v>1</v>
          </cell>
          <cell r="P164">
            <v>1</v>
          </cell>
          <cell r="Q164">
            <v>8</v>
          </cell>
          <cell r="R164" t="str">
            <v/>
          </cell>
          <cell r="S164">
            <v>1</v>
          </cell>
          <cell r="T164">
            <v>1</v>
          </cell>
          <cell r="U164">
            <v>1</v>
          </cell>
        </row>
        <row r="165">
          <cell r="A165">
            <v>121042</v>
          </cell>
          <cell r="B165">
            <v>121042</v>
          </cell>
          <cell r="C165" t="str">
            <v>功夫海牛</v>
          </cell>
          <cell r="D165" t="str">
            <v>功夫海牛</v>
          </cell>
        </row>
        <row r="165">
          <cell r="F165">
            <v>0</v>
          </cell>
        </row>
        <row r="165">
          <cell r="M165">
            <v>0</v>
          </cell>
          <cell r="N165">
            <v>1</v>
          </cell>
          <cell r="O165">
            <v>1</v>
          </cell>
          <cell r="P165">
            <v>1</v>
          </cell>
          <cell r="Q165">
            <v>8</v>
          </cell>
          <cell r="R165" t="str">
            <v/>
          </cell>
          <cell r="S165">
            <v>1</v>
          </cell>
          <cell r="T165">
            <v>1</v>
          </cell>
          <cell r="U165">
            <v>1</v>
          </cell>
        </row>
        <row r="166">
          <cell r="A166">
            <v>121043</v>
          </cell>
          <cell r="B166">
            <v>121043</v>
          </cell>
          <cell r="C166" t="str">
            <v>棋子</v>
          </cell>
          <cell r="D166" t="str">
            <v>棋子</v>
          </cell>
        </row>
        <row r="166">
          <cell r="F166">
            <v>0</v>
          </cell>
        </row>
        <row r="166">
          <cell r="M166">
            <v>0</v>
          </cell>
          <cell r="N166">
            <v>1</v>
          </cell>
          <cell r="O166">
            <v>1</v>
          </cell>
          <cell r="P166">
            <v>1</v>
          </cell>
          <cell r="Q166">
            <v>3</v>
          </cell>
          <cell r="R166" t="str">
            <v>白铁海盗团</v>
          </cell>
          <cell r="S166">
            <v>1</v>
          </cell>
          <cell r="T166">
            <v>1</v>
          </cell>
          <cell r="U166">
            <v>1</v>
          </cell>
        </row>
        <row r="167">
          <cell r="A167">
            <v>121044</v>
          </cell>
          <cell r="B167">
            <v>121044</v>
          </cell>
          <cell r="C167" t="str">
            <v>持枪铁桶护卫队</v>
          </cell>
          <cell r="D167" t="str">
            <v>持枪铁桶护卫队</v>
          </cell>
        </row>
        <row r="167">
          <cell r="F167">
            <v>0</v>
          </cell>
        </row>
        <row r="167">
          <cell r="M167">
            <v>0</v>
          </cell>
          <cell r="N167">
            <v>0</v>
          </cell>
          <cell r="O167">
            <v>1</v>
          </cell>
          <cell r="P167">
            <v>1</v>
          </cell>
          <cell r="Q167">
            <v>8</v>
          </cell>
          <cell r="R167" t="str">
            <v/>
          </cell>
          <cell r="S167">
            <v>1</v>
          </cell>
          <cell r="T167">
            <v>1</v>
          </cell>
          <cell r="U167">
            <v>1</v>
          </cell>
        </row>
        <row r="168">
          <cell r="A168">
            <v>121045</v>
          </cell>
          <cell r="B168">
            <v>121045</v>
          </cell>
          <cell r="C168" t="str">
            <v>持刀铁桶护卫队</v>
          </cell>
          <cell r="D168" t="str">
            <v>持刀铁桶护卫队</v>
          </cell>
        </row>
        <row r="168">
          <cell r="F168">
            <v>0</v>
          </cell>
        </row>
        <row r="168">
          <cell r="M168">
            <v>0</v>
          </cell>
          <cell r="N168">
            <v>0</v>
          </cell>
          <cell r="O168">
            <v>1</v>
          </cell>
          <cell r="P168">
            <v>1</v>
          </cell>
          <cell r="Q168">
            <v>8</v>
          </cell>
          <cell r="R168" t="str">
            <v/>
          </cell>
          <cell r="S168">
            <v>1</v>
          </cell>
          <cell r="T168">
            <v>1</v>
          </cell>
          <cell r="U168">
            <v>1</v>
          </cell>
        </row>
        <row r="169">
          <cell r="A169">
            <v>121046</v>
          </cell>
          <cell r="B169">
            <v>121046</v>
          </cell>
          <cell r="C169" t="str">
            <v>钝器国王军</v>
          </cell>
          <cell r="D169" t="str">
            <v>钝器国王军</v>
          </cell>
        </row>
        <row r="169">
          <cell r="F169">
            <v>0</v>
          </cell>
        </row>
        <row r="169">
          <cell r="M169">
            <v>0</v>
          </cell>
          <cell r="N169">
            <v>0</v>
          </cell>
          <cell r="O169">
            <v>1</v>
          </cell>
          <cell r="P169">
            <v>1</v>
          </cell>
          <cell r="Q169">
            <v>8</v>
          </cell>
          <cell r="R169" t="str">
            <v/>
          </cell>
          <cell r="S169">
            <v>1</v>
          </cell>
          <cell r="T169">
            <v>1</v>
          </cell>
          <cell r="U169">
            <v>1</v>
          </cell>
        </row>
        <row r="170">
          <cell r="A170">
            <v>121047</v>
          </cell>
          <cell r="B170">
            <v>121047</v>
          </cell>
          <cell r="C170" t="str">
            <v>持弓国王军</v>
          </cell>
          <cell r="D170" t="str">
            <v>持弓国王军</v>
          </cell>
        </row>
        <row r="170">
          <cell r="F170">
            <v>0</v>
          </cell>
        </row>
        <row r="170">
          <cell r="M170">
            <v>0</v>
          </cell>
          <cell r="N170">
            <v>0</v>
          </cell>
          <cell r="O170">
            <v>1</v>
          </cell>
          <cell r="P170">
            <v>1</v>
          </cell>
          <cell r="Q170">
            <v>8</v>
          </cell>
          <cell r="R170" t="str">
            <v/>
          </cell>
          <cell r="S170">
            <v>1</v>
          </cell>
          <cell r="T170">
            <v>1</v>
          </cell>
          <cell r="U170">
            <v>1</v>
          </cell>
        </row>
        <row r="171">
          <cell r="A171">
            <v>121048</v>
          </cell>
          <cell r="B171">
            <v>121048</v>
          </cell>
          <cell r="C171" t="str">
            <v>达尔顿</v>
          </cell>
          <cell r="D171" t="str">
            <v>达尔顿</v>
          </cell>
        </row>
        <row r="171">
          <cell r="F171">
            <v>0</v>
          </cell>
        </row>
        <row r="171">
          <cell r="M171">
            <v>0</v>
          </cell>
          <cell r="N171">
            <v>1</v>
          </cell>
          <cell r="O171">
            <v>1</v>
          </cell>
          <cell r="P171">
            <v>1</v>
          </cell>
          <cell r="Q171">
            <v>8</v>
          </cell>
          <cell r="R171" t="str">
            <v>铁桶岛守卫</v>
          </cell>
          <cell r="S171">
            <v>1</v>
          </cell>
          <cell r="T171">
            <v>1</v>
          </cell>
          <cell r="U171">
            <v>1</v>
          </cell>
        </row>
        <row r="172">
          <cell r="A172">
            <v>121049</v>
          </cell>
          <cell r="B172">
            <v>121049</v>
          </cell>
          <cell r="C172" t="str">
            <v>Ms.圣诞快乐</v>
          </cell>
          <cell r="D172" t="str">
            <v>Ms.圣诞快乐</v>
          </cell>
        </row>
        <row r="172">
          <cell r="F172">
            <v>0</v>
          </cell>
        </row>
        <row r="172">
          <cell r="M172">
            <v>0</v>
          </cell>
          <cell r="N172">
            <v>1</v>
          </cell>
          <cell r="O172">
            <v>1</v>
          </cell>
          <cell r="P172">
            <v>1</v>
          </cell>
          <cell r="Q172">
            <v>8</v>
          </cell>
          <cell r="R172" t="str">
            <v>巴洛克工作社</v>
          </cell>
          <cell r="S172">
            <v>1</v>
          </cell>
          <cell r="T172">
            <v>1</v>
          </cell>
          <cell r="U172">
            <v>1</v>
          </cell>
        </row>
        <row r="173">
          <cell r="A173">
            <v>121050</v>
          </cell>
          <cell r="B173">
            <v>121050</v>
          </cell>
          <cell r="C173" t="str">
            <v>反叛军A01</v>
          </cell>
          <cell r="D173" t="str">
            <v>反叛军A01</v>
          </cell>
        </row>
        <row r="173">
          <cell r="F173">
            <v>0</v>
          </cell>
        </row>
        <row r="173">
          <cell r="M173">
            <v>0</v>
          </cell>
          <cell r="N173">
            <v>0</v>
          </cell>
          <cell r="O173">
            <v>1</v>
          </cell>
          <cell r="P173">
            <v>1</v>
          </cell>
          <cell r="Q173">
            <v>6</v>
          </cell>
          <cell r="R173" t="str">
            <v/>
          </cell>
          <cell r="S173">
            <v>1</v>
          </cell>
          <cell r="T173">
            <v>1</v>
          </cell>
          <cell r="U173">
            <v>1</v>
          </cell>
        </row>
        <row r="174">
          <cell r="A174">
            <v>121051</v>
          </cell>
          <cell r="B174">
            <v>121051</v>
          </cell>
          <cell r="C174" t="str">
            <v>反叛军A02</v>
          </cell>
          <cell r="D174" t="str">
            <v>反叛军A02</v>
          </cell>
        </row>
        <row r="174">
          <cell r="F174">
            <v>0</v>
          </cell>
        </row>
        <row r="174">
          <cell r="M174">
            <v>0</v>
          </cell>
          <cell r="N174">
            <v>0</v>
          </cell>
          <cell r="O174">
            <v>1</v>
          </cell>
          <cell r="P174">
            <v>1</v>
          </cell>
          <cell r="Q174">
            <v>6</v>
          </cell>
          <cell r="R174" t="str">
            <v/>
          </cell>
          <cell r="S174">
            <v>1</v>
          </cell>
          <cell r="T174">
            <v>1</v>
          </cell>
          <cell r="U174">
            <v>1</v>
          </cell>
        </row>
        <row r="175">
          <cell r="A175">
            <v>121052</v>
          </cell>
          <cell r="B175">
            <v>121052</v>
          </cell>
          <cell r="C175" t="str">
            <v>反叛军B01</v>
          </cell>
          <cell r="D175" t="str">
            <v>反叛军B01</v>
          </cell>
        </row>
        <row r="175">
          <cell r="F175">
            <v>0</v>
          </cell>
        </row>
        <row r="175">
          <cell r="M175">
            <v>0</v>
          </cell>
          <cell r="N175">
            <v>0</v>
          </cell>
          <cell r="O175">
            <v>1</v>
          </cell>
          <cell r="P175">
            <v>1</v>
          </cell>
          <cell r="Q175">
            <v>6</v>
          </cell>
          <cell r="R175" t="str">
            <v/>
          </cell>
          <cell r="S175">
            <v>1</v>
          </cell>
          <cell r="T175">
            <v>1</v>
          </cell>
          <cell r="U175">
            <v>1</v>
          </cell>
        </row>
        <row r="176">
          <cell r="A176">
            <v>121053</v>
          </cell>
          <cell r="B176">
            <v>121053</v>
          </cell>
          <cell r="C176" t="str">
            <v>反叛军B02</v>
          </cell>
          <cell r="D176" t="str">
            <v>反叛军B02</v>
          </cell>
        </row>
        <row r="176">
          <cell r="F176">
            <v>0</v>
          </cell>
        </row>
        <row r="176">
          <cell r="M176">
            <v>0</v>
          </cell>
          <cell r="N176">
            <v>0</v>
          </cell>
          <cell r="O176">
            <v>1</v>
          </cell>
          <cell r="P176">
            <v>1</v>
          </cell>
          <cell r="Q176">
            <v>6</v>
          </cell>
          <cell r="R176" t="str">
            <v/>
          </cell>
          <cell r="S176">
            <v>1</v>
          </cell>
          <cell r="T176">
            <v>1</v>
          </cell>
          <cell r="U176">
            <v>1</v>
          </cell>
        </row>
        <row r="177">
          <cell r="A177">
            <v>121054</v>
          </cell>
          <cell r="B177">
            <v>121054</v>
          </cell>
          <cell r="C177" t="str">
            <v>海军领队</v>
          </cell>
          <cell r="D177" t="str">
            <v>海军领队</v>
          </cell>
        </row>
        <row r="177">
          <cell r="F177">
            <v>0</v>
          </cell>
        </row>
        <row r="177">
          <cell r="M177">
            <v>0</v>
          </cell>
          <cell r="N177">
            <v>0</v>
          </cell>
          <cell r="O177">
            <v>1</v>
          </cell>
          <cell r="P177">
            <v>1</v>
          </cell>
          <cell r="Q177">
            <v>2</v>
          </cell>
          <cell r="R177" t="str">
            <v/>
          </cell>
          <cell r="S177">
            <v>1</v>
          </cell>
          <cell r="T177">
            <v>1</v>
          </cell>
          <cell r="U177">
            <v>1</v>
          </cell>
        </row>
        <row r="178">
          <cell r="A178">
            <v>121055</v>
          </cell>
          <cell r="B178">
            <v>121055</v>
          </cell>
          <cell r="C178" t="str">
            <v>里霸斯</v>
          </cell>
          <cell r="D178" t="str">
            <v>里霸斯</v>
          </cell>
        </row>
        <row r="178">
          <cell r="F178">
            <v>0</v>
          </cell>
        </row>
        <row r="178">
          <cell r="M178">
            <v>0</v>
          </cell>
          <cell r="N178">
            <v>1</v>
          </cell>
          <cell r="O178">
            <v>1</v>
          </cell>
          <cell r="P178">
            <v>1</v>
          </cell>
          <cell r="Q178">
            <v>3</v>
          </cell>
          <cell r="R178" t="str">
            <v>贝拉密海盗团</v>
          </cell>
          <cell r="S178">
            <v>1</v>
          </cell>
          <cell r="T178">
            <v>1</v>
          </cell>
          <cell r="U178">
            <v>1</v>
          </cell>
        </row>
        <row r="179">
          <cell r="A179">
            <v>121056</v>
          </cell>
          <cell r="B179">
            <v>121056</v>
          </cell>
          <cell r="C179" t="str">
            <v>萨奇斯</v>
          </cell>
          <cell r="D179" t="str">
            <v>萨奇斯</v>
          </cell>
        </row>
        <row r="179">
          <cell r="F179">
            <v>0</v>
          </cell>
        </row>
        <row r="179">
          <cell r="M179">
            <v>0</v>
          </cell>
          <cell r="N179">
            <v>1</v>
          </cell>
          <cell r="O179">
            <v>1</v>
          </cell>
          <cell r="P179">
            <v>1</v>
          </cell>
          <cell r="Q179">
            <v>3</v>
          </cell>
          <cell r="R179" t="str">
            <v>贝拉密海盗团</v>
          </cell>
          <cell r="S179">
            <v>1</v>
          </cell>
          <cell r="T179">
            <v>1</v>
          </cell>
          <cell r="U179">
            <v>1</v>
          </cell>
        </row>
        <row r="180">
          <cell r="A180">
            <v>121057</v>
          </cell>
          <cell r="B180">
            <v>121057</v>
          </cell>
          <cell r="C180" t="str">
            <v>海盗头目狼牙棒</v>
          </cell>
          <cell r="D180" t="str">
            <v>海盗头目狼牙棒</v>
          </cell>
        </row>
        <row r="180">
          <cell r="F180">
            <v>0</v>
          </cell>
        </row>
        <row r="180">
          <cell r="M180">
            <v>0</v>
          </cell>
          <cell r="N180">
            <v>0</v>
          </cell>
          <cell r="O180">
            <v>1</v>
          </cell>
          <cell r="P180">
            <v>1</v>
          </cell>
          <cell r="Q180">
            <v>3</v>
          </cell>
          <cell r="R180" t="str">
            <v/>
          </cell>
          <cell r="S180">
            <v>1</v>
          </cell>
          <cell r="T180">
            <v>1</v>
          </cell>
          <cell r="U180">
            <v>1</v>
          </cell>
        </row>
        <row r="181">
          <cell r="A181">
            <v>121058</v>
          </cell>
          <cell r="B181">
            <v>121058</v>
          </cell>
          <cell r="C181" t="str">
            <v>海盗头目</v>
          </cell>
          <cell r="D181" t="str">
            <v>海盗头目</v>
          </cell>
        </row>
        <row r="181">
          <cell r="F181">
            <v>0</v>
          </cell>
        </row>
        <row r="181">
          <cell r="M181">
            <v>0</v>
          </cell>
          <cell r="N181">
            <v>0</v>
          </cell>
          <cell r="O181">
            <v>1</v>
          </cell>
          <cell r="P181">
            <v>1</v>
          </cell>
          <cell r="Q181">
            <v>3</v>
          </cell>
          <cell r="R181" t="str">
            <v/>
          </cell>
          <cell r="S181">
            <v>1</v>
          </cell>
          <cell r="T181">
            <v>1</v>
          </cell>
          <cell r="U181">
            <v>1</v>
          </cell>
        </row>
        <row r="182">
          <cell r="A182">
            <v>121059</v>
          </cell>
          <cell r="B182">
            <v>121059</v>
          </cell>
          <cell r="C182" t="str">
            <v>肉食兔小弟</v>
          </cell>
          <cell r="D182" t="str">
            <v>肉食兔小弟</v>
          </cell>
        </row>
        <row r="182">
          <cell r="F182">
            <v>0</v>
          </cell>
        </row>
        <row r="182">
          <cell r="M182">
            <v>0</v>
          </cell>
          <cell r="N182">
            <v>0</v>
          </cell>
          <cell r="O182">
            <v>1</v>
          </cell>
          <cell r="P182">
            <v>1</v>
          </cell>
          <cell r="Q182">
            <v>5</v>
          </cell>
          <cell r="R182" t="str">
            <v/>
          </cell>
          <cell r="S182">
            <v>1</v>
          </cell>
          <cell r="T182">
            <v>1</v>
          </cell>
          <cell r="U182">
            <v>1</v>
          </cell>
        </row>
        <row r="183">
          <cell r="A183">
            <v>121060</v>
          </cell>
          <cell r="B183">
            <v>121060</v>
          </cell>
          <cell r="C183" t="str">
            <v>佩鲁</v>
          </cell>
          <cell r="D183" t="str">
            <v>佩鲁</v>
          </cell>
        </row>
        <row r="183">
          <cell r="F183">
            <v>0</v>
          </cell>
        </row>
        <row r="183">
          <cell r="M183">
            <v>0</v>
          </cell>
          <cell r="N183">
            <v>1</v>
          </cell>
          <cell r="O183">
            <v>1</v>
          </cell>
          <cell r="P183">
            <v>1</v>
          </cell>
          <cell r="Q183">
            <v>8</v>
          </cell>
          <cell r="R183" t="str">
            <v>阿拉巴斯坦</v>
          </cell>
          <cell r="S183">
            <v>1</v>
          </cell>
          <cell r="T183">
            <v>1</v>
          </cell>
          <cell r="U183">
            <v>1</v>
          </cell>
        </row>
        <row r="184">
          <cell r="A184">
            <v>121061</v>
          </cell>
          <cell r="B184">
            <v>121061</v>
          </cell>
          <cell r="C184" t="str">
            <v>艾比达</v>
          </cell>
          <cell r="D184" t="str">
            <v>艾比达</v>
          </cell>
        </row>
        <row r="184">
          <cell r="F184">
            <v>1</v>
          </cell>
        </row>
        <row r="184">
          <cell r="M184">
            <v>0</v>
          </cell>
          <cell r="N184">
            <v>0</v>
          </cell>
          <cell r="O184">
            <v>1</v>
          </cell>
          <cell r="P184">
            <v>1</v>
          </cell>
          <cell r="Q184">
            <v>3</v>
          </cell>
          <cell r="R184" t="str">
            <v/>
          </cell>
          <cell r="S184">
            <v>1</v>
          </cell>
          <cell r="T184">
            <v>1</v>
          </cell>
          <cell r="U184">
            <v>1</v>
          </cell>
        </row>
        <row r="185">
          <cell r="A185">
            <v>121062</v>
          </cell>
          <cell r="B185">
            <v>121062</v>
          </cell>
          <cell r="C185" t="str">
            <v>艾比达船员1</v>
          </cell>
          <cell r="D185" t="str">
            <v>艾比达船员1</v>
          </cell>
        </row>
        <row r="185">
          <cell r="F185">
            <v>0</v>
          </cell>
        </row>
        <row r="185">
          <cell r="M185">
            <v>0</v>
          </cell>
          <cell r="N185">
            <v>0</v>
          </cell>
          <cell r="O185">
            <v>1</v>
          </cell>
          <cell r="P185">
            <v>1</v>
          </cell>
          <cell r="Q185">
            <v>3</v>
          </cell>
          <cell r="R185" t="str">
            <v/>
          </cell>
          <cell r="S185">
            <v>1</v>
          </cell>
          <cell r="T185">
            <v>1</v>
          </cell>
          <cell r="U185">
            <v>1</v>
          </cell>
        </row>
        <row r="186">
          <cell r="A186">
            <v>121063</v>
          </cell>
          <cell r="B186">
            <v>121063</v>
          </cell>
          <cell r="C186" t="str">
            <v>艾比达船员2</v>
          </cell>
          <cell r="D186" t="str">
            <v>艾比达船员2</v>
          </cell>
        </row>
        <row r="186">
          <cell r="F186">
            <v>0</v>
          </cell>
        </row>
        <row r="186">
          <cell r="M186">
            <v>0</v>
          </cell>
          <cell r="N186">
            <v>0</v>
          </cell>
          <cell r="O186">
            <v>1</v>
          </cell>
          <cell r="P186">
            <v>1</v>
          </cell>
          <cell r="Q186">
            <v>3</v>
          </cell>
          <cell r="R186" t="str">
            <v/>
          </cell>
          <cell r="S186">
            <v>1</v>
          </cell>
          <cell r="T186">
            <v>1</v>
          </cell>
          <cell r="U186">
            <v>1</v>
          </cell>
        </row>
        <row r="187">
          <cell r="A187">
            <v>121064</v>
          </cell>
          <cell r="B187">
            <v>121064</v>
          </cell>
          <cell r="C187" t="str">
            <v>艾比达船员3</v>
          </cell>
          <cell r="D187" t="str">
            <v>艾比达船员3</v>
          </cell>
        </row>
        <row r="187">
          <cell r="F187">
            <v>0</v>
          </cell>
        </row>
        <row r="187">
          <cell r="M187">
            <v>0</v>
          </cell>
          <cell r="N187">
            <v>0</v>
          </cell>
          <cell r="O187">
            <v>1</v>
          </cell>
          <cell r="P187">
            <v>1</v>
          </cell>
          <cell r="Q187">
            <v>3</v>
          </cell>
          <cell r="R187" t="str">
            <v/>
          </cell>
          <cell r="S187">
            <v>1</v>
          </cell>
          <cell r="T187">
            <v>1</v>
          </cell>
          <cell r="U187">
            <v>1</v>
          </cell>
        </row>
        <row r="188">
          <cell r="A188">
            <v>121065</v>
          </cell>
          <cell r="B188">
            <v>121065</v>
          </cell>
          <cell r="C188" t="str">
            <v>贝雷帽近战</v>
          </cell>
          <cell r="D188" t="str">
            <v>贝雷帽近战</v>
          </cell>
        </row>
        <row r="188">
          <cell r="F188">
            <v>0</v>
          </cell>
        </row>
        <row r="188">
          <cell r="M188">
            <v>0</v>
          </cell>
          <cell r="N188">
            <v>0</v>
          </cell>
          <cell r="O188">
            <v>1</v>
          </cell>
          <cell r="P188">
            <v>1</v>
          </cell>
          <cell r="Q188">
            <v>8</v>
          </cell>
          <cell r="R188" t="str">
            <v/>
          </cell>
          <cell r="S188">
            <v>1</v>
          </cell>
          <cell r="T188">
            <v>1</v>
          </cell>
          <cell r="U188">
            <v>1</v>
          </cell>
        </row>
        <row r="189">
          <cell r="A189">
            <v>121066</v>
          </cell>
          <cell r="B189">
            <v>121066</v>
          </cell>
          <cell r="C189" t="str">
            <v>贝雷帽远程</v>
          </cell>
          <cell r="D189" t="str">
            <v>贝雷帽远程</v>
          </cell>
        </row>
        <row r="189">
          <cell r="F189">
            <v>0</v>
          </cell>
        </row>
        <row r="189">
          <cell r="M189">
            <v>0</v>
          </cell>
          <cell r="N189">
            <v>0</v>
          </cell>
          <cell r="O189">
            <v>1</v>
          </cell>
          <cell r="P189">
            <v>1</v>
          </cell>
          <cell r="Q189">
            <v>8</v>
          </cell>
          <cell r="R189" t="str">
            <v/>
          </cell>
          <cell r="S189">
            <v>1</v>
          </cell>
          <cell r="T189">
            <v>1</v>
          </cell>
          <cell r="U189">
            <v>1</v>
          </cell>
        </row>
        <row r="190">
          <cell r="A190">
            <v>121067</v>
          </cell>
          <cell r="B190">
            <v>121067</v>
          </cell>
          <cell r="C190" t="str">
            <v>神兵A</v>
          </cell>
          <cell r="D190" t="str">
            <v>神兵A</v>
          </cell>
        </row>
        <row r="190">
          <cell r="F190">
            <v>0</v>
          </cell>
        </row>
        <row r="190">
          <cell r="M190">
            <v>0</v>
          </cell>
          <cell r="N190">
            <v>0</v>
          </cell>
          <cell r="O190">
            <v>1</v>
          </cell>
          <cell r="P190">
            <v>1</v>
          </cell>
          <cell r="Q190">
            <v>8</v>
          </cell>
          <cell r="R190" t="str">
            <v/>
          </cell>
          <cell r="S190">
            <v>1</v>
          </cell>
          <cell r="T190">
            <v>1</v>
          </cell>
          <cell r="U190">
            <v>1</v>
          </cell>
        </row>
        <row r="191">
          <cell r="A191">
            <v>121068</v>
          </cell>
          <cell r="B191">
            <v>121068</v>
          </cell>
          <cell r="C191" t="str">
            <v>神兵B</v>
          </cell>
          <cell r="D191" t="str">
            <v>神兵B</v>
          </cell>
        </row>
        <row r="191">
          <cell r="F191">
            <v>0</v>
          </cell>
        </row>
        <row r="191">
          <cell r="M191">
            <v>0</v>
          </cell>
          <cell r="N191">
            <v>0</v>
          </cell>
          <cell r="O191">
            <v>1</v>
          </cell>
          <cell r="P191">
            <v>1</v>
          </cell>
          <cell r="Q191">
            <v>8</v>
          </cell>
          <cell r="R191" t="str">
            <v/>
          </cell>
          <cell r="S191">
            <v>1</v>
          </cell>
          <cell r="T191">
            <v>1</v>
          </cell>
          <cell r="U191">
            <v>1</v>
          </cell>
        </row>
        <row r="192">
          <cell r="A192">
            <v>121069</v>
          </cell>
          <cell r="B192">
            <v>121069</v>
          </cell>
          <cell r="C192" t="str">
            <v>阿悟</v>
          </cell>
          <cell r="D192" t="str">
            <v>阿悟</v>
          </cell>
        </row>
        <row r="192">
          <cell r="F192">
            <v>0</v>
          </cell>
        </row>
        <row r="192">
          <cell r="M192">
            <v>0</v>
          </cell>
          <cell r="N192">
            <v>1</v>
          </cell>
          <cell r="O192">
            <v>1</v>
          </cell>
          <cell r="P192">
            <v>1</v>
          </cell>
          <cell r="Q192">
            <v>8</v>
          </cell>
          <cell r="R192" t="str">
            <v>空岛神</v>
          </cell>
          <cell r="S192">
            <v>1</v>
          </cell>
          <cell r="T192">
            <v>1</v>
          </cell>
          <cell r="U192">
            <v>1</v>
          </cell>
        </row>
        <row r="193">
          <cell r="A193">
            <v>121070</v>
          </cell>
          <cell r="B193">
            <v>121070</v>
          </cell>
          <cell r="C193" t="str">
            <v>修罗</v>
          </cell>
          <cell r="D193" t="str">
            <v>修罗</v>
          </cell>
        </row>
        <row r="193">
          <cell r="F193">
            <v>0</v>
          </cell>
        </row>
        <row r="193">
          <cell r="M193">
            <v>0</v>
          </cell>
          <cell r="N193">
            <v>1</v>
          </cell>
          <cell r="O193">
            <v>1</v>
          </cell>
          <cell r="P193">
            <v>1</v>
          </cell>
          <cell r="Q193">
            <v>8</v>
          </cell>
          <cell r="R193" t="str">
            <v>空岛神</v>
          </cell>
          <cell r="S193">
            <v>1</v>
          </cell>
          <cell r="T193">
            <v>1</v>
          </cell>
          <cell r="U193">
            <v>1</v>
          </cell>
        </row>
        <row r="194">
          <cell r="A194">
            <v>121071</v>
          </cell>
          <cell r="B194">
            <v>121071</v>
          </cell>
          <cell r="C194" t="str">
            <v>涅槃</v>
          </cell>
          <cell r="D194" t="str">
            <v>涅槃</v>
          </cell>
        </row>
        <row r="194">
          <cell r="F194">
            <v>0</v>
          </cell>
        </row>
        <row r="194">
          <cell r="M194">
            <v>0</v>
          </cell>
          <cell r="N194">
            <v>1</v>
          </cell>
          <cell r="O194">
            <v>1</v>
          </cell>
          <cell r="P194">
            <v>1</v>
          </cell>
          <cell r="Q194">
            <v>8</v>
          </cell>
          <cell r="R194" t="str">
            <v>空岛神</v>
          </cell>
          <cell r="S194">
            <v>1</v>
          </cell>
          <cell r="T194">
            <v>1</v>
          </cell>
          <cell r="U194">
            <v>1</v>
          </cell>
        </row>
        <row r="195">
          <cell r="A195">
            <v>121072</v>
          </cell>
          <cell r="B195">
            <v>121072</v>
          </cell>
          <cell r="C195" t="str">
            <v>欧姆</v>
          </cell>
          <cell r="D195" t="str">
            <v>欧姆</v>
          </cell>
        </row>
        <row r="195">
          <cell r="F195">
            <v>0</v>
          </cell>
        </row>
        <row r="195">
          <cell r="M195">
            <v>0</v>
          </cell>
          <cell r="N195">
            <v>1</v>
          </cell>
          <cell r="O195">
            <v>1</v>
          </cell>
          <cell r="P195">
            <v>1</v>
          </cell>
          <cell r="Q195">
            <v>8</v>
          </cell>
          <cell r="R195" t="str">
            <v>空岛神</v>
          </cell>
          <cell r="S195">
            <v>1</v>
          </cell>
          <cell r="T195">
            <v>1</v>
          </cell>
          <cell r="U195">
            <v>1</v>
          </cell>
        </row>
        <row r="196">
          <cell r="A196">
            <v>121073</v>
          </cell>
          <cell r="B196">
            <v>121073</v>
          </cell>
          <cell r="C196" t="str">
            <v>恰卡</v>
          </cell>
          <cell r="D196" t="str">
            <v>恰卡</v>
          </cell>
        </row>
        <row r="196">
          <cell r="F196">
            <v>0</v>
          </cell>
        </row>
        <row r="196">
          <cell r="M196">
            <v>0</v>
          </cell>
          <cell r="N196">
            <v>1</v>
          </cell>
          <cell r="O196">
            <v>1</v>
          </cell>
          <cell r="P196">
            <v>1</v>
          </cell>
          <cell r="Q196">
            <v>8</v>
          </cell>
          <cell r="R196" t="str">
            <v>阿拉巴斯坦</v>
          </cell>
          <cell r="S196">
            <v>1</v>
          </cell>
          <cell r="T196">
            <v>1</v>
          </cell>
          <cell r="U196">
            <v>1</v>
          </cell>
        </row>
        <row r="197">
          <cell r="A197">
            <v>121074</v>
          </cell>
          <cell r="B197">
            <v>121074</v>
          </cell>
          <cell r="C197" t="str">
            <v>沙漠装-步枪海军</v>
          </cell>
          <cell r="D197" t="str">
            <v>沙漠装-步枪海军</v>
          </cell>
        </row>
        <row r="197">
          <cell r="F197">
            <v>0</v>
          </cell>
        </row>
        <row r="197">
          <cell r="M197">
            <v>0</v>
          </cell>
          <cell r="N197">
            <v>0</v>
          </cell>
          <cell r="O197">
            <v>1</v>
          </cell>
          <cell r="P197">
            <v>1</v>
          </cell>
          <cell r="Q197">
            <v>2</v>
          </cell>
          <cell r="R197" t="str">
            <v/>
          </cell>
          <cell r="S197">
            <v>1</v>
          </cell>
          <cell r="T197">
            <v>1</v>
          </cell>
          <cell r="U197">
            <v>1</v>
          </cell>
        </row>
        <row r="198">
          <cell r="A198">
            <v>121075</v>
          </cell>
          <cell r="B198">
            <v>121075</v>
          </cell>
          <cell r="C198" t="str">
            <v>沙漠装-单刀海军</v>
          </cell>
          <cell r="D198" t="str">
            <v>沙漠装-单刀海军</v>
          </cell>
        </row>
        <row r="198">
          <cell r="F198">
            <v>0</v>
          </cell>
        </row>
        <row r="198">
          <cell r="M198">
            <v>0</v>
          </cell>
          <cell r="N198">
            <v>0</v>
          </cell>
          <cell r="O198">
            <v>1</v>
          </cell>
          <cell r="P198">
            <v>1</v>
          </cell>
          <cell r="Q198">
            <v>2</v>
          </cell>
          <cell r="R198" t="str">
            <v/>
          </cell>
          <cell r="S198">
            <v>1</v>
          </cell>
          <cell r="T198">
            <v>1</v>
          </cell>
          <cell r="U198">
            <v>1</v>
          </cell>
        </row>
        <row r="199">
          <cell r="A199">
            <v>121076</v>
          </cell>
          <cell r="B199">
            <v>121076</v>
          </cell>
          <cell r="C199" t="str">
            <v>火炮海军A</v>
          </cell>
          <cell r="D199" t="str">
            <v>火炮海军A</v>
          </cell>
        </row>
        <row r="199">
          <cell r="F199">
            <v>0</v>
          </cell>
        </row>
        <row r="199">
          <cell r="M199">
            <v>0</v>
          </cell>
          <cell r="N199">
            <v>0</v>
          </cell>
          <cell r="O199">
            <v>1</v>
          </cell>
          <cell r="P199">
            <v>1</v>
          </cell>
          <cell r="Q199">
            <v>2</v>
          </cell>
          <cell r="R199" t="str">
            <v/>
          </cell>
          <cell r="S199">
            <v>1</v>
          </cell>
          <cell r="T199">
            <v>1</v>
          </cell>
          <cell r="U199">
            <v>1</v>
          </cell>
        </row>
        <row r="200">
          <cell r="A200">
            <v>121077</v>
          </cell>
          <cell r="B200">
            <v>121077</v>
          </cell>
          <cell r="C200" t="str">
            <v>火炮海军B</v>
          </cell>
          <cell r="D200" t="str">
            <v>火炮海军B</v>
          </cell>
        </row>
        <row r="200">
          <cell r="F200">
            <v>0</v>
          </cell>
        </row>
        <row r="200">
          <cell r="M200">
            <v>0</v>
          </cell>
          <cell r="N200">
            <v>0</v>
          </cell>
          <cell r="O200">
            <v>1</v>
          </cell>
          <cell r="P200">
            <v>1</v>
          </cell>
          <cell r="Q200">
            <v>2</v>
          </cell>
          <cell r="R200" t="str">
            <v/>
          </cell>
          <cell r="S200">
            <v>1</v>
          </cell>
          <cell r="T200">
            <v>1</v>
          </cell>
          <cell r="U200">
            <v>1</v>
          </cell>
        </row>
        <row r="201">
          <cell r="A201">
            <v>121078</v>
          </cell>
          <cell r="B201">
            <v>121078</v>
          </cell>
          <cell r="C201" t="str">
            <v>沙漠装-单刀海军B</v>
          </cell>
          <cell r="D201" t="str">
            <v>沙漠装-单刀海军B</v>
          </cell>
        </row>
        <row r="201">
          <cell r="F201">
            <v>0</v>
          </cell>
        </row>
        <row r="201">
          <cell r="M201">
            <v>0</v>
          </cell>
          <cell r="N201">
            <v>0</v>
          </cell>
          <cell r="O201">
            <v>1</v>
          </cell>
          <cell r="P201">
            <v>1</v>
          </cell>
          <cell r="Q201">
            <v>2</v>
          </cell>
          <cell r="R201" t="str">
            <v/>
          </cell>
          <cell r="S201">
            <v>1</v>
          </cell>
          <cell r="T201">
            <v>1</v>
          </cell>
          <cell r="U201">
            <v>1</v>
          </cell>
        </row>
        <row r="202">
          <cell r="A202">
            <v>121079</v>
          </cell>
          <cell r="B202">
            <v>121079</v>
          </cell>
          <cell r="C202" t="str">
            <v>沙漠装-火炮海军</v>
          </cell>
          <cell r="D202" t="str">
            <v>沙漠装-火炮海军</v>
          </cell>
        </row>
        <row r="202">
          <cell r="F202">
            <v>0</v>
          </cell>
        </row>
        <row r="202">
          <cell r="M202">
            <v>0</v>
          </cell>
          <cell r="N202">
            <v>0</v>
          </cell>
          <cell r="O202">
            <v>1</v>
          </cell>
          <cell r="P202">
            <v>1</v>
          </cell>
          <cell r="Q202">
            <v>2</v>
          </cell>
          <cell r="R202" t="str">
            <v/>
          </cell>
          <cell r="S202">
            <v>1</v>
          </cell>
          <cell r="T202">
            <v>1</v>
          </cell>
          <cell r="U202">
            <v>1</v>
          </cell>
        </row>
        <row r="203">
          <cell r="A203">
            <v>121080</v>
          </cell>
          <cell r="B203">
            <v>121080</v>
          </cell>
          <cell r="C203" t="str">
            <v>Ms.星期三</v>
          </cell>
          <cell r="D203" t="str">
            <v>Ms.星期三（薇薇）</v>
          </cell>
        </row>
        <row r="203">
          <cell r="F203">
            <v>1</v>
          </cell>
        </row>
        <row r="203">
          <cell r="M203">
            <v>0</v>
          </cell>
          <cell r="N203">
            <v>0</v>
          </cell>
          <cell r="O203">
            <v>1</v>
          </cell>
          <cell r="P203">
            <v>1</v>
          </cell>
          <cell r="Q203">
            <v>8</v>
          </cell>
          <cell r="R203" t="str">
            <v>巴洛克工作社</v>
          </cell>
          <cell r="S203">
            <v>2</v>
          </cell>
          <cell r="T203">
            <v>6</v>
          </cell>
          <cell r="U203">
            <v>1</v>
          </cell>
        </row>
        <row r="204">
          <cell r="A204">
            <v>121081</v>
          </cell>
          <cell r="B204">
            <v>121081</v>
          </cell>
          <cell r="C204" t="str">
            <v>Mr.3</v>
          </cell>
          <cell r="D204" t="str">
            <v>Mr.3-蜡烛假人</v>
          </cell>
        </row>
        <row r="204">
          <cell r="F204">
            <v>0</v>
          </cell>
        </row>
        <row r="204">
          <cell r="M204">
            <v>0</v>
          </cell>
          <cell r="N204">
            <v>0</v>
          </cell>
          <cell r="O204">
            <v>1</v>
          </cell>
          <cell r="P204">
            <v>1</v>
          </cell>
          <cell r="Q204">
            <v>2</v>
          </cell>
          <cell r="R204" t="str">
            <v>巴洛克工作社</v>
          </cell>
          <cell r="S204">
            <v>1</v>
          </cell>
          <cell r="T204">
            <v>1</v>
          </cell>
          <cell r="U204">
            <v>1</v>
          </cell>
        </row>
        <row r="205">
          <cell r="A205">
            <v>121082</v>
          </cell>
          <cell r="B205">
            <v>121082</v>
          </cell>
          <cell r="C205" t="str">
            <v>螳螂</v>
          </cell>
          <cell r="D205" t="str">
            <v>战士-螳螂</v>
          </cell>
        </row>
        <row r="205">
          <cell r="F205">
            <v>0</v>
          </cell>
        </row>
        <row r="205">
          <cell r="M205">
            <v>0</v>
          </cell>
          <cell r="N205">
            <v>1</v>
          </cell>
          <cell r="O205">
            <v>1</v>
          </cell>
          <cell r="P205">
            <v>1</v>
          </cell>
          <cell r="Q205">
            <v>2</v>
          </cell>
          <cell r="R205" t="str">
            <v>山迪亚</v>
          </cell>
          <cell r="S205">
            <v>1</v>
          </cell>
          <cell r="T205">
            <v>1</v>
          </cell>
          <cell r="U205">
            <v>1</v>
          </cell>
        </row>
        <row r="206">
          <cell r="A206">
            <v>121083</v>
          </cell>
          <cell r="B206">
            <v>121083</v>
          </cell>
          <cell r="C206" t="str">
            <v>山迪亚战士</v>
          </cell>
          <cell r="D206" t="str">
            <v>山迪亚战士A</v>
          </cell>
        </row>
        <row r="206">
          <cell r="F206">
            <v>0</v>
          </cell>
        </row>
        <row r="206">
          <cell r="M206">
            <v>0</v>
          </cell>
          <cell r="N206">
            <v>0</v>
          </cell>
          <cell r="O206">
            <v>1</v>
          </cell>
          <cell r="P206">
            <v>1</v>
          </cell>
          <cell r="Q206">
            <v>2</v>
          </cell>
          <cell r="R206" t="str">
            <v/>
          </cell>
          <cell r="S206">
            <v>1</v>
          </cell>
          <cell r="T206">
            <v>1</v>
          </cell>
          <cell r="U206">
            <v>1</v>
          </cell>
        </row>
        <row r="207">
          <cell r="A207">
            <v>121084</v>
          </cell>
          <cell r="B207">
            <v>121084</v>
          </cell>
          <cell r="C207" t="str">
            <v>山迪亚战士</v>
          </cell>
          <cell r="D207" t="str">
            <v>山迪亚战士B</v>
          </cell>
        </row>
        <row r="207">
          <cell r="F207">
            <v>0</v>
          </cell>
        </row>
        <row r="207">
          <cell r="M207">
            <v>0</v>
          </cell>
          <cell r="N207">
            <v>0</v>
          </cell>
          <cell r="O207">
            <v>1</v>
          </cell>
          <cell r="P207">
            <v>1</v>
          </cell>
          <cell r="Q207">
            <v>2</v>
          </cell>
          <cell r="R207" t="str">
            <v/>
          </cell>
          <cell r="S207">
            <v>1</v>
          </cell>
          <cell r="T207">
            <v>1</v>
          </cell>
          <cell r="U207">
            <v>1</v>
          </cell>
        </row>
        <row r="208">
          <cell r="A208">
            <v>121085</v>
          </cell>
          <cell r="B208">
            <v>121085</v>
          </cell>
          <cell r="C208" t="str">
            <v>甘·福尔</v>
          </cell>
          <cell r="D208" t="str">
            <v>旧神-甘·福尔</v>
          </cell>
        </row>
        <row r="208">
          <cell r="F208">
            <v>0</v>
          </cell>
        </row>
        <row r="208">
          <cell r="M208">
            <v>0</v>
          </cell>
          <cell r="N208">
            <v>1</v>
          </cell>
          <cell r="O208">
            <v>1</v>
          </cell>
          <cell r="P208">
            <v>1</v>
          </cell>
          <cell r="Q208">
            <v>2</v>
          </cell>
          <cell r="R208" t="str">
            <v>空岛</v>
          </cell>
          <cell r="S208">
            <v>1</v>
          </cell>
          <cell r="T208">
            <v>1</v>
          </cell>
          <cell r="U208">
            <v>1</v>
          </cell>
        </row>
        <row r="209">
          <cell r="A209">
            <v>121086</v>
          </cell>
          <cell r="B209">
            <v>121086</v>
          </cell>
          <cell r="C209" t="str">
            <v>拉基</v>
          </cell>
          <cell r="D209" t="str">
            <v>山迪亚-拉基</v>
          </cell>
        </row>
        <row r="209">
          <cell r="F209">
            <v>0</v>
          </cell>
        </row>
        <row r="209">
          <cell r="M209">
            <v>0</v>
          </cell>
          <cell r="N209">
            <v>1</v>
          </cell>
          <cell r="O209">
            <v>1</v>
          </cell>
          <cell r="P209">
            <v>1</v>
          </cell>
          <cell r="Q209">
            <v>2</v>
          </cell>
          <cell r="R209" t="str">
            <v>山迪亚</v>
          </cell>
          <cell r="S209">
            <v>1</v>
          </cell>
          <cell r="T209">
            <v>1</v>
          </cell>
          <cell r="U209">
            <v>1</v>
          </cell>
        </row>
        <row r="210">
          <cell r="A210">
            <v>121087</v>
          </cell>
          <cell r="B210">
            <v>121087</v>
          </cell>
          <cell r="C210" t="str">
            <v>巴利</v>
          </cell>
          <cell r="D210" t="str">
            <v>巴利</v>
          </cell>
        </row>
        <row r="210">
          <cell r="F210">
            <v>0</v>
          </cell>
        </row>
        <row r="210">
          <cell r="M210">
            <v>0</v>
          </cell>
          <cell r="N210">
            <v>1</v>
          </cell>
          <cell r="O210">
            <v>1</v>
          </cell>
          <cell r="P210">
            <v>1</v>
          </cell>
          <cell r="Q210">
            <v>2</v>
          </cell>
          <cell r="R210" t="str">
            <v>水之都</v>
          </cell>
          <cell r="S210">
            <v>1</v>
          </cell>
          <cell r="T210">
            <v>1</v>
          </cell>
          <cell r="U210">
            <v>1</v>
          </cell>
        </row>
        <row r="211">
          <cell r="A211">
            <v>121088</v>
          </cell>
          <cell r="B211">
            <v>121088</v>
          </cell>
          <cell r="C211" t="str">
            <v>泰鲁斯通</v>
          </cell>
          <cell r="D211" t="str">
            <v>泰鲁斯通</v>
          </cell>
        </row>
        <row r="211">
          <cell r="F211">
            <v>0</v>
          </cell>
        </row>
        <row r="211">
          <cell r="M211">
            <v>0</v>
          </cell>
          <cell r="N211">
            <v>1</v>
          </cell>
          <cell r="O211">
            <v>1</v>
          </cell>
          <cell r="P211">
            <v>1</v>
          </cell>
          <cell r="Q211">
            <v>2</v>
          </cell>
          <cell r="R211" t="str">
            <v>水之都</v>
          </cell>
          <cell r="S211">
            <v>1</v>
          </cell>
          <cell r="T211">
            <v>1</v>
          </cell>
          <cell r="U211">
            <v>1</v>
          </cell>
        </row>
        <row r="212">
          <cell r="A212">
            <v>121089</v>
          </cell>
          <cell r="B212">
            <v>121089</v>
          </cell>
          <cell r="C212" t="str">
            <v>赞拜</v>
          </cell>
          <cell r="D212" t="str">
            <v>赞拜</v>
          </cell>
        </row>
        <row r="212">
          <cell r="F212">
            <v>0</v>
          </cell>
        </row>
        <row r="212">
          <cell r="M212">
            <v>0</v>
          </cell>
          <cell r="N212">
            <v>1</v>
          </cell>
          <cell r="O212">
            <v>1</v>
          </cell>
          <cell r="P212">
            <v>1</v>
          </cell>
          <cell r="Q212">
            <v>2</v>
          </cell>
          <cell r="R212" t="str">
            <v>水之都</v>
          </cell>
          <cell r="S212">
            <v>1</v>
          </cell>
          <cell r="T212">
            <v>1</v>
          </cell>
          <cell r="U212">
            <v>1</v>
          </cell>
        </row>
        <row r="213">
          <cell r="A213">
            <v>121090</v>
          </cell>
          <cell r="B213">
            <v>121090</v>
          </cell>
          <cell r="C213" t="str">
            <v>瓦杰</v>
          </cell>
          <cell r="D213" t="str">
            <v>瓦杰</v>
          </cell>
        </row>
        <row r="213">
          <cell r="F213">
            <v>0</v>
          </cell>
        </row>
        <row r="213">
          <cell r="M213">
            <v>0</v>
          </cell>
          <cell r="N213">
            <v>1</v>
          </cell>
          <cell r="O213">
            <v>1</v>
          </cell>
          <cell r="P213">
            <v>1</v>
          </cell>
          <cell r="Q213">
            <v>2</v>
          </cell>
          <cell r="R213" t="str">
            <v>世界政府</v>
          </cell>
          <cell r="S213">
            <v>1</v>
          </cell>
          <cell r="T213">
            <v>1</v>
          </cell>
          <cell r="U213">
            <v>1</v>
          </cell>
        </row>
        <row r="214">
          <cell r="A214">
            <v>121091</v>
          </cell>
          <cell r="B214">
            <v>121091</v>
          </cell>
          <cell r="C214" t="str">
            <v>尼罗</v>
          </cell>
          <cell r="D214" t="str">
            <v>尼罗</v>
          </cell>
        </row>
        <row r="214">
          <cell r="F214">
            <v>0</v>
          </cell>
        </row>
        <row r="214">
          <cell r="M214">
            <v>0</v>
          </cell>
          <cell r="N214">
            <v>1</v>
          </cell>
          <cell r="O214">
            <v>1</v>
          </cell>
          <cell r="P214">
            <v>1</v>
          </cell>
          <cell r="Q214">
            <v>2</v>
          </cell>
          <cell r="R214" t="str">
            <v>世界政府</v>
          </cell>
          <cell r="S214">
            <v>1</v>
          </cell>
          <cell r="T214">
            <v>1</v>
          </cell>
          <cell r="U214">
            <v>1</v>
          </cell>
        </row>
        <row r="215">
          <cell r="A215">
            <v>121092</v>
          </cell>
          <cell r="B215">
            <v>121092</v>
          </cell>
          <cell r="C215" t="str">
            <v>布鲁诺</v>
          </cell>
          <cell r="D215" t="str">
            <v>布鲁诺</v>
          </cell>
        </row>
        <row r="215">
          <cell r="F215">
            <v>0</v>
          </cell>
        </row>
        <row r="215">
          <cell r="M215">
            <v>0</v>
          </cell>
          <cell r="N215">
            <v>1</v>
          </cell>
          <cell r="O215">
            <v>1</v>
          </cell>
          <cell r="P215">
            <v>1</v>
          </cell>
          <cell r="Q215">
            <v>2</v>
          </cell>
          <cell r="R215" t="str">
            <v>世界政府</v>
          </cell>
          <cell r="S215">
            <v>1</v>
          </cell>
          <cell r="T215">
            <v>1</v>
          </cell>
          <cell r="U215">
            <v>1</v>
          </cell>
        </row>
        <row r="216">
          <cell r="A216">
            <v>121093</v>
          </cell>
          <cell r="B216">
            <v>121093</v>
          </cell>
          <cell r="C216" t="str">
            <v>斯巴达姆</v>
          </cell>
          <cell r="D216" t="str">
            <v>斯巴达姆</v>
          </cell>
        </row>
        <row r="216">
          <cell r="F216">
            <v>0</v>
          </cell>
        </row>
        <row r="216">
          <cell r="M216">
            <v>0</v>
          </cell>
          <cell r="N216">
            <v>1</v>
          </cell>
          <cell r="O216">
            <v>1</v>
          </cell>
          <cell r="P216">
            <v>1</v>
          </cell>
          <cell r="Q216">
            <v>2</v>
          </cell>
          <cell r="R216" t="str">
            <v>世界政府</v>
          </cell>
          <cell r="S216">
            <v>1</v>
          </cell>
          <cell r="T216">
            <v>1</v>
          </cell>
          <cell r="U216">
            <v>1</v>
          </cell>
        </row>
        <row r="217">
          <cell r="A217">
            <v>121094</v>
          </cell>
          <cell r="B217">
            <v>121094</v>
          </cell>
          <cell r="C217" t="str">
            <v>可比</v>
          </cell>
          <cell r="D217" t="str">
            <v>可比-青年</v>
          </cell>
        </row>
        <row r="217">
          <cell r="F217">
            <v>0</v>
          </cell>
        </row>
        <row r="217">
          <cell r="M217">
            <v>0</v>
          </cell>
          <cell r="N217">
            <v>1</v>
          </cell>
          <cell r="O217">
            <v>1</v>
          </cell>
          <cell r="P217">
            <v>1</v>
          </cell>
          <cell r="Q217">
            <v>2</v>
          </cell>
          <cell r="R217" t="str">
            <v>海军</v>
          </cell>
          <cell r="S217">
            <v>1</v>
          </cell>
          <cell r="T217">
            <v>1</v>
          </cell>
          <cell r="U217">
            <v>1</v>
          </cell>
        </row>
        <row r="218">
          <cell r="A218">
            <v>121095</v>
          </cell>
          <cell r="B218">
            <v>121095</v>
          </cell>
          <cell r="C218" t="str">
            <v>希路麦波</v>
          </cell>
          <cell r="D218" t="str">
            <v>希路麦波-青年</v>
          </cell>
        </row>
        <row r="218">
          <cell r="F218">
            <v>0</v>
          </cell>
        </row>
        <row r="218">
          <cell r="M218">
            <v>0</v>
          </cell>
          <cell r="N218">
            <v>1</v>
          </cell>
          <cell r="O218">
            <v>1</v>
          </cell>
          <cell r="P218">
            <v>1</v>
          </cell>
          <cell r="Q218">
            <v>2</v>
          </cell>
          <cell r="R218" t="str">
            <v>海军</v>
          </cell>
          <cell r="S218">
            <v>1</v>
          </cell>
          <cell r="T218">
            <v>1</v>
          </cell>
          <cell r="U218">
            <v>1</v>
          </cell>
        </row>
        <row r="219">
          <cell r="A219">
            <v>121096</v>
          </cell>
          <cell r="B219">
            <v>121096</v>
          </cell>
          <cell r="C219" t="str">
            <v>基威</v>
          </cell>
          <cell r="D219" t="str">
            <v>基威</v>
          </cell>
        </row>
        <row r="219">
          <cell r="F219">
            <v>0</v>
          </cell>
        </row>
        <row r="219">
          <cell r="M219">
            <v>0</v>
          </cell>
          <cell r="N219">
            <v>0</v>
          </cell>
          <cell r="O219">
            <v>1</v>
          </cell>
          <cell r="P219">
            <v>1</v>
          </cell>
          <cell r="Q219">
            <v>2</v>
          </cell>
          <cell r="R219" t="str">
            <v>水之都</v>
          </cell>
          <cell r="S219">
            <v>1</v>
          </cell>
          <cell r="T219">
            <v>1</v>
          </cell>
          <cell r="U219">
            <v>1</v>
          </cell>
        </row>
        <row r="220">
          <cell r="A220">
            <v>121097</v>
          </cell>
          <cell r="B220">
            <v>121097</v>
          </cell>
          <cell r="C220" t="str">
            <v>摩兹</v>
          </cell>
          <cell r="D220" t="str">
            <v>摩兹</v>
          </cell>
        </row>
        <row r="220">
          <cell r="F220">
            <v>0</v>
          </cell>
        </row>
        <row r="220">
          <cell r="M220">
            <v>0</v>
          </cell>
          <cell r="N220">
            <v>0</v>
          </cell>
          <cell r="O220">
            <v>1</v>
          </cell>
          <cell r="P220">
            <v>1</v>
          </cell>
          <cell r="Q220">
            <v>2</v>
          </cell>
          <cell r="R220" t="str">
            <v>水之都</v>
          </cell>
          <cell r="S220">
            <v>1</v>
          </cell>
          <cell r="T220">
            <v>1</v>
          </cell>
          <cell r="U220">
            <v>1</v>
          </cell>
        </row>
        <row r="221">
          <cell r="A221">
            <v>121098</v>
          </cell>
          <cell r="B221">
            <v>121098</v>
          </cell>
          <cell r="C221" t="str">
            <v>脸谱</v>
          </cell>
          <cell r="D221" t="str">
            <v>脸谱</v>
          </cell>
        </row>
        <row r="221">
          <cell r="F221">
            <v>0</v>
          </cell>
        </row>
        <row r="221">
          <cell r="M221">
            <v>0</v>
          </cell>
          <cell r="N221">
            <v>0</v>
          </cell>
          <cell r="O221">
            <v>1</v>
          </cell>
          <cell r="P221">
            <v>1</v>
          </cell>
          <cell r="Q221">
            <v>2</v>
          </cell>
          <cell r="R221" t="str">
            <v>世界政府</v>
          </cell>
          <cell r="S221">
            <v>1</v>
          </cell>
          <cell r="T221">
            <v>1</v>
          </cell>
          <cell r="U221">
            <v>1</v>
          </cell>
        </row>
        <row r="222">
          <cell r="A222">
            <v>121099</v>
          </cell>
          <cell r="B222">
            <v>121099</v>
          </cell>
          <cell r="C222" t="str">
            <v>海军上校</v>
          </cell>
          <cell r="D222" t="str">
            <v>海军上校A</v>
          </cell>
        </row>
        <row r="222">
          <cell r="F222">
            <v>0</v>
          </cell>
        </row>
        <row r="222">
          <cell r="M222">
            <v>0</v>
          </cell>
          <cell r="N222">
            <v>0</v>
          </cell>
          <cell r="O222">
            <v>1</v>
          </cell>
          <cell r="P222">
            <v>1</v>
          </cell>
          <cell r="Q222">
            <v>2</v>
          </cell>
          <cell r="R222" t="str">
            <v/>
          </cell>
          <cell r="S222">
            <v>1</v>
          </cell>
          <cell r="T222">
            <v>1</v>
          </cell>
          <cell r="U222">
            <v>1</v>
          </cell>
        </row>
        <row r="223">
          <cell r="A223">
            <v>121100</v>
          </cell>
          <cell r="B223">
            <v>121100</v>
          </cell>
          <cell r="C223" t="str">
            <v>海军上校</v>
          </cell>
          <cell r="D223" t="str">
            <v>海军上校B</v>
          </cell>
        </row>
        <row r="223">
          <cell r="F223">
            <v>0</v>
          </cell>
        </row>
        <row r="223">
          <cell r="M223">
            <v>0</v>
          </cell>
          <cell r="N223">
            <v>0</v>
          </cell>
          <cell r="O223">
            <v>1</v>
          </cell>
          <cell r="P223">
            <v>1</v>
          </cell>
          <cell r="Q223">
            <v>2</v>
          </cell>
          <cell r="R223" t="str">
            <v/>
          </cell>
          <cell r="S223">
            <v>1</v>
          </cell>
          <cell r="T223">
            <v>1</v>
          </cell>
          <cell r="U223">
            <v>1</v>
          </cell>
        </row>
        <row r="224">
          <cell r="A224">
            <v>121101</v>
          </cell>
          <cell r="B224">
            <v>121101</v>
          </cell>
          <cell r="C224" t="str">
            <v>铁锤船工</v>
          </cell>
          <cell r="D224" t="str">
            <v>铁锤船工</v>
          </cell>
        </row>
        <row r="224">
          <cell r="F224">
            <v>0</v>
          </cell>
        </row>
        <row r="224">
          <cell r="M224">
            <v>0</v>
          </cell>
          <cell r="N224">
            <v>0</v>
          </cell>
          <cell r="O224">
            <v>1</v>
          </cell>
          <cell r="P224">
            <v>1</v>
          </cell>
          <cell r="Q224">
            <v>2</v>
          </cell>
          <cell r="R224" t="str">
            <v/>
          </cell>
          <cell r="S224">
            <v>1</v>
          </cell>
          <cell r="T224">
            <v>1</v>
          </cell>
          <cell r="U224">
            <v>1</v>
          </cell>
        </row>
        <row r="225">
          <cell r="A225">
            <v>121102</v>
          </cell>
          <cell r="B225">
            <v>121102</v>
          </cell>
          <cell r="C225" t="str">
            <v>弗兰奇家族成员</v>
          </cell>
          <cell r="D225" t="str">
            <v>弗兰奇家族A</v>
          </cell>
        </row>
        <row r="225">
          <cell r="F225">
            <v>0</v>
          </cell>
        </row>
        <row r="225">
          <cell r="M225">
            <v>0</v>
          </cell>
          <cell r="N225">
            <v>0</v>
          </cell>
          <cell r="O225">
            <v>1</v>
          </cell>
          <cell r="P225">
            <v>1</v>
          </cell>
          <cell r="Q225">
            <v>2</v>
          </cell>
          <cell r="R225" t="str">
            <v/>
          </cell>
          <cell r="S225">
            <v>1</v>
          </cell>
          <cell r="T225">
            <v>1</v>
          </cell>
          <cell r="U225">
            <v>1</v>
          </cell>
        </row>
        <row r="226">
          <cell r="A226">
            <v>121103</v>
          </cell>
          <cell r="B226">
            <v>121103</v>
          </cell>
          <cell r="C226" t="str">
            <v>弗兰奇家族成员</v>
          </cell>
          <cell r="D226" t="str">
            <v>弗兰奇家族B</v>
          </cell>
        </row>
        <row r="226">
          <cell r="F226">
            <v>0</v>
          </cell>
        </row>
        <row r="226">
          <cell r="M226">
            <v>0</v>
          </cell>
          <cell r="N226">
            <v>0</v>
          </cell>
          <cell r="O226">
            <v>1</v>
          </cell>
          <cell r="P226">
            <v>1</v>
          </cell>
          <cell r="Q226">
            <v>2</v>
          </cell>
          <cell r="R226" t="str">
            <v/>
          </cell>
          <cell r="S226">
            <v>1</v>
          </cell>
          <cell r="T226">
            <v>1</v>
          </cell>
          <cell r="U226">
            <v>1</v>
          </cell>
        </row>
        <row r="227">
          <cell r="A227">
            <v>121104</v>
          </cell>
          <cell r="B227">
            <v>121104</v>
          </cell>
          <cell r="C227" t="str">
            <v>弗兰奇家族成员</v>
          </cell>
          <cell r="D227" t="str">
            <v>弗兰奇家族C</v>
          </cell>
        </row>
        <row r="227">
          <cell r="F227">
            <v>0</v>
          </cell>
        </row>
        <row r="227">
          <cell r="M227">
            <v>0</v>
          </cell>
          <cell r="N227">
            <v>0</v>
          </cell>
          <cell r="O227">
            <v>1</v>
          </cell>
          <cell r="P227">
            <v>1</v>
          </cell>
          <cell r="Q227">
            <v>2</v>
          </cell>
          <cell r="R227" t="str">
            <v/>
          </cell>
          <cell r="S227">
            <v>1</v>
          </cell>
          <cell r="T227">
            <v>1</v>
          </cell>
          <cell r="U227">
            <v>1</v>
          </cell>
        </row>
        <row r="228">
          <cell r="A228">
            <v>121105</v>
          </cell>
          <cell r="B228">
            <v>121105</v>
          </cell>
          <cell r="C228" t="str">
            <v>司法犬部队</v>
          </cell>
          <cell r="D228" t="str">
            <v>司法犬部队</v>
          </cell>
        </row>
        <row r="228">
          <cell r="F228">
            <v>0</v>
          </cell>
        </row>
        <row r="228">
          <cell r="M228">
            <v>0</v>
          </cell>
          <cell r="N228">
            <v>0</v>
          </cell>
          <cell r="O228">
            <v>1</v>
          </cell>
          <cell r="P228">
            <v>1</v>
          </cell>
          <cell r="Q228">
            <v>2</v>
          </cell>
          <cell r="R228" t="str">
            <v/>
          </cell>
          <cell r="S228">
            <v>1</v>
          </cell>
          <cell r="T228">
            <v>1</v>
          </cell>
          <cell r="U228">
            <v>1</v>
          </cell>
        </row>
        <row r="229">
          <cell r="A229">
            <v>121106</v>
          </cell>
          <cell r="B229">
            <v>121106</v>
          </cell>
          <cell r="C229" t="str">
            <v>有罪陪审团</v>
          </cell>
          <cell r="D229" t="str">
            <v>有罪陪审团</v>
          </cell>
        </row>
        <row r="229">
          <cell r="F229">
            <v>0</v>
          </cell>
        </row>
        <row r="229">
          <cell r="M229">
            <v>0</v>
          </cell>
          <cell r="N229">
            <v>0</v>
          </cell>
          <cell r="O229">
            <v>1</v>
          </cell>
          <cell r="P229">
            <v>1</v>
          </cell>
          <cell r="Q229">
            <v>2</v>
          </cell>
          <cell r="R229" t="str">
            <v/>
          </cell>
          <cell r="S229">
            <v>1</v>
          </cell>
          <cell r="T229">
            <v>1</v>
          </cell>
          <cell r="U229">
            <v>1</v>
          </cell>
        </row>
        <row r="230">
          <cell r="A230">
            <v>121107</v>
          </cell>
          <cell r="B230">
            <v>121107</v>
          </cell>
          <cell r="C230" t="str">
            <v>CP9</v>
          </cell>
          <cell r="D230" t="str">
            <v>持枪CP9 A</v>
          </cell>
        </row>
        <row r="230">
          <cell r="F230">
            <v>0</v>
          </cell>
        </row>
        <row r="230">
          <cell r="M230">
            <v>0</v>
          </cell>
          <cell r="N230">
            <v>0</v>
          </cell>
          <cell r="O230">
            <v>1</v>
          </cell>
          <cell r="P230">
            <v>1</v>
          </cell>
          <cell r="Q230">
            <v>2</v>
          </cell>
          <cell r="R230" t="str">
            <v/>
          </cell>
          <cell r="S230">
            <v>1</v>
          </cell>
          <cell r="T230">
            <v>1</v>
          </cell>
          <cell r="U230">
            <v>1</v>
          </cell>
        </row>
        <row r="231">
          <cell r="A231">
            <v>121108</v>
          </cell>
          <cell r="B231">
            <v>121108</v>
          </cell>
          <cell r="C231" t="str">
            <v>CP9</v>
          </cell>
          <cell r="D231" t="str">
            <v>持枪CP9 B</v>
          </cell>
        </row>
        <row r="231">
          <cell r="F231">
            <v>0</v>
          </cell>
        </row>
        <row r="231">
          <cell r="M231">
            <v>0</v>
          </cell>
          <cell r="N231">
            <v>0</v>
          </cell>
          <cell r="O231">
            <v>1</v>
          </cell>
          <cell r="P231">
            <v>1</v>
          </cell>
          <cell r="Q231">
            <v>2</v>
          </cell>
          <cell r="R231" t="str">
            <v/>
          </cell>
          <cell r="S231">
            <v>1</v>
          </cell>
          <cell r="T231">
            <v>1</v>
          </cell>
          <cell r="U231">
            <v>1</v>
          </cell>
        </row>
        <row r="232">
          <cell r="A232">
            <v>121109</v>
          </cell>
          <cell r="B232">
            <v>121109</v>
          </cell>
          <cell r="C232" t="str">
            <v>海军大佐</v>
          </cell>
          <cell r="D232" t="str">
            <v>海军大佐A</v>
          </cell>
        </row>
        <row r="232">
          <cell r="F232">
            <v>0</v>
          </cell>
        </row>
        <row r="232">
          <cell r="M232">
            <v>0</v>
          </cell>
          <cell r="N232">
            <v>0</v>
          </cell>
          <cell r="O232">
            <v>1</v>
          </cell>
          <cell r="P232">
            <v>1</v>
          </cell>
          <cell r="Q232">
            <v>2</v>
          </cell>
          <cell r="R232" t="str">
            <v/>
          </cell>
          <cell r="S232">
            <v>1</v>
          </cell>
          <cell r="T232">
            <v>1</v>
          </cell>
          <cell r="U232">
            <v>1</v>
          </cell>
        </row>
        <row r="233">
          <cell r="A233">
            <v>121110</v>
          </cell>
          <cell r="B233">
            <v>121110</v>
          </cell>
          <cell r="C233" t="str">
            <v>海军大佐</v>
          </cell>
          <cell r="D233" t="str">
            <v>海军大佐B</v>
          </cell>
        </row>
        <row r="233">
          <cell r="F233">
            <v>0</v>
          </cell>
        </row>
        <row r="233">
          <cell r="M233">
            <v>0</v>
          </cell>
          <cell r="N233">
            <v>0</v>
          </cell>
          <cell r="O233">
            <v>1</v>
          </cell>
          <cell r="P233">
            <v>1</v>
          </cell>
          <cell r="Q233">
            <v>2</v>
          </cell>
          <cell r="R233" t="str">
            <v/>
          </cell>
          <cell r="S233">
            <v>1</v>
          </cell>
          <cell r="T233">
            <v>1</v>
          </cell>
          <cell r="U233">
            <v>1</v>
          </cell>
        </row>
        <row r="234">
          <cell r="A234">
            <v>121111</v>
          </cell>
          <cell r="B234">
            <v>121111</v>
          </cell>
          <cell r="C234" t="str">
            <v>福克斯</v>
          </cell>
          <cell r="D234" t="str">
            <v>福克斯</v>
          </cell>
        </row>
        <row r="234">
          <cell r="F234">
            <v>0</v>
          </cell>
        </row>
        <row r="234">
          <cell r="M234">
            <v>0</v>
          </cell>
          <cell r="N234">
            <v>0</v>
          </cell>
          <cell r="O234">
            <v>3</v>
          </cell>
          <cell r="P234">
            <v>1</v>
          </cell>
          <cell r="Q234">
            <v>2</v>
          </cell>
          <cell r="R234" t="str">
            <v>福克斯海盗团</v>
          </cell>
          <cell r="S234">
            <v>1</v>
          </cell>
          <cell r="T234">
            <v>1</v>
          </cell>
          <cell r="U234">
            <v>1</v>
          </cell>
        </row>
        <row r="235">
          <cell r="A235">
            <v>121112</v>
          </cell>
          <cell r="B235">
            <v>121112</v>
          </cell>
          <cell r="C235" t="str">
            <v>波尔茜</v>
          </cell>
          <cell r="D235" t="str">
            <v>波尔茜</v>
          </cell>
        </row>
        <row r="235">
          <cell r="F235">
            <v>1</v>
          </cell>
        </row>
        <row r="235">
          <cell r="M235">
            <v>0</v>
          </cell>
          <cell r="N235">
            <v>0</v>
          </cell>
          <cell r="O235">
            <v>1</v>
          </cell>
          <cell r="P235">
            <v>1</v>
          </cell>
          <cell r="Q235">
            <v>2</v>
          </cell>
          <cell r="R235" t="str">
            <v>福克斯海盗团</v>
          </cell>
          <cell r="S235">
            <v>1</v>
          </cell>
          <cell r="T235">
            <v>1</v>
          </cell>
          <cell r="U235">
            <v>1</v>
          </cell>
        </row>
        <row r="236">
          <cell r="A236">
            <v>121113</v>
          </cell>
          <cell r="B236">
            <v>121113</v>
          </cell>
          <cell r="C236" t="str">
            <v>汉堡</v>
          </cell>
          <cell r="D236" t="str">
            <v>汉堡</v>
          </cell>
        </row>
        <row r="236">
          <cell r="F236">
            <v>0</v>
          </cell>
        </row>
        <row r="236">
          <cell r="M236">
            <v>0</v>
          </cell>
          <cell r="N236">
            <v>0</v>
          </cell>
          <cell r="O236">
            <v>1</v>
          </cell>
          <cell r="P236">
            <v>1</v>
          </cell>
          <cell r="Q236">
            <v>2</v>
          </cell>
          <cell r="R236" t="str">
            <v>福克斯海盗团</v>
          </cell>
          <cell r="S236">
            <v>1</v>
          </cell>
          <cell r="T236">
            <v>1</v>
          </cell>
          <cell r="U236">
            <v>1</v>
          </cell>
        </row>
        <row r="237">
          <cell r="A237">
            <v>121114</v>
          </cell>
          <cell r="B237">
            <v>121114</v>
          </cell>
          <cell r="C237" t="str">
            <v>皮库鲁斯</v>
          </cell>
          <cell r="D237" t="str">
            <v>皮库鲁斯</v>
          </cell>
        </row>
        <row r="237">
          <cell r="F237">
            <v>0</v>
          </cell>
        </row>
        <row r="237">
          <cell r="M237">
            <v>0</v>
          </cell>
          <cell r="N237">
            <v>0</v>
          </cell>
          <cell r="O237">
            <v>1</v>
          </cell>
          <cell r="P237">
            <v>1</v>
          </cell>
          <cell r="Q237">
            <v>2</v>
          </cell>
          <cell r="R237" t="str">
            <v>福克斯海盗团</v>
          </cell>
          <cell r="S237">
            <v>1</v>
          </cell>
          <cell r="T237">
            <v>1</v>
          </cell>
          <cell r="U237">
            <v>1</v>
          </cell>
        </row>
        <row r="238">
          <cell r="A238">
            <v>121115</v>
          </cell>
          <cell r="B238">
            <v>121115</v>
          </cell>
          <cell r="C238" t="str">
            <v>僵尸士兵A</v>
          </cell>
          <cell r="D238" t="str">
            <v>僵尸士兵A</v>
          </cell>
        </row>
        <row r="238">
          <cell r="F238">
            <v>0</v>
          </cell>
        </row>
        <row r="238">
          <cell r="M238">
            <v>0</v>
          </cell>
          <cell r="N238">
            <v>0</v>
          </cell>
          <cell r="O238">
            <v>1</v>
          </cell>
          <cell r="P238">
            <v>1</v>
          </cell>
          <cell r="Q238">
            <v>5</v>
          </cell>
          <cell r="R238" t="str">
            <v/>
          </cell>
          <cell r="S238">
            <v>1</v>
          </cell>
          <cell r="T238">
            <v>1</v>
          </cell>
          <cell r="U238">
            <v>1</v>
          </cell>
        </row>
        <row r="239">
          <cell r="A239">
            <v>121116</v>
          </cell>
          <cell r="B239">
            <v>121116</v>
          </cell>
          <cell r="C239" t="str">
            <v>僵尸士兵B</v>
          </cell>
          <cell r="D239" t="str">
            <v>僵尸士兵B</v>
          </cell>
        </row>
        <row r="239">
          <cell r="F239">
            <v>0</v>
          </cell>
        </row>
        <row r="239">
          <cell r="M239">
            <v>0</v>
          </cell>
          <cell r="N239">
            <v>0</v>
          </cell>
          <cell r="O239">
            <v>1</v>
          </cell>
          <cell r="P239">
            <v>1</v>
          </cell>
          <cell r="Q239">
            <v>5</v>
          </cell>
          <cell r="R239" t="str">
            <v/>
          </cell>
          <cell r="S239">
            <v>1</v>
          </cell>
          <cell r="T239">
            <v>1</v>
          </cell>
          <cell r="U239">
            <v>1</v>
          </cell>
        </row>
        <row r="240">
          <cell r="A240">
            <v>121117</v>
          </cell>
          <cell r="B240">
            <v>121117</v>
          </cell>
          <cell r="C240" t="str">
            <v>僵尸士兵C</v>
          </cell>
          <cell r="D240" t="str">
            <v>僵尸士兵C</v>
          </cell>
        </row>
        <row r="240">
          <cell r="F240">
            <v>0</v>
          </cell>
        </row>
        <row r="240">
          <cell r="M240">
            <v>0</v>
          </cell>
          <cell r="N240">
            <v>0</v>
          </cell>
          <cell r="O240">
            <v>1</v>
          </cell>
          <cell r="P240">
            <v>1</v>
          </cell>
          <cell r="Q240">
            <v>5</v>
          </cell>
          <cell r="R240" t="str">
            <v/>
          </cell>
          <cell r="S240">
            <v>1</v>
          </cell>
          <cell r="T240">
            <v>1</v>
          </cell>
          <cell r="U240">
            <v>1</v>
          </cell>
        </row>
        <row r="241">
          <cell r="A241">
            <v>121118</v>
          </cell>
          <cell r="B241">
            <v>121118</v>
          </cell>
          <cell r="C241" t="str">
            <v>僵尸士兵D</v>
          </cell>
          <cell r="D241" t="str">
            <v>僵尸士兵D</v>
          </cell>
        </row>
        <row r="241">
          <cell r="F241">
            <v>0</v>
          </cell>
        </row>
        <row r="241">
          <cell r="M241">
            <v>0</v>
          </cell>
          <cell r="N241">
            <v>0</v>
          </cell>
          <cell r="O241">
            <v>1</v>
          </cell>
          <cell r="P241">
            <v>1</v>
          </cell>
          <cell r="Q241">
            <v>5</v>
          </cell>
          <cell r="R241" t="str">
            <v/>
          </cell>
          <cell r="S241">
            <v>1</v>
          </cell>
          <cell r="T241">
            <v>1</v>
          </cell>
          <cell r="U241">
            <v>1</v>
          </cell>
        </row>
        <row r="242">
          <cell r="A242">
            <v>121119</v>
          </cell>
          <cell r="B242">
            <v>121119</v>
          </cell>
          <cell r="C242" t="str">
            <v>僵尸士兵E</v>
          </cell>
          <cell r="D242" t="str">
            <v>僵尸士兵E</v>
          </cell>
        </row>
        <row r="242">
          <cell r="F242">
            <v>0</v>
          </cell>
        </row>
        <row r="242">
          <cell r="M242">
            <v>0</v>
          </cell>
          <cell r="N242">
            <v>0</v>
          </cell>
          <cell r="O242">
            <v>1</v>
          </cell>
          <cell r="P242">
            <v>1</v>
          </cell>
          <cell r="Q242">
            <v>5</v>
          </cell>
          <cell r="R242" t="str">
            <v/>
          </cell>
          <cell r="S242">
            <v>1</v>
          </cell>
          <cell r="T242">
            <v>1</v>
          </cell>
          <cell r="U242">
            <v>1</v>
          </cell>
        </row>
        <row r="243">
          <cell r="A243">
            <v>121120</v>
          </cell>
          <cell r="B243">
            <v>121120</v>
          </cell>
          <cell r="C243" t="str">
            <v>僵尸士兵F</v>
          </cell>
          <cell r="D243" t="str">
            <v>僵尸士兵F</v>
          </cell>
        </row>
        <row r="243">
          <cell r="F243">
            <v>0</v>
          </cell>
        </row>
        <row r="243">
          <cell r="M243">
            <v>0</v>
          </cell>
          <cell r="N243">
            <v>0</v>
          </cell>
          <cell r="O243">
            <v>1</v>
          </cell>
          <cell r="P243">
            <v>1</v>
          </cell>
          <cell r="Q243">
            <v>5</v>
          </cell>
          <cell r="R243" t="str">
            <v/>
          </cell>
          <cell r="S243">
            <v>1</v>
          </cell>
          <cell r="T243">
            <v>1</v>
          </cell>
          <cell r="U243">
            <v>1</v>
          </cell>
        </row>
        <row r="244">
          <cell r="A244">
            <v>121121</v>
          </cell>
          <cell r="B244">
            <v>121121</v>
          </cell>
          <cell r="C244" t="str">
            <v>僵尸士兵G</v>
          </cell>
          <cell r="D244" t="str">
            <v>僵尸士兵G</v>
          </cell>
        </row>
        <row r="244">
          <cell r="F244">
            <v>0</v>
          </cell>
        </row>
        <row r="244">
          <cell r="M244">
            <v>0</v>
          </cell>
          <cell r="N244">
            <v>0</v>
          </cell>
          <cell r="O244">
            <v>1</v>
          </cell>
          <cell r="P244">
            <v>1</v>
          </cell>
          <cell r="Q244">
            <v>5</v>
          </cell>
          <cell r="R244" t="str">
            <v/>
          </cell>
          <cell r="S244">
            <v>1</v>
          </cell>
          <cell r="T244">
            <v>1</v>
          </cell>
          <cell r="U244">
            <v>1</v>
          </cell>
        </row>
        <row r="245">
          <cell r="A245">
            <v>121122</v>
          </cell>
          <cell r="B245">
            <v>121122</v>
          </cell>
          <cell r="C245" t="str">
            <v>僵尸树</v>
          </cell>
          <cell r="D245" t="str">
            <v>僵尸树</v>
          </cell>
        </row>
        <row r="245">
          <cell r="F245">
            <v>0</v>
          </cell>
        </row>
        <row r="245">
          <cell r="M245">
            <v>0</v>
          </cell>
          <cell r="N245">
            <v>0</v>
          </cell>
          <cell r="O245">
            <v>1</v>
          </cell>
          <cell r="P245">
            <v>1</v>
          </cell>
          <cell r="Q245">
            <v>5</v>
          </cell>
          <cell r="R245" t="str">
            <v>恐怖之船</v>
          </cell>
          <cell r="S245">
            <v>1</v>
          </cell>
          <cell r="T245">
            <v>1</v>
          </cell>
          <cell r="U245">
            <v>1</v>
          </cell>
        </row>
        <row r="246">
          <cell r="A246">
            <v>121123</v>
          </cell>
          <cell r="B246">
            <v>121123</v>
          </cell>
          <cell r="C246" t="str">
            <v>盔甲僵尸A</v>
          </cell>
          <cell r="D246" t="str">
            <v>盔甲僵尸-持斧</v>
          </cell>
        </row>
        <row r="246">
          <cell r="F246">
            <v>0</v>
          </cell>
        </row>
        <row r="246">
          <cell r="M246">
            <v>0</v>
          </cell>
          <cell r="N246">
            <v>0</v>
          </cell>
          <cell r="O246">
            <v>1</v>
          </cell>
          <cell r="P246">
            <v>1</v>
          </cell>
          <cell r="Q246">
            <v>5</v>
          </cell>
          <cell r="R246" t="str">
            <v>恐怖之船</v>
          </cell>
          <cell r="S246">
            <v>1</v>
          </cell>
          <cell r="T246">
            <v>1</v>
          </cell>
          <cell r="U246">
            <v>1</v>
          </cell>
        </row>
        <row r="247">
          <cell r="A247">
            <v>121124</v>
          </cell>
          <cell r="B247">
            <v>121124</v>
          </cell>
          <cell r="C247" t="str">
            <v>盔甲僵尸B</v>
          </cell>
          <cell r="D247" t="str">
            <v>盔甲僵尸-持剑</v>
          </cell>
        </row>
        <row r="247">
          <cell r="F247">
            <v>0</v>
          </cell>
        </row>
        <row r="247">
          <cell r="M247">
            <v>0</v>
          </cell>
          <cell r="N247">
            <v>0</v>
          </cell>
          <cell r="O247">
            <v>1</v>
          </cell>
          <cell r="P247">
            <v>1</v>
          </cell>
          <cell r="Q247">
            <v>5</v>
          </cell>
          <cell r="R247" t="str">
            <v>恐怖之船</v>
          </cell>
          <cell r="S247">
            <v>1</v>
          </cell>
          <cell r="T247">
            <v>1</v>
          </cell>
          <cell r="U247">
            <v>1</v>
          </cell>
        </row>
        <row r="248">
          <cell r="A248">
            <v>121125</v>
          </cell>
          <cell r="B248">
            <v>121125</v>
          </cell>
          <cell r="C248" t="str">
            <v>僵尸河马</v>
          </cell>
          <cell r="D248" t="str">
            <v>僵尸河马</v>
          </cell>
        </row>
        <row r="248">
          <cell r="F248">
            <v>0</v>
          </cell>
        </row>
        <row r="248">
          <cell r="M248">
            <v>0</v>
          </cell>
          <cell r="N248">
            <v>0</v>
          </cell>
          <cell r="O248">
            <v>1</v>
          </cell>
          <cell r="P248">
            <v>1</v>
          </cell>
          <cell r="Q248">
            <v>5</v>
          </cell>
          <cell r="R248" t="str">
            <v>恐怖之船</v>
          </cell>
          <cell r="S248">
            <v>1</v>
          </cell>
          <cell r="T248">
            <v>1</v>
          </cell>
          <cell r="U248">
            <v>1</v>
          </cell>
        </row>
        <row r="249">
          <cell r="A249">
            <v>121126</v>
          </cell>
          <cell r="B249">
            <v>121126</v>
          </cell>
          <cell r="C249" t="str">
            <v>僵尸熊猫</v>
          </cell>
          <cell r="D249" t="str">
            <v>僵尸熊猫</v>
          </cell>
        </row>
        <row r="249">
          <cell r="F249">
            <v>0</v>
          </cell>
        </row>
        <row r="249">
          <cell r="M249">
            <v>0</v>
          </cell>
          <cell r="N249">
            <v>0</v>
          </cell>
          <cell r="O249">
            <v>1</v>
          </cell>
          <cell r="P249">
            <v>1</v>
          </cell>
          <cell r="Q249">
            <v>5</v>
          </cell>
          <cell r="R249" t="str">
            <v>恐怖之船</v>
          </cell>
          <cell r="S249">
            <v>1</v>
          </cell>
          <cell r="T249">
            <v>1</v>
          </cell>
          <cell r="U249">
            <v>1</v>
          </cell>
        </row>
        <row r="250">
          <cell r="A250">
            <v>121127</v>
          </cell>
          <cell r="B250">
            <v>121127</v>
          </cell>
          <cell r="C250" t="str">
            <v>地狱三头犬</v>
          </cell>
          <cell r="D250" t="str">
            <v>三头犬</v>
          </cell>
        </row>
        <row r="250">
          <cell r="F250">
            <v>0</v>
          </cell>
        </row>
        <row r="250">
          <cell r="M250">
            <v>0</v>
          </cell>
          <cell r="N250">
            <v>1</v>
          </cell>
          <cell r="O250">
            <v>1</v>
          </cell>
          <cell r="P250">
            <v>1</v>
          </cell>
          <cell r="Q250">
            <v>5</v>
          </cell>
          <cell r="R250" t="str">
            <v>恐怖之船</v>
          </cell>
          <cell r="S250">
            <v>1</v>
          </cell>
          <cell r="T250">
            <v>1</v>
          </cell>
          <cell r="U250">
            <v>1</v>
          </cell>
        </row>
        <row r="251">
          <cell r="A251">
            <v>121128</v>
          </cell>
          <cell r="B251">
            <v>121128</v>
          </cell>
          <cell r="C251" t="str">
            <v>惊吓盒子</v>
          </cell>
          <cell r="D251" t="str">
            <v>僵尸惊吓盒子</v>
          </cell>
        </row>
        <row r="251">
          <cell r="F251">
            <v>0</v>
          </cell>
        </row>
        <row r="251">
          <cell r="M251">
            <v>0</v>
          </cell>
          <cell r="N251">
            <v>0</v>
          </cell>
          <cell r="O251">
            <v>1</v>
          </cell>
          <cell r="P251">
            <v>1</v>
          </cell>
          <cell r="Q251">
            <v>5</v>
          </cell>
          <cell r="R251" t="str">
            <v>恐怖之船</v>
          </cell>
          <cell r="S251">
            <v>1</v>
          </cell>
          <cell r="T251">
            <v>1</v>
          </cell>
          <cell r="U251">
            <v>1</v>
          </cell>
        </row>
        <row r="252">
          <cell r="A252">
            <v>121129</v>
          </cell>
          <cell r="B252">
            <v>121129</v>
          </cell>
          <cell r="C252" t="str">
            <v>莫利亚-影法师</v>
          </cell>
          <cell r="D252" t="str">
            <v>莫利亚-影法师</v>
          </cell>
        </row>
        <row r="252">
          <cell r="F252">
            <v>0</v>
          </cell>
        </row>
        <row r="252">
          <cell r="M252">
            <v>0</v>
          </cell>
          <cell r="N252">
            <v>0</v>
          </cell>
          <cell r="O252">
            <v>1</v>
          </cell>
          <cell r="P252">
            <v>1</v>
          </cell>
          <cell r="Q252">
            <v>5</v>
          </cell>
          <cell r="R252" t="str">
            <v>恐怖之船</v>
          </cell>
          <cell r="S252">
            <v>1</v>
          </cell>
          <cell r="T252">
            <v>1</v>
          </cell>
          <cell r="U252">
            <v>1</v>
          </cell>
        </row>
        <row r="253">
          <cell r="A253">
            <v>121130</v>
          </cell>
          <cell r="B253">
            <v>121130</v>
          </cell>
          <cell r="C253" t="str">
            <v>卡古</v>
          </cell>
          <cell r="D253" t="str">
            <v>卡古（长颈鹿）</v>
          </cell>
        </row>
        <row r="253">
          <cell r="F253">
            <v>0</v>
          </cell>
        </row>
        <row r="253">
          <cell r="M253">
            <v>0</v>
          </cell>
          <cell r="N253">
            <v>0</v>
          </cell>
          <cell r="O253">
            <v>3</v>
          </cell>
          <cell r="P253">
            <v>3</v>
          </cell>
          <cell r="Q253">
            <v>4</v>
          </cell>
          <cell r="R253" t="str">
            <v>世界政府</v>
          </cell>
          <cell r="S253">
            <v>2</v>
          </cell>
          <cell r="T253">
            <v>7</v>
          </cell>
          <cell r="U253">
            <v>2</v>
          </cell>
        </row>
        <row r="254">
          <cell r="A254">
            <v>121131</v>
          </cell>
          <cell r="B254">
            <v>121131</v>
          </cell>
          <cell r="C254" t="str">
            <v>辛德莉</v>
          </cell>
          <cell r="D254" t="str">
            <v>辛德丽</v>
          </cell>
        </row>
        <row r="254">
          <cell r="F254">
            <v>1</v>
          </cell>
        </row>
        <row r="254">
          <cell r="M254">
            <v>0</v>
          </cell>
          <cell r="N254">
            <v>1</v>
          </cell>
          <cell r="O254">
            <v>1</v>
          </cell>
          <cell r="P254">
            <v>1</v>
          </cell>
          <cell r="Q254">
            <v>5</v>
          </cell>
          <cell r="R254" t="str">
            <v>恐怖之船</v>
          </cell>
          <cell r="S254">
            <v>1</v>
          </cell>
          <cell r="T254">
            <v>1</v>
          </cell>
          <cell r="U254">
            <v>1</v>
          </cell>
        </row>
        <row r="255">
          <cell r="A255">
            <v>121132</v>
          </cell>
          <cell r="B255">
            <v>121132</v>
          </cell>
          <cell r="C255" t="str">
            <v>僵尸士兵A</v>
          </cell>
          <cell r="D255" t="str">
            <v>僵尸士兵A</v>
          </cell>
        </row>
        <row r="255">
          <cell r="F255">
            <v>0</v>
          </cell>
        </row>
        <row r="255">
          <cell r="M255">
            <v>0</v>
          </cell>
          <cell r="N255">
            <v>0</v>
          </cell>
          <cell r="O255">
            <v>1</v>
          </cell>
          <cell r="P255">
            <v>1</v>
          </cell>
          <cell r="Q255">
            <v>5</v>
          </cell>
          <cell r="R255" t="str">
            <v>恐怖之船</v>
          </cell>
          <cell r="S255">
            <v>1</v>
          </cell>
          <cell r="T255">
            <v>1</v>
          </cell>
          <cell r="U255">
            <v>1</v>
          </cell>
        </row>
        <row r="256">
          <cell r="A256">
            <v>121133</v>
          </cell>
          <cell r="B256">
            <v>121133</v>
          </cell>
          <cell r="C256" t="str">
            <v>蜘蛛猴</v>
          </cell>
          <cell r="D256" t="str">
            <v>蜘蛛猴</v>
          </cell>
        </row>
        <row r="256">
          <cell r="F256">
            <v>0</v>
          </cell>
        </row>
        <row r="256">
          <cell r="M256">
            <v>0</v>
          </cell>
          <cell r="N256">
            <v>1</v>
          </cell>
          <cell r="O256">
            <v>1</v>
          </cell>
          <cell r="P256">
            <v>1</v>
          </cell>
          <cell r="Q256">
            <v>5</v>
          </cell>
          <cell r="R256" t="str">
            <v>恐怖之船</v>
          </cell>
          <cell r="S256">
            <v>1</v>
          </cell>
          <cell r="T256">
            <v>1</v>
          </cell>
          <cell r="U256">
            <v>1</v>
          </cell>
        </row>
        <row r="257">
          <cell r="A257">
            <v>121134</v>
          </cell>
          <cell r="B257">
            <v>121134</v>
          </cell>
          <cell r="C257" t="str">
            <v>萝拉</v>
          </cell>
          <cell r="D257" t="str">
            <v>野猪萝拉</v>
          </cell>
        </row>
        <row r="257">
          <cell r="F257">
            <v>1</v>
          </cell>
        </row>
        <row r="257">
          <cell r="M257">
            <v>0</v>
          </cell>
          <cell r="N257">
            <v>0</v>
          </cell>
          <cell r="O257">
            <v>1</v>
          </cell>
          <cell r="P257">
            <v>1</v>
          </cell>
          <cell r="Q257">
            <v>5</v>
          </cell>
          <cell r="R257" t="str">
            <v>恐怖之船</v>
          </cell>
          <cell r="S257">
            <v>1</v>
          </cell>
          <cell r="T257">
            <v>1</v>
          </cell>
          <cell r="U257">
            <v>1</v>
          </cell>
        </row>
        <row r="258">
          <cell r="A258">
            <v>121135</v>
          </cell>
          <cell r="B258">
            <v>121135</v>
          </cell>
          <cell r="C258" t="str">
            <v>风之治五郎</v>
          </cell>
          <cell r="D258" t="str">
            <v>治五郎</v>
          </cell>
        </row>
        <row r="258">
          <cell r="F258">
            <v>0</v>
          </cell>
        </row>
        <row r="258">
          <cell r="M258">
            <v>0</v>
          </cell>
          <cell r="N258">
            <v>1</v>
          </cell>
          <cell r="O258">
            <v>1</v>
          </cell>
          <cell r="P258">
            <v>1</v>
          </cell>
          <cell r="Q258">
            <v>5</v>
          </cell>
          <cell r="R258" t="str">
            <v>恐怖之船</v>
          </cell>
          <cell r="S258">
            <v>1</v>
          </cell>
          <cell r="T258">
            <v>1</v>
          </cell>
          <cell r="U258">
            <v>1</v>
          </cell>
        </row>
        <row r="259">
          <cell r="A259">
            <v>121136</v>
          </cell>
          <cell r="B259">
            <v>121136</v>
          </cell>
          <cell r="C259" t="str">
            <v>狗企鹅</v>
          </cell>
          <cell r="D259" t="str">
            <v>企鹅狗</v>
          </cell>
        </row>
        <row r="259">
          <cell r="F259">
            <v>0</v>
          </cell>
        </row>
        <row r="259">
          <cell r="M259">
            <v>0</v>
          </cell>
          <cell r="N259">
            <v>1</v>
          </cell>
          <cell r="O259">
            <v>1</v>
          </cell>
          <cell r="P259">
            <v>1</v>
          </cell>
          <cell r="Q259">
            <v>5</v>
          </cell>
          <cell r="R259" t="str">
            <v>恐怖之船</v>
          </cell>
          <cell r="S259">
            <v>1</v>
          </cell>
          <cell r="T259">
            <v>1</v>
          </cell>
          <cell r="U259">
            <v>1</v>
          </cell>
        </row>
        <row r="260">
          <cell r="A260">
            <v>121137</v>
          </cell>
          <cell r="B260">
            <v>121137</v>
          </cell>
          <cell r="C260" t="str">
            <v>奥兹</v>
          </cell>
          <cell r="D260" t="str">
            <v>奥兹</v>
          </cell>
        </row>
        <row r="260">
          <cell r="F260">
            <v>0</v>
          </cell>
        </row>
        <row r="260">
          <cell r="M260">
            <v>0</v>
          </cell>
          <cell r="N260">
            <v>1</v>
          </cell>
          <cell r="O260">
            <v>1</v>
          </cell>
          <cell r="P260">
            <v>1</v>
          </cell>
          <cell r="Q260">
            <v>5</v>
          </cell>
          <cell r="R260" t="str">
            <v>恐怖之船</v>
          </cell>
          <cell r="S260">
            <v>1</v>
          </cell>
          <cell r="T260">
            <v>1</v>
          </cell>
          <cell r="U260">
            <v>1</v>
          </cell>
        </row>
        <row r="261">
          <cell r="A261">
            <v>121138</v>
          </cell>
          <cell r="B261">
            <v>121138</v>
          </cell>
          <cell r="C261" t="str">
            <v>飞鱼骑士团A</v>
          </cell>
          <cell r="D261" t="str">
            <v>飞鱼A</v>
          </cell>
        </row>
        <row r="261">
          <cell r="F261">
            <v>0</v>
          </cell>
        </row>
        <row r="261">
          <cell r="M261">
            <v>0</v>
          </cell>
          <cell r="N261">
            <v>0</v>
          </cell>
          <cell r="O261">
            <v>1</v>
          </cell>
          <cell r="P261">
            <v>1</v>
          </cell>
          <cell r="Q261">
            <v>3</v>
          </cell>
          <cell r="R261" t="str">
            <v/>
          </cell>
          <cell r="S261">
            <v>1</v>
          </cell>
          <cell r="T261">
            <v>1</v>
          </cell>
          <cell r="U261">
            <v>1</v>
          </cell>
        </row>
        <row r="262">
          <cell r="A262">
            <v>121139</v>
          </cell>
          <cell r="B262">
            <v>121139</v>
          </cell>
          <cell r="C262" t="str">
            <v>飞鱼骑士团B</v>
          </cell>
          <cell r="D262" t="str">
            <v>飞鱼B</v>
          </cell>
        </row>
        <row r="262">
          <cell r="F262">
            <v>0</v>
          </cell>
        </row>
        <row r="262">
          <cell r="M262">
            <v>0</v>
          </cell>
          <cell r="N262">
            <v>0</v>
          </cell>
          <cell r="O262">
            <v>1</v>
          </cell>
          <cell r="P262">
            <v>1</v>
          </cell>
          <cell r="Q262">
            <v>3</v>
          </cell>
          <cell r="R262" t="str">
            <v/>
          </cell>
          <cell r="S262">
            <v>1</v>
          </cell>
          <cell r="T262">
            <v>1</v>
          </cell>
          <cell r="U262">
            <v>1</v>
          </cell>
        </row>
        <row r="263">
          <cell r="A263">
            <v>121140</v>
          </cell>
          <cell r="B263">
            <v>121140</v>
          </cell>
          <cell r="C263" t="str">
            <v>新通用海盗A</v>
          </cell>
          <cell r="D263" t="str">
            <v>新海盗A</v>
          </cell>
        </row>
        <row r="263">
          <cell r="F263">
            <v>0</v>
          </cell>
        </row>
        <row r="263">
          <cell r="M263">
            <v>0</v>
          </cell>
          <cell r="N263">
            <v>0</v>
          </cell>
          <cell r="O263">
            <v>1</v>
          </cell>
          <cell r="P263">
            <v>1</v>
          </cell>
          <cell r="Q263">
            <v>3</v>
          </cell>
          <cell r="R263" t="str">
            <v/>
          </cell>
          <cell r="S263">
            <v>1</v>
          </cell>
          <cell r="T263">
            <v>1</v>
          </cell>
          <cell r="U263">
            <v>1</v>
          </cell>
        </row>
        <row r="264">
          <cell r="A264">
            <v>121141</v>
          </cell>
          <cell r="B264">
            <v>121141</v>
          </cell>
          <cell r="C264" t="str">
            <v>新通用海盗B</v>
          </cell>
          <cell r="D264" t="str">
            <v>新海盗B</v>
          </cell>
        </row>
        <row r="264">
          <cell r="F264">
            <v>0</v>
          </cell>
        </row>
        <row r="264">
          <cell r="M264">
            <v>0</v>
          </cell>
          <cell r="N264">
            <v>0</v>
          </cell>
          <cell r="O264">
            <v>1</v>
          </cell>
          <cell r="P264">
            <v>1</v>
          </cell>
          <cell r="Q264">
            <v>3</v>
          </cell>
          <cell r="R264" t="str">
            <v/>
          </cell>
          <cell r="S264">
            <v>1</v>
          </cell>
          <cell r="T264">
            <v>1</v>
          </cell>
          <cell r="U264">
            <v>1</v>
          </cell>
        </row>
        <row r="265">
          <cell r="A265">
            <v>121142</v>
          </cell>
          <cell r="B265">
            <v>121142</v>
          </cell>
          <cell r="C265" t="str">
            <v>新通用海盗C</v>
          </cell>
          <cell r="D265" t="str">
            <v>新海盗C</v>
          </cell>
        </row>
        <row r="265">
          <cell r="F265">
            <v>0</v>
          </cell>
        </row>
        <row r="265">
          <cell r="M265">
            <v>0</v>
          </cell>
          <cell r="N265">
            <v>0</v>
          </cell>
          <cell r="O265">
            <v>1</v>
          </cell>
          <cell r="P265">
            <v>1</v>
          </cell>
          <cell r="Q265">
            <v>3</v>
          </cell>
          <cell r="R265" t="str">
            <v/>
          </cell>
          <cell r="S265">
            <v>1</v>
          </cell>
          <cell r="T265">
            <v>1</v>
          </cell>
          <cell r="U265">
            <v>1</v>
          </cell>
        </row>
        <row r="266">
          <cell r="A266">
            <v>121143</v>
          </cell>
          <cell r="B266">
            <v>121143</v>
          </cell>
          <cell r="C266" t="str">
            <v>新通用海盗D</v>
          </cell>
          <cell r="D266" t="str">
            <v>新海盗D</v>
          </cell>
        </row>
        <row r="266">
          <cell r="F266">
            <v>0</v>
          </cell>
        </row>
        <row r="266">
          <cell r="M266">
            <v>0</v>
          </cell>
          <cell r="N266">
            <v>0</v>
          </cell>
          <cell r="O266">
            <v>1</v>
          </cell>
          <cell r="P266">
            <v>1</v>
          </cell>
          <cell r="Q266">
            <v>3</v>
          </cell>
          <cell r="R266" t="str">
            <v/>
          </cell>
          <cell r="S266">
            <v>1</v>
          </cell>
          <cell r="T266">
            <v>1</v>
          </cell>
          <cell r="U266">
            <v>1</v>
          </cell>
        </row>
        <row r="267">
          <cell r="A267">
            <v>121144</v>
          </cell>
          <cell r="B267">
            <v>121144</v>
          </cell>
          <cell r="C267" t="str">
            <v>基德钢盾</v>
          </cell>
          <cell r="D267" t="str">
            <v>基德盾牌</v>
          </cell>
        </row>
        <row r="267">
          <cell r="F267">
            <v>3</v>
          </cell>
        </row>
        <row r="267">
          <cell r="M267">
            <v>0</v>
          </cell>
          <cell r="N267">
            <v>0</v>
          </cell>
          <cell r="O267">
            <v>1</v>
          </cell>
          <cell r="P267">
            <v>1</v>
          </cell>
          <cell r="Q267">
            <v>5</v>
          </cell>
          <cell r="R267" t="str">
            <v/>
          </cell>
          <cell r="S267">
            <v>1</v>
          </cell>
          <cell r="T267">
            <v>1</v>
          </cell>
          <cell r="U267">
            <v>1</v>
          </cell>
        </row>
        <row r="268">
          <cell r="A268">
            <v>121145</v>
          </cell>
          <cell r="B268">
            <v>121145</v>
          </cell>
          <cell r="C268" t="str">
            <v>迪巴鲁</v>
          </cell>
          <cell r="D268" t="str">
            <v>迪巴鲁</v>
          </cell>
        </row>
        <row r="268">
          <cell r="F268">
            <v>0</v>
          </cell>
        </row>
        <row r="268">
          <cell r="M268">
            <v>0</v>
          </cell>
          <cell r="N268">
            <v>1</v>
          </cell>
          <cell r="O268">
            <v>1</v>
          </cell>
          <cell r="P268">
            <v>1</v>
          </cell>
          <cell r="Q268">
            <v>3</v>
          </cell>
          <cell r="R268" t="str">
            <v/>
          </cell>
          <cell r="S268">
            <v>1</v>
          </cell>
          <cell r="T268">
            <v>1</v>
          </cell>
          <cell r="U268">
            <v>1</v>
          </cell>
        </row>
        <row r="269">
          <cell r="A269">
            <v>121146</v>
          </cell>
          <cell r="B269">
            <v>121146</v>
          </cell>
          <cell r="C269" t="str">
            <v>新通用海盗A远程</v>
          </cell>
          <cell r="D269" t="str">
            <v>新海盗A远程</v>
          </cell>
        </row>
        <row r="269">
          <cell r="F269">
            <v>0</v>
          </cell>
        </row>
        <row r="269">
          <cell r="M269">
            <v>0</v>
          </cell>
          <cell r="N269">
            <v>0</v>
          </cell>
          <cell r="O269">
            <v>1</v>
          </cell>
          <cell r="P269">
            <v>1</v>
          </cell>
          <cell r="Q269">
            <v>3</v>
          </cell>
          <cell r="R269" t="str">
            <v/>
          </cell>
          <cell r="S269">
            <v>1</v>
          </cell>
          <cell r="T269">
            <v>1</v>
          </cell>
          <cell r="U269">
            <v>1</v>
          </cell>
        </row>
        <row r="270">
          <cell r="A270">
            <v>121147</v>
          </cell>
          <cell r="B270">
            <v>121147</v>
          </cell>
          <cell r="C270" t="str">
            <v>新通用海盗B远程</v>
          </cell>
          <cell r="D270" t="str">
            <v>新海盗B远程</v>
          </cell>
        </row>
        <row r="270">
          <cell r="F270">
            <v>0</v>
          </cell>
        </row>
        <row r="270">
          <cell r="M270">
            <v>0</v>
          </cell>
          <cell r="N270">
            <v>0</v>
          </cell>
          <cell r="O270">
            <v>1</v>
          </cell>
          <cell r="P270">
            <v>1</v>
          </cell>
          <cell r="Q270">
            <v>3</v>
          </cell>
          <cell r="R270" t="str">
            <v/>
          </cell>
          <cell r="S270">
            <v>1</v>
          </cell>
          <cell r="T270">
            <v>1</v>
          </cell>
          <cell r="U270">
            <v>1</v>
          </cell>
        </row>
        <row r="271">
          <cell r="A271">
            <v>121148</v>
          </cell>
          <cell r="B271">
            <v>121148</v>
          </cell>
          <cell r="C271" t="str">
            <v>新通用海盗C远程</v>
          </cell>
          <cell r="D271" t="str">
            <v>新海盗C远程</v>
          </cell>
        </row>
        <row r="271">
          <cell r="F271">
            <v>0</v>
          </cell>
        </row>
        <row r="271">
          <cell r="M271">
            <v>0</v>
          </cell>
          <cell r="N271">
            <v>0</v>
          </cell>
          <cell r="O271">
            <v>1</v>
          </cell>
          <cell r="P271">
            <v>1</v>
          </cell>
          <cell r="Q271">
            <v>3</v>
          </cell>
          <cell r="R271" t="str">
            <v/>
          </cell>
          <cell r="S271">
            <v>1</v>
          </cell>
          <cell r="T271">
            <v>1</v>
          </cell>
          <cell r="U271">
            <v>1</v>
          </cell>
        </row>
        <row r="272">
          <cell r="A272">
            <v>121149</v>
          </cell>
          <cell r="B272">
            <v>121149</v>
          </cell>
          <cell r="C272" t="str">
            <v>新通用海盗D远程</v>
          </cell>
          <cell r="D272" t="str">
            <v>新海盗D远程</v>
          </cell>
        </row>
        <row r="272">
          <cell r="F272">
            <v>0</v>
          </cell>
        </row>
        <row r="272">
          <cell r="M272">
            <v>0</v>
          </cell>
          <cell r="N272">
            <v>0</v>
          </cell>
          <cell r="O272">
            <v>1</v>
          </cell>
          <cell r="P272">
            <v>1</v>
          </cell>
          <cell r="Q272">
            <v>3</v>
          </cell>
          <cell r="R272" t="str">
            <v/>
          </cell>
          <cell r="S272">
            <v>1</v>
          </cell>
          <cell r="T272">
            <v>1</v>
          </cell>
          <cell r="U272">
            <v>1</v>
          </cell>
        </row>
        <row r="273">
          <cell r="A273">
            <v>121150</v>
          </cell>
          <cell r="B273">
            <v>121150</v>
          </cell>
          <cell r="C273" t="str">
            <v>拍卖行卫士A</v>
          </cell>
          <cell r="D273" t="str">
            <v>拍卖行杂兵</v>
          </cell>
        </row>
        <row r="273">
          <cell r="F273">
            <v>0</v>
          </cell>
        </row>
        <row r="273">
          <cell r="M273">
            <v>0</v>
          </cell>
          <cell r="N273">
            <v>0</v>
          </cell>
          <cell r="O273">
            <v>1</v>
          </cell>
          <cell r="P273">
            <v>1</v>
          </cell>
          <cell r="Q273">
            <v>3</v>
          </cell>
          <cell r="R273" t="str">
            <v/>
          </cell>
          <cell r="S273">
            <v>1</v>
          </cell>
          <cell r="T273">
            <v>1</v>
          </cell>
          <cell r="U273">
            <v>1</v>
          </cell>
        </row>
        <row r="274">
          <cell r="A274">
            <v>121151</v>
          </cell>
          <cell r="B274">
            <v>121151</v>
          </cell>
          <cell r="C274" t="str">
            <v>恰尔罗斯圣</v>
          </cell>
          <cell r="D274" t="str">
            <v>查尔罗斯</v>
          </cell>
        </row>
        <row r="274">
          <cell r="F274">
            <v>0</v>
          </cell>
        </row>
        <row r="274">
          <cell r="M274">
            <v>0</v>
          </cell>
          <cell r="N274">
            <v>1</v>
          </cell>
          <cell r="O274">
            <v>1</v>
          </cell>
          <cell r="P274">
            <v>1</v>
          </cell>
          <cell r="Q274">
            <v>3</v>
          </cell>
          <cell r="R274" t="str">
            <v/>
          </cell>
          <cell r="S274">
            <v>1</v>
          </cell>
          <cell r="T274">
            <v>1</v>
          </cell>
          <cell r="U274">
            <v>1</v>
          </cell>
        </row>
        <row r="275">
          <cell r="A275">
            <v>121152</v>
          </cell>
          <cell r="B275">
            <v>121152</v>
          </cell>
          <cell r="C275" t="str">
            <v>金盏花</v>
          </cell>
          <cell r="D275" t="str">
            <v>金盏花</v>
          </cell>
        </row>
        <row r="275">
          <cell r="F275">
            <v>1</v>
          </cell>
        </row>
        <row r="275">
          <cell r="M275">
            <v>0</v>
          </cell>
          <cell r="N275">
            <v>1</v>
          </cell>
          <cell r="O275">
            <v>1</v>
          </cell>
          <cell r="P275">
            <v>1</v>
          </cell>
          <cell r="Q275">
            <v>5</v>
          </cell>
          <cell r="R275" t="str">
            <v>九蛇海盗团</v>
          </cell>
          <cell r="S275">
            <v>1</v>
          </cell>
          <cell r="T275">
            <v>1</v>
          </cell>
          <cell r="U275">
            <v>1</v>
          </cell>
        </row>
        <row r="276">
          <cell r="A276">
            <v>121153</v>
          </cell>
          <cell r="B276">
            <v>121153</v>
          </cell>
          <cell r="C276" t="str">
            <v>宫灯花</v>
          </cell>
          <cell r="D276" t="str">
            <v>宫灯花</v>
          </cell>
        </row>
        <row r="276">
          <cell r="F276">
            <v>1</v>
          </cell>
        </row>
        <row r="276">
          <cell r="M276">
            <v>0</v>
          </cell>
          <cell r="N276">
            <v>1</v>
          </cell>
          <cell r="O276">
            <v>1</v>
          </cell>
          <cell r="P276">
            <v>1</v>
          </cell>
          <cell r="Q276">
            <v>5</v>
          </cell>
          <cell r="R276" t="str">
            <v>九蛇海盗团</v>
          </cell>
          <cell r="S276">
            <v>1</v>
          </cell>
          <cell r="T276">
            <v>1</v>
          </cell>
          <cell r="U276">
            <v>1</v>
          </cell>
        </row>
        <row r="277">
          <cell r="A277">
            <v>121154</v>
          </cell>
          <cell r="B277">
            <v>121154</v>
          </cell>
          <cell r="C277" t="str">
            <v>和平主义者</v>
          </cell>
          <cell r="D277" t="str">
            <v>和平主义者</v>
          </cell>
        </row>
        <row r="277">
          <cell r="F277">
            <v>0</v>
          </cell>
        </row>
        <row r="277">
          <cell r="M277">
            <v>0</v>
          </cell>
          <cell r="N277">
            <v>0</v>
          </cell>
          <cell r="O277">
            <v>1</v>
          </cell>
          <cell r="P277">
            <v>1</v>
          </cell>
          <cell r="Q277">
            <v>3</v>
          </cell>
          <cell r="R277" t="str">
            <v/>
          </cell>
          <cell r="S277">
            <v>1</v>
          </cell>
          <cell r="T277">
            <v>1</v>
          </cell>
          <cell r="U277">
            <v>1</v>
          </cell>
        </row>
        <row r="278">
          <cell r="A278">
            <v>121155</v>
          </cell>
          <cell r="B278">
            <v>121155</v>
          </cell>
          <cell r="C278" t="str">
            <v>长枪天龙人护卫</v>
          </cell>
          <cell r="D278" t="str">
            <v>天龙人护卫（长枪）</v>
          </cell>
        </row>
        <row r="278">
          <cell r="F278">
            <v>0</v>
          </cell>
        </row>
        <row r="278">
          <cell r="M278">
            <v>0</v>
          </cell>
          <cell r="N278">
            <v>0</v>
          </cell>
          <cell r="O278">
            <v>1</v>
          </cell>
          <cell r="P278">
            <v>1</v>
          </cell>
          <cell r="Q278">
            <v>3</v>
          </cell>
          <cell r="R278" t="str">
            <v/>
          </cell>
          <cell r="S278">
            <v>1</v>
          </cell>
          <cell r="T278">
            <v>1</v>
          </cell>
          <cell r="U278">
            <v>1</v>
          </cell>
        </row>
        <row r="279">
          <cell r="A279">
            <v>121156</v>
          </cell>
          <cell r="B279">
            <v>121156</v>
          </cell>
          <cell r="C279" t="str">
            <v>持剑天龙人护卫</v>
          </cell>
          <cell r="D279" t="str">
            <v>天龙人护卫（剑）</v>
          </cell>
        </row>
        <row r="279">
          <cell r="F279">
            <v>0</v>
          </cell>
        </row>
        <row r="279">
          <cell r="M279">
            <v>0</v>
          </cell>
          <cell r="N279">
            <v>0</v>
          </cell>
          <cell r="O279">
            <v>1</v>
          </cell>
          <cell r="P279">
            <v>1</v>
          </cell>
          <cell r="Q279">
            <v>3</v>
          </cell>
          <cell r="R279" t="str">
            <v/>
          </cell>
          <cell r="S279">
            <v>1</v>
          </cell>
          <cell r="T279">
            <v>1</v>
          </cell>
          <cell r="U279">
            <v>1</v>
          </cell>
        </row>
        <row r="280">
          <cell r="A280">
            <v>121157</v>
          </cell>
          <cell r="B280">
            <v>121157</v>
          </cell>
          <cell r="C280" t="str">
            <v>雏菊</v>
          </cell>
          <cell r="D280" t="str">
            <v>雏菊</v>
          </cell>
        </row>
        <row r="280">
          <cell r="F280">
            <v>1</v>
          </cell>
        </row>
        <row r="280">
          <cell r="M280">
            <v>0</v>
          </cell>
          <cell r="N280">
            <v>1</v>
          </cell>
          <cell r="O280">
            <v>1</v>
          </cell>
          <cell r="P280">
            <v>1</v>
          </cell>
          <cell r="Q280">
            <v>3</v>
          </cell>
          <cell r="R280" t="str">
            <v/>
          </cell>
          <cell r="S280">
            <v>1</v>
          </cell>
          <cell r="T280">
            <v>1</v>
          </cell>
          <cell r="U280">
            <v>1</v>
          </cell>
        </row>
        <row r="281">
          <cell r="A281">
            <v>121158</v>
          </cell>
          <cell r="B281">
            <v>121158</v>
          </cell>
          <cell r="C281" t="str">
            <v>亚马逊剑士</v>
          </cell>
          <cell r="D281" t="str">
            <v>棕发女战士（剑）</v>
          </cell>
        </row>
        <row r="281">
          <cell r="F281">
            <v>1</v>
          </cell>
        </row>
        <row r="281">
          <cell r="M281">
            <v>0</v>
          </cell>
          <cell r="N281">
            <v>0</v>
          </cell>
          <cell r="O281">
            <v>1</v>
          </cell>
          <cell r="P281">
            <v>1</v>
          </cell>
          <cell r="Q281">
            <v>3</v>
          </cell>
          <cell r="R281" t="str">
            <v/>
          </cell>
          <cell r="S281">
            <v>1</v>
          </cell>
          <cell r="T281">
            <v>1</v>
          </cell>
          <cell r="U281">
            <v>1</v>
          </cell>
        </row>
        <row r="282">
          <cell r="A282">
            <v>121159</v>
          </cell>
          <cell r="B282">
            <v>121159</v>
          </cell>
          <cell r="C282" t="str">
            <v>亚马逊弓兵</v>
          </cell>
          <cell r="D282" t="str">
            <v>棕发包子头（弓箭）</v>
          </cell>
        </row>
        <row r="282">
          <cell r="F282">
            <v>1</v>
          </cell>
        </row>
        <row r="282">
          <cell r="M282">
            <v>0</v>
          </cell>
          <cell r="N282">
            <v>0</v>
          </cell>
          <cell r="O282">
            <v>1</v>
          </cell>
          <cell r="P282">
            <v>1</v>
          </cell>
          <cell r="Q282">
            <v>3</v>
          </cell>
          <cell r="R282" t="str">
            <v/>
          </cell>
          <cell r="S282">
            <v>1</v>
          </cell>
          <cell r="T282">
            <v>1</v>
          </cell>
          <cell r="U282">
            <v>1</v>
          </cell>
        </row>
        <row r="283">
          <cell r="A283">
            <v>121160</v>
          </cell>
          <cell r="B283">
            <v>121160</v>
          </cell>
          <cell r="C283" t="str">
            <v>贾罗</v>
          </cell>
          <cell r="D283" t="str">
            <v>贾罗</v>
          </cell>
        </row>
        <row r="283">
          <cell r="F283">
            <v>0</v>
          </cell>
        </row>
        <row r="283">
          <cell r="M283">
            <v>0</v>
          </cell>
          <cell r="N283">
            <v>0</v>
          </cell>
          <cell r="O283">
            <v>1</v>
          </cell>
          <cell r="P283">
            <v>1</v>
          </cell>
          <cell r="Q283">
            <v>3</v>
          </cell>
          <cell r="R283" t="str">
            <v/>
          </cell>
          <cell r="S283">
            <v>1</v>
          </cell>
          <cell r="T283">
            <v>1</v>
          </cell>
          <cell r="U283">
            <v>1</v>
          </cell>
        </row>
        <row r="284">
          <cell r="A284">
            <v>121161</v>
          </cell>
          <cell r="B284">
            <v>121161</v>
          </cell>
          <cell r="C284" t="str">
            <v>马克罗</v>
          </cell>
          <cell r="D284" t="str">
            <v>马克罗</v>
          </cell>
        </row>
        <row r="284">
          <cell r="F284">
            <v>0</v>
          </cell>
        </row>
        <row r="284">
          <cell r="M284">
            <v>0</v>
          </cell>
          <cell r="N284">
            <v>0</v>
          </cell>
          <cell r="O284">
            <v>1</v>
          </cell>
          <cell r="P284">
            <v>1</v>
          </cell>
          <cell r="Q284">
            <v>3</v>
          </cell>
          <cell r="R284" t="str">
            <v/>
          </cell>
          <cell r="S284">
            <v>1</v>
          </cell>
          <cell r="T284">
            <v>1</v>
          </cell>
          <cell r="U284">
            <v>1</v>
          </cell>
        </row>
        <row r="285">
          <cell r="A285">
            <v>121162</v>
          </cell>
          <cell r="B285">
            <v>121162</v>
          </cell>
          <cell r="C285" t="str">
            <v>淡水</v>
          </cell>
          <cell r="D285" t="str">
            <v>淡水</v>
          </cell>
        </row>
        <row r="285">
          <cell r="F285">
            <v>0</v>
          </cell>
        </row>
        <row r="285">
          <cell r="M285">
            <v>0</v>
          </cell>
          <cell r="N285">
            <v>0</v>
          </cell>
          <cell r="O285">
            <v>1</v>
          </cell>
          <cell r="P285">
            <v>1</v>
          </cell>
          <cell r="Q285">
            <v>3</v>
          </cell>
          <cell r="R285" t="str">
            <v/>
          </cell>
          <cell r="S285">
            <v>1</v>
          </cell>
          <cell r="T285">
            <v>1</v>
          </cell>
          <cell r="U285">
            <v>1</v>
          </cell>
        </row>
        <row r="286">
          <cell r="A286">
            <v>121163</v>
          </cell>
          <cell r="B286">
            <v>121163</v>
          </cell>
          <cell r="C286" t="str">
            <v>拍卖行卫士B</v>
          </cell>
          <cell r="D286" t="str">
            <v>拍卖行杂兵（远程）</v>
          </cell>
        </row>
        <row r="286">
          <cell r="F286">
            <v>0</v>
          </cell>
        </row>
        <row r="286">
          <cell r="M286">
            <v>0</v>
          </cell>
          <cell r="N286">
            <v>0</v>
          </cell>
          <cell r="O286">
            <v>1</v>
          </cell>
          <cell r="P286">
            <v>1</v>
          </cell>
          <cell r="Q286">
            <v>3</v>
          </cell>
          <cell r="R286" t="str">
            <v/>
          </cell>
          <cell r="S286">
            <v>1</v>
          </cell>
          <cell r="T286">
            <v>1</v>
          </cell>
          <cell r="U286">
            <v>1</v>
          </cell>
        </row>
        <row r="287">
          <cell r="A287">
            <v>121164</v>
          </cell>
          <cell r="B287">
            <v>121164</v>
          </cell>
          <cell r="C287" t="str">
            <v>罗兹瓦德圣</v>
          </cell>
          <cell r="D287" t="str">
            <v>罗兹瓦德</v>
          </cell>
        </row>
        <row r="287">
          <cell r="F287">
            <v>0</v>
          </cell>
        </row>
        <row r="287">
          <cell r="M287">
            <v>0</v>
          </cell>
          <cell r="N287">
            <v>0</v>
          </cell>
          <cell r="O287">
            <v>1</v>
          </cell>
          <cell r="P287">
            <v>1</v>
          </cell>
          <cell r="Q287">
            <v>3</v>
          </cell>
          <cell r="R287" t="str">
            <v/>
          </cell>
          <cell r="S287">
            <v>1</v>
          </cell>
          <cell r="T287">
            <v>1</v>
          </cell>
          <cell r="U287">
            <v>1</v>
          </cell>
        </row>
        <row r="288">
          <cell r="A288">
            <v>121165</v>
          </cell>
          <cell r="B288">
            <v>121165</v>
          </cell>
          <cell r="C288" t="str">
            <v>亚马逊剑士</v>
          </cell>
          <cell r="D288" t="str">
            <v>红发女战士（剑）</v>
          </cell>
        </row>
        <row r="288">
          <cell r="F288">
            <v>1</v>
          </cell>
        </row>
        <row r="288">
          <cell r="M288">
            <v>0</v>
          </cell>
          <cell r="N288">
            <v>0</v>
          </cell>
          <cell r="O288">
            <v>1</v>
          </cell>
          <cell r="P288">
            <v>1</v>
          </cell>
          <cell r="Q288">
            <v>3</v>
          </cell>
          <cell r="R288" t="str">
            <v/>
          </cell>
          <cell r="S288">
            <v>1</v>
          </cell>
          <cell r="T288">
            <v>1</v>
          </cell>
          <cell r="U288">
            <v>1</v>
          </cell>
        </row>
        <row r="289">
          <cell r="A289">
            <v>121166</v>
          </cell>
          <cell r="B289">
            <v>121166</v>
          </cell>
          <cell r="C289" t="str">
            <v>亚马逊弓兵</v>
          </cell>
          <cell r="D289" t="str">
            <v>黄发包子头（弓箭）</v>
          </cell>
        </row>
        <row r="289">
          <cell r="F289">
            <v>1</v>
          </cell>
        </row>
        <row r="289">
          <cell r="M289">
            <v>0</v>
          </cell>
          <cell r="N289">
            <v>0</v>
          </cell>
          <cell r="O289">
            <v>1</v>
          </cell>
          <cell r="P289">
            <v>1</v>
          </cell>
          <cell r="Q289">
            <v>3</v>
          </cell>
          <cell r="R289" t="str">
            <v/>
          </cell>
          <cell r="S289">
            <v>1</v>
          </cell>
          <cell r="T289">
            <v>1</v>
          </cell>
          <cell r="U289">
            <v>1</v>
          </cell>
        </row>
        <row r="290">
          <cell r="A290">
            <v>121167</v>
          </cell>
          <cell r="B290">
            <v>121167</v>
          </cell>
          <cell r="C290" t="str">
            <v>亚马逊剑士</v>
          </cell>
          <cell r="D290" t="str">
            <v>粉发女战士（剑）</v>
          </cell>
        </row>
        <row r="290">
          <cell r="F290">
            <v>1</v>
          </cell>
        </row>
        <row r="290">
          <cell r="M290">
            <v>0</v>
          </cell>
          <cell r="N290">
            <v>0</v>
          </cell>
          <cell r="O290">
            <v>1</v>
          </cell>
          <cell r="P290">
            <v>1</v>
          </cell>
          <cell r="Q290">
            <v>3</v>
          </cell>
          <cell r="R290" t="str">
            <v/>
          </cell>
          <cell r="S290">
            <v>1</v>
          </cell>
          <cell r="T290">
            <v>1</v>
          </cell>
          <cell r="U290">
            <v>1</v>
          </cell>
        </row>
        <row r="291">
          <cell r="A291">
            <v>121168</v>
          </cell>
          <cell r="B291">
            <v>121168</v>
          </cell>
          <cell r="C291" t="str">
            <v>亚马逊弓兵</v>
          </cell>
          <cell r="D291" t="str">
            <v>黑发包子头（弓箭）</v>
          </cell>
        </row>
        <row r="291">
          <cell r="F291">
            <v>1</v>
          </cell>
        </row>
        <row r="291">
          <cell r="M291">
            <v>0</v>
          </cell>
          <cell r="N291">
            <v>0</v>
          </cell>
          <cell r="O291">
            <v>1</v>
          </cell>
          <cell r="P291">
            <v>1</v>
          </cell>
          <cell r="Q291">
            <v>3</v>
          </cell>
          <cell r="R291" t="str">
            <v/>
          </cell>
          <cell r="S291">
            <v>1</v>
          </cell>
          <cell r="T291">
            <v>1</v>
          </cell>
          <cell r="U291">
            <v>1</v>
          </cell>
        </row>
        <row r="292">
          <cell r="A292">
            <v>121169</v>
          </cell>
          <cell r="B292">
            <v>121169</v>
          </cell>
          <cell r="C292" t="str">
            <v>巴基利克斯</v>
          </cell>
          <cell r="D292" t="str">
            <v>巴基利克斯</v>
          </cell>
        </row>
        <row r="292">
          <cell r="F292">
            <v>0</v>
          </cell>
        </row>
        <row r="292">
          <cell r="M292">
            <v>0</v>
          </cell>
          <cell r="N292">
            <v>0</v>
          </cell>
          <cell r="O292">
            <v>1</v>
          </cell>
          <cell r="P292">
            <v>1</v>
          </cell>
          <cell r="Q292">
            <v>4</v>
          </cell>
          <cell r="R292" t="str">
            <v/>
          </cell>
          <cell r="S292">
            <v>1</v>
          </cell>
          <cell r="T292">
            <v>1</v>
          </cell>
          <cell r="U292">
            <v>1</v>
          </cell>
        </row>
        <row r="293">
          <cell r="A293">
            <v>121170</v>
          </cell>
          <cell r="B293">
            <v>121170</v>
          </cell>
          <cell r="C293" t="str">
            <v>蓝猩猩</v>
          </cell>
          <cell r="D293" t="str">
            <v>蓝猩猩</v>
          </cell>
        </row>
        <row r="293">
          <cell r="F293">
            <v>0</v>
          </cell>
        </row>
        <row r="293">
          <cell r="M293">
            <v>0</v>
          </cell>
          <cell r="N293">
            <v>0</v>
          </cell>
          <cell r="O293">
            <v>1</v>
          </cell>
          <cell r="P293">
            <v>1</v>
          </cell>
          <cell r="Q293">
            <v>4</v>
          </cell>
          <cell r="R293" t="str">
            <v/>
          </cell>
          <cell r="S293">
            <v>1</v>
          </cell>
          <cell r="T293">
            <v>1</v>
          </cell>
          <cell r="U293">
            <v>1</v>
          </cell>
        </row>
        <row r="294">
          <cell r="A294">
            <v>121171</v>
          </cell>
          <cell r="B294">
            <v>121171</v>
          </cell>
          <cell r="C294" t="str">
            <v>汉尼拔</v>
          </cell>
          <cell r="D294" t="str">
            <v>汉尼拔</v>
          </cell>
        </row>
        <row r="294">
          <cell r="F294">
            <v>0</v>
          </cell>
        </row>
        <row r="294">
          <cell r="M294">
            <v>0</v>
          </cell>
          <cell r="N294">
            <v>1</v>
          </cell>
          <cell r="O294">
            <v>1</v>
          </cell>
          <cell r="P294">
            <v>1</v>
          </cell>
          <cell r="Q294">
            <v>4</v>
          </cell>
          <cell r="R294" t="str">
            <v/>
          </cell>
          <cell r="S294">
            <v>1</v>
          </cell>
          <cell r="T294">
            <v>1</v>
          </cell>
          <cell r="U294">
            <v>1</v>
          </cell>
        </row>
        <row r="295">
          <cell r="A295">
            <v>121172</v>
          </cell>
          <cell r="B295">
            <v>121172</v>
          </cell>
          <cell r="C295" t="str">
            <v>候斯</v>
          </cell>
          <cell r="D295" t="str">
            <v>候斯</v>
          </cell>
        </row>
        <row r="295">
          <cell r="F295">
            <v>0</v>
          </cell>
        </row>
        <row r="295">
          <cell r="M295">
            <v>0</v>
          </cell>
          <cell r="N295">
            <v>1</v>
          </cell>
          <cell r="O295">
            <v>1</v>
          </cell>
          <cell r="P295">
            <v>1</v>
          </cell>
          <cell r="Q295">
            <v>4</v>
          </cell>
          <cell r="R295" t="str">
            <v/>
          </cell>
          <cell r="S295">
            <v>1</v>
          </cell>
          <cell r="T295">
            <v>1</v>
          </cell>
          <cell r="U295">
            <v>1</v>
          </cell>
        </row>
        <row r="296">
          <cell r="A296">
            <v>121173</v>
          </cell>
          <cell r="B296">
            <v>121173</v>
          </cell>
          <cell r="C296" t="str">
            <v>曼提克拉</v>
          </cell>
          <cell r="D296" t="str">
            <v>曼提克拉</v>
          </cell>
        </row>
        <row r="296">
          <cell r="F296">
            <v>0</v>
          </cell>
        </row>
        <row r="296">
          <cell r="M296">
            <v>0</v>
          </cell>
          <cell r="N296">
            <v>0</v>
          </cell>
          <cell r="O296">
            <v>1</v>
          </cell>
          <cell r="P296">
            <v>1</v>
          </cell>
          <cell r="Q296">
            <v>4</v>
          </cell>
          <cell r="R296" t="str">
            <v/>
          </cell>
          <cell r="S296">
            <v>1</v>
          </cell>
          <cell r="T296">
            <v>1</v>
          </cell>
          <cell r="U296">
            <v>1</v>
          </cell>
        </row>
        <row r="297">
          <cell r="A297">
            <v>121174</v>
          </cell>
          <cell r="B297">
            <v>121174</v>
          </cell>
          <cell r="C297" t="str">
            <v>萨迪</v>
          </cell>
          <cell r="D297" t="str">
            <v>萨迪</v>
          </cell>
        </row>
        <row r="297">
          <cell r="F297">
            <v>1</v>
          </cell>
        </row>
        <row r="297">
          <cell r="M297">
            <v>0</v>
          </cell>
          <cell r="N297">
            <v>1</v>
          </cell>
          <cell r="O297">
            <v>1</v>
          </cell>
          <cell r="P297">
            <v>1</v>
          </cell>
          <cell r="Q297">
            <v>4</v>
          </cell>
          <cell r="R297" t="str">
            <v/>
          </cell>
          <cell r="S297">
            <v>1</v>
          </cell>
          <cell r="T297">
            <v>1</v>
          </cell>
          <cell r="U297">
            <v>1</v>
          </cell>
        </row>
        <row r="298">
          <cell r="A298">
            <v>121175</v>
          </cell>
          <cell r="B298">
            <v>121175</v>
          </cell>
          <cell r="C298" t="str">
            <v>斯芬克斯</v>
          </cell>
          <cell r="D298" t="str">
            <v>斯芬克斯</v>
          </cell>
        </row>
        <row r="298">
          <cell r="F298">
            <v>0</v>
          </cell>
        </row>
        <row r="298">
          <cell r="M298">
            <v>0</v>
          </cell>
          <cell r="N298">
            <v>0</v>
          </cell>
          <cell r="O298">
            <v>1</v>
          </cell>
          <cell r="P298">
            <v>1</v>
          </cell>
          <cell r="Q298">
            <v>4</v>
          </cell>
          <cell r="R298" t="str">
            <v/>
          </cell>
          <cell r="S298">
            <v>1</v>
          </cell>
          <cell r="T298">
            <v>1</v>
          </cell>
          <cell r="U298">
            <v>1</v>
          </cell>
        </row>
        <row r="299">
          <cell r="A299">
            <v>121176</v>
          </cell>
          <cell r="B299">
            <v>121176</v>
          </cell>
          <cell r="C299" t="str">
            <v>白狼</v>
          </cell>
          <cell r="D299" t="str">
            <v>白狼</v>
          </cell>
        </row>
        <row r="299">
          <cell r="F299">
            <v>0</v>
          </cell>
        </row>
        <row r="299">
          <cell r="M299">
            <v>0</v>
          </cell>
          <cell r="N299">
            <v>0</v>
          </cell>
          <cell r="O299">
            <v>1</v>
          </cell>
          <cell r="P299">
            <v>1</v>
          </cell>
          <cell r="Q299">
            <v>4</v>
          </cell>
          <cell r="R299" t="str">
            <v/>
          </cell>
          <cell r="S299">
            <v>1</v>
          </cell>
          <cell r="T299">
            <v>1</v>
          </cell>
          <cell r="U299">
            <v>1</v>
          </cell>
        </row>
        <row r="300">
          <cell r="A300">
            <v>121177</v>
          </cell>
          <cell r="B300">
            <v>121177</v>
          </cell>
          <cell r="C300" t="str">
            <v>考拉怪</v>
          </cell>
          <cell r="D300" t="str">
            <v>考拉怪</v>
          </cell>
        </row>
        <row r="300">
          <cell r="F300">
            <v>0</v>
          </cell>
        </row>
        <row r="300">
          <cell r="M300">
            <v>0</v>
          </cell>
          <cell r="N300">
            <v>1</v>
          </cell>
          <cell r="O300">
            <v>1</v>
          </cell>
          <cell r="P300">
            <v>1</v>
          </cell>
          <cell r="Q300">
            <v>4</v>
          </cell>
          <cell r="R300" t="str">
            <v/>
          </cell>
          <cell r="S300">
            <v>1</v>
          </cell>
          <cell r="T300">
            <v>1</v>
          </cell>
          <cell r="U300">
            <v>1</v>
          </cell>
        </row>
        <row r="301">
          <cell r="A301">
            <v>121178</v>
          </cell>
          <cell r="B301">
            <v>121178</v>
          </cell>
          <cell r="C301" t="str">
            <v>监狱步枪守卫</v>
          </cell>
          <cell r="D301" t="str">
            <v>监狱步枪守卫</v>
          </cell>
        </row>
        <row r="301">
          <cell r="F301">
            <v>0</v>
          </cell>
        </row>
        <row r="301">
          <cell r="M301">
            <v>0</v>
          </cell>
          <cell r="N301">
            <v>0</v>
          </cell>
          <cell r="O301">
            <v>1</v>
          </cell>
          <cell r="P301">
            <v>1</v>
          </cell>
          <cell r="Q301">
            <v>4</v>
          </cell>
          <cell r="R301" t="str">
            <v/>
          </cell>
          <cell r="S301">
            <v>1</v>
          </cell>
          <cell r="T301">
            <v>1</v>
          </cell>
          <cell r="U301">
            <v>1</v>
          </cell>
        </row>
        <row r="302">
          <cell r="A302">
            <v>121179</v>
          </cell>
          <cell r="B302">
            <v>121179</v>
          </cell>
          <cell r="C302" t="str">
            <v>人牛怪</v>
          </cell>
          <cell r="D302" t="str">
            <v>人牛怪</v>
          </cell>
        </row>
        <row r="302">
          <cell r="F302">
            <v>0</v>
          </cell>
        </row>
        <row r="302">
          <cell r="M302">
            <v>0</v>
          </cell>
          <cell r="N302">
            <v>1</v>
          </cell>
          <cell r="O302">
            <v>1</v>
          </cell>
          <cell r="P302">
            <v>1</v>
          </cell>
          <cell r="Q302">
            <v>4</v>
          </cell>
          <cell r="R302" t="str">
            <v/>
          </cell>
          <cell r="S302">
            <v>1</v>
          </cell>
          <cell r="T302">
            <v>1</v>
          </cell>
          <cell r="U302">
            <v>1</v>
          </cell>
        </row>
        <row r="303">
          <cell r="A303">
            <v>121180</v>
          </cell>
          <cell r="B303">
            <v>121180</v>
          </cell>
          <cell r="C303" t="str">
            <v>狱卒</v>
          </cell>
          <cell r="D303" t="str">
            <v>狱卒</v>
          </cell>
        </row>
        <row r="303">
          <cell r="F303">
            <v>0</v>
          </cell>
        </row>
        <row r="303">
          <cell r="M303">
            <v>0</v>
          </cell>
          <cell r="N303">
            <v>0</v>
          </cell>
          <cell r="O303">
            <v>1</v>
          </cell>
          <cell r="P303">
            <v>1</v>
          </cell>
          <cell r="Q303">
            <v>4</v>
          </cell>
          <cell r="R303" t="str">
            <v/>
          </cell>
          <cell r="S303">
            <v>1</v>
          </cell>
          <cell r="T303">
            <v>1</v>
          </cell>
          <cell r="U303">
            <v>1</v>
          </cell>
        </row>
        <row r="304">
          <cell r="A304">
            <v>121181</v>
          </cell>
          <cell r="B304">
            <v>121181</v>
          </cell>
          <cell r="C304" t="str">
            <v>犀牛怪</v>
          </cell>
          <cell r="D304" t="str">
            <v>犀牛怪</v>
          </cell>
        </row>
        <row r="304">
          <cell r="F304">
            <v>0</v>
          </cell>
        </row>
        <row r="304">
          <cell r="M304">
            <v>0</v>
          </cell>
          <cell r="N304">
            <v>1</v>
          </cell>
          <cell r="O304">
            <v>1</v>
          </cell>
          <cell r="P304">
            <v>1</v>
          </cell>
          <cell r="Q304">
            <v>4</v>
          </cell>
          <cell r="R304" t="str">
            <v/>
          </cell>
          <cell r="S304">
            <v>1</v>
          </cell>
          <cell r="T304">
            <v>1</v>
          </cell>
          <cell r="U304">
            <v>1</v>
          </cell>
        </row>
        <row r="305">
          <cell r="A305">
            <v>121182</v>
          </cell>
          <cell r="B305">
            <v>121182</v>
          </cell>
          <cell r="C305" t="str">
            <v>斑马怪</v>
          </cell>
          <cell r="D305" t="str">
            <v>斑马怪</v>
          </cell>
        </row>
        <row r="305">
          <cell r="F305">
            <v>0</v>
          </cell>
        </row>
        <row r="305">
          <cell r="M305">
            <v>0</v>
          </cell>
          <cell r="N305">
            <v>1</v>
          </cell>
          <cell r="O305">
            <v>1</v>
          </cell>
          <cell r="P305">
            <v>1</v>
          </cell>
          <cell r="Q305">
            <v>4</v>
          </cell>
          <cell r="R305" t="str">
            <v/>
          </cell>
          <cell r="S305">
            <v>1</v>
          </cell>
          <cell r="T305">
            <v>1</v>
          </cell>
          <cell r="U305">
            <v>1</v>
          </cell>
        </row>
        <row r="306">
          <cell r="A306">
            <v>121183</v>
          </cell>
          <cell r="B306">
            <v>121183</v>
          </cell>
          <cell r="C306" t="str">
            <v>巨锤精英海盗</v>
          </cell>
          <cell r="D306" t="str">
            <v>【精英】巨锤哥</v>
          </cell>
        </row>
        <row r="306">
          <cell r="F306">
            <v>0</v>
          </cell>
        </row>
        <row r="306">
          <cell r="M306">
            <v>0</v>
          </cell>
          <cell r="N306">
            <v>0</v>
          </cell>
          <cell r="O306">
            <v>1</v>
          </cell>
          <cell r="P306">
            <v>1</v>
          </cell>
          <cell r="Q306">
            <v>3</v>
          </cell>
          <cell r="R306" t="str">
            <v/>
          </cell>
          <cell r="S306">
            <v>1</v>
          </cell>
          <cell r="T306">
            <v>1</v>
          </cell>
          <cell r="U306">
            <v>1</v>
          </cell>
        </row>
        <row r="307">
          <cell r="A307">
            <v>121184</v>
          </cell>
          <cell r="B307">
            <v>121184</v>
          </cell>
          <cell r="C307" t="str">
            <v>猎枪精英海盗</v>
          </cell>
          <cell r="D307" t="str">
            <v>【精英】管儿枪哥</v>
          </cell>
        </row>
        <row r="307">
          <cell r="F307">
            <v>0</v>
          </cell>
        </row>
        <row r="307">
          <cell r="M307">
            <v>0</v>
          </cell>
          <cell r="N307">
            <v>0</v>
          </cell>
          <cell r="O307">
            <v>1</v>
          </cell>
          <cell r="P307">
            <v>1</v>
          </cell>
          <cell r="Q307">
            <v>3</v>
          </cell>
          <cell r="R307" t="str">
            <v/>
          </cell>
          <cell r="S307">
            <v>1</v>
          </cell>
          <cell r="T307">
            <v>1</v>
          </cell>
          <cell r="U307">
            <v>1</v>
          </cell>
        </row>
        <row r="308">
          <cell r="A308">
            <v>121185</v>
          </cell>
          <cell r="B308">
            <v>121185</v>
          </cell>
          <cell r="C308" t="str">
            <v>快刀精英海盗</v>
          </cell>
          <cell r="D308" t="str">
            <v>【精英】刺刀哥</v>
          </cell>
        </row>
        <row r="308">
          <cell r="F308">
            <v>0</v>
          </cell>
        </row>
        <row r="308">
          <cell r="M308">
            <v>0</v>
          </cell>
          <cell r="N308">
            <v>0</v>
          </cell>
          <cell r="O308">
            <v>1</v>
          </cell>
          <cell r="P308">
            <v>1</v>
          </cell>
          <cell r="Q308">
            <v>3</v>
          </cell>
          <cell r="R308" t="str">
            <v/>
          </cell>
          <cell r="S308">
            <v>1</v>
          </cell>
          <cell r="T308">
            <v>1</v>
          </cell>
          <cell r="U308">
            <v>1</v>
          </cell>
        </row>
        <row r="309">
          <cell r="A309">
            <v>121186</v>
          </cell>
          <cell r="B309">
            <v>121186</v>
          </cell>
          <cell r="C309" t="str">
            <v>大太刀精英大佐</v>
          </cell>
          <cell r="D309" t="str">
            <v>【精英】大太刀海军</v>
          </cell>
        </row>
        <row r="309">
          <cell r="F309">
            <v>0</v>
          </cell>
        </row>
        <row r="309">
          <cell r="M309">
            <v>0</v>
          </cell>
          <cell r="N309">
            <v>0</v>
          </cell>
          <cell r="O309">
            <v>1</v>
          </cell>
          <cell r="P309">
            <v>1</v>
          </cell>
          <cell r="Q309">
            <v>2</v>
          </cell>
          <cell r="R309" t="str">
            <v/>
          </cell>
          <cell r="S309">
            <v>1</v>
          </cell>
          <cell r="T309">
            <v>1</v>
          </cell>
          <cell r="U309">
            <v>1</v>
          </cell>
        </row>
        <row r="310">
          <cell r="A310">
            <v>121187</v>
          </cell>
          <cell r="B310">
            <v>121187</v>
          </cell>
          <cell r="C310" t="str">
            <v>火枪精英大佐</v>
          </cell>
          <cell r="D310" t="str">
            <v>【精英】多功能步枪海军</v>
          </cell>
        </row>
        <row r="310">
          <cell r="F310">
            <v>0</v>
          </cell>
        </row>
        <row r="310">
          <cell r="M310">
            <v>0</v>
          </cell>
          <cell r="N310">
            <v>0</v>
          </cell>
          <cell r="O310">
            <v>1</v>
          </cell>
          <cell r="P310">
            <v>1</v>
          </cell>
          <cell r="Q310">
            <v>2</v>
          </cell>
          <cell r="R310" t="str">
            <v/>
          </cell>
          <cell r="S310">
            <v>1</v>
          </cell>
          <cell r="T310">
            <v>1</v>
          </cell>
          <cell r="U310">
            <v>1</v>
          </cell>
        </row>
        <row r="311">
          <cell r="A311">
            <v>121188</v>
          </cell>
          <cell r="B311">
            <v>121188</v>
          </cell>
          <cell r="C311" t="str">
            <v>监狱墨镜大炮管子</v>
          </cell>
          <cell r="D311" t="str">
            <v>监狱墨镜大炮管子</v>
          </cell>
        </row>
        <row r="311">
          <cell r="F311">
            <v>0</v>
          </cell>
        </row>
        <row r="311">
          <cell r="M311">
            <v>0</v>
          </cell>
          <cell r="N311">
            <v>0</v>
          </cell>
          <cell r="O311">
            <v>1</v>
          </cell>
          <cell r="P311">
            <v>1</v>
          </cell>
          <cell r="Q311">
            <v>4</v>
          </cell>
          <cell r="R311" t="str">
            <v/>
          </cell>
          <cell r="S311">
            <v>1</v>
          </cell>
          <cell r="T311">
            <v>1</v>
          </cell>
          <cell r="U311">
            <v>1</v>
          </cell>
        </row>
        <row r="312">
          <cell r="A312">
            <v>121189</v>
          </cell>
          <cell r="B312">
            <v>121189</v>
          </cell>
          <cell r="C312" t="str">
            <v>狱卒细炮管子</v>
          </cell>
          <cell r="D312" t="str">
            <v>狱卒细炮管子</v>
          </cell>
        </row>
        <row r="312">
          <cell r="F312">
            <v>0</v>
          </cell>
        </row>
        <row r="312">
          <cell r="M312">
            <v>0</v>
          </cell>
          <cell r="N312">
            <v>0</v>
          </cell>
          <cell r="O312">
            <v>1</v>
          </cell>
          <cell r="P312">
            <v>1</v>
          </cell>
          <cell r="Q312">
            <v>4</v>
          </cell>
          <cell r="R312" t="str">
            <v/>
          </cell>
          <cell r="S312">
            <v>1</v>
          </cell>
          <cell r="T312">
            <v>1</v>
          </cell>
          <cell r="U312">
            <v>1</v>
          </cell>
        </row>
        <row r="313">
          <cell r="A313">
            <v>121190</v>
          </cell>
          <cell r="B313">
            <v>121190</v>
          </cell>
          <cell r="C313" t="str">
            <v>日奈</v>
          </cell>
          <cell r="D313" t="str">
            <v>日奈</v>
          </cell>
        </row>
        <row r="313">
          <cell r="F313">
            <v>1</v>
          </cell>
        </row>
        <row r="313">
          <cell r="M313">
            <v>0</v>
          </cell>
          <cell r="N313">
            <v>1</v>
          </cell>
          <cell r="O313">
            <v>1</v>
          </cell>
          <cell r="P313">
            <v>1</v>
          </cell>
          <cell r="Q313">
            <v>2</v>
          </cell>
          <cell r="R313" t="str">
            <v/>
          </cell>
          <cell r="S313">
            <v>1</v>
          </cell>
          <cell r="T313">
            <v>1</v>
          </cell>
          <cell r="U313">
            <v>1</v>
          </cell>
        </row>
        <row r="314">
          <cell r="A314">
            <v>121191</v>
          </cell>
          <cell r="B314">
            <v>121191</v>
          </cell>
          <cell r="C314" t="str">
            <v>巴士底</v>
          </cell>
          <cell r="D314" t="str">
            <v>巴士底</v>
          </cell>
        </row>
        <row r="314">
          <cell r="F314">
            <v>0</v>
          </cell>
        </row>
        <row r="314">
          <cell r="M314">
            <v>0</v>
          </cell>
          <cell r="N314">
            <v>0</v>
          </cell>
          <cell r="O314">
            <v>1</v>
          </cell>
          <cell r="P314">
            <v>1</v>
          </cell>
          <cell r="Q314">
            <v>2</v>
          </cell>
          <cell r="R314" t="str">
            <v/>
          </cell>
          <cell r="S314">
            <v>1</v>
          </cell>
          <cell r="T314">
            <v>1</v>
          </cell>
          <cell r="U314">
            <v>1</v>
          </cell>
        </row>
        <row r="315">
          <cell r="A315">
            <v>121192</v>
          </cell>
          <cell r="B315">
            <v>121192</v>
          </cell>
          <cell r="C315" t="str">
            <v>鬼蜘蛛</v>
          </cell>
          <cell r="D315" t="str">
            <v>鬼蜘蛛</v>
          </cell>
        </row>
        <row r="315">
          <cell r="F315">
            <v>0</v>
          </cell>
        </row>
        <row r="315">
          <cell r="M315">
            <v>0</v>
          </cell>
          <cell r="N315">
            <v>0</v>
          </cell>
          <cell r="O315">
            <v>1</v>
          </cell>
          <cell r="P315">
            <v>1</v>
          </cell>
          <cell r="Q315">
            <v>2</v>
          </cell>
          <cell r="R315" t="str">
            <v/>
          </cell>
          <cell r="S315">
            <v>1</v>
          </cell>
          <cell r="T315">
            <v>1</v>
          </cell>
          <cell r="U315">
            <v>1</v>
          </cell>
        </row>
        <row r="316">
          <cell r="A316">
            <v>121193</v>
          </cell>
          <cell r="B316">
            <v>121193</v>
          </cell>
          <cell r="C316" t="str">
            <v>鼯鼠</v>
          </cell>
          <cell r="D316" t="str">
            <v>鼯鼠</v>
          </cell>
        </row>
        <row r="316">
          <cell r="F316">
            <v>0</v>
          </cell>
        </row>
        <row r="316">
          <cell r="M316">
            <v>0</v>
          </cell>
          <cell r="N316">
            <v>1</v>
          </cell>
          <cell r="O316">
            <v>1</v>
          </cell>
          <cell r="P316">
            <v>1</v>
          </cell>
          <cell r="Q316">
            <v>2</v>
          </cell>
          <cell r="R316" t="str">
            <v/>
          </cell>
          <cell r="S316">
            <v>1</v>
          </cell>
          <cell r="T316">
            <v>1</v>
          </cell>
          <cell r="U316">
            <v>1</v>
          </cell>
        </row>
        <row r="317">
          <cell r="A317">
            <v>121194</v>
          </cell>
          <cell r="B317">
            <v>121194</v>
          </cell>
          <cell r="C317" t="str">
            <v>鬼蜘蛛</v>
          </cell>
          <cell r="D317" t="str">
            <v>鬼蜘蛛（没手）</v>
          </cell>
        </row>
        <row r="317">
          <cell r="F317">
            <v>0</v>
          </cell>
        </row>
        <row r="317">
          <cell r="M317">
            <v>0</v>
          </cell>
          <cell r="N317">
            <v>1</v>
          </cell>
          <cell r="O317">
            <v>1</v>
          </cell>
          <cell r="P317">
            <v>1</v>
          </cell>
          <cell r="Q317">
            <v>2</v>
          </cell>
          <cell r="R317" t="str">
            <v/>
          </cell>
          <cell r="S317">
            <v>1</v>
          </cell>
          <cell r="T317">
            <v>1</v>
          </cell>
          <cell r="U317">
            <v>1</v>
          </cell>
        </row>
        <row r="318">
          <cell r="A318">
            <v>121195</v>
          </cell>
          <cell r="B318">
            <v>121195</v>
          </cell>
          <cell r="C318" t="str">
            <v>沙·鳄鱼</v>
          </cell>
          <cell r="D318" t="str">
            <v>【怪物】时装老沙</v>
          </cell>
        </row>
        <row r="318">
          <cell r="F318">
            <v>0</v>
          </cell>
        </row>
        <row r="318">
          <cell r="M318">
            <v>0</v>
          </cell>
          <cell r="N318">
            <v>0</v>
          </cell>
          <cell r="O318">
            <v>2</v>
          </cell>
          <cell r="P318">
            <v>1</v>
          </cell>
          <cell r="Q318">
            <v>2</v>
          </cell>
          <cell r="R318" t="str">
            <v/>
          </cell>
          <cell r="S318">
            <v>1</v>
          </cell>
          <cell r="T318">
            <v>1</v>
          </cell>
          <cell r="U318">
            <v>1</v>
          </cell>
        </row>
        <row r="319">
          <cell r="A319">
            <v>121196</v>
          </cell>
          <cell r="B319">
            <v>121196</v>
          </cell>
          <cell r="C319" t="str">
            <v>汉库珂</v>
          </cell>
          <cell r="D319" t="str">
            <v>【怪物】时装女帝</v>
          </cell>
        </row>
        <row r="319">
          <cell r="F319">
            <v>1</v>
          </cell>
        </row>
        <row r="319">
          <cell r="M319">
            <v>0</v>
          </cell>
          <cell r="N319">
            <v>0</v>
          </cell>
          <cell r="O319">
            <v>3</v>
          </cell>
          <cell r="P319">
            <v>1</v>
          </cell>
          <cell r="Q319">
            <v>2</v>
          </cell>
          <cell r="R319" t="str">
            <v/>
          </cell>
          <cell r="S319">
            <v>1</v>
          </cell>
          <cell r="T319">
            <v>1</v>
          </cell>
          <cell r="U319">
            <v>1</v>
          </cell>
        </row>
        <row r="320">
          <cell r="A320">
            <v>121197</v>
          </cell>
          <cell r="B320">
            <v>121197</v>
          </cell>
          <cell r="C320" t="str">
            <v>大厨</v>
          </cell>
          <cell r="D320" t="str">
            <v>战棋NPC-大厨</v>
          </cell>
        </row>
        <row r="320">
          <cell r="F320">
            <v>0</v>
          </cell>
        </row>
        <row r="320">
          <cell r="M320">
            <v>0</v>
          </cell>
          <cell r="N320">
            <v>0</v>
          </cell>
          <cell r="O320">
            <v>5</v>
          </cell>
          <cell r="P320">
            <v>1</v>
          </cell>
          <cell r="Q320">
            <v>2</v>
          </cell>
          <cell r="R320" t="str">
            <v/>
          </cell>
          <cell r="S320">
            <v>1</v>
          </cell>
          <cell r="T320">
            <v>1</v>
          </cell>
          <cell r="U320">
            <v>1</v>
          </cell>
        </row>
        <row r="321">
          <cell r="A321">
            <v>121198</v>
          </cell>
          <cell r="B321">
            <v>121198</v>
          </cell>
          <cell r="C321" t="str">
            <v>路飞？</v>
          </cell>
          <cell r="D321" t="str">
            <v>假李飞</v>
          </cell>
        </row>
        <row r="321">
          <cell r="F321">
            <v>0</v>
          </cell>
        </row>
        <row r="321">
          <cell r="M321">
            <v>0</v>
          </cell>
          <cell r="N321">
            <v>0</v>
          </cell>
          <cell r="O321">
            <v>6</v>
          </cell>
          <cell r="P321">
            <v>6</v>
          </cell>
          <cell r="Q321">
            <v>2</v>
          </cell>
          <cell r="R321" t="str">
            <v/>
          </cell>
          <cell r="S321">
            <v>1</v>
          </cell>
          <cell r="T321">
            <v>1</v>
          </cell>
          <cell r="U321">
            <v>1</v>
          </cell>
        </row>
        <row r="322">
          <cell r="A322">
            <v>121199</v>
          </cell>
          <cell r="B322">
            <v>121199</v>
          </cell>
          <cell r="C322" t="str">
            <v>奈美？</v>
          </cell>
          <cell r="D322" t="str">
            <v>假奈美</v>
          </cell>
        </row>
        <row r="322">
          <cell r="F322">
            <v>1</v>
          </cell>
        </row>
        <row r="322">
          <cell r="M322">
            <v>0</v>
          </cell>
          <cell r="N322">
            <v>0</v>
          </cell>
          <cell r="O322">
            <v>6</v>
          </cell>
          <cell r="P322">
            <v>6</v>
          </cell>
          <cell r="Q322">
            <v>2</v>
          </cell>
          <cell r="R322" t="str">
            <v/>
          </cell>
          <cell r="S322">
            <v>1</v>
          </cell>
          <cell r="T322">
            <v>1</v>
          </cell>
          <cell r="U322">
            <v>1</v>
          </cell>
        </row>
        <row r="323">
          <cell r="A323">
            <v>121200</v>
          </cell>
          <cell r="B323">
            <v>121200</v>
          </cell>
          <cell r="C323" t="str">
            <v>撒谎布？</v>
          </cell>
          <cell r="D323" t="str">
            <v>假乌索普</v>
          </cell>
        </row>
        <row r="323">
          <cell r="F323">
            <v>0</v>
          </cell>
        </row>
        <row r="323">
          <cell r="M323">
            <v>0</v>
          </cell>
          <cell r="N323">
            <v>0</v>
          </cell>
          <cell r="O323">
            <v>6</v>
          </cell>
          <cell r="P323">
            <v>6</v>
          </cell>
          <cell r="Q323">
            <v>2</v>
          </cell>
          <cell r="R323" t="str">
            <v/>
          </cell>
          <cell r="S323">
            <v>1</v>
          </cell>
          <cell r="T323">
            <v>1</v>
          </cell>
          <cell r="U323">
            <v>1</v>
          </cell>
        </row>
        <row r="324">
          <cell r="A324">
            <v>121201</v>
          </cell>
          <cell r="B324">
            <v>121201</v>
          </cell>
          <cell r="C324" t="str">
            <v>CP9</v>
          </cell>
          <cell r="D324" t="str">
            <v>持枪CP9 A</v>
          </cell>
        </row>
        <row r="324">
          <cell r="F324">
            <v>0</v>
          </cell>
        </row>
        <row r="324">
          <cell r="M324">
            <v>0</v>
          </cell>
          <cell r="N324">
            <v>0</v>
          </cell>
          <cell r="O324">
            <v>1</v>
          </cell>
          <cell r="P324">
            <v>1</v>
          </cell>
          <cell r="Q324">
            <v>2</v>
          </cell>
          <cell r="R324" t="str">
            <v/>
          </cell>
          <cell r="S324">
            <v>1</v>
          </cell>
          <cell r="T324">
            <v>1</v>
          </cell>
          <cell r="U324">
            <v>1</v>
          </cell>
        </row>
        <row r="325">
          <cell r="A325">
            <v>121202</v>
          </cell>
          <cell r="B325">
            <v>121202</v>
          </cell>
          <cell r="C325" t="str">
            <v>CP9</v>
          </cell>
          <cell r="D325" t="str">
            <v>持枪CP9 B</v>
          </cell>
        </row>
        <row r="325">
          <cell r="F325">
            <v>0</v>
          </cell>
        </row>
        <row r="325">
          <cell r="M325">
            <v>0</v>
          </cell>
          <cell r="N325">
            <v>0</v>
          </cell>
          <cell r="O325">
            <v>1</v>
          </cell>
          <cell r="P325">
            <v>1</v>
          </cell>
          <cell r="Q325">
            <v>2</v>
          </cell>
          <cell r="R325" t="str">
            <v/>
          </cell>
          <cell r="S325">
            <v>1</v>
          </cell>
          <cell r="T325">
            <v>1</v>
          </cell>
          <cell r="U325">
            <v>1</v>
          </cell>
        </row>
        <row r="326">
          <cell r="A326">
            <v>121203</v>
          </cell>
          <cell r="B326">
            <v>121203</v>
          </cell>
          <cell r="C326" t="str">
            <v>卡里布</v>
          </cell>
          <cell r="D326" t="str">
            <v>卡里布</v>
          </cell>
        </row>
        <row r="326">
          <cell r="F326">
            <v>0</v>
          </cell>
        </row>
        <row r="326">
          <cell r="M326">
            <v>0</v>
          </cell>
          <cell r="N326">
            <v>1</v>
          </cell>
          <cell r="O326">
            <v>3</v>
          </cell>
          <cell r="P326">
            <v>3</v>
          </cell>
          <cell r="Q326">
            <v>2</v>
          </cell>
          <cell r="R326" t="str">
            <v/>
          </cell>
          <cell r="S326">
            <v>1</v>
          </cell>
          <cell r="T326">
            <v>1</v>
          </cell>
          <cell r="U326">
            <v>1</v>
          </cell>
        </row>
        <row r="327">
          <cell r="A327">
            <v>121204</v>
          </cell>
          <cell r="B327">
            <v>121204</v>
          </cell>
          <cell r="C327" t="str">
            <v>黑胖龙宫城士兵</v>
          </cell>
          <cell r="D327" t="str">
            <v>黑胖龙宫城士兵</v>
          </cell>
        </row>
        <row r="327">
          <cell r="F327">
            <v>0</v>
          </cell>
        </row>
        <row r="327">
          <cell r="M327">
            <v>0</v>
          </cell>
          <cell r="N327">
            <v>0</v>
          </cell>
          <cell r="O327">
            <v>4</v>
          </cell>
          <cell r="P327">
            <v>4</v>
          </cell>
          <cell r="Q327">
            <v>2</v>
          </cell>
          <cell r="R327" t="str">
            <v/>
          </cell>
          <cell r="S327">
            <v>1</v>
          </cell>
          <cell r="T327">
            <v>1</v>
          </cell>
          <cell r="U327">
            <v>1</v>
          </cell>
        </row>
        <row r="328">
          <cell r="A328">
            <v>121205</v>
          </cell>
          <cell r="B328">
            <v>121205</v>
          </cell>
          <cell r="C328" t="str">
            <v>蓝瘦龙宫城士兵</v>
          </cell>
          <cell r="D328" t="str">
            <v>蓝瘦龙宫城士兵</v>
          </cell>
        </row>
        <row r="328">
          <cell r="F328">
            <v>0</v>
          </cell>
        </row>
        <row r="328">
          <cell r="M328">
            <v>0</v>
          </cell>
          <cell r="N328">
            <v>0</v>
          </cell>
          <cell r="O328">
            <v>4</v>
          </cell>
          <cell r="P328">
            <v>4</v>
          </cell>
          <cell r="Q328">
            <v>2</v>
          </cell>
          <cell r="R328" t="str">
            <v/>
          </cell>
          <cell r="S328">
            <v>1</v>
          </cell>
          <cell r="T328">
            <v>1</v>
          </cell>
          <cell r="U328">
            <v>1</v>
          </cell>
        </row>
        <row r="329">
          <cell r="A329">
            <v>121206</v>
          </cell>
          <cell r="B329">
            <v>121206</v>
          </cell>
          <cell r="C329" t="str">
            <v>持刀新鱼人</v>
          </cell>
          <cell r="D329" t="str">
            <v>持刀新鱼人</v>
          </cell>
        </row>
        <row r="329">
          <cell r="F329">
            <v>0</v>
          </cell>
        </row>
        <row r="329">
          <cell r="M329">
            <v>0</v>
          </cell>
          <cell r="N329">
            <v>0</v>
          </cell>
          <cell r="O329">
            <v>4</v>
          </cell>
          <cell r="P329">
            <v>4</v>
          </cell>
          <cell r="Q329">
            <v>2</v>
          </cell>
          <cell r="R329" t="str">
            <v/>
          </cell>
          <cell r="S329">
            <v>1</v>
          </cell>
          <cell r="T329">
            <v>1</v>
          </cell>
          <cell r="U329">
            <v>1</v>
          </cell>
        </row>
        <row r="330">
          <cell r="A330">
            <v>121207</v>
          </cell>
          <cell r="B330">
            <v>121207</v>
          </cell>
          <cell r="C330" t="str">
            <v>持枪新鱼人</v>
          </cell>
          <cell r="D330" t="str">
            <v>持枪新鱼人</v>
          </cell>
        </row>
        <row r="330">
          <cell r="F330">
            <v>0</v>
          </cell>
        </row>
        <row r="330">
          <cell r="M330">
            <v>0</v>
          </cell>
          <cell r="N330">
            <v>0</v>
          </cell>
          <cell r="O330">
            <v>4</v>
          </cell>
          <cell r="P330">
            <v>4</v>
          </cell>
          <cell r="Q330">
            <v>2</v>
          </cell>
          <cell r="R330" t="str">
            <v/>
          </cell>
          <cell r="S330">
            <v>1</v>
          </cell>
          <cell r="T330">
            <v>1</v>
          </cell>
          <cell r="U330">
            <v>1</v>
          </cell>
        </row>
        <row r="331">
          <cell r="A331">
            <v>121208</v>
          </cell>
          <cell r="B331">
            <v>121208</v>
          </cell>
          <cell r="C331" t="str">
            <v>霍迪·琼斯</v>
          </cell>
          <cell r="D331" t="str">
            <v>霍迪·琼斯</v>
          </cell>
        </row>
        <row r="331">
          <cell r="F331">
            <v>0</v>
          </cell>
        </row>
        <row r="331">
          <cell r="M331">
            <v>0</v>
          </cell>
          <cell r="N331">
            <v>1</v>
          </cell>
          <cell r="O331">
            <v>4</v>
          </cell>
          <cell r="P331">
            <v>4</v>
          </cell>
          <cell r="Q331">
            <v>2</v>
          </cell>
          <cell r="R331" t="str">
            <v/>
          </cell>
          <cell r="S331">
            <v>1</v>
          </cell>
          <cell r="T331">
            <v>1</v>
          </cell>
          <cell r="U331">
            <v>1</v>
          </cell>
        </row>
        <row r="332">
          <cell r="A332">
            <v>121209</v>
          </cell>
          <cell r="B332">
            <v>121209</v>
          </cell>
          <cell r="C332" t="str">
            <v>范德戴肯九世</v>
          </cell>
          <cell r="D332" t="str">
            <v>范德戴肯九世</v>
          </cell>
        </row>
        <row r="332">
          <cell r="F332">
            <v>0</v>
          </cell>
        </row>
        <row r="332">
          <cell r="M332">
            <v>0</v>
          </cell>
          <cell r="N332">
            <v>1</v>
          </cell>
          <cell r="O332">
            <v>4</v>
          </cell>
          <cell r="P332">
            <v>4</v>
          </cell>
          <cell r="Q332">
            <v>2</v>
          </cell>
          <cell r="R332" t="str">
            <v/>
          </cell>
          <cell r="S332">
            <v>1</v>
          </cell>
          <cell r="T332">
            <v>1</v>
          </cell>
          <cell r="U332">
            <v>1</v>
          </cell>
        </row>
        <row r="333">
          <cell r="A333">
            <v>121210</v>
          </cell>
          <cell r="B333">
            <v>121210</v>
          </cell>
          <cell r="C333" t="str">
            <v>豹藏</v>
          </cell>
          <cell r="D333" t="str">
            <v>豹藏</v>
          </cell>
        </row>
        <row r="333">
          <cell r="F333">
            <v>0</v>
          </cell>
        </row>
        <row r="333">
          <cell r="M333">
            <v>0</v>
          </cell>
          <cell r="N333">
            <v>1</v>
          </cell>
          <cell r="O333">
            <v>4</v>
          </cell>
          <cell r="P333">
            <v>4</v>
          </cell>
          <cell r="Q333">
            <v>2</v>
          </cell>
          <cell r="R333" t="str">
            <v/>
          </cell>
          <cell r="S333">
            <v>1</v>
          </cell>
          <cell r="T333">
            <v>1</v>
          </cell>
          <cell r="U333">
            <v>1</v>
          </cell>
        </row>
        <row r="334">
          <cell r="A334">
            <v>121211</v>
          </cell>
          <cell r="B334">
            <v>121211</v>
          </cell>
          <cell r="C334" t="str">
            <v>咚森</v>
          </cell>
          <cell r="D334" t="str">
            <v>咚森</v>
          </cell>
        </row>
        <row r="334">
          <cell r="F334">
            <v>0</v>
          </cell>
        </row>
        <row r="334">
          <cell r="M334">
            <v>0</v>
          </cell>
          <cell r="N334">
            <v>0</v>
          </cell>
          <cell r="O334">
            <v>4</v>
          </cell>
          <cell r="P334">
            <v>4</v>
          </cell>
          <cell r="Q334">
            <v>2</v>
          </cell>
          <cell r="R334" t="str">
            <v/>
          </cell>
          <cell r="S334">
            <v>1</v>
          </cell>
          <cell r="T334">
            <v>1</v>
          </cell>
          <cell r="U334">
            <v>1</v>
          </cell>
        </row>
        <row r="335">
          <cell r="A335">
            <v>121212</v>
          </cell>
          <cell r="B335">
            <v>121212</v>
          </cell>
          <cell r="C335" t="str">
            <v>伊卡鲁斯</v>
          </cell>
          <cell r="D335" t="str">
            <v>伊卡鲁斯</v>
          </cell>
        </row>
        <row r="335">
          <cell r="F335">
            <v>0</v>
          </cell>
        </row>
        <row r="335">
          <cell r="M335">
            <v>0</v>
          </cell>
          <cell r="N335">
            <v>0</v>
          </cell>
          <cell r="O335">
            <v>4</v>
          </cell>
          <cell r="P335">
            <v>4</v>
          </cell>
          <cell r="Q335">
            <v>2</v>
          </cell>
          <cell r="R335" t="str">
            <v/>
          </cell>
          <cell r="S335">
            <v>1</v>
          </cell>
          <cell r="T335">
            <v>1</v>
          </cell>
          <cell r="U335">
            <v>1</v>
          </cell>
        </row>
        <row r="336">
          <cell r="A336">
            <v>121213</v>
          </cell>
          <cell r="B336">
            <v>121213</v>
          </cell>
          <cell r="C336" t="str">
            <v>达磨</v>
          </cell>
          <cell r="D336" t="str">
            <v>达磨</v>
          </cell>
        </row>
        <row r="336">
          <cell r="F336">
            <v>0</v>
          </cell>
        </row>
        <row r="336">
          <cell r="M336">
            <v>0</v>
          </cell>
          <cell r="N336">
            <v>0</v>
          </cell>
          <cell r="O336">
            <v>4</v>
          </cell>
          <cell r="P336">
            <v>4</v>
          </cell>
          <cell r="Q336">
            <v>2</v>
          </cell>
          <cell r="R336" t="str">
            <v/>
          </cell>
          <cell r="S336">
            <v>1</v>
          </cell>
          <cell r="T336">
            <v>1</v>
          </cell>
          <cell r="U336">
            <v>1</v>
          </cell>
        </row>
        <row r="337">
          <cell r="A337">
            <v>121214</v>
          </cell>
          <cell r="B337">
            <v>121214</v>
          </cell>
          <cell r="C337" t="str">
            <v>泽奥</v>
          </cell>
          <cell r="D337" t="str">
            <v>泽奥</v>
          </cell>
        </row>
        <row r="337">
          <cell r="F337">
            <v>0</v>
          </cell>
        </row>
        <row r="337">
          <cell r="M337">
            <v>0</v>
          </cell>
          <cell r="N337">
            <v>0</v>
          </cell>
          <cell r="O337">
            <v>4</v>
          </cell>
          <cell r="P337">
            <v>4</v>
          </cell>
          <cell r="Q337">
            <v>2</v>
          </cell>
          <cell r="R337" t="str">
            <v/>
          </cell>
          <cell r="S337">
            <v>1</v>
          </cell>
          <cell r="T337">
            <v>1</v>
          </cell>
          <cell r="U337">
            <v>1</v>
          </cell>
        </row>
        <row r="338">
          <cell r="A338">
            <v>121215</v>
          </cell>
          <cell r="B338">
            <v>121215</v>
          </cell>
          <cell r="C338" t="str">
            <v>茶胡子</v>
          </cell>
          <cell r="D338" t="str">
            <v>茶胡子</v>
          </cell>
        </row>
        <row r="338">
          <cell r="F338">
            <v>0</v>
          </cell>
        </row>
        <row r="338">
          <cell r="M338">
            <v>0</v>
          </cell>
          <cell r="N338">
            <v>0</v>
          </cell>
          <cell r="O338">
            <v>1</v>
          </cell>
          <cell r="P338">
            <v>1</v>
          </cell>
          <cell r="Q338">
            <v>8</v>
          </cell>
          <cell r="R338" t="str">
            <v/>
          </cell>
          <cell r="S338">
            <v>1</v>
          </cell>
          <cell r="T338">
            <v>1</v>
          </cell>
          <cell r="U338">
            <v>1</v>
          </cell>
        </row>
        <row r="339">
          <cell r="A339">
            <v>121216</v>
          </cell>
          <cell r="B339">
            <v>121216</v>
          </cell>
          <cell r="C339" t="str">
            <v>史姆丽</v>
          </cell>
          <cell r="D339" t="str">
            <v>史姆丽</v>
          </cell>
        </row>
        <row r="339">
          <cell r="F339">
            <v>0</v>
          </cell>
        </row>
        <row r="339">
          <cell r="M339">
            <v>0</v>
          </cell>
          <cell r="N339">
            <v>0</v>
          </cell>
          <cell r="O339">
            <v>1</v>
          </cell>
          <cell r="P339">
            <v>1</v>
          </cell>
          <cell r="Q339">
            <v>8</v>
          </cell>
          <cell r="R339" t="str">
            <v/>
          </cell>
          <cell r="S339">
            <v>1</v>
          </cell>
          <cell r="T339">
            <v>1</v>
          </cell>
          <cell r="U339">
            <v>1</v>
          </cell>
        </row>
        <row r="340">
          <cell r="A340">
            <v>121217</v>
          </cell>
          <cell r="B340">
            <v>121217</v>
          </cell>
          <cell r="C340" t="str">
            <v>双足飞龙</v>
          </cell>
          <cell r="D340" t="str">
            <v>双足飞龙</v>
          </cell>
        </row>
        <row r="340">
          <cell r="F340">
            <v>0</v>
          </cell>
        </row>
        <row r="340">
          <cell r="M340">
            <v>0</v>
          </cell>
          <cell r="N340">
            <v>0</v>
          </cell>
          <cell r="O340">
            <v>1</v>
          </cell>
          <cell r="P340">
            <v>1</v>
          </cell>
          <cell r="Q340">
            <v>8</v>
          </cell>
          <cell r="R340" t="str">
            <v/>
          </cell>
          <cell r="S340">
            <v>1</v>
          </cell>
          <cell r="T340">
            <v>1</v>
          </cell>
          <cell r="U340">
            <v>1</v>
          </cell>
        </row>
        <row r="341">
          <cell r="A341">
            <v>121218</v>
          </cell>
          <cell r="B341">
            <v>121218</v>
          </cell>
          <cell r="C341" t="str">
            <v>火龙</v>
          </cell>
          <cell r="D341" t="str">
            <v>火龙</v>
          </cell>
        </row>
        <row r="341">
          <cell r="F341">
            <v>0</v>
          </cell>
        </row>
        <row r="341">
          <cell r="M341">
            <v>0</v>
          </cell>
          <cell r="N341">
            <v>0</v>
          </cell>
          <cell r="O341">
            <v>1</v>
          </cell>
          <cell r="P341">
            <v>1</v>
          </cell>
          <cell r="Q341">
            <v>8</v>
          </cell>
          <cell r="R341" t="str">
            <v/>
          </cell>
          <cell r="S341">
            <v>1</v>
          </cell>
          <cell r="T341">
            <v>1</v>
          </cell>
          <cell r="U341">
            <v>1</v>
          </cell>
        </row>
        <row r="342">
          <cell r="A342">
            <v>121219</v>
          </cell>
          <cell r="B342">
            <v>121219</v>
          </cell>
          <cell r="C342" t="str">
            <v>小孩</v>
          </cell>
          <cell r="D342" t="str">
            <v>小孩</v>
          </cell>
        </row>
        <row r="342">
          <cell r="F342">
            <v>0</v>
          </cell>
        </row>
        <row r="342">
          <cell r="M342">
            <v>0</v>
          </cell>
          <cell r="N342">
            <v>0</v>
          </cell>
          <cell r="O342">
            <v>4</v>
          </cell>
          <cell r="P342">
            <v>4</v>
          </cell>
          <cell r="Q342">
            <v>8</v>
          </cell>
          <cell r="R342" t="str">
            <v/>
          </cell>
          <cell r="S342">
            <v>1</v>
          </cell>
          <cell r="T342">
            <v>1</v>
          </cell>
          <cell r="U342">
            <v>1</v>
          </cell>
        </row>
        <row r="343">
          <cell r="A343">
            <v>121220</v>
          </cell>
          <cell r="B343">
            <v>121220</v>
          </cell>
          <cell r="C343" t="str">
            <v>ph持刀部队</v>
          </cell>
          <cell r="D343" t="str">
            <v>ph持刀部队</v>
          </cell>
        </row>
        <row r="343">
          <cell r="F343">
            <v>0</v>
          </cell>
        </row>
        <row r="343">
          <cell r="M343">
            <v>0</v>
          </cell>
          <cell r="N343">
            <v>0</v>
          </cell>
          <cell r="O343">
            <v>5</v>
          </cell>
          <cell r="P343">
            <v>5</v>
          </cell>
          <cell r="Q343">
            <v>8</v>
          </cell>
          <cell r="R343" t="str">
            <v/>
          </cell>
          <cell r="S343">
            <v>1</v>
          </cell>
          <cell r="T343">
            <v>1</v>
          </cell>
          <cell r="U343">
            <v>1</v>
          </cell>
        </row>
        <row r="344">
          <cell r="A344">
            <v>121221</v>
          </cell>
          <cell r="B344">
            <v>121221</v>
          </cell>
          <cell r="C344" t="str">
            <v>ph持枪部队</v>
          </cell>
          <cell r="D344" t="str">
            <v>ph持枪部队</v>
          </cell>
        </row>
        <row r="344">
          <cell r="F344">
            <v>0</v>
          </cell>
        </row>
        <row r="344">
          <cell r="M344">
            <v>0</v>
          </cell>
          <cell r="N344">
            <v>0</v>
          </cell>
          <cell r="O344">
            <v>6</v>
          </cell>
          <cell r="P344">
            <v>6</v>
          </cell>
          <cell r="Q344">
            <v>8</v>
          </cell>
          <cell r="R344" t="str">
            <v/>
          </cell>
          <cell r="S344">
            <v>1</v>
          </cell>
          <cell r="T344">
            <v>1</v>
          </cell>
          <cell r="U344">
            <v>1</v>
          </cell>
        </row>
        <row r="345">
          <cell r="A345">
            <v>121222</v>
          </cell>
          <cell r="B345">
            <v>121222</v>
          </cell>
          <cell r="C345" t="str">
            <v>G5海军持刀</v>
          </cell>
          <cell r="D345" t="str">
            <v>G5海军持刀</v>
          </cell>
        </row>
        <row r="345">
          <cell r="F345">
            <v>0</v>
          </cell>
        </row>
        <row r="345">
          <cell r="M345">
            <v>0</v>
          </cell>
          <cell r="N345">
            <v>0</v>
          </cell>
          <cell r="O345">
            <v>5</v>
          </cell>
          <cell r="P345">
            <v>5</v>
          </cell>
          <cell r="Q345">
            <v>2</v>
          </cell>
          <cell r="R345" t="str">
            <v/>
          </cell>
          <cell r="S345">
            <v>1</v>
          </cell>
          <cell r="T345">
            <v>1</v>
          </cell>
          <cell r="U345">
            <v>1</v>
          </cell>
        </row>
        <row r="346">
          <cell r="A346">
            <v>121223</v>
          </cell>
          <cell r="B346">
            <v>121223</v>
          </cell>
          <cell r="C346" t="str">
            <v>G5海军持枪</v>
          </cell>
          <cell r="D346" t="str">
            <v>G5海军持枪</v>
          </cell>
        </row>
        <row r="346">
          <cell r="F346">
            <v>0</v>
          </cell>
        </row>
        <row r="346">
          <cell r="M346">
            <v>0</v>
          </cell>
          <cell r="N346">
            <v>0</v>
          </cell>
          <cell r="O346">
            <v>6</v>
          </cell>
          <cell r="P346">
            <v>6</v>
          </cell>
          <cell r="Q346">
            <v>2</v>
          </cell>
          <cell r="R346" t="str">
            <v/>
          </cell>
          <cell r="S346">
            <v>1</v>
          </cell>
          <cell r="T346">
            <v>1</v>
          </cell>
          <cell r="U346">
            <v>1</v>
          </cell>
        </row>
        <row r="347">
          <cell r="A347">
            <v>121224</v>
          </cell>
          <cell r="B347">
            <v>121224</v>
          </cell>
          <cell r="C347" t="str">
            <v>豹型半人马</v>
          </cell>
          <cell r="D347" t="str">
            <v>豹型半人马</v>
          </cell>
        </row>
        <row r="347">
          <cell r="F347">
            <v>0</v>
          </cell>
        </row>
        <row r="347">
          <cell r="M347">
            <v>0</v>
          </cell>
          <cell r="N347">
            <v>0</v>
          </cell>
          <cell r="O347">
            <v>5</v>
          </cell>
          <cell r="P347">
            <v>5</v>
          </cell>
          <cell r="Q347">
            <v>8</v>
          </cell>
          <cell r="R347" t="str">
            <v/>
          </cell>
          <cell r="S347">
            <v>1</v>
          </cell>
          <cell r="T347">
            <v>1</v>
          </cell>
          <cell r="U347">
            <v>1</v>
          </cell>
        </row>
        <row r="348">
          <cell r="A348">
            <v>121225</v>
          </cell>
          <cell r="B348">
            <v>121225</v>
          </cell>
          <cell r="C348" t="str">
            <v>长颈鹿型半人马</v>
          </cell>
          <cell r="D348" t="str">
            <v>长颈鹿型半人马</v>
          </cell>
        </row>
        <row r="348">
          <cell r="F348">
            <v>0</v>
          </cell>
        </row>
        <row r="348">
          <cell r="M348">
            <v>0</v>
          </cell>
          <cell r="N348">
            <v>0</v>
          </cell>
          <cell r="O348">
            <v>5</v>
          </cell>
          <cell r="P348">
            <v>5</v>
          </cell>
          <cell r="Q348">
            <v>8</v>
          </cell>
          <cell r="R348" t="str">
            <v/>
          </cell>
          <cell r="S348">
            <v>1</v>
          </cell>
          <cell r="T348">
            <v>1</v>
          </cell>
          <cell r="U348">
            <v>1</v>
          </cell>
        </row>
        <row r="349">
          <cell r="A349">
            <v>121226</v>
          </cell>
          <cell r="B349">
            <v>121226</v>
          </cell>
          <cell r="C349" t="str">
            <v>雪山兄弟（洛克）</v>
          </cell>
          <cell r="D349" t="str">
            <v>雪山兄弟1</v>
          </cell>
        </row>
        <row r="349">
          <cell r="F349">
            <v>0</v>
          </cell>
        </row>
        <row r="349">
          <cell r="M349">
            <v>0</v>
          </cell>
          <cell r="N349">
            <v>0</v>
          </cell>
          <cell r="O349">
            <v>6</v>
          </cell>
          <cell r="P349">
            <v>6</v>
          </cell>
          <cell r="Q349">
            <v>8</v>
          </cell>
          <cell r="R349" t="str">
            <v/>
          </cell>
          <cell r="S349">
            <v>1</v>
          </cell>
          <cell r="T349">
            <v>1</v>
          </cell>
          <cell r="U349">
            <v>1</v>
          </cell>
        </row>
        <row r="350">
          <cell r="A350">
            <v>121227</v>
          </cell>
          <cell r="B350">
            <v>121227</v>
          </cell>
          <cell r="C350" t="str">
            <v>雪山兄弟（斯科奇）</v>
          </cell>
          <cell r="D350" t="str">
            <v>雪山兄弟2</v>
          </cell>
        </row>
        <row r="350">
          <cell r="F350">
            <v>0</v>
          </cell>
        </row>
        <row r="350">
          <cell r="M350">
            <v>0</v>
          </cell>
          <cell r="N350">
            <v>0</v>
          </cell>
          <cell r="O350">
            <v>6</v>
          </cell>
          <cell r="P350">
            <v>6</v>
          </cell>
          <cell r="Q350">
            <v>8</v>
          </cell>
          <cell r="R350" t="str">
            <v/>
          </cell>
          <cell r="S350">
            <v>1</v>
          </cell>
          <cell r="T350">
            <v>1</v>
          </cell>
          <cell r="U350">
            <v>1</v>
          </cell>
        </row>
        <row r="351">
          <cell r="A351">
            <v>121228</v>
          </cell>
          <cell r="B351">
            <v>121228</v>
          </cell>
          <cell r="C351" t="str">
            <v>小型史姆丽</v>
          </cell>
          <cell r="D351" t="str">
            <v>小史姆丽</v>
          </cell>
        </row>
        <row r="351">
          <cell r="F351">
            <v>0</v>
          </cell>
        </row>
        <row r="351">
          <cell r="M351">
            <v>0</v>
          </cell>
          <cell r="N351">
            <v>0</v>
          </cell>
          <cell r="O351">
            <v>1</v>
          </cell>
          <cell r="P351">
            <v>1</v>
          </cell>
          <cell r="Q351">
            <v>8</v>
          </cell>
          <cell r="R351" t="str">
            <v/>
          </cell>
          <cell r="S351">
            <v>1</v>
          </cell>
          <cell r="T351">
            <v>1</v>
          </cell>
          <cell r="U351">
            <v>1</v>
          </cell>
        </row>
        <row r="352">
          <cell r="A352">
            <v>121229</v>
          </cell>
          <cell r="B352">
            <v>121229</v>
          </cell>
          <cell r="C352" t="str">
            <v>维尔高</v>
          </cell>
          <cell r="D352" t="str">
            <v>维尔高</v>
          </cell>
        </row>
        <row r="352">
          <cell r="F352">
            <v>0</v>
          </cell>
        </row>
        <row r="352">
          <cell r="M352">
            <v>0</v>
          </cell>
          <cell r="N352">
            <v>0</v>
          </cell>
          <cell r="O352">
            <v>4</v>
          </cell>
          <cell r="P352">
            <v>4</v>
          </cell>
          <cell r="Q352">
            <v>8</v>
          </cell>
          <cell r="R352" t="str">
            <v/>
          </cell>
          <cell r="S352">
            <v>1</v>
          </cell>
          <cell r="T352">
            <v>1</v>
          </cell>
          <cell r="U352">
            <v>1</v>
          </cell>
        </row>
        <row r="353">
          <cell r="A353">
            <v>121230</v>
          </cell>
          <cell r="B353">
            <v>121230</v>
          </cell>
          <cell r="C353" t="str">
            <v>莫奈</v>
          </cell>
          <cell r="D353" t="str">
            <v>莫奈</v>
          </cell>
        </row>
        <row r="353">
          <cell r="F353">
            <v>1</v>
          </cell>
        </row>
        <row r="353">
          <cell r="M353">
            <v>0</v>
          </cell>
          <cell r="N353">
            <v>0</v>
          </cell>
          <cell r="O353">
            <v>2</v>
          </cell>
          <cell r="P353">
            <v>2</v>
          </cell>
          <cell r="Q353">
            <v>8</v>
          </cell>
          <cell r="R353" t="str">
            <v/>
          </cell>
          <cell r="S353">
            <v>1</v>
          </cell>
          <cell r="T353">
            <v>1</v>
          </cell>
          <cell r="U353">
            <v>1</v>
          </cell>
        </row>
        <row r="354">
          <cell r="A354">
            <v>121231</v>
          </cell>
          <cell r="B354">
            <v>121231</v>
          </cell>
          <cell r="C354" t="str">
            <v>水牛</v>
          </cell>
          <cell r="D354" t="str">
            <v>水牛</v>
          </cell>
        </row>
        <row r="354">
          <cell r="F354">
            <v>0</v>
          </cell>
        </row>
        <row r="354">
          <cell r="M354">
            <v>0</v>
          </cell>
          <cell r="N354">
            <v>0</v>
          </cell>
          <cell r="O354">
            <v>3</v>
          </cell>
          <cell r="P354">
            <v>3</v>
          </cell>
          <cell r="Q354">
            <v>8</v>
          </cell>
          <cell r="R354" t="str">
            <v/>
          </cell>
          <cell r="S354">
            <v>1</v>
          </cell>
          <cell r="T354">
            <v>1</v>
          </cell>
          <cell r="U354">
            <v>1</v>
          </cell>
        </row>
        <row r="355">
          <cell r="A355">
            <v>121232</v>
          </cell>
          <cell r="B355">
            <v>121232</v>
          </cell>
          <cell r="C355" t="str">
            <v>德林杰</v>
          </cell>
          <cell r="D355" t="str">
            <v>德林杰</v>
          </cell>
        </row>
        <row r="355">
          <cell r="F355">
            <v>0</v>
          </cell>
        </row>
        <row r="355">
          <cell r="M355">
            <v>0</v>
          </cell>
          <cell r="N355">
            <v>0</v>
          </cell>
          <cell r="O355">
            <v>4</v>
          </cell>
          <cell r="P355">
            <v>4</v>
          </cell>
          <cell r="Q355">
            <v>8</v>
          </cell>
          <cell r="R355" t="str">
            <v/>
          </cell>
          <cell r="S355">
            <v>1</v>
          </cell>
          <cell r="T355">
            <v>1</v>
          </cell>
          <cell r="U355">
            <v>1</v>
          </cell>
        </row>
        <row r="356">
          <cell r="A356">
            <v>121233</v>
          </cell>
          <cell r="B356">
            <v>121233</v>
          </cell>
          <cell r="C356" t="str">
            <v>贾恩·安格</v>
          </cell>
          <cell r="D356" t="str">
            <v>贾恩·安格</v>
          </cell>
        </row>
        <row r="356">
          <cell r="F356">
            <v>0</v>
          </cell>
        </row>
        <row r="356">
          <cell r="M356">
            <v>0</v>
          </cell>
          <cell r="N356">
            <v>0</v>
          </cell>
          <cell r="O356">
            <v>6</v>
          </cell>
          <cell r="P356">
            <v>6</v>
          </cell>
          <cell r="Q356">
            <v>8</v>
          </cell>
          <cell r="R356" t="str">
            <v/>
          </cell>
          <cell r="S356">
            <v>1</v>
          </cell>
          <cell r="T356">
            <v>1</v>
          </cell>
          <cell r="U356">
            <v>1</v>
          </cell>
        </row>
        <row r="357">
          <cell r="A357">
            <v>121234</v>
          </cell>
          <cell r="B357">
            <v>121234</v>
          </cell>
          <cell r="C357" t="str">
            <v>斗牛</v>
          </cell>
          <cell r="D357" t="str">
            <v>斗牛</v>
          </cell>
        </row>
        <row r="357">
          <cell r="F357">
            <v>3</v>
          </cell>
        </row>
        <row r="357">
          <cell r="M357">
            <v>0</v>
          </cell>
          <cell r="N357">
            <v>0</v>
          </cell>
          <cell r="O357">
            <v>4</v>
          </cell>
          <cell r="P357">
            <v>4</v>
          </cell>
          <cell r="Q357">
            <v>8</v>
          </cell>
          <cell r="R357" t="str">
            <v/>
          </cell>
          <cell r="S357">
            <v>1</v>
          </cell>
          <cell r="T357">
            <v>1</v>
          </cell>
          <cell r="U357">
            <v>1</v>
          </cell>
        </row>
        <row r="358">
          <cell r="A358">
            <v>121235</v>
          </cell>
          <cell r="B358">
            <v>121235</v>
          </cell>
          <cell r="C358" t="str">
            <v>斗鱼</v>
          </cell>
          <cell r="D358" t="str">
            <v>斗鱼（黑）</v>
          </cell>
        </row>
        <row r="358">
          <cell r="F358">
            <v>3</v>
          </cell>
        </row>
        <row r="358">
          <cell r="M358">
            <v>0</v>
          </cell>
          <cell r="N358">
            <v>0</v>
          </cell>
          <cell r="O358">
            <v>4</v>
          </cell>
          <cell r="P358">
            <v>4</v>
          </cell>
          <cell r="Q358">
            <v>8</v>
          </cell>
          <cell r="R358" t="str">
            <v/>
          </cell>
          <cell r="S358">
            <v>1</v>
          </cell>
          <cell r="T358">
            <v>1</v>
          </cell>
          <cell r="U358">
            <v>1</v>
          </cell>
        </row>
        <row r="359">
          <cell r="A359">
            <v>121236</v>
          </cell>
          <cell r="B359">
            <v>121236</v>
          </cell>
          <cell r="C359" t="str">
            <v>斗鱼</v>
          </cell>
          <cell r="D359" t="str">
            <v>斗鱼（红）</v>
          </cell>
        </row>
        <row r="359">
          <cell r="F359">
            <v>3</v>
          </cell>
        </row>
        <row r="359">
          <cell r="M359">
            <v>0</v>
          </cell>
          <cell r="N359">
            <v>0</v>
          </cell>
          <cell r="O359">
            <v>4</v>
          </cell>
          <cell r="P359">
            <v>4</v>
          </cell>
          <cell r="Q359">
            <v>8</v>
          </cell>
          <cell r="R359" t="str">
            <v/>
          </cell>
          <cell r="S359">
            <v>1</v>
          </cell>
          <cell r="T359">
            <v>1</v>
          </cell>
          <cell r="U359">
            <v>1</v>
          </cell>
        </row>
        <row r="360">
          <cell r="A360">
            <v>121237</v>
          </cell>
          <cell r="B360">
            <v>121237</v>
          </cell>
          <cell r="C360" t="str">
            <v>多弗朗门戈手下</v>
          </cell>
          <cell r="D360" t="str">
            <v>近战</v>
          </cell>
        </row>
        <row r="360">
          <cell r="F360">
            <v>0</v>
          </cell>
        </row>
        <row r="360">
          <cell r="M360">
            <v>0</v>
          </cell>
          <cell r="N360">
            <v>0</v>
          </cell>
          <cell r="O360">
            <v>4</v>
          </cell>
          <cell r="P360">
            <v>4</v>
          </cell>
          <cell r="Q360">
            <v>8</v>
          </cell>
          <cell r="R360" t="str">
            <v/>
          </cell>
          <cell r="S360">
            <v>1</v>
          </cell>
          <cell r="T360">
            <v>1</v>
          </cell>
          <cell r="U360">
            <v>1</v>
          </cell>
        </row>
        <row r="361">
          <cell r="A361">
            <v>121238</v>
          </cell>
          <cell r="B361">
            <v>121238</v>
          </cell>
          <cell r="C361" t="str">
            <v>多弗朗门戈手下</v>
          </cell>
          <cell r="D361" t="str">
            <v>远程</v>
          </cell>
        </row>
        <row r="361">
          <cell r="F361">
            <v>0</v>
          </cell>
        </row>
        <row r="361">
          <cell r="M361">
            <v>0</v>
          </cell>
          <cell r="N361">
            <v>0</v>
          </cell>
          <cell r="O361">
            <v>6</v>
          </cell>
          <cell r="P361">
            <v>6</v>
          </cell>
          <cell r="Q361">
            <v>8</v>
          </cell>
          <cell r="R361" t="str">
            <v/>
          </cell>
          <cell r="S361">
            <v>1</v>
          </cell>
          <cell r="T361">
            <v>1</v>
          </cell>
          <cell r="U361">
            <v>1</v>
          </cell>
        </row>
        <row r="362">
          <cell r="A362">
            <v>121239</v>
          </cell>
          <cell r="B362">
            <v>121239</v>
          </cell>
          <cell r="C362" t="str">
            <v>普通参赛者</v>
          </cell>
          <cell r="D362" t="str">
            <v>铁链</v>
          </cell>
        </row>
        <row r="362">
          <cell r="F362">
            <v>0</v>
          </cell>
        </row>
        <row r="362">
          <cell r="M362">
            <v>0</v>
          </cell>
          <cell r="N362">
            <v>0</v>
          </cell>
          <cell r="O362">
            <v>4</v>
          </cell>
          <cell r="P362">
            <v>4</v>
          </cell>
          <cell r="Q362">
            <v>8</v>
          </cell>
          <cell r="R362" t="str">
            <v/>
          </cell>
          <cell r="S362">
            <v>1</v>
          </cell>
          <cell r="T362">
            <v>1</v>
          </cell>
          <cell r="U362">
            <v>1</v>
          </cell>
        </row>
        <row r="363">
          <cell r="A363">
            <v>121240</v>
          </cell>
          <cell r="B363">
            <v>121240</v>
          </cell>
          <cell r="C363" t="str">
            <v>普通参赛者</v>
          </cell>
          <cell r="D363" t="str">
            <v>斧</v>
          </cell>
        </row>
        <row r="363">
          <cell r="F363">
            <v>0</v>
          </cell>
        </row>
        <row r="363">
          <cell r="M363">
            <v>0</v>
          </cell>
          <cell r="N363">
            <v>0</v>
          </cell>
          <cell r="O363">
            <v>4</v>
          </cell>
          <cell r="P363">
            <v>4</v>
          </cell>
          <cell r="Q363">
            <v>8</v>
          </cell>
          <cell r="R363" t="str">
            <v/>
          </cell>
          <cell r="S363">
            <v>1</v>
          </cell>
          <cell r="T363">
            <v>1</v>
          </cell>
          <cell r="U363">
            <v>1</v>
          </cell>
        </row>
        <row r="364">
          <cell r="A364">
            <v>121241</v>
          </cell>
          <cell r="B364">
            <v>121241</v>
          </cell>
          <cell r="C364" t="str">
            <v>普通参赛者</v>
          </cell>
          <cell r="D364" t="str">
            <v>剑</v>
          </cell>
        </row>
        <row r="364">
          <cell r="F364">
            <v>0</v>
          </cell>
        </row>
        <row r="364">
          <cell r="M364">
            <v>0</v>
          </cell>
          <cell r="N364">
            <v>0</v>
          </cell>
          <cell r="O364">
            <v>5</v>
          </cell>
          <cell r="P364">
            <v>5</v>
          </cell>
          <cell r="Q364">
            <v>8</v>
          </cell>
          <cell r="R364" t="str">
            <v/>
          </cell>
          <cell r="S364">
            <v>1</v>
          </cell>
          <cell r="T364">
            <v>1</v>
          </cell>
          <cell r="U364">
            <v>1</v>
          </cell>
        </row>
        <row r="365">
          <cell r="A365">
            <v>121242</v>
          </cell>
          <cell r="B365">
            <v>121242</v>
          </cell>
          <cell r="C365" t="str">
            <v>青椒</v>
          </cell>
          <cell r="D365" t="str">
            <v>青椒</v>
          </cell>
        </row>
        <row r="365">
          <cell r="F365">
            <v>0</v>
          </cell>
        </row>
        <row r="365">
          <cell r="M365">
            <v>0</v>
          </cell>
          <cell r="N365">
            <v>0</v>
          </cell>
          <cell r="O365">
            <v>4</v>
          </cell>
          <cell r="P365">
            <v>4</v>
          </cell>
          <cell r="Q365">
            <v>3</v>
          </cell>
          <cell r="R365" t="str">
            <v/>
          </cell>
          <cell r="S365">
            <v>1</v>
          </cell>
          <cell r="T365">
            <v>1</v>
          </cell>
          <cell r="U365">
            <v>1</v>
          </cell>
        </row>
        <row r="366">
          <cell r="A366">
            <v>121243</v>
          </cell>
          <cell r="B366">
            <v>121243</v>
          </cell>
          <cell r="C366" t="str">
            <v>蕾贝卡</v>
          </cell>
          <cell r="D366" t="str">
            <v>蕾贝卡</v>
          </cell>
        </row>
        <row r="366">
          <cell r="F366">
            <v>1</v>
          </cell>
        </row>
        <row r="366">
          <cell r="M366">
            <v>0</v>
          </cell>
          <cell r="N366">
            <v>0</v>
          </cell>
          <cell r="O366">
            <v>5</v>
          </cell>
          <cell r="P366">
            <v>5</v>
          </cell>
          <cell r="Q366">
            <v>8</v>
          </cell>
          <cell r="R366" t="str">
            <v/>
          </cell>
          <cell r="S366">
            <v>1</v>
          </cell>
          <cell r="T366">
            <v>1</v>
          </cell>
          <cell r="U366">
            <v>1</v>
          </cell>
        </row>
        <row r="367">
          <cell r="A367">
            <v>121244</v>
          </cell>
          <cell r="B367">
            <v>121244</v>
          </cell>
          <cell r="C367" t="str">
            <v>斯雷曼</v>
          </cell>
          <cell r="D367" t="str">
            <v>斯雷曼</v>
          </cell>
        </row>
        <row r="367">
          <cell r="F367">
            <v>0</v>
          </cell>
        </row>
        <row r="367">
          <cell r="M367">
            <v>0</v>
          </cell>
          <cell r="N367">
            <v>0</v>
          </cell>
          <cell r="O367">
            <v>5</v>
          </cell>
          <cell r="P367">
            <v>5</v>
          </cell>
          <cell r="Q367">
            <v>8</v>
          </cell>
          <cell r="R367" t="str">
            <v/>
          </cell>
          <cell r="S367">
            <v>1</v>
          </cell>
          <cell r="T367">
            <v>1</v>
          </cell>
          <cell r="U367">
            <v>1</v>
          </cell>
        </row>
        <row r="368">
          <cell r="A368">
            <v>121245</v>
          </cell>
          <cell r="B368">
            <v>121245</v>
          </cell>
          <cell r="C368" t="str">
            <v>洛林格·罗甘</v>
          </cell>
          <cell r="D368" t="str">
            <v>洛林格·罗甘</v>
          </cell>
        </row>
        <row r="368">
          <cell r="F368">
            <v>0</v>
          </cell>
        </row>
        <row r="368">
          <cell r="M368">
            <v>0</v>
          </cell>
          <cell r="N368">
            <v>0</v>
          </cell>
          <cell r="O368">
            <v>4</v>
          </cell>
          <cell r="P368">
            <v>4</v>
          </cell>
          <cell r="Q368">
            <v>3</v>
          </cell>
          <cell r="R368" t="str">
            <v/>
          </cell>
          <cell r="S368">
            <v>1</v>
          </cell>
          <cell r="T368">
            <v>1</v>
          </cell>
          <cell r="U368">
            <v>1</v>
          </cell>
        </row>
        <row r="369">
          <cell r="A369">
            <v>121246</v>
          </cell>
          <cell r="B369">
            <v>121246</v>
          </cell>
          <cell r="C369" t="str">
            <v>斯巴达恩</v>
          </cell>
          <cell r="D369" t="str">
            <v>斯巴达恩</v>
          </cell>
        </row>
        <row r="369">
          <cell r="F369">
            <v>0</v>
          </cell>
        </row>
        <row r="369">
          <cell r="M369">
            <v>0</v>
          </cell>
          <cell r="N369">
            <v>0</v>
          </cell>
          <cell r="O369">
            <v>4</v>
          </cell>
          <cell r="P369">
            <v>4</v>
          </cell>
          <cell r="Q369">
            <v>3</v>
          </cell>
          <cell r="R369" t="str">
            <v/>
          </cell>
          <cell r="S369">
            <v>1</v>
          </cell>
          <cell r="T369">
            <v>1</v>
          </cell>
          <cell r="U369">
            <v>1</v>
          </cell>
        </row>
        <row r="370">
          <cell r="A370">
            <v>121247</v>
          </cell>
          <cell r="B370">
            <v>121247</v>
          </cell>
          <cell r="C370" t="str">
            <v>警官</v>
          </cell>
          <cell r="D370" t="str">
            <v>远程</v>
          </cell>
        </row>
        <row r="370">
          <cell r="F370">
            <v>1</v>
          </cell>
        </row>
        <row r="370">
          <cell r="M370">
            <v>0</v>
          </cell>
          <cell r="N370">
            <v>0</v>
          </cell>
          <cell r="O370">
            <v>6</v>
          </cell>
          <cell r="P370">
            <v>6</v>
          </cell>
          <cell r="Q370">
            <v>2</v>
          </cell>
          <cell r="R370" t="str">
            <v/>
          </cell>
          <cell r="S370">
            <v>1</v>
          </cell>
          <cell r="T370">
            <v>1</v>
          </cell>
          <cell r="U370">
            <v>1</v>
          </cell>
        </row>
        <row r="371">
          <cell r="A371">
            <v>121248</v>
          </cell>
          <cell r="B371">
            <v>121248</v>
          </cell>
          <cell r="C371" t="str">
            <v>紫罗兰</v>
          </cell>
          <cell r="D371" t="str">
            <v>紫罗兰</v>
          </cell>
        </row>
        <row r="371">
          <cell r="F371">
            <v>1</v>
          </cell>
        </row>
        <row r="371">
          <cell r="M371">
            <v>0</v>
          </cell>
          <cell r="N371">
            <v>0</v>
          </cell>
          <cell r="O371">
            <v>3</v>
          </cell>
          <cell r="P371">
            <v>3</v>
          </cell>
          <cell r="Q371">
            <v>5</v>
          </cell>
          <cell r="R371" t="str">
            <v/>
          </cell>
          <cell r="S371">
            <v>1</v>
          </cell>
          <cell r="T371">
            <v>1</v>
          </cell>
          <cell r="U371">
            <v>1</v>
          </cell>
        </row>
        <row r="372">
          <cell r="A372">
            <v>121250</v>
          </cell>
          <cell r="B372">
            <v>121250</v>
          </cell>
          <cell r="C372" t="str">
            <v>托雷波尔</v>
          </cell>
          <cell r="D372" t="str">
            <v>托雷波尔</v>
          </cell>
        </row>
        <row r="372">
          <cell r="F372">
            <v>0</v>
          </cell>
        </row>
        <row r="372">
          <cell r="M372">
            <v>0</v>
          </cell>
          <cell r="N372">
            <v>0</v>
          </cell>
          <cell r="O372">
            <v>3</v>
          </cell>
          <cell r="P372">
            <v>3</v>
          </cell>
          <cell r="Q372">
            <v>3</v>
          </cell>
          <cell r="R372" t="str">
            <v/>
          </cell>
          <cell r="S372">
            <v>1</v>
          </cell>
          <cell r="T372">
            <v>1</v>
          </cell>
          <cell r="U372">
            <v>1</v>
          </cell>
        </row>
        <row r="373">
          <cell r="A373">
            <v>121251</v>
          </cell>
          <cell r="B373">
            <v>121251</v>
          </cell>
          <cell r="C373" t="str">
            <v>迪亚曼蒂</v>
          </cell>
          <cell r="D373" t="str">
            <v>迪亚曼蒂</v>
          </cell>
        </row>
        <row r="373">
          <cell r="F373">
            <v>0</v>
          </cell>
        </row>
        <row r="373">
          <cell r="M373">
            <v>0</v>
          </cell>
          <cell r="N373">
            <v>0</v>
          </cell>
          <cell r="O373">
            <v>3</v>
          </cell>
          <cell r="P373">
            <v>3</v>
          </cell>
          <cell r="Q373">
            <v>3</v>
          </cell>
          <cell r="R373" t="str">
            <v/>
          </cell>
          <cell r="S373">
            <v>1</v>
          </cell>
          <cell r="T373">
            <v>1</v>
          </cell>
          <cell r="U373">
            <v>1</v>
          </cell>
        </row>
        <row r="374">
          <cell r="A374">
            <v>121252</v>
          </cell>
          <cell r="B374">
            <v>121252</v>
          </cell>
          <cell r="C374" t="str">
            <v>赛诺尔·平克</v>
          </cell>
          <cell r="D374" t="str">
            <v>赛诺尔·平克</v>
          </cell>
        </row>
        <row r="374">
          <cell r="F374">
            <v>0</v>
          </cell>
        </row>
        <row r="374">
          <cell r="M374">
            <v>0</v>
          </cell>
          <cell r="N374">
            <v>0</v>
          </cell>
          <cell r="O374">
            <v>3</v>
          </cell>
          <cell r="P374">
            <v>3</v>
          </cell>
          <cell r="Q374">
            <v>3</v>
          </cell>
          <cell r="R374" t="str">
            <v/>
          </cell>
          <cell r="S374">
            <v>1</v>
          </cell>
          <cell r="T374">
            <v>1</v>
          </cell>
          <cell r="U374">
            <v>1</v>
          </cell>
        </row>
        <row r="375">
          <cell r="A375">
            <v>121253</v>
          </cell>
          <cell r="B375">
            <v>121253</v>
          </cell>
          <cell r="C375" t="str">
            <v>匹卡</v>
          </cell>
          <cell r="D375" t="str">
            <v>匹卡（正常）</v>
          </cell>
        </row>
        <row r="375">
          <cell r="F375">
            <v>0</v>
          </cell>
        </row>
        <row r="375">
          <cell r="M375">
            <v>0</v>
          </cell>
          <cell r="N375">
            <v>0</v>
          </cell>
          <cell r="O375">
            <v>3</v>
          </cell>
          <cell r="P375">
            <v>3</v>
          </cell>
          <cell r="Q375">
            <v>3</v>
          </cell>
          <cell r="R375" t="str">
            <v/>
          </cell>
          <cell r="S375">
            <v>1</v>
          </cell>
          <cell r="T375">
            <v>1</v>
          </cell>
          <cell r="U375">
            <v>1</v>
          </cell>
        </row>
        <row r="376">
          <cell r="A376">
            <v>121254</v>
          </cell>
          <cell r="B376">
            <v>121254</v>
          </cell>
          <cell r="C376" t="str">
            <v>匹卡</v>
          </cell>
          <cell r="D376" t="str">
            <v>匹卡（霸气形态）</v>
          </cell>
        </row>
        <row r="376">
          <cell r="F376">
            <v>0</v>
          </cell>
        </row>
        <row r="376">
          <cell r="M376">
            <v>0</v>
          </cell>
          <cell r="N376">
            <v>0</v>
          </cell>
          <cell r="O376">
            <v>3</v>
          </cell>
          <cell r="P376">
            <v>3</v>
          </cell>
          <cell r="Q376">
            <v>3</v>
          </cell>
          <cell r="R376" t="str">
            <v/>
          </cell>
          <cell r="S376">
            <v>1</v>
          </cell>
          <cell r="T376">
            <v>1</v>
          </cell>
          <cell r="U376">
            <v>1</v>
          </cell>
        </row>
        <row r="377">
          <cell r="A377">
            <v>121255</v>
          </cell>
          <cell r="B377">
            <v>121255</v>
          </cell>
          <cell r="C377" t="str">
            <v>匹卡</v>
          </cell>
          <cell r="D377" t="str">
            <v>匹卡（小石头）</v>
          </cell>
        </row>
        <row r="377">
          <cell r="F377">
            <v>0</v>
          </cell>
        </row>
        <row r="377">
          <cell r="M377">
            <v>0</v>
          </cell>
          <cell r="N377">
            <v>0</v>
          </cell>
          <cell r="O377">
            <v>3</v>
          </cell>
          <cell r="P377">
            <v>3</v>
          </cell>
          <cell r="Q377">
            <v>3</v>
          </cell>
          <cell r="R377" t="str">
            <v/>
          </cell>
          <cell r="S377">
            <v>1</v>
          </cell>
          <cell r="T377">
            <v>1</v>
          </cell>
          <cell r="U377">
            <v>1</v>
          </cell>
        </row>
        <row r="378">
          <cell r="A378">
            <v>121256</v>
          </cell>
          <cell r="B378">
            <v>121256</v>
          </cell>
          <cell r="C378" t="str">
            <v>匹卡</v>
          </cell>
          <cell r="D378" t="str">
            <v>匹卡（大石头）</v>
          </cell>
        </row>
        <row r="378">
          <cell r="F378">
            <v>0</v>
          </cell>
        </row>
        <row r="378">
          <cell r="M378">
            <v>0</v>
          </cell>
          <cell r="N378">
            <v>0</v>
          </cell>
          <cell r="O378">
            <v>3</v>
          </cell>
          <cell r="P378">
            <v>3</v>
          </cell>
          <cell r="Q378">
            <v>3</v>
          </cell>
          <cell r="R378" t="str">
            <v/>
          </cell>
          <cell r="S378">
            <v>1</v>
          </cell>
          <cell r="T378">
            <v>1</v>
          </cell>
          <cell r="U378">
            <v>1</v>
          </cell>
        </row>
        <row r="379">
          <cell r="A379">
            <v>121257</v>
          </cell>
          <cell r="B379">
            <v>121257</v>
          </cell>
          <cell r="C379" t="str">
            <v>古拉迪乌斯</v>
          </cell>
          <cell r="D379" t="str">
            <v>古拉迪乌斯</v>
          </cell>
        </row>
        <row r="379">
          <cell r="F379">
            <v>0</v>
          </cell>
        </row>
        <row r="379">
          <cell r="M379">
            <v>0</v>
          </cell>
          <cell r="N379">
            <v>0</v>
          </cell>
          <cell r="O379">
            <v>3</v>
          </cell>
          <cell r="P379">
            <v>3</v>
          </cell>
          <cell r="Q379">
            <v>3</v>
          </cell>
          <cell r="R379" t="str">
            <v/>
          </cell>
          <cell r="S379">
            <v>1</v>
          </cell>
          <cell r="T379">
            <v>1</v>
          </cell>
          <cell r="U379">
            <v>1</v>
          </cell>
        </row>
        <row r="380">
          <cell r="A380">
            <v>121258</v>
          </cell>
          <cell r="B380">
            <v>121258</v>
          </cell>
          <cell r="C380" t="str">
            <v>糖糖</v>
          </cell>
          <cell r="D380" t="str">
            <v>糖糖</v>
          </cell>
        </row>
        <row r="380">
          <cell r="F380">
            <v>1</v>
          </cell>
        </row>
        <row r="380">
          <cell r="M380">
            <v>0</v>
          </cell>
          <cell r="N380">
            <v>0</v>
          </cell>
          <cell r="O380">
            <v>3</v>
          </cell>
          <cell r="P380">
            <v>3</v>
          </cell>
          <cell r="Q380">
            <v>3</v>
          </cell>
          <cell r="R380" t="str">
            <v/>
          </cell>
          <cell r="S380">
            <v>1</v>
          </cell>
          <cell r="T380">
            <v>1</v>
          </cell>
          <cell r="U380">
            <v>1</v>
          </cell>
        </row>
        <row r="381">
          <cell r="A381">
            <v>121259</v>
          </cell>
          <cell r="B381">
            <v>121259</v>
          </cell>
          <cell r="C381" t="str">
            <v>新世界撒谎布</v>
          </cell>
          <cell r="D381" t="str">
            <v>德岛时装版</v>
          </cell>
        </row>
        <row r="381">
          <cell r="F381">
            <v>0</v>
          </cell>
        </row>
        <row r="381">
          <cell r="M381">
            <v>0</v>
          </cell>
          <cell r="N381">
            <v>0</v>
          </cell>
          <cell r="O381">
            <v>3</v>
          </cell>
          <cell r="P381">
            <v>6</v>
          </cell>
          <cell r="Q381">
            <v>3</v>
          </cell>
          <cell r="R381" t="str">
            <v/>
          </cell>
          <cell r="S381">
            <v>1</v>
          </cell>
          <cell r="T381">
            <v>1</v>
          </cell>
          <cell r="U381">
            <v>1</v>
          </cell>
        </row>
        <row r="382">
          <cell r="A382">
            <v>121260</v>
          </cell>
          <cell r="B382">
            <v>121260</v>
          </cell>
          <cell r="C382" t="str">
            <v>砂糖玩偶</v>
          </cell>
          <cell r="D382" t="str">
            <v>砂糖玩偶</v>
          </cell>
        </row>
        <row r="382">
          <cell r="F382">
            <v>0</v>
          </cell>
        </row>
        <row r="382">
          <cell r="M382">
            <v>0</v>
          </cell>
          <cell r="N382">
            <v>0</v>
          </cell>
          <cell r="O382">
            <v>3</v>
          </cell>
          <cell r="P382">
            <v>3</v>
          </cell>
          <cell r="Q382">
            <v>3</v>
          </cell>
          <cell r="R382" t="str">
            <v/>
          </cell>
          <cell r="S382">
            <v>1</v>
          </cell>
          <cell r="T382">
            <v>1</v>
          </cell>
          <cell r="U382">
            <v>1</v>
          </cell>
        </row>
        <row r="383">
          <cell r="A383">
            <v>121261</v>
          </cell>
          <cell r="B383">
            <v>121261</v>
          </cell>
          <cell r="C383" t="str">
            <v>新世界索隆</v>
          </cell>
          <cell r="D383" t="str">
            <v>黑色西服时装版</v>
          </cell>
        </row>
        <row r="383">
          <cell r="F383">
            <v>0</v>
          </cell>
        </row>
        <row r="383">
          <cell r="M383">
            <v>0</v>
          </cell>
          <cell r="N383">
            <v>0</v>
          </cell>
          <cell r="O383">
            <v>5</v>
          </cell>
          <cell r="P383">
            <v>5</v>
          </cell>
          <cell r="Q383">
            <v>1</v>
          </cell>
          <cell r="R383" t="str">
            <v/>
          </cell>
          <cell r="S383">
            <v>1</v>
          </cell>
          <cell r="T383">
            <v>1</v>
          </cell>
          <cell r="U383">
            <v>1</v>
          </cell>
        </row>
        <row r="384">
          <cell r="A384">
            <v>121262</v>
          </cell>
          <cell r="B384">
            <v>121262</v>
          </cell>
          <cell r="C384" t="str">
            <v>托雷波尔</v>
          </cell>
          <cell r="D384" t="str">
            <v>托雷波尔（召唤）</v>
          </cell>
        </row>
        <row r="384">
          <cell r="F384">
            <v>0</v>
          </cell>
        </row>
        <row r="384">
          <cell r="M384">
            <v>0</v>
          </cell>
          <cell r="N384">
            <v>0</v>
          </cell>
          <cell r="O384">
            <v>3</v>
          </cell>
          <cell r="P384">
            <v>3</v>
          </cell>
          <cell r="Q384">
            <v>3</v>
          </cell>
          <cell r="R384" t="str">
            <v/>
          </cell>
          <cell r="S384">
            <v>1</v>
          </cell>
          <cell r="T384">
            <v>1</v>
          </cell>
          <cell r="U384">
            <v>1</v>
          </cell>
        </row>
        <row r="385">
          <cell r="A385">
            <v>121263</v>
          </cell>
          <cell r="B385">
            <v>121263</v>
          </cell>
          <cell r="C385" t="str">
            <v>小熊玩偶</v>
          </cell>
          <cell r="D385" t="str">
            <v>砂糖玩偶（小熊玩偶）</v>
          </cell>
        </row>
        <row r="385">
          <cell r="F385">
            <v>3</v>
          </cell>
        </row>
        <row r="385">
          <cell r="M385">
            <v>0</v>
          </cell>
          <cell r="N385">
            <v>0</v>
          </cell>
          <cell r="O385">
            <v>3</v>
          </cell>
          <cell r="P385">
            <v>3</v>
          </cell>
          <cell r="Q385">
            <v>3</v>
          </cell>
          <cell r="R385" t="str">
            <v/>
          </cell>
          <cell r="S385">
            <v>1</v>
          </cell>
          <cell r="T385">
            <v>1</v>
          </cell>
          <cell r="U385">
            <v>1</v>
          </cell>
        </row>
        <row r="386">
          <cell r="A386">
            <v>121264</v>
          </cell>
          <cell r="B386">
            <v>121264</v>
          </cell>
          <cell r="C386" t="str">
            <v>脑袋夹子</v>
          </cell>
          <cell r="D386" t="str">
            <v>砂糖玩偶（脑袋夹子）</v>
          </cell>
        </row>
        <row r="386">
          <cell r="F386">
            <v>3</v>
          </cell>
        </row>
        <row r="386">
          <cell r="M386">
            <v>0</v>
          </cell>
          <cell r="N386">
            <v>0</v>
          </cell>
          <cell r="O386">
            <v>3</v>
          </cell>
          <cell r="P386">
            <v>3</v>
          </cell>
          <cell r="Q386">
            <v>3</v>
          </cell>
          <cell r="R386" t="str">
            <v/>
          </cell>
          <cell r="S386">
            <v>1</v>
          </cell>
          <cell r="T386">
            <v>1</v>
          </cell>
          <cell r="U386">
            <v>1</v>
          </cell>
        </row>
        <row r="387">
          <cell r="A387">
            <v>121265</v>
          </cell>
          <cell r="B387">
            <v>121265</v>
          </cell>
          <cell r="C387" t="str">
            <v>脑袋夹子2</v>
          </cell>
          <cell r="D387" t="str">
            <v>砂糖玩偶（脑袋夹子）旧版</v>
          </cell>
        </row>
        <row r="387">
          <cell r="F387">
            <v>3</v>
          </cell>
        </row>
        <row r="387">
          <cell r="M387">
            <v>0</v>
          </cell>
          <cell r="N387">
            <v>0</v>
          </cell>
          <cell r="O387">
            <v>3</v>
          </cell>
          <cell r="P387">
            <v>3</v>
          </cell>
          <cell r="Q387">
            <v>3</v>
          </cell>
          <cell r="R387" t="str">
            <v/>
          </cell>
          <cell r="S387">
            <v>1</v>
          </cell>
          <cell r="T387">
            <v>1</v>
          </cell>
          <cell r="U387">
            <v>1</v>
          </cell>
        </row>
        <row r="388">
          <cell r="A388">
            <v>121266</v>
          </cell>
          <cell r="B388">
            <v>121266</v>
          </cell>
          <cell r="C388" t="str">
            <v>两年后贝拉米</v>
          </cell>
          <cell r="D388" t="str">
            <v>两年后贝拉米</v>
          </cell>
        </row>
        <row r="388">
          <cell r="F388">
            <v>0</v>
          </cell>
        </row>
        <row r="388">
          <cell r="M388">
            <v>0</v>
          </cell>
          <cell r="N388">
            <v>0</v>
          </cell>
          <cell r="O388">
            <v>3</v>
          </cell>
          <cell r="P388">
            <v>3</v>
          </cell>
          <cell r="Q388">
            <v>3</v>
          </cell>
          <cell r="R388" t="str">
            <v/>
          </cell>
          <cell r="S388">
            <v>1</v>
          </cell>
          <cell r="T388">
            <v>1</v>
          </cell>
          <cell r="U388">
            <v>1</v>
          </cell>
        </row>
        <row r="389">
          <cell r="A389">
            <v>121267</v>
          </cell>
          <cell r="B389">
            <v>121267</v>
          </cell>
          <cell r="C389" t="str">
            <v>青椒</v>
          </cell>
          <cell r="D389" t="str">
            <v>青椒（尖头）</v>
          </cell>
        </row>
        <row r="389">
          <cell r="F389">
            <v>0</v>
          </cell>
        </row>
        <row r="389">
          <cell r="M389">
            <v>0</v>
          </cell>
          <cell r="N389">
            <v>0</v>
          </cell>
          <cell r="O389">
            <v>4</v>
          </cell>
          <cell r="P389">
            <v>4</v>
          </cell>
          <cell r="Q389">
            <v>3</v>
          </cell>
          <cell r="R389" t="str">
            <v/>
          </cell>
          <cell r="S389">
            <v>1</v>
          </cell>
          <cell r="T389">
            <v>1</v>
          </cell>
          <cell r="U389">
            <v>1</v>
          </cell>
        </row>
        <row r="390">
          <cell r="A390">
            <v>121268</v>
          </cell>
          <cell r="B390">
            <v>121268</v>
          </cell>
          <cell r="C390" t="str">
            <v>加洛特电球</v>
          </cell>
          <cell r="D390" t="str">
            <v>加洛特电球</v>
          </cell>
        </row>
        <row r="390">
          <cell r="F390">
            <v>3</v>
          </cell>
        </row>
        <row r="390">
          <cell r="M390">
            <v>0</v>
          </cell>
          <cell r="N390">
            <v>0</v>
          </cell>
          <cell r="O390">
            <v>4</v>
          </cell>
          <cell r="P390">
            <v>4</v>
          </cell>
          <cell r="Q390">
            <v>3</v>
          </cell>
          <cell r="R390" t="str">
            <v/>
          </cell>
          <cell r="S390">
            <v>1</v>
          </cell>
          <cell r="T390">
            <v>1</v>
          </cell>
          <cell r="U390">
            <v>1</v>
          </cell>
        </row>
        <row r="391">
          <cell r="A391">
            <v>121269</v>
          </cell>
          <cell r="B391">
            <v>121269</v>
          </cell>
          <cell r="C391" t="str">
            <v>汪达</v>
          </cell>
          <cell r="D391" t="str">
            <v>汪达</v>
          </cell>
        </row>
        <row r="391">
          <cell r="F391">
            <v>1</v>
          </cell>
        </row>
        <row r="391">
          <cell r="M391">
            <v>0</v>
          </cell>
          <cell r="N391">
            <v>0</v>
          </cell>
          <cell r="O391">
            <v>5</v>
          </cell>
          <cell r="P391">
            <v>5</v>
          </cell>
          <cell r="Q391">
            <v>8</v>
          </cell>
          <cell r="R391" t="str">
            <v>默克莫公国</v>
          </cell>
          <cell r="S391">
            <v>1</v>
          </cell>
          <cell r="T391">
            <v>1</v>
          </cell>
          <cell r="U391">
            <v>1</v>
          </cell>
        </row>
        <row r="392">
          <cell r="A392">
            <v>121270</v>
          </cell>
          <cell r="B392">
            <v>121270</v>
          </cell>
          <cell r="C392" t="str">
            <v>纯毛族</v>
          </cell>
          <cell r="D392" t="str">
            <v>毛皮族</v>
          </cell>
        </row>
        <row r="392">
          <cell r="F392">
            <v>0</v>
          </cell>
        </row>
        <row r="392">
          <cell r="M392">
            <v>0</v>
          </cell>
          <cell r="N392">
            <v>0</v>
          </cell>
          <cell r="O392">
            <v>5</v>
          </cell>
          <cell r="P392">
            <v>5</v>
          </cell>
          <cell r="Q392">
            <v>8</v>
          </cell>
          <cell r="R392" t="str">
            <v>默克莫公国</v>
          </cell>
          <cell r="S392">
            <v>1</v>
          </cell>
          <cell r="T392">
            <v>1</v>
          </cell>
          <cell r="U392">
            <v>1</v>
          </cell>
        </row>
        <row r="393">
          <cell r="A393">
            <v>121271</v>
          </cell>
          <cell r="B393">
            <v>121271</v>
          </cell>
          <cell r="C393" t="str">
            <v>纯毛族</v>
          </cell>
          <cell r="D393" t="str">
            <v>毛皮族帽子</v>
          </cell>
        </row>
        <row r="393">
          <cell r="F393">
            <v>0</v>
          </cell>
        </row>
        <row r="393">
          <cell r="M393">
            <v>0</v>
          </cell>
          <cell r="N393">
            <v>0</v>
          </cell>
          <cell r="O393">
            <v>5</v>
          </cell>
          <cell r="P393">
            <v>5</v>
          </cell>
          <cell r="Q393">
            <v>8</v>
          </cell>
          <cell r="R393" t="str">
            <v>默克莫公国</v>
          </cell>
          <cell r="S393">
            <v>1</v>
          </cell>
          <cell r="T393">
            <v>1</v>
          </cell>
          <cell r="U393">
            <v>1</v>
          </cell>
        </row>
        <row r="394">
          <cell r="A394">
            <v>121272</v>
          </cell>
          <cell r="B394">
            <v>121272</v>
          </cell>
          <cell r="C394" t="str">
            <v>罗迪</v>
          </cell>
          <cell r="D394" t="str">
            <v>罗迪</v>
          </cell>
        </row>
        <row r="394">
          <cell r="F394">
            <v>0</v>
          </cell>
        </row>
        <row r="394">
          <cell r="M394">
            <v>0</v>
          </cell>
          <cell r="N394">
            <v>0</v>
          </cell>
          <cell r="O394">
            <v>5</v>
          </cell>
          <cell r="P394">
            <v>5</v>
          </cell>
          <cell r="Q394">
            <v>8</v>
          </cell>
          <cell r="R394" t="str">
            <v>默克莫公国</v>
          </cell>
          <cell r="S394">
            <v>1</v>
          </cell>
          <cell r="T394">
            <v>1</v>
          </cell>
          <cell r="U394">
            <v>1</v>
          </cell>
        </row>
        <row r="395">
          <cell r="A395">
            <v>121273</v>
          </cell>
          <cell r="B395">
            <v>121273</v>
          </cell>
          <cell r="C395" t="str">
            <v>PLEASURES</v>
          </cell>
          <cell r="D395" t="str">
            <v>杰克海盗团海盗1</v>
          </cell>
        </row>
        <row r="395">
          <cell r="F395">
            <v>0</v>
          </cell>
        </row>
        <row r="395">
          <cell r="M395">
            <v>0</v>
          </cell>
          <cell r="N395">
            <v>0</v>
          </cell>
          <cell r="O395">
            <v>5</v>
          </cell>
          <cell r="P395">
            <v>5</v>
          </cell>
          <cell r="Q395">
            <v>3</v>
          </cell>
          <cell r="R395" t="str">
            <v>百兽海盗团</v>
          </cell>
          <cell r="S395">
            <v>1</v>
          </cell>
          <cell r="T395">
            <v>1</v>
          </cell>
          <cell r="U395">
            <v>1</v>
          </cell>
        </row>
        <row r="396">
          <cell r="A396">
            <v>121274</v>
          </cell>
          <cell r="B396">
            <v>121274</v>
          </cell>
          <cell r="C396" t="str">
            <v>GIFTERS</v>
          </cell>
          <cell r="D396" t="str">
            <v>杰克海盗团海盗2</v>
          </cell>
        </row>
        <row r="396">
          <cell r="F396">
            <v>0</v>
          </cell>
        </row>
        <row r="396">
          <cell r="M396">
            <v>0</v>
          </cell>
          <cell r="N396">
            <v>0</v>
          </cell>
          <cell r="O396">
            <v>5</v>
          </cell>
          <cell r="P396">
            <v>5</v>
          </cell>
          <cell r="Q396">
            <v>3</v>
          </cell>
          <cell r="R396" t="str">
            <v>百兽海盗团</v>
          </cell>
          <cell r="S396">
            <v>1</v>
          </cell>
          <cell r="T396">
            <v>1</v>
          </cell>
          <cell r="U396">
            <v>1</v>
          </cell>
        </row>
        <row r="397">
          <cell r="A397">
            <v>121275</v>
          </cell>
          <cell r="B397">
            <v>121275</v>
          </cell>
          <cell r="C397" t="str">
            <v>绵羊头</v>
          </cell>
          <cell r="D397" t="str">
            <v>绵羊头</v>
          </cell>
        </row>
        <row r="397">
          <cell r="F397">
            <v>0</v>
          </cell>
        </row>
        <row r="397">
          <cell r="M397">
            <v>0</v>
          </cell>
          <cell r="N397">
            <v>0</v>
          </cell>
          <cell r="O397">
            <v>5</v>
          </cell>
          <cell r="P397">
            <v>5</v>
          </cell>
          <cell r="Q397">
            <v>3</v>
          </cell>
          <cell r="R397" t="str">
            <v>百兽海盗团</v>
          </cell>
          <cell r="S397">
            <v>1</v>
          </cell>
          <cell r="T397">
            <v>1</v>
          </cell>
          <cell r="U397">
            <v>1</v>
          </cell>
        </row>
        <row r="398">
          <cell r="A398">
            <v>121276</v>
          </cell>
          <cell r="B398">
            <v>121276</v>
          </cell>
          <cell r="C398" t="str">
            <v>卡彭·黑帮·班吉</v>
          </cell>
          <cell r="D398" t="str">
            <v>卡朋贝基</v>
          </cell>
        </row>
        <row r="398">
          <cell r="F398">
            <v>0</v>
          </cell>
        </row>
        <row r="398">
          <cell r="M398">
            <v>0</v>
          </cell>
          <cell r="N398">
            <v>0</v>
          </cell>
          <cell r="O398">
            <v>5</v>
          </cell>
          <cell r="P398">
            <v>5</v>
          </cell>
          <cell r="Q398">
            <v>3</v>
          </cell>
          <cell r="R398" t="str">
            <v>大妈海盗团</v>
          </cell>
          <cell r="S398">
            <v>1</v>
          </cell>
          <cell r="T398">
            <v>1</v>
          </cell>
          <cell r="U398">
            <v>1</v>
          </cell>
        </row>
        <row r="399">
          <cell r="A399">
            <v>121277</v>
          </cell>
          <cell r="B399">
            <v>121277</v>
          </cell>
          <cell r="C399" t="str">
            <v>黑帮</v>
          </cell>
          <cell r="D399" t="str">
            <v>卡朋手下1</v>
          </cell>
        </row>
        <row r="399">
          <cell r="F399">
            <v>0</v>
          </cell>
        </row>
        <row r="399">
          <cell r="M399">
            <v>0</v>
          </cell>
          <cell r="N399">
            <v>0</v>
          </cell>
          <cell r="O399">
            <v>5</v>
          </cell>
          <cell r="P399">
            <v>5</v>
          </cell>
          <cell r="Q399">
            <v>3</v>
          </cell>
          <cell r="R399" t="str">
            <v/>
          </cell>
          <cell r="S399">
            <v>1</v>
          </cell>
          <cell r="T399">
            <v>1</v>
          </cell>
          <cell r="U399">
            <v>1</v>
          </cell>
        </row>
        <row r="400">
          <cell r="A400">
            <v>121278</v>
          </cell>
          <cell r="B400">
            <v>121278</v>
          </cell>
          <cell r="C400" t="str">
            <v>黑帮</v>
          </cell>
          <cell r="D400" t="str">
            <v>卡朋手下2</v>
          </cell>
        </row>
        <row r="400">
          <cell r="F400">
            <v>0</v>
          </cell>
        </row>
        <row r="400">
          <cell r="M400">
            <v>0</v>
          </cell>
          <cell r="N400">
            <v>0</v>
          </cell>
          <cell r="O400">
            <v>5</v>
          </cell>
          <cell r="P400">
            <v>5</v>
          </cell>
          <cell r="Q400">
            <v>3</v>
          </cell>
          <cell r="R400" t="str">
            <v/>
          </cell>
          <cell r="S400">
            <v>1</v>
          </cell>
          <cell r="T400">
            <v>1</v>
          </cell>
          <cell r="U400">
            <v>1</v>
          </cell>
        </row>
        <row r="401">
          <cell r="A401">
            <v>121279</v>
          </cell>
          <cell r="B401">
            <v>121279</v>
          </cell>
          <cell r="C401" t="str">
            <v>杰克</v>
          </cell>
          <cell r="D401" t="str">
            <v>杰克</v>
          </cell>
        </row>
        <row r="401">
          <cell r="F401">
            <v>0</v>
          </cell>
        </row>
        <row r="401">
          <cell r="M401">
            <v>0</v>
          </cell>
          <cell r="N401">
            <v>0</v>
          </cell>
          <cell r="O401">
            <v>5</v>
          </cell>
          <cell r="P401">
            <v>5</v>
          </cell>
          <cell r="Q401">
            <v>3</v>
          </cell>
          <cell r="R401" t="str">
            <v>百兽海盗团</v>
          </cell>
          <cell r="S401">
            <v>1</v>
          </cell>
          <cell r="T401">
            <v>1</v>
          </cell>
          <cell r="U401">
            <v>1</v>
          </cell>
        </row>
        <row r="402">
          <cell r="A402">
            <v>121280</v>
          </cell>
          <cell r="B402">
            <v>121280</v>
          </cell>
          <cell r="C402" t="str">
            <v>杰克</v>
          </cell>
          <cell r="D402" t="str">
            <v>杰克象形态</v>
          </cell>
        </row>
        <row r="402">
          <cell r="F402">
            <v>0</v>
          </cell>
        </row>
        <row r="402">
          <cell r="M402">
            <v>0</v>
          </cell>
          <cell r="N402">
            <v>0</v>
          </cell>
          <cell r="O402">
            <v>5</v>
          </cell>
          <cell r="P402">
            <v>5</v>
          </cell>
          <cell r="Q402">
            <v>3</v>
          </cell>
          <cell r="R402" t="str">
            <v>百兽海盗团</v>
          </cell>
          <cell r="S402">
            <v>1</v>
          </cell>
          <cell r="T402">
            <v>1</v>
          </cell>
          <cell r="U402">
            <v>1</v>
          </cell>
        </row>
        <row r="403">
          <cell r="A403">
            <v>121281</v>
          </cell>
          <cell r="B403">
            <v>121281</v>
          </cell>
          <cell r="C403" t="str">
            <v>凯罗特</v>
          </cell>
          <cell r="D403" t="str">
            <v>凯罗特</v>
          </cell>
        </row>
        <row r="403">
          <cell r="F403">
            <v>1</v>
          </cell>
        </row>
        <row r="403">
          <cell r="M403">
            <v>0</v>
          </cell>
          <cell r="N403">
            <v>0</v>
          </cell>
          <cell r="O403">
            <v>5</v>
          </cell>
          <cell r="P403">
            <v>5</v>
          </cell>
          <cell r="Q403">
            <v>8</v>
          </cell>
          <cell r="R403" t="str">
            <v>默克莫公国</v>
          </cell>
          <cell r="S403">
            <v>1</v>
          </cell>
          <cell r="T403">
            <v>1</v>
          </cell>
          <cell r="U403">
            <v>1</v>
          </cell>
        </row>
        <row r="404">
          <cell r="A404">
            <v>121282</v>
          </cell>
          <cell r="B404">
            <v>121282</v>
          </cell>
          <cell r="C404" t="str">
            <v>佩罗娜幽灵</v>
          </cell>
          <cell r="D404" t="str">
            <v>佩罗娜幽灵</v>
          </cell>
        </row>
        <row r="404">
          <cell r="F404">
            <v>3</v>
          </cell>
        </row>
        <row r="404">
          <cell r="M404">
            <v>0</v>
          </cell>
          <cell r="N404">
            <v>0</v>
          </cell>
          <cell r="O404">
            <v>4</v>
          </cell>
          <cell r="P404">
            <v>4</v>
          </cell>
          <cell r="Q404">
            <v>3</v>
          </cell>
          <cell r="R404" t="str">
            <v/>
          </cell>
          <cell r="S404">
            <v>1</v>
          </cell>
          <cell r="T404">
            <v>1</v>
          </cell>
          <cell r="U404">
            <v>1</v>
          </cell>
        </row>
        <row r="405">
          <cell r="A405">
            <v>121283</v>
          </cell>
          <cell r="B405">
            <v>121283</v>
          </cell>
          <cell r="C405" t="str">
            <v>丽久</v>
          </cell>
          <cell r="D405" t="str">
            <v>布玲挑战</v>
          </cell>
        </row>
        <row r="405">
          <cell r="F405">
            <v>1</v>
          </cell>
          <cell r="G405" t="str">
            <v>温思默克家族的长女，个人很喜欢毒素，拥有化解中毒的能力。</v>
          </cell>
          <cell r="H405" t="str">
            <v>杰尔马王国的公主，山智的姐姐。\n大方得体、举止优雅、善于交际、有礼貌。\n擅长使用剧毒，爆发出大量毒伤害。</v>
          </cell>
          <cell r="I405" t="str">
            <v>攻击辅助</v>
          </cell>
          <cell r="J405" t="str">
            <v>对位优先</v>
          </cell>
          <cell r="K405" t="str">
            <v>无</v>
          </cell>
          <cell r="L405" t="str">
            <v>800,801</v>
          </cell>
          <cell r="M405">
            <v>0</v>
          </cell>
          <cell r="N405">
            <v>0</v>
          </cell>
          <cell r="O405">
            <v>2</v>
          </cell>
          <cell r="P405">
            <v>2</v>
          </cell>
          <cell r="Q405">
            <v>8</v>
          </cell>
          <cell r="R405" t="str">
            <v>温思默克家族</v>
          </cell>
          <cell r="S405">
            <v>3</v>
          </cell>
          <cell r="T405">
            <v>8</v>
          </cell>
          <cell r="U405">
            <v>3</v>
          </cell>
        </row>
        <row r="406">
          <cell r="A406">
            <v>121284</v>
          </cell>
          <cell r="B406">
            <v>121284</v>
          </cell>
          <cell r="C406" t="str">
            <v>新世界山智</v>
          </cell>
          <cell r="D406" t="str">
            <v>布玲挑战</v>
          </cell>
        </row>
        <row r="406">
          <cell r="F406">
            <v>0</v>
          </cell>
          <cell r="G406" t="str">
            <v>践行着骑士精神的绅士，两年后的他尤为擅长见闻色霸气，拥有不凡的实力。</v>
          </cell>
          <cell r="H406" t="str">
            <v>草帽海盗团的厨师，有“黑足”的称号。\n温柔冷静，信赖着伙伴们。\n爆发能力出众，拥有独特的生存能力。</v>
          </cell>
          <cell r="I406" t="str">
            <v>单点爆发</v>
          </cell>
          <cell r="J406" t="str">
            <v>对位优先</v>
          </cell>
          <cell r="K406" t="str">
            <v>无</v>
          </cell>
          <cell r="L406" t="str">
            <v>659,660</v>
          </cell>
          <cell r="M406">
            <v>0</v>
          </cell>
          <cell r="N406">
            <v>0</v>
          </cell>
          <cell r="O406">
            <v>4</v>
          </cell>
          <cell r="P406">
            <v>4</v>
          </cell>
          <cell r="Q406">
            <v>1</v>
          </cell>
          <cell r="R406" t="str">
            <v>草帽海盗团</v>
          </cell>
          <cell r="S406">
            <v>3</v>
          </cell>
          <cell r="T406">
            <v>8</v>
          </cell>
          <cell r="U406">
            <v>3</v>
          </cell>
        </row>
        <row r="407">
          <cell r="A407">
            <v>121285</v>
          </cell>
          <cell r="B407">
            <v>121285</v>
          </cell>
          <cell r="C407" t="str">
            <v>卡塔库栗</v>
          </cell>
          <cell r="D407" t="str">
            <v>布玲挑战</v>
          </cell>
        </row>
        <row r="407">
          <cell r="F407">
            <v>0</v>
          </cell>
          <cell r="G407" t="str">
            <v>超人系糯糯之果能力者，被誉为夏洛特家族的最高杰作，在家族里深受弟弟妹妹们的爱戴和崇拜。</v>
          </cell>
          <cell r="H407" t="str">
            <v>夏洛特家族次子，非常擅长见闻色霸气。\n智勇双全，沉着冷静。\n拥有较强的生存能力，且能造成不俗的伤害。</v>
          </cell>
          <cell r="I407" t="str">
            <v>攻守平衡</v>
          </cell>
          <cell r="J407" t="str">
            <v>前排优先</v>
          </cell>
          <cell r="K407" t="str">
            <v>糯糯之果</v>
          </cell>
          <cell r="L407" t="str">
            <v>693,694</v>
          </cell>
          <cell r="M407">
            <v>0</v>
          </cell>
          <cell r="N407">
            <v>0</v>
          </cell>
          <cell r="O407">
            <v>3</v>
          </cell>
          <cell r="P407">
            <v>3</v>
          </cell>
          <cell r="Q407">
            <v>3</v>
          </cell>
          <cell r="R407" t="str">
            <v>大妈海盗团</v>
          </cell>
          <cell r="S407">
            <v>3</v>
          </cell>
          <cell r="T407">
            <v>8</v>
          </cell>
          <cell r="U407">
            <v>3</v>
          </cell>
        </row>
        <row r="408">
          <cell r="A408">
            <v>121286</v>
          </cell>
          <cell r="B408">
            <v>121286</v>
          </cell>
          <cell r="C408" t="str">
            <v>苏打饼</v>
          </cell>
          <cell r="D408" t="str">
            <v>布玲挑战</v>
          </cell>
        </row>
        <row r="408">
          <cell r="F408">
            <v>0</v>
          </cell>
          <cell r="G408" t="str">
            <v>BIGMOM海盗团“甜点三将星”之一，饼干果实能力者，被称为“饼干骑士”。</v>
          </cell>
          <cell r="H408" t="str">
            <v>夏洛特家族第十子，饼干大臣。\n最高干部三将星之一，实力非常强大。\n可召唤饼干士兵帮助战斗。</v>
          </cell>
          <cell r="I408" t="str">
            <v>攻守平衡</v>
          </cell>
          <cell r="J408" t="str">
            <v>前排优先</v>
          </cell>
          <cell r="K408" t="str">
            <v>饼干之果</v>
          </cell>
          <cell r="L408" t="str">
            <v>739,744</v>
          </cell>
          <cell r="M408">
            <v>0</v>
          </cell>
          <cell r="N408">
            <v>0</v>
          </cell>
          <cell r="O408">
            <v>3</v>
          </cell>
          <cell r="P408">
            <v>3</v>
          </cell>
          <cell r="Q408">
            <v>3</v>
          </cell>
          <cell r="R408" t="str">
            <v>大妈海盗团</v>
          </cell>
          <cell r="S408">
            <v>3</v>
          </cell>
          <cell r="T408">
            <v>8</v>
          </cell>
          <cell r="U408">
            <v>3</v>
          </cell>
        </row>
        <row r="409">
          <cell r="A409">
            <v>121287</v>
          </cell>
          <cell r="B409">
            <v>121287</v>
          </cell>
          <cell r="C409" t="str">
            <v>奶昔</v>
          </cell>
          <cell r="D409" t="str">
            <v>布玲挑战</v>
          </cell>
        </row>
        <row r="409">
          <cell r="F409">
            <v>1</v>
          </cell>
          <cell r="G409" t="str">
            <v>四皇“BIGMOM”夏洛特·玲玲的第14个女儿，托特兰王国的果汁大臣。</v>
          </cell>
          <cell r="H409" t="str">
            <v>夏洛特家族第14女，“甜点三将星”之一。\n出手冷酷，责任心强。\n能够榨出敌方体内的水分。</v>
          </cell>
          <cell r="I409" t="str">
            <v>持续输出</v>
          </cell>
          <cell r="J409" t="str">
            <v>前排优先</v>
          </cell>
          <cell r="K409" t="str">
            <v>榨榨之果</v>
          </cell>
          <cell r="L409" t="str">
            <v>751,752</v>
          </cell>
          <cell r="M409">
            <v>0</v>
          </cell>
          <cell r="N409">
            <v>0</v>
          </cell>
          <cell r="O409">
            <v>3</v>
          </cell>
          <cell r="P409">
            <v>3</v>
          </cell>
          <cell r="Q409">
            <v>3</v>
          </cell>
          <cell r="R409" t="str">
            <v>大妈海盗团</v>
          </cell>
          <cell r="S409">
            <v>3</v>
          </cell>
          <cell r="T409">
            <v>8</v>
          </cell>
          <cell r="U409">
            <v>3</v>
          </cell>
        </row>
        <row r="410">
          <cell r="A410">
            <v>121288</v>
          </cell>
          <cell r="B410">
            <v>121288</v>
          </cell>
          <cell r="C410" t="str">
            <v>夏洛特·玲玲</v>
          </cell>
          <cell r="D410" t="str">
            <v>布玲挑战</v>
          </cell>
        </row>
        <row r="410">
          <cell r="F410">
            <v>1</v>
          </cell>
          <cell r="G410" t="str">
            <v>BIGMOM海盗团的船长，实力强如怪物，被称为“天生破坏者”。</v>
          </cell>
          <cell r="H410" t="str">
            <v>新世界的“四皇”之一。\n身材高大，体型肥胖，极度的嗜吃甜食。\n进攻和防守能力都很恐怖。</v>
          </cell>
          <cell r="I410" t="str">
            <v>攻守平衡</v>
          </cell>
          <cell r="J410" t="str">
            <v>前排优先</v>
          </cell>
          <cell r="K410" t="str">
            <v>魂魂之果</v>
          </cell>
          <cell r="L410" t="str">
            <v>735,731</v>
          </cell>
          <cell r="M410">
            <v>0</v>
          </cell>
          <cell r="N410">
            <v>0</v>
          </cell>
          <cell r="O410">
            <v>3</v>
          </cell>
          <cell r="P410">
            <v>3</v>
          </cell>
          <cell r="Q410">
            <v>3</v>
          </cell>
          <cell r="R410" t="str">
            <v>大妈海盗团</v>
          </cell>
          <cell r="S410">
            <v>3</v>
          </cell>
          <cell r="T410">
            <v>8</v>
          </cell>
          <cell r="U410">
            <v>3</v>
          </cell>
        </row>
        <row r="411">
          <cell r="A411">
            <v>121289</v>
          </cell>
          <cell r="B411">
            <v>121289</v>
          </cell>
          <cell r="C411" t="str">
            <v>兰德鲁夫</v>
          </cell>
        </row>
        <row r="411">
          <cell r="F411">
            <v>0</v>
          </cell>
        </row>
        <row r="411">
          <cell r="M411">
            <v>0</v>
          </cell>
          <cell r="N411">
            <v>0</v>
          </cell>
          <cell r="O411">
            <v>4</v>
          </cell>
          <cell r="P411">
            <v>4</v>
          </cell>
          <cell r="Q411">
            <v>3</v>
          </cell>
          <cell r="R411" t="str">
            <v>大妈海盗团</v>
          </cell>
          <cell r="S411">
            <v>1</v>
          </cell>
          <cell r="T411" t="str">
            <v>1</v>
          </cell>
          <cell r="U411" t="str">
            <v>1</v>
          </cell>
        </row>
        <row r="412">
          <cell r="A412">
            <v>121290</v>
          </cell>
          <cell r="B412">
            <v>121290</v>
          </cell>
          <cell r="C412" t="str">
            <v>黄油饼干</v>
          </cell>
        </row>
        <row r="412">
          <cell r="F412">
            <v>1</v>
          </cell>
        </row>
        <row r="412">
          <cell r="M412">
            <v>0</v>
          </cell>
          <cell r="N412">
            <v>0</v>
          </cell>
          <cell r="O412">
            <v>4</v>
          </cell>
          <cell r="P412">
            <v>4</v>
          </cell>
          <cell r="Q412">
            <v>3</v>
          </cell>
          <cell r="R412" t="str">
            <v>大妈海盗团</v>
          </cell>
          <cell r="S412">
            <v>1</v>
          </cell>
          <cell r="T412" t="str">
            <v>1</v>
          </cell>
          <cell r="U412" t="str">
            <v>1</v>
          </cell>
        </row>
        <row r="413">
          <cell r="A413">
            <v>121291</v>
          </cell>
          <cell r="B413">
            <v>121291</v>
          </cell>
          <cell r="C413" t="str">
            <v>一智</v>
          </cell>
        </row>
        <row r="413">
          <cell r="F413">
            <v>0</v>
          </cell>
        </row>
        <row r="413">
          <cell r="M413">
            <v>0</v>
          </cell>
          <cell r="N413">
            <v>0</v>
          </cell>
          <cell r="O413">
            <v>4</v>
          </cell>
          <cell r="P413">
            <v>4</v>
          </cell>
          <cell r="Q413">
            <v>3</v>
          </cell>
          <cell r="R413" t="str">
            <v>大妈海盗团</v>
          </cell>
          <cell r="S413">
            <v>1</v>
          </cell>
          <cell r="T413" t="str">
            <v>1</v>
          </cell>
          <cell r="U413" t="str">
            <v>1</v>
          </cell>
        </row>
        <row r="414">
          <cell r="A414">
            <v>121292</v>
          </cell>
          <cell r="B414">
            <v>121292</v>
          </cell>
          <cell r="C414" t="str">
            <v>尼智</v>
          </cell>
        </row>
        <row r="414">
          <cell r="F414">
            <v>0</v>
          </cell>
        </row>
        <row r="414">
          <cell r="M414">
            <v>0</v>
          </cell>
          <cell r="N414">
            <v>0</v>
          </cell>
          <cell r="O414">
            <v>4</v>
          </cell>
          <cell r="P414">
            <v>4</v>
          </cell>
          <cell r="Q414">
            <v>3</v>
          </cell>
          <cell r="R414" t="str">
            <v>大妈海盗团</v>
          </cell>
          <cell r="S414">
            <v>1</v>
          </cell>
          <cell r="T414" t="str">
            <v>1</v>
          </cell>
          <cell r="U414" t="str">
            <v>1</v>
          </cell>
        </row>
        <row r="415">
          <cell r="A415">
            <v>121293</v>
          </cell>
          <cell r="B415">
            <v>121293</v>
          </cell>
          <cell r="C415" t="str">
            <v>勇智</v>
          </cell>
        </row>
        <row r="415">
          <cell r="F415">
            <v>0</v>
          </cell>
        </row>
        <row r="415">
          <cell r="M415">
            <v>0</v>
          </cell>
          <cell r="N415">
            <v>0</v>
          </cell>
          <cell r="O415">
            <v>4</v>
          </cell>
          <cell r="P415">
            <v>4</v>
          </cell>
          <cell r="Q415">
            <v>3</v>
          </cell>
          <cell r="R415" t="str">
            <v>大妈海盗团</v>
          </cell>
          <cell r="S415">
            <v>1</v>
          </cell>
          <cell r="T415" t="str">
            <v>1</v>
          </cell>
          <cell r="U415" t="str">
            <v>1</v>
          </cell>
        </row>
        <row r="416">
          <cell r="A416">
            <v>121294</v>
          </cell>
          <cell r="B416">
            <v>121294</v>
          </cell>
          <cell r="C416" t="str">
            <v>伽智</v>
          </cell>
        </row>
        <row r="416">
          <cell r="F416">
            <v>0</v>
          </cell>
        </row>
        <row r="416">
          <cell r="M416">
            <v>0</v>
          </cell>
          <cell r="N416">
            <v>0</v>
          </cell>
          <cell r="O416">
            <v>4</v>
          </cell>
          <cell r="P416">
            <v>4</v>
          </cell>
          <cell r="Q416">
            <v>3</v>
          </cell>
          <cell r="R416" t="str">
            <v>大妈海盗团</v>
          </cell>
          <cell r="S416">
            <v>1</v>
          </cell>
          <cell r="T416" t="str">
            <v>1</v>
          </cell>
          <cell r="U416" t="str">
            <v>1</v>
          </cell>
        </row>
        <row r="417">
          <cell r="A417">
            <v>121295</v>
          </cell>
          <cell r="B417">
            <v>121295</v>
          </cell>
          <cell r="C417" t="str">
            <v>象棋兵-刀</v>
          </cell>
        </row>
        <row r="417">
          <cell r="F417">
            <v>3</v>
          </cell>
        </row>
        <row r="417">
          <cell r="M417">
            <v>0</v>
          </cell>
          <cell r="N417">
            <v>0</v>
          </cell>
          <cell r="O417">
            <v>4</v>
          </cell>
          <cell r="P417">
            <v>4</v>
          </cell>
          <cell r="Q417">
            <v>3</v>
          </cell>
          <cell r="R417" t="str">
            <v>大妈海盗团</v>
          </cell>
          <cell r="S417">
            <v>1</v>
          </cell>
          <cell r="T417" t="str">
            <v>1</v>
          </cell>
          <cell r="U417" t="str">
            <v>1</v>
          </cell>
        </row>
        <row r="418">
          <cell r="A418">
            <v>121296</v>
          </cell>
          <cell r="B418">
            <v>121296</v>
          </cell>
          <cell r="C418" t="str">
            <v>象棋兵-矛</v>
          </cell>
        </row>
        <row r="418">
          <cell r="F418">
            <v>3</v>
          </cell>
        </row>
        <row r="418">
          <cell r="M418">
            <v>0</v>
          </cell>
          <cell r="N418">
            <v>0</v>
          </cell>
          <cell r="O418">
            <v>4</v>
          </cell>
          <cell r="P418">
            <v>4</v>
          </cell>
          <cell r="Q418">
            <v>3</v>
          </cell>
          <cell r="R418" t="str">
            <v>大妈海盗团</v>
          </cell>
          <cell r="S418">
            <v>1</v>
          </cell>
          <cell r="T418" t="str">
            <v>1</v>
          </cell>
          <cell r="U418" t="str">
            <v>1</v>
          </cell>
        </row>
        <row r="419">
          <cell r="A419">
            <v>121297</v>
          </cell>
          <cell r="B419">
            <v>121297</v>
          </cell>
          <cell r="C419" t="str">
            <v>象棋兵-剑</v>
          </cell>
        </row>
        <row r="419">
          <cell r="F419">
            <v>3</v>
          </cell>
        </row>
        <row r="419">
          <cell r="M419">
            <v>0</v>
          </cell>
          <cell r="N419">
            <v>0</v>
          </cell>
          <cell r="O419">
            <v>4</v>
          </cell>
          <cell r="P419">
            <v>4</v>
          </cell>
          <cell r="Q419">
            <v>3</v>
          </cell>
          <cell r="R419" t="str">
            <v>大妈海盗团</v>
          </cell>
          <cell r="S419">
            <v>1</v>
          </cell>
          <cell r="T419" t="str">
            <v>1</v>
          </cell>
          <cell r="U419" t="str">
            <v>1</v>
          </cell>
        </row>
        <row r="420">
          <cell r="A420">
            <v>121298</v>
          </cell>
          <cell r="B420">
            <v>121298</v>
          </cell>
          <cell r="C420" t="str">
            <v>象棋兵-弓</v>
          </cell>
        </row>
        <row r="420">
          <cell r="F420">
            <v>3</v>
          </cell>
        </row>
        <row r="420">
          <cell r="M420">
            <v>0</v>
          </cell>
          <cell r="N420">
            <v>0</v>
          </cell>
          <cell r="O420">
            <v>4</v>
          </cell>
          <cell r="P420">
            <v>4</v>
          </cell>
          <cell r="Q420">
            <v>3</v>
          </cell>
          <cell r="R420" t="str">
            <v>大妈海盗团</v>
          </cell>
          <cell r="S420">
            <v>1</v>
          </cell>
          <cell r="T420" t="str">
            <v>1</v>
          </cell>
          <cell r="U420" t="str">
            <v>1</v>
          </cell>
        </row>
        <row r="421">
          <cell r="A421">
            <v>121299</v>
          </cell>
          <cell r="B421">
            <v>121299</v>
          </cell>
          <cell r="C421" t="str">
            <v>象棋兵-枪</v>
          </cell>
        </row>
        <row r="421">
          <cell r="F421">
            <v>3</v>
          </cell>
        </row>
        <row r="421">
          <cell r="M421">
            <v>0</v>
          </cell>
          <cell r="N421">
            <v>0</v>
          </cell>
          <cell r="O421">
            <v>4</v>
          </cell>
          <cell r="P421">
            <v>4</v>
          </cell>
          <cell r="Q421">
            <v>3</v>
          </cell>
          <cell r="R421" t="str">
            <v>大妈海盗团</v>
          </cell>
          <cell r="S421">
            <v>1</v>
          </cell>
          <cell r="T421" t="str">
            <v>1</v>
          </cell>
          <cell r="U421" t="str">
            <v>1</v>
          </cell>
        </row>
        <row r="422">
          <cell r="A422">
            <v>121300</v>
          </cell>
          <cell r="B422">
            <v>121300</v>
          </cell>
          <cell r="C422" t="str">
            <v>象棋兵-双刀</v>
          </cell>
        </row>
        <row r="422">
          <cell r="F422">
            <v>3</v>
          </cell>
        </row>
        <row r="422">
          <cell r="M422">
            <v>0</v>
          </cell>
          <cell r="N422">
            <v>0</v>
          </cell>
          <cell r="O422">
            <v>4</v>
          </cell>
          <cell r="P422">
            <v>4</v>
          </cell>
          <cell r="Q422">
            <v>3</v>
          </cell>
          <cell r="R422" t="str">
            <v>大妈海盗团</v>
          </cell>
          <cell r="S422">
            <v>1</v>
          </cell>
          <cell r="T422" t="str">
            <v>1</v>
          </cell>
          <cell r="U422" t="str">
            <v>1</v>
          </cell>
        </row>
        <row r="423">
          <cell r="A423">
            <v>121301</v>
          </cell>
          <cell r="B423">
            <v>121301</v>
          </cell>
          <cell r="C423" t="str">
            <v>霍姆斯-甜甜圈</v>
          </cell>
        </row>
        <row r="423">
          <cell r="F423">
            <v>3</v>
          </cell>
        </row>
        <row r="423">
          <cell r="M423">
            <v>0</v>
          </cell>
          <cell r="N423">
            <v>0</v>
          </cell>
          <cell r="O423">
            <v>4</v>
          </cell>
          <cell r="P423">
            <v>4</v>
          </cell>
          <cell r="Q423">
            <v>3</v>
          </cell>
          <cell r="R423" t="str">
            <v>大妈海盗团</v>
          </cell>
          <cell r="S423">
            <v>1</v>
          </cell>
          <cell r="T423" t="str">
            <v>1</v>
          </cell>
          <cell r="U423" t="str">
            <v>1</v>
          </cell>
        </row>
        <row r="424">
          <cell r="A424">
            <v>121302</v>
          </cell>
          <cell r="B424">
            <v>121302</v>
          </cell>
          <cell r="C424" t="str">
            <v>霍姆斯-蛋糕</v>
          </cell>
        </row>
        <row r="424">
          <cell r="F424">
            <v>3</v>
          </cell>
        </row>
        <row r="424">
          <cell r="M424">
            <v>0</v>
          </cell>
          <cell r="N424">
            <v>0</v>
          </cell>
          <cell r="O424">
            <v>4</v>
          </cell>
          <cell r="P424">
            <v>4</v>
          </cell>
          <cell r="Q424">
            <v>3</v>
          </cell>
          <cell r="R424" t="str">
            <v>大妈海盗团</v>
          </cell>
          <cell r="S424">
            <v>1</v>
          </cell>
          <cell r="T424" t="str">
            <v>1</v>
          </cell>
          <cell r="U424" t="str">
            <v>1</v>
          </cell>
        </row>
        <row r="425">
          <cell r="A425">
            <v>121303</v>
          </cell>
          <cell r="B425">
            <v>121303</v>
          </cell>
          <cell r="C425" t="str">
            <v>霍姆斯-甜筒</v>
          </cell>
        </row>
        <row r="425">
          <cell r="F425">
            <v>3</v>
          </cell>
        </row>
        <row r="425">
          <cell r="M425">
            <v>0</v>
          </cell>
          <cell r="N425">
            <v>0</v>
          </cell>
          <cell r="O425">
            <v>4</v>
          </cell>
          <cell r="P425">
            <v>4</v>
          </cell>
          <cell r="Q425">
            <v>3</v>
          </cell>
          <cell r="R425" t="str">
            <v>大妈海盗团</v>
          </cell>
          <cell r="S425">
            <v>1</v>
          </cell>
          <cell r="T425" t="str">
            <v>1</v>
          </cell>
          <cell r="U425" t="str">
            <v>1</v>
          </cell>
        </row>
        <row r="426">
          <cell r="A426">
            <v>121304</v>
          </cell>
          <cell r="B426">
            <v>121304</v>
          </cell>
          <cell r="C426" t="str">
            <v>霍姆斯-布丁</v>
          </cell>
        </row>
        <row r="426">
          <cell r="F426">
            <v>3</v>
          </cell>
        </row>
        <row r="426">
          <cell r="M426">
            <v>0</v>
          </cell>
          <cell r="N426">
            <v>0</v>
          </cell>
          <cell r="O426">
            <v>4</v>
          </cell>
          <cell r="P426">
            <v>4</v>
          </cell>
          <cell r="Q426">
            <v>3</v>
          </cell>
          <cell r="R426" t="str">
            <v>大妈海盗团</v>
          </cell>
          <cell r="S426">
            <v>1</v>
          </cell>
          <cell r="T426" t="str">
            <v>1</v>
          </cell>
          <cell r="U426" t="str">
            <v>1</v>
          </cell>
        </row>
        <row r="427">
          <cell r="A427">
            <v>121305</v>
          </cell>
          <cell r="B427">
            <v>121305</v>
          </cell>
          <cell r="C427" t="str">
            <v>夏洛特欧培拉</v>
          </cell>
        </row>
        <row r="427">
          <cell r="F427">
            <v>0</v>
          </cell>
        </row>
        <row r="427">
          <cell r="M427">
            <v>0</v>
          </cell>
          <cell r="N427">
            <v>0</v>
          </cell>
          <cell r="O427">
            <v>4</v>
          </cell>
          <cell r="P427">
            <v>4</v>
          </cell>
          <cell r="Q427">
            <v>3</v>
          </cell>
          <cell r="R427" t="str">
            <v>大妈海盗团</v>
          </cell>
          <cell r="S427">
            <v>1</v>
          </cell>
          <cell r="T427" t="str">
            <v>1</v>
          </cell>
          <cell r="U427" t="str">
            <v>1</v>
          </cell>
        </row>
        <row r="428">
          <cell r="A428">
            <v>121306</v>
          </cell>
          <cell r="B428">
            <v>121306</v>
          </cell>
          <cell r="C428" t="str">
            <v>夏洛特蒙道尔</v>
          </cell>
        </row>
        <row r="428">
          <cell r="F428">
            <v>0</v>
          </cell>
        </row>
        <row r="428">
          <cell r="M428">
            <v>0</v>
          </cell>
          <cell r="N428">
            <v>0</v>
          </cell>
          <cell r="O428">
            <v>4</v>
          </cell>
          <cell r="P428">
            <v>4</v>
          </cell>
          <cell r="Q428">
            <v>3</v>
          </cell>
          <cell r="R428" t="str">
            <v>大妈海盗团</v>
          </cell>
          <cell r="S428">
            <v>1</v>
          </cell>
          <cell r="T428" t="str">
            <v>1</v>
          </cell>
          <cell r="U428" t="str">
            <v>1</v>
          </cell>
        </row>
        <row r="429">
          <cell r="A429">
            <v>121307</v>
          </cell>
          <cell r="B429">
            <v>121307</v>
          </cell>
          <cell r="C429" t="str">
            <v>佩罗斯佩罗</v>
          </cell>
        </row>
        <row r="429">
          <cell r="F429">
            <v>0</v>
          </cell>
        </row>
        <row r="429">
          <cell r="M429">
            <v>0</v>
          </cell>
          <cell r="N429">
            <v>0</v>
          </cell>
          <cell r="O429">
            <v>4</v>
          </cell>
          <cell r="P429">
            <v>4</v>
          </cell>
          <cell r="Q429">
            <v>3</v>
          </cell>
          <cell r="R429" t="str">
            <v>大妈海盗团</v>
          </cell>
          <cell r="S429">
            <v>1</v>
          </cell>
          <cell r="T429" t="str">
            <v>1</v>
          </cell>
          <cell r="U429" t="str">
            <v>1</v>
          </cell>
        </row>
        <row r="430">
          <cell r="A430">
            <v>121308</v>
          </cell>
          <cell r="B430">
            <v>121308</v>
          </cell>
          <cell r="C430" t="str">
            <v>烤布丁</v>
          </cell>
        </row>
        <row r="430">
          <cell r="F430">
            <v>1</v>
          </cell>
        </row>
        <row r="430">
          <cell r="M430">
            <v>0</v>
          </cell>
          <cell r="N430">
            <v>0</v>
          </cell>
          <cell r="O430">
            <v>4</v>
          </cell>
          <cell r="P430">
            <v>4</v>
          </cell>
          <cell r="Q430">
            <v>3</v>
          </cell>
          <cell r="R430" t="str">
            <v>大妈海盗团</v>
          </cell>
          <cell r="S430">
            <v>1</v>
          </cell>
          <cell r="T430" t="str">
            <v>1</v>
          </cell>
          <cell r="U430" t="str">
            <v>1</v>
          </cell>
        </row>
        <row r="431">
          <cell r="A431">
            <v>121309</v>
          </cell>
          <cell r="B431">
            <v>121309</v>
          </cell>
          <cell r="C431" t="str">
            <v>新世界路飞</v>
          </cell>
        </row>
        <row r="431">
          <cell r="F431">
            <v>0</v>
          </cell>
          <cell r="G431" t="str">
            <v>超人系橡胶之果能力者，梦想是找到传说中的OnePiece，成为海盗王！</v>
          </cell>
          <cell r="H431" t="str">
            <v>草帽海盗团的船长，十分重视伙伴。\n经过两年的修行，开发出新招式“四档”。\n进入“四档”时，能力大幅提升。</v>
          </cell>
          <cell r="I431" t="str">
            <v>攻守平衡</v>
          </cell>
          <cell r="J431" t="str">
            <v>前排优先</v>
          </cell>
          <cell r="K431" t="str">
            <v>橡皮之果</v>
          </cell>
          <cell r="L431" t="str">
            <v>616,617</v>
          </cell>
          <cell r="M431">
            <v>0</v>
          </cell>
          <cell r="N431">
            <v>0</v>
          </cell>
          <cell r="O431">
            <v>3</v>
          </cell>
          <cell r="P431">
            <v>3</v>
          </cell>
          <cell r="Q431">
            <v>1</v>
          </cell>
          <cell r="R431" t="str">
            <v>草帽海盗团</v>
          </cell>
          <cell r="S431">
            <v>3</v>
          </cell>
          <cell r="T431">
            <v>8</v>
          </cell>
          <cell r="U431">
            <v>3</v>
          </cell>
        </row>
        <row r="432">
          <cell r="A432">
            <v>121310</v>
          </cell>
          <cell r="B432">
            <v>121310</v>
          </cell>
          <cell r="C432" t="str">
            <v>苏打饼</v>
          </cell>
        </row>
        <row r="432">
          <cell r="F432">
            <v>0</v>
          </cell>
          <cell r="G432" t="str">
            <v>BIGMOM海盗团“甜点三将星”之一，饼干果实能力者，被称为“饼干骑士”。</v>
          </cell>
          <cell r="H432" t="str">
            <v>夏洛特家族第十子，饼干大臣。\n最高干部三将星之一，实力非常强大。\n可召唤饼干士兵帮助战斗。</v>
          </cell>
          <cell r="I432" t="str">
            <v>攻守平衡</v>
          </cell>
          <cell r="J432" t="str">
            <v>前排优先</v>
          </cell>
          <cell r="K432" t="str">
            <v>饼干之果</v>
          </cell>
          <cell r="L432" t="str">
            <v>739,744</v>
          </cell>
          <cell r="M432">
            <v>0</v>
          </cell>
          <cell r="N432">
            <v>0</v>
          </cell>
          <cell r="O432">
            <v>3</v>
          </cell>
          <cell r="P432">
            <v>3</v>
          </cell>
          <cell r="Q432">
            <v>3</v>
          </cell>
          <cell r="R432" t="str">
            <v>大妈海盗团</v>
          </cell>
          <cell r="S432">
            <v>3</v>
          </cell>
          <cell r="T432">
            <v>8</v>
          </cell>
          <cell r="U432">
            <v>3</v>
          </cell>
        </row>
        <row r="433">
          <cell r="A433">
            <v>121311</v>
          </cell>
          <cell r="B433">
            <v>121311</v>
          </cell>
          <cell r="C433" t="str">
            <v>饼干士兵</v>
          </cell>
        </row>
        <row r="433">
          <cell r="F433">
            <v>0</v>
          </cell>
        </row>
        <row r="433">
          <cell r="M433">
            <v>0</v>
          </cell>
          <cell r="N433">
            <v>0</v>
          </cell>
          <cell r="O433">
            <v>3</v>
          </cell>
          <cell r="P433">
            <v>3</v>
          </cell>
          <cell r="Q433">
            <v>3</v>
          </cell>
          <cell r="R433" t="str">
            <v>大妈海盗团</v>
          </cell>
          <cell r="S433">
            <v>1</v>
          </cell>
          <cell r="T433" t="str">
            <v>1</v>
          </cell>
          <cell r="U433" t="str">
            <v>1</v>
          </cell>
        </row>
        <row r="434">
          <cell r="A434">
            <v>121312</v>
          </cell>
          <cell r="B434">
            <v>121312</v>
          </cell>
          <cell r="C434" t="str">
            <v>霍金斯稻草人</v>
          </cell>
        </row>
        <row r="434">
          <cell r="F434">
            <v>3</v>
          </cell>
        </row>
        <row r="434">
          <cell r="M434">
            <v>0</v>
          </cell>
          <cell r="N434">
            <v>0</v>
          </cell>
          <cell r="O434">
            <v>3</v>
          </cell>
          <cell r="P434">
            <v>3</v>
          </cell>
          <cell r="Q434">
            <v>3</v>
          </cell>
        </row>
        <row r="434">
          <cell r="S434">
            <v>1</v>
          </cell>
          <cell r="T434" t="str">
            <v>1</v>
          </cell>
          <cell r="U434" t="str">
            <v>1</v>
          </cell>
        </row>
        <row r="435">
          <cell r="A435">
            <v>121313</v>
          </cell>
          <cell r="B435">
            <v>121313</v>
          </cell>
          <cell r="C435" t="str">
            <v>凯多龙形态（测试）</v>
          </cell>
        </row>
        <row r="435">
          <cell r="F435">
            <v>0</v>
          </cell>
        </row>
        <row r="435">
          <cell r="M435">
            <v>0</v>
          </cell>
          <cell r="N435">
            <v>0</v>
          </cell>
          <cell r="O435">
            <v>1</v>
          </cell>
          <cell r="P435">
            <v>1</v>
          </cell>
          <cell r="Q435">
            <v>3</v>
          </cell>
        </row>
        <row r="435">
          <cell r="S435">
            <v>3</v>
          </cell>
          <cell r="T435" t="str">
            <v>3</v>
          </cell>
          <cell r="U435" t="str">
            <v>3</v>
          </cell>
        </row>
        <row r="436">
          <cell r="A436">
            <v>121314</v>
          </cell>
          <cell r="B436">
            <v>121314</v>
          </cell>
          <cell r="C436" t="str">
            <v>大妈手下</v>
          </cell>
        </row>
        <row r="436">
          <cell r="F436">
            <v>0</v>
          </cell>
        </row>
        <row r="436">
          <cell r="M436">
            <v>0</v>
          </cell>
          <cell r="N436">
            <v>0</v>
          </cell>
          <cell r="O436">
            <v>4</v>
          </cell>
          <cell r="P436">
            <v>4</v>
          </cell>
          <cell r="Q436">
            <v>3</v>
          </cell>
          <cell r="R436" t="str">
            <v>大妈海盗团</v>
          </cell>
          <cell r="S436">
            <v>1</v>
          </cell>
          <cell r="T436" t="str">
            <v>1</v>
          </cell>
          <cell r="U436" t="str">
            <v>1</v>
          </cell>
        </row>
        <row r="437">
          <cell r="A437">
            <v>1111001</v>
          </cell>
          <cell r="B437">
            <v>1111001</v>
          </cell>
          <cell r="C437" t="str">
            <v>可比</v>
          </cell>
          <cell r="D437" t="str">
            <v>克比</v>
          </cell>
        </row>
        <row r="437">
          <cell r="F437">
            <v>0</v>
          </cell>
        </row>
        <row r="437">
          <cell r="M437">
            <v>0</v>
          </cell>
          <cell r="N437">
            <v>0</v>
          </cell>
          <cell r="O437">
            <v>1</v>
          </cell>
          <cell r="P437">
            <v>1</v>
          </cell>
          <cell r="Q437">
            <v>2</v>
          </cell>
          <cell r="R437" t="str">
            <v>海军</v>
          </cell>
          <cell r="S437">
            <v>2</v>
          </cell>
          <cell r="T437">
            <v>6</v>
          </cell>
          <cell r="U437">
            <v>1</v>
          </cell>
        </row>
        <row r="438">
          <cell r="A438">
            <v>1111002</v>
          </cell>
          <cell r="B438">
            <v>1111002</v>
          </cell>
          <cell r="C438" t="str">
            <v>摩根</v>
          </cell>
          <cell r="D438" t="str">
            <v>斧手蒙卡</v>
          </cell>
        </row>
        <row r="438">
          <cell r="F438">
            <v>0</v>
          </cell>
        </row>
        <row r="438">
          <cell r="M438">
            <v>0</v>
          </cell>
          <cell r="N438">
            <v>0</v>
          </cell>
          <cell r="O438">
            <v>1</v>
          </cell>
          <cell r="P438">
            <v>1</v>
          </cell>
          <cell r="Q438">
            <v>2</v>
          </cell>
          <cell r="R438" t="str">
            <v>海军</v>
          </cell>
          <cell r="S438">
            <v>2</v>
          </cell>
          <cell r="T438">
            <v>6</v>
          </cell>
          <cell r="U438">
            <v>1</v>
          </cell>
        </row>
        <row r="439">
          <cell r="A439">
            <v>1111003</v>
          </cell>
          <cell r="B439">
            <v>1111003</v>
          </cell>
          <cell r="C439" t="str">
            <v>卡巴奇</v>
          </cell>
          <cell r="D439" t="str">
            <v>卡巴奇</v>
          </cell>
        </row>
        <row r="439">
          <cell r="F439">
            <v>0</v>
          </cell>
        </row>
        <row r="439">
          <cell r="M439">
            <v>0</v>
          </cell>
          <cell r="N439">
            <v>0</v>
          </cell>
          <cell r="O439">
            <v>1</v>
          </cell>
          <cell r="P439">
            <v>1</v>
          </cell>
          <cell r="Q439">
            <v>3</v>
          </cell>
          <cell r="R439" t="str">
            <v>小丑海盗团</v>
          </cell>
          <cell r="S439">
            <v>2</v>
          </cell>
          <cell r="T439">
            <v>6</v>
          </cell>
          <cell r="U439">
            <v>1</v>
          </cell>
        </row>
        <row r="440">
          <cell r="A440">
            <v>1111004</v>
          </cell>
          <cell r="B440">
            <v>1111004</v>
          </cell>
          <cell r="C440" t="str">
            <v>克洛</v>
          </cell>
          <cell r="D440" t="str">
            <v>克洛</v>
          </cell>
        </row>
        <row r="440">
          <cell r="F440">
            <v>0</v>
          </cell>
        </row>
        <row r="440">
          <cell r="M440">
            <v>0</v>
          </cell>
          <cell r="N440">
            <v>0</v>
          </cell>
          <cell r="O440">
            <v>1</v>
          </cell>
          <cell r="P440">
            <v>1</v>
          </cell>
          <cell r="Q440">
            <v>3</v>
          </cell>
          <cell r="R440" t="str">
            <v>黑猫海盗团</v>
          </cell>
          <cell r="S440">
            <v>2</v>
          </cell>
          <cell r="T440">
            <v>6</v>
          </cell>
          <cell r="U440">
            <v>1</v>
          </cell>
        </row>
        <row r="441">
          <cell r="A441">
            <v>1111005</v>
          </cell>
          <cell r="B441">
            <v>1111005</v>
          </cell>
          <cell r="C441" t="str">
            <v>强高</v>
          </cell>
          <cell r="D441" t="str">
            <v>强高</v>
          </cell>
        </row>
        <row r="441">
          <cell r="F441">
            <v>0</v>
          </cell>
        </row>
        <row r="441">
          <cell r="M441">
            <v>0</v>
          </cell>
          <cell r="N441">
            <v>0</v>
          </cell>
          <cell r="O441">
            <v>1</v>
          </cell>
          <cell r="P441">
            <v>1</v>
          </cell>
          <cell r="Q441">
            <v>3</v>
          </cell>
          <cell r="R441" t="str">
            <v>黑猫海盗团</v>
          </cell>
          <cell r="S441">
            <v>2</v>
          </cell>
          <cell r="T441">
            <v>6</v>
          </cell>
          <cell r="U441">
            <v>1</v>
          </cell>
        </row>
        <row r="442">
          <cell r="A442">
            <v>1111006</v>
          </cell>
          <cell r="B442">
            <v>1111006</v>
          </cell>
          <cell r="C442" t="str">
            <v>克里克</v>
          </cell>
          <cell r="D442" t="str">
            <v>克里克</v>
          </cell>
        </row>
        <row r="442">
          <cell r="F442">
            <v>0</v>
          </cell>
        </row>
        <row r="442">
          <cell r="M442">
            <v>0</v>
          </cell>
          <cell r="N442">
            <v>0</v>
          </cell>
          <cell r="O442">
            <v>1</v>
          </cell>
          <cell r="P442">
            <v>1</v>
          </cell>
          <cell r="Q442">
            <v>3</v>
          </cell>
          <cell r="R442" t="str">
            <v>克里克海盗团</v>
          </cell>
          <cell r="S442">
            <v>2</v>
          </cell>
          <cell r="T442">
            <v>6</v>
          </cell>
          <cell r="U442">
            <v>1</v>
          </cell>
        </row>
        <row r="443">
          <cell r="A443">
            <v>1111007</v>
          </cell>
          <cell r="B443">
            <v>1111007</v>
          </cell>
          <cell r="C443" t="str">
            <v>阿金</v>
          </cell>
          <cell r="D443" t="str">
            <v>阿金</v>
          </cell>
        </row>
        <row r="443">
          <cell r="F443">
            <v>0</v>
          </cell>
        </row>
        <row r="443">
          <cell r="M443">
            <v>0</v>
          </cell>
          <cell r="N443">
            <v>0</v>
          </cell>
          <cell r="O443">
            <v>1</v>
          </cell>
          <cell r="P443">
            <v>1</v>
          </cell>
          <cell r="Q443">
            <v>3</v>
          </cell>
          <cell r="R443" t="str">
            <v>克里克海盗团</v>
          </cell>
          <cell r="S443">
            <v>2</v>
          </cell>
          <cell r="T443">
            <v>6</v>
          </cell>
          <cell r="U443">
            <v>1</v>
          </cell>
        </row>
        <row r="444">
          <cell r="A444">
            <v>1111008</v>
          </cell>
          <cell r="B444">
            <v>1111008</v>
          </cell>
          <cell r="C444" t="str">
            <v>帕鲁</v>
          </cell>
          <cell r="D444" t="str">
            <v>帕鲁</v>
          </cell>
        </row>
        <row r="444">
          <cell r="F444">
            <v>0</v>
          </cell>
        </row>
        <row r="444">
          <cell r="M444">
            <v>0</v>
          </cell>
          <cell r="N444">
            <v>0</v>
          </cell>
          <cell r="O444">
            <v>1</v>
          </cell>
          <cell r="P444">
            <v>1</v>
          </cell>
          <cell r="Q444">
            <v>3</v>
          </cell>
          <cell r="R444" t="str">
            <v>克里克海盗团</v>
          </cell>
          <cell r="S444">
            <v>2</v>
          </cell>
          <cell r="T444">
            <v>6</v>
          </cell>
          <cell r="U444">
            <v>1</v>
          </cell>
        </row>
        <row r="445">
          <cell r="A445">
            <v>1111009</v>
          </cell>
          <cell r="B445">
            <v>1111009</v>
          </cell>
          <cell r="C445" t="str">
            <v>阿龙</v>
          </cell>
          <cell r="D445" t="str">
            <v>阿龙</v>
          </cell>
        </row>
        <row r="445">
          <cell r="F445">
            <v>0</v>
          </cell>
        </row>
        <row r="445">
          <cell r="M445">
            <v>0</v>
          </cell>
          <cell r="N445">
            <v>0</v>
          </cell>
          <cell r="O445">
            <v>1</v>
          </cell>
          <cell r="P445">
            <v>1</v>
          </cell>
          <cell r="Q445">
            <v>3</v>
          </cell>
          <cell r="R445" t="str">
            <v>阿龙一伙</v>
          </cell>
          <cell r="S445">
            <v>2</v>
          </cell>
          <cell r="T445">
            <v>6</v>
          </cell>
          <cell r="U445">
            <v>1</v>
          </cell>
        </row>
        <row r="446">
          <cell r="A446">
            <v>1111010</v>
          </cell>
          <cell r="B446">
            <v>1111010</v>
          </cell>
          <cell r="C446" t="str">
            <v>小八</v>
          </cell>
          <cell r="D446" t="str">
            <v>阿八</v>
          </cell>
        </row>
        <row r="446">
          <cell r="F446">
            <v>0</v>
          </cell>
        </row>
        <row r="446">
          <cell r="M446">
            <v>0</v>
          </cell>
          <cell r="N446">
            <v>0</v>
          </cell>
          <cell r="O446">
            <v>1</v>
          </cell>
          <cell r="P446">
            <v>1</v>
          </cell>
          <cell r="Q446">
            <v>3</v>
          </cell>
          <cell r="R446" t="str">
            <v>阿龙一伙</v>
          </cell>
          <cell r="S446">
            <v>2</v>
          </cell>
          <cell r="T446">
            <v>6</v>
          </cell>
          <cell r="U446">
            <v>1</v>
          </cell>
        </row>
        <row r="447">
          <cell r="A447">
            <v>1111011</v>
          </cell>
          <cell r="B447">
            <v>1111011</v>
          </cell>
          <cell r="C447" t="str">
            <v>薇薇</v>
          </cell>
          <cell r="D447" t="str">
            <v>薇薇</v>
          </cell>
        </row>
        <row r="447">
          <cell r="F447">
            <v>1</v>
          </cell>
        </row>
        <row r="447">
          <cell r="M447">
            <v>0</v>
          </cell>
          <cell r="N447">
            <v>0</v>
          </cell>
          <cell r="O447">
            <v>1</v>
          </cell>
          <cell r="P447">
            <v>1</v>
          </cell>
          <cell r="Q447">
            <v>8</v>
          </cell>
          <cell r="R447" t="str">
            <v>巴洛克工作社</v>
          </cell>
          <cell r="S447">
            <v>2</v>
          </cell>
          <cell r="T447">
            <v>6</v>
          </cell>
          <cell r="U447">
            <v>1</v>
          </cell>
        </row>
        <row r="448">
          <cell r="A448">
            <v>1111012</v>
          </cell>
          <cell r="B448">
            <v>1111012</v>
          </cell>
          <cell r="C448" t="str">
            <v>Mr.5</v>
          </cell>
          <cell r="D448" t="str">
            <v>Mr.5</v>
          </cell>
        </row>
        <row r="448">
          <cell r="F448">
            <v>0</v>
          </cell>
        </row>
        <row r="448">
          <cell r="M448">
            <v>0</v>
          </cell>
          <cell r="N448">
            <v>0</v>
          </cell>
          <cell r="O448">
            <v>1</v>
          </cell>
          <cell r="P448">
            <v>1</v>
          </cell>
          <cell r="Q448">
            <v>8</v>
          </cell>
          <cell r="R448" t="str">
            <v>巴洛克工作社</v>
          </cell>
          <cell r="S448">
            <v>2</v>
          </cell>
          <cell r="T448">
            <v>6</v>
          </cell>
          <cell r="U448">
            <v>1</v>
          </cell>
        </row>
        <row r="449">
          <cell r="A449">
            <v>1111013</v>
          </cell>
          <cell r="B449">
            <v>1111013</v>
          </cell>
          <cell r="C449" t="str">
            <v>瓦波尔</v>
          </cell>
          <cell r="D449" t="str">
            <v>瓦尔波</v>
          </cell>
        </row>
        <row r="449">
          <cell r="F449">
            <v>0</v>
          </cell>
        </row>
        <row r="449">
          <cell r="M449">
            <v>0</v>
          </cell>
          <cell r="N449">
            <v>0</v>
          </cell>
          <cell r="O449">
            <v>1</v>
          </cell>
          <cell r="P449">
            <v>1</v>
          </cell>
          <cell r="Q449">
            <v>3</v>
          </cell>
          <cell r="R449" t="str">
            <v>白铁海盗团</v>
          </cell>
          <cell r="S449">
            <v>2</v>
          </cell>
          <cell r="T449">
            <v>6</v>
          </cell>
          <cell r="U449">
            <v>1</v>
          </cell>
        </row>
        <row r="450">
          <cell r="A450">
            <v>1111014</v>
          </cell>
          <cell r="B450">
            <v>1111014</v>
          </cell>
          <cell r="C450" t="str">
            <v>Mr.4</v>
          </cell>
          <cell r="D450" t="str">
            <v>Mr.4</v>
          </cell>
        </row>
        <row r="450">
          <cell r="F450">
            <v>0</v>
          </cell>
        </row>
        <row r="450">
          <cell r="M450">
            <v>0</v>
          </cell>
          <cell r="N450">
            <v>0</v>
          </cell>
          <cell r="O450">
            <v>1</v>
          </cell>
          <cell r="P450">
            <v>1</v>
          </cell>
          <cell r="Q450">
            <v>8</v>
          </cell>
          <cell r="R450" t="str">
            <v>巴洛克工作社</v>
          </cell>
          <cell r="S450">
            <v>2</v>
          </cell>
          <cell r="T450">
            <v>6</v>
          </cell>
          <cell r="U450">
            <v>1</v>
          </cell>
        </row>
        <row r="451">
          <cell r="A451">
            <v>1111015</v>
          </cell>
          <cell r="B451">
            <v>1111015</v>
          </cell>
          <cell r="C451" t="str">
            <v>Ms.黄金周</v>
          </cell>
          <cell r="D451" t="str">
            <v>Miss.黄金周</v>
          </cell>
        </row>
        <row r="451">
          <cell r="F451">
            <v>1</v>
          </cell>
        </row>
        <row r="451">
          <cell r="M451">
            <v>0</v>
          </cell>
          <cell r="N451">
            <v>0</v>
          </cell>
          <cell r="O451">
            <v>1</v>
          </cell>
          <cell r="P451">
            <v>1</v>
          </cell>
          <cell r="Q451">
            <v>8</v>
          </cell>
          <cell r="R451" t="str">
            <v>巴洛克工作社</v>
          </cell>
          <cell r="S451">
            <v>2</v>
          </cell>
          <cell r="T451">
            <v>6</v>
          </cell>
          <cell r="U451">
            <v>1</v>
          </cell>
        </row>
        <row r="452">
          <cell r="A452">
            <v>1111016</v>
          </cell>
          <cell r="B452">
            <v>1111016</v>
          </cell>
          <cell r="C452" t="str">
            <v>猫头鹰</v>
          </cell>
          <cell r="D452" t="str">
            <v>猫头鹰</v>
          </cell>
        </row>
        <row r="452">
          <cell r="F452">
            <v>0</v>
          </cell>
        </row>
        <row r="452">
          <cell r="M452">
            <v>0</v>
          </cell>
          <cell r="N452">
            <v>0</v>
          </cell>
          <cell r="O452">
            <v>4</v>
          </cell>
          <cell r="P452">
            <v>4</v>
          </cell>
          <cell r="Q452">
            <v>4</v>
          </cell>
          <cell r="R452" t="str">
            <v>世界政府</v>
          </cell>
          <cell r="S452">
            <v>2</v>
          </cell>
          <cell r="T452">
            <v>6</v>
          </cell>
          <cell r="U452">
            <v>1</v>
          </cell>
        </row>
        <row r="453">
          <cell r="A453">
            <v>1111018</v>
          </cell>
          <cell r="B453">
            <v>1111018</v>
          </cell>
          <cell r="C453" t="str">
            <v>约撒</v>
          </cell>
          <cell r="D453" t="str">
            <v>约撒</v>
          </cell>
        </row>
        <row r="453">
          <cell r="F453">
            <v>0</v>
          </cell>
          <cell r="G453" t="str">
            <v>非常讲义气的赏金猎人，佐罗的小弟。教会了路飞鼻孔舞。</v>
          </cell>
          <cell r="H453" t="str">
            <v>讲义气重人情的好搭档，擅长进攻。\n技能附带封技效果，可禁用敌人普通技能。\n技能提升自身速度和攻击，增加伤害输出。</v>
          </cell>
        </row>
        <row r="453">
          <cell r="L453" t="str">
            <v>skillsIntroduction_1018</v>
          </cell>
          <cell r="M453">
            <v>0</v>
          </cell>
          <cell r="N453">
            <v>0</v>
          </cell>
          <cell r="O453">
            <v>5</v>
          </cell>
          <cell r="P453">
            <v>4</v>
          </cell>
          <cell r="Q453">
            <v>4</v>
          </cell>
          <cell r="R453" t="str">
            <v/>
          </cell>
          <cell r="S453">
            <v>2</v>
          </cell>
          <cell r="T453">
            <v>6</v>
          </cell>
          <cell r="U453">
            <v>1</v>
          </cell>
        </row>
        <row r="454">
          <cell r="A454">
            <v>1112001</v>
          </cell>
          <cell r="B454">
            <v>1112001</v>
          </cell>
          <cell r="C454" t="str">
            <v>路飞</v>
          </cell>
          <cell r="D454" t="str">
            <v>路飞</v>
          </cell>
        </row>
        <row r="454">
          <cell r="F454">
            <v>0</v>
          </cell>
        </row>
        <row r="454">
          <cell r="M454">
            <v>0</v>
          </cell>
          <cell r="N454">
            <v>0</v>
          </cell>
          <cell r="O454">
            <v>1</v>
          </cell>
          <cell r="P454">
            <v>1</v>
          </cell>
          <cell r="Q454">
            <v>1</v>
          </cell>
          <cell r="R454" t="str">
            <v>草帽海盗团</v>
          </cell>
          <cell r="S454">
            <v>3</v>
          </cell>
          <cell r="T454">
            <v>7</v>
          </cell>
          <cell r="U454">
            <v>2</v>
          </cell>
        </row>
        <row r="455">
          <cell r="A455">
            <v>1112002</v>
          </cell>
          <cell r="B455">
            <v>1112002</v>
          </cell>
          <cell r="C455" t="str">
            <v>佐罗</v>
          </cell>
          <cell r="D455" t="str">
            <v>佐罗</v>
          </cell>
        </row>
        <row r="455">
          <cell r="F455">
            <v>0</v>
          </cell>
        </row>
        <row r="455">
          <cell r="M455">
            <v>0</v>
          </cell>
          <cell r="N455">
            <v>0</v>
          </cell>
          <cell r="O455">
            <v>1</v>
          </cell>
          <cell r="P455">
            <v>1</v>
          </cell>
          <cell r="Q455">
            <v>1</v>
          </cell>
          <cell r="R455" t="str">
            <v>草帽海盗团</v>
          </cell>
          <cell r="S455">
            <v>3</v>
          </cell>
          <cell r="T455">
            <v>7</v>
          </cell>
          <cell r="U455">
            <v>2</v>
          </cell>
        </row>
        <row r="456">
          <cell r="A456">
            <v>1112003</v>
          </cell>
          <cell r="B456">
            <v>1112003</v>
          </cell>
          <cell r="C456" t="str">
            <v>奈美</v>
          </cell>
          <cell r="D456" t="str">
            <v>奈美</v>
          </cell>
        </row>
        <row r="456">
          <cell r="F456">
            <v>1</v>
          </cell>
        </row>
        <row r="456">
          <cell r="M456">
            <v>0</v>
          </cell>
          <cell r="N456">
            <v>0</v>
          </cell>
          <cell r="O456">
            <v>1</v>
          </cell>
          <cell r="P456">
            <v>1</v>
          </cell>
          <cell r="Q456">
            <v>1</v>
          </cell>
          <cell r="R456" t="str">
            <v>草帽海盗团</v>
          </cell>
          <cell r="S456">
            <v>3</v>
          </cell>
          <cell r="T456">
            <v>7</v>
          </cell>
          <cell r="U456">
            <v>2</v>
          </cell>
        </row>
        <row r="457">
          <cell r="A457">
            <v>1112004</v>
          </cell>
          <cell r="B457">
            <v>1112004</v>
          </cell>
          <cell r="C457" t="str">
            <v>撒谎布</v>
          </cell>
          <cell r="D457" t="str">
            <v>撒谎布</v>
          </cell>
        </row>
        <row r="457">
          <cell r="F457">
            <v>0</v>
          </cell>
        </row>
        <row r="457">
          <cell r="M457">
            <v>0</v>
          </cell>
          <cell r="N457">
            <v>0</v>
          </cell>
          <cell r="O457">
            <v>1</v>
          </cell>
          <cell r="P457">
            <v>1</v>
          </cell>
          <cell r="Q457">
            <v>1</v>
          </cell>
          <cell r="R457" t="str">
            <v>草帽海盗团</v>
          </cell>
          <cell r="S457">
            <v>3</v>
          </cell>
          <cell r="T457">
            <v>7</v>
          </cell>
          <cell r="U457">
            <v>2</v>
          </cell>
        </row>
        <row r="458">
          <cell r="A458">
            <v>1112005</v>
          </cell>
          <cell r="B458">
            <v>1112005</v>
          </cell>
          <cell r="C458" t="str">
            <v>山智</v>
          </cell>
          <cell r="D458" t="str">
            <v>山智</v>
          </cell>
        </row>
        <row r="458">
          <cell r="F458">
            <v>0</v>
          </cell>
        </row>
        <row r="458">
          <cell r="M458">
            <v>0</v>
          </cell>
          <cell r="N458">
            <v>0</v>
          </cell>
          <cell r="O458">
            <v>1</v>
          </cell>
          <cell r="P458">
            <v>1</v>
          </cell>
          <cell r="Q458">
            <v>1</v>
          </cell>
          <cell r="R458" t="str">
            <v>草帽海盗团</v>
          </cell>
          <cell r="S458">
            <v>3</v>
          </cell>
          <cell r="T458">
            <v>7</v>
          </cell>
          <cell r="U458">
            <v>2</v>
          </cell>
        </row>
        <row r="459">
          <cell r="A459">
            <v>1112006</v>
          </cell>
          <cell r="B459">
            <v>1112006</v>
          </cell>
          <cell r="C459" t="str">
            <v>乔巴</v>
          </cell>
          <cell r="D459" t="str">
            <v>乔巴</v>
          </cell>
        </row>
        <row r="459">
          <cell r="F459">
            <v>0</v>
          </cell>
        </row>
        <row r="459">
          <cell r="M459">
            <v>0</v>
          </cell>
          <cell r="N459">
            <v>0</v>
          </cell>
          <cell r="O459">
            <v>1</v>
          </cell>
          <cell r="P459">
            <v>1</v>
          </cell>
          <cell r="Q459">
            <v>1</v>
          </cell>
          <cell r="R459" t="str">
            <v>草帽海盗团</v>
          </cell>
          <cell r="S459">
            <v>3</v>
          </cell>
          <cell r="T459">
            <v>7</v>
          </cell>
          <cell r="U459">
            <v>2</v>
          </cell>
        </row>
        <row r="460">
          <cell r="A460">
            <v>1112007</v>
          </cell>
          <cell r="B460">
            <v>1112007</v>
          </cell>
          <cell r="C460" t="str">
            <v>罗宾</v>
          </cell>
          <cell r="D460" t="str">
            <v>罗宾</v>
          </cell>
        </row>
        <row r="460">
          <cell r="F460">
            <v>1</v>
          </cell>
        </row>
        <row r="460">
          <cell r="M460">
            <v>0</v>
          </cell>
          <cell r="N460">
            <v>0</v>
          </cell>
          <cell r="O460">
            <v>3</v>
          </cell>
          <cell r="P460">
            <v>3</v>
          </cell>
          <cell r="Q460">
            <v>1</v>
          </cell>
          <cell r="R460" t="str">
            <v>草帽海盗团</v>
          </cell>
          <cell r="S460">
            <v>3</v>
          </cell>
          <cell r="T460">
            <v>7</v>
          </cell>
          <cell r="U460">
            <v>2</v>
          </cell>
        </row>
        <row r="461">
          <cell r="A461">
            <v>1112008</v>
          </cell>
          <cell r="B461">
            <v>1112008</v>
          </cell>
          <cell r="C461" t="str">
            <v>弗兰奇</v>
          </cell>
          <cell r="D461" t="str">
            <v>弗兰奇</v>
          </cell>
        </row>
        <row r="461">
          <cell r="F461">
            <v>0</v>
          </cell>
        </row>
        <row r="461">
          <cell r="M461">
            <v>0</v>
          </cell>
          <cell r="N461">
            <v>0</v>
          </cell>
          <cell r="O461">
            <v>1</v>
          </cell>
          <cell r="P461">
            <v>1</v>
          </cell>
          <cell r="Q461">
            <v>1</v>
          </cell>
          <cell r="R461" t="str">
            <v>草帽海盗团</v>
          </cell>
          <cell r="S461">
            <v>3</v>
          </cell>
          <cell r="T461">
            <v>7</v>
          </cell>
          <cell r="U461">
            <v>2</v>
          </cell>
        </row>
        <row r="462">
          <cell r="A462">
            <v>1112009</v>
          </cell>
          <cell r="B462">
            <v>1112009</v>
          </cell>
          <cell r="C462" t="str">
            <v>布鲁克</v>
          </cell>
          <cell r="D462" t="str">
            <v>布鲁克</v>
          </cell>
        </row>
        <row r="462">
          <cell r="F462">
            <v>0</v>
          </cell>
        </row>
        <row r="462">
          <cell r="M462">
            <v>0</v>
          </cell>
          <cell r="N462">
            <v>0</v>
          </cell>
          <cell r="O462">
            <v>1</v>
          </cell>
          <cell r="P462">
            <v>1</v>
          </cell>
          <cell r="Q462">
            <v>1</v>
          </cell>
          <cell r="R462" t="str">
            <v>草帽海盗团</v>
          </cell>
          <cell r="S462">
            <v>3</v>
          </cell>
          <cell r="T462">
            <v>7</v>
          </cell>
          <cell r="U462">
            <v>2</v>
          </cell>
        </row>
        <row r="463">
          <cell r="A463">
            <v>1112010</v>
          </cell>
          <cell r="B463">
            <v>1112010</v>
          </cell>
          <cell r="C463" t="str">
            <v>巴奇</v>
          </cell>
          <cell r="D463" t="str">
            <v>巴基</v>
          </cell>
        </row>
        <row r="463">
          <cell r="F463">
            <v>0</v>
          </cell>
        </row>
        <row r="463">
          <cell r="M463">
            <v>0</v>
          </cell>
          <cell r="N463">
            <v>0</v>
          </cell>
          <cell r="O463">
            <v>1</v>
          </cell>
          <cell r="P463">
            <v>1</v>
          </cell>
          <cell r="Q463">
            <v>3</v>
          </cell>
          <cell r="R463" t="str">
            <v>小丑海盗团</v>
          </cell>
          <cell r="S463">
            <v>3</v>
          </cell>
          <cell r="T463">
            <v>7</v>
          </cell>
          <cell r="U463">
            <v>2</v>
          </cell>
        </row>
        <row r="464">
          <cell r="A464">
            <v>1112011</v>
          </cell>
          <cell r="B464">
            <v>1112011</v>
          </cell>
          <cell r="C464" t="str">
            <v>烟鬼</v>
          </cell>
          <cell r="D464" t="str">
            <v>斯摩格</v>
          </cell>
        </row>
        <row r="464">
          <cell r="F464">
            <v>0</v>
          </cell>
        </row>
        <row r="464">
          <cell r="M464">
            <v>0</v>
          </cell>
          <cell r="N464">
            <v>0</v>
          </cell>
          <cell r="O464">
            <v>1</v>
          </cell>
          <cell r="P464">
            <v>1</v>
          </cell>
          <cell r="Q464">
            <v>2</v>
          </cell>
          <cell r="R464" t="str">
            <v>海军</v>
          </cell>
          <cell r="S464">
            <v>3</v>
          </cell>
          <cell r="T464">
            <v>7</v>
          </cell>
          <cell r="U464">
            <v>2</v>
          </cell>
        </row>
        <row r="465">
          <cell r="A465">
            <v>1112012</v>
          </cell>
          <cell r="B465">
            <v>1112012</v>
          </cell>
          <cell r="C465" t="str">
            <v>塔希米</v>
          </cell>
          <cell r="D465" t="str">
            <v>塔西琪</v>
          </cell>
        </row>
        <row r="465">
          <cell r="F465">
            <v>1</v>
          </cell>
        </row>
        <row r="465">
          <cell r="M465">
            <v>0</v>
          </cell>
          <cell r="N465">
            <v>0</v>
          </cell>
          <cell r="O465">
            <v>1</v>
          </cell>
          <cell r="P465">
            <v>1</v>
          </cell>
          <cell r="Q465">
            <v>2</v>
          </cell>
          <cell r="R465" t="str">
            <v>海军</v>
          </cell>
          <cell r="S465">
            <v>3</v>
          </cell>
          <cell r="T465">
            <v>7</v>
          </cell>
          <cell r="U465">
            <v>2</v>
          </cell>
        </row>
        <row r="466">
          <cell r="A466">
            <v>1112013</v>
          </cell>
          <cell r="B466">
            <v>1112013</v>
          </cell>
          <cell r="C466" t="str">
            <v>Mr.1</v>
          </cell>
          <cell r="D466" t="str">
            <v>Mr.1</v>
          </cell>
        </row>
        <row r="466">
          <cell r="F466">
            <v>0</v>
          </cell>
        </row>
        <row r="466">
          <cell r="M466">
            <v>0</v>
          </cell>
          <cell r="N466">
            <v>0</v>
          </cell>
          <cell r="O466">
            <v>1</v>
          </cell>
          <cell r="P466">
            <v>1</v>
          </cell>
          <cell r="Q466">
            <v>8</v>
          </cell>
          <cell r="R466" t="str">
            <v>巴洛克工作社</v>
          </cell>
          <cell r="S466">
            <v>3</v>
          </cell>
          <cell r="T466">
            <v>7</v>
          </cell>
          <cell r="U466">
            <v>2</v>
          </cell>
        </row>
        <row r="467">
          <cell r="A467">
            <v>1112014</v>
          </cell>
          <cell r="B467">
            <v>1112014</v>
          </cell>
          <cell r="C467" t="str">
            <v>Mr.2</v>
          </cell>
          <cell r="D467" t="str">
            <v>Mr.2</v>
          </cell>
        </row>
        <row r="467">
          <cell r="F467">
            <v>0</v>
          </cell>
        </row>
        <row r="467">
          <cell r="M467">
            <v>0</v>
          </cell>
          <cell r="N467">
            <v>0</v>
          </cell>
          <cell r="O467">
            <v>1</v>
          </cell>
          <cell r="P467">
            <v>1</v>
          </cell>
          <cell r="Q467">
            <v>8</v>
          </cell>
          <cell r="R467" t="str">
            <v>巴洛克工作社</v>
          </cell>
          <cell r="S467">
            <v>3</v>
          </cell>
          <cell r="T467">
            <v>7</v>
          </cell>
          <cell r="U467">
            <v>2</v>
          </cell>
        </row>
        <row r="468">
          <cell r="A468">
            <v>1112015</v>
          </cell>
          <cell r="B468">
            <v>1112015</v>
          </cell>
          <cell r="C468" t="str">
            <v>Mr.3</v>
          </cell>
          <cell r="D468" t="str">
            <v>Mr.3</v>
          </cell>
        </row>
        <row r="468">
          <cell r="F468">
            <v>0</v>
          </cell>
        </row>
        <row r="468">
          <cell r="M468">
            <v>0</v>
          </cell>
          <cell r="N468">
            <v>0</v>
          </cell>
          <cell r="O468">
            <v>1</v>
          </cell>
          <cell r="P468">
            <v>1</v>
          </cell>
          <cell r="Q468">
            <v>8</v>
          </cell>
          <cell r="R468" t="str">
            <v>巴洛克工作社</v>
          </cell>
          <cell r="S468">
            <v>3</v>
          </cell>
          <cell r="T468">
            <v>7</v>
          </cell>
          <cell r="U468">
            <v>2</v>
          </cell>
        </row>
        <row r="469">
          <cell r="A469">
            <v>1112016</v>
          </cell>
          <cell r="B469">
            <v>1112016</v>
          </cell>
          <cell r="C469" t="str">
            <v>Ms.双手指</v>
          </cell>
          <cell r="D469" t="str">
            <v>Miss.双手指</v>
          </cell>
        </row>
        <row r="469">
          <cell r="F469">
            <v>1</v>
          </cell>
        </row>
        <row r="469">
          <cell r="M469">
            <v>0</v>
          </cell>
          <cell r="N469">
            <v>0</v>
          </cell>
          <cell r="O469">
            <v>3</v>
          </cell>
          <cell r="P469">
            <v>3</v>
          </cell>
          <cell r="Q469">
            <v>8</v>
          </cell>
          <cell r="R469" t="str">
            <v>巴洛克工作社</v>
          </cell>
          <cell r="S469">
            <v>3</v>
          </cell>
          <cell r="T469">
            <v>7</v>
          </cell>
          <cell r="U469">
            <v>2</v>
          </cell>
        </row>
        <row r="470">
          <cell r="A470">
            <v>1112017</v>
          </cell>
          <cell r="B470">
            <v>1112017</v>
          </cell>
          <cell r="C470" t="str">
            <v>贝拉密</v>
          </cell>
          <cell r="D470" t="str">
            <v>贝拉米</v>
          </cell>
        </row>
        <row r="470">
          <cell r="F470">
            <v>0</v>
          </cell>
        </row>
        <row r="470">
          <cell r="M470">
            <v>0</v>
          </cell>
          <cell r="N470">
            <v>0</v>
          </cell>
          <cell r="O470">
            <v>1</v>
          </cell>
          <cell r="P470">
            <v>1</v>
          </cell>
          <cell r="Q470">
            <v>3</v>
          </cell>
          <cell r="R470" t="str">
            <v>贝拉密海盗团</v>
          </cell>
          <cell r="S470">
            <v>3</v>
          </cell>
          <cell r="T470">
            <v>7</v>
          </cell>
          <cell r="U470">
            <v>2</v>
          </cell>
        </row>
        <row r="471">
          <cell r="A471">
            <v>1112018</v>
          </cell>
          <cell r="B471">
            <v>1112018</v>
          </cell>
          <cell r="C471" t="str">
            <v>瓦帕</v>
          </cell>
          <cell r="D471" t="str">
            <v>瓦帕</v>
          </cell>
        </row>
        <row r="471">
          <cell r="F471">
            <v>0</v>
          </cell>
        </row>
        <row r="471">
          <cell r="M471">
            <v>0</v>
          </cell>
          <cell r="N471">
            <v>0</v>
          </cell>
          <cell r="O471">
            <v>4</v>
          </cell>
          <cell r="P471">
            <v>4</v>
          </cell>
          <cell r="Q471">
            <v>8</v>
          </cell>
          <cell r="R471" t="str">
            <v>山迪亚</v>
          </cell>
          <cell r="S471">
            <v>3</v>
          </cell>
          <cell r="T471">
            <v>7</v>
          </cell>
          <cell r="U471">
            <v>2</v>
          </cell>
        </row>
        <row r="472">
          <cell r="A472">
            <v>1112019</v>
          </cell>
          <cell r="B472">
            <v>1112019</v>
          </cell>
          <cell r="C472" t="str">
            <v>杰布拉</v>
          </cell>
          <cell r="D472" t="str">
            <v>杰布拉（狼人）</v>
          </cell>
        </row>
        <row r="472">
          <cell r="F472">
            <v>0</v>
          </cell>
        </row>
        <row r="472">
          <cell r="M472">
            <v>0</v>
          </cell>
          <cell r="N472">
            <v>0</v>
          </cell>
          <cell r="O472">
            <v>3</v>
          </cell>
          <cell r="P472">
            <v>3</v>
          </cell>
          <cell r="Q472">
            <v>4</v>
          </cell>
          <cell r="R472" t="str">
            <v>世界政府</v>
          </cell>
          <cell r="S472">
            <v>3</v>
          </cell>
          <cell r="T472">
            <v>7</v>
          </cell>
          <cell r="U472">
            <v>2</v>
          </cell>
        </row>
        <row r="473">
          <cell r="A473">
            <v>1112020</v>
          </cell>
          <cell r="B473">
            <v>1112020</v>
          </cell>
          <cell r="C473" t="str">
            <v>佳妮法</v>
          </cell>
          <cell r="D473" t="str">
            <v>佳妮法</v>
          </cell>
        </row>
        <row r="473">
          <cell r="F473">
            <v>1</v>
          </cell>
        </row>
        <row r="473">
          <cell r="M473">
            <v>0</v>
          </cell>
          <cell r="N473">
            <v>0</v>
          </cell>
          <cell r="O473">
            <v>3</v>
          </cell>
          <cell r="P473">
            <v>3</v>
          </cell>
          <cell r="Q473">
            <v>4</v>
          </cell>
          <cell r="R473" t="str">
            <v>世界政府</v>
          </cell>
          <cell r="S473">
            <v>3</v>
          </cell>
          <cell r="T473">
            <v>7</v>
          </cell>
          <cell r="U473">
            <v>2</v>
          </cell>
        </row>
        <row r="474">
          <cell r="A474">
            <v>1112021</v>
          </cell>
          <cell r="B474">
            <v>1112021</v>
          </cell>
          <cell r="C474" t="str">
            <v>卡古</v>
          </cell>
          <cell r="D474" t="str">
            <v>卡古</v>
          </cell>
        </row>
        <row r="474">
          <cell r="F474">
            <v>0</v>
          </cell>
        </row>
        <row r="474">
          <cell r="M474">
            <v>0</v>
          </cell>
          <cell r="N474">
            <v>0</v>
          </cell>
          <cell r="O474">
            <v>3</v>
          </cell>
          <cell r="P474">
            <v>3</v>
          </cell>
          <cell r="Q474">
            <v>4</v>
          </cell>
          <cell r="R474" t="str">
            <v>世界政府</v>
          </cell>
          <cell r="S474">
            <v>2</v>
          </cell>
          <cell r="T474">
            <v>7</v>
          </cell>
          <cell r="U474">
            <v>2</v>
          </cell>
        </row>
        <row r="475">
          <cell r="A475">
            <v>1112022</v>
          </cell>
          <cell r="B475">
            <v>1112022</v>
          </cell>
          <cell r="C475" t="str">
            <v>鲁兹</v>
          </cell>
          <cell r="D475" t="str">
            <v>罗布·鲁兹</v>
          </cell>
        </row>
        <row r="475">
          <cell r="F475">
            <v>0</v>
          </cell>
        </row>
        <row r="475">
          <cell r="M475">
            <v>0</v>
          </cell>
          <cell r="N475">
            <v>0</v>
          </cell>
          <cell r="O475">
            <v>3</v>
          </cell>
          <cell r="P475">
            <v>3</v>
          </cell>
          <cell r="Q475">
            <v>4</v>
          </cell>
          <cell r="R475" t="str">
            <v>世界政府</v>
          </cell>
          <cell r="S475">
            <v>2</v>
          </cell>
          <cell r="T475">
            <v>7</v>
          </cell>
          <cell r="U475">
            <v>3</v>
          </cell>
        </row>
        <row r="476">
          <cell r="A476">
            <v>1112023</v>
          </cell>
          <cell r="B476">
            <v>1112023</v>
          </cell>
          <cell r="C476" t="str">
            <v>阿布萨罗姆</v>
          </cell>
          <cell r="D476" t="str">
            <v>阿布萨罗姆</v>
          </cell>
        </row>
        <row r="476">
          <cell r="F476">
            <v>0</v>
          </cell>
        </row>
        <row r="476">
          <cell r="M476">
            <v>0</v>
          </cell>
          <cell r="N476">
            <v>0</v>
          </cell>
          <cell r="O476">
            <v>3</v>
          </cell>
          <cell r="P476">
            <v>3</v>
          </cell>
          <cell r="Q476">
            <v>5</v>
          </cell>
          <cell r="R476" t="str">
            <v>恐怖之船</v>
          </cell>
          <cell r="S476">
            <v>3</v>
          </cell>
          <cell r="T476">
            <v>7</v>
          </cell>
          <cell r="U476">
            <v>2</v>
          </cell>
        </row>
        <row r="477">
          <cell r="A477">
            <v>1112024</v>
          </cell>
          <cell r="B477">
            <v>1112024</v>
          </cell>
          <cell r="C477" t="str">
            <v>豪格巴克</v>
          </cell>
          <cell r="D477" t="str">
            <v>豪格巴克</v>
          </cell>
        </row>
        <row r="477">
          <cell r="F477">
            <v>0</v>
          </cell>
        </row>
        <row r="477">
          <cell r="M477">
            <v>0</v>
          </cell>
          <cell r="N477">
            <v>0</v>
          </cell>
          <cell r="O477">
            <v>3</v>
          </cell>
          <cell r="P477">
            <v>3</v>
          </cell>
          <cell r="Q477">
            <v>5</v>
          </cell>
          <cell r="R477" t="str">
            <v>恐怖之船</v>
          </cell>
          <cell r="S477">
            <v>3</v>
          </cell>
          <cell r="T477">
            <v>7</v>
          </cell>
          <cell r="U477">
            <v>2</v>
          </cell>
        </row>
        <row r="478">
          <cell r="A478">
            <v>1112025</v>
          </cell>
          <cell r="B478">
            <v>1112025</v>
          </cell>
          <cell r="C478" t="str">
            <v>佩罗娜</v>
          </cell>
          <cell r="D478" t="str">
            <v>佩罗娜</v>
          </cell>
        </row>
        <row r="478">
          <cell r="F478">
            <v>1</v>
          </cell>
        </row>
        <row r="478">
          <cell r="M478">
            <v>0</v>
          </cell>
          <cell r="N478">
            <v>0</v>
          </cell>
          <cell r="O478">
            <v>3</v>
          </cell>
          <cell r="P478">
            <v>3</v>
          </cell>
          <cell r="Q478">
            <v>5</v>
          </cell>
          <cell r="R478" t="str">
            <v>恐怖之船</v>
          </cell>
          <cell r="S478">
            <v>3</v>
          </cell>
          <cell r="T478">
            <v>7</v>
          </cell>
          <cell r="U478">
            <v>2</v>
          </cell>
        </row>
        <row r="479">
          <cell r="A479">
            <v>1112026</v>
          </cell>
          <cell r="B479">
            <v>1112026</v>
          </cell>
          <cell r="C479" t="str">
            <v>龙马</v>
          </cell>
          <cell r="D479" t="str">
            <v>龙马</v>
          </cell>
        </row>
        <row r="479">
          <cell r="F479">
            <v>0</v>
          </cell>
        </row>
        <row r="479">
          <cell r="M479">
            <v>0</v>
          </cell>
          <cell r="N479">
            <v>0</v>
          </cell>
          <cell r="O479">
            <v>3</v>
          </cell>
          <cell r="P479">
            <v>7</v>
          </cell>
          <cell r="Q479">
            <v>5</v>
          </cell>
          <cell r="R479" t="str">
            <v>恐怖之船</v>
          </cell>
          <cell r="S479">
            <v>3</v>
          </cell>
          <cell r="T479">
            <v>7</v>
          </cell>
          <cell r="U479">
            <v>1</v>
          </cell>
        </row>
        <row r="480">
          <cell r="A480">
            <v>1112027</v>
          </cell>
          <cell r="B480">
            <v>1112027</v>
          </cell>
          <cell r="C480" t="str">
            <v>贝宝</v>
          </cell>
          <cell r="D480" t="str">
            <v>sumi</v>
          </cell>
        </row>
        <row r="480">
          <cell r="F480">
            <v>0</v>
          </cell>
        </row>
        <row r="480">
          <cell r="H480" t="str">
            <v>会功夫的情感细腻的公熊。\n罗所率领的心脏海盗团的一员。\n身手敏捷，擅长踢技。</v>
          </cell>
          <cell r="I480" t="str">
            <v>单点爆发</v>
          </cell>
          <cell r="J480" t="str">
            <v>前排优先</v>
          </cell>
          <cell r="K480" t="str">
            <v>无</v>
          </cell>
          <cell r="L480">
            <v>439438</v>
          </cell>
          <cell r="M480">
            <v>0</v>
          </cell>
          <cell r="N480">
            <v>0</v>
          </cell>
          <cell r="O480">
            <v>4</v>
          </cell>
          <cell r="P480">
            <v>4</v>
          </cell>
          <cell r="Q480">
            <v>3</v>
          </cell>
          <cell r="R480" t="str">
            <v/>
          </cell>
          <cell r="S480">
            <v>3</v>
          </cell>
          <cell r="T480">
            <v>7</v>
          </cell>
          <cell r="U480">
            <v>2</v>
          </cell>
        </row>
        <row r="481">
          <cell r="A481">
            <v>1112028</v>
          </cell>
          <cell r="B481">
            <v>1112028</v>
          </cell>
          <cell r="C481" t="str">
            <v>战桃丸</v>
          </cell>
          <cell r="D481" t="str">
            <v>fei</v>
          </cell>
        </row>
        <row r="481">
          <cell r="F481">
            <v>0</v>
          </cell>
        </row>
        <row r="481">
          <cell r="H481" t="str">
            <v>原海军总部科学部队队长。\n率领着“和平主义者”。\n擅长防御，拥有强大的防守能力。</v>
          </cell>
          <cell r="I481" t="str">
            <v>防御壁垒</v>
          </cell>
          <cell r="J481" t="str">
            <v>前排优先</v>
          </cell>
          <cell r="K481" t="str">
            <v>无</v>
          </cell>
          <cell r="L481" t="str">
            <v>447,445</v>
          </cell>
          <cell r="M481">
            <v>0</v>
          </cell>
          <cell r="N481">
            <v>0</v>
          </cell>
          <cell r="O481">
            <v>4</v>
          </cell>
          <cell r="P481">
            <v>4</v>
          </cell>
          <cell r="Q481">
            <v>2</v>
          </cell>
          <cell r="R481" t="str">
            <v>海军</v>
          </cell>
          <cell r="S481">
            <v>3</v>
          </cell>
          <cell r="T481">
            <v>7</v>
          </cell>
          <cell r="U481">
            <v>2</v>
          </cell>
        </row>
        <row r="482">
          <cell r="A482">
            <v>1112029</v>
          </cell>
          <cell r="B482">
            <v>1112029</v>
          </cell>
          <cell r="C482" t="str">
            <v>Baby5</v>
          </cell>
          <cell r="D482" t="str">
            <v>Baby5</v>
          </cell>
        </row>
        <row r="482">
          <cell r="F482">
            <v>1</v>
          </cell>
          <cell r="G482" t="str">
            <v>唐吉诃德家族杀手兼女仆。武器果实能力者。渴望被需要而无法拒绝别人的请求。</v>
          </cell>
          <cell r="H482" t="str">
            <v>唐吉诃德家族杀手兼女仆。\n武器果实能力者。\n可变化为多种武器进行战斗。</v>
          </cell>
        </row>
        <row r="482">
          <cell r="J482" t="str">
            <v>前排优先</v>
          </cell>
          <cell r="K482" t="str">
            <v>武器之果</v>
          </cell>
          <cell r="L482" t="str">
            <v>725,726</v>
          </cell>
          <cell r="M482">
            <v>0</v>
          </cell>
          <cell r="N482">
            <v>0</v>
          </cell>
          <cell r="O482">
            <v>3</v>
          </cell>
          <cell r="P482">
            <v>3</v>
          </cell>
          <cell r="Q482">
            <v>5</v>
          </cell>
          <cell r="R482" t="str">
            <v/>
          </cell>
          <cell r="S482">
            <v>3</v>
          </cell>
          <cell r="T482">
            <v>7</v>
          </cell>
          <cell r="U482">
            <v>2</v>
          </cell>
        </row>
        <row r="483">
          <cell r="A483">
            <v>1113001</v>
          </cell>
          <cell r="B483">
            <v>1113001</v>
          </cell>
          <cell r="C483" t="str">
            <v>沙·鳄鱼</v>
          </cell>
          <cell r="D483" t="str">
            <v>克洛克达尔</v>
          </cell>
        </row>
        <row r="483">
          <cell r="F483">
            <v>0</v>
          </cell>
          <cell r="G483" t="str">
            <v>表面上扮演着“阿鲁巴拿的守护神”，其实私下却是企图统治阿鲁巴拿王国的巴洛克工作社的老板。悬赏金额高达8100万贝里，“王下七武海”之一。</v>
          </cell>
        </row>
        <row r="483">
          <cell r="M483">
            <v>0</v>
          </cell>
          <cell r="N483">
            <v>0</v>
          </cell>
          <cell r="O483">
            <v>1</v>
          </cell>
          <cell r="P483">
            <v>1</v>
          </cell>
          <cell r="Q483">
            <v>5</v>
          </cell>
          <cell r="R483" t="str">
            <v>巴洛克工作室</v>
          </cell>
          <cell r="S483">
            <v>3</v>
          </cell>
          <cell r="T483">
            <v>8</v>
          </cell>
          <cell r="U483">
            <v>3</v>
          </cell>
        </row>
        <row r="484">
          <cell r="A484">
            <v>1113002</v>
          </cell>
          <cell r="B484">
            <v>1113002</v>
          </cell>
          <cell r="C484" t="str">
            <v>艾尼路</v>
          </cell>
          <cell r="D484" t="str">
            <v>艾尼路</v>
          </cell>
        </row>
        <row r="484">
          <cell r="F484">
            <v>0</v>
          </cell>
          <cell r="G484" t="str">
            <v>梦想回归圣地的空岛唯一的神。他是具有操纵雷电之果能力的雷人。在唯一的天敌路飞出现前，在天空圣地实施了长达6年的恐怖统治。</v>
          </cell>
        </row>
        <row r="484">
          <cell r="M484">
            <v>0</v>
          </cell>
          <cell r="N484">
            <v>0</v>
          </cell>
          <cell r="O484">
            <v>1</v>
          </cell>
          <cell r="P484">
            <v>1</v>
          </cell>
          <cell r="Q484">
            <v>8</v>
          </cell>
          <cell r="R484" t="str">
            <v>空岛神</v>
          </cell>
          <cell r="S484">
            <v>3</v>
          </cell>
          <cell r="T484">
            <v>8</v>
          </cell>
          <cell r="U484">
            <v>3</v>
          </cell>
        </row>
        <row r="485">
          <cell r="A485">
            <v>1113003</v>
          </cell>
          <cell r="B485">
            <v>1113003</v>
          </cell>
          <cell r="C485" t="str">
            <v>青雉</v>
          </cell>
          <cell r="D485" t="str">
            <v>青雉</v>
          </cell>
        </row>
        <row r="485">
          <cell r="F485">
            <v>0</v>
          </cell>
          <cell r="G485" t="str">
            <v>既是冰冻之果的能力者，亦是海军总部的最高战斗力之一！他是个在漫不经心的态度背后，持有独特正义观的海军总部大将。对赤犬过头的正义心存抵触。</v>
          </cell>
        </row>
        <row r="485">
          <cell r="M485">
            <v>0</v>
          </cell>
          <cell r="N485">
            <v>0</v>
          </cell>
          <cell r="O485">
            <v>1</v>
          </cell>
          <cell r="P485">
            <v>1</v>
          </cell>
          <cell r="Q485">
            <v>2</v>
          </cell>
          <cell r="R485" t="str">
            <v>海军</v>
          </cell>
          <cell r="S485">
            <v>3</v>
          </cell>
          <cell r="T485">
            <v>8</v>
          </cell>
          <cell r="U485">
            <v>3</v>
          </cell>
        </row>
        <row r="486">
          <cell r="A486">
            <v>1113004</v>
          </cell>
          <cell r="B486">
            <v>1113004</v>
          </cell>
          <cell r="C486" t="str">
            <v>戈普</v>
          </cell>
          <cell r="D486" t="str">
            <v>戈普</v>
          </cell>
        </row>
        <row r="486">
          <cell r="F486">
            <v>0</v>
          </cell>
          <cell r="G486" t="str">
            <v>凭借一双拳头驰骋于大海，活着的“传说中的海兵”！是曾和战国共同追拿罗杰的海军英雄。一个豪放磊落、大胆无畏的血性男子。</v>
          </cell>
        </row>
        <row r="486">
          <cell r="M486">
            <v>0</v>
          </cell>
          <cell r="N486">
            <v>0</v>
          </cell>
          <cell r="O486">
            <v>4</v>
          </cell>
          <cell r="P486">
            <v>4</v>
          </cell>
          <cell r="Q486">
            <v>2</v>
          </cell>
          <cell r="R486" t="str">
            <v>海军</v>
          </cell>
          <cell r="S486">
            <v>3</v>
          </cell>
          <cell r="T486">
            <v>8</v>
          </cell>
          <cell r="U486">
            <v>3</v>
          </cell>
        </row>
        <row r="487">
          <cell r="A487">
            <v>1113005</v>
          </cell>
          <cell r="B487">
            <v>1113005</v>
          </cell>
          <cell r="C487" t="str">
            <v>莫利亚</v>
          </cell>
          <cell r="D487" t="str">
            <v>莫利亚</v>
          </cell>
        </row>
        <row r="487">
          <cell r="F487">
            <v>0</v>
          </cell>
          <cell r="G487" t="str">
            <v>操纵影子的能力者，恐怖之船的统治者！身为王下七武海的一员，据说是曾经和“四皇”之一的盖德不相上下的实力者。</v>
          </cell>
          <cell r="H487" t="str">
            <v>王下七武海之一，擅长进攻。\n暗影大师，操纵影子攻击敌人。\n擅长使用影子的力量打击敌人。</v>
          </cell>
          <cell r="I487" t="str">
            <v>暗影法师</v>
          </cell>
          <cell r="J487" t="str">
            <v>血量最少</v>
          </cell>
          <cell r="K487" t="str">
            <v>影影之果</v>
          </cell>
        </row>
        <row r="487">
          <cell r="M487">
            <v>0</v>
          </cell>
          <cell r="N487">
            <v>0</v>
          </cell>
          <cell r="O487">
            <v>3</v>
          </cell>
          <cell r="P487">
            <v>3</v>
          </cell>
          <cell r="Q487">
            <v>3</v>
          </cell>
          <cell r="R487" t="str">
            <v>恐怖之船</v>
          </cell>
          <cell r="S487">
            <v>3</v>
          </cell>
          <cell r="T487">
            <v>8</v>
          </cell>
          <cell r="U487">
            <v>3</v>
          </cell>
        </row>
        <row r="488">
          <cell r="A488">
            <v>1113006</v>
          </cell>
          <cell r="B488">
            <v>1113006</v>
          </cell>
          <cell r="C488" t="str">
            <v>大熊</v>
          </cell>
          <cell r="D488" t="str">
            <v>大熊</v>
          </cell>
        </row>
        <row r="488">
          <cell r="F488">
            <v>0</v>
          </cell>
          <cell r="G488" t="str">
            <v>王下七武海，将自己的身体献给政府，成为和平主义者的原型。巨大的身躯中隐藏着钢铁般的意志！！</v>
          </cell>
        </row>
        <row r="488">
          <cell r="M488">
            <v>0</v>
          </cell>
          <cell r="N488">
            <v>0</v>
          </cell>
          <cell r="O488">
            <v>1</v>
          </cell>
          <cell r="P488">
            <v>1</v>
          </cell>
          <cell r="Q488">
            <v>5</v>
          </cell>
          <cell r="R488" t="str">
            <v>王下七武海</v>
          </cell>
          <cell r="S488">
            <v>3</v>
          </cell>
          <cell r="T488">
            <v>8</v>
          </cell>
          <cell r="U488">
            <v>3</v>
          </cell>
        </row>
        <row r="489">
          <cell r="A489">
            <v>1113007</v>
          </cell>
          <cell r="B489">
            <v>1113007</v>
          </cell>
          <cell r="C489" t="str">
            <v>黄猿</v>
          </cell>
          <cell r="D489" t="str">
            <v>波尔萨利诺</v>
          </cell>
        </row>
        <row r="489">
          <cell r="F489">
            <v>0</v>
          </cell>
        </row>
        <row r="489">
          <cell r="M489">
            <v>0</v>
          </cell>
          <cell r="N489">
            <v>0</v>
          </cell>
          <cell r="O489">
            <v>2</v>
          </cell>
          <cell r="P489">
            <v>2</v>
          </cell>
          <cell r="Q489">
            <v>2</v>
          </cell>
          <cell r="R489" t="str">
            <v>海军</v>
          </cell>
          <cell r="S489">
            <v>3</v>
          </cell>
          <cell r="T489">
            <v>8</v>
          </cell>
          <cell r="U489">
            <v>3</v>
          </cell>
        </row>
        <row r="490">
          <cell r="A490">
            <v>1113008</v>
          </cell>
          <cell r="B490">
            <v>1113008</v>
          </cell>
          <cell r="C490" t="str">
            <v>艾斯</v>
          </cell>
          <cell r="D490" t="str">
            <v>艾斯</v>
          </cell>
        </row>
        <row r="490">
          <cell r="F490">
            <v>0</v>
          </cell>
          <cell r="G490" t="str">
            <v>为让白胡子成为王，奔波在大海上的罗杰的儿子！白胡子海盗团2小队队长，路飞的结拜兄弟。</v>
          </cell>
        </row>
        <row r="490">
          <cell r="M490">
            <v>0</v>
          </cell>
          <cell r="N490">
            <v>0</v>
          </cell>
          <cell r="O490">
            <v>2</v>
          </cell>
          <cell r="P490">
            <v>2</v>
          </cell>
          <cell r="Q490">
            <v>3</v>
          </cell>
          <cell r="R490" t="str">
            <v>白胡子海盗团</v>
          </cell>
          <cell r="S490">
            <v>3</v>
          </cell>
          <cell r="T490">
            <v>8</v>
          </cell>
          <cell r="U490">
            <v>3</v>
          </cell>
        </row>
        <row r="491">
          <cell r="A491">
            <v>1113009</v>
          </cell>
          <cell r="B491">
            <v>1113009</v>
          </cell>
          <cell r="C491" t="str">
            <v>赤犬</v>
          </cell>
          <cell r="D491" t="str">
            <v>萨卡斯基</v>
          </cell>
        </row>
        <row r="491">
          <cell r="F491">
            <v>0</v>
          </cell>
        </row>
        <row r="491">
          <cell r="M491">
            <v>0</v>
          </cell>
          <cell r="N491">
            <v>0</v>
          </cell>
          <cell r="O491">
            <v>2</v>
          </cell>
          <cell r="P491">
            <v>2</v>
          </cell>
          <cell r="Q491">
            <v>2</v>
          </cell>
          <cell r="R491" t="str">
            <v>海军</v>
          </cell>
          <cell r="S491">
            <v>3</v>
          </cell>
          <cell r="T491">
            <v>8</v>
          </cell>
          <cell r="U491">
            <v>3</v>
          </cell>
        </row>
        <row r="492">
          <cell r="A492">
            <v>1113010</v>
          </cell>
          <cell r="B492">
            <v>1113010</v>
          </cell>
          <cell r="C492" t="str">
            <v>米霍克</v>
          </cell>
          <cell r="D492" t="str">
            <v>杰拉基尔·米霍克</v>
          </cell>
        </row>
        <row r="492">
          <cell r="F492">
            <v>0</v>
          </cell>
          <cell r="G492" t="str">
            <v>世界最强的剑客，“王下七武海”之一！！可以一击毁掉巨大船舰！</v>
          </cell>
        </row>
        <row r="492">
          <cell r="M492">
            <v>0</v>
          </cell>
          <cell r="N492">
            <v>0</v>
          </cell>
          <cell r="O492">
            <v>1</v>
          </cell>
          <cell r="P492">
            <v>1</v>
          </cell>
          <cell r="Q492">
            <v>5</v>
          </cell>
          <cell r="R492" t="str">
            <v>王下七武海</v>
          </cell>
          <cell r="S492">
            <v>3</v>
          </cell>
          <cell r="T492">
            <v>8</v>
          </cell>
          <cell r="U492">
            <v>3</v>
          </cell>
        </row>
        <row r="493">
          <cell r="A493">
            <v>1113011</v>
          </cell>
          <cell r="B493">
            <v>1113011</v>
          </cell>
          <cell r="C493" t="str">
            <v>鲁兹</v>
          </cell>
          <cell r="D493" t="str">
            <v>路奇</v>
          </cell>
        </row>
        <row r="493">
          <cell r="F493">
            <v>0</v>
          </cell>
        </row>
        <row r="493">
          <cell r="M493">
            <v>0</v>
          </cell>
          <cell r="N493">
            <v>0</v>
          </cell>
          <cell r="O493">
            <v>1</v>
          </cell>
          <cell r="P493">
            <v>1</v>
          </cell>
          <cell r="Q493">
            <v>8</v>
          </cell>
          <cell r="R493" t="str">
            <v>世界政府</v>
          </cell>
          <cell r="S493">
            <v>3</v>
          </cell>
          <cell r="T493">
            <v>7</v>
          </cell>
          <cell r="U493">
            <v>3</v>
          </cell>
        </row>
        <row r="494">
          <cell r="A494">
            <v>11113011</v>
          </cell>
          <cell r="B494">
            <v>11113011</v>
          </cell>
          <cell r="C494" t="str">
            <v>Mr.3</v>
          </cell>
          <cell r="D494" t="str">
            <v>Mr.3（变身后）</v>
          </cell>
        </row>
        <row r="494">
          <cell r="F494">
            <v>0</v>
          </cell>
        </row>
        <row r="494">
          <cell r="M494">
            <v>0</v>
          </cell>
          <cell r="N494">
            <v>0</v>
          </cell>
          <cell r="O494">
            <v>1</v>
          </cell>
          <cell r="P494">
            <v>1</v>
          </cell>
          <cell r="Q494">
            <v>8</v>
          </cell>
          <cell r="R494" t="str">
            <v>巴洛克工作社</v>
          </cell>
          <cell r="S494">
            <v>3</v>
          </cell>
          <cell r="T494">
            <v>7</v>
          </cell>
          <cell r="U494">
            <v>2</v>
          </cell>
        </row>
        <row r="495">
          <cell r="A495">
            <v>1114001</v>
          </cell>
          <cell r="B495">
            <v>1114001</v>
          </cell>
          <cell r="C495" t="str">
            <v>鲁兹</v>
          </cell>
          <cell r="D495" t="str">
            <v>豹子形态</v>
          </cell>
        </row>
        <row r="495">
          <cell r="F495">
            <v>0</v>
          </cell>
        </row>
        <row r="495">
          <cell r="M495">
            <v>0</v>
          </cell>
          <cell r="N495">
            <v>0</v>
          </cell>
          <cell r="O495">
            <v>1</v>
          </cell>
          <cell r="P495">
            <v>1</v>
          </cell>
          <cell r="Q495">
            <v>8</v>
          </cell>
          <cell r="R495" t="str">
            <v>世界政府</v>
          </cell>
          <cell r="S495">
            <v>3</v>
          </cell>
          <cell r="T495">
            <v>7</v>
          </cell>
          <cell r="U495">
            <v>2</v>
          </cell>
        </row>
        <row r="496">
          <cell r="A496">
            <v>11113005</v>
          </cell>
          <cell r="B496">
            <v>11113005</v>
          </cell>
          <cell r="C496" t="str">
            <v>莫利亚影子</v>
          </cell>
          <cell r="D496" t="str">
            <v>莫利亚影子</v>
          </cell>
        </row>
        <row r="496">
          <cell r="F496">
            <v>0</v>
          </cell>
          <cell r="G496" t="str">
            <v>操纵影子的能力者，恐怖之船的统治者！身为王下七武海的一员，据说是曾经和“四皇”之一的盖德不相上下的实力者。</v>
          </cell>
          <cell r="H496" t="str">
            <v>王下七武海之一，擅长进攻。\n暗影大师，操纵影子攻击敌人。\n擅长使用影子的力量打击敌人。</v>
          </cell>
          <cell r="I496" t="str">
            <v>暗影法师</v>
          </cell>
          <cell r="J496" t="str">
            <v>血量最少</v>
          </cell>
          <cell r="K496" t="str">
            <v>影影之果</v>
          </cell>
        </row>
        <row r="496">
          <cell r="M496">
            <v>0</v>
          </cell>
          <cell r="N496">
            <v>0</v>
          </cell>
          <cell r="O496">
            <v>3</v>
          </cell>
          <cell r="P496">
            <v>3</v>
          </cell>
          <cell r="Q496">
            <v>3</v>
          </cell>
          <cell r="R496" t="str">
            <v>恐怖之船</v>
          </cell>
          <cell r="S496">
            <v>3</v>
          </cell>
          <cell r="T496">
            <v>8</v>
          </cell>
          <cell r="U496">
            <v>3</v>
          </cell>
        </row>
        <row r="497">
          <cell r="A497">
            <v>1113012</v>
          </cell>
          <cell r="B497">
            <v>1113012</v>
          </cell>
          <cell r="C497" t="str">
            <v>甚平</v>
          </cell>
          <cell r="D497" t="str">
            <v>甚平</v>
          </cell>
        </row>
        <row r="497">
          <cell r="F497">
            <v>0</v>
          </cell>
          <cell r="G497" t="str">
            <v>用高超的武艺贯彻仁义精神，心地善良的鱼人老大“海侠甚平”！！</v>
          </cell>
          <cell r="H497" t="str">
            <v>王下七武海之一，拥有可怕的怪力。\n精通“鱼人空手道”和“鱼人柔术”。\n有着出色的生存能力和反击能力。</v>
          </cell>
          <cell r="I497" t="str">
            <v>后发制人</v>
          </cell>
          <cell r="J497" t="str">
            <v>前排优先</v>
          </cell>
          <cell r="K497" t="str">
            <v>无</v>
          </cell>
          <cell r="L497" t="str">
            <v>399,398</v>
          </cell>
          <cell r="M497">
            <v>0</v>
          </cell>
          <cell r="N497">
            <v>0</v>
          </cell>
          <cell r="O497">
            <v>4</v>
          </cell>
          <cell r="P497">
            <v>4</v>
          </cell>
          <cell r="Q497">
            <v>5</v>
          </cell>
          <cell r="R497" t="str">
            <v/>
          </cell>
          <cell r="S497">
            <v>3</v>
          </cell>
          <cell r="T497">
            <v>8</v>
          </cell>
          <cell r="U497">
            <v>3</v>
          </cell>
        </row>
        <row r="498">
          <cell r="A498">
            <v>1113013</v>
          </cell>
          <cell r="B498">
            <v>1113013</v>
          </cell>
          <cell r="C498" t="str">
            <v>汉库珂</v>
          </cell>
          <cell r="D498" t="str">
            <v>女帝</v>
          </cell>
        </row>
        <row r="498">
          <cell r="F498">
            <v>1</v>
          </cell>
          <cell r="G498" t="str">
            <v>被称为世界第一的绝世美女，无论男女老幼都被她迷得神魂颠倒！拥有霸王色霸气，是海军元帅也认可的实力者。</v>
          </cell>
          <cell r="H498" t="str">
            <v>王下七武海之一，擅长进攻。\n甜甜之果能力者，九蛇海盗团的现任船长。\n被称为世界第一的绝世美女。</v>
          </cell>
          <cell r="I498" t="str">
            <v>爆发输出</v>
          </cell>
          <cell r="J498" t="str">
            <v>对位优先</v>
          </cell>
          <cell r="K498" t="str">
            <v>甜甜之果</v>
          </cell>
          <cell r="L498" t="str">
            <v>416,412</v>
          </cell>
          <cell r="M498">
            <v>0</v>
          </cell>
          <cell r="N498">
            <v>0</v>
          </cell>
          <cell r="O498">
            <v>3</v>
          </cell>
          <cell r="P498">
            <v>3</v>
          </cell>
          <cell r="Q498">
            <v>5</v>
          </cell>
          <cell r="R498" t="str">
            <v>王下七武海</v>
          </cell>
          <cell r="S498">
            <v>3</v>
          </cell>
          <cell r="T498">
            <v>8</v>
          </cell>
          <cell r="U498">
            <v>3</v>
          </cell>
        </row>
        <row r="499">
          <cell r="A499">
            <v>1113014</v>
          </cell>
          <cell r="B499">
            <v>1113014</v>
          </cell>
          <cell r="C499" t="str">
            <v>罗</v>
          </cell>
          <cell r="D499" t="str">
            <v>罗</v>
          </cell>
        </row>
        <row r="499">
          <cell r="F499">
            <v>0</v>
          </cell>
          <cell r="G499" t="str">
            <v>不做鲁莽的赌注，总是要争取万无一失的胜利，是位头脑敏锐的海盗。</v>
          </cell>
          <cell r="H499" t="str">
            <v>在"北海"大名鼎鼎的超亿元通缉犯。\n有将攻击范围内的敌人交换位置的能力。\n手术之果的拥有者，是位头脑敏锐的海盗。</v>
          </cell>
          <cell r="I499" t="str">
            <v>攻守平衡</v>
          </cell>
          <cell r="J499" t="str">
            <v>前排优先</v>
          </cell>
          <cell r="K499" t="str">
            <v>手术之果</v>
          </cell>
          <cell r="L499" t="str">
            <v>407,401</v>
          </cell>
          <cell r="M499">
            <v>0</v>
          </cell>
          <cell r="N499">
            <v>0</v>
          </cell>
          <cell r="O499">
            <v>3</v>
          </cell>
          <cell r="P499">
            <v>3</v>
          </cell>
          <cell r="Q499">
            <v>9</v>
          </cell>
          <cell r="R499" t="str">
            <v>心脏海盗团</v>
          </cell>
          <cell r="S499">
            <v>3</v>
          </cell>
          <cell r="T499">
            <v>8</v>
          </cell>
          <cell r="U499">
            <v>3</v>
          </cell>
        </row>
        <row r="500">
          <cell r="A500">
            <v>1113015</v>
          </cell>
          <cell r="B500">
            <v>1113015</v>
          </cell>
          <cell r="C500" t="str">
            <v>基德</v>
          </cell>
          <cell r="D500" t="str">
            <v>基德</v>
          </cell>
        </row>
        <row r="500">
          <cell r="F500">
            <v>0</v>
          </cell>
          <cell r="G500" t="str">
            <v>和路飞，佐罗同时登陆香波迪群岛的原超新星。是毫不留情地铲除阻碍自己前进的人，以残忍著称的人物。</v>
          </cell>
          <cell r="H500" t="str">
            <v>超新星之一，擅长进攻和防守。\n具有吸引铁的能力，拥有强大的进攻手段。\n会毫不留情地铲除阻碍自己的人。</v>
          </cell>
          <cell r="I500" t="str">
            <v>攻守平衡</v>
          </cell>
          <cell r="J500" t="str">
            <v>前排优先</v>
          </cell>
          <cell r="K500" t="str">
            <v>磁力吸引</v>
          </cell>
          <cell r="L500" t="str">
            <v>425,419</v>
          </cell>
          <cell r="M500">
            <v>0</v>
          </cell>
          <cell r="N500">
            <v>0</v>
          </cell>
          <cell r="O500">
            <v>3</v>
          </cell>
          <cell r="P500">
            <v>3</v>
          </cell>
          <cell r="Q500">
            <v>9</v>
          </cell>
          <cell r="R500" t="str">
            <v>基德海盗团</v>
          </cell>
          <cell r="S500">
            <v>3</v>
          </cell>
          <cell r="T500">
            <v>8</v>
          </cell>
          <cell r="U500">
            <v>3</v>
          </cell>
        </row>
        <row r="501">
          <cell r="A501">
            <v>1113016</v>
          </cell>
          <cell r="B501">
            <v>1113016</v>
          </cell>
          <cell r="C501" t="str">
            <v>雷利</v>
          </cell>
          <cell r="D501" t="str">
            <v>雷利</v>
          </cell>
        </row>
        <row r="501">
          <cell r="F501">
            <v>0</v>
          </cell>
          <cell r="G501" t="str">
            <v>将时代托付给下一代的老绅士，曾是被称为“冥王”的“海盗王”的左右手！！</v>
          </cell>
          <cell r="H501" t="str">
            <v>被称为“冥王”，是“海盗王”的左右手。\n将时代托付给下一代的老绅士。\n剑客达人，擅长进攻。</v>
          </cell>
          <cell r="I501" t="str">
            <v>极限输出</v>
          </cell>
          <cell r="J501" t="str">
            <v>对位优先</v>
          </cell>
          <cell r="K501" t="str">
            <v>无</v>
          </cell>
          <cell r="L501" t="str">
            <v>455,453</v>
          </cell>
          <cell r="M501">
            <v>0</v>
          </cell>
          <cell r="N501">
            <v>0</v>
          </cell>
          <cell r="O501">
            <v>5</v>
          </cell>
          <cell r="P501">
            <v>5</v>
          </cell>
          <cell r="Q501">
            <v>3</v>
          </cell>
          <cell r="R501" t="str">
            <v>罗杰海盗团</v>
          </cell>
          <cell r="S501">
            <v>3</v>
          </cell>
          <cell r="T501">
            <v>8</v>
          </cell>
          <cell r="U501">
            <v>3</v>
          </cell>
        </row>
        <row r="502">
          <cell r="A502">
            <v>1113017</v>
          </cell>
          <cell r="B502">
            <v>1113017</v>
          </cell>
          <cell r="C502" t="str">
            <v>战国</v>
          </cell>
          <cell r="D502" t="str">
            <v>战国</v>
          </cell>
        </row>
        <row r="502">
          <cell r="F502">
            <v>0</v>
          </cell>
          <cell r="G502" t="str">
            <v>率领强大的精锐海兵的儒帅“佛之战国”！！在大海盗时代之前就统帅海军总部的元帅。凭借足智多谋的策略和绝对正义的信念，立下了累累战功。</v>
          </cell>
          <cell r="H502" t="str">
            <v>率领强大的精锐海兵的儒帅。\n人人之果大佛形态的拥有者。\n统帅海军总部的海军元帅。</v>
          </cell>
          <cell r="I502" t="str">
            <v>攻守平衡</v>
          </cell>
          <cell r="J502" t="str">
            <v>前排优先</v>
          </cell>
          <cell r="K502" t="str">
            <v>人人之果</v>
          </cell>
          <cell r="L502" t="str">
            <v>461,464</v>
          </cell>
          <cell r="M502">
            <v>0</v>
          </cell>
          <cell r="N502">
            <v>0</v>
          </cell>
          <cell r="O502">
            <v>1</v>
          </cell>
          <cell r="P502">
            <v>1</v>
          </cell>
          <cell r="Q502">
            <v>2</v>
          </cell>
          <cell r="R502" t="str">
            <v>海军</v>
          </cell>
          <cell r="S502">
            <v>3</v>
          </cell>
          <cell r="T502">
            <v>8</v>
          </cell>
          <cell r="U502">
            <v>3</v>
          </cell>
        </row>
        <row r="503">
          <cell r="A503">
            <v>11113017</v>
          </cell>
          <cell r="B503">
            <v>11113017</v>
          </cell>
          <cell r="C503" t="str">
            <v>战国大佛型态</v>
          </cell>
          <cell r="D503" t="str">
            <v>战国</v>
          </cell>
        </row>
        <row r="503">
          <cell r="F503">
            <v>0</v>
          </cell>
          <cell r="G503" t="str">
            <v>率领强大的精锐海兵的儒帅“佛之战国”！！在大海盗时代之前就统帅海军总部的元帅。凭借足智多谋的策略和绝对正义的信念，立下了累累战功。</v>
          </cell>
          <cell r="H503" t="str">
            <v>率领强大的精锐海兵的儒帅。\n人人之果大佛形态的拥有者。\n统帅海军总部的海军元帅。</v>
          </cell>
          <cell r="I503" t="str">
            <v>攻守平衡</v>
          </cell>
          <cell r="J503" t="str">
            <v>前排优先</v>
          </cell>
          <cell r="K503" t="str">
            <v>人人之果</v>
          </cell>
          <cell r="L503" t="str">
            <v>461,464</v>
          </cell>
          <cell r="M503">
            <v>0</v>
          </cell>
          <cell r="N503">
            <v>0</v>
          </cell>
          <cell r="O503">
            <v>1</v>
          </cell>
          <cell r="P503">
            <v>1</v>
          </cell>
          <cell r="Q503">
            <v>2</v>
          </cell>
          <cell r="R503" t="str">
            <v>海军</v>
          </cell>
          <cell r="S503">
            <v>3</v>
          </cell>
          <cell r="T503">
            <v>8</v>
          </cell>
          <cell r="U503">
            <v>3</v>
          </cell>
        </row>
        <row r="504">
          <cell r="A504">
            <v>1113018</v>
          </cell>
          <cell r="B504">
            <v>1113018</v>
          </cell>
          <cell r="C504" t="str">
            <v>麦哲伦</v>
          </cell>
          <cell r="D504" t="str">
            <v>麦哲伦</v>
          </cell>
        </row>
        <row r="504">
          <cell r="F504">
            <v>0</v>
          </cell>
          <cell r="G504" t="str">
            <v>令囚犯们胆战心惊的因佩尔地狱监狱长！！身上长有让人联想到恶魔的犄角和翅膀，负责管理号称世界第一的监狱。</v>
          </cell>
        </row>
        <row r="504">
          <cell r="L504" t="str">
            <v>461,464</v>
          </cell>
          <cell r="M504">
            <v>0</v>
          </cell>
          <cell r="N504">
            <v>0</v>
          </cell>
          <cell r="O504">
            <v>1</v>
          </cell>
          <cell r="P504">
            <v>1</v>
          </cell>
          <cell r="Q504">
            <v>8</v>
          </cell>
          <cell r="R504" t="str">
            <v>世界政府</v>
          </cell>
          <cell r="S504">
            <v>3</v>
          </cell>
          <cell r="T504">
            <v>8</v>
          </cell>
          <cell r="U504">
            <v>3</v>
          </cell>
        </row>
        <row r="505">
          <cell r="A505">
            <v>1113019</v>
          </cell>
          <cell r="B505">
            <v>1113019</v>
          </cell>
          <cell r="C505" t="str">
            <v>伊娃</v>
          </cell>
          <cell r="D505" t="str">
            <v>伊娃</v>
          </cell>
        </row>
        <row r="505">
          <cell r="F505">
            <v>2</v>
          </cell>
          <cell r="G505" t="str">
            <v>激昂的革命家，引导“新人类”的奇迹之人！！在大监狱因佩尔地狱的地下秘密建立了“新人类”的王国，解救了误入此地的囚犯们。</v>
          </cell>
        </row>
        <row r="505">
          <cell r="L505" t="str">
            <v>461,464</v>
          </cell>
          <cell r="M505">
            <v>0</v>
          </cell>
          <cell r="N505">
            <v>0</v>
          </cell>
          <cell r="O505">
            <v>1</v>
          </cell>
          <cell r="P505">
            <v>1</v>
          </cell>
          <cell r="Q505">
            <v>8</v>
          </cell>
          <cell r="R505" t="str">
            <v>革命军</v>
          </cell>
          <cell r="S505">
            <v>3</v>
          </cell>
          <cell r="T505">
            <v>8</v>
          </cell>
          <cell r="U505">
            <v>3</v>
          </cell>
        </row>
        <row r="506">
          <cell r="A506">
            <v>1113020</v>
          </cell>
          <cell r="B506">
            <v>1113020</v>
          </cell>
          <cell r="C506" t="str">
            <v>乔兹</v>
          </cell>
          <cell r="D506" t="str">
            <v>乔兹</v>
          </cell>
        </row>
        <row r="506">
          <cell r="F506">
            <v>0</v>
          </cell>
          <cell r="G506" t="str">
            <v>外号“钻石”乔兹，白胡子海盗团第三队队长，超人系钻石果实能力者，拥有世界上最强物理防御的身体</v>
          </cell>
          <cell r="H506" t="str">
            <v>拥有超强的防御力和腕力。\n武装色霸气也极为出色。\n能为队伍承受大量伤害。</v>
          </cell>
          <cell r="I506" t="str">
            <v>防御壁垒</v>
          </cell>
          <cell r="J506" t="str">
            <v>前排优先</v>
          </cell>
          <cell r="K506" t="str">
            <v>闪亮之果</v>
          </cell>
          <cell r="L506" t="str">
            <v>503,502</v>
          </cell>
          <cell r="M506">
            <v>0</v>
          </cell>
          <cell r="N506">
            <v>0</v>
          </cell>
          <cell r="O506">
            <v>3</v>
          </cell>
          <cell r="P506">
            <v>3</v>
          </cell>
          <cell r="Q506">
            <v>3</v>
          </cell>
          <cell r="R506" t="str">
            <v>白胡子海盗团</v>
          </cell>
          <cell r="S506">
            <v>3</v>
          </cell>
          <cell r="T506">
            <v>8</v>
          </cell>
          <cell r="U506">
            <v>3</v>
          </cell>
        </row>
        <row r="507">
          <cell r="A507">
            <v>1113021</v>
          </cell>
          <cell r="B507">
            <v>1113021</v>
          </cell>
          <cell r="C507" t="str">
            <v>白胡子</v>
          </cell>
          <cell r="D507" t="str">
            <v>白胡子</v>
          </cell>
        </row>
        <row r="507">
          <cell r="F507">
            <v>0</v>
          </cell>
          <cell r="G507" t="str">
            <v>白胡子海盗团的船长，拥有毁灭世界的力量，被称为世界最强男人。</v>
          </cell>
          <cell r="H507" t="str">
            <v>被誉为活着的传说。\n最大的梦想是建立“家庭”。\n拥有毁天灭地的输出。</v>
          </cell>
          <cell r="I507" t="str">
            <v>极限输出</v>
          </cell>
          <cell r="J507" t="str">
            <v>前排优先</v>
          </cell>
          <cell r="K507" t="str">
            <v>震动之果</v>
          </cell>
          <cell r="L507" t="str">
            <v>510,511</v>
          </cell>
          <cell r="M507">
            <v>0</v>
          </cell>
          <cell r="N507">
            <v>0</v>
          </cell>
          <cell r="O507">
            <v>3</v>
          </cell>
          <cell r="P507">
            <v>3</v>
          </cell>
          <cell r="Q507">
            <v>3</v>
          </cell>
          <cell r="R507" t="str">
            <v>白胡子海盗团</v>
          </cell>
          <cell r="S507">
            <v>3</v>
          </cell>
          <cell r="T507">
            <v>8</v>
          </cell>
          <cell r="U507">
            <v>3</v>
          </cell>
        </row>
        <row r="508">
          <cell r="A508">
            <v>1113022</v>
          </cell>
          <cell r="B508">
            <v>1113022</v>
          </cell>
          <cell r="C508" t="str">
            <v>马尔高</v>
          </cell>
          <cell r="D508" t="str">
            <v>马尔高</v>
          </cell>
        </row>
        <row r="508">
          <cell r="F508">
            <v>0</v>
          </cell>
          <cell r="G508" t="str">
            <v>白胡子海盗团第一队队长兼船医，动物系“幻兽种”鸟鸟之果·不死鸟型能力者，拥有超强的再生能力。</v>
          </cell>
          <cell r="H508" t="str">
            <v>马尔高性格冷静，忠心于白胡子。\n留着金色的朋克头，看起来像菠萝。\n第二形态下可以造成恐怖的输出。</v>
          </cell>
          <cell r="I508" t="str">
            <v>单点爆发</v>
          </cell>
          <cell r="J508" t="str">
            <v>对位优先</v>
          </cell>
          <cell r="K508" t="str">
            <v>鸟鸟之果</v>
          </cell>
          <cell r="L508" t="str">
            <v>528,529</v>
          </cell>
          <cell r="M508">
            <v>0</v>
          </cell>
          <cell r="N508">
            <v>0</v>
          </cell>
          <cell r="O508">
            <v>1</v>
          </cell>
          <cell r="P508">
            <v>1</v>
          </cell>
          <cell r="Q508">
            <v>3</v>
          </cell>
          <cell r="R508" t="str">
            <v>白胡子海盗团</v>
          </cell>
          <cell r="S508">
            <v>3</v>
          </cell>
          <cell r="T508">
            <v>8</v>
          </cell>
          <cell r="U508">
            <v>3</v>
          </cell>
        </row>
        <row r="509">
          <cell r="A509">
            <v>1113023</v>
          </cell>
          <cell r="B509">
            <v>1113023</v>
          </cell>
          <cell r="C509" t="str">
            <v>比斯塔</v>
          </cell>
          <cell r="D509" t="str">
            <v>比斯塔</v>
          </cell>
        </row>
        <row r="509">
          <cell r="F509">
            <v>0</v>
          </cell>
          <cell r="G509" t="str">
            <v>外号“花剑”，白胡子海盗团五番队队长，二十多年前就已经是白胡子海盗团成员。有名的剑豪，沉稳的二刀流剑士。</v>
          </cell>
          <cell r="H509" t="str">
            <v>性格沉稳，总是保持着微笑。\n使用武器为双剑，二刀流剑士。\n拥有越战越强的特性。</v>
          </cell>
          <cell r="I509" t="str">
            <v>持续输出</v>
          </cell>
          <cell r="J509" t="str">
            <v>对位优先</v>
          </cell>
          <cell r="K509" t="str">
            <v>无</v>
          </cell>
          <cell r="L509" t="str">
            <v>535,537</v>
          </cell>
          <cell r="M509">
            <v>0</v>
          </cell>
          <cell r="N509">
            <v>0</v>
          </cell>
          <cell r="O509">
            <v>5</v>
          </cell>
          <cell r="P509">
            <v>5</v>
          </cell>
          <cell r="Q509">
            <v>3</v>
          </cell>
          <cell r="R509" t="str">
            <v>白胡子海盗团</v>
          </cell>
          <cell r="S509">
            <v>3</v>
          </cell>
          <cell r="T509">
            <v>8</v>
          </cell>
          <cell r="U509">
            <v>3</v>
          </cell>
        </row>
        <row r="510">
          <cell r="A510">
            <v>1113024</v>
          </cell>
          <cell r="B510">
            <v>1113024</v>
          </cell>
          <cell r="C510" t="str">
            <v>杰克斯</v>
          </cell>
          <cell r="D510" t="str">
            <v>杰克斯</v>
          </cell>
        </row>
        <row r="510">
          <cell r="F510">
            <v>0</v>
          </cell>
          <cell r="G510" t="str">
            <v>过去曾在罗杰海盗团见习，在罗杰海盗团解散后，成立了红发海盗团，短短十一年内跻身四皇之一。</v>
          </cell>
          <cell r="H510" t="str">
            <v>左侧脸颊曾被黑胡子所伤，留有三道疤痕。\n性格豪爽大方，不拘小节。\n进入霸者姿态后将无可匹敌。</v>
          </cell>
          <cell r="I510" t="str">
            <v>单点爆发</v>
          </cell>
          <cell r="J510" t="str">
            <v>前排优先</v>
          </cell>
          <cell r="K510" t="str">
            <v>无</v>
          </cell>
          <cell r="L510" t="str">
            <v>544,545</v>
          </cell>
          <cell r="M510">
            <v>0</v>
          </cell>
          <cell r="N510">
            <v>0</v>
          </cell>
          <cell r="O510">
            <v>5</v>
          </cell>
          <cell r="P510">
            <v>5</v>
          </cell>
          <cell r="Q510">
            <v>3</v>
          </cell>
          <cell r="R510" t="str">
            <v>红发海盗团</v>
          </cell>
          <cell r="S510">
            <v>3</v>
          </cell>
          <cell r="T510">
            <v>8</v>
          </cell>
          <cell r="U510">
            <v>3</v>
          </cell>
        </row>
        <row r="511">
          <cell r="A511">
            <v>1113025</v>
          </cell>
          <cell r="B511">
            <v>112004</v>
          </cell>
          <cell r="C511" t="str">
            <v>新世界撒谎布</v>
          </cell>
          <cell r="D511" t="str">
            <v>两年后撒谎布</v>
          </cell>
        </row>
        <row r="511">
          <cell r="F511">
            <v>0</v>
          </cell>
          <cell r="G511" t="str">
            <v>曾经为自己力量的不足而懊恼不已，但经过2年的修行后，身心都得到茁壮成长。</v>
          </cell>
          <cell r="H511" t="str">
            <v>草帽团百发百中的狙击手。\n立志成为勇敢的海上战士。\n命中率高，且能在攻击时控制敌方行动。</v>
          </cell>
          <cell r="I511" t="str">
            <v>控制爆发</v>
          </cell>
          <cell r="J511" t="str">
            <v>血量最少</v>
          </cell>
          <cell r="K511" t="str">
            <v>无</v>
          </cell>
          <cell r="L511" t="str">
            <v>552,553</v>
          </cell>
          <cell r="M511">
            <v>0</v>
          </cell>
          <cell r="N511">
            <v>0</v>
          </cell>
          <cell r="O511">
            <v>6</v>
          </cell>
          <cell r="P511">
            <v>6</v>
          </cell>
          <cell r="Q511">
            <v>1</v>
          </cell>
          <cell r="R511" t="str">
            <v>草帽海盗团</v>
          </cell>
          <cell r="S511">
            <v>3</v>
          </cell>
          <cell r="T511">
            <v>8</v>
          </cell>
          <cell r="U511">
            <v>3</v>
          </cell>
        </row>
        <row r="512">
          <cell r="A512">
            <v>1113026</v>
          </cell>
          <cell r="B512">
            <v>112002</v>
          </cell>
          <cell r="C512" t="str">
            <v>新世界佐罗</v>
          </cell>
          <cell r="D512" t="str">
            <v>两年后佐罗</v>
          </cell>
        </row>
        <row r="512">
          <cell r="F512">
            <v>0</v>
          </cell>
          <cell r="G512" t="str">
            <v>喜欢直来直往，经过两年的修炼，可使武器上缠绕武装色霸气，离大剑豪的目标越来越近。</v>
          </cell>
          <cell r="H512" t="str">
            <v>三刀流剑士，立志成为世界第一大剑豪。\n在米霍克身边修炼两年，实力大增。\n造成伤害同时提升队友生存能力。</v>
          </cell>
          <cell r="I512" t="str">
            <v>攻守平衡</v>
          </cell>
          <cell r="J512" t="str">
            <v>前排优先</v>
          </cell>
          <cell r="K512" t="str">
            <v>无</v>
          </cell>
          <cell r="L512" t="str">
            <v>560,561</v>
          </cell>
          <cell r="M512">
            <v>0</v>
          </cell>
          <cell r="N512">
            <v>0</v>
          </cell>
          <cell r="O512">
            <v>5</v>
          </cell>
          <cell r="P512">
            <v>5</v>
          </cell>
          <cell r="Q512">
            <v>1</v>
          </cell>
          <cell r="R512" t="str">
            <v>草帽海盗团</v>
          </cell>
          <cell r="S512">
            <v>3</v>
          </cell>
          <cell r="T512">
            <v>8</v>
          </cell>
          <cell r="U512">
            <v>3</v>
          </cell>
        </row>
        <row r="513">
          <cell r="A513">
            <v>1113027</v>
          </cell>
          <cell r="B513">
            <v>1113027</v>
          </cell>
          <cell r="C513" t="str">
            <v>黑胡子</v>
          </cell>
          <cell r="D513" t="str">
            <v>黑胡子</v>
          </cell>
        </row>
        <row r="513">
          <cell r="F513">
            <v>0</v>
          </cell>
          <cell r="G513" t="str">
            <v>黑胡子</v>
          </cell>
          <cell r="H513" t="str">
            <v>黑</v>
          </cell>
          <cell r="I513" t="str">
            <v>胡</v>
          </cell>
          <cell r="J513" t="str">
            <v>子</v>
          </cell>
          <cell r="K513" t="str">
            <v>胡子</v>
          </cell>
        </row>
        <row r="513">
          <cell r="M513">
            <v>0</v>
          </cell>
          <cell r="N513">
            <v>0</v>
          </cell>
          <cell r="O513">
            <v>2</v>
          </cell>
          <cell r="P513">
            <v>2</v>
          </cell>
          <cell r="Q513">
            <v>3</v>
          </cell>
          <cell r="R513" t="str">
            <v>黑胡子海盗团</v>
          </cell>
          <cell r="S513">
            <v>3</v>
          </cell>
          <cell r="T513">
            <v>8</v>
          </cell>
          <cell r="U513">
            <v>3</v>
          </cell>
        </row>
        <row r="514">
          <cell r="A514">
            <v>1113028</v>
          </cell>
          <cell r="B514">
            <v>112003</v>
          </cell>
          <cell r="C514" t="str">
            <v>新世界奈美</v>
          </cell>
          <cell r="D514" t="str">
            <v>新世界奈美</v>
          </cell>
        </row>
        <row r="514">
          <cell r="F514">
            <v>1</v>
          </cell>
          <cell r="G514" t="str">
            <v>擅长航海术，梦想是绘制出世界地图，在空岛学习后，气象学知识也大幅提升。</v>
          </cell>
          <cell r="H514" t="str">
            <v>草帽海盗团的航海士，称号小贼猫。\n武器为“魔法天候棒”，头脑聪明又机灵。\n战斗中造成大量属性伤害且拥有强力控制。</v>
          </cell>
          <cell r="I514" t="str">
            <v>控制爆发</v>
          </cell>
          <cell r="J514" t="str">
            <v>前排优先</v>
          </cell>
          <cell r="K514" t="str">
            <v>无</v>
          </cell>
          <cell r="L514" t="str">
            <v>581,582</v>
          </cell>
          <cell r="M514">
            <v>0</v>
          </cell>
          <cell r="N514">
            <v>0</v>
          </cell>
          <cell r="O514">
            <v>6</v>
          </cell>
          <cell r="P514">
            <v>6</v>
          </cell>
          <cell r="Q514">
            <v>1</v>
          </cell>
          <cell r="R514" t="str">
            <v>草帽海盗团</v>
          </cell>
          <cell r="S514">
            <v>3</v>
          </cell>
          <cell r="T514">
            <v>8</v>
          </cell>
          <cell r="U514">
            <v>3</v>
          </cell>
        </row>
        <row r="515">
          <cell r="A515">
            <v>1113029</v>
          </cell>
          <cell r="B515">
            <v>112007</v>
          </cell>
          <cell r="C515" t="str">
            <v>新世界罗宾</v>
          </cell>
          <cell r="D515" t="str">
            <v>新世界罗宾</v>
          </cell>
        </row>
        <row r="515">
          <cell r="F515">
            <v>1</v>
          </cell>
          <cell r="G515" t="str">
            <v>年仅8岁便成为考古学家，目标是找到真正的历史正文，绝不饶恕践踏历史文物的人。</v>
          </cell>
          <cell r="H515" t="str">
            <v>草帽海盗团的考古学家，花花之果能力者。\n西海考古学之岛“奥哈拉”的唯一幸存者。\n战斗中可提升队友属性并降低敌方属性。</v>
          </cell>
          <cell r="I515" t="str">
            <v>进攻辅助</v>
          </cell>
          <cell r="J515" t="str">
            <v>后排优先</v>
          </cell>
          <cell r="K515" t="str">
            <v>花花之果</v>
          </cell>
          <cell r="L515" t="str">
            <v>590,592</v>
          </cell>
          <cell r="M515">
            <v>0</v>
          </cell>
          <cell r="N515">
            <v>0</v>
          </cell>
          <cell r="O515">
            <v>3</v>
          </cell>
          <cell r="P515">
            <v>3</v>
          </cell>
          <cell r="Q515">
            <v>1</v>
          </cell>
          <cell r="R515" t="str">
            <v>草帽海盗团</v>
          </cell>
          <cell r="S515">
            <v>3</v>
          </cell>
          <cell r="T515">
            <v>8</v>
          </cell>
          <cell r="U515">
            <v>3</v>
          </cell>
        </row>
        <row r="516">
          <cell r="A516">
            <v>1113030</v>
          </cell>
          <cell r="B516">
            <v>113030</v>
          </cell>
          <cell r="C516" t="str">
            <v>多弗拉门戈</v>
          </cell>
          <cell r="D516" t="str">
            <v>多弗拉门戈</v>
          </cell>
        </row>
        <row r="516">
          <cell r="F516">
            <v>0</v>
          </cell>
          <cell r="G516" t="str">
            <v>和世界政府联手进行活动，躲在历史阴影里的海盗！！</v>
          </cell>
          <cell r="H516" t="str">
            <v>曾是天龙人的一员。\n桀敖不驯，冷血无情，为达目的不择手段。\n可召唤分身线偶一同战斗。</v>
          </cell>
          <cell r="I516" t="str">
            <v>攻守平衡</v>
          </cell>
          <cell r="J516" t="str">
            <v>对位优先</v>
          </cell>
          <cell r="K516" t="str">
            <v>线线之果</v>
          </cell>
          <cell r="L516" t="str">
            <v>599,600</v>
          </cell>
          <cell r="M516">
            <v>0</v>
          </cell>
          <cell r="N516">
            <v>0</v>
          </cell>
          <cell r="O516">
            <v>3</v>
          </cell>
          <cell r="P516">
            <v>3</v>
          </cell>
          <cell r="Q516">
            <v>5</v>
          </cell>
          <cell r="R516" t="str">
            <v>王下七武海</v>
          </cell>
          <cell r="S516">
            <v>3</v>
          </cell>
          <cell r="T516">
            <v>8</v>
          </cell>
          <cell r="U516">
            <v>3</v>
          </cell>
        </row>
        <row r="517">
          <cell r="A517">
            <v>1113031</v>
          </cell>
          <cell r="B517">
            <v>112001</v>
          </cell>
          <cell r="C517" t="str">
            <v>新世界路飞</v>
          </cell>
          <cell r="D517" t="str">
            <v>新世界路飞</v>
          </cell>
        </row>
        <row r="517">
          <cell r="F517">
            <v>0</v>
          </cell>
          <cell r="G517" t="str">
            <v>超人系橡胶之果能力者，梦想是找到传说中的OnePiece，成为海盗王！</v>
          </cell>
          <cell r="H517" t="str">
            <v>草帽海盗团的船长，十分重视伙伴。\n经过两年的修行，开发出新招式“四档”。\n进入“四档”时，能力大幅提升。</v>
          </cell>
          <cell r="I517" t="str">
            <v>攻守平衡</v>
          </cell>
          <cell r="J517" t="str">
            <v>前排优先</v>
          </cell>
          <cell r="K517" t="str">
            <v>橡皮之果</v>
          </cell>
          <cell r="L517" t="str">
            <v>616,617</v>
          </cell>
          <cell r="M517">
            <v>0</v>
          </cell>
          <cell r="N517">
            <v>0</v>
          </cell>
          <cell r="O517">
            <v>3</v>
          </cell>
          <cell r="P517">
            <v>3</v>
          </cell>
          <cell r="Q517">
            <v>1</v>
          </cell>
          <cell r="R517" t="str">
            <v>草帽海盗团</v>
          </cell>
          <cell r="S517">
            <v>3</v>
          </cell>
          <cell r="T517">
            <v>8</v>
          </cell>
          <cell r="U517">
            <v>3</v>
          </cell>
        </row>
        <row r="518">
          <cell r="A518">
            <v>1113032</v>
          </cell>
          <cell r="B518">
            <v>113032</v>
          </cell>
          <cell r="C518" t="str">
            <v>新世界烟鬼</v>
          </cell>
          <cell r="D518" t="str">
            <v>新世界烟鬼</v>
          </cell>
        </row>
        <row r="518">
          <cell r="F518">
            <v>0</v>
          </cell>
          <cell r="G518" t="str">
            <v>自然系烟雾之果能力者，以路飞为一生的宿敌而精进自己</v>
          </cell>
          <cell r="H518" t="str">
            <v>海军G5支部中将。\n践行自己内心的正义。\n减少所受伤害的同时，可以通过攻击降低敌方战斗力。</v>
          </cell>
          <cell r="I518" t="str">
            <v>防御辅助</v>
          </cell>
          <cell r="J518" t="str">
            <v>前排优先</v>
          </cell>
          <cell r="K518" t="str">
            <v>烟雾之果</v>
          </cell>
          <cell r="L518" t="str">
            <v>627,628</v>
          </cell>
          <cell r="M518">
            <v>0</v>
          </cell>
          <cell r="N518">
            <v>0</v>
          </cell>
          <cell r="O518">
            <v>2</v>
          </cell>
          <cell r="P518">
            <v>2</v>
          </cell>
          <cell r="Q518">
            <v>2</v>
          </cell>
          <cell r="R518" t="str">
            <v>海军</v>
          </cell>
          <cell r="S518">
            <v>3</v>
          </cell>
          <cell r="T518">
            <v>8</v>
          </cell>
          <cell r="U518">
            <v>3</v>
          </cell>
        </row>
        <row r="519">
          <cell r="A519">
            <v>1113033</v>
          </cell>
          <cell r="B519">
            <v>113033</v>
          </cell>
          <cell r="C519" t="str">
            <v>新世界塔希米</v>
          </cell>
          <cell r="D519" t="str">
            <v>新世界塔希米</v>
          </cell>
        </row>
        <row r="519">
          <cell r="F519">
            <v>1</v>
          </cell>
        </row>
        <row r="519">
          <cell r="M519">
            <v>0</v>
          </cell>
          <cell r="N519">
            <v>0</v>
          </cell>
          <cell r="O519">
            <v>5</v>
          </cell>
          <cell r="P519">
            <v>5</v>
          </cell>
          <cell r="Q519">
            <v>2</v>
          </cell>
          <cell r="R519" t="str">
            <v>海军</v>
          </cell>
          <cell r="S519">
            <v>3</v>
          </cell>
          <cell r="T519">
            <v>8</v>
          </cell>
          <cell r="U519">
            <v>3</v>
          </cell>
        </row>
        <row r="520">
          <cell r="A520">
            <v>1113039</v>
          </cell>
          <cell r="B520">
            <v>113014</v>
          </cell>
          <cell r="C520" t="str">
            <v>新世界罗</v>
          </cell>
          <cell r="D520" t="str">
            <v>新世界罗</v>
          </cell>
        </row>
        <row r="520">
          <cell r="F520">
            <v>0</v>
          </cell>
          <cell r="G520" t="str">
            <v>超人系手术果实能力者，有着“死亡外科医生”的称号。</v>
          </cell>
          <cell r="H520" t="str">
            <v>红心海盗团团长。\n为人冷静有城府，富有心计。\n通过操纵心脏进行战斗，攻击方式多样。</v>
          </cell>
          <cell r="I520" t="str">
            <v>攻击辅助</v>
          </cell>
          <cell r="J520" t="str">
            <v>前排优先</v>
          </cell>
          <cell r="K520" t="str">
            <v>手术之果</v>
          </cell>
          <cell r="L520" t="str">
            <v>685,686</v>
          </cell>
          <cell r="M520">
            <v>0</v>
          </cell>
          <cell r="N520">
            <v>0</v>
          </cell>
          <cell r="O520">
            <v>3</v>
          </cell>
          <cell r="P520">
            <v>3</v>
          </cell>
          <cell r="Q520">
            <v>9</v>
          </cell>
          <cell r="R520" t="str">
            <v/>
          </cell>
          <cell r="S520">
            <v>3</v>
          </cell>
          <cell r="T520">
            <v>8</v>
          </cell>
          <cell r="U520">
            <v>3</v>
          </cell>
        </row>
        <row r="521">
          <cell r="A521">
            <v>1113041</v>
          </cell>
          <cell r="B521">
            <v>113041</v>
          </cell>
          <cell r="C521" t="str">
            <v>凯撒</v>
          </cell>
          <cell r="D521" t="str">
            <v>凯撒</v>
          </cell>
        </row>
        <row r="521">
          <cell r="F521">
            <v>0</v>
          </cell>
        </row>
        <row r="521">
          <cell r="M521">
            <v>0</v>
          </cell>
          <cell r="N521">
            <v>0</v>
          </cell>
          <cell r="O521">
            <v>2</v>
          </cell>
          <cell r="P521">
            <v>2</v>
          </cell>
          <cell r="Q521">
            <v>8</v>
          </cell>
          <cell r="R521" t="str">
            <v/>
          </cell>
          <cell r="S521">
            <v>3</v>
          </cell>
          <cell r="T521">
            <v>8</v>
          </cell>
          <cell r="U521">
            <v>3</v>
          </cell>
        </row>
        <row r="522">
          <cell r="A522">
            <v>1113037</v>
          </cell>
          <cell r="B522">
            <v>112005</v>
          </cell>
          <cell r="C522" t="str">
            <v>新世界山智</v>
          </cell>
          <cell r="D522" t="str">
            <v>新世界山智</v>
          </cell>
        </row>
        <row r="522">
          <cell r="F522">
            <v>0</v>
          </cell>
          <cell r="G522" t="str">
            <v>践行着骑士精神的绅士，两年后的他尤为擅长见闻色霸气，拥有不凡的实力。</v>
          </cell>
          <cell r="H522" t="str">
            <v>草帽海盗团的厨师，有“黑足”的称号。\n温柔冷静，信赖着伙伴们。\n爆发能力出众，拥有独特的生存能力。</v>
          </cell>
          <cell r="I522" t="str">
            <v>单点爆发</v>
          </cell>
          <cell r="J522" t="str">
            <v>对位优先</v>
          </cell>
          <cell r="K522" t="str">
            <v>无</v>
          </cell>
          <cell r="L522" t="str">
            <v>659,660</v>
          </cell>
          <cell r="M522">
            <v>0</v>
          </cell>
          <cell r="N522">
            <v>0</v>
          </cell>
          <cell r="O522">
            <v>4</v>
          </cell>
          <cell r="P522">
            <v>4</v>
          </cell>
          <cell r="Q522">
            <v>1</v>
          </cell>
          <cell r="R522" t="str">
            <v/>
          </cell>
          <cell r="S522">
            <v>3</v>
          </cell>
          <cell r="T522">
            <v>8</v>
          </cell>
          <cell r="U522">
            <v>3</v>
          </cell>
        </row>
        <row r="523">
          <cell r="A523">
            <v>1113043</v>
          </cell>
          <cell r="B523">
            <v>113043</v>
          </cell>
          <cell r="C523" t="str">
            <v>藤虎</v>
          </cell>
          <cell r="D523" t="str">
            <v>藤虎</v>
          </cell>
        </row>
        <row r="523">
          <cell r="F523">
            <v>0</v>
          </cell>
          <cell r="G523" t="str">
            <v>原为无人知晓的民间高手，两年间通过“世界征兵”破格提升为海军大将。</v>
          </cell>
          <cell r="H523" t="str">
            <v>新海军三大将之一。\n实力强大，贯彻内心的正义。\n可造成恐怖的范围伤害。</v>
          </cell>
          <cell r="I523" t="str">
            <v>控制爆发</v>
          </cell>
          <cell r="J523" t="str">
            <v>前排优先</v>
          </cell>
          <cell r="K523" t="str">
            <v>重重之果</v>
          </cell>
          <cell r="L523" t="str">
            <v>717,718</v>
          </cell>
          <cell r="M523">
            <v>0</v>
          </cell>
          <cell r="N523">
            <v>0</v>
          </cell>
          <cell r="O523">
            <v>3</v>
          </cell>
          <cell r="P523">
            <v>3</v>
          </cell>
          <cell r="Q523">
            <v>2</v>
          </cell>
          <cell r="R523" t="str">
            <v/>
          </cell>
          <cell r="S523">
            <v>3</v>
          </cell>
          <cell r="T523">
            <v>8</v>
          </cell>
          <cell r="U523">
            <v>3</v>
          </cell>
        </row>
        <row r="524">
          <cell r="A524">
            <v>1113035</v>
          </cell>
          <cell r="B524">
            <v>113035</v>
          </cell>
          <cell r="C524" t="str">
            <v>新世界弗兰奇</v>
          </cell>
          <cell r="D524" t="str">
            <v>新世界弗兰奇</v>
          </cell>
        </row>
        <row r="524">
          <cell r="F524">
            <v>0</v>
          </cell>
          <cell r="G524" t="str">
            <v>机关岛上，在研究所中，发现了贝加庞克遗留的兵器类发明文献后，将自己再次改造。</v>
          </cell>
          <cell r="H524" t="str">
            <v>草帽海盗团的船匠，性格豪放。\n在机关岛两年，将自己的身体再次改造。\n防御和爆发能力出众。</v>
          </cell>
          <cell r="I524" t="str">
            <v>攻守平衡</v>
          </cell>
          <cell r="J524" t="str">
            <v>前排优先</v>
          </cell>
          <cell r="K524" t="str">
            <v>无</v>
          </cell>
          <cell r="L524" t="str">
            <v>665,666</v>
          </cell>
          <cell r="M524">
            <v>0</v>
          </cell>
          <cell r="N524">
            <v>0</v>
          </cell>
          <cell r="O524">
            <v>4</v>
          </cell>
          <cell r="P524">
            <v>4</v>
          </cell>
          <cell r="Q524">
            <v>1</v>
          </cell>
          <cell r="R524" t="str">
            <v/>
          </cell>
          <cell r="S524">
            <v>3</v>
          </cell>
          <cell r="T524">
            <v>8</v>
          </cell>
          <cell r="U524">
            <v>3</v>
          </cell>
        </row>
        <row r="525">
          <cell r="A525">
            <v>1113036</v>
          </cell>
          <cell r="B525">
            <v>112009</v>
          </cell>
          <cell r="C525" t="str">
            <v>新世界布鲁克</v>
          </cell>
          <cell r="D525" t="str">
            <v>新世界布鲁克</v>
          </cell>
        </row>
        <row r="525">
          <cell r="F525">
            <v>0</v>
          </cell>
          <cell r="G525" t="str">
            <v>超人系黄泉之果能力者，重视伙伴的骷髅人，两年后告别了明星的生活与伙伴一同前往新世界。</v>
          </cell>
          <cell r="H525" t="str">
            <v>草帽海盗团的音乐家，人称“灵魂之王”。\n虽身为一具白骨，但却有不凡的实力。\n可通过冻结或催眠方式限制敌方行动。</v>
          </cell>
          <cell r="I525" t="str">
            <v>控制爆发</v>
          </cell>
          <cell r="J525" t="str">
            <v>对位优先</v>
          </cell>
          <cell r="K525" t="str">
            <v>黄泉之果</v>
          </cell>
          <cell r="L525" t="str">
            <v>651,652</v>
          </cell>
          <cell r="M525">
            <v>0</v>
          </cell>
          <cell r="N525">
            <v>0</v>
          </cell>
          <cell r="O525">
            <v>3</v>
          </cell>
          <cell r="P525">
            <v>3</v>
          </cell>
          <cell r="Q525">
            <v>1</v>
          </cell>
          <cell r="R525" t="str">
            <v/>
          </cell>
          <cell r="S525">
            <v>3</v>
          </cell>
          <cell r="T525">
            <v>8</v>
          </cell>
          <cell r="U525">
            <v>3</v>
          </cell>
        </row>
        <row r="526">
          <cell r="A526">
            <v>1113038</v>
          </cell>
          <cell r="B526">
            <v>112006</v>
          </cell>
          <cell r="C526" t="str">
            <v>新世界乔巴</v>
          </cell>
          <cell r="D526" t="str">
            <v>新世界乔巴</v>
          </cell>
        </row>
        <row r="526">
          <cell r="F526">
            <v>0</v>
          </cell>
          <cell r="G526" t="str">
            <v>拥有出色医术的医师，经过两年的锻炼，技艺更加炉火纯青。</v>
          </cell>
          <cell r="H526" t="str">
            <v>草帽海盗团的船医，梦想是制造出万能药。\n绝对不会对受伤的人见死不救。\n具有多种回复与辅助技能，支援能力优秀。</v>
          </cell>
          <cell r="I526" t="str">
            <v>医疗辅助</v>
          </cell>
          <cell r="J526" t="str">
            <v>前排优先</v>
          </cell>
          <cell r="K526" t="str">
            <v>人人之果</v>
          </cell>
          <cell r="L526" t="str">
            <v>677,678</v>
          </cell>
          <cell r="M526">
            <v>0</v>
          </cell>
          <cell r="N526">
            <v>0</v>
          </cell>
          <cell r="O526">
            <v>1</v>
          </cell>
          <cell r="P526">
            <v>1</v>
          </cell>
          <cell r="Q526">
            <v>1</v>
          </cell>
          <cell r="R526" t="str">
            <v/>
          </cell>
          <cell r="S526">
            <v>3</v>
          </cell>
          <cell r="T526">
            <v>8</v>
          </cell>
          <cell r="U526">
            <v>3</v>
          </cell>
        </row>
        <row r="527">
          <cell r="A527">
            <v>1113044</v>
          </cell>
          <cell r="B527">
            <v>113044</v>
          </cell>
          <cell r="C527" t="str">
            <v>夏洛特·玲玲</v>
          </cell>
          <cell r="D527" t="str">
            <v>夏洛特·玲玲</v>
          </cell>
        </row>
        <row r="527">
          <cell r="F527">
            <v>1</v>
          </cell>
          <cell r="G527" t="str">
            <v>BIGMOM海盗团的船长，实力强如怪物，被称为“天生破坏者”。</v>
          </cell>
          <cell r="H527" t="str">
            <v>新世界的“四皇”之一。\n身材高大，体型肥胖，极度的嗜吃甜食。\n进攻和防守能力都很恐怖。</v>
          </cell>
          <cell r="I527" t="str">
            <v>攻守平衡</v>
          </cell>
          <cell r="J527" t="str">
            <v>前排优先</v>
          </cell>
          <cell r="K527" t="str">
            <v>魂魂之果</v>
          </cell>
          <cell r="L527" t="str">
            <v>735,731</v>
          </cell>
          <cell r="M527">
            <v>0</v>
          </cell>
          <cell r="N527">
            <v>0</v>
          </cell>
          <cell r="O527">
            <v>3</v>
          </cell>
          <cell r="P527">
            <v>3</v>
          </cell>
          <cell r="Q527">
            <v>3</v>
          </cell>
          <cell r="R527" t="str">
            <v/>
          </cell>
          <cell r="S527">
            <v>3</v>
          </cell>
          <cell r="T527">
            <v>8</v>
          </cell>
          <cell r="U527">
            <v>3</v>
          </cell>
        </row>
        <row r="528">
          <cell r="A528">
            <v>1113045</v>
          </cell>
          <cell r="B528">
            <v>113045</v>
          </cell>
          <cell r="C528" t="str">
            <v>苏打饼</v>
          </cell>
          <cell r="D528" t="str">
            <v>苏打饼</v>
          </cell>
        </row>
        <row r="528">
          <cell r="F528">
            <v>0</v>
          </cell>
          <cell r="G528" t="str">
            <v>BIGMOM海盗团“甜点三将星”之一，饼干果实能力者，被称为“饼干骑士”。</v>
          </cell>
          <cell r="H528" t="str">
            <v>夏洛特家族第十子，饼干大臣。\n最高干部三将星之一，实力非常强大。\n可召唤饼干士兵帮助战斗。</v>
          </cell>
          <cell r="I528" t="str">
            <v>攻守平衡</v>
          </cell>
          <cell r="J528" t="str">
            <v>前排优先</v>
          </cell>
          <cell r="K528" t="str">
            <v>饼干之果</v>
          </cell>
          <cell r="L528" t="str">
            <v>739,744</v>
          </cell>
          <cell r="M528">
            <v>0</v>
          </cell>
          <cell r="N528">
            <v>0</v>
          </cell>
          <cell r="O528">
            <v>3</v>
          </cell>
          <cell r="P528">
            <v>3</v>
          </cell>
          <cell r="Q528">
            <v>3</v>
          </cell>
          <cell r="R528" t="str">
            <v/>
          </cell>
          <cell r="S528">
            <v>3</v>
          </cell>
          <cell r="T528">
            <v>8</v>
          </cell>
          <cell r="U528">
            <v>3</v>
          </cell>
        </row>
        <row r="529">
          <cell r="A529">
            <v>1113046</v>
          </cell>
          <cell r="B529">
            <v>113046</v>
          </cell>
          <cell r="C529" t="str">
            <v>奶昔</v>
          </cell>
          <cell r="D529" t="str">
            <v>奶昔</v>
          </cell>
        </row>
        <row r="529">
          <cell r="F529">
            <v>1</v>
          </cell>
          <cell r="G529" t="str">
            <v>四皇“BIGMOM”夏洛特·玲玲的第14个女儿，托特兰王国的果汁大臣。</v>
          </cell>
          <cell r="H529" t="str">
            <v>夏洛特家族第14女，“甜点三将星”之一。\n出手冷酷，责任心强。\n能够榨出敌方体内的水分。</v>
          </cell>
          <cell r="I529" t="str">
            <v>持续输出</v>
          </cell>
          <cell r="J529" t="str">
            <v>前排优先</v>
          </cell>
          <cell r="K529" t="str">
            <v>榨榨之果</v>
          </cell>
          <cell r="L529" t="str">
            <v>751,752</v>
          </cell>
          <cell r="M529">
            <v>0</v>
          </cell>
          <cell r="N529">
            <v>0</v>
          </cell>
          <cell r="O529">
            <v>3</v>
          </cell>
          <cell r="P529">
            <v>3</v>
          </cell>
          <cell r="Q529">
            <v>3</v>
          </cell>
          <cell r="R529" t="str">
            <v/>
          </cell>
          <cell r="S529">
            <v>3</v>
          </cell>
          <cell r="T529">
            <v>8</v>
          </cell>
          <cell r="U529">
            <v>3</v>
          </cell>
        </row>
        <row r="530">
          <cell r="A530">
            <v>1113040</v>
          </cell>
          <cell r="B530">
            <v>113040</v>
          </cell>
          <cell r="C530" t="str">
            <v>卡塔库栗</v>
          </cell>
          <cell r="D530" t="str">
            <v>卡塔库栗</v>
          </cell>
        </row>
        <row r="530">
          <cell r="F530">
            <v>0</v>
          </cell>
          <cell r="G530" t="str">
            <v>超人系糯糯之果能力者，被誉为夏洛特家族的最高杰作，在家族里深受弟弟妹妹们的爱戴和崇拜。</v>
          </cell>
          <cell r="H530" t="str">
            <v>夏洛特家族次子，非常擅长见闻色霸气。\n智勇双全，沉着冷静。\n拥有较强的生存能力，且能造成不俗的伤害。</v>
          </cell>
          <cell r="I530" t="str">
            <v>攻守平衡</v>
          </cell>
          <cell r="J530" t="str">
            <v>前排优先</v>
          </cell>
          <cell r="K530" t="str">
            <v>糯糯之果</v>
          </cell>
          <cell r="L530" t="str">
            <v>693,694</v>
          </cell>
          <cell r="M530">
            <v>0</v>
          </cell>
          <cell r="N530">
            <v>0</v>
          </cell>
          <cell r="O530">
            <v>3</v>
          </cell>
          <cell r="P530">
            <v>3</v>
          </cell>
          <cell r="Q530">
            <v>3</v>
          </cell>
          <cell r="R530" t="str">
            <v/>
          </cell>
          <cell r="S530">
            <v>3</v>
          </cell>
          <cell r="T530">
            <v>8</v>
          </cell>
          <cell r="U530">
            <v>3</v>
          </cell>
        </row>
        <row r="531">
          <cell r="A531">
            <v>11113045</v>
          </cell>
          <cell r="B531">
            <v>11113045</v>
          </cell>
          <cell r="C531" t="str">
            <v>饼干战士</v>
          </cell>
          <cell r="D531" t="str">
            <v>苏打饼-饼干战士</v>
          </cell>
        </row>
        <row r="531">
          <cell r="F531">
            <v>0</v>
          </cell>
        </row>
        <row r="531">
          <cell r="M531">
            <v>0</v>
          </cell>
          <cell r="N531">
            <v>0</v>
          </cell>
          <cell r="O531">
            <v>3</v>
          </cell>
          <cell r="P531">
            <v>3</v>
          </cell>
          <cell r="Q531">
            <v>2</v>
          </cell>
          <cell r="R531" t="str">
            <v/>
          </cell>
          <cell r="S531">
            <v>3</v>
          </cell>
          <cell r="T531">
            <v>8</v>
          </cell>
          <cell r="U531">
            <v>3</v>
          </cell>
        </row>
        <row r="532">
          <cell r="A532">
            <v>1113054</v>
          </cell>
          <cell r="B532">
            <v>113054</v>
          </cell>
          <cell r="C532" t="str">
            <v>巴尔托洛梅奥</v>
          </cell>
          <cell r="D532" t="str">
            <v>巴尔托洛梅奥</v>
          </cell>
        </row>
        <row r="532">
          <cell r="F532">
            <v>0</v>
          </cell>
          <cell r="G532" t="str">
            <v>屏障之果能力者，出身罗格镇，见证了路飞在罗格镇处刑台上展现的气魄而对其心生崇拜。</v>
          </cell>
          <cell r="H532" t="str">
            <v>巴托俱乐部首领兼草帽大船团第二番船长。\n看似放任不羁，却极度重视义气。\n擅长使用屏障保护自己和队友。</v>
          </cell>
          <cell r="I532" t="str">
            <v>防御辅助</v>
          </cell>
          <cell r="J532" t="str">
            <v>前排优先</v>
          </cell>
          <cell r="K532" t="str">
            <v>屏障之果</v>
          </cell>
          <cell r="L532" t="str">
            <v>826,827</v>
          </cell>
          <cell r="M532">
            <v>0</v>
          </cell>
          <cell r="N532">
            <v>0</v>
          </cell>
          <cell r="O532">
            <v>3</v>
          </cell>
          <cell r="P532">
            <v>3</v>
          </cell>
          <cell r="Q532">
            <v>3</v>
          </cell>
          <cell r="R532" t="str">
            <v/>
          </cell>
          <cell r="S532">
            <v>3</v>
          </cell>
          <cell r="T532">
            <v>8</v>
          </cell>
          <cell r="U532">
            <v>3</v>
          </cell>
        </row>
        <row r="533">
          <cell r="A533">
            <v>9981201</v>
          </cell>
          <cell r="B533">
            <v>1112013</v>
          </cell>
          <cell r="C533" t="str">
            <v>Mr.1</v>
          </cell>
          <cell r="D533" t="str">
            <v>Mr.1</v>
          </cell>
        </row>
        <row r="533">
          <cell r="F533">
            <v>0</v>
          </cell>
        </row>
        <row r="533">
          <cell r="M533">
            <v>0</v>
          </cell>
          <cell r="N533">
            <v>0</v>
          </cell>
          <cell r="O533">
            <v>1</v>
          </cell>
          <cell r="P533">
            <v>1</v>
          </cell>
          <cell r="Q533">
            <v>8</v>
          </cell>
          <cell r="R533" t="str">
            <v>巴洛克工作社</v>
          </cell>
          <cell r="S533">
            <v>3</v>
          </cell>
          <cell r="T533">
            <v>7</v>
          </cell>
          <cell r="U533">
            <v>2</v>
          </cell>
        </row>
        <row r="534">
          <cell r="A534">
            <v>3000001</v>
          </cell>
          <cell r="B534">
            <v>3000001</v>
          </cell>
          <cell r="C534" t="str">
            <v>凯撒</v>
          </cell>
          <cell r="D534" t="str">
            <v>周年庆</v>
          </cell>
        </row>
        <row r="534">
          <cell r="F534">
            <v>0</v>
          </cell>
        </row>
        <row r="534">
          <cell r="M534">
            <v>0</v>
          </cell>
          <cell r="N534">
            <v>0</v>
          </cell>
          <cell r="O534">
            <v>2</v>
          </cell>
          <cell r="P534">
            <v>2</v>
          </cell>
          <cell r="Q534">
            <v>8</v>
          </cell>
          <cell r="R534" t="str">
            <v/>
          </cell>
          <cell r="S534">
            <v>3</v>
          </cell>
          <cell r="T534">
            <v>8</v>
          </cell>
          <cell r="U534">
            <v>3</v>
          </cell>
        </row>
        <row r="535">
          <cell r="A535">
            <v>3000002</v>
          </cell>
          <cell r="B535">
            <v>3000002</v>
          </cell>
          <cell r="C535" t="str">
            <v>莫奈</v>
          </cell>
          <cell r="D535" t="str">
            <v>周年庆</v>
          </cell>
        </row>
        <row r="535">
          <cell r="F535">
            <v>1</v>
          </cell>
        </row>
        <row r="535">
          <cell r="M535">
            <v>0</v>
          </cell>
          <cell r="N535">
            <v>0</v>
          </cell>
          <cell r="O535">
            <v>2</v>
          </cell>
          <cell r="P535">
            <v>2</v>
          </cell>
          <cell r="Q535">
            <v>8</v>
          </cell>
          <cell r="R535" t="str">
            <v/>
          </cell>
          <cell r="S535">
            <v>1</v>
          </cell>
          <cell r="T535">
            <v>1</v>
          </cell>
          <cell r="U535">
            <v>1</v>
          </cell>
        </row>
        <row r="536">
          <cell r="A536">
            <v>3000003</v>
          </cell>
          <cell r="B536">
            <v>3000003</v>
          </cell>
          <cell r="C536" t="str">
            <v>PH部队持枪</v>
          </cell>
          <cell r="D536" t="str">
            <v>周年庆</v>
          </cell>
        </row>
        <row r="536">
          <cell r="F536">
            <v>0</v>
          </cell>
        </row>
        <row r="536">
          <cell r="M536">
            <v>0</v>
          </cell>
          <cell r="N536">
            <v>0</v>
          </cell>
          <cell r="O536">
            <v>5</v>
          </cell>
          <cell r="P536">
            <v>5</v>
          </cell>
          <cell r="Q536">
            <v>8</v>
          </cell>
          <cell r="R536" t="str">
            <v/>
          </cell>
          <cell r="S536">
            <v>1</v>
          </cell>
          <cell r="T536">
            <v>1</v>
          </cell>
          <cell r="U536">
            <v>1</v>
          </cell>
        </row>
        <row r="537">
          <cell r="A537">
            <v>3000004</v>
          </cell>
          <cell r="B537">
            <v>3000004</v>
          </cell>
          <cell r="C537" t="str">
            <v>PH部队持刀</v>
          </cell>
          <cell r="D537" t="str">
            <v>周年庆</v>
          </cell>
        </row>
        <row r="537">
          <cell r="F537">
            <v>0</v>
          </cell>
        </row>
        <row r="537">
          <cell r="M537">
            <v>0</v>
          </cell>
          <cell r="N537">
            <v>0</v>
          </cell>
          <cell r="O537">
            <v>6</v>
          </cell>
          <cell r="P537">
            <v>6</v>
          </cell>
          <cell r="Q537">
            <v>8</v>
          </cell>
          <cell r="R537" t="str">
            <v/>
          </cell>
          <cell r="S537">
            <v>1</v>
          </cell>
          <cell r="T537">
            <v>1</v>
          </cell>
          <cell r="U537">
            <v>1</v>
          </cell>
        </row>
        <row r="538">
          <cell r="A538">
            <v>3000005</v>
          </cell>
          <cell r="B538">
            <v>3000005</v>
          </cell>
          <cell r="C538" t="str">
            <v>军官</v>
          </cell>
          <cell r="D538" t="str">
            <v>周年庆</v>
          </cell>
        </row>
        <row r="538">
          <cell r="F538">
            <v>0</v>
          </cell>
        </row>
        <row r="538">
          <cell r="M538">
            <v>0</v>
          </cell>
          <cell r="N538">
            <v>0</v>
          </cell>
          <cell r="O538">
            <v>1</v>
          </cell>
          <cell r="P538">
            <v>1</v>
          </cell>
          <cell r="Q538">
            <v>2</v>
          </cell>
          <cell r="R538" t="str">
            <v/>
          </cell>
          <cell r="S538">
            <v>1</v>
          </cell>
          <cell r="T538">
            <v>1</v>
          </cell>
          <cell r="U538">
            <v>1</v>
          </cell>
        </row>
        <row r="539">
          <cell r="A539">
            <v>4000001</v>
          </cell>
          <cell r="B539">
            <v>4000001</v>
          </cell>
          <cell r="C539" t="str">
            <v>莉香</v>
          </cell>
          <cell r="D539" t="str">
            <v>图鉴-莉香</v>
          </cell>
        </row>
        <row r="539">
          <cell r="F539">
            <v>1</v>
          </cell>
        </row>
        <row r="539">
          <cell r="M539">
            <v>0</v>
          </cell>
          <cell r="N539">
            <v>1</v>
          </cell>
          <cell r="O539">
            <v>1</v>
          </cell>
          <cell r="P539">
            <v>1</v>
          </cell>
          <cell r="Q539">
            <v>8</v>
          </cell>
          <cell r="R539" t="str">
            <v/>
          </cell>
          <cell r="S539">
            <v>1</v>
          </cell>
          <cell r="T539">
            <v>1</v>
          </cell>
          <cell r="U539">
            <v>1</v>
          </cell>
        </row>
        <row r="540">
          <cell r="A540">
            <v>4000002</v>
          </cell>
          <cell r="B540">
            <v>4000002</v>
          </cell>
          <cell r="C540" t="str">
            <v>秀秀</v>
          </cell>
          <cell r="D540" t="str">
            <v>图鉴-秀秀</v>
          </cell>
        </row>
        <row r="540">
          <cell r="F540">
            <v>0</v>
          </cell>
        </row>
        <row r="540">
          <cell r="M540">
            <v>0</v>
          </cell>
          <cell r="N540">
            <v>1</v>
          </cell>
          <cell r="O540">
            <v>1</v>
          </cell>
          <cell r="P540">
            <v>1</v>
          </cell>
          <cell r="Q540">
            <v>8</v>
          </cell>
          <cell r="R540" t="str">
            <v/>
          </cell>
          <cell r="S540">
            <v>1</v>
          </cell>
          <cell r="T540">
            <v>1</v>
          </cell>
          <cell r="U540">
            <v>1</v>
          </cell>
        </row>
        <row r="541">
          <cell r="A541">
            <v>4000003</v>
          </cell>
          <cell r="B541">
            <v>4000003</v>
          </cell>
          <cell r="C541" t="str">
            <v>嘉雅</v>
          </cell>
          <cell r="D541" t="str">
            <v>图鉴-嘉雅</v>
          </cell>
        </row>
        <row r="541">
          <cell r="F541">
            <v>1</v>
          </cell>
        </row>
        <row r="541">
          <cell r="M541">
            <v>0</v>
          </cell>
          <cell r="N541">
            <v>1</v>
          </cell>
          <cell r="O541">
            <v>1</v>
          </cell>
          <cell r="P541">
            <v>1</v>
          </cell>
          <cell r="Q541">
            <v>8</v>
          </cell>
          <cell r="R541" t="str">
            <v/>
          </cell>
          <cell r="S541">
            <v>1</v>
          </cell>
          <cell r="T541">
            <v>1</v>
          </cell>
          <cell r="U541">
            <v>1</v>
          </cell>
        </row>
        <row r="542">
          <cell r="A542">
            <v>4000004</v>
          </cell>
          <cell r="B542">
            <v>4000004</v>
          </cell>
          <cell r="C542" t="str">
            <v>卓夫</v>
          </cell>
          <cell r="D542" t="str">
            <v>图鉴-卓夫</v>
          </cell>
        </row>
        <row r="542">
          <cell r="F542">
            <v>0</v>
          </cell>
        </row>
        <row r="542">
          <cell r="M542">
            <v>0</v>
          </cell>
          <cell r="N542">
            <v>1</v>
          </cell>
          <cell r="O542">
            <v>1</v>
          </cell>
          <cell r="P542">
            <v>1</v>
          </cell>
          <cell r="Q542">
            <v>8</v>
          </cell>
          <cell r="R542" t="str">
            <v/>
          </cell>
          <cell r="S542">
            <v>1</v>
          </cell>
          <cell r="T542">
            <v>1</v>
          </cell>
          <cell r="U542">
            <v>1</v>
          </cell>
        </row>
        <row r="543">
          <cell r="A543">
            <v>4000005</v>
          </cell>
          <cell r="B543">
            <v>4000005</v>
          </cell>
          <cell r="C543" t="str">
            <v>健藏</v>
          </cell>
          <cell r="D543" t="str">
            <v>图鉴-健藏</v>
          </cell>
        </row>
        <row r="543">
          <cell r="F543">
            <v>0</v>
          </cell>
        </row>
        <row r="543">
          <cell r="M543">
            <v>0</v>
          </cell>
          <cell r="N543">
            <v>1</v>
          </cell>
          <cell r="O543">
            <v>1</v>
          </cell>
          <cell r="P543">
            <v>1</v>
          </cell>
          <cell r="Q543">
            <v>8</v>
          </cell>
          <cell r="R543" t="str">
            <v/>
          </cell>
          <cell r="S543">
            <v>1</v>
          </cell>
          <cell r="T543">
            <v>1</v>
          </cell>
          <cell r="U543">
            <v>1</v>
          </cell>
        </row>
        <row r="544">
          <cell r="A544">
            <v>4000006</v>
          </cell>
          <cell r="B544">
            <v>4000006</v>
          </cell>
          <cell r="C544" t="str">
            <v>拉布</v>
          </cell>
          <cell r="D544" t="str">
            <v>图鉴-拉布</v>
          </cell>
        </row>
        <row r="544">
          <cell r="F544">
            <v>0</v>
          </cell>
        </row>
        <row r="544">
          <cell r="M544">
            <v>0</v>
          </cell>
          <cell r="N544">
            <v>1</v>
          </cell>
          <cell r="O544">
            <v>1</v>
          </cell>
          <cell r="P544">
            <v>1</v>
          </cell>
          <cell r="Q544">
            <v>8</v>
          </cell>
          <cell r="R544" t="str">
            <v/>
          </cell>
          <cell r="S544">
            <v>1</v>
          </cell>
          <cell r="T544">
            <v>1</v>
          </cell>
          <cell r="U544">
            <v>1</v>
          </cell>
        </row>
        <row r="545">
          <cell r="A545">
            <v>4000007</v>
          </cell>
          <cell r="B545">
            <v>4000007</v>
          </cell>
          <cell r="C545" t="str">
            <v>Mr.13</v>
          </cell>
          <cell r="D545" t="str">
            <v>图鉴-Mr.13</v>
          </cell>
        </row>
        <row r="545">
          <cell r="F545">
            <v>0</v>
          </cell>
        </row>
        <row r="545">
          <cell r="M545">
            <v>0</v>
          </cell>
          <cell r="N545">
            <v>1</v>
          </cell>
          <cell r="O545">
            <v>1</v>
          </cell>
          <cell r="P545">
            <v>1</v>
          </cell>
          <cell r="Q545">
            <v>8</v>
          </cell>
          <cell r="R545" t="str">
            <v/>
          </cell>
          <cell r="S545">
            <v>1</v>
          </cell>
          <cell r="T545">
            <v>1</v>
          </cell>
          <cell r="U545">
            <v>1</v>
          </cell>
        </row>
        <row r="546">
          <cell r="A546">
            <v>4000008</v>
          </cell>
          <cell r="B546">
            <v>4000008</v>
          </cell>
          <cell r="C546" t="str">
            <v>Ms.星期五</v>
          </cell>
          <cell r="D546" t="str">
            <v>图鉴-Ms.星期五</v>
          </cell>
        </row>
        <row r="546">
          <cell r="F546">
            <v>1</v>
          </cell>
        </row>
        <row r="546">
          <cell r="M546">
            <v>0</v>
          </cell>
          <cell r="N546">
            <v>1</v>
          </cell>
          <cell r="O546">
            <v>1</v>
          </cell>
          <cell r="P546">
            <v>1</v>
          </cell>
          <cell r="Q546">
            <v>8</v>
          </cell>
          <cell r="R546" t="str">
            <v/>
          </cell>
          <cell r="S546">
            <v>1</v>
          </cell>
          <cell r="T546">
            <v>1</v>
          </cell>
          <cell r="U546">
            <v>1</v>
          </cell>
        </row>
        <row r="547">
          <cell r="A547">
            <v>4000009</v>
          </cell>
          <cell r="B547">
            <v>4000009</v>
          </cell>
          <cell r="C547" t="str">
            <v>多利</v>
          </cell>
          <cell r="D547" t="str">
            <v>图鉴-多利</v>
          </cell>
        </row>
        <row r="547">
          <cell r="F547">
            <v>0</v>
          </cell>
        </row>
        <row r="547">
          <cell r="M547">
            <v>0</v>
          </cell>
          <cell r="N547">
            <v>1</v>
          </cell>
          <cell r="O547">
            <v>1</v>
          </cell>
          <cell r="P547">
            <v>1</v>
          </cell>
          <cell r="Q547">
            <v>8</v>
          </cell>
          <cell r="R547" t="str">
            <v/>
          </cell>
          <cell r="S547">
            <v>1</v>
          </cell>
          <cell r="T547">
            <v>1</v>
          </cell>
          <cell r="U547">
            <v>1</v>
          </cell>
        </row>
        <row r="548">
          <cell r="A548">
            <v>4000010</v>
          </cell>
          <cell r="B548">
            <v>4000010</v>
          </cell>
          <cell r="C548" t="str">
            <v>布罗基</v>
          </cell>
          <cell r="D548" t="str">
            <v>图鉴-布罗基</v>
          </cell>
        </row>
        <row r="548">
          <cell r="F548">
            <v>0</v>
          </cell>
        </row>
        <row r="548">
          <cell r="M548">
            <v>0</v>
          </cell>
          <cell r="N548">
            <v>1</v>
          </cell>
          <cell r="O548">
            <v>1</v>
          </cell>
          <cell r="P548">
            <v>1</v>
          </cell>
          <cell r="Q548">
            <v>8</v>
          </cell>
          <cell r="R548" t="str">
            <v/>
          </cell>
          <cell r="S548">
            <v>1</v>
          </cell>
          <cell r="T548">
            <v>1</v>
          </cell>
          <cell r="U548">
            <v>1</v>
          </cell>
        </row>
        <row r="549">
          <cell r="A549">
            <v>4000011</v>
          </cell>
          <cell r="B549">
            <v>4000011</v>
          </cell>
          <cell r="C549" t="str">
            <v>爱比达</v>
          </cell>
          <cell r="D549" t="str">
            <v>图鉴-爱比达</v>
          </cell>
        </row>
        <row r="549">
          <cell r="F549">
            <v>1</v>
          </cell>
        </row>
        <row r="549">
          <cell r="M549">
            <v>0</v>
          </cell>
          <cell r="N549">
            <v>0</v>
          </cell>
          <cell r="O549">
            <v>1</v>
          </cell>
          <cell r="P549">
            <v>1</v>
          </cell>
          <cell r="Q549">
            <v>8</v>
          </cell>
          <cell r="R549" t="str">
            <v/>
          </cell>
          <cell r="S549">
            <v>1</v>
          </cell>
          <cell r="T549">
            <v>1</v>
          </cell>
          <cell r="U549">
            <v>1</v>
          </cell>
        </row>
        <row r="550">
          <cell r="A550">
            <v>4000012</v>
          </cell>
          <cell r="B550">
            <v>4000012</v>
          </cell>
          <cell r="C550" t="str">
            <v>Dr.古蕾娃</v>
          </cell>
          <cell r="D550" t="str">
            <v>图鉴-Dr.古蕾娃</v>
          </cell>
        </row>
        <row r="550">
          <cell r="F550">
            <v>1</v>
          </cell>
        </row>
        <row r="550">
          <cell r="M550">
            <v>0</v>
          </cell>
          <cell r="N550">
            <v>1</v>
          </cell>
          <cell r="O550">
            <v>1</v>
          </cell>
          <cell r="P550">
            <v>1</v>
          </cell>
          <cell r="Q550">
            <v>8</v>
          </cell>
          <cell r="R550" t="str">
            <v/>
          </cell>
          <cell r="S550">
            <v>1</v>
          </cell>
          <cell r="T550">
            <v>1</v>
          </cell>
          <cell r="U550">
            <v>1</v>
          </cell>
        </row>
        <row r="551">
          <cell r="A551">
            <v>4000013</v>
          </cell>
          <cell r="B551">
            <v>4000013</v>
          </cell>
          <cell r="C551" t="str">
            <v>可布拉</v>
          </cell>
          <cell r="D551" t="str">
            <v>图鉴-可布拉</v>
          </cell>
        </row>
        <row r="551">
          <cell r="F551">
            <v>0</v>
          </cell>
        </row>
        <row r="551">
          <cell r="M551">
            <v>0</v>
          </cell>
          <cell r="N551">
            <v>0</v>
          </cell>
          <cell r="O551">
            <v>1</v>
          </cell>
          <cell r="P551">
            <v>1</v>
          </cell>
          <cell r="Q551">
            <v>8</v>
          </cell>
          <cell r="R551" t="str">
            <v/>
          </cell>
          <cell r="S551">
            <v>1</v>
          </cell>
          <cell r="T551">
            <v>1</v>
          </cell>
          <cell r="U551">
            <v>1</v>
          </cell>
        </row>
        <row r="552">
          <cell r="A552">
            <v>4000014</v>
          </cell>
          <cell r="B552">
            <v>4000014</v>
          </cell>
          <cell r="C552" t="str">
            <v>空扎</v>
          </cell>
          <cell r="D552" t="str">
            <v>图鉴-空扎</v>
          </cell>
        </row>
        <row r="552">
          <cell r="F552">
            <v>0</v>
          </cell>
        </row>
        <row r="552">
          <cell r="M552">
            <v>0</v>
          </cell>
          <cell r="N552">
            <v>0</v>
          </cell>
          <cell r="O552">
            <v>1</v>
          </cell>
          <cell r="P552">
            <v>1</v>
          </cell>
          <cell r="Q552">
            <v>8</v>
          </cell>
          <cell r="R552" t="str">
            <v/>
          </cell>
          <cell r="S552">
            <v>1</v>
          </cell>
          <cell r="T552">
            <v>1</v>
          </cell>
          <cell r="U552">
            <v>1</v>
          </cell>
        </row>
        <row r="553">
          <cell r="A553">
            <v>4000015</v>
          </cell>
          <cell r="B553">
            <v>4000015</v>
          </cell>
          <cell r="C553" t="str">
            <v>蒙布朗</v>
          </cell>
          <cell r="D553" t="str">
            <v>蒙布朗</v>
          </cell>
        </row>
        <row r="553">
          <cell r="F553">
            <v>0</v>
          </cell>
        </row>
        <row r="553">
          <cell r="M553">
            <v>0</v>
          </cell>
          <cell r="N553">
            <v>0</v>
          </cell>
          <cell r="O553">
            <v>1</v>
          </cell>
          <cell r="P553">
            <v>1</v>
          </cell>
          <cell r="Q553">
            <v>8</v>
          </cell>
          <cell r="R553" t="str">
            <v/>
          </cell>
          <cell r="S553">
            <v>1</v>
          </cell>
          <cell r="T553">
            <v>1</v>
          </cell>
          <cell r="U553">
            <v>1</v>
          </cell>
        </row>
        <row r="554">
          <cell r="A554">
            <v>4000016</v>
          </cell>
          <cell r="B554">
            <v>4000016</v>
          </cell>
          <cell r="C554" t="str">
            <v>柯尼丝</v>
          </cell>
          <cell r="D554" t="str">
            <v>柯尼丝</v>
          </cell>
        </row>
        <row r="554">
          <cell r="F554">
            <v>1</v>
          </cell>
        </row>
        <row r="554">
          <cell r="M554">
            <v>0</v>
          </cell>
          <cell r="N554">
            <v>0</v>
          </cell>
          <cell r="O554">
            <v>1</v>
          </cell>
          <cell r="P554">
            <v>1</v>
          </cell>
          <cell r="Q554">
            <v>8</v>
          </cell>
          <cell r="R554" t="str">
            <v/>
          </cell>
          <cell r="S554">
            <v>1</v>
          </cell>
          <cell r="T554">
            <v>1</v>
          </cell>
          <cell r="U554">
            <v>1</v>
          </cell>
        </row>
        <row r="555">
          <cell r="A555">
            <v>4000017</v>
          </cell>
          <cell r="B555">
            <v>4000017</v>
          </cell>
          <cell r="C555" t="str">
            <v>东吉特</v>
          </cell>
          <cell r="D555" t="str">
            <v>东吉特</v>
          </cell>
        </row>
        <row r="555">
          <cell r="F555">
            <v>0</v>
          </cell>
        </row>
        <row r="555">
          <cell r="M555">
            <v>0</v>
          </cell>
          <cell r="N555">
            <v>0</v>
          </cell>
          <cell r="O555">
            <v>1</v>
          </cell>
          <cell r="P555">
            <v>1</v>
          </cell>
          <cell r="Q555">
            <v>8</v>
          </cell>
          <cell r="R555" t="str">
            <v/>
          </cell>
          <cell r="S555">
            <v>1</v>
          </cell>
          <cell r="T555">
            <v>1</v>
          </cell>
          <cell r="U555">
            <v>1</v>
          </cell>
        </row>
        <row r="556">
          <cell r="A556">
            <v>4000018</v>
          </cell>
          <cell r="B556">
            <v>4000018</v>
          </cell>
          <cell r="C556" t="str">
            <v>拉奇</v>
          </cell>
          <cell r="D556" t="str">
            <v>阿斯巴古</v>
          </cell>
        </row>
        <row r="556">
          <cell r="F556">
            <v>0</v>
          </cell>
        </row>
        <row r="556">
          <cell r="M556">
            <v>0</v>
          </cell>
          <cell r="N556">
            <v>0</v>
          </cell>
          <cell r="O556">
            <v>1</v>
          </cell>
          <cell r="P556">
            <v>1</v>
          </cell>
          <cell r="Q556">
            <v>8</v>
          </cell>
          <cell r="R556" t="str">
            <v/>
          </cell>
          <cell r="S556">
            <v>1</v>
          </cell>
          <cell r="T556">
            <v>1</v>
          </cell>
          <cell r="U556">
            <v>1</v>
          </cell>
        </row>
        <row r="557">
          <cell r="A557">
            <v>4000019</v>
          </cell>
          <cell r="B557">
            <v>4000019</v>
          </cell>
          <cell r="C557" t="str">
            <v>可可罗</v>
          </cell>
          <cell r="D557" t="str">
            <v>可可罗</v>
          </cell>
        </row>
        <row r="557">
          <cell r="F557">
            <v>0</v>
          </cell>
        </row>
        <row r="557">
          <cell r="M557">
            <v>0</v>
          </cell>
          <cell r="N557">
            <v>0</v>
          </cell>
          <cell r="O557">
            <v>1</v>
          </cell>
          <cell r="P557">
            <v>1</v>
          </cell>
          <cell r="Q557">
            <v>8</v>
          </cell>
          <cell r="R557" t="str">
            <v/>
          </cell>
          <cell r="S557">
            <v>1</v>
          </cell>
          <cell r="T557">
            <v>1</v>
          </cell>
          <cell r="U557">
            <v>1</v>
          </cell>
        </row>
        <row r="558">
          <cell r="A558">
            <v>4000020</v>
          </cell>
          <cell r="B558">
            <v>4000020</v>
          </cell>
          <cell r="C558" t="str">
            <v>希尔顿</v>
          </cell>
          <cell r="D558" t="str">
            <v>希尔顿</v>
          </cell>
        </row>
        <row r="558">
          <cell r="F558">
            <v>0</v>
          </cell>
        </row>
        <row r="558">
          <cell r="M558">
            <v>0</v>
          </cell>
          <cell r="N558">
            <v>1</v>
          </cell>
          <cell r="O558">
            <v>1</v>
          </cell>
          <cell r="P558">
            <v>1</v>
          </cell>
          <cell r="Q558">
            <v>8</v>
          </cell>
          <cell r="R558" t="str">
            <v/>
          </cell>
          <cell r="S558">
            <v>1</v>
          </cell>
          <cell r="T558">
            <v>1</v>
          </cell>
          <cell r="U558">
            <v>1</v>
          </cell>
        </row>
        <row r="559">
          <cell r="A559">
            <v>4000021</v>
          </cell>
          <cell r="B559">
            <v>4000021</v>
          </cell>
          <cell r="C559" t="str">
            <v>斯波尔</v>
          </cell>
          <cell r="D559" t="str">
            <v>斯波尔</v>
          </cell>
        </row>
        <row r="559">
          <cell r="F559">
            <v>0</v>
          </cell>
        </row>
        <row r="559">
          <cell r="M559">
            <v>0</v>
          </cell>
          <cell r="N559">
            <v>1</v>
          </cell>
          <cell r="O559">
            <v>1</v>
          </cell>
          <cell r="P559">
            <v>1</v>
          </cell>
          <cell r="Q559">
            <v>8</v>
          </cell>
          <cell r="R559" t="str">
            <v/>
          </cell>
          <cell r="S559">
            <v>1</v>
          </cell>
          <cell r="T559">
            <v>1</v>
          </cell>
          <cell r="U559">
            <v>1</v>
          </cell>
        </row>
        <row r="560">
          <cell r="A560">
            <v>4000022</v>
          </cell>
          <cell r="B560">
            <v>4000022</v>
          </cell>
          <cell r="C560" t="str">
            <v>噗嘿洽克</v>
          </cell>
          <cell r="D560" t="str">
            <v>噗嘿洽克</v>
          </cell>
        </row>
        <row r="560">
          <cell r="F560">
            <v>0</v>
          </cell>
        </row>
        <row r="560">
          <cell r="M560">
            <v>0</v>
          </cell>
          <cell r="N560">
            <v>0</v>
          </cell>
          <cell r="O560">
            <v>1</v>
          </cell>
          <cell r="P560">
            <v>1</v>
          </cell>
          <cell r="Q560">
            <v>8</v>
          </cell>
          <cell r="R560" t="str">
            <v/>
          </cell>
          <cell r="S560">
            <v>1</v>
          </cell>
          <cell r="T560">
            <v>1</v>
          </cell>
          <cell r="U560">
            <v>1</v>
          </cell>
        </row>
        <row r="561">
          <cell r="A561">
            <v>4000023</v>
          </cell>
          <cell r="B561">
            <v>4000023</v>
          </cell>
          <cell r="C561" t="str">
            <v>柯玛希</v>
          </cell>
          <cell r="D561" t="str">
            <v>柯玛希</v>
          </cell>
        </row>
        <row r="561">
          <cell r="F561">
            <v>0</v>
          </cell>
        </row>
        <row r="561">
          <cell r="M561">
            <v>0</v>
          </cell>
          <cell r="N561">
            <v>1</v>
          </cell>
          <cell r="O561">
            <v>1</v>
          </cell>
          <cell r="P561">
            <v>1</v>
          </cell>
          <cell r="Q561">
            <v>8</v>
          </cell>
          <cell r="R561" t="str">
            <v/>
          </cell>
          <cell r="S561">
            <v>1</v>
          </cell>
          <cell r="T561">
            <v>1</v>
          </cell>
          <cell r="U561">
            <v>1</v>
          </cell>
        </row>
        <row r="562">
          <cell r="A562">
            <v>4000024</v>
          </cell>
          <cell r="B562">
            <v>4000024</v>
          </cell>
          <cell r="C562" t="str">
            <v>夏洛特·罗拉</v>
          </cell>
          <cell r="D562" t="str">
            <v>夏洛特·罗拉</v>
          </cell>
        </row>
        <row r="562">
          <cell r="F562">
            <v>1</v>
          </cell>
        </row>
        <row r="562">
          <cell r="M562">
            <v>0</v>
          </cell>
          <cell r="N562">
            <v>1</v>
          </cell>
          <cell r="O562">
            <v>1</v>
          </cell>
          <cell r="P562">
            <v>1</v>
          </cell>
          <cell r="Q562">
            <v>8</v>
          </cell>
          <cell r="R562" t="str">
            <v/>
          </cell>
          <cell r="S562">
            <v>1</v>
          </cell>
          <cell r="T562">
            <v>1</v>
          </cell>
          <cell r="U562">
            <v>1</v>
          </cell>
        </row>
        <row r="563">
          <cell r="A563">
            <v>4000025</v>
          </cell>
          <cell r="B563">
            <v>4000025</v>
          </cell>
          <cell r="C563" t="str">
            <v>噩梦路飞</v>
          </cell>
          <cell r="D563" t="str">
            <v>噩梦路飞</v>
          </cell>
        </row>
        <row r="563">
          <cell r="F563">
            <v>0</v>
          </cell>
        </row>
        <row r="563">
          <cell r="M563">
            <v>0</v>
          </cell>
          <cell r="N563">
            <v>1</v>
          </cell>
          <cell r="O563">
            <v>1</v>
          </cell>
          <cell r="P563">
            <v>1</v>
          </cell>
          <cell r="Q563">
            <v>8</v>
          </cell>
          <cell r="R563" t="str">
            <v/>
          </cell>
          <cell r="S563">
            <v>1</v>
          </cell>
          <cell r="T563">
            <v>1</v>
          </cell>
          <cell r="U563">
            <v>1</v>
          </cell>
        </row>
        <row r="564">
          <cell r="A564">
            <v>4000026</v>
          </cell>
          <cell r="B564">
            <v>4000026</v>
          </cell>
          <cell r="C564" t="str">
            <v>帕帕格</v>
          </cell>
          <cell r="D564" t="str">
            <v>图鉴-帕帕格</v>
          </cell>
        </row>
        <row r="564">
          <cell r="F564">
            <v>0</v>
          </cell>
        </row>
        <row r="564">
          <cell r="M564">
            <v>0</v>
          </cell>
          <cell r="N564">
            <v>1</v>
          </cell>
          <cell r="O564">
            <v>1</v>
          </cell>
          <cell r="P564">
            <v>1</v>
          </cell>
          <cell r="Q564">
            <v>8</v>
          </cell>
          <cell r="R564" t="str">
            <v/>
          </cell>
          <cell r="S564">
            <v>1</v>
          </cell>
          <cell r="T564">
            <v>1</v>
          </cell>
          <cell r="U564">
            <v>1</v>
          </cell>
        </row>
        <row r="565">
          <cell r="A565">
            <v>4000027</v>
          </cell>
          <cell r="B565">
            <v>4000027</v>
          </cell>
          <cell r="C565" t="str">
            <v>凯米</v>
          </cell>
          <cell r="D565" t="str">
            <v>图鉴-凯米</v>
          </cell>
        </row>
        <row r="565">
          <cell r="F565">
            <v>1</v>
          </cell>
        </row>
        <row r="565">
          <cell r="M565">
            <v>0</v>
          </cell>
          <cell r="N565">
            <v>1</v>
          </cell>
          <cell r="O565">
            <v>1</v>
          </cell>
          <cell r="P565">
            <v>1</v>
          </cell>
          <cell r="Q565">
            <v>8</v>
          </cell>
          <cell r="R565" t="str">
            <v/>
          </cell>
          <cell r="S565">
            <v>1</v>
          </cell>
          <cell r="T565">
            <v>1</v>
          </cell>
          <cell r="U565">
            <v>1</v>
          </cell>
        </row>
        <row r="566">
          <cell r="A566">
            <v>4000028</v>
          </cell>
          <cell r="B566">
            <v>4000028</v>
          </cell>
          <cell r="C566" t="str">
            <v>芍奇</v>
          </cell>
          <cell r="D566" t="str">
            <v>图鉴-芍奇</v>
          </cell>
        </row>
        <row r="566">
          <cell r="F566">
            <v>1</v>
          </cell>
        </row>
        <row r="566">
          <cell r="M566">
            <v>0</v>
          </cell>
          <cell r="N566">
            <v>0</v>
          </cell>
          <cell r="O566">
            <v>1</v>
          </cell>
          <cell r="P566">
            <v>1</v>
          </cell>
          <cell r="Q566">
            <v>8</v>
          </cell>
          <cell r="R566" t="str">
            <v/>
          </cell>
          <cell r="S566">
            <v>1</v>
          </cell>
          <cell r="T566">
            <v>1</v>
          </cell>
          <cell r="U566">
            <v>1</v>
          </cell>
        </row>
        <row r="567">
          <cell r="A567">
            <v>4000029</v>
          </cell>
          <cell r="B567">
            <v>4000029</v>
          </cell>
          <cell r="C567" t="str">
            <v>啥婆婆</v>
          </cell>
          <cell r="D567" t="str">
            <v>图鉴-啥婆婆</v>
          </cell>
        </row>
        <row r="567">
          <cell r="F567">
            <v>1</v>
          </cell>
        </row>
        <row r="567">
          <cell r="M567">
            <v>0</v>
          </cell>
          <cell r="N567">
            <v>0</v>
          </cell>
          <cell r="O567">
            <v>1</v>
          </cell>
          <cell r="P567">
            <v>1</v>
          </cell>
          <cell r="Q567">
            <v>8</v>
          </cell>
          <cell r="R567" t="str">
            <v/>
          </cell>
          <cell r="S567">
            <v>1</v>
          </cell>
          <cell r="T567">
            <v>1</v>
          </cell>
          <cell r="U567">
            <v>1</v>
          </cell>
        </row>
        <row r="568">
          <cell r="A568">
            <v>4000030</v>
          </cell>
          <cell r="B568">
            <v>4000030</v>
          </cell>
          <cell r="C568" t="str">
            <v>罗杰</v>
          </cell>
          <cell r="D568" t="str">
            <v>图鉴</v>
          </cell>
        </row>
        <row r="568">
          <cell r="F568">
            <v>0</v>
          </cell>
        </row>
        <row r="568">
          <cell r="M568">
            <v>0</v>
          </cell>
          <cell r="N568">
            <v>1</v>
          </cell>
          <cell r="O568">
            <v>1</v>
          </cell>
          <cell r="P568">
            <v>1</v>
          </cell>
          <cell r="Q568">
            <v>8</v>
          </cell>
          <cell r="R568" t="str">
            <v/>
          </cell>
          <cell r="S568">
            <v>1</v>
          </cell>
          <cell r="T568">
            <v>1</v>
          </cell>
          <cell r="U568">
            <v>1</v>
          </cell>
        </row>
        <row r="569">
          <cell r="A569">
            <v>4000031</v>
          </cell>
          <cell r="B569">
            <v>4000031</v>
          </cell>
          <cell r="C569" t="str">
            <v>露玖</v>
          </cell>
          <cell r="D569" t="str">
            <v>图鉴</v>
          </cell>
        </row>
        <row r="569">
          <cell r="F569">
            <v>1</v>
          </cell>
        </row>
        <row r="569">
          <cell r="M569">
            <v>0</v>
          </cell>
          <cell r="N569">
            <v>1</v>
          </cell>
          <cell r="O569">
            <v>1</v>
          </cell>
          <cell r="P569">
            <v>1</v>
          </cell>
          <cell r="Q569">
            <v>8</v>
          </cell>
          <cell r="R569" t="str">
            <v/>
          </cell>
          <cell r="S569">
            <v>1</v>
          </cell>
          <cell r="T569">
            <v>1</v>
          </cell>
          <cell r="U569">
            <v>1</v>
          </cell>
        </row>
        <row r="570">
          <cell r="A570">
            <v>4000032</v>
          </cell>
          <cell r="B570">
            <v>4000032</v>
          </cell>
          <cell r="C570" t="str">
            <v>以藏</v>
          </cell>
          <cell r="D570" t="str">
            <v>图鉴</v>
          </cell>
        </row>
        <row r="570">
          <cell r="F570">
            <v>0</v>
          </cell>
        </row>
        <row r="570">
          <cell r="M570">
            <v>0</v>
          </cell>
          <cell r="N570">
            <v>1</v>
          </cell>
          <cell r="O570">
            <v>1</v>
          </cell>
          <cell r="P570">
            <v>1</v>
          </cell>
          <cell r="Q570">
            <v>8</v>
          </cell>
          <cell r="R570" t="str">
            <v/>
          </cell>
          <cell r="S570">
            <v>1</v>
          </cell>
          <cell r="T570">
            <v>1</v>
          </cell>
          <cell r="U570">
            <v>1</v>
          </cell>
        </row>
        <row r="571">
          <cell r="A571">
            <v>4000033</v>
          </cell>
          <cell r="B571">
            <v>4000033</v>
          </cell>
          <cell r="C571" t="str">
            <v>那缪尔</v>
          </cell>
          <cell r="D571" t="str">
            <v>图鉴</v>
          </cell>
        </row>
        <row r="571">
          <cell r="F571">
            <v>0</v>
          </cell>
        </row>
        <row r="571">
          <cell r="M571">
            <v>0</v>
          </cell>
          <cell r="N571">
            <v>1</v>
          </cell>
          <cell r="O571">
            <v>1</v>
          </cell>
          <cell r="P571">
            <v>1</v>
          </cell>
          <cell r="Q571">
            <v>8</v>
          </cell>
          <cell r="R571" t="str">
            <v/>
          </cell>
          <cell r="S571">
            <v>1</v>
          </cell>
          <cell r="T571">
            <v>1</v>
          </cell>
          <cell r="U571">
            <v>1</v>
          </cell>
        </row>
        <row r="572">
          <cell r="A572">
            <v>4000034</v>
          </cell>
          <cell r="B572">
            <v>4000034</v>
          </cell>
          <cell r="C572" t="str">
            <v>斯库亚德</v>
          </cell>
          <cell r="D572" t="str">
            <v>图鉴</v>
          </cell>
        </row>
        <row r="572">
          <cell r="F572">
            <v>0</v>
          </cell>
        </row>
        <row r="572">
          <cell r="M572">
            <v>0</v>
          </cell>
          <cell r="N572">
            <v>1</v>
          </cell>
          <cell r="O572">
            <v>1</v>
          </cell>
          <cell r="P572">
            <v>1</v>
          </cell>
          <cell r="Q572">
            <v>8</v>
          </cell>
          <cell r="R572" t="str">
            <v/>
          </cell>
          <cell r="S572">
            <v>1</v>
          </cell>
          <cell r="T572">
            <v>1</v>
          </cell>
          <cell r="U572">
            <v>1</v>
          </cell>
        </row>
        <row r="573">
          <cell r="A573">
            <v>4000035</v>
          </cell>
          <cell r="B573">
            <v>4000035</v>
          </cell>
          <cell r="C573" t="str">
            <v>小奥兹Jr.</v>
          </cell>
          <cell r="D573" t="str">
            <v>图鉴</v>
          </cell>
        </row>
        <row r="573">
          <cell r="F573">
            <v>0</v>
          </cell>
        </row>
        <row r="573">
          <cell r="M573">
            <v>0</v>
          </cell>
          <cell r="N573">
            <v>1</v>
          </cell>
          <cell r="O573">
            <v>1</v>
          </cell>
          <cell r="P573">
            <v>1</v>
          </cell>
          <cell r="Q573">
            <v>8</v>
          </cell>
          <cell r="R573" t="str">
            <v/>
          </cell>
          <cell r="S573">
            <v>1</v>
          </cell>
          <cell r="T573">
            <v>1</v>
          </cell>
          <cell r="U573">
            <v>1</v>
          </cell>
        </row>
        <row r="574">
          <cell r="A574">
            <v>4000036</v>
          </cell>
          <cell r="B574">
            <v>4000036</v>
          </cell>
          <cell r="C574" t="str">
            <v>达丹</v>
          </cell>
          <cell r="D574" t="str">
            <v>图鉴</v>
          </cell>
        </row>
        <row r="574">
          <cell r="F574">
            <v>1</v>
          </cell>
        </row>
        <row r="574">
          <cell r="M574">
            <v>0</v>
          </cell>
          <cell r="N574">
            <v>0</v>
          </cell>
          <cell r="O574">
            <v>1</v>
          </cell>
          <cell r="P574">
            <v>1</v>
          </cell>
          <cell r="Q574">
            <v>8</v>
          </cell>
          <cell r="R574" t="str">
            <v/>
          </cell>
          <cell r="S574">
            <v>1</v>
          </cell>
          <cell r="T574">
            <v>1</v>
          </cell>
          <cell r="U574">
            <v>1</v>
          </cell>
        </row>
        <row r="575">
          <cell r="A575">
            <v>4000037</v>
          </cell>
          <cell r="B575">
            <v>4000037</v>
          </cell>
          <cell r="C575" t="str">
            <v>拉菲特</v>
          </cell>
          <cell r="D575" t="str">
            <v>图鉴</v>
          </cell>
        </row>
        <row r="575">
          <cell r="F575">
            <v>0</v>
          </cell>
        </row>
        <row r="575">
          <cell r="M575">
            <v>0</v>
          </cell>
          <cell r="N575">
            <v>0</v>
          </cell>
          <cell r="O575">
            <v>1</v>
          </cell>
          <cell r="P575">
            <v>1</v>
          </cell>
          <cell r="Q575">
            <v>8</v>
          </cell>
          <cell r="R575" t="str">
            <v/>
          </cell>
          <cell r="S575">
            <v>1</v>
          </cell>
          <cell r="T575">
            <v>1</v>
          </cell>
          <cell r="U575">
            <v>1</v>
          </cell>
        </row>
        <row r="576">
          <cell r="A576">
            <v>4000038</v>
          </cell>
          <cell r="B576">
            <v>4000038</v>
          </cell>
          <cell r="C576" t="str">
            <v>巴吉思</v>
          </cell>
          <cell r="D576" t="str">
            <v>图鉴</v>
          </cell>
        </row>
        <row r="576">
          <cell r="F576">
            <v>0</v>
          </cell>
        </row>
        <row r="576">
          <cell r="M576">
            <v>0</v>
          </cell>
          <cell r="N576">
            <v>0</v>
          </cell>
          <cell r="O576">
            <v>1</v>
          </cell>
          <cell r="P576">
            <v>1</v>
          </cell>
          <cell r="Q576">
            <v>8</v>
          </cell>
          <cell r="R576" t="str">
            <v/>
          </cell>
          <cell r="S576">
            <v>1</v>
          </cell>
          <cell r="T576">
            <v>1</v>
          </cell>
          <cell r="U576">
            <v>1</v>
          </cell>
        </row>
        <row r="577">
          <cell r="A577">
            <v>4000039</v>
          </cell>
          <cell r="B577">
            <v>4000039</v>
          </cell>
          <cell r="C577" t="str">
            <v>左大臣</v>
          </cell>
          <cell r="D577" t="str">
            <v>图鉴</v>
          </cell>
        </row>
        <row r="577">
          <cell r="F577">
            <v>0</v>
          </cell>
        </row>
        <row r="577">
          <cell r="M577">
            <v>0</v>
          </cell>
          <cell r="N577">
            <v>1</v>
          </cell>
          <cell r="O577">
            <v>1</v>
          </cell>
          <cell r="P577">
            <v>1</v>
          </cell>
          <cell r="Q577">
            <v>8</v>
          </cell>
          <cell r="R577" t="str">
            <v/>
          </cell>
          <cell r="S577">
            <v>1</v>
          </cell>
          <cell r="T577">
            <v>1</v>
          </cell>
          <cell r="U577">
            <v>1</v>
          </cell>
        </row>
        <row r="578">
          <cell r="A578">
            <v>4000040</v>
          </cell>
          <cell r="B578">
            <v>4000040</v>
          </cell>
          <cell r="C578" t="str">
            <v>尼普顿</v>
          </cell>
          <cell r="D578" t="str">
            <v>图鉴</v>
          </cell>
        </row>
        <row r="578">
          <cell r="F578">
            <v>0</v>
          </cell>
        </row>
        <row r="578">
          <cell r="M578">
            <v>0</v>
          </cell>
          <cell r="N578">
            <v>1</v>
          </cell>
          <cell r="O578">
            <v>1</v>
          </cell>
          <cell r="P578">
            <v>1</v>
          </cell>
          <cell r="Q578">
            <v>8</v>
          </cell>
          <cell r="R578" t="str">
            <v/>
          </cell>
          <cell r="S578">
            <v>1</v>
          </cell>
          <cell r="T578">
            <v>1</v>
          </cell>
          <cell r="U578">
            <v>1</v>
          </cell>
        </row>
        <row r="579">
          <cell r="A579">
            <v>4000041</v>
          </cell>
          <cell r="B579">
            <v>4000041</v>
          </cell>
          <cell r="C579" t="str">
            <v>右大臣</v>
          </cell>
          <cell r="D579" t="str">
            <v>图鉴</v>
          </cell>
        </row>
        <row r="579">
          <cell r="F579">
            <v>0</v>
          </cell>
        </row>
        <row r="579">
          <cell r="M579">
            <v>0</v>
          </cell>
          <cell r="N579">
            <v>1</v>
          </cell>
          <cell r="O579">
            <v>1</v>
          </cell>
          <cell r="P579">
            <v>1</v>
          </cell>
          <cell r="Q579">
            <v>8</v>
          </cell>
          <cell r="R579" t="str">
            <v/>
          </cell>
          <cell r="S579">
            <v>1</v>
          </cell>
          <cell r="T579">
            <v>1</v>
          </cell>
          <cell r="U579">
            <v>1</v>
          </cell>
        </row>
        <row r="580">
          <cell r="A580">
            <v>4000042</v>
          </cell>
          <cell r="B580">
            <v>4000042</v>
          </cell>
          <cell r="C580" t="str">
            <v>白星</v>
          </cell>
          <cell r="D580" t="str">
            <v>图鉴</v>
          </cell>
        </row>
        <row r="580">
          <cell r="F580">
            <v>1</v>
          </cell>
        </row>
        <row r="580">
          <cell r="M580">
            <v>0</v>
          </cell>
          <cell r="N580">
            <v>1</v>
          </cell>
          <cell r="O580">
            <v>1</v>
          </cell>
          <cell r="P580">
            <v>1</v>
          </cell>
          <cell r="Q580">
            <v>8</v>
          </cell>
          <cell r="R580" t="str">
            <v/>
          </cell>
          <cell r="S580">
            <v>1</v>
          </cell>
          <cell r="T580">
            <v>1</v>
          </cell>
          <cell r="U580">
            <v>1</v>
          </cell>
        </row>
        <row r="581">
          <cell r="A581">
            <v>4000043</v>
          </cell>
          <cell r="B581">
            <v>4000043</v>
          </cell>
          <cell r="C581" t="str">
            <v>夏莉</v>
          </cell>
          <cell r="D581" t="str">
            <v>图鉴</v>
          </cell>
        </row>
        <row r="581">
          <cell r="F581">
            <v>1</v>
          </cell>
        </row>
        <row r="581">
          <cell r="M581">
            <v>0</v>
          </cell>
          <cell r="N581">
            <v>1</v>
          </cell>
          <cell r="O581">
            <v>1</v>
          </cell>
          <cell r="P581">
            <v>1</v>
          </cell>
          <cell r="Q581">
            <v>8</v>
          </cell>
          <cell r="R581" t="str">
            <v/>
          </cell>
          <cell r="S581">
            <v>1</v>
          </cell>
          <cell r="T581">
            <v>1</v>
          </cell>
          <cell r="U581">
            <v>1</v>
          </cell>
        </row>
        <row r="582">
          <cell r="A582">
            <v>4000044</v>
          </cell>
          <cell r="B582">
            <v>4000044</v>
          </cell>
          <cell r="C582" t="str">
            <v>鲛星</v>
          </cell>
          <cell r="D582" t="str">
            <v>图鉴</v>
          </cell>
        </row>
        <row r="582">
          <cell r="F582">
            <v>0</v>
          </cell>
        </row>
        <row r="582">
          <cell r="M582">
            <v>0</v>
          </cell>
          <cell r="N582">
            <v>0</v>
          </cell>
          <cell r="O582">
            <v>1</v>
          </cell>
          <cell r="P582">
            <v>1</v>
          </cell>
          <cell r="Q582">
            <v>8</v>
          </cell>
          <cell r="R582" t="str">
            <v/>
          </cell>
          <cell r="S582">
            <v>1</v>
          </cell>
          <cell r="T582">
            <v>1</v>
          </cell>
          <cell r="U582">
            <v>1</v>
          </cell>
        </row>
        <row r="583">
          <cell r="A583">
            <v>4000045</v>
          </cell>
          <cell r="B583">
            <v>4000045</v>
          </cell>
          <cell r="C583" t="str">
            <v>茶胡子</v>
          </cell>
          <cell r="D583" t="str">
            <v>图鉴</v>
          </cell>
        </row>
        <row r="583">
          <cell r="F583">
            <v>0</v>
          </cell>
        </row>
        <row r="583">
          <cell r="M583">
            <v>0</v>
          </cell>
          <cell r="N583">
            <v>1</v>
          </cell>
          <cell r="O583">
            <v>1</v>
          </cell>
          <cell r="P583">
            <v>1</v>
          </cell>
          <cell r="Q583">
            <v>8</v>
          </cell>
          <cell r="R583" t="str">
            <v/>
          </cell>
          <cell r="S583">
            <v>1</v>
          </cell>
          <cell r="T583">
            <v>1</v>
          </cell>
          <cell r="U583">
            <v>1</v>
          </cell>
        </row>
        <row r="584">
          <cell r="A584">
            <v>4000046</v>
          </cell>
          <cell r="B584">
            <v>4000046</v>
          </cell>
          <cell r="C584" t="str">
            <v>莫扎</v>
          </cell>
          <cell r="D584" t="str">
            <v>图鉴</v>
          </cell>
        </row>
        <row r="584">
          <cell r="F584">
            <v>0</v>
          </cell>
        </row>
        <row r="584">
          <cell r="M584">
            <v>0</v>
          </cell>
          <cell r="N584">
            <v>0</v>
          </cell>
          <cell r="O584">
            <v>1</v>
          </cell>
          <cell r="P584">
            <v>1</v>
          </cell>
          <cell r="Q584">
            <v>8</v>
          </cell>
          <cell r="R584" t="str">
            <v/>
          </cell>
          <cell r="S584">
            <v>1</v>
          </cell>
          <cell r="T584">
            <v>1</v>
          </cell>
          <cell r="U584">
            <v>1</v>
          </cell>
        </row>
        <row r="585">
          <cell r="A585">
            <v>4000047</v>
          </cell>
          <cell r="B585">
            <v>4000047</v>
          </cell>
          <cell r="C585" t="str">
            <v>辛德</v>
          </cell>
          <cell r="D585" t="str">
            <v>图鉴</v>
          </cell>
        </row>
        <row r="585">
          <cell r="F585">
            <v>0</v>
          </cell>
        </row>
        <row r="585">
          <cell r="M585">
            <v>0</v>
          </cell>
          <cell r="N585">
            <v>1</v>
          </cell>
          <cell r="O585">
            <v>1</v>
          </cell>
          <cell r="P585">
            <v>1</v>
          </cell>
          <cell r="Q585">
            <v>8</v>
          </cell>
          <cell r="R585" t="str">
            <v/>
          </cell>
          <cell r="S585">
            <v>1</v>
          </cell>
          <cell r="T585">
            <v>1</v>
          </cell>
          <cell r="U585">
            <v>1</v>
          </cell>
        </row>
        <row r="586">
          <cell r="A586">
            <v>4000048</v>
          </cell>
          <cell r="B586">
            <v>4000048</v>
          </cell>
          <cell r="C586" t="str">
            <v>火龙</v>
          </cell>
          <cell r="D586" t="str">
            <v>图鉴</v>
          </cell>
        </row>
        <row r="586">
          <cell r="F586">
            <v>0</v>
          </cell>
        </row>
        <row r="586">
          <cell r="M586">
            <v>0</v>
          </cell>
          <cell r="N586">
            <v>1</v>
          </cell>
          <cell r="O586">
            <v>1</v>
          </cell>
          <cell r="P586">
            <v>1</v>
          </cell>
          <cell r="Q586">
            <v>8</v>
          </cell>
          <cell r="R586" t="str">
            <v/>
          </cell>
          <cell r="S586">
            <v>1</v>
          </cell>
          <cell r="T586">
            <v>1</v>
          </cell>
          <cell r="U586">
            <v>1</v>
          </cell>
        </row>
        <row r="587">
          <cell r="A587">
            <v>4000049</v>
          </cell>
          <cell r="B587">
            <v>4000049</v>
          </cell>
          <cell r="C587" t="str">
            <v>史姆丽</v>
          </cell>
          <cell r="D587" t="str">
            <v>图鉴</v>
          </cell>
        </row>
        <row r="587">
          <cell r="F587">
            <v>0</v>
          </cell>
        </row>
        <row r="587">
          <cell r="M587">
            <v>0</v>
          </cell>
          <cell r="N587">
            <v>1</v>
          </cell>
          <cell r="O587">
            <v>1</v>
          </cell>
          <cell r="P587">
            <v>1</v>
          </cell>
          <cell r="Q587">
            <v>8</v>
          </cell>
          <cell r="R587" t="str">
            <v/>
          </cell>
          <cell r="S587">
            <v>1</v>
          </cell>
          <cell r="T587">
            <v>1</v>
          </cell>
          <cell r="U587">
            <v>1</v>
          </cell>
        </row>
        <row r="588">
          <cell r="A588">
            <v>4000050</v>
          </cell>
          <cell r="B588">
            <v>4000050</v>
          </cell>
          <cell r="C588" t="str">
            <v>盖茨</v>
          </cell>
          <cell r="D588" t="str">
            <v>图鉴</v>
          </cell>
        </row>
        <row r="588">
          <cell r="F588">
            <v>0</v>
          </cell>
        </row>
        <row r="588">
          <cell r="M588">
            <v>0</v>
          </cell>
          <cell r="N588">
            <v>1</v>
          </cell>
          <cell r="O588">
            <v>4</v>
          </cell>
          <cell r="P588">
            <v>4</v>
          </cell>
          <cell r="Q588">
            <v>5</v>
          </cell>
          <cell r="R588" t="str">
            <v/>
          </cell>
          <cell r="S588">
            <v>1</v>
          </cell>
          <cell r="T588">
            <v>1</v>
          </cell>
          <cell r="U588">
            <v>1</v>
          </cell>
        </row>
        <row r="589">
          <cell r="A589">
            <v>4000051</v>
          </cell>
          <cell r="B589">
            <v>4000051</v>
          </cell>
          <cell r="C589" t="str">
            <v>士兵先生</v>
          </cell>
          <cell r="D589" t="str">
            <v>图鉴</v>
          </cell>
        </row>
        <row r="589">
          <cell r="F589">
            <v>0</v>
          </cell>
        </row>
        <row r="589">
          <cell r="M589">
            <v>0</v>
          </cell>
          <cell r="N589">
            <v>1</v>
          </cell>
          <cell r="O589">
            <v>4</v>
          </cell>
          <cell r="P589">
            <v>4</v>
          </cell>
          <cell r="Q589">
            <v>5</v>
          </cell>
          <cell r="R589" t="str">
            <v/>
          </cell>
          <cell r="S589">
            <v>1</v>
          </cell>
          <cell r="T589">
            <v>1</v>
          </cell>
          <cell r="U589">
            <v>1</v>
          </cell>
        </row>
        <row r="590">
          <cell r="A590">
            <v>4000052</v>
          </cell>
          <cell r="B590">
            <v>4000052</v>
          </cell>
          <cell r="C590" t="str">
            <v>莉贝卡</v>
          </cell>
          <cell r="D590" t="str">
            <v>图鉴</v>
          </cell>
        </row>
        <row r="590">
          <cell r="F590">
            <v>0</v>
          </cell>
        </row>
        <row r="590">
          <cell r="M590">
            <v>0</v>
          </cell>
          <cell r="N590">
            <v>1</v>
          </cell>
          <cell r="O590">
            <v>4</v>
          </cell>
          <cell r="P590">
            <v>4</v>
          </cell>
          <cell r="Q590">
            <v>5</v>
          </cell>
          <cell r="R590" t="str">
            <v/>
          </cell>
          <cell r="S590">
            <v>1</v>
          </cell>
          <cell r="T590">
            <v>1</v>
          </cell>
          <cell r="U590">
            <v>1</v>
          </cell>
        </row>
        <row r="591">
          <cell r="A591">
            <v>4000053</v>
          </cell>
          <cell r="B591">
            <v>4000053</v>
          </cell>
          <cell r="C591" t="str">
            <v>雷欧</v>
          </cell>
          <cell r="D591" t="str">
            <v>图鉴</v>
          </cell>
        </row>
        <row r="591">
          <cell r="F591">
            <v>0</v>
          </cell>
        </row>
        <row r="591">
          <cell r="M591">
            <v>0</v>
          </cell>
          <cell r="N591">
            <v>1</v>
          </cell>
          <cell r="O591">
            <v>4</v>
          </cell>
          <cell r="P591">
            <v>4</v>
          </cell>
          <cell r="Q591">
            <v>5</v>
          </cell>
          <cell r="R591" t="str">
            <v/>
          </cell>
          <cell r="S591">
            <v>1</v>
          </cell>
          <cell r="T591">
            <v>1</v>
          </cell>
          <cell r="U591">
            <v>1</v>
          </cell>
        </row>
        <row r="592">
          <cell r="A592">
            <v>4000054</v>
          </cell>
          <cell r="B592">
            <v>4000054</v>
          </cell>
          <cell r="C592" t="str">
            <v>居鲁士</v>
          </cell>
          <cell r="D592" t="str">
            <v>图鉴</v>
          </cell>
        </row>
        <row r="592">
          <cell r="F592">
            <v>0</v>
          </cell>
        </row>
        <row r="592">
          <cell r="M592">
            <v>0</v>
          </cell>
          <cell r="N592">
            <v>1</v>
          </cell>
          <cell r="O592">
            <v>4</v>
          </cell>
          <cell r="P592">
            <v>4</v>
          </cell>
          <cell r="Q592">
            <v>5</v>
          </cell>
          <cell r="R592" t="str">
            <v/>
          </cell>
          <cell r="S592">
            <v>1</v>
          </cell>
          <cell r="T592">
            <v>1</v>
          </cell>
          <cell r="U592">
            <v>1</v>
          </cell>
        </row>
        <row r="593">
          <cell r="A593">
            <v>4000056</v>
          </cell>
          <cell r="B593">
            <v>4000056</v>
          </cell>
          <cell r="C593" t="str">
            <v>青椒</v>
          </cell>
          <cell r="D593" t="str">
            <v>图鉴</v>
          </cell>
        </row>
        <row r="593">
          <cell r="F593">
            <v>0</v>
          </cell>
        </row>
        <row r="593">
          <cell r="M593">
            <v>0</v>
          </cell>
          <cell r="N593">
            <v>1</v>
          </cell>
          <cell r="O593">
            <v>4</v>
          </cell>
          <cell r="P593">
            <v>4</v>
          </cell>
          <cell r="Q593">
            <v>5</v>
          </cell>
          <cell r="R593" t="str">
            <v/>
          </cell>
          <cell r="S593">
            <v>1</v>
          </cell>
          <cell r="T593">
            <v>1</v>
          </cell>
          <cell r="U593">
            <v>1</v>
          </cell>
        </row>
        <row r="594">
          <cell r="A594">
            <v>4000057</v>
          </cell>
          <cell r="B594">
            <v>4000057</v>
          </cell>
          <cell r="C594" t="str">
            <v>斯雷曼</v>
          </cell>
          <cell r="D594" t="str">
            <v>图鉴</v>
          </cell>
        </row>
        <row r="594">
          <cell r="F594">
            <v>0</v>
          </cell>
        </row>
        <row r="594">
          <cell r="M594">
            <v>0</v>
          </cell>
          <cell r="N594">
            <v>1</v>
          </cell>
          <cell r="O594">
            <v>4</v>
          </cell>
          <cell r="P594">
            <v>4</v>
          </cell>
          <cell r="Q594">
            <v>5</v>
          </cell>
          <cell r="R594" t="str">
            <v/>
          </cell>
          <cell r="S594">
            <v>1</v>
          </cell>
          <cell r="T594">
            <v>1</v>
          </cell>
          <cell r="U594">
            <v>1</v>
          </cell>
        </row>
        <row r="595">
          <cell r="A595">
            <v>4000058</v>
          </cell>
          <cell r="B595">
            <v>4000058</v>
          </cell>
          <cell r="C595" t="str">
            <v>Baby5</v>
          </cell>
          <cell r="D595" t="str">
            <v>图鉴</v>
          </cell>
        </row>
        <row r="595">
          <cell r="F595">
            <v>0</v>
          </cell>
        </row>
        <row r="595">
          <cell r="M595">
            <v>0</v>
          </cell>
          <cell r="N595">
            <v>1</v>
          </cell>
          <cell r="O595">
            <v>4</v>
          </cell>
          <cell r="P595">
            <v>4</v>
          </cell>
          <cell r="Q595">
            <v>5</v>
          </cell>
          <cell r="R595" t="str">
            <v/>
          </cell>
          <cell r="S595">
            <v>1</v>
          </cell>
          <cell r="T595">
            <v>1</v>
          </cell>
          <cell r="U595">
            <v>1</v>
          </cell>
        </row>
        <row r="596">
          <cell r="A596">
            <v>4000059</v>
          </cell>
          <cell r="B596">
            <v>4000059</v>
          </cell>
          <cell r="C596" t="str">
            <v>水牛</v>
          </cell>
          <cell r="D596" t="str">
            <v>图鉴</v>
          </cell>
        </row>
        <row r="596">
          <cell r="F596">
            <v>0</v>
          </cell>
        </row>
        <row r="596">
          <cell r="M596">
            <v>0</v>
          </cell>
          <cell r="N596">
            <v>1</v>
          </cell>
          <cell r="O596">
            <v>4</v>
          </cell>
          <cell r="P596">
            <v>4</v>
          </cell>
          <cell r="Q596">
            <v>5</v>
          </cell>
          <cell r="R596" t="str">
            <v/>
          </cell>
          <cell r="S596">
            <v>1</v>
          </cell>
          <cell r="T596">
            <v>1</v>
          </cell>
          <cell r="U596">
            <v>1</v>
          </cell>
        </row>
        <row r="597">
          <cell r="A597">
            <v>4000060</v>
          </cell>
          <cell r="B597">
            <v>4000060</v>
          </cell>
          <cell r="C597" t="str">
            <v>斗牛</v>
          </cell>
          <cell r="D597" t="str">
            <v>图鉴</v>
          </cell>
        </row>
        <row r="597">
          <cell r="F597">
            <v>0</v>
          </cell>
        </row>
        <row r="597">
          <cell r="M597">
            <v>0</v>
          </cell>
          <cell r="N597">
            <v>1</v>
          </cell>
          <cell r="O597">
            <v>4</v>
          </cell>
          <cell r="P597">
            <v>4</v>
          </cell>
          <cell r="Q597">
            <v>5</v>
          </cell>
          <cell r="R597" t="str">
            <v/>
          </cell>
          <cell r="S597">
            <v>1</v>
          </cell>
          <cell r="T597">
            <v>1</v>
          </cell>
          <cell r="U597">
            <v>1</v>
          </cell>
        </row>
        <row r="598">
          <cell r="A598">
            <v>4000061</v>
          </cell>
          <cell r="B598">
            <v>4000061</v>
          </cell>
          <cell r="C598" t="str">
            <v>紫罗兰</v>
          </cell>
          <cell r="D598" t="str">
            <v>图鉴</v>
          </cell>
        </row>
        <row r="598">
          <cell r="F598">
            <v>0</v>
          </cell>
        </row>
        <row r="598">
          <cell r="M598">
            <v>0</v>
          </cell>
          <cell r="N598">
            <v>1</v>
          </cell>
          <cell r="O598">
            <v>4</v>
          </cell>
          <cell r="P598">
            <v>4</v>
          </cell>
          <cell r="Q598">
            <v>5</v>
          </cell>
          <cell r="R598" t="str">
            <v/>
          </cell>
          <cell r="S598">
            <v>1</v>
          </cell>
          <cell r="T598">
            <v>1</v>
          </cell>
          <cell r="U598">
            <v>1</v>
          </cell>
        </row>
        <row r="599">
          <cell r="A599">
            <v>4000062</v>
          </cell>
          <cell r="B599">
            <v>4000062</v>
          </cell>
          <cell r="C599" t="str">
            <v>德林杰</v>
          </cell>
          <cell r="D599" t="str">
            <v>图鉴</v>
          </cell>
        </row>
        <row r="599">
          <cell r="F599">
            <v>0</v>
          </cell>
        </row>
        <row r="599">
          <cell r="M599">
            <v>0</v>
          </cell>
          <cell r="N599">
            <v>1</v>
          </cell>
          <cell r="O599">
            <v>4</v>
          </cell>
          <cell r="P599">
            <v>4</v>
          </cell>
          <cell r="Q599">
            <v>5</v>
          </cell>
          <cell r="R599" t="str">
            <v/>
          </cell>
          <cell r="S599">
            <v>1</v>
          </cell>
          <cell r="T599">
            <v>1</v>
          </cell>
          <cell r="U599">
            <v>1</v>
          </cell>
        </row>
        <row r="600">
          <cell r="A600">
            <v>4000063</v>
          </cell>
          <cell r="B600">
            <v>4000063</v>
          </cell>
          <cell r="C600" t="str">
            <v>托雷波尔</v>
          </cell>
          <cell r="D600" t="str">
            <v>图鉴</v>
          </cell>
        </row>
        <row r="600">
          <cell r="F600">
            <v>0</v>
          </cell>
        </row>
        <row r="600">
          <cell r="M600">
            <v>0</v>
          </cell>
          <cell r="N600">
            <v>1</v>
          </cell>
          <cell r="O600">
            <v>4</v>
          </cell>
          <cell r="P600">
            <v>4</v>
          </cell>
          <cell r="Q600">
            <v>5</v>
          </cell>
          <cell r="R600" t="str">
            <v/>
          </cell>
          <cell r="S600">
            <v>1</v>
          </cell>
          <cell r="T600">
            <v>1</v>
          </cell>
          <cell r="U600">
            <v>1</v>
          </cell>
        </row>
        <row r="601">
          <cell r="A601">
            <v>4000064</v>
          </cell>
          <cell r="B601">
            <v>4000064</v>
          </cell>
          <cell r="C601" t="str">
            <v>迪亚曼蒂</v>
          </cell>
          <cell r="D601" t="str">
            <v>图鉴</v>
          </cell>
        </row>
        <row r="601">
          <cell r="F601">
            <v>0</v>
          </cell>
        </row>
        <row r="601">
          <cell r="M601">
            <v>0</v>
          </cell>
          <cell r="N601">
            <v>1</v>
          </cell>
          <cell r="O601">
            <v>4</v>
          </cell>
          <cell r="P601">
            <v>4</v>
          </cell>
          <cell r="Q601">
            <v>5</v>
          </cell>
          <cell r="R601" t="str">
            <v/>
          </cell>
          <cell r="S601">
            <v>1</v>
          </cell>
          <cell r="T601">
            <v>1</v>
          </cell>
          <cell r="U601">
            <v>1</v>
          </cell>
        </row>
        <row r="602">
          <cell r="A602">
            <v>4000065</v>
          </cell>
          <cell r="B602">
            <v>4000065</v>
          </cell>
          <cell r="C602" t="str">
            <v>赛诺尔</v>
          </cell>
          <cell r="D602" t="str">
            <v>图鉴</v>
          </cell>
        </row>
        <row r="602">
          <cell r="F602">
            <v>0</v>
          </cell>
        </row>
        <row r="602">
          <cell r="M602">
            <v>0</v>
          </cell>
          <cell r="N602">
            <v>1</v>
          </cell>
          <cell r="O602">
            <v>4</v>
          </cell>
          <cell r="P602">
            <v>4</v>
          </cell>
          <cell r="Q602">
            <v>5</v>
          </cell>
          <cell r="R602" t="str">
            <v/>
          </cell>
          <cell r="S602">
            <v>1</v>
          </cell>
          <cell r="T602">
            <v>1</v>
          </cell>
          <cell r="U602">
            <v>1</v>
          </cell>
        </row>
        <row r="603">
          <cell r="A603">
            <v>4000066</v>
          </cell>
          <cell r="B603">
            <v>4000066</v>
          </cell>
          <cell r="C603" t="str">
            <v>匹卡</v>
          </cell>
          <cell r="D603" t="str">
            <v>图鉴</v>
          </cell>
        </row>
        <row r="603">
          <cell r="F603">
            <v>0</v>
          </cell>
        </row>
        <row r="603">
          <cell r="M603">
            <v>0</v>
          </cell>
          <cell r="N603">
            <v>1</v>
          </cell>
          <cell r="O603">
            <v>4</v>
          </cell>
          <cell r="P603">
            <v>4</v>
          </cell>
          <cell r="Q603">
            <v>5</v>
          </cell>
          <cell r="R603" t="str">
            <v/>
          </cell>
          <cell r="S603">
            <v>1</v>
          </cell>
          <cell r="T603">
            <v>1</v>
          </cell>
          <cell r="U603">
            <v>1</v>
          </cell>
        </row>
        <row r="604">
          <cell r="A604">
            <v>4000067</v>
          </cell>
          <cell r="B604">
            <v>4000067</v>
          </cell>
          <cell r="C604" t="str">
            <v>古拉迪乌斯</v>
          </cell>
          <cell r="D604" t="str">
            <v>图鉴</v>
          </cell>
        </row>
        <row r="604">
          <cell r="F604">
            <v>0</v>
          </cell>
        </row>
        <row r="604">
          <cell r="M604">
            <v>0</v>
          </cell>
          <cell r="N604">
            <v>1</v>
          </cell>
          <cell r="O604">
            <v>4</v>
          </cell>
          <cell r="P604">
            <v>4</v>
          </cell>
          <cell r="Q604">
            <v>5</v>
          </cell>
          <cell r="R604" t="str">
            <v/>
          </cell>
          <cell r="S604">
            <v>1</v>
          </cell>
          <cell r="T604">
            <v>1</v>
          </cell>
          <cell r="U604">
            <v>1</v>
          </cell>
        </row>
        <row r="605">
          <cell r="A605">
            <v>4000068</v>
          </cell>
          <cell r="B605">
            <v>4000068</v>
          </cell>
          <cell r="C605" t="str">
            <v>糖糖</v>
          </cell>
          <cell r="D605" t="str">
            <v>图鉴</v>
          </cell>
        </row>
        <row r="605">
          <cell r="F605">
            <v>0</v>
          </cell>
        </row>
        <row r="605">
          <cell r="M605">
            <v>0</v>
          </cell>
          <cell r="N605">
            <v>0</v>
          </cell>
          <cell r="O605">
            <v>4</v>
          </cell>
          <cell r="P605">
            <v>4</v>
          </cell>
          <cell r="Q605">
            <v>5</v>
          </cell>
          <cell r="R605" t="str">
            <v/>
          </cell>
          <cell r="S605">
            <v>1</v>
          </cell>
          <cell r="T605">
            <v>1</v>
          </cell>
          <cell r="U605">
            <v>1</v>
          </cell>
        </row>
        <row r="606">
          <cell r="A606">
            <v>5000001</v>
          </cell>
          <cell r="B606">
            <v>5000001</v>
          </cell>
          <cell r="C606" t="str">
            <v>海军士兵A</v>
          </cell>
          <cell r="D606" t="str">
            <v>战棋</v>
          </cell>
        </row>
        <row r="606">
          <cell r="F606">
            <v>0</v>
          </cell>
        </row>
        <row r="606">
          <cell r="M606">
            <v>0</v>
          </cell>
          <cell r="N606">
            <v>0</v>
          </cell>
          <cell r="O606">
            <v>1</v>
          </cell>
          <cell r="P606">
            <v>1</v>
          </cell>
          <cell r="Q606">
            <v>2</v>
          </cell>
          <cell r="R606" t="str">
            <v>海军</v>
          </cell>
          <cell r="S606">
            <v>1</v>
          </cell>
          <cell r="T606">
            <v>1</v>
          </cell>
          <cell r="U606">
            <v>1</v>
          </cell>
        </row>
        <row r="607">
          <cell r="A607">
            <v>5000002</v>
          </cell>
          <cell r="B607">
            <v>5000002</v>
          </cell>
          <cell r="C607" t="str">
            <v>海军士兵B</v>
          </cell>
          <cell r="D607" t="str">
            <v>战棋</v>
          </cell>
        </row>
        <row r="607">
          <cell r="F607">
            <v>0</v>
          </cell>
        </row>
        <row r="607">
          <cell r="M607">
            <v>0</v>
          </cell>
          <cell r="N607">
            <v>0</v>
          </cell>
          <cell r="O607">
            <v>1</v>
          </cell>
          <cell r="P607">
            <v>1</v>
          </cell>
          <cell r="Q607">
            <v>2</v>
          </cell>
          <cell r="R607" t="str">
            <v>海军</v>
          </cell>
          <cell r="S607">
            <v>1</v>
          </cell>
          <cell r="T607">
            <v>1</v>
          </cell>
          <cell r="U607">
            <v>1</v>
          </cell>
        </row>
        <row r="608">
          <cell r="A608">
            <v>5000003</v>
          </cell>
          <cell r="B608">
            <v>5000003</v>
          </cell>
          <cell r="C608" t="str">
            <v>火炮海军A</v>
          </cell>
          <cell r="D608" t="str">
            <v>战棋</v>
          </cell>
        </row>
        <row r="608">
          <cell r="F608">
            <v>0</v>
          </cell>
        </row>
        <row r="608">
          <cell r="M608">
            <v>0</v>
          </cell>
          <cell r="N608">
            <v>0</v>
          </cell>
          <cell r="O608">
            <v>1</v>
          </cell>
          <cell r="P608">
            <v>1</v>
          </cell>
          <cell r="Q608">
            <v>2</v>
          </cell>
          <cell r="R608" t="str">
            <v/>
          </cell>
          <cell r="S608">
            <v>1</v>
          </cell>
          <cell r="T608">
            <v>1</v>
          </cell>
          <cell r="U608">
            <v>1</v>
          </cell>
        </row>
        <row r="609">
          <cell r="A609">
            <v>5000004</v>
          </cell>
          <cell r="B609">
            <v>5000004</v>
          </cell>
          <cell r="C609" t="str">
            <v>摩根</v>
          </cell>
          <cell r="D609" t="str">
            <v>战棋</v>
          </cell>
        </row>
        <row r="609">
          <cell r="F609">
            <v>0</v>
          </cell>
        </row>
        <row r="609">
          <cell r="M609">
            <v>0</v>
          </cell>
          <cell r="N609">
            <v>0</v>
          </cell>
          <cell r="O609">
            <v>1</v>
          </cell>
          <cell r="P609">
            <v>1</v>
          </cell>
          <cell r="Q609">
            <v>2</v>
          </cell>
          <cell r="R609" t="str">
            <v>海军</v>
          </cell>
          <cell r="S609">
            <v>2</v>
          </cell>
          <cell r="T609">
            <v>6</v>
          </cell>
          <cell r="U609">
            <v>1</v>
          </cell>
        </row>
        <row r="610">
          <cell r="A610">
            <v>5000005</v>
          </cell>
          <cell r="B610">
            <v>5000005</v>
          </cell>
          <cell r="C610" t="str">
            <v>希路麦波</v>
          </cell>
          <cell r="D610" t="str">
            <v>战棋</v>
          </cell>
        </row>
        <row r="610">
          <cell r="F610">
            <v>0</v>
          </cell>
        </row>
        <row r="610">
          <cell r="M610">
            <v>0</v>
          </cell>
          <cell r="N610">
            <v>0</v>
          </cell>
          <cell r="O610">
            <v>1</v>
          </cell>
          <cell r="P610">
            <v>1</v>
          </cell>
          <cell r="Q610">
            <v>2</v>
          </cell>
          <cell r="R610" t="str">
            <v>海军</v>
          </cell>
          <cell r="S610">
            <v>1</v>
          </cell>
          <cell r="T610">
            <v>1</v>
          </cell>
          <cell r="U610">
            <v>1</v>
          </cell>
        </row>
        <row r="611">
          <cell r="A611">
            <v>5000006</v>
          </cell>
          <cell r="B611">
            <v>5000006</v>
          </cell>
          <cell r="C611" t="str">
            <v>白胡子</v>
          </cell>
          <cell r="D611" t="str">
            <v>战棋</v>
          </cell>
        </row>
        <row r="611">
          <cell r="F611">
            <v>0</v>
          </cell>
          <cell r="G611" t="str">
            <v>白胡子海盗团的船长，拥有毁灭世界的力量，被称为世界最强男人。</v>
          </cell>
          <cell r="H611" t="str">
            <v>被誉为活着的传说。\n最大的梦想是建立“家庭”。\n拥有毁天灭地的输出。</v>
          </cell>
          <cell r="I611" t="str">
            <v>极限输出</v>
          </cell>
          <cell r="J611" t="str">
            <v>前排优先</v>
          </cell>
          <cell r="K611" t="str">
            <v>震动之果</v>
          </cell>
          <cell r="L611" t="str">
            <v>510,511</v>
          </cell>
          <cell r="M611">
            <v>0</v>
          </cell>
          <cell r="N611">
            <v>0</v>
          </cell>
          <cell r="O611">
            <v>3</v>
          </cell>
          <cell r="P611">
            <v>3</v>
          </cell>
          <cell r="Q611">
            <v>3</v>
          </cell>
          <cell r="R611" t="str">
            <v>白胡子海盗团</v>
          </cell>
          <cell r="S611">
            <v>3</v>
          </cell>
          <cell r="T611">
            <v>8</v>
          </cell>
          <cell r="U611">
            <v>3</v>
          </cell>
        </row>
        <row r="612">
          <cell r="A612">
            <v>5000007</v>
          </cell>
          <cell r="B612">
            <v>5000007</v>
          </cell>
          <cell r="C612" t="str">
            <v>乔兹</v>
          </cell>
          <cell r="D612" t="str">
            <v>战棋</v>
          </cell>
        </row>
        <row r="612">
          <cell r="F612">
            <v>0</v>
          </cell>
          <cell r="G612" t="str">
            <v>外号“钻石”乔兹，白胡子海盗团第三队队长，超人系钻石果实能力者，拥有世界上最强物理防御的身体</v>
          </cell>
          <cell r="H612" t="str">
            <v>拥有超强的防御力和腕力。\n武装色霸气也极为出色。\n能为队伍承受大量伤害。</v>
          </cell>
          <cell r="I612" t="str">
            <v>防御壁垒</v>
          </cell>
          <cell r="J612" t="str">
            <v>前排优先</v>
          </cell>
          <cell r="K612" t="str">
            <v>闪亮之果</v>
          </cell>
          <cell r="L612" t="str">
            <v>503,502</v>
          </cell>
          <cell r="M612">
            <v>0</v>
          </cell>
          <cell r="N612">
            <v>0</v>
          </cell>
          <cell r="O612">
            <v>3</v>
          </cell>
          <cell r="P612">
            <v>3</v>
          </cell>
          <cell r="Q612">
            <v>3</v>
          </cell>
          <cell r="R612" t="str">
            <v>白胡子海盗团</v>
          </cell>
          <cell r="S612">
            <v>3</v>
          </cell>
          <cell r="T612">
            <v>8</v>
          </cell>
          <cell r="U612">
            <v>3</v>
          </cell>
        </row>
        <row r="613">
          <cell r="A613">
            <v>5000008</v>
          </cell>
          <cell r="B613">
            <v>5000008</v>
          </cell>
          <cell r="C613" t="str">
            <v>持刀海盗A</v>
          </cell>
          <cell r="D613" t="str">
            <v>战棋</v>
          </cell>
        </row>
        <row r="613">
          <cell r="F613">
            <v>0</v>
          </cell>
        </row>
        <row r="613">
          <cell r="M613">
            <v>0</v>
          </cell>
          <cell r="N613">
            <v>0</v>
          </cell>
          <cell r="O613">
            <v>1</v>
          </cell>
          <cell r="P613">
            <v>1</v>
          </cell>
          <cell r="Q613">
            <v>3</v>
          </cell>
          <cell r="R613" t="str">
            <v/>
          </cell>
          <cell r="S613">
            <v>1</v>
          </cell>
          <cell r="T613">
            <v>1</v>
          </cell>
          <cell r="U613">
            <v>1</v>
          </cell>
        </row>
        <row r="614">
          <cell r="A614">
            <v>5000009</v>
          </cell>
          <cell r="B614">
            <v>5000016</v>
          </cell>
          <cell r="C614" t="str">
            <v>火炮海盗B</v>
          </cell>
          <cell r="D614" t="str">
            <v>战棋</v>
          </cell>
        </row>
        <row r="614">
          <cell r="F614">
            <v>0</v>
          </cell>
        </row>
        <row r="614">
          <cell r="M614">
            <v>0</v>
          </cell>
          <cell r="N614">
            <v>0</v>
          </cell>
          <cell r="O614">
            <v>1</v>
          </cell>
          <cell r="P614">
            <v>1</v>
          </cell>
          <cell r="Q614">
            <v>3</v>
          </cell>
          <cell r="R614" t="str">
            <v/>
          </cell>
          <cell r="S614">
            <v>1</v>
          </cell>
          <cell r="T614">
            <v>1</v>
          </cell>
          <cell r="U614">
            <v>1</v>
          </cell>
        </row>
        <row r="615">
          <cell r="A615">
            <v>5000010</v>
          </cell>
          <cell r="B615">
            <v>5000010</v>
          </cell>
          <cell r="C615" t="str">
            <v>小丑海盗A</v>
          </cell>
          <cell r="D615" t="str">
            <v>战棋</v>
          </cell>
        </row>
        <row r="615">
          <cell r="F615">
            <v>0</v>
          </cell>
        </row>
        <row r="615">
          <cell r="M615">
            <v>0</v>
          </cell>
          <cell r="N615">
            <v>0</v>
          </cell>
          <cell r="O615">
            <v>1</v>
          </cell>
          <cell r="P615">
            <v>1</v>
          </cell>
          <cell r="Q615">
            <v>3</v>
          </cell>
          <cell r="R615" t="str">
            <v>小丑海盗团</v>
          </cell>
          <cell r="S615">
            <v>1</v>
          </cell>
          <cell r="T615">
            <v>1</v>
          </cell>
          <cell r="U615">
            <v>1</v>
          </cell>
        </row>
        <row r="616">
          <cell r="A616">
            <v>5000011</v>
          </cell>
          <cell r="B616">
            <v>5000011</v>
          </cell>
          <cell r="C616" t="str">
            <v>小丑海盗B</v>
          </cell>
          <cell r="D616" t="str">
            <v>战棋</v>
          </cell>
        </row>
        <row r="616">
          <cell r="F616">
            <v>0</v>
          </cell>
        </row>
        <row r="616">
          <cell r="M616">
            <v>0</v>
          </cell>
          <cell r="N616">
            <v>0</v>
          </cell>
          <cell r="O616">
            <v>1</v>
          </cell>
          <cell r="P616">
            <v>1</v>
          </cell>
          <cell r="Q616">
            <v>3</v>
          </cell>
          <cell r="R616" t="str">
            <v>小丑海盗团</v>
          </cell>
          <cell r="S616">
            <v>1</v>
          </cell>
          <cell r="T616">
            <v>1</v>
          </cell>
          <cell r="U616">
            <v>1</v>
          </cell>
        </row>
        <row r="617">
          <cell r="A617">
            <v>5000012</v>
          </cell>
          <cell r="B617">
            <v>5000012</v>
          </cell>
          <cell r="C617" t="str">
            <v>小丑海盗C</v>
          </cell>
          <cell r="D617" t="str">
            <v>战棋</v>
          </cell>
        </row>
        <row r="617">
          <cell r="F617">
            <v>0</v>
          </cell>
        </row>
        <row r="617">
          <cell r="M617">
            <v>0</v>
          </cell>
          <cell r="N617">
            <v>0</v>
          </cell>
          <cell r="O617">
            <v>1</v>
          </cell>
          <cell r="P617">
            <v>1</v>
          </cell>
          <cell r="Q617">
            <v>3</v>
          </cell>
          <cell r="R617" t="str">
            <v>小丑海盗团</v>
          </cell>
          <cell r="S617">
            <v>1</v>
          </cell>
          <cell r="T617">
            <v>1</v>
          </cell>
          <cell r="U617">
            <v>1</v>
          </cell>
        </row>
        <row r="618">
          <cell r="A618">
            <v>5000013</v>
          </cell>
          <cell r="B618">
            <v>5000013</v>
          </cell>
          <cell r="C618" t="str">
            <v>毛奇</v>
          </cell>
          <cell r="D618" t="str">
            <v>战棋</v>
          </cell>
        </row>
        <row r="618">
          <cell r="F618">
            <v>0</v>
          </cell>
        </row>
        <row r="618">
          <cell r="M618">
            <v>0</v>
          </cell>
          <cell r="N618">
            <v>0</v>
          </cell>
          <cell r="O618">
            <v>1</v>
          </cell>
          <cell r="P618">
            <v>1</v>
          </cell>
          <cell r="Q618">
            <v>3</v>
          </cell>
          <cell r="R618" t="str">
            <v>小丑海盗团</v>
          </cell>
          <cell r="S618">
            <v>1</v>
          </cell>
          <cell r="T618">
            <v>1</v>
          </cell>
          <cell r="U618">
            <v>1</v>
          </cell>
        </row>
        <row r="619">
          <cell r="A619">
            <v>5000014</v>
          </cell>
          <cell r="B619">
            <v>5000014</v>
          </cell>
          <cell r="C619" t="str">
            <v>卡巴奇</v>
          </cell>
          <cell r="D619" t="str">
            <v>战棋</v>
          </cell>
        </row>
        <row r="619">
          <cell r="F619">
            <v>0</v>
          </cell>
          <cell r="G619" t="str">
            <v>擅长利用陀螺等杂技出其不意地攻击对手并且能得心应手地使用剑术的杂技剑士。</v>
          </cell>
          <cell r="H619" t="str">
            <v>爱用独轮车的杂技剑士，擅长进攻。\n杂技可造成火焰伤害和灼烧效果。\n身形灵巧，杂技技能可提升速度和闪避。</v>
          </cell>
          <cell r="I619" t="str">
            <v>单点爆发</v>
          </cell>
          <cell r="J619" t="str">
            <v>前排优先</v>
          </cell>
          <cell r="K619" t="str">
            <v>无</v>
          </cell>
          <cell r="L619" t="str">
            <v>188,187</v>
          </cell>
          <cell r="M619">
            <v>0</v>
          </cell>
          <cell r="N619">
            <v>0</v>
          </cell>
          <cell r="O619">
            <v>5</v>
          </cell>
          <cell r="P619">
            <v>5</v>
          </cell>
          <cell r="Q619">
            <v>3</v>
          </cell>
          <cell r="R619" t="str">
            <v/>
          </cell>
          <cell r="S619">
            <v>2</v>
          </cell>
          <cell r="T619">
            <v>6</v>
          </cell>
          <cell r="U619">
            <v>1</v>
          </cell>
        </row>
        <row r="620">
          <cell r="A620">
            <v>5000015</v>
          </cell>
          <cell r="B620">
            <v>5000015</v>
          </cell>
          <cell r="C620" t="str">
            <v>单斧海盗</v>
          </cell>
          <cell r="D620" t="str">
            <v>战棋</v>
          </cell>
        </row>
        <row r="620">
          <cell r="F620">
            <v>0</v>
          </cell>
        </row>
        <row r="620">
          <cell r="M620">
            <v>0</v>
          </cell>
          <cell r="N620">
            <v>0</v>
          </cell>
          <cell r="O620">
            <v>1</v>
          </cell>
          <cell r="P620">
            <v>1</v>
          </cell>
          <cell r="Q620">
            <v>3</v>
          </cell>
          <cell r="R620" t="str">
            <v/>
          </cell>
          <cell r="S620">
            <v>1</v>
          </cell>
          <cell r="T620">
            <v>1</v>
          </cell>
          <cell r="U620">
            <v>1</v>
          </cell>
        </row>
        <row r="621">
          <cell r="A621">
            <v>5000016</v>
          </cell>
          <cell r="B621">
            <v>5000016</v>
          </cell>
          <cell r="C621" t="str">
            <v>火炮海盗B</v>
          </cell>
          <cell r="D621" t="str">
            <v>战棋</v>
          </cell>
        </row>
        <row r="621">
          <cell r="F621">
            <v>0</v>
          </cell>
        </row>
        <row r="621">
          <cell r="M621">
            <v>0</v>
          </cell>
          <cell r="N621">
            <v>0</v>
          </cell>
          <cell r="O621">
            <v>1</v>
          </cell>
          <cell r="P621">
            <v>1</v>
          </cell>
          <cell r="Q621">
            <v>3</v>
          </cell>
          <cell r="R621" t="str">
            <v/>
          </cell>
          <cell r="S621">
            <v>1</v>
          </cell>
          <cell r="T621">
            <v>1</v>
          </cell>
          <cell r="U621">
            <v>1</v>
          </cell>
        </row>
        <row r="622">
          <cell r="A622">
            <v>5000017</v>
          </cell>
          <cell r="B622">
            <v>5000017</v>
          </cell>
          <cell r="C622" t="str">
            <v>持刀海盗B</v>
          </cell>
          <cell r="D622" t="str">
            <v>战棋</v>
          </cell>
        </row>
        <row r="622">
          <cell r="F622">
            <v>0</v>
          </cell>
        </row>
        <row r="622">
          <cell r="M622">
            <v>0</v>
          </cell>
          <cell r="N622">
            <v>0</v>
          </cell>
          <cell r="O622">
            <v>1</v>
          </cell>
          <cell r="P622">
            <v>1</v>
          </cell>
          <cell r="Q622">
            <v>3</v>
          </cell>
          <cell r="R622" t="str">
            <v/>
          </cell>
          <cell r="S622">
            <v>1</v>
          </cell>
          <cell r="T622">
            <v>1</v>
          </cell>
          <cell r="U622">
            <v>1</v>
          </cell>
        </row>
        <row r="623">
          <cell r="A623">
            <v>5000018</v>
          </cell>
          <cell r="B623">
            <v>5000018</v>
          </cell>
          <cell r="C623" t="str">
            <v>甚平</v>
          </cell>
          <cell r="D623" t="str">
            <v>战棋</v>
          </cell>
        </row>
        <row r="623">
          <cell r="F623">
            <v>0</v>
          </cell>
          <cell r="G623" t="str">
            <v>用高超的武艺贯彻仁义精神，心地善良的鱼人老大“海侠甚平”！！</v>
          </cell>
          <cell r="H623" t="str">
            <v>王下七武海之一，拥有可怕的怪力。\n精通“鱼人空手道”和“鱼人柔术”。\n有着出色的生存能力和反击能力。</v>
          </cell>
          <cell r="I623" t="str">
            <v>后发制人</v>
          </cell>
          <cell r="J623" t="str">
            <v>前排优先</v>
          </cell>
          <cell r="K623" t="str">
            <v>无</v>
          </cell>
          <cell r="L623" t="str">
            <v>399,398</v>
          </cell>
          <cell r="M623">
            <v>0</v>
          </cell>
          <cell r="N623">
            <v>0</v>
          </cell>
          <cell r="O623">
            <v>4</v>
          </cell>
          <cell r="P623">
            <v>4</v>
          </cell>
          <cell r="Q623">
            <v>5</v>
          </cell>
          <cell r="R623" t="str">
            <v/>
          </cell>
          <cell r="S623">
            <v>3</v>
          </cell>
          <cell r="T623">
            <v>8</v>
          </cell>
          <cell r="U623">
            <v>3</v>
          </cell>
        </row>
        <row r="624">
          <cell r="A624">
            <v>5000019</v>
          </cell>
          <cell r="B624">
            <v>5000019</v>
          </cell>
          <cell r="C624" t="str">
            <v>海盗头目狼牙棒</v>
          </cell>
          <cell r="D624" t="str">
            <v>战棋</v>
          </cell>
        </row>
        <row r="624">
          <cell r="F624">
            <v>0</v>
          </cell>
        </row>
        <row r="624">
          <cell r="M624">
            <v>0</v>
          </cell>
          <cell r="N624">
            <v>0</v>
          </cell>
          <cell r="O624">
            <v>1</v>
          </cell>
          <cell r="P624">
            <v>1</v>
          </cell>
          <cell r="Q624">
            <v>3</v>
          </cell>
          <cell r="R624" t="str">
            <v/>
          </cell>
          <cell r="S624">
            <v>1</v>
          </cell>
          <cell r="T624">
            <v>1</v>
          </cell>
          <cell r="U624">
            <v>1</v>
          </cell>
        </row>
        <row r="625">
          <cell r="A625">
            <v>5000020</v>
          </cell>
          <cell r="B625">
            <v>5000020</v>
          </cell>
          <cell r="C625" t="str">
            <v>阔嘴鱼人</v>
          </cell>
          <cell r="D625" t="str">
            <v>战棋</v>
          </cell>
        </row>
        <row r="625">
          <cell r="F625">
            <v>0</v>
          </cell>
        </row>
        <row r="625">
          <cell r="M625">
            <v>0</v>
          </cell>
          <cell r="N625">
            <v>0</v>
          </cell>
          <cell r="O625">
            <v>1</v>
          </cell>
          <cell r="P625">
            <v>1</v>
          </cell>
          <cell r="Q625">
            <v>3</v>
          </cell>
          <cell r="R625" t="str">
            <v/>
          </cell>
          <cell r="S625">
            <v>1</v>
          </cell>
          <cell r="T625">
            <v>1</v>
          </cell>
          <cell r="U625">
            <v>1</v>
          </cell>
        </row>
        <row r="626">
          <cell r="A626">
            <v>5000021</v>
          </cell>
          <cell r="B626">
            <v>5000021</v>
          </cell>
          <cell r="C626" t="str">
            <v>流氓鱼人</v>
          </cell>
          <cell r="D626" t="str">
            <v>战棋</v>
          </cell>
        </row>
        <row r="626">
          <cell r="F626">
            <v>0</v>
          </cell>
        </row>
        <row r="626">
          <cell r="M626">
            <v>0</v>
          </cell>
          <cell r="N626">
            <v>0</v>
          </cell>
          <cell r="O626">
            <v>1</v>
          </cell>
          <cell r="P626">
            <v>1</v>
          </cell>
          <cell r="Q626">
            <v>3</v>
          </cell>
          <cell r="R626" t="str">
            <v/>
          </cell>
          <cell r="S626">
            <v>1</v>
          </cell>
          <cell r="T626">
            <v>1</v>
          </cell>
          <cell r="U626">
            <v>1</v>
          </cell>
        </row>
      </sheetData>
      <sheetData sheetId="1"/>
      <sheetData sheetId="2"/>
      <sheetData sheetId="3"/>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autoPageBreaks="0"/>
  </sheetPr>
  <dimension ref="A1:R465"/>
  <sheetViews>
    <sheetView tabSelected="1" zoomScale="115" zoomScaleNormal="115" workbookViewId="0">
      <pane ySplit="6" topLeftCell="A443" activePane="bottomLeft" state="frozen"/>
      <selection/>
      <selection pane="bottomLeft" activeCell="I466" sqref="I466"/>
    </sheetView>
  </sheetViews>
  <sheetFormatPr defaultColWidth="9" defaultRowHeight="13.5"/>
  <cols>
    <col min="2" max="2" width="15.5044247787611" customWidth="1"/>
    <col min="3" max="3" width="7.6283185840708" customWidth="1"/>
    <col min="4" max="4" width="7.6283185840708" style="41" customWidth="1"/>
    <col min="5" max="5" width="4.23008849557522" style="42" customWidth="1"/>
    <col min="6" max="7" width="4.23008849557522" style="41" customWidth="1"/>
    <col min="8" max="8" width="11.716814159292" style="42" customWidth="1"/>
    <col min="9" max="9" width="9.00884955752212" style="41" customWidth="1"/>
    <col min="10" max="10" width="23.2035398230088" style="41" customWidth="1"/>
    <col min="11" max="11" width="2.6283185840708" style="41" customWidth="1"/>
    <col min="12" max="12" width="8.47787610619469" style="43" customWidth="1"/>
    <col min="13" max="13" width="83.5840707964602" style="41" customWidth="1"/>
    <col min="14" max="14" width="17.8761061946903" style="41" customWidth="1"/>
    <col min="15" max="15" width="5.50442477876106" style="41" customWidth="1"/>
    <col min="16" max="16" width="8.69026548672566" style="41" customWidth="1"/>
    <col min="17" max="17" width="12.8761061946903" customWidth="1"/>
    <col min="18" max="18" width="5.50442477876106" customWidth="1"/>
  </cols>
  <sheetData>
    <row r="1" spans="1:4">
      <c r="A1">
        <v>7</v>
      </c>
      <c r="B1">
        <v>1</v>
      </c>
      <c r="C1">
        <v>9999</v>
      </c>
      <c r="D1" s="41" t="s">
        <v>0</v>
      </c>
    </row>
    <row r="2" spans="1:18">
      <c r="A2" t="s">
        <v>1</v>
      </c>
      <c r="B2" t="s">
        <v>2</v>
      </c>
      <c r="C2" t="s">
        <v>3</v>
      </c>
      <c r="D2" s="41" t="s">
        <v>4</v>
      </c>
      <c r="E2" s="42" t="s">
        <v>5</v>
      </c>
      <c r="F2" s="41" t="s">
        <v>6</v>
      </c>
      <c r="G2" s="41" t="s">
        <v>7</v>
      </c>
      <c r="H2" s="42" t="s">
        <v>8</v>
      </c>
      <c r="I2" s="41" t="s">
        <v>9</v>
      </c>
      <c r="J2" s="41" t="s">
        <v>10</v>
      </c>
      <c r="K2" s="41" t="s">
        <v>11</v>
      </c>
      <c r="L2" t="s">
        <v>12</v>
      </c>
      <c r="M2" s="41" t="s">
        <v>13</v>
      </c>
      <c r="N2" s="41" t="s">
        <v>14</v>
      </c>
      <c r="O2" t="s">
        <v>15</v>
      </c>
      <c r="P2" t="s">
        <v>16</v>
      </c>
      <c r="Q2" t="s">
        <v>17</v>
      </c>
      <c r="R2" t="s">
        <v>18</v>
      </c>
    </row>
    <row r="3" spans="1:16">
      <c r="A3" t="s">
        <v>1</v>
      </c>
      <c r="B3" t="s">
        <v>19</v>
      </c>
      <c r="C3" t="s">
        <v>20</v>
      </c>
      <c r="D3" s="41" t="s">
        <v>21</v>
      </c>
      <c r="E3" s="42" t="s">
        <v>22</v>
      </c>
      <c r="F3" s="41" t="s">
        <v>23</v>
      </c>
      <c r="G3" s="41" t="s">
        <v>24</v>
      </c>
      <c r="H3" s="42" t="s">
        <v>25</v>
      </c>
      <c r="I3" s="41" t="s">
        <v>26</v>
      </c>
      <c r="L3" t="s">
        <v>27</v>
      </c>
      <c r="M3" s="41" t="s">
        <v>28</v>
      </c>
      <c r="N3" s="41" t="s">
        <v>29</v>
      </c>
      <c r="O3" t="s">
        <v>30</v>
      </c>
      <c r="P3" t="s">
        <v>31</v>
      </c>
    </row>
    <row r="4" ht="13.85" spans="1:16">
      <c r="A4" s="44" t="s">
        <v>32</v>
      </c>
      <c r="B4" s="44" t="s">
        <v>32</v>
      </c>
      <c r="C4" s="44" t="s">
        <v>32</v>
      </c>
      <c r="D4" s="41" t="s">
        <v>33</v>
      </c>
      <c r="E4" s="45" t="s">
        <v>32</v>
      </c>
      <c r="F4" s="46" t="s">
        <v>33</v>
      </c>
      <c r="G4" s="46" t="s">
        <v>33</v>
      </c>
      <c r="H4" s="47" t="s">
        <v>32</v>
      </c>
      <c r="I4" s="46" t="s">
        <v>32</v>
      </c>
      <c r="J4" s="46"/>
      <c r="K4" s="46"/>
      <c r="L4" t="s">
        <v>32</v>
      </c>
      <c r="M4" s="41" t="s">
        <v>33</v>
      </c>
      <c r="N4" s="41" t="s">
        <v>33</v>
      </c>
      <c r="O4" t="s">
        <v>32</v>
      </c>
      <c r="P4" t="s">
        <v>34</v>
      </c>
    </row>
    <row r="5" spans="1:16">
      <c r="A5" t="s">
        <v>35</v>
      </c>
      <c r="B5" t="s">
        <v>36</v>
      </c>
      <c r="C5" t="s">
        <v>37</v>
      </c>
      <c r="D5" s="41" t="s">
        <v>37</v>
      </c>
      <c r="E5" s="43" t="s">
        <v>37</v>
      </c>
      <c r="F5" s="41" t="s">
        <v>37</v>
      </c>
      <c r="G5" s="41" t="s">
        <v>37</v>
      </c>
      <c r="H5" s="42" t="s">
        <v>37</v>
      </c>
      <c r="I5" s="41" t="s">
        <v>37</v>
      </c>
      <c r="L5" t="s">
        <v>37</v>
      </c>
      <c r="M5" s="41" t="s">
        <v>37</v>
      </c>
      <c r="N5" s="41" t="s">
        <v>37</v>
      </c>
      <c r="O5" t="s">
        <v>37</v>
      </c>
      <c r="P5" t="s">
        <v>37</v>
      </c>
    </row>
    <row r="6" spans="1:16">
      <c r="A6" t="s">
        <v>1</v>
      </c>
      <c r="B6" t="s">
        <v>19</v>
      </c>
      <c r="C6" t="s">
        <v>20</v>
      </c>
      <c r="D6" s="41" t="s">
        <v>21</v>
      </c>
      <c r="E6" s="42" t="s">
        <v>22</v>
      </c>
      <c r="F6" s="41" t="s">
        <v>23</v>
      </c>
      <c r="G6" s="41" t="s">
        <v>24</v>
      </c>
      <c r="H6" s="42" t="s">
        <v>25</v>
      </c>
      <c r="I6" s="41" t="s">
        <v>26</v>
      </c>
      <c r="J6" s="41" t="s">
        <v>38</v>
      </c>
      <c r="K6" s="41" t="s">
        <v>39</v>
      </c>
      <c r="L6" t="s">
        <v>27</v>
      </c>
      <c r="O6" t="s">
        <v>30</v>
      </c>
      <c r="P6" t="s">
        <v>31</v>
      </c>
    </row>
    <row r="7" spans="1:18">
      <c r="A7">
        <v>1</v>
      </c>
      <c r="B7">
        <v>111001</v>
      </c>
      <c r="C7" s="20">
        <v>1</v>
      </c>
      <c r="D7" s="48" t="s">
        <v>40</v>
      </c>
      <c r="E7" s="49">
        <v>1</v>
      </c>
      <c r="F7" s="49"/>
      <c r="G7" s="49"/>
      <c r="H7" s="49">
        <v>61021</v>
      </c>
      <c r="I7" s="49"/>
      <c r="J7" s="49"/>
      <c r="K7" s="49"/>
      <c r="L7" s="49">
        <v>180</v>
      </c>
      <c r="M7" s="49" t="s">
        <v>41</v>
      </c>
      <c r="N7" s="49" t="s">
        <v>42</v>
      </c>
      <c r="O7" s="49">
        <v>400</v>
      </c>
      <c r="P7" s="49"/>
      <c r="Q7">
        <f>VLOOKUP(B7,[1]Sheet1!$A:$B,2,FALSE)</f>
        <v>111001</v>
      </c>
      <c r="R7">
        <f>VLOOKUP(B7,[2]Sheet1!$A$7:$U$626,21,0)</f>
        <v>1</v>
      </c>
    </row>
    <row r="8" spans="1:18">
      <c r="A8">
        <v>2</v>
      </c>
      <c r="B8">
        <v>111001</v>
      </c>
      <c r="C8" s="20">
        <v>2</v>
      </c>
      <c r="D8" s="48" t="s">
        <v>43</v>
      </c>
      <c r="E8" s="49">
        <v>1</v>
      </c>
      <c r="F8" s="49"/>
      <c r="G8" s="49"/>
      <c r="H8" s="49">
        <v>61022</v>
      </c>
      <c r="I8" s="49"/>
      <c r="J8" s="49"/>
      <c r="K8" s="49"/>
      <c r="L8" s="49">
        <v>519</v>
      </c>
      <c r="M8" s="49" t="s">
        <v>44</v>
      </c>
      <c r="N8" s="49" t="s">
        <v>45</v>
      </c>
      <c r="O8" s="49">
        <v>800</v>
      </c>
      <c r="P8" s="49"/>
      <c r="Q8">
        <f>VLOOKUP(B8,[1]Sheet1!$A:$B,2,FALSE)</f>
        <v>111001</v>
      </c>
      <c r="R8">
        <f>VLOOKUP(B8,[2]Sheet1!$A$7:$U$626,21,0)</f>
        <v>1</v>
      </c>
    </row>
    <row r="9" spans="1:18">
      <c r="A9">
        <v>3</v>
      </c>
      <c r="B9">
        <v>111001</v>
      </c>
      <c r="C9" s="20">
        <v>3</v>
      </c>
      <c r="D9" s="48" t="s">
        <v>46</v>
      </c>
      <c r="E9" s="49">
        <v>1</v>
      </c>
      <c r="F9" s="49"/>
      <c r="G9" s="49"/>
      <c r="H9" s="49">
        <v>60080</v>
      </c>
      <c r="I9" s="49"/>
      <c r="J9" s="49"/>
      <c r="K9" s="49"/>
      <c r="L9" s="49">
        <v>603</v>
      </c>
      <c r="M9" s="49" t="s">
        <v>47</v>
      </c>
      <c r="N9" s="49" t="s">
        <v>45</v>
      </c>
      <c r="O9" s="49">
        <v>1000</v>
      </c>
      <c r="P9" s="49"/>
      <c r="Q9">
        <f>VLOOKUP(B9,[1]Sheet1!$A:$B,2,FALSE)</f>
        <v>111001</v>
      </c>
      <c r="R9">
        <f>VLOOKUP(B9,[2]Sheet1!$A$7:$U$626,21,0)</f>
        <v>1</v>
      </c>
    </row>
    <row r="10" spans="1:18">
      <c r="A10">
        <v>4</v>
      </c>
      <c r="B10">
        <v>111002</v>
      </c>
      <c r="C10" s="39">
        <v>1</v>
      </c>
      <c r="D10" s="50" t="s">
        <v>40</v>
      </c>
      <c r="E10" s="51">
        <v>1</v>
      </c>
      <c r="F10" s="51"/>
      <c r="G10" s="51"/>
      <c r="H10" s="51">
        <v>61023</v>
      </c>
      <c r="I10" s="51"/>
      <c r="J10" s="51"/>
      <c r="K10" s="51"/>
      <c r="L10" s="51">
        <v>194</v>
      </c>
      <c r="M10" s="51" t="s">
        <v>48</v>
      </c>
      <c r="N10" s="51" t="s">
        <v>49</v>
      </c>
      <c r="O10" s="51">
        <v>400</v>
      </c>
      <c r="P10" s="51"/>
      <c r="Q10">
        <f>VLOOKUP(B10,[1]Sheet1!$A:$B,2,FALSE)</f>
        <v>111002</v>
      </c>
      <c r="R10">
        <f>VLOOKUP(B10,[2]Sheet1!$A$7:$U$626,21,0)</f>
        <v>1</v>
      </c>
    </row>
    <row r="11" spans="1:18">
      <c r="A11">
        <v>5</v>
      </c>
      <c r="B11">
        <v>111002</v>
      </c>
      <c r="C11" s="39">
        <v>2</v>
      </c>
      <c r="D11" s="50" t="s">
        <v>43</v>
      </c>
      <c r="E11" s="51">
        <v>1</v>
      </c>
      <c r="F11" s="51"/>
      <c r="G11" s="51"/>
      <c r="H11" s="51">
        <v>61024</v>
      </c>
      <c r="I11" s="51"/>
      <c r="J11" s="51"/>
      <c r="K11" s="51"/>
      <c r="L11" s="51">
        <v>500</v>
      </c>
      <c r="M11" s="51" t="s">
        <v>50</v>
      </c>
      <c r="N11" s="51" t="s">
        <v>42</v>
      </c>
      <c r="O11" s="51">
        <v>800</v>
      </c>
      <c r="P11" s="51"/>
      <c r="Q11">
        <f>VLOOKUP(B11,[1]Sheet1!$A:$B,2,FALSE)</f>
        <v>111002</v>
      </c>
      <c r="R11">
        <f>VLOOKUP(B11,[2]Sheet1!$A$7:$U$626,21,0)</f>
        <v>1</v>
      </c>
    </row>
    <row r="12" spans="1:18">
      <c r="A12">
        <v>6</v>
      </c>
      <c r="B12">
        <v>111002</v>
      </c>
      <c r="C12" s="39">
        <v>3</v>
      </c>
      <c r="D12" s="50" t="s">
        <v>46</v>
      </c>
      <c r="E12" s="51">
        <v>1</v>
      </c>
      <c r="F12" s="51"/>
      <c r="G12" s="51"/>
      <c r="H12" s="51">
        <v>61025</v>
      </c>
      <c r="I12" s="51"/>
      <c r="J12" s="51"/>
      <c r="K12" s="51"/>
      <c r="L12" s="51">
        <v>609</v>
      </c>
      <c r="M12" s="51" t="s">
        <v>51</v>
      </c>
      <c r="N12" s="51" t="s">
        <v>49</v>
      </c>
      <c r="O12" s="51">
        <v>1000</v>
      </c>
      <c r="P12" s="51"/>
      <c r="Q12">
        <f>VLOOKUP(B12,[1]Sheet1!$A:$B,2,FALSE)</f>
        <v>111002</v>
      </c>
      <c r="R12">
        <f>VLOOKUP(B12,[2]Sheet1!$A$7:$U$626,21,0)</f>
        <v>1</v>
      </c>
    </row>
    <row r="13" spans="1:18">
      <c r="A13">
        <v>7</v>
      </c>
      <c r="B13">
        <v>111003</v>
      </c>
      <c r="C13" s="20">
        <v>1</v>
      </c>
      <c r="D13" s="48" t="s">
        <v>40</v>
      </c>
      <c r="E13" s="49">
        <v>1</v>
      </c>
      <c r="F13" s="49"/>
      <c r="G13" s="49"/>
      <c r="H13" s="49">
        <v>61026</v>
      </c>
      <c r="I13" s="49"/>
      <c r="J13" s="49"/>
      <c r="K13" s="49"/>
      <c r="L13" s="49">
        <v>198</v>
      </c>
      <c r="M13" s="49" t="s">
        <v>48</v>
      </c>
      <c r="N13" s="49" t="s">
        <v>49</v>
      </c>
      <c r="O13" s="49">
        <v>400</v>
      </c>
      <c r="P13" s="49"/>
      <c r="Q13">
        <f>VLOOKUP(B13,[1]Sheet1!$A:$B,2,FALSE)</f>
        <v>111003</v>
      </c>
      <c r="R13">
        <f>VLOOKUP(B13,[2]Sheet1!$A$7:$U$626,21,0)</f>
        <v>1</v>
      </c>
    </row>
    <row r="14" spans="1:18">
      <c r="A14">
        <v>8</v>
      </c>
      <c r="B14">
        <v>111003</v>
      </c>
      <c r="C14" s="20">
        <v>2</v>
      </c>
      <c r="D14" s="48" t="s">
        <v>43</v>
      </c>
      <c r="E14" s="49">
        <v>1</v>
      </c>
      <c r="F14" s="49"/>
      <c r="G14" s="49"/>
      <c r="H14" s="49">
        <v>61027</v>
      </c>
      <c r="I14" s="49"/>
      <c r="J14" s="49"/>
      <c r="K14" s="49"/>
      <c r="L14" s="49">
        <v>493</v>
      </c>
      <c r="M14" s="49" t="s">
        <v>52</v>
      </c>
      <c r="N14" s="49" t="s">
        <v>53</v>
      </c>
      <c r="O14" s="49"/>
      <c r="P14" s="49">
        <v>0.00025</v>
      </c>
      <c r="Q14">
        <f>VLOOKUP(B14,[1]Sheet1!$A:$B,2,FALSE)</f>
        <v>111003</v>
      </c>
      <c r="R14">
        <f>VLOOKUP(B14,[2]Sheet1!$A$7:$U$626,21,0)</f>
        <v>1</v>
      </c>
    </row>
    <row r="15" spans="1:18">
      <c r="A15">
        <v>9</v>
      </c>
      <c r="B15">
        <v>111003</v>
      </c>
      <c r="C15" s="20">
        <v>3</v>
      </c>
      <c r="D15" s="48" t="s">
        <v>46</v>
      </c>
      <c r="E15" s="49">
        <v>1</v>
      </c>
      <c r="F15" s="49"/>
      <c r="G15" s="49"/>
      <c r="H15" s="49">
        <v>61028</v>
      </c>
      <c r="I15" s="49"/>
      <c r="J15" s="49"/>
      <c r="K15" s="49"/>
      <c r="L15" s="49">
        <v>584</v>
      </c>
      <c r="M15" s="49" t="s">
        <v>54</v>
      </c>
      <c r="N15" s="49" t="s">
        <v>53</v>
      </c>
      <c r="O15" s="49"/>
      <c r="P15" s="49">
        <v>0.000375</v>
      </c>
      <c r="Q15">
        <f>VLOOKUP(B15,[1]Sheet1!$A:$B,2,FALSE)</f>
        <v>111003</v>
      </c>
      <c r="R15">
        <f>VLOOKUP(B15,[2]Sheet1!$A$7:$U$626,21,0)</f>
        <v>1</v>
      </c>
    </row>
    <row r="16" spans="1:18">
      <c r="A16">
        <v>10</v>
      </c>
      <c r="B16">
        <v>111004</v>
      </c>
      <c r="C16" s="39">
        <v>1</v>
      </c>
      <c r="D16" s="50" t="s">
        <v>40</v>
      </c>
      <c r="E16" s="51">
        <v>1</v>
      </c>
      <c r="F16" s="51"/>
      <c r="G16" s="51"/>
      <c r="H16" s="51">
        <v>61029</v>
      </c>
      <c r="I16" s="51"/>
      <c r="J16" s="51"/>
      <c r="K16" s="51"/>
      <c r="L16" s="51">
        <v>198</v>
      </c>
      <c r="M16" s="51" t="s">
        <v>55</v>
      </c>
      <c r="N16" s="51" t="s">
        <v>53</v>
      </c>
      <c r="O16" s="51"/>
      <c r="P16" s="51">
        <v>0.00125</v>
      </c>
      <c r="Q16">
        <f>VLOOKUP(B16,[1]Sheet1!$A:$B,2,FALSE)</f>
        <v>111004</v>
      </c>
      <c r="R16">
        <f>VLOOKUP(B16,[2]Sheet1!$A$7:$U$626,21,0)</f>
        <v>1</v>
      </c>
    </row>
    <row r="17" spans="1:18">
      <c r="A17">
        <v>11</v>
      </c>
      <c r="B17">
        <v>111004</v>
      </c>
      <c r="C17" s="39">
        <v>2</v>
      </c>
      <c r="D17" s="50" t="s">
        <v>43</v>
      </c>
      <c r="E17" s="51">
        <v>1</v>
      </c>
      <c r="F17" s="51"/>
      <c r="G17" s="51"/>
      <c r="H17" s="51">
        <v>61030</v>
      </c>
      <c r="I17" s="51"/>
      <c r="J17" s="51"/>
      <c r="K17" s="51"/>
      <c r="L17" s="51">
        <v>482</v>
      </c>
      <c r="M17" s="51" t="s">
        <v>56</v>
      </c>
      <c r="N17" s="51" t="s">
        <v>53</v>
      </c>
      <c r="O17" s="51"/>
      <c r="P17" s="51">
        <v>0.005</v>
      </c>
      <c r="Q17">
        <f>VLOOKUP(B17,[1]Sheet1!$A:$B,2,FALSE)</f>
        <v>111004</v>
      </c>
      <c r="R17">
        <f>VLOOKUP(B17,[2]Sheet1!$A$7:$U$626,21,0)</f>
        <v>1</v>
      </c>
    </row>
    <row r="18" spans="1:18">
      <c r="A18">
        <v>12</v>
      </c>
      <c r="B18">
        <v>111004</v>
      </c>
      <c r="C18" s="39">
        <v>3</v>
      </c>
      <c r="D18" s="50" t="s">
        <v>46</v>
      </c>
      <c r="E18" s="51">
        <v>1</v>
      </c>
      <c r="F18" s="51"/>
      <c r="G18" s="51"/>
      <c r="H18" s="51">
        <v>61031</v>
      </c>
      <c r="I18" s="51"/>
      <c r="J18" s="51"/>
      <c r="K18" s="51"/>
      <c r="L18" s="51">
        <v>616</v>
      </c>
      <c r="M18" s="51" t="s">
        <v>57</v>
      </c>
      <c r="N18" s="51" t="s">
        <v>53</v>
      </c>
      <c r="O18" s="51"/>
      <c r="P18" s="51">
        <v>0.0075</v>
      </c>
      <c r="Q18">
        <f>VLOOKUP(B18,[1]Sheet1!$A:$B,2,FALSE)</f>
        <v>111004</v>
      </c>
      <c r="R18">
        <f>VLOOKUP(B18,[2]Sheet1!$A$7:$U$626,21,0)</f>
        <v>1</v>
      </c>
    </row>
    <row r="19" spans="1:18">
      <c r="A19">
        <v>13</v>
      </c>
      <c r="B19">
        <v>111005</v>
      </c>
      <c r="C19" s="20">
        <v>1</v>
      </c>
      <c r="D19" s="48" t="s">
        <v>40</v>
      </c>
      <c r="E19" s="49">
        <v>1</v>
      </c>
      <c r="F19" s="49"/>
      <c r="G19" s="49"/>
      <c r="H19" s="49">
        <v>61032</v>
      </c>
      <c r="I19" s="49"/>
      <c r="J19" s="49"/>
      <c r="K19" s="49"/>
      <c r="L19" s="49">
        <v>218</v>
      </c>
      <c r="M19" s="49" t="s">
        <v>58</v>
      </c>
      <c r="N19" s="51" t="s">
        <v>59</v>
      </c>
      <c r="O19" s="51"/>
      <c r="P19" s="51">
        <v>0.00125</v>
      </c>
      <c r="Q19">
        <f>VLOOKUP(B19,[1]Sheet1!$A:$B,2,FALSE)</f>
        <v>111005</v>
      </c>
      <c r="R19">
        <f>VLOOKUP(B19,[2]Sheet1!$A$7:$U$626,21,0)</f>
        <v>1</v>
      </c>
    </row>
    <row r="20" spans="1:18">
      <c r="A20">
        <v>14</v>
      </c>
      <c r="B20">
        <v>111005</v>
      </c>
      <c r="C20" s="20">
        <v>2</v>
      </c>
      <c r="D20" s="48" t="s">
        <v>43</v>
      </c>
      <c r="E20" s="49">
        <v>1</v>
      </c>
      <c r="F20" s="49"/>
      <c r="G20" s="49"/>
      <c r="H20" s="49">
        <v>61033</v>
      </c>
      <c r="I20" s="49"/>
      <c r="J20" s="49"/>
      <c r="K20" s="49"/>
      <c r="L20" s="49">
        <v>496</v>
      </c>
      <c r="M20" s="49" t="s">
        <v>60</v>
      </c>
      <c r="N20" s="51" t="s">
        <v>61</v>
      </c>
      <c r="O20" s="51"/>
      <c r="P20" s="51">
        <v>0.0025</v>
      </c>
      <c r="Q20">
        <f>VLOOKUP(B20,[1]Sheet1!$A:$B,2,FALSE)</f>
        <v>111005</v>
      </c>
      <c r="R20">
        <f>VLOOKUP(B20,[2]Sheet1!$A$7:$U$626,21,0)</f>
        <v>1</v>
      </c>
    </row>
    <row r="21" spans="1:18">
      <c r="A21">
        <v>15</v>
      </c>
      <c r="B21">
        <v>111005</v>
      </c>
      <c r="C21" s="20">
        <v>3</v>
      </c>
      <c r="D21" s="48" t="s">
        <v>46</v>
      </c>
      <c r="E21" s="49">
        <v>1</v>
      </c>
      <c r="F21" s="49"/>
      <c r="G21" s="49"/>
      <c r="H21" s="49">
        <v>60081</v>
      </c>
      <c r="I21" s="49"/>
      <c r="J21" s="49"/>
      <c r="K21" s="49"/>
      <c r="L21" s="49">
        <v>608</v>
      </c>
      <c r="M21" s="49" t="s">
        <v>62</v>
      </c>
      <c r="N21" s="49" t="s">
        <v>59</v>
      </c>
      <c r="O21" s="49"/>
      <c r="P21" s="49">
        <v>0.005</v>
      </c>
      <c r="Q21">
        <f>VLOOKUP(B21,[1]Sheet1!$A:$B,2,FALSE)</f>
        <v>111005</v>
      </c>
      <c r="R21">
        <f>VLOOKUP(B21,[2]Sheet1!$A$7:$U$626,21,0)</f>
        <v>1</v>
      </c>
    </row>
    <row r="22" spans="1:18">
      <c r="A22">
        <v>16</v>
      </c>
      <c r="B22">
        <v>111006</v>
      </c>
      <c r="C22" s="39">
        <v>1</v>
      </c>
      <c r="D22" s="50" t="s">
        <v>40</v>
      </c>
      <c r="E22" s="51">
        <v>1</v>
      </c>
      <c r="F22" s="52"/>
      <c r="G22" s="51"/>
      <c r="H22" s="51">
        <v>61034</v>
      </c>
      <c r="I22" s="51"/>
      <c r="J22" s="51"/>
      <c r="K22" s="51"/>
      <c r="L22" s="51">
        <v>217</v>
      </c>
      <c r="M22" s="51" t="s">
        <v>63</v>
      </c>
      <c r="N22" s="51" t="s">
        <v>45</v>
      </c>
      <c r="O22" s="51">
        <v>400</v>
      </c>
      <c r="P22" s="51">
        <v>0</v>
      </c>
      <c r="Q22">
        <f>VLOOKUP(B22,[1]Sheet1!$A:$B,2,FALSE)</f>
        <v>111006</v>
      </c>
      <c r="R22">
        <f>VLOOKUP(B22,[2]Sheet1!$A$7:$U$626,21,0)</f>
        <v>1</v>
      </c>
    </row>
    <row r="23" spans="1:18">
      <c r="A23">
        <v>17</v>
      </c>
      <c r="B23">
        <v>111006</v>
      </c>
      <c r="C23" s="39">
        <v>2</v>
      </c>
      <c r="D23" s="50" t="s">
        <v>43</v>
      </c>
      <c r="E23" s="51">
        <v>1</v>
      </c>
      <c r="F23" s="51"/>
      <c r="G23" s="51"/>
      <c r="H23" s="51">
        <v>61035</v>
      </c>
      <c r="I23" s="51"/>
      <c r="J23" s="51"/>
      <c r="K23" s="51"/>
      <c r="L23" s="51">
        <v>504</v>
      </c>
      <c r="M23" s="51" t="s">
        <v>64</v>
      </c>
      <c r="N23" s="51" t="s">
        <v>65</v>
      </c>
      <c r="O23" s="51"/>
      <c r="P23" s="51">
        <v>0.0025</v>
      </c>
      <c r="Q23">
        <f>VLOOKUP(B23,[1]Sheet1!$A:$B,2,FALSE)</f>
        <v>111006</v>
      </c>
      <c r="R23">
        <f>VLOOKUP(B23,[2]Sheet1!$A$7:$U$626,21,0)</f>
        <v>1</v>
      </c>
    </row>
    <row r="24" spans="1:18">
      <c r="A24">
        <v>18</v>
      </c>
      <c r="B24">
        <v>111006</v>
      </c>
      <c r="C24" s="39">
        <v>3</v>
      </c>
      <c r="D24" s="50" t="s">
        <v>46</v>
      </c>
      <c r="E24" s="51">
        <v>1</v>
      </c>
      <c r="F24" s="51"/>
      <c r="G24" s="51"/>
      <c r="H24" s="51">
        <v>60082</v>
      </c>
      <c r="I24" s="51"/>
      <c r="J24" s="51"/>
      <c r="K24" s="51"/>
      <c r="L24" s="51">
        <v>602</v>
      </c>
      <c r="M24" s="51" t="s">
        <v>66</v>
      </c>
      <c r="N24" s="51" t="s">
        <v>67</v>
      </c>
      <c r="O24" s="51"/>
      <c r="P24" s="51">
        <v>0.005</v>
      </c>
      <c r="Q24">
        <f>VLOOKUP(B24,[1]Sheet1!$A:$B,2,FALSE)</f>
        <v>111006</v>
      </c>
      <c r="R24">
        <f>VLOOKUP(B24,[2]Sheet1!$A$7:$U$626,21,0)</f>
        <v>1</v>
      </c>
    </row>
    <row r="25" spans="1:18">
      <c r="A25">
        <v>19</v>
      </c>
      <c r="B25">
        <v>111007</v>
      </c>
      <c r="C25" s="20">
        <v>1</v>
      </c>
      <c r="D25" s="48" t="s">
        <v>40</v>
      </c>
      <c r="E25" s="49">
        <v>1</v>
      </c>
      <c r="F25" s="49"/>
      <c r="G25" s="49"/>
      <c r="H25" s="49">
        <v>61036</v>
      </c>
      <c r="I25" s="49"/>
      <c r="J25" s="49"/>
      <c r="K25" s="49"/>
      <c r="L25" s="49">
        <v>185</v>
      </c>
      <c r="M25" s="49" t="s">
        <v>48</v>
      </c>
      <c r="N25" s="49" t="s">
        <v>49</v>
      </c>
      <c r="O25" s="49">
        <v>400</v>
      </c>
      <c r="P25" s="49">
        <v>0</v>
      </c>
      <c r="Q25">
        <f>VLOOKUP(B25,[1]Sheet1!$A:$B,2,FALSE)</f>
        <v>111007</v>
      </c>
      <c r="R25">
        <f>VLOOKUP(B25,[2]Sheet1!$A$7:$U$626,21,0)</f>
        <v>1</v>
      </c>
    </row>
    <row r="26" spans="1:18">
      <c r="A26">
        <v>20</v>
      </c>
      <c r="B26">
        <v>111007</v>
      </c>
      <c r="C26" s="20">
        <v>2</v>
      </c>
      <c r="D26" s="48" t="s">
        <v>43</v>
      </c>
      <c r="E26" s="49">
        <v>1</v>
      </c>
      <c r="F26" s="49"/>
      <c r="G26" s="49"/>
      <c r="H26" s="49">
        <v>61037</v>
      </c>
      <c r="I26" s="49"/>
      <c r="J26" s="49"/>
      <c r="K26" s="49"/>
      <c r="L26" s="49">
        <v>520</v>
      </c>
      <c r="M26" s="49" t="s">
        <v>68</v>
      </c>
      <c r="N26" s="49" t="s">
        <v>49</v>
      </c>
      <c r="O26" s="49">
        <v>800</v>
      </c>
      <c r="P26" s="49">
        <v>0</v>
      </c>
      <c r="Q26">
        <f>VLOOKUP(B26,[1]Sheet1!$A:$B,2,FALSE)</f>
        <v>111007</v>
      </c>
      <c r="R26">
        <f>VLOOKUP(B26,[2]Sheet1!$A$7:$U$626,21,0)</f>
        <v>1</v>
      </c>
    </row>
    <row r="27" spans="1:18">
      <c r="A27">
        <v>21</v>
      </c>
      <c r="B27">
        <v>111007</v>
      </c>
      <c r="C27" s="20">
        <v>3</v>
      </c>
      <c r="D27" s="48" t="s">
        <v>46</v>
      </c>
      <c r="E27" s="49">
        <v>1</v>
      </c>
      <c r="F27" s="49"/>
      <c r="G27" s="49"/>
      <c r="H27" s="49">
        <v>60083</v>
      </c>
      <c r="I27" s="49"/>
      <c r="J27" s="49"/>
      <c r="K27" s="49"/>
      <c r="L27" s="49">
        <v>598</v>
      </c>
      <c r="M27" s="49" t="s">
        <v>69</v>
      </c>
      <c r="N27" s="49" t="s">
        <v>49</v>
      </c>
      <c r="O27" s="49">
        <v>1000</v>
      </c>
      <c r="P27" s="49">
        <v>0</v>
      </c>
      <c r="Q27">
        <f>VLOOKUP(B27,[1]Sheet1!$A:$B,2,FALSE)</f>
        <v>111007</v>
      </c>
      <c r="R27">
        <f>VLOOKUP(B27,[2]Sheet1!$A$7:$U$626,21,0)</f>
        <v>1</v>
      </c>
    </row>
    <row r="28" spans="1:18">
      <c r="A28">
        <v>22</v>
      </c>
      <c r="B28">
        <v>111008</v>
      </c>
      <c r="C28" s="39">
        <v>1</v>
      </c>
      <c r="D28" s="50" t="s">
        <v>40</v>
      </c>
      <c r="E28" s="51">
        <v>1</v>
      </c>
      <c r="F28" s="51"/>
      <c r="G28" s="51"/>
      <c r="H28" s="51">
        <v>61038</v>
      </c>
      <c r="I28" s="51"/>
      <c r="J28" s="51"/>
      <c r="K28" s="51"/>
      <c r="L28" s="51">
        <v>192</v>
      </c>
      <c r="M28" s="51" t="s">
        <v>70</v>
      </c>
      <c r="N28" s="51" t="s">
        <v>65</v>
      </c>
      <c r="O28" s="51"/>
      <c r="P28" s="51">
        <v>0.00125</v>
      </c>
      <c r="Q28">
        <f>VLOOKUP(B28,[1]Sheet1!$A:$B,2,FALSE)</f>
        <v>111008</v>
      </c>
      <c r="R28">
        <f>VLOOKUP(B28,[2]Sheet1!$A$7:$U$626,21,0)</f>
        <v>1</v>
      </c>
    </row>
    <row r="29" spans="1:18">
      <c r="A29">
        <v>23</v>
      </c>
      <c r="B29">
        <v>111008</v>
      </c>
      <c r="C29" s="39">
        <v>2</v>
      </c>
      <c r="D29" s="50" t="s">
        <v>43</v>
      </c>
      <c r="E29" s="51">
        <v>1</v>
      </c>
      <c r="F29" s="51"/>
      <c r="G29" s="51"/>
      <c r="H29" s="51">
        <v>61039</v>
      </c>
      <c r="I29" s="51"/>
      <c r="J29" s="51"/>
      <c r="K29" s="51"/>
      <c r="L29" s="51">
        <v>518</v>
      </c>
      <c r="M29" s="51" t="s">
        <v>71</v>
      </c>
      <c r="N29" s="51" t="s">
        <v>72</v>
      </c>
      <c r="O29" s="51"/>
      <c r="P29" s="51">
        <v>0.0025</v>
      </c>
      <c r="Q29">
        <f>VLOOKUP(B29,[1]Sheet1!$A:$B,2,FALSE)</f>
        <v>111008</v>
      </c>
      <c r="R29">
        <f>VLOOKUP(B29,[2]Sheet1!$A$7:$U$626,21,0)</f>
        <v>1</v>
      </c>
    </row>
    <row r="30" spans="1:18">
      <c r="A30">
        <v>24</v>
      </c>
      <c r="B30">
        <v>111008</v>
      </c>
      <c r="C30" s="39">
        <v>3</v>
      </c>
      <c r="D30" s="50" t="s">
        <v>46</v>
      </c>
      <c r="E30" s="51">
        <v>1</v>
      </c>
      <c r="F30" s="51"/>
      <c r="G30" s="51"/>
      <c r="H30" s="51">
        <v>60084</v>
      </c>
      <c r="I30" s="51"/>
      <c r="J30" s="51"/>
      <c r="K30" s="51"/>
      <c r="L30" s="51">
        <v>608</v>
      </c>
      <c r="M30" s="51" t="s">
        <v>73</v>
      </c>
      <c r="N30" s="51" t="s">
        <v>42</v>
      </c>
      <c r="O30" s="51"/>
      <c r="P30" s="51">
        <v>0.005</v>
      </c>
      <c r="Q30">
        <f>VLOOKUP(B30,[1]Sheet1!$A:$B,2,FALSE)</f>
        <v>111008</v>
      </c>
      <c r="R30">
        <f>VLOOKUP(B30,[2]Sheet1!$A$7:$U$626,21,0)</f>
        <v>1</v>
      </c>
    </row>
    <row r="31" spans="1:18">
      <c r="A31">
        <v>25</v>
      </c>
      <c r="B31">
        <v>111009</v>
      </c>
      <c r="C31" s="20">
        <v>1</v>
      </c>
      <c r="D31" s="48" t="s">
        <v>40</v>
      </c>
      <c r="E31" s="49">
        <v>1</v>
      </c>
      <c r="F31" s="49"/>
      <c r="G31" s="49"/>
      <c r="H31" s="49">
        <v>61040</v>
      </c>
      <c r="I31" s="49"/>
      <c r="J31" s="49"/>
      <c r="K31" s="49"/>
      <c r="L31" s="49">
        <v>218</v>
      </c>
      <c r="M31" s="49" t="s">
        <v>74</v>
      </c>
      <c r="N31" s="49" t="s">
        <v>53</v>
      </c>
      <c r="O31" s="49"/>
      <c r="P31" s="49">
        <v>0.00125</v>
      </c>
      <c r="Q31">
        <f>VLOOKUP(B31,[1]Sheet1!$A:$B,2,FALSE)</f>
        <v>111009</v>
      </c>
      <c r="R31">
        <f>VLOOKUP(B31,[2]Sheet1!$A$7:$U$626,21,0)</f>
        <v>1</v>
      </c>
    </row>
    <row r="32" spans="1:18">
      <c r="A32">
        <v>26</v>
      </c>
      <c r="B32">
        <v>111009</v>
      </c>
      <c r="C32" s="20">
        <v>2</v>
      </c>
      <c r="D32" s="48" t="s">
        <v>43</v>
      </c>
      <c r="E32" s="49">
        <v>1</v>
      </c>
      <c r="F32" s="49"/>
      <c r="G32" s="49"/>
      <c r="H32" s="49">
        <v>61041</v>
      </c>
      <c r="I32" s="49"/>
      <c r="J32" s="49"/>
      <c r="K32" s="49"/>
      <c r="L32" s="49">
        <v>504</v>
      </c>
      <c r="M32" s="49" t="s">
        <v>75</v>
      </c>
      <c r="N32" s="49" t="s">
        <v>49</v>
      </c>
      <c r="O32" s="49"/>
      <c r="P32" s="49">
        <v>0.0025</v>
      </c>
      <c r="Q32">
        <f>VLOOKUP(B32,[1]Sheet1!$A:$B,2,FALSE)</f>
        <v>111009</v>
      </c>
      <c r="R32">
        <f>VLOOKUP(B32,[2]Sheet1!$A$7:$U$626,21,0)</f>
        <v>1</v>
      </c>
    </row>
    <row r="33" spans="1:18">
      <c r="A33">
        <v>27</v>
      </c>
      <c r="B33">
        <v>111009</v>
      </c>
      <c r="C33" s="20">
        <v>3</v>
      </c>
      <c r="D33" s="48" t="s">
        <v>46</v>
      </c>
      <c r="E33" s="49">
        <v>1</v>
      </c>
      <c r="F33" s="49"/>
      <c r="G33" s="49"/>
      <c r="H33" s="49"/>
      <c r="I33" s="49"/>
      <c r="J33" s="49">
        <v>60085</v>
      </c>
      <c r="K33" s="49"/>
      <c r="L33" s="49">
        <v>606</v>
      </c>
      <c r="M33" s="49" t="s">
        <v>76</v>
      </c>
      <c r="N33" s="49" t="s">
        <v>77</v>
      </c>
      <c r="O33" s="49"/>
      <c r="P33" s="49">
        <v>0.005</v>
      </c>
      <c r="Q33">
        <f>VLOOKUP(B33,[1]Sheet1!$A:$B,2,FALSE)</f>
        <v>111009</v>
      </c>
      <c r="R33">
        <f>VLOOKUP(B33,[2]Sheet1!$A$7:$U$626,21,0)</f>
        <v>1</v>
      </c>
    </row>
    <row r="34" spans="1:18">
      <c r="A34">
        <v>28</v>
      </c>
      <c r="B34">
        <v>111010</v>
      </c>
      <c r="C34" s="39">
        <v>1</v>
      </c>
      <c r="D34" s="50" t="s">
        <v>40</v>
      </c>
      <c r="E34" s="51">
        <v>1</v>
      </c>
      <c r="F34" s="51"/>
      <c r="G34" s="51"/>
      <c r="H34" s="51">
        <v>61042</v>
      </c>
      <c r="I34" s="51"/>
      <c r="J34" s="51"/>
      <c r="K34" s="51"/>
      <c r="L34" s="51">
        <v>219</v>
      </c>
      <c r="M34" s="51" t="s">
        <v>55</v>
      </c>
      <c r="N34" s="51" t="s">
        <v>61</v>
      </c>
      <c r="O34" s="51"/>
      <c r="P34" s="51">
        <v>0.00125</v>
      </c>
      <c r="Q34">
        <f>VLOOKUP(B34,[1]Sheet1!$A:$B,2,FALSE)</f>
        <v>111010</v>
      </c>
      <c r="R34">
        <f>VLOOKUP(B34,[2]Sheet1!$A$7:$U$626,21,0)</f>
        <v>1</v>
      </c>
    </row>
    <row r="35" spans="1:18">
      <c r="A35">
        <v>29</v>
      </c>
      <c r="B35">
        <v>111010</v>
      </c>
      <c r="C35" s="39">
        <v>2</v>
      </c>
      <c r="D35" s="50" t="s">
        <v>43</v>
      </c>
      <c r="E35" s="51">
        <v>1</v>
      </c>
      <c r="F35" s="51"/>
      <c r="G35" s="51"/>
      <c r="H35" s="51">
        <v>61043</v>
      </c>
      <c r="I35" s="51"/>
      <c r="J35" s="51"/>
      <c r="K35" s="51"/>
      <c r="L35" s="51">
        <v>493</v>
      </c>
      <c r="M35" s="51" t="s">
        <v>78</v>
      </c>
      <c r="N35" s="51" t="s">
        <v>59</v>
      </c>
      <c r="O35" s="51"/>
      <c r="P35" s="51">
        <v>0.0025</v>
      </c>
      <c r="Q35">
        <f>VLOOKUP(B35,[1]Sheet1!$A:$B,2,FALSE)</f>
        <v>111010</v>
      </c>
      <c r="R35">
        <f>VLOOKUP(B35,[2]Sheet1!$A$7:$U$626,21,0)</f>
        <v>1</v>
      </c>
    </row>
    <row r="36" spans="1:18">
      <c r="A36">
        <v>30</v>
      </c>
      <c r="B36">
        <v>111010</v>
      </c>
      <c r="C36" s="39">
        <v>3</v>
      </c>
      <c r="D36" s="50" t="s">
        <v>46</v>
      </c>
      <c r="E36" s="51">
        <v>1</v>
      </c>
      <c r="F36" s="51"/>
      <c r="G36" s="51"/>
      <c r="H36" s="51">
        <v>60086</v>
      </c>
      <c r="I36" s="51"/>
      <c r="J36" s="51"/>
      <c r="K36" s="51"/>
      <c r="L36" s="51">
        <v>586</v>
      </c>
      <c r="M36" s="51" t="s">
        <v>79</v>
      </c>
      <c r="N36" s="51" t="s">
        <v>49</v>
      </c>
      <c r="O36" s="51"/>
      <c r="P36" s="51">
        <v>0.005</v>
      </c>
      <c r="Q36">
        <f>VLOOKUP(B36,[1]Sheet1!$A:$B,2,FALSE)</f>
        <v>111010</v>
      </c>
      <c r="R36">
        <f>VLOOKUP(B36,[2]Sheet1!$A$7:$U$626,21,0)</f>
        <v>1</v>
      </c>
    </row>
    <row r="37" spans="1:18">
      <c r="A37">
        <v>31</v>
      </c>
      <c r="B37">
        <v>111011</v>
      </c>
      <c r="C37" s="20">
        <v>1</v>
      </c>
      <c r="D37" s="48" t="s">
        <v>40</v>
      </c>
      <c r="E37" s="49">
        <v>1</v>
      </c>
      <c r="F37" s="49"/>
      <c r="G37" s="49"/>
      <c r="H37" s="49">
        <v>61044</v>
      </c>
      <c r="I37" s="49"/>
      <c r="J37" s="49"/>
      <c r="K37" s="49"/>
      <c r="L37" s="49">
        <v>212</v>
      </c>
      <c r="M37" s="49" t="s">
        <v>80</v>
      </c>
      <c r="N37" s="49" t="s">
        <v>81</v>
      </c>
      <c r="O37" s="49"/>
      <c r="P37" s="49">
        <v>0.00125</v>
      </c>
      <c r="Q37">
        <f>VLOOKUP(B37,[1]Sheet1!$A:$B,2,FALSE)</f>
        <v>111011</v>
      </c>
      <c r="R37">
        <f>VLOOKUP(B37,[2]Sheet1!$A$7:$U$626,21,0)</f>
        <v>1</v>
      </c>
    </row>
    <row r="38" spans="1:18">
      <c r="A38">
        <v>32</v>
      </c>
      <c r="B38">
        <v>111011</v>
      </c>
      <c r="C38" s="20">
        <v>2</v>
      </c>
      <c r="D38" s="48" t="s">
        <v>43</v>
      </c>
      <c r="E38" s="49">
        <v>1</v>
      </c>
      <c r="F38" s="49"/>
      <c r="G38" s="49"/>
      <c r="H38" s="49">
        <v>61045</v>
      </c>
      <c r="I38" s="49"/>
      <c r="J38" s="49"/>
      <c r="K38" s="49"/>
      <c r="L38" s="49">
        <v>480</v>
      </c>
      <c r="M38" s="49" t="s">
        <v>82</v>
      </c>
      <c r="N38" s="49" t="s">
        <v>81</v>
      </c>
      <c r="O38" s="49"/>
      <c r="P38" s="49">
        <v>0.0025</v>
      </c>
      <c r="Q38">
        <f>VLOOKUP(B38,[1]Sheet1!$A:$B,2,FALSE)</f>
        <v>111011</v>
      </c>
      <c r="R38">
        <f>VLOOKUP(B38,[2]Sheet1!$A$7:$U$626,21,0)</f>
        <v>1</v>
      </c>
    </row>
    <row r="39" spans="1:18">
      <c r="A39">
        <v>33</v>
      </c>
      <c r="B39">
        <v>111011</v>
      </c>
      <c r="C39" s="20">
        <v>3</v>
      </c>
      <c r="D39" s="48" t="s">
        <v>46</v>
      </c>
      <c r="E39" s="49">
        <v>1</v>
      </c>
      <c r="F39" s="49"/>
      <c r="G39" s="49"/>
      <c r="H39" s="49">
        <v>60087</v>
      </c>
      <c r="I39" s="49"/>
      <c r="J39" s="49"/>
      <c r="K39" s="49"/>
      <c r="L39" s="49">
        <v>617</v>
      </c>
      <c r="M39" s="49" t="s">
        <v>83</v>
      </c>
      <c r="N39" s="49" t="s">
        <v>81</v>
      </c>
      <c r="O39" s="49"/>
      <c r="P39" s="49">
        <v>0.005</v>
      </c>
      <c r="Q39">
        <f>VLOOKUP(B39,[1]Sheet1!$A:$B,2,FALSE)</f>
        <v>111011</v>
      </c>
      <c r="R39">
        <f>VLOOKUP(B39,[2]Sheet1!$A$7:$U$626,21,0)</f>
        <v>1</v>
      </c>
    </row>
    <row r="40" spans="1:18">
      <c r="A40">
        <v>34</v>
      </c>
      <c r="B40">
        <v>111012</v>
      </c>
      <c r="C40" s="39">
        <v>1</v>
      </c>
      <c r="D40" s="50" t="s">
        <v>40</v>
      </c>
      <c r="E40" s="51">
        <v>1</v>
      </c>
      <c r="F40" s="51"/>
      <c r="G40" s="51"/>
      <c r="H40" s="51">
        <v>60088</v>
      </c>
      <c r="I40" s="51"/>
      <c r="J40" s="51"/>
      <c r="K40" s="51"/>
      <c r="L40" s="51">
        <v>211</v>
      </c>
      <c r="M40" s="51" t="s">
        <v>84</v>
      </c>
      <c r="N40" s="51" t="s">
        <v>77</v>
      </c>
      <c r="O40" s="51"/>
      <c r="P40" s="51">
        <v>0.00125</v>
      </c>
      <c r="Q40">
        <f>VLOOKUP(B40,[1]Sheet1!$A:$B,2,FALSE)</f>
        <v>111012</v>
      </c>
      <c r="R40">
        <f>VLOOKUP(B40,[2]Sheet1!$A$7:$U$626,21,0)</f>
        <v>1</v>
      </c>
    </row>
    <row r="41" spans="1:18">
      <c r="A41">
        <v>35</v>
      </c>
      <c r="B41">
        <v>111012</v>
      </c>
      <c r="C41" s="39">
        <v>2</v>
      </c>
      <c r="D41" s="50" t="s">
        <v>43</v>
      </c>
      <c r="E41" s="51">
        <v>1</v>
      </c>
      <c r="F41" s="51"/>
      <c r="G41" s="51"/>
      <c r="H41" s="51" t="s">
        <v>85</v>
      </c>
      <c r="I41" s="51"/>
      <c r="J41" s="51"/>
      <c r="K41" s="51"/>
      <c r="L41" s="51">
        <v>481</v>
      </c>
      <c r="M41" s="51" t="s">
        <v>86</v>
      </c>
      <c r="N41" s="51" t="s">
        <v>77</v>
      </c>
      <c r="O41" s="51"/>
      <c r="P41" s="51">
        <v>0.0025</v>
      </c>
      <c r="Q41">
        <f>VLOOKUP(B41,[1]Sheet1!$A:$B,2,FALSE)</f>
        <v>111012</v>
      </c>
      <c r="R41">
        <f>VLOOKUP(B41,[2]Sheet1!$A$7:$U$626,21,0)</f>
        <v>1</v>
      </c>
    </row>
    <row r="42" spans="1:18">
      <c r="A42">
        <v>36</v>
      </c>
      <c r="B42">
        <v>111012</v>
      </c>
      <c r="C42" s="39">
        <v>3</v>
      </c>
      <c r="D42" s="50" t="s">
        <v>46</v>
      </c>
      <c r="E42" s="51">
        <v>1</v>
      </c>
      <c r="F42" s="51"/>
      <c r="G42" s="51"/>
      <c r="H42" s="51">
        <v>60089</v>
      </c>
      <c r="I42" s="51"/>
      <c r="J42" s="51"/>
      <c r="K42" s="51"/>
      <c r="L42" s="51">
        <v>619</v>
      </c>
      <c r="M42" s="51" t="s">
        <v>87</v>
      </c>
      <c r="N42" s="51" t="s">
        <v>77</v>
      </c>
      <c r="O42" s="51"/>
      <c r="P42" s="51">
        <v>0.005</v>
      </c>
      <c r="Q42">
        <f>VLOOKUP(B42,[1]Sheet1!$A:$B,2,FALSE)</f>
        <v>111012</v>
      </c>
      <c r="R42">
        <f>VLOOKUP(B42,[2]Sheet1!$A$7:$U$626,21,0)</f>
        <v>1</v>
      </c>
    </row>
    <row r="43" spans="1:18">
      <c r="A43">
        <v>37</v>
      </c>
      <c r="B43">
        <v>111013</v>
      </c>
      <c r="C43" s="20">
        <v>1</v>
      </c>
      <c r="D43" s="48" t="s">
        <v>40</v>
      </c>
      <c r="E43" s="49">
        <v>1</v>
      </c>
      <c r="F43" s="49"/>
      <c r="G43" s="49"/>
      <c r="H43" s="49">
        <v>61046</v>
      </c>
      <c r="I43" s="49"/>
      <c r="J43" s="49"/>
      <c r="K43" s="49"/>
      <c r="L43" s="49">
        <v>190</v>
      </c>
      <c r="M43" s="49" t="s">
        <v>70</v>
      </c>
      <c r="N43" s="49" t="s">
        <v>65</v>
      </c>
      <c r="O43" s="49"/>
      <c r="P43" s="49">
        <v>0.00125</v>
      </c>
      <c r="Q43">
        <f>VLOOKUP(B43,[1]Sheet1!$A:$B,2,FALSE)</f>
        <v>111013</v>
      </c>
      <c r="R43">
        <f>VLOOKUP(B43,[2]Sheet1!$A$7:$U$626,21,0)</f>
        <v>1</v>
      </c>
    </row>
    <row r="44" spans="1:18">
      <c r="A44">
        <v>38</v>
      </c>
      <c r="B44">
        <v>111013</v>
      </c>
      <c r="C44" s="20">
        <v>2</v>
      </c>
      <c r="D44" s="48" t="s">
        <v>43</v>
      </c>
      <c r="E44" s="49">
        <v>1</v>
      </c>
      <c r="F44" s="49"/>
      <c r="G44" s="49"/>
      <c r="H44" s="49">
        <v>61047</v>
      </c>
      <c r="I44" s="49"/>
      <c r="J44" s="49"/>
      <c r="K44" s="49"/>
      <c r="L44" s="49">
        <v>520</v>
      </c>
      <c r="M44" s="49" t="s">
        <v>44</v>
      </c>
      <c r="N44" s="49" t="s">
        <v>45</v>
      </c>
      <c r="O44" s="49">
        <v>800</v>
      </c>
      <c r="P44" s="49">
        <v>0</v>
      </c>
      <c r="Q44">
        <f>VLOOKUP(B44,[1]Sheet1!$A:$B,2,FALSE)</f>
        <v>111013</v>
      </c>
      <c r="R44">
        <f>VLOOKUP(B44,[2]Sheet1!$A$7:$U$626,21,0)</f>
        <v>1</v>
      </c>
    </row>
    <row r="45" spans="1:18">
      <c r="A45">
        <v>39</v>
      </c>
      <c r="B45">
        <v>111013</v>
      </c>
      <c r="C45" s="20">
        <v>3</v>
      </c>
      <c r="D45" s="48" t="s">
        <v>46</v>
      </c>
      <c r="E45" s="49">
        <v>1</v>
      </c>
      <c r="F45" s="49"/>
      <c r="G45" s="49"/>
      <c r="H45" s="49">
        <v>61048</v>
      </c>
      <c r="I45" s="49"/>
      <c r="J45" s="49"/>
      <c r="K45" s="49"/>
      <c r="L45" s="49">
        <v>618</v>
      </c>
      <c r="M45" s="49" t="s">
        <v>88</v>
      </c>
      <c r="N45" s="49" t="s">
        <v>45</v>
      </c>
      <c r="O45" s="49"/>
      <c r="P45" s="49">
        <v>0.00375</v>
      </c>
      <c r="Q45">
        <f>VLOOKUP(B45,[1]Sheet1!$A:$B,2,FALSE)</f>
        <v>111013</v>
      </c>
      <c r="R45">
        <f>VLOOKUP(B45,[2]Sheet1!$A$7:$U$626,21,0)</f>
        <v>1</v>
      </c>
    </row>
    <row r="46" spans="1:18">
      <c r="A46">
        <v>40</v>
      </c>
      <c r="B46">
        <v>111014</v>
      </c>
      <c r="C46" s="39">
        <v>1</v>
      </c>
      <c r="D46" s="50" t="s">
        <v>40</v>
      </c>
      <c r="E46" s="51">
        <v>1</v>
      </c>
      <c r="F46" s="51"/>
      <c r="G46" s="51"/>
      <c r="H46" s="51">
        <v>61049</v>
      </c>
      <c r="I46" s="51"/>
      <c r="J46" s="51"/>
      <c r="K46" s="51"/>
      <c r="L46" s="51">
        <v>213</v>
      </c>
      <c r="M46" s="51" t="s">
        <v>89</v>
      </c>
      <c r="N46" s="51" t="s">
        <v>90</v>
      </c>
      <c r="O46" s="51"/>
      <c r="P46" s="51">
        <v>0.00125</v>
      </c>
      <c r="Q46">
        <f>VLOOKUP(B46,[1]Sheet1!$A:$B,2,FALSE)</f>
        <v>111014</v>
      </c>
      <c r="R46">
        <f>VLOOKUP(B46,[2]Sheet1!$A$7:$U$626,21,0)</f>
        <v>1</v>
      </c>
    </row>
    <row r="47" spans="1:18">
      <c r="A47">
        <v>41</v>
      </c>
      <c r="B47">
        <v>111014</v>
      </c>
      <c r="C47" s="39">
        <v>2</v>
      </c>
      <c r="D47" s="50" t="s">
        <v>43</v>
      </c>
      <c r="E47" s="51">
        <v>1</v>
      </c>
      <c r="F47" s="51"/>
      <c r="G47" s="51"/>
      <c r="H47" s="51">
        <v>61050</v>
      </c>
      <c r="I47" s="51"/>
      <c r="J47" s="51"/>
      <c r="K47" s="51"/>
      <c r="L47" s="51">
        <v>482</v>
      </c>
      <c r="M47" s="51" t="s">
        <v>91</v>
      </c>
      <c r="N47" s="51" t="s">
        <v>90</v>
      </c>
      <c r="O47" s="51"/>
      <c r="P47" s="51">
        <v>0.0025</v>
      </c>
      <c r="Q47">
        <f>VLOOKUP(B47,[1]Sheet1!$A:$B,2,FALSE)</f>
        <v>111014</v>
      </c>
      <c r="R47">
        <f>VLOOKUP(B47,[2]Sheet1!$A$7:$U$626,21,0)</f>
        <v>1</v>
      </c>
    </row>
    <row r="48" spans="1:18">
      <c r="A48">
        <v>42</v>
      </c>
      <c r="B48">
        <v>111014</v>
      </c>
      <c r="C48" s="39">
        <v>3</v>
      </c>
      <c r="D48" s="50" t="s">
        <v>46</v>
      </c>
      <c r="E48" s="51">
        <v>1</v>
      </c>
      <c r="F48" s="51"/>
      <c r="G48" s="51"/>
      <c r="H48" s="51"/>
      <c r="I48" s="51"/>
      <c r="J48" s="51">
        <v>60090</v>
      </c>
      <c r="K48" s="51"/>
      <c r="L48" s="51">
        <v>594</v>
      </c>
      <c r="M48" s="51" t="s">
        <v>92</v>
      </c>
      <c r="N48" s="51" t="s">
        <v>77</v>
      </c>
      <c r="O48" s="51"/>
      <c r="P48" s="51">
        <v>0.005</v>
      </c>
      <c r="Q48">
        <f>VLOOKUP(B48,[1]Sheet1!$A:$B,2,FALSE)</f>
        <v>111014</v>
      </c>
      <c r="R48">
        <f>VLOOKUP(B48,[2]Sheet1!$A$7:$U$626,21,0)</f>
        <v>1</v>
      </c>
    </row>
    <row r="49" spans="1:18">
      <c r="A49">
        <v>43</v>
      </c>
      <c r="B49">
        <v>111015</v>
      </c>
      <c r="C49" s="20">
        <v>1</v>
      </c>
      <c r="D49" s="48" t="s">
        <v>40</v>
      </c>
      <c r="E49" s="49">
        <v>1</v>
      </c>
      <c r="F49" s="49"/>
      <c r="G49" s="49"/>
      <c r="H49" s="49">
        <v>60132</v>
      </c>
      <c r="I49" s="49"/>
      <c r="J49" s="49"/>
      <c r="K49" s="49"/>
      <c r="L49" s="49">
        <v>187</v>
      </c>
      <c r="M49" s="49" t="s">
        <v>93</v>
      </c>
      <c r="N49" s="49" t="s">
        <v>59</v>
      </c>
      <c r="O49" s="49"/>
      <c r="P49" s="49">
        <v>0.00125</v>
      </c>
      <c r="Q49">
        <f>VLOOKUP(B49,[1]Sheet1!$A:$B,2,FALSE)</f>
        <v>111015</v>
      </c>
      <c r="R49">
        <f>VLOOKUP(B49,[2]Sheet1!$A$7:$U$626,21,0)</f>
        <v>1</v>
      </c>
    </row>
    <row r="50" spans="1:18">
      <c r="A50">
        <v>44</v>
      </c>
      <c r="B50">
        <v>111015</v>
      </c>
      <c r="C50" s="20">
        <v>2</v>
      </c>
      <c r="D50" s="48" t="s">
        <v>43</v>
      </c>
      <c r="E50" s="49">
        <v>1</v>
      </c>
      <c r="F50" s="49"/>
      <c r="G50" s="49"/>
      <c r="H50" s="49" t="s">
        <v>94</v>
      </c>
      <c r="I50" s="49"/>
      <c r="J50" s="49"/>
      <c r="K50" s="49"/>
      <c r="L50" s="49">
        <v>514</v>
      </c>
      <c r="M50" s="49" t="s">
        <v>95</v>
      </c>
      <c r="N50" s="49" t="s">
        <v>72</v>
      </c>
      <c r="O50" s="49"/>
      <c r="P50" s="49">
        <v>0.0025</v>
      </c>
      <c r="Q50">
        <f>VLOOKUP(B50,[1]Sheet1!$A:$B,2,FALSE)</f>
        <v>111015</v>
      </c>
      <c r="R50">
        <f>VLOOKUP(B50,[2]Sheet1!$A$7:$U$626,21,0)</f>
        <v>1</v>
      </c>
    </row>
    <row r="51" spans="1:18">
      <c r="A51">
        <v>45</v>
      </c>
      <c r="B51">
        <v>111015</v>
      </c>
      <c r="C51" s="20">
        <v>3</v>
      </c>
      <c r="D51" s="48" t="s">
        <v>46</v>
      </c>
      <c r="E51" s="49">
        <v>1</v>
      </c>
      <c r="F51" s="49"/>
      <c r="G51" s="49"/>
      <c r="H51" s="49">
        <v>60091</v>
      </c>
      <c r="I51" s="49"/>
      <c r="J51" s="49"/>
      <c r="K51" s="49"/>
      <c r="L51" s="49">
        <v>592</v>
      </c>
      <c r="M51" s="49" t="s">
        <v>96</v>
      </c>
      <c r="N51" s="49" t="s">
        <v>49</v>
      </c>
      <c r="O51" s="49"/>
      <c r="P51" s="49">
        <v>0.005</v>
      </c>
      <c r="Q51">
        <f>VLOOKUP(B51,[1]Sheet1!$A:$B,2,FALSE)</f>
        <v>111015</v>
      </c>
      <c r="R51">
        <f>VLOOKUP(B51,[2]Sheet1!$A$7:$U$626,21,0)</f>
        <v>1</v>
      </c>
    </row>
    <row r="52" spans="1:18">
      <c r="A52">
        <v>46</v>
      </c>
      <c r="B52">
        <v>111018</v>
      </c>
      <c r="C52" s="39">
        <v>1</v>
      </c>
      <c r="D52" s="50" t="s">
        <v>40</v>
      </c>
      <c r="E52" s="51">
        <v>1</v>
      </c>
      <c r="F52" s="51"/>
      <c r="G52" s="51"/>
      <c r="H52" s="51">
        <v>61051</v>
      </c>
      <c r="I52" s="51"/>
      <c r="J52" s="51"/>
      <c r="K52" s="51"/>
      <c r="L52" s="51">
        <v>184</v>
      </c>
      <c r="M52" s="51" t="s">
        <v>97</v>
      </c>
      <c r="N52" s="51" t="s">
        <v>67</v>
      </c>
      <c r="O52" s="51"/>
      <c r="P52" s="51">
        <v>0.0025</v>
      </c>
      <c r="Q52" t="s">
        <v>98</v>
      </c>
      <c r="R52">
        <f>VLOOKUP(B52,[2]Sheet1!$A$7:$U$626,21,0)</f>
        <v>1</v>
      </c>
    </row>
    <row r="53" spans="1:18">
      <c r="A53">
        <v>47</v>
      </c>
      <c r="B53">
        <v>111018</v>
      </c>
      <c r="C53" s="39">
        <v>2</v>
      </c>
      <c r="D53" s="50" t="s">
        <v>43</v>
      </c>
      <c r="E53" s="51">
        <v>1</v>
      </c>
      <c r="F53" s="51"/>
      <c r="G53" s="51"/>
      <c r="H53" s="51" t="s">
        <v>99</v>
      </c>
      <c r="I53" s="51"/>
      <c r="J53" s="51"/>
      <c r="K53" s="51"/>
      <c r="L53" s="51">
        <v>501</v>
      </c>
      <c r="M53" s="51" t="s">
        <v>100</v>
      </c>
      <c r="N53" s="51" t="s">
        <v>65</v>
      </c>
      <c r="O53" s="51"/>
      <c r="P53" s="51">
        <v>0.005</v>
      </c>
      <c r="Q53" t="s">
        <v>98</v>
      </c>
      <c r="R53">
        <f>VLOOKUP(B53,[2]Sheet1!$A$7:$U$626,21,0)</f>
        <v>1</v>
      </c>
    </row>
    <row r="54" spans="1:18">
      <c r="A54">
        <v>48</v>
      </c>
      <c r="B54">
        <v>111018</v>
      </c>
      <c r="C54" s="39">
        <v>3</v>
      </c>
      <c r="D54" s="50" t="s">
        <v>46</v>
      </c>
      <c r="E54" s="51">
        <v>1</v>
      </c>
      <c r="F54" s="51"/>
      <c r="G54" s="51"/>
      <c r="H54" s="51">
        <v>61052</v>
      </c>
      <c r="I54" s="51"/>
      <c r="J54" s="51"/>
      <c r="K54" s="51"/>
      <c r="L54" s="51">
        <v>590</v>
      </c>
      <c r="M54" s="51" t="s">
        <v>101</v>
      </c>
      <c r="N54" s="51" t="s">
        <v>49</v>
      </c>
      <c r="O54" s="51"/>
      <c r="P54" s="51">
        <v>0.0075</v>
      </c>
      <c r="Q54" t="s">
        <v>98</v>
      </c>
      <c r="R54">
        <f>VLOOKUP(B54,[2]Sheet1!$A$7:$U$626,21,0)</f>
        <v>1</v>
      </c>
    </row>
    <row r="55" spans="1:18">
      <c r="A55">
        <v>1001</v>
      </c>
      <c r="B55" s="23">
        <v>112001</v>
      </c>
      <c r="C55" s="20">
        <v>1</v>
      </c>
      <c r="D55" s="48" t="s">
        <v>40</v>
      </c>
      <c r="E55" s="49">
        <v>1</v>
      </c>
      <c r="F55" s="49"/>
      <c r="G55" s="49"/>
      <c r="H55" s="49">
        <v>61053</v>
      </c>
      <c r="I55" s="49"/>
      <c r="J55" s="49"/>
      <c r="K55" s="49"/>
      <c r="L55" s="49">
        <v>387</v>
      </c>
      <c r="M55" s="49" t="s">
        <v>102</v>
      </c>
      <c r="N55" s="49" t="s">
        <v>49</v>
      </c>
      <c r="O55" s="49"/>
      <c r="P55" s="49">
        <v>0.0025</v>
      </c>
      <c r="Q55" t="s">
        <v>103</v>
      </c>
      <c r="R55">
        <f>VLOOKUP(B55,[2]Sheet1!$A$7:$U$626,21,0)</f>
        <v>2</v>
      </c>
    </row>
    <row r="56" spans="1:18">
      <c r="A56">
        <v>1002</v>
      </c>
      <c r="B56" s="23">
        <v>112001</v>
      </c>
      <c r="C56" s="20">
        <v>2</v>
      </c>
      <c r="D56" s="48" t="s">
        <v>43</v>
      </c>
      <c r="E56" s="49">
        <v>1</v>
      </c>
      <c r="F56" s="49"/>
      <c r="G56" s="49"/>
      <c r="H56" s="49">
        <v>60092</v>
      </c>
      <c r="I56" s="49"/>
      <c r="J56" s="49"/>
      <c r="K56" s="49"/>
      <c r="L56" s="49">
        <v>611</v>
      </c>
      <c r="M56" s="49" t="s">
        <v>104</v>
      </c>
      <c r="N56" s="49" t="s">
        <v>77</v>
      </c>
      <c r="O56" s="49"/>
      <c r="P56" s="49">
        <v>0.005</v>
      </c>
      <c r="Q56" t="s">
        <v>103</v>
      </c>
      <c r="R56">
        <f>VLOOKUP(B56,[2]Sheet1!$A$7:$U$626,21,0)</f>
        <v>2</v>
      </c>
    </row>
    <row r="57" spans="1:18">
      <c r="A57">
        <v>1003</v>
      </c>
      <c r="B57" s="23">
        <v>112001</v>
      </c>
      <c r="C57" s="20">
        <v>3</v>
      </c>
      <c r="D57" s="48" t="s">
        <v>105</v>
      </c>
      <c r="E57" s="49">
        <v>1</v>
      </c>
      <c r="F57" s="49"/>
      <c r="G57" s="49"/>
      <c r="H57" s="49">
        <v>61054</v>
      </c>
      <c r="I57" s="49"/>
      <c r="J57" s="49"/>
      <c r="K57" s="49"/>
      <c r="L57" s="49">
        <v>808</v>
      </c>
      <c r="M57" s="49" t="s">
        <v>101</v>
      </c>
      <c r="N57" s="49" t="s">
        <v>49</v>
      </c>
      <c r="O57" s="49"/>
      <c r="P57" s="49">
        <v>0.0075</v>
      </c>
      <c r="Q57" t="s">
        <v>103</v>
      </c>
      <c r="R57">
        <f>VLOOKUP(B57,[2]Sheet1!$A$7:$U$626,21,0)</f>
        <v>2</v>
      </c>
    </row>
    <row r="58" spans="1:18">
      <c r="A58">
        <v>1004</v>
      </c>
      <c r="B58" s="23">
        <v>112002</v>
      </c>
      <c r="C58" s="39">
        <v>1</v>
      </c>
      <c r="D58" s="50" t="s">
        <v>40</v>
      </c>
      <c r="E58" s="51">
        <v>1</v>
      </c>
      <c r="F58" s="51"/>
      <c r="G58" s="51"/>
      <c r="H58" s="51">
        <v>61055</v>
      </c>
      <c r="I58" s="51"/>
      <c r="J58" s="51"/>
      <c r="K58" s="51"/>
      <c r="L58" s="51">
        <v>412</v>
      </c>
      <c r="M58" s="51" t="s">
        <v>106</v>
      </c>
      <c r="N58" s="51" t="s">
        <v>53</v>
      </c>
      <c r="O58" s="51"/>
      <c r="P58" s="51">
        <v>0.0025</v>
      </c>
      <c r="Q58" t="s">
        <v>107</v>
      </c>
      <c r="R58">
        <f>VLOOKUP(B58,[2]Sheet1!$A$7:$U$626,21,0)</f>
        <v>2</v>
      </c>
    </row>
    <row r="59" spans="1:18">
      <c r="A59">
        <v>1005</v>
      </c>
      <c r="B59" s="23">
        <v>112002</v>
      </c>
      <c r="C59" s="39">
        <v>2</v>
      </c>
      <c r="D59" s="50" t="s">
        <v>43</v>
      </c>
      <c r="E59" s="51">
        <v>1</v>
      </c>
      <c r="F59" s="51"/>
      <c r="G59" s="51"/>
      <c r="H59" s="51">
        <v>60093</v>
      </c>
      <c r="I59" s="51"/>
      <c r="J59" s="51"/>
      <c r="K59" s="51"/>
      <c r="L59" s="51">
        <v>608</v>
      </c>
      <c r="M59" s="51" t="s">
        <v>108</v>
      </c>
      <c r="N59" s="51" t="s">
        <v>49</v>
      </c>
      <c r="O59" s="51"/>
      <c r="P59" s="51">
        <v>0.005</v>
      </c>
      <c r="Q59" t="s">
        <v>107</v>
      </c>
      <c r="R59">
        <f>VLOOKUP(B59,[2]Sheet1!$A$7:$U$626,21,0)</f>
        <v>2</v>
      </c>
    </row>
    <row r="60" spans="1:18">
      <c r="A60">
        <v>1006</v>
      </c>
      <c r="B60" s="23">
        <v>112002</v>
      </c>
      <c r="C60" s="39">
        <v>3</v>
      </c>
      <c r="D60" s="50" t="s">
        <v>105</v>
      </c>
      <c r="E60" s="51">
        <v>1</v>
      </c>
      <c r="F60" s="51"/>
      <c r="G60" s="51"/>
      <c r="H60" s="51">
        <v>61056</v>
      </c>
      <c r="I60" s="51"/>
      <c r="J60" s="51"/>
      <c r="K60" s="51"/>
      <c r="L60" s="51">
        <v>800</v>
      </c>
      <c r="M60" s="51" t="s">
        <v>109</v>
      </c>
      <c r="N60" s="51" t="s">
        <v>53</v>
      </c>
      <c r="O60" s="51"/>
      <c r="P60" s="51">
        <v>0.0075</v>
      </c>
      <c r="Q60" t="s">
        <v>107</v>
      </c>
      <c r="R60">
        <f>VLOOKUP(B60,[2]Sheet1!$A$7:$U$626,21,0)</f>
        <v>2</v>
      </c>
    </row>
    <row r="61" spans="1:18">
      <c r="A61">
        <v>1007</v>
      </c>
      <c r="B61" s="23">
        <v>112003</v>
      </c>
      <c r="C61" s="20">
        <v>1</v>
      </c>
      <c r="D61" s="48" t="s">
        <v>40</v>
      </c>
      <c r="E61" s="49">
        <v>1</v>
      </c>
      <c r="F61" s="49"/>
      <c r="G61" s="49"/>
      <c r="H61" s="49">
        <v>61057</v>
      </c>
      <c r="I61" s="49"/>
      <c r="J61" s="49"/>
      <c r="K61" s="49"/>
      <c r="L61" s="49">
        <v>398</v>
      </c>
      <c r="M61" s="49" t="s">
        <v>82</v>
      </c>
      <c r="N61" s="49" t="s">
        <v>81</v>
      </c>
      <c r="O61" s="49"/>
      <c r="P61" s="49">
        <v>0.0025</v>
      </c>
      <c r="Q61" t="s">
        <v>110</v>
      </c>
      <c r="R61">
        <f>VLOOKUP(B61,[2]Sheet1!$A$7:$U$626,21,0)</f>
        <v>2</v>
      </c>
    </row>
    <row r="62" spans="1:18">
      <c r="A62">
        <v>1008</v>
      </c>
      <c r="B62" s="23">
        <v>112003</v>
      </c>
      <c r="C62" s="20">
        <v>2</v>
      </c>
      <c r="D62" s="48" t="s">
        <v>43</v>
      </c>
      <c r="E62" s="49">
        <v>1</v>
      </c>
      <c r="F62" s="49"/>
      <c r="G62" s="49"/>
      <c r="H62" s="49">
        <v>60094</v>
      </c>
      <c r="I62" s="49"/>
      <c r="J62" s="49"/>
      <c r="K62" s="49"/>
      <c r="L62" s="49">
        <v>617</v>
      </c>
      <c r="M62" s="49" t="s">
        <v>111</v>
      </c>
      <c r="N62" s="49" t="s">
        <v>49</v>
      </c>
      <c r="O62" s="49"/>
      <c r="P62" s="49">
        <v>0.00375</v>
      </c>
      <c r="Q62" t="s">
        <v>110</v>
      </c>
      <c r="R62">
        <f>VLOOKUP(B62,[2]Sheet1!$A$7:$U$626,21,0)</f>
        <v>2</v>
      </c>
    </row>
    <row r="63" spans="1:18">
      <c r="A63">
        <v>1009</v>
      </c>
      <c r="B63" s="23">
        <v>112003</v>
      </c>
      <c r="C63" s="20">
        <v>3</v>
      </c>
      <c r="D63" s="48" t="s">
        <v>105</v>
      </c>
      <c r="E63" s="49">
        <v>1</v>
      </c>
      <c r="F63" s="49"/>
      <c r="G63" s="49"/>
      <c r="H63" s="49">
        <v>61058</v>
      </c>
      <c r="I63" s="49"/>
      <c r="J63" s="49"/>
      <c r="K63" s="49"/>
      <c r="L63" s="49">
        <v>801</v>
      </c>
      <c r="M63" s="49" t="s">
        <v>112</v>
      </c>
      <c r="N63" s="49" t="s">
        <v>59</v>
      </c>
      <c r="O63" s="49"/>
      <c r="P63" s="49">
        <v>0.005</v>
      </c>
      <c r="Q63" t="s">
        <v>110</v>
      </c>
      <c r="R63">
        <f>VLOOKUP(B63,[2]Sheet1!$A$7:$U$626,21,0)</f>
        <v>2</v>
      </c>
    </row>
    <row r="64" spans="1:18">
      <c r="A64">
        <v>1010</v>
      </c>
      <c r="B64" s="23">
        <v>112004</v>
      </c>
      <c r="C64" s="39">
        <v>1</v>
      </c>
      <c r="D64" s="50" t="s">
        <v>40</v>
      </c>
      <c r="E64" s="51">
        <v>1</v>
      </c>
      <c r="F64" s="51"/>
      <c r="G64" s="51"/>
      <c r="H64" s="51">
        <v>61059</v>
      </c>
      <c r="I64" s="51"/>
      <c r="J64" s="51"/>
      <c r="K64" s="51"/>
      <c r="L64" s="51">
        <v>399</v>
      </c>
      <c r="M64" s="51" t="s">
        <v>78</v>
      </c>
      <c r="N64" s="51" t="s">
        <v>59</v>
      </c>
      <c r="O64" s="51"/>
      <c r="P64" s="51">
        <v>0.0025</v>
      </c>
      <c r="Q64" t="s">
        <v>113</v>
      </c>
      <c r="R64">
        <f>VLOOKUP(B64,[2]Sheet1!$A$7:$U$626,21,0)</f>
        <v>2</v>
      </c>
    </row>
    <row r="65" spans="1:18">
      <c r="A65">
        <v>1011</v>
      </c>
      <c r="B65" s="23">
        <v>112004</v>
      </c>
      <c r="C65" s="39">
        <v>2</v>
      </c>
      <c r="D65" s="50" t="s">
        <v>43</v>
      </c>
      <c r="E65" s="51">
        <v>1</v>
      </c>
      <c r="F65" s="51"/>
      <c r="G65" s="51"/>
      <c r="H65" s="51">
        <v>60095</v>
      </c>
      <c r="I65" s="51"/>
      <c r="J65" s="51"/>
      <c r="K65" s="51"/>
      <c r="L65" s="51">
        <v>616</v>
      </c>
      <c r="M65" s="51" t="s">
        <v>114</v>
      </c>
      <c r="N65" s="51" t="s">
        <v>61</v>
      </c>
      <c r="O65" s="51"/>
      <c r="P65" s="51">
        <v>0.005</v>
      </c>
      <c r="Q65" t="s">
        <v>113</v>
      </c>
      <c r="R65">
        <f>VLOOKUP(B65,[2]Sheet1!$A$7:$U$626,21,0)</f>
        <v>2</v>
      </c>
    </row>
    <row r="66" spans="1:18">
      <c r="A66">
        <v>1012</v>
      </c>
      <c r="B66" s="23">
        <v>112004</v>
      </c>
      <c r="C66" s="39">
        <v>3</v>
      </c>
      <c r="D66" s="50" t="s">
        <v>105</v>
      </c>
      <c r="E66" s="51">
        <v>1</v>
      </c>
      <c r="F66" s="51"/>
      <c r="G66" s="51"/>
      <c r="H66" s="51">
        <v>61060</v>
      </c>
      <c r="I66" s="51"/>
      <c r="J66" s="51"/>
      <c r="K66" s="51"/>
      <c r="L66" s="51">
        <v>818</v>
      </c>
      <c r="M66" s="51" t="s">
        <v>115</v>
      </c>
      <c r="N66" s="51" t="s">
        <v>61</v>
      </c>
      <c r="O66" s="51"/>
      <c r="P66" s="51">
        <v>0.0075</v>
      </c>
      <c r="Q66" t="s">
        <v>113</v>
      </c>
      <c r="R66">
        <f>VLOOKUP(B66,[2]Sheet1!$A$7:$U$626,21,0)</f>
        <v>2</v>
      </c>
    </row>
    <row r="67" spans="1:18">
      <c r="A67">
        <v>1013</v>
      </c>
      <c r="B67" s="23">
        <v>112005</v>
      </c>
      <c r="C67" s="20">
        <v>1</v>
      </c>
      <c r="D67" s="48" t="s">
        <v>40</v>
      </c>
      <c r="E67" s="49">
        <v>1</v>
      </c>
      <c r="F67" s="49"/>
      <c r="G67" s="49"/>
      <c r="H67" s="49"/>
      <c r="I67" s="49"/>
      <c r="J67" s="49">
        <v>60096</v>
      </c>
      <c r="K67" s="49"/>
      <c r="L67" s="49">
        <v>390</v>
      </c>
      <c r="M67" s="49" t="s">
        <v>116</v>
      </c>
      <c r="N67" s="49" t="s">
        <v>61</v>
      </c>
      <c r="O67" s="49"/>
      <c r="P67" s="49">
        <v>0.0025</v>
      </c>
      <c r="Q67" t="s">
        <v>117</v>
      </c>
      <c r="R67">
        <f>VLOOKUP(B67,[2]Sheet1!$A$7:$U$626,21,0)</f>
        <v>2</v>
      </c>
    </row>
    <row r="68" spans="1:18">
      <c r="A68">
        <v>1014</v>
      </c>
      <c r="B68" s="23">
        <v>112005</v>
      </c>
      <c r="C68" s="20">
        <v>2</v>
      </c>
      <c r="D68" s="48" t="s">
        <v>43</v>
      </c>
      <c r="E68" s="49">
        <v>1</v>
      </c>
      <c r="F68" s="49"/>
      <c r="G68" s="49"/>
      <c r="H68" s="49"/>
      <c r="I68" s="49"/>
      <c r="J68" s="49">
        <v>60097</v>
      </c>
      <c r="K68" s="49"/>
      <c r="L68" s="49">
        <v>594</v>
      </c>
      <c r="M68" s="49" t="s">
        <v>118</v>
      </c>
      <c r="N68" s="49" t="s">
        <v>53</v>
      </c>
      <c r="O68" s="49"/>
      <c r="P68" s="49">
        <v>0.005</v>
      </c>
      <c r="Q68" t="s">
        <v>117</v>
      </c>
      <c r="R68">
        <f>VLOOKUP(B68,[2]Sheet1!$A$7:$U$626,21,0)</f>
        <v>2</v>
      </c>
    </row>
    <row r="69" spans="1:18">
      <c r="A69">
        <v>1015</v>
      </c>
      <c r="B69" s="23">
        <v>112005</v>
      </c>
      <c r="C69" s="20">
        <v>3</v>
      </c>
      <c r="D69" s="48" t="s">
        <v>105</v>
      </c>
      <c r="E69" s="49">
        <v>1</v>
      </c>
      <c r="F69" s="49"/>
      <c r="G69" s="49"/>
      <c r="H69" s="49" t="s">
        <v>119</v>
      </c>
      <c r="I69" s="49"/>
      <c r="J69" s="49"/>
      <c r="K69" s="49"/>
      <c r="L69" s="49">
        <v>803</v>
      </c>
      <c r="M69" s="49" t="s">
        <v>120</v>
      </c>
      <c r="N69" s="49" t="s">
        <v>61</v>
      </c>
      <c r="O69" s="49"/>
      <c r="P69" s="49">
        <v>0.0075</v>
      </c>
      <c r="Q69" t="s">
        <v>117</v>
      </c>
      <c r="R69">
        <f>VLOOKUP(B69,[2]Sheet1!$A$7:$U$626,21,0)</f>
        <v>2</v>
      </c>
    </row>
    <row r="70" spans="1:18">
      <c r="A70">
        <v>1016</v>
      </c>
      <c r="B70" s="23">
        <v>112006</v>
      </c>
      <c r="C70" s="39">
        <v>1</v>
      </c>
      <c r="D70" s="50" t="s">
        <v>40</v>
      </c>
      <c r="E70" s="51">
        <v>1</v>
      </c>
      <c r="F70" s="51"/>
      <c r="G70" s="51"/>
      <c r="H70" s="51">
        <v>61061</v>
      </c>
      <c r="I70" s="51"/>
      <c r="J70" s="51"/>
      <c r="K70" s="51"/>
      <c r="L70" s="51">
        <v>381</v>
      </c>
      <c r="M70" s="51" t="s">
        <v>121</v>
      </c>
      <c r="N70" s="51" t="s">
        <v>45</v>
      </c>
      <c r="O70" s="51"/>
      <c r="P70" s="51">
        <v>0.0025</v>
      </c>
      <c r="Q70" t="s">
        <v>122</v>
      </c>
      <c r="R70">
        <f>VLOOKUP(B70,[2]Sheet1!$A$7:$U$626,21,0)</f>
        <v>2</v>
      </c>
    </row>
    <row r="71" spans="1:18">
      <c r="A71">
        <v>1017</v>
      </c>
      <c r="B71" s="23">
        <v>112006</v>
      </c>
      <c r="C71" s="39">
        <v>2</v>
      </c>
      <c r="D71" s="50" t="s">
        <v>43</v>
      </c>
      <c r="E71" s="51">
        <v>1</v>
      </c>
      <c r="F71" s="51"/>
      <c r="G71" s="51"/>
      <c r="H71" s="51">
        <v>60098</v>
      </c>
      <c r="I71" s="51"/>
      <c r="J71" s="51"/>
      <c r="K71" s="51"/>
      <c r="L71" s="51">
        <v>606</v>
      </c>
      <c r="M71" s="51" t="s">
        <v>123</v>
      </c>
      <c r="N71" s="51" t="s">
        <v>67</v>
      </c>
      <c r="O71" s="51"/>
      <c r="P71" s="51">
        <v>0.005</v>
      </c>
      <c r="Q71" t="s">
        <v>122</v>
      </c>
      <c r="R71">
        <f>VLOOKUP(B71,[2]Sheet1!$A$7:$U$626,21,0)</f>
        <v>2</v>
      </c>
    </row>
    <row r="72" spans="1:18">
      <c r="A72">
        <v>1018</v>
      </c>
      <c r="B72" s="23">
        <v>112006</v>
      </c>
      <c r="C72" s="39">
        <v>3</v>
      </c>
      <c r="D72" s="50" t="s">
        <v>105</v>
      </c>
      <c r="E72" s="51">
        <v>1</v>
      </c>
      <c r="F72" s="51"/>
      <c r="G72" s="51"/>
      <c r="H72" s="51" t="s">
        <v>124</v>
      </c>
      <c r="I72" s="51"/>
      <c r="J72" s="51"/>
      <c r="K72" s="51"/>
      <c r="L72" s="51">
        <v>800</v>
      </c>
      <c r="M72" s="51" t="s">
        <v>125</v>
      </c>
      <c r="N72" s="51" t="s">
        <v>45</v>
      </c>
      <c r="O72" s="51"/>
      <c r="P72" s="51">
        <v>0.0075</v>
      </c>
      <c r="Q72" t="s">
        <v>122</v>
      </c>
      <c r="R72">
        <f>VLOOKUP(B72,[2]Sheet1!$A$7:$U$626,21,0)</f>
        <v>2</v>
      </c>
    </row>
    <row r="73" spans="1:18">
      <c r="A73">
        <v>1019</v>
      </c>
      <c r="B73" s="23">
        <v>112007</v>
      </c>
      <c r="C73" s="20">
        <v>1</v>
      </c>
      <c r="D73" s="48" t="s">
        <v>40</v>
      </c>
      <c r="E73" s="49">
        <v>1</v>
      </c>
      <c r="F73" s="49"/>
      <c r="G73" s="49"/>
      <c r="H73" s="49">
        <v>60099</v>
      </c>
      <c r="I73" s="49"/>
      <c r="J73" s="49"/>
      <c r="K73" s="49"/>
      <c r="L73" s="49">
        <v>412</v>
      </c>
      <c r="M73" s="49" t="s">
        <v>126</v>
      </c>
      <c r="N73" s="49" t="s">
        <v>45</v>
      </c>
      <c r="O73" s="49"/>
      <c r="P73" s="49">
        <v>0.0025</v>
      </c>
      <c r="Q73" t="s">
        <v>127</v>
      </c>
      <c r="R73">
        <f>VLOOKUP(B73,[2]Sheet1!$A$7:$U$626,21,0)</f>
        <v>2</v>
      </c>
    </row>
    <row r="74" spans="1:18">
      <c r="A74">
        <v>1020</v>
      </c>
      <c r="B74" s="23">
        <v>112007</v>
      </c>
      <c r="C74" s="20">
        <v>2</v>
      </c>
      <c r="D74" s="48" t="s">
        <v>43</v>
      </c>
      <c r="E74" s="49">
        <v>1</v>
      </c>
      <c r="F74" s="49"/>
      <c r="G74" s="49"/>
      <c r="H74" s="49">
        <v>60100</v>
      </c>
      <c r="I74" s="49"/>
      <c r="J74" s="49"/>
      <c r="K74" s="49"/>
      <c r="L74" s="49">
        <v>604</v>
      </c>
      <c r="M74" s="49" t="s">
        <v>128</v>
      </c>
      <c r="N74" s="49" t="s">
        <v>49</v>
      </c>
      <c r="O74" s="49"/>
      <c r="P74" s="49">
        <v>0.005</v>
      </c>
      <c r="Q74" t="s">
        <v>127</v>
      </c>
      <c r="R74">
        <f>VLOOKUP(B74,[2]Sheet1!$A$7:$U$626,21,0)</f>
        <v>2</v>
      </c>
    </row>
    <row r="75" spans="1:18">
      <c r="A75">
        <v>1021</v>
      </c>
      <c r="B75" s="23">
        <v>112007</v>
      </c>
      <c r="C75" s="20">
        <v>3</v>
      </c>
      <c r="D75" s="48" t="s">
        <v>105</v>
      </c>
      <c r="E75" s="49">
        <v>1</v>
      </c>
      <c r="F75" s="49"/>
      <c r="G75" s="49"/>
      <c r="H75" s="49" t="s">
        <v>129</v>
      </c>
      <c r="I75" s="49"/>
      <c r="J75" s="49"/>
      <c r="K75" s="49"/>
      <c r="L75" s="49">
        <v>792</v>
      </c>
      <c r="M75" s="49" t="s">
        <v>130</v>
      </c>
      <c r="N75" s="49" t="s">
        <v>131</v>
      </c>
      <c r="O75" s="49"/>
      <c r="P75" s="49">
        <v>0.0075</v>
      </c>
      <c r="Q75" t="s">
        <v>127</v>
      </c>
      <c r="R75">
        <f>VLOOKUP(B75,[2]Sheet1!$A$7:$U$626,21,0)</f>
        <v>2</v>
      </c>
    </row>
    <row r="76" spans="1:18">
      <c r="A76">
        <v>1022</v>
      </c>
      <c r="B76" s="23">
        <v>112008</v>
      </c>
      <c r="C76" s="39">
        <v>1</v>
      </c>
      <c r="D76" s="50" t="s">
        <v>40</v>
      </c>
      <c r="E76" s="51">
        <v>1</v>
      </c>
      <c r="F76" s="51"/>
      <c r="G76" s="51"/>
      <c r="H76" s="51">
        <v>61062</v>
      </c>
      <c r="I76" s="51"/>
      <c r="J76" s="51"/>
      <c r="K76" s="51"/>
      <c r="L76" s="51">
        <v>402</v>
      </c>
      <c r="M76" s="51" t="s">
        <v>132</v>
      </c>
      <c r="N76" s="51" t="s">
        <v>45</v>
      </c>
      <c r="O76" s="51"/>
      <c r="P76" s="51">
        <v>0.0025</v>
      </c>
      <c r="Q76" t="s">
        <v>133</v>
      </c>
      <c r="R76">
        <f>VLOOKUP(B76,[2]Sheet1!$A$7:$U$626,21,0)</f>
        <v>2</v>
      </c>
    </row>
    <row r="77" spans="1:18">
      <c r="A77">
        <v>1023</v>
      </c>
      <c r="B77" s="23">
        <v>112008</v>
      </c>
      <c r="C77" s="39">
        <v>2</v>
      </c>
      <c r="D77" s="50" t="s">
        <v>43</v>
      </c>
      <c r="E77" s="51">
        <v>1</v>
      </c>
      <c r="F77" s="51"/>
      <c r="G77" s="51"/>
      <c r="H77" s="51">
        <v>60101</v>
      </c>
      <c r="I77" s="51"/>
      <c r="J77" s="51"/>
      <c r="K77" s="51"/>
      <c r="L77" s="51">
        <v>604</v>
      </c>
      <c r="M77" s="51" t="s">
        <v>134</v>
      </c>
      <c r="N77" s="51" t="s">
        <v>45</v>
      </c>
      <c r="O77" s="51"/>
      <c r="P77" s="51">
        <v>0.005</v>
      </c>
      <c r="Q77" t="s">
        <v>133</v>
      </c>
      <c r="R77">
        <f>VLOOKUP(B77,[2]Sheet1!$A$7:$U$626,21,0)</f>
        <v>2</v>
      </c>
    </row>
    <row r="78" spans="1:18">
      <c r="A78">
        <v>1024</v>
      </c>
      <c r="B78" s="23">
        <v>112008</v>
      </c>
      <c r="C78" s="39">
        <v>3</v>
      </c>
      <c r="D78" s="50" t="s">
        <v>105</v>
      </c>
      <c r="E78" s="51">
        <v>1</v>
      </c>
      <c r="F78" s="51"/>
      <c r="G78" s="51"/>
      <c r="H78" s="51">
        <v>61063</v>
      </c>
      <c r="I78" s="51"/>
      <c r="J78" s="51"/>
      <c r="K78" s="51"/>
      <c r="L78" s="51">
        <v>820</v>
      </c>
      <c r="M78" s="51" t="s">
        <v>135</v>
      </c>
      <c r="N78" s="51" t="s">
        <v>65</v>
      </c>
      <c r="O78" s="51"/>
      <c r="P78" s="51">
        <v>0.0075</v>
      </c>
      <c r="Q78" t="s">
        <v>133</v>
      </c>
      <c r="R78">
        <f>VLOOKUP(B78,[2]Sheet1!$A$7:$U$626,21,0)</f>
        <v>2</v>
      </c>
    </row>
    <row r="79" spans="1:18">
      <c r="A79">
        <v>1025</v>
      </c>
      <c r="B79" s="23">
        <v>112009</v>
      </c>
      <c r="C79" s="20">
        <v>1</v>
      </c>
      <c r="D79" s="48" t="s">
        <v>40</v>
      </c>
      <c r="E79" s="49">
        <v>1</v>
      </c>
      <c r="F79" s="49"/>
      <c r="G79" s="49"/>
      <c r="H79" s="49">
        <v>61064</v>
      </c>
      <c r="I79" s="49"/>
      <c r="J79" s="49"/>
      <c r="K79" s="49"/>
      <c r="L79" s="49">
        <v>383</v>
      </c>
      <c r="M79" s="49" t="s">
        <v>75</v>
      </c>
      <c r="N79" s="49" t="s">
        <v>49</v>
      </c>
      <c r="O79" s="49"/>
      <c r="P79" s="51">
        <v>0.0025</v>
      </c>
      <c r="Q79" t="s">
        <v>136</v>
      </c>
      <c r="R79">
        <f>VLOOKUP(B79,[2]Sheet1!$A$7:$U$626,21,0)</f>
        <v>2</v>
      </c>
    </row>
    <row r="80" spans="1:18">
      <c r="A80">
        <v>1026</v>
      </c>
      <c r="B80" s="23">
        <v>112009</v>
      </c>
      <c r="C80" s="20">
        <v>2</v>
      </c>
      <c r="D80" s="48" t="s">
        <v>43</v>
      </c>
      <c r="E80" s="49">
        <v>1</v>
      </c>
      <c r="F80" s="49"/>
      <c r="G80" s="49"/>
      <c r="H80" s="49">
        <v>60102</v>
      </c>
      <c r="I80" s="49"/>
      <c r="J80" s="49"/>
      <c r="K80" s="49"/>
      <c r="L80" s="49">
        <v>616</v>
      </c>
      <c r="M80" s="49" t="s">
        <v>137</v>
      </c>
      <c r="N80" s="49" t="s">
        <v>61</v>
      </c>
      <c r="O80" s="49"/>
      <c r="P80" s="51">
        <v>0.005</v>
      </c>
      <c r="Q80" t="s">
        <v>136</v>
      </c>
      <c r="R80">
        <f>VLOOKUP(B80,[2]Sheet1!$A$7:$U$626,21,0)</f>
        <v>2</v>
      </c>
    </row>
    <row r="81" spans="1:18">
      <c r="A81">
        <v>1027</v>
      </c>
      <c r="B81" s="23">
        <v>112009</v>
      </c>
      <c r="C81" s="20">
        <v>3</v>
      </c>
      <c r="D81" s="48" t="s">
        <v>105</v>
      </c>
      <c r="E81" s="49">
        <v>1</v>
      </c>
      <c r="F81" s="49"/>
      <c r="G81" s="49"/>
      <c r="H81" s="49">
        <v>61065</v>
      </c>
      <c r="I81" s="49"/>
      <c r="J81" s="49"/>
      <c r="K81" s="49"/>
      <c r="L81" s="49">
        <v>817</v>
      </c>
      <c r="M81" s="49" t="s">
        <v>138</v>
      </c>
      <c r="N81" s="49" t="s">
        <v>81</v>
      </c>
      <c r="O81" s="49"/>
      <c r="P81" s="51">
        <v>0.0075</v>
      </c>
      <c r="Q81" t="s">
        <v>136</v>
      </c>
      <c r="R81">
        <f>VLOOKUP(B81,[2]Sheet1!$A$7:$U$626,21,0)</f>
        <v>2</v>
      </c>
    </row>
    <row r="82" spans="1:18">
      <c r="A82">
        <v>1028</v>
      </c>
      <c r="B82" s="23">
        <v>112010</v>
      </c>
      <c r="C82" s="39">
        <v>1</v>
      </c>
      <c r="D82" s="50" t="s">
        <v>40</v>
      </c>
      <c r="E82" s="51">
        <v>1</v>
      </c>
      <c r="F82" s="51"/>
      <c r="G82" s="51"/>
      <c r="H82" s="51">
        <v>61066</v>
      </c>
      <c r="I82" s="51"/>
      <c r="J82" s="51"/>
      <c r="K82" s="51"/>
      <c r="L82" s="51">
        <v>416</v>
      </c>
      <c r="M82" s="51" t="s">
        <v>139</v>
      </c>
      <c r="N82" s="51" t="s">
        <v>81</v>
      </c>
      <c r="O82" s="51"/>
      <c r="P82" s="51">
        <v>0.0025</v>
      </c>
      <c r="Q82" t="s">
        <v>140</v>
      </c>
      <c r="R82">
        <f>VLOOKUP(B82,[2]Sheet1!$A$7:$U$626,21,0)</f>
        <v>2</v>
      </c>
    </row>
    <row r="83" spans="1:18">
      <c r="A83">
        <v>1029</v>
      </c>
      <c r="B83" s="23">
        <v>112010</v>
      </c>
      <c r="C83" s="39">
        <v>2</v>
      </c>
      <c r="D83" s="50" t="s">
        <v>43</v>
      </c>
      <c r="E83" s="51">
        <v>1</v>
      </c>
      <c r="F83" s="51"/>
      <c r="G83" s="51"/>
      <c r="H83" s="51">
        <v>60103</v>
      </c>
      <c r="I83" s="51"/>
      <c r="J83" s="51"/>
      <c r="K83" s="51"/>
      <c r="L83" s="51">
        <v>585</v>
      </c>
      <c r="M83" s="51" t="s">
        <v>141</v>
      </c>
      <c r="N83" s="51" t="s">
        <v>81</v>
      </c>
      <c r="O83" s="51"/>
      <c r="P83" s="51">
        <v>0.005</v>
      </c>
      <c r="Q83" t="s">
        <v>140</v>
      </c>
      <c r="R83">
        <f>VLOOKUP(B83,[2]Sheet1!$A$7:$U$626,21,0)</f>
        <v>2</v>
      </c>
    </row>
    <row r="84" spans="1:18">
      <c r="A84">
        <v>1030</v>
      </c>
      <c r="B84" s="23">
        <v>112010</v>
      </c>
      <c r="C84" s="39">
        <v>3</v>
      </c>
      <c r="D84" s="50" t="s">
        <v>105</v>
      </c>
      <c r="E84" s="51">
        <v>1</v>
      </c>
      <c r="F84" s="51"/>
      <c r="G84" s="51"/>
      <c r="H84" s="51">
        <v>61067</v>
      </c>
      <c r="I84" s="51"/>
      <c r="J84" s="51"/>
      <c r="K84" s="51"/>
      <c r="L84" s="51">
        <v>781</v>
      </c>
      <c r="M84" s="51" t="s">
        <v>142</v>
      </c>
      <c r="N84" s="51" t="s">
        <v>53</v>
      </c>
      <c r="O84" s="51"/>
      <c r="P84" s="51">
        <v>0.0075</v>
      </c>
      <c r="Q84" t="s">
        <v>140</v>
      </c>
      <c r="R84">
        <f>VLOOKUP(B84,[2]Sheet1!$A$7:$U$626,21,0)</f>
        <v>2</v>
      </c>
    </row>
    <row r="85" spans="1:18">
      <c r="A85">
        <v>1031</v>
      </c>
      <c r="B85" s="23">
        <v>112011</v>
      </c>
      <c r="C85" s="20">
        <v>1</v>
      </c>
      <c r="D85" s="48" t="s">
        <v>40</v>
      </c>
      <c r="E85" s="49">
        <v>1</v>
      </c>
      <c r="F85" s="49"/>
      <c r="G85" s="49"/>
      <c r="H85" s="49">
        <v>61068</v>
      </c>
      <c r="I85" s="49"/>
      <c r="J85" s="49"/>
      <c r="K85" s="49"/>
      <c r="L85" s="49">
        <v>395</v>
      </c>
      <c r="M85" s="49" t="s">
        <v>143</v>
      </c>
      <c r="N85" s="49" t="s">
        <v>42</v>
      </c>
      <c r="O85" s="49"/>
      <c r="P85" s="51">
        <v>0.0025</v>
      </c>
      <c r="Q85" t="s">
        <v>144</v>
      </c>
      <c r="R85">
        <f>VLOOKUP(B85,[2]Sheet1!$A$7:$U$626,21,0)</f>
        <v>2</v>
      </c>
    </row>
    <row r="86" spans="1:18">
      <c r="A86">
        <v>1032</v>
      </c>
      <c r="B86" s="23">
        <v>112011</v>
      </c>
      <c r="C86" s="20">
        <v>2</v>
      </c>
      <c r="D86" s="48" t="s">
        <v>43</v>
      </c>
      <c r="E86" s="49">
        <v>1</v>
      </c>
      <c r="F86" s="49"/>
      <c r="G86" s="49"/>
      <c r="H86" s="49">
        <v>60104</v>
      </c>
      <c r="I86" s="49"/>
      <c r="J86" s="49"/>
      <c r="K86" s="49"/>
      <c r="L86" s="49">
        <v>611</v>
      </c>
      <c r="M86" s="49" t="s">
        <v>145</v>
      </c>
      <c r="N86" s="49" t="s">
        <v>49</v>
      </c>
      <c r="O86" s="49"/>
      <c r="P86" s="51">
        <v>0.005</v>
      </c>
      <c r="Q86" t="s">
        <v>144</v>
      </c>
      <c r="R86">
        <f>VLOOKUP(B86,[2]Sheet1!$A$7:$U$626,21,0)</f>
        <v>2</v>
      </c>
    </row>
    <row r="87" spans="1:18">
      <c r="A87">
        <v>1033</v>
      </c>
      <c r="B87" s="23">
        <v>112011</v>
      </c>
      <c r="C87" s="20">
        <v>3</v>
      </c>
      <c r="D87" s="48" t="s">
        <v>105</v>
      </c>
      <c r="E87" s="49">
        <v>1</v>
      </c>
      <c r="F87" s="49"/>
      <c r="G87" s="49"/>
      <c r="H87" s="49"/>
      <c r="I87" s="49"/>
      <c r="J87" s="49" t="s">
        <v>146</v>
      </c>
      <c r="K87" s="49"/>
      <c r="L87" s="49">
        <v>798</v>
      </c>
      <c r="M87" s="49" t="s">
        <v>147</v>
      </c>
      <c r="N87" s="49" t="s">
        <v>61</v>
      </c>
      <c r="O87" s="49"/>
      <c r="P87" s="51">
        <v>0.0075</v>
      </c>
      <c r="Q87" t="s">
        <v>144</v>
      </c>
      <c r="R87">
        <f>VLOOKUP(B87,[2]Sheet1!$A$7:$U$626,21,0)</f>
        <v>2</v>
      </c>
    </row>
    <row r="88" spans="1:18">
      <c r="A88">
        <v>1034</v>
      </c>
      <c r="B88" s="23">
        <v>112012</v>
      </c>
      <c r="C88" s="39">
        <v>1</v>
      </c>
      <c r="D88" s="50" t="s">
        <v>40</v>
      </c>
      <c r="E88" s="51">
        <v>1</v>
      </c>
      <c r="F88" s="51"/>
      <c r="G88" s="51"/>
      <c r="H88" s="51">
        <v>61069</v>
      </c>
      <c r="I88" s="51"/>
      <c r="J88" s="51"/>
      <c r="K88" s="51"/>
      <c r="L88" s="51">
        <v>408</v>
      </c>
      <c r="M88" s="51" t="s">
        <v>106</v>
      </c>
      <c r="N88" s="51" t="s">
        <v>53</v>
      </c>
      <c r="O88" s="51"/>
      <c r="P88" s="51">
        <v>0.0025</v>
      </c>
      <c r="Q88" t="s">
        <v>148</v>
      </c>
      <c r="R88">
        <f>VLOOKUP(B88,[2]Sheet1!$A$7:$U$626,21,0)</f>
        <v>2</v>
      </c>
    </row>
    <row r="89" spans="1:18">
      <c r="A89">
        <v>1035</v>
      </c>
      <c r="B89" s="23">
        <v>112012</v>
      </c>
      <c r="C89" s="39">
        <v>2</v>
      </c>
      <c r="D89" s="50" t="s">
        <v>43</v>
      </c>
      <c r="E89" s="51">
        <v>1</v>
      </c>
      <c r="F89" s="51"/>
      <c r="G89" s="51"/>
      <c r="H89" s="51">
        <v>61070</v>
      </c>
      <c r="I89" s="51"/>
      <c r="J89" s="51"/>
      <c r="K89" s="51"/>
      <c r="L89" s="51">
        <v>615</v>
      </c>
      <c r="M89" s="51" t="s">
        <v>57</v>
      </c>
      <c r="N89" s="51" t="s">
        <v>53</v>
      </c>
      <c r="O89" s="51"/>
      <c r="P89" s="51">
        <v>0.005</v>
      </c>
      <c r="Q89" t="s">
        <v>148</v>
      </c>
      <c r="R89">
        <f>VLOOKUP(B89,[2]Sheet1!$A$7:$U$626,21,0)</f>
        <v>2</v>
      </c>
    </row>
    <row r="90" spans="1:18">
      <c r="A90">
        <v>1036</v>
      </c>
      <c r="B90" s="23">
        <v>112012</v>
      </c>
      <c r="C90" s="39">
        <v>3</v>
      </c>
      <c r="D90" s="50" t="s">
        <v>105</v>
      </c>
      <c r="E90" s="51">
        <v>1</v>
      </c>
      <c r="F90" s="51"/>
      <c r="G90" s="51"/>
      <c r="H90" s="51"/>
      <c r="I90" s="51"/>
      <c r="J90" s="51" t="s">
        <v>149</v>
      </c>
      <c r="K90" s="51"/>
      <c r="L90" s="51">
        <v>788</v>
      </c>
      <c r="M90" s="51" t="s">
        <v>150</v>
      </c>
      <c r="N90" s="51" t="s">
        <v>61</v>
      </c>
      <c r="O90" s="51"/>
      <c r="P90" s="51">
        <v>0.0075</v>
      </c>
      <c r="Q90" t="s">
        <v>148</v>
      </c>
      <c r="R90">
        <f>VLOOKUP(B90,[2]Sheet1!$A$7:$U$626,21,0)</f>
        <v>2</v>
      </c>
    </row>
    <row r="91" spans="1:18">
      <c r="A91">
        <v>1037</v>
      </c>
      <c r="B91" s="23">
        <v>112013</v>
      </c>
      <c r="C91" s="20">
        <v>1</v>
      </c>
      <c r="D91" s="48" t="s">
        <v>40</v>
      </c>
      <c r="E91" s="49">
        <v>1</v>
      </c>
      <c r="F91" s="49"/>
      <c r="G91" s="49"/>
      <c r="H91" s="49">
        <v>61071</v>
      </c>
      <c r="I91" s="49"/>
      <c r="J91" s="49"/>
      <c r="K91" s="49"/>
      <c r="L91" s="49">
        <v>403</v>
      </c>
      <c r="M91" s="49" t="s">
        <v>64</v>
      </c>
      <c r="N91" s="49" t="s">
        <v>65</v>
      </c>
      <c r="O91" s="49"/>
      <c r="P91" s="49">
        <v>0.0025</v>
      </c>
      <c r="Q91" t="s">
        <v>151</v>
      </c>
      <c r="R91">
        <f>VLOOKUP(B91,[2]Sheet1!$A$7:$U$626,21,0)</f>
        <v>2</v>
      </c>
    </row>
    <row r="92" spans="1:18">
      <c r="A92">
        <v>1038</v>
      </c>
      <c r="B92" s="23">
        <v>112013</v>
      </c>
      <c r="C92" s="20">
        <v>2</v>
      </c>
      <c r="D92" s="48" t="s">
        <v>43</v>
      </c>
      <c r="E92" s="49">
        <v>1</v>
      </c>
      <c r="F92" s="49"/>
      <c r="G92" s="49"/>
      <c r="H92" s="49">
        <v>61072</v>
      </c>
      <c r="I92" s="49"/>
      <c r="J92" s="49"/>
      <c r="K92" s="49"/>
      <c r="L92" s="49">
        <v>599</v>
      </c>
      <c r="M92" s="49" t="s">
        <v>152</v>
      </c>
      <c r="N92" s="49" t="s">
        <v>42</v>
      </c>
      <c r="O92" s="49"/>
      <c r="P92" s="49">
        <v>0.00375</v>
      </c>
      <c r="Q92" t="s">
        <v>151</v>
      </c>
      <c r="R92">
        <f>VLOOKUP(B92,[2]Sheet1!$A$7:$U$626,21,0)</f>
        <v>2</v>
      </c>
    </row>
    <row r="93" spans="1:18">
      <c r="A93">
        <v>1039</v>
      </c>
      <c r="B93" s="23">
        <v>112013</v>
      </c>
      <c r="C93" s="20">
        <v>3</v>
      </c>
      <c r="D93" s="48" t="s">
        <v>105</v>
      </c>
      <c r="E93" s="49">
        <v>1</v>
      </c>
      <c r="F93" s="49"/>
      <c r="G93" s="49"/>
      <c r="H93" s="49">
        <v>61073</v>
      </c>
      <c r="I93" s="49"/>
      <c r="J93" s="49"/>
      <c r="K93" s="49"/>
      <c r="L93" s="49">
        <v>787</v>
      </c>
      <c r="M93" s="49" t="s">
        <v>153</v>
      </c>
      <c r="N93" s="49" t="s">
        <v>65</v>
      </c>
      <c r="O93" s="49"/>
      <c r="P93" s="49">
        <v>0.005</v>
      </c>
      <c r="Q93" t="s">
        <v>151</v>
      </c>
      <c r="R93">
        <f>VLOOKUP(B93,[2]Sheet1!$A$7:$U$626,21,0)</f>
        <v>2</v>
      </c>
    </row>
    <row r="94" spans="1:18">
      <c r="A94">
        <v>1040</v>
      </c>
      <c r="B94" s="23">
        <v>112014</v>
      </c>
      <c r="C94" s="39">
        <v>1</v>
      </c>
      <c r="D94" s="50" t="s">
        <v>40</v>
      </c>
      <c r="E94" s="51">
        <v>1</v>
      </c>
      <c r="F94" s="51"/>
      <c r="G94" s="51"/>
      <c r="H94" s="51">
        <v>60105</v>
      </c>
      <c r="I94" s="51"/>
      <c r="J94" s="51"/>
      <c r="K94" s="51"/>
      <c r="L94" s="51">
        <v>414</v>
      </c>
      <c r="M94" s="51" t="s">
        <v>154</v>
      </c>
      <c r="N94" s="51" t="s">
        <v>49</v>
      </c>
      <c r="O94" s="51"/>
      <c r="P94" s="51">
        <v>0.0025</v>
      </c>
      <c r="Q94" t="s">
        <v>155</v>
      </c>
      <c r="R94">
        <f>VLOOKUP(B94,[2]Sheet1!$A$7:$U$626,21,0)</f>
        <v>2</v>
      </c>
    </row>
    <row r="95" spans="1:18">
      <c r="A95">
        <v>1041</v>
      </c>
      <c r="B95" s="23">
        <v>112014</v>
      </c>
      <c r="C95" s="39">
        <v>2</v>
      </c>
      <c r="D95" s="50" t="s">
        <v>43</v>
      </c>
      <c r="E95" s="51">
        <v>1</v>
      </c>
      <c r="F95" s="51"/>
      <c r="G95" s="51"/>
      <c r="H95" s="51">
        <v>61074</v>
      </c>
      <c r="I95" s="51"/>
      <c r="J95" s="51"/>
      <c r="K95" s="51"/>
      <c r="L95" s="51">
        <v>584</v>
      </c>
      <c r="M95" s="51" t="s">
        <v>156</v>
      </c>
      <c r="N95" s="51" t="s">
        <v>59</v>
      </c>
      <c r="O95" s="51"/>
      <c r="P95" s="51">
        <v>0.00375</v>
      </c>
      <c r="Q95" t="s">
        <v>155</v>
      </c>
      <c r="R95">
        <f>VLOOKUP(B95,[2]Sheet1!$A$7:$U$626,21,0)</f>
        <v>2</v>
      </c>
    </row>
    <row r="96" spans="1:18">
      <c r="A96">
        <v>1042</v>
      </c>
      <c r="B96" s="23">
        <v>112014</v>
      </c>
      <c r="C96" s="39">
        <v>3</v>
      </c>
      <c r="D96" s="50" t="s">
        <v>105</v>
      </c>
      <c r="E96" s="51">
        <v>1</v>
      </c>
      <c r="F96" s="51"/>
      <c r="G96" s="51"/>
      <c r="H96" s="51" t="s">
        <v>157</v>
      </c>
      <c r="I96" s="51"/>
      <c r="J96" s="51"/>
      <c r="K96" s="51"/>
      <c r="L96" s="51">
        <v>806</v>
      </c>
      <c r="M96" s="51" t="s">
        <v>158</v>
      </c>
      <c r="N96" s="51" t="s">
        <v>49</v>
      </c>
      <c r="O96" s="51"/>
      <c r="P96" s="51">
        <v>0.005</v>
      </c>
      <c r="Q96" t="s">
        <v>155</v>
      </c>
      <c r="R96">
        <f>VLOOKUP(B96,[2]Sheet1!$A$7:$U$626,21,0)</f>
        <v>2</v>
      </c>
    </row>
    <row r="97" spans="1:18">
      <c r="A97">
        <v>1043</v>
      </c>
      <c r="B97" s="23">
        <v>112015</v>
      </c>
      <c r="C97" s="20">
        <v>1</v>
      </c>
      <c r="D97" s="48" t="s">
        <v>40</v>
      </c>
      <c r="E97" s="49">
        <v>1</v>
      </c>
      <c r="F97" s="49"/>
      <c r="G97" s="49"/>
      <c r="H97" s="49">
        <v>60106</v>
      </c>
      <c r="I97" s="49"/>
      <c r="J97" s="49"/>
      <c r="K97" s="49"/>
      <c r="L97" s="49">
        <v>403</v>
      </c>
      <c r="M97" s="49" t="s">
        <v>159</v>
      </c>
      <c r="N97" s="49" t="s">
        <v>45</v>
      </c>
      <c r="O97" s="49"/>
      <c r="P97" s="51">
        <v>0.0025</v>
      </c>
      <c r="Q97" t="s">
        <v>160</v>
      </c>
      <c r="R97">
        <f>VLOOKUP(B97,[2]Sheet1!$A$7:$U$626,21,0)</f>
        <v>2</v>
      </c>
    </row>
    <row r="98" spans="1:18">
      <c r="A98">
        <v>1044</v>
      </c>
      <c r="B98" s="23">
        <v>112015</v>
      </c>
      <c r="C98" s="20">
        <v>2</v>
      </c>
      <c r="D98" s="48" t="s">
        <v>43</v>
      </c>
      <c r="E98" s="49">
        <v>1</v>
      </c>
      <c r="F98" s="49"/>
      <c r="G98" s="49"/>
      <c r="H98" s="49">
        <v>61075</v>
      </c>
      <c r="I98" s="49"/>
      <c r="J98" s="49"/>
      <c r="K98" s="49"/>
      <c r="L98" s="49">
        <v>613</v>
      </c>
      <c r="M98" s="49" t="s">
        <v>161</v>
      </c>
      <c r="N98" s="49" t="s">
        <v>42</v>
      </c>
      <c r="O98" s="49"/>
      <c r="P98" s="51">
        <v>0.00375</v>
      </c>
      <c r="Q98" t="s">
        <v>160</v>
      </c>
      <c r="R98">
        <f>VLOOKUP(B98,[2]Sheet1!$A$7:$U$626,21,0)</f>
        <v>2</v>
      </c>
    </row>
    <row r="99" spans="1:18">
      <c r="A99">
        <v>1045</v>
      </c>
      <c r="B99" s="23">
        <v>112015</v>
      </c>
      <c r="C99" s="20">
        <v>3</v>
      </c>
      <c r="D99" s="48" t="s">
        <v>105</v>
      </c>
      <c r="E99" s="49">
        <v>1</v>
      </c>
      <c r="F99" s="49"/>
      <c r="G99" s="49"/>
      <c r="H99" s="49">
        <v>60057</v>
      </c>
      <c r="I99" s="49"/>
      <c r="J99" s="49"/>
      <c r="K99" s="49"/>
      <c r="L99" s="49">
        <v>798</v>
      </c>
      <c r="M99" s="49" t="s">
        <v>162</v>
      </c>
      <c r="N99" s="49" t="s">
        <v>67</v>
      </c>
      <c r="O99" s="49"/>
      <c r="P99" s="51">
        <v>0.005</v>
      </c>
      <c r="Q99" t="s">
        <v>160</v>
      </c>
      <c r="R99">
        <f>VLOOKUP(B99,[2]Sheet1!$A$7:$U$626,21,0)</f>
        <v>2</v>
      </c>
    </row>
    <row r="100" spans="1:18">
      <c r="A100">
        <v>1046</v>
      </c>
      <c r="B100" s="23">
        <v>112016</v>
      </c>
      <c r="C100" s="39">
        <v>1</v>
      </c>
      <c r="D100" s="50" t="s">
        <v>40</v>
      </c>
      <c r="E100" s="51">
        <v>1</v>
      </c>
      <c r="F100" s="51"/>
      <c r="G100" s="51"/>
      <c r="H100" s="51">
        <v>60107</v>
      </c>
      <c r="I100" s="51"/>
      <c r="J100" s="51"/>
      <c r="K100" s="51"/>
      <c r="L100" s="51">
        <v>418</v>
      </c>
      <c r="M100" s="51" t="s">
        <v>163</v>
      </c>
      <c r="N100" s="51" t="s">
        <v>42</v>
      </c>
      <c r="O100" s="51"/>
      <c r="P100" s="51">
        <v>0.0025</v>
      </c>
      <c r="Q100" t="s">
        <v>164</v>
      </c>
      <c r="R100">
        <f>VLOOKUP(B100,[2]Sheet1!$A$7:$U$626,21,0)</f>
        <v>2</v>
      </c>
    </row>
    <row r="101" spans="1:18">
      <c r="A101">
        <v>1047</v>
      </c>
      <c r="B101" s="23">
        <v>112016</v>
      </c>
      <c r="C101" s="39">
        <v>2</v>
      </c>
      <c r="D101" s="50" t="s">
        <v>43</v>
      </c>
      <c r="E101" s="51">
        <v>1</v>
      </c>
      <c r="F101" s="51"/>
      <c r="G101" s="51"/>
      <c r="H101" s="51">
        <v>60108</v>
      </c>
      <c r="I101" s="51"/>
      <c r="J101" s="51"/>
      <c r="K101" s="51"/>
      <c r="L101" s="51">
        <v>581</v>
      </c>
      <c r="M101" s="51" t="s">
        <v>165</v>
      </c>
      <c r="N101" s="51" t="s">
        <v>42</v>
      </c>
      <c r="O101" s="51"/>
      <c r="P101" s="51">
        <v>0.00375</v>
      </c>
      <c r="Q101" t="s">
        <v>164</v>
      </c>
      <c r="R101">
        <f>VLOOKUP(B101,[2]Sheet1!$A$7:$U$626,21,0)</f>
        <v>2</v>
      </c>
    </row>
    <row r="102" spans="1:18">
      <c r="A102">
        <v>1048</v>
      </c>
      <c r="B102" s="23">
        <v>112016</v>
      </c>
      <c r="C102" s="39">
        <v>3</v>
      </c>
      <c r="D102" s="50" t="s">
        <v>105</v>
      </c>
      <c r="E102" s="51">
        <v>1</v>
      </c>
      <c r="F102" s="51"/>
      <c r="G102" s="51"/>
      <c r="H102" s="51" t="s">
        <v>166</v>
      </c>
      <c r="I102" s="51"/>
      <c r="J102" s="51"/>
      <c r="K102" s="51"/>
      <c r="L102" s="51">
        <v>789</v>
      </c>
      <c r="M102" s="51" t="s">
        <v>167</v>
      </c>
      <c r="N102" s="51" t="s">
        <v>42</v>
      </c>
      <c r="O102" s="51"/>
      <c r="P102" s="51">
        <v>0.005</v>
      </c>
      <c r="Q102" t="s">
        <v>164</v>
      </c>
      <c r="R102">
        <f>VLOOKUP(B102,[2]Sheet1!$A$7:$U$626,21,0)</f>
        <v>2</v>
      </c>
    </row>
    <row r="103" spans="1:18">
      <c r="A103">
        <v>1049</v>
      </c>
      <c r="B103" s="23">
        <v>112017</v>
      </c>
      <c r="C103" s="20">
        <v>1</v>
      </c>
      <c r="D103" s="48" t="s">
        <v>40</v>
      </c>
      <c r="E103" s="49">
        <v>1</v>
      </c>
      <c r="F103" s="49"/>
      <c r="G103" s="49"/>
      <c r="H103" s="49">
        <v>61076</v>
      </c>
      <c r="I103" s="49"/>
      <c r="J103" s="49"/>
      <c r="K103" s="49"/>
      <c r="L103" s="49">
        <v>389</v>
      </c>
      <c r="M103" s="49" t="s">
        <v>56</v>
      </c>
      <c r="N103" s="49" t="s">
        <v>53</v>
      </c>
      <c r="O103" s="49"/>
      <c r="P103" s="51">
        <v>0.0025</v>
      </c>
      <c r="Q103" t="s">
        <v>168</v>
      </c>
      <c r="R103">
        <f>VLOOKUP(B103,[2]Sheet1!$A$7:$U$626,21,0)</f>
        <v>2</v>
      </c>
    </row>
    <row r="104" spans="1:18">
      <c r="A104">
        <v>1050</v>
      </c>
      <c r="B104" s="23">
        <v>112017</v>
      </c>
      <c r="C104" s="20">
        <v>2</v>
      </c>
      <c r="D104" s="48" t="s">
        <v>43</v>
      </c>
      <c r="E104" s="49">
        <v>1</v>
      </c>
      <c r="F104" s="49"/>
      <c r="G104" s="49"/>
      <c r="H104" s="49">
        <v>61077</v>
      </c>
      <c r="I104" s="49"/>
      <c r="J104" s="49"/>
      <c r="K104" s="49"/>
      <c r="L104" s="49">
        <v>607</v>
      </c>
      <c r="M104" s="49" t="s">
        <v>169</v>
      </c>
      <c r="N104" s="49" t="s">
        <v>61</v>
      </c>
      <c r="O104" s="49"/>
      <c r="P104" s="51">
        <v>0.00375</v>
      </c>
      <c r="Q104" t="s">
        <v>168</v>
      </c>
      <c r="R104">
        <f>VLOOKUP(B104,[2]Sheet1!$A$7:$U$626,21,0)</f>
        <v>2</v>
      </c>
    </row>
    <row r="105" spans="1:18">
      <c r="A105">
        <v>1051</v>
      </c>
      <c r="B105" s="23">
        <v>112017</v>
      </c>
      <c r="C105" s="20">
        <v>3</v>
      </c>
      <c r="D105" s="48" t="s">
        <v>105</v>
      </c>
      <c r="E105" s="49">
        <v>1</v>
      </c>
      <c r="F105" s="49"/>
      <c r="G105" s="49"/>
      <c r="H105" s="49" t="s">
        <v>170</v>
      </c>
      <c r="I105" s="49"/>
      <c r="J105" s="49"/>
      <c r="K105" s="49"/>
      <c r="L105" s="49">
        <v>819</v>
      </c>
      <c r="M105" s="49" t="s">
        <v>171</v>
      </c>
      <c r="N105" s="49" t="s">
        <v>61</v>
      </c>
      <c r="O105" s="49"/>
      <c r="P105" s="51">
        <v>0.005</v>
      </c>
      <c r="Q105" t="s">
        <v>168</v>
      </c>
      <c r="R105">
        <f>VLOOKUP(B105,[2]Sheet1!$A$7:$U$626,21,0)</f>
        <v>2</v>
      </c>
    </row>
    <row r="106" spans="1:18">
      <c r="A106">
        <v>1052</v>
      </c>
      <c r="B106" s="23">
        <v>112019</v>
      </c>
      <c r="C106" s="39">
        <v>1</v>
      </c>
      <c r="D106" s="50" t="s">
        <v>40</v>
      </c>
      <c r="E106" s="51">
        <v>1</v>
      </c>
      <c r="F106" s="51"/>
      <c r="G106" s="51"/>
      <c r="H106" s="51"/>
      <c r="I106" s="51"/>
      <c r="J106" s="51">
        <v>60109</v>
      </c>
      <c r="K106" s="51"/>
      <c r="L106" s="51">
        <v>398</v>
      </c>
      <c r="M106" s="51" t="s">
        <v>172</v>
      </c>
      <c r="N106" s="51" t="s">
        <v>45</v>
      </c>
      <c r="O106" s="51"/>
      <c r="P106" s="51">
        <v>0.0025</v>
      </c>
      <c r="Q106" t="s">
        <v>173</v>
      </c>
      <c r="R106">
        <f>VLOOKUP(B106,[2]Sheet1!$A$7:$U$626,21,0)</f>
        <v>2</v>
      </c>
    </row>
    <row r="107" spans="1:18">
      <c r="A107">
        <v>1053</v>
      </c>
      <c r="B107" s="23">
        <v>112019</v>
      </c>
      <c r="C107" s="39">
        <v>2</v>
      </c>
      <c r="D107" s="50" t="s">
        <v>43</v>
      </c>
      <c r="E107" s="51">
        <v>1</v>
      </c>
      <c r="F107" s="51"/>
      <c r="G107" s="51"/>
      <c r="H107" s="51"/>
      <c r="I107" s="51"/>
      <c r="J107" s="51">
        <v>60110</v>
      </c>
      <c r="K107" s="51"/>
      <c r="L107" s="51">
        <v>591</v>
      </c>
      <c r="M107" s="51" t="s">
        <v>174</v>
      </c>
      <c r="N107" s="51" t="s">
        <v>45</v>
      </c>
      <c r="O107" s="51"/>
      <c r="P107" s="51">
        <v>0.00375</v>
      </c>
      <c r="Q107" t="s">
        <v>173</v>
      </c>
      <c r="R107">
        <f>VLOOKUP(B107,[2]Sheet1!$A$7:$U$626,21,0)</f>
        <v>2</v>
      </c>
    </row>
    <row r="108" spans="1:18">
      <c r="A108">
        <v>1054</v>
      </c>
      <c r="B108" s="23">
        <v>112019</v>
      </c>
      <c r="C108" s="39">
        <v>3</v>
      </c>
      <c r="D108" s="50" t="s">
        <v>105</v>
      </c>
      <c r="E108" s="51">
        <v>1</v>
      </c>
      <c r="F108" s="51"/>
      <c r="G108" s="51"/>
      <c r="H108" s="51">
        <v>60049</v>
      </c>
      <c r="I108" s="51"/>
      <c r="J108" s="51"/>
      <c r="K108" s="51"/>
      <c r="L108" s="51">
        <v>790</v>
      </c>
      <c r="M108" s="51" t="s">
        <v>175</v>
      </c>
      <c r="N108" s="51" t="s">
        <v>45</v>
      </c>
      <c r="O108" s="51"/>
      <c r="P108" s="51">
        <v>0.005</v>
      </c>
      <c r="Q108" t="s">
        <v>173</v>
      </c>
      <c r="R108">
        <f>VLOOKUP(B108,[2]Sheet1!$A$7:$U$626,21,0)</f>
        <v>2</v>
      </c>
    </row>
    <row r="109" spans="1:18">
      <c r="A109">
        <v>1055</v>
      </c>
      <c r="B109" s="23">
        <v>112020</v>
      </c>
      <c r="C109" s="20">
        <v>1</v>
      </c>
      <c r="D109" s="48" t="s">
        <v>40</v>
      </c>
      <c r="E109" s="49">
        <v>1</v>
      </c>
      <c r="F109" s="49"/>
      <c r="G109" s="49"/>
      <c r="H109" s="49">
        <v>60131</v>
      </c>
      <c r="I109" s="49"/>
      <c r="J109" s="49"/>
      <c r="K109" s="49"/>
      <c r="L109" s="49">
        <v>382</v>
      </c>
      <c r="M109" s="49" t="s">
        <v>176</v>
      </c>
      <c r="N109" s="49" t="s">
        <v>67</v>
      </c>
      <c r="O109" s="49"/>
      <c r="P109" s="51">
        <v>0.0025</v>
      </c>
      <c r="Q109" t="s">
        <v>177</v>
      </c>
      <c r="R109">
        <f>VLOOKUP(B109,[2]Sheet1!$A$7:$U$626,21,0)</f>
        <v>2</v>
      </c>
    </row>
    <row r="110" spans="1:18">
      <c r="A110">
        <v>1056</v>
      </c>
      <c r="B110" s="23">
        <v>112020</v>
      </c>
      <c r="C110" s="20">
        <v>2</v>
      </c>
      <c r="D110" s="48" t="s">
        <v>43</v>
      </c>
      <c r="E110" s="49">
        <v>1</v>
      </c>
      <c r="F110" s="49"/>
      <c r="G110" s="49"/>
      <c r="H110" s="49">
        <v>61078</v>
      </c>
      <c r="I110" s="49"/>
      <c r="J110" s="49"/>
      <c r="K110" s="49"/>
      <c r="L110" s="49">
        <v>582</v>
      </c>
      <c r="M110" s="49" t="s">
        <v>178</v>
      </c>
      <c r="N110" s="49" t="s">
        <v>45</v>
      </c>
      <c r="O110" s="49"/>
      <c r="P110" s="51">
        <v>0.00375</v>
      </c>
      <c r="Q110" t="s">
        <v>177</v>
      </c>
      <c r="R110">
        <f>VLOOKUP(B110,[2]Sheet1!$A$7:$U$626,21,0)</f>
        <v>2</v>
      </c>
    </row>
    <row r="111" spans="1:18">
      <c r="A111">
        <v>1057</v>
      </c>
      <c r="B111" s="23">
        <v>112020</v>
      </c>
      <c r="C111" s="20">
        <v>3</v>
      </c>
      <c r="D111" s="48" t="s">
        <v>105</v>
      </c>
      <c r="E111" s="49">
        <v>1</v>
      </c>
      <c r="F111" s="49"/>
      <c r="G111" s="49"/>
      <c r="H111" s="53" t="s">
        <v>179</v>
      </c>
      <c r="I111" s="49"/>
      <c r="J111" s="49"/>
      <c r="K111" s="49"/>
      <c r="L111" s="49">
        <v>818</v>
      </c>
      <c r="M111" s="49" t="s">
        <v>180</v>
      </c>
      <c r="N111" s="49" t="s">
        <v>45</v>
      </c>
      <c r="O111" s="49"/>
      <c r="P111" s="51">
        <v>0.005</v>
      </c>
      <c r="Q111" t="s">
        <v>177</v>
      </c>
      <c r="R111">
        <f>VLOOKUP(B111,[2]Sheet1!$A$7:$U$626,21,0)</f>
        <v>2</v>
      </c>
    </row>
    <row r="112" spans="1:18">
      <c r="A112">
        <v>1058</v>
      </c>
      <c r="B112" s="23">
        <v>112021</v>
      </c>
      <c r="C112" s="39">
        <v>1</v>
      </c>
      <c r="D112" s="50" t="s">
        <v>40</v>
      </c>
      <c r="E112" s="51">
        <v>1</v>
      </c>
      <c r="F112" s="51"/>
      <c r="G112" s="51"/>
      <c r="H112" s="51">
        <v>61079</v>
      </c>
      <c r="I112" s="51"/>
      <c r="J112" s="51"/>
      <c r="K112" s="51"/>
      <c r="L112" s="51">
        <v>403</v>
      </c>
      <c r="M112" s="51" t="s">
        <v>75</v>
      </c>
      <c r="N112" s="51" t="s">
        <v>49</v>
      </c>
      <c r="O112" s="51"/>
      <c r="P112" s="51">
        <v>0.0025</v>
      </c>
      <c r="Q112" t="s">
        <v>181</v>
      </c>
      <c r="R112">
        <f>VLOOKUP(B112,[2]Sheet1!$A$7:$U$626,21,0)</f>
        <v>2</v>
      </c>
    </row>
    <row r="113" spans="1:18">
      <c r="A113">
        <v>1059</v>
      </c>
      <c r="B113" s="23">
        <v>112021</v>
      </c>
      <c r="C113" s="39">
        <v>2</v>
      </c>
      <c r="D113" s="50" t="s">
        <v>43</v>
      </c>
      <c r="E113" s="51">
        <v>1</v>
      </c>
      <c r="F113" s="51"/>
      <c r="G113" s="51"/>
      <c r="H113" s="51"/>
      <c r="I113" s="51"/>
      <c r="J113" s="51">
        <v>60112</v>
      </c>
      <c r="K113" s="51"/>
      <c r="L113" s="51">
        <v>583</v>
      </c>
      <c r="M113" s="51" t="s">
        <v>182</v>
      </c>
      <c r="N113" s="51" t="s">
        <v>61</v>
      </c>
      <c r="O113" s="51"/>
      <c r="P113" s="51">
        <v>0.00375</v>
      </c>
      <c r="Q113" t="s">
        <v>181</v>
      </c>
      <c r="R113">
        <f>VLOOKUP(B113,[2]Sheet1!$A$7:$U$626,21,0)</f>
        <v>2</v>
      </c>
    </row>
    <row r="114" spans="1:18">
      <c r="A114">
        <v>1060</v>
      </c>
      <c r="B114" s="23">
        <v>112021</v>
      </c>
      <c r="C114" s="39">
        <v>3</v>
      </c>
      <c r="D114" s="50" t="s">
        <v>105</v>
      </c>
      <c r="E114" s="51">
        <v>1</v>
      </c>
      <c r="F114" s="51"/>
      <c r="G114" s="51"/>
      <c r="H114" s="51"/>
      <c r="I114" s="51"/>
      <c r="J114" s="51" t="s">
        <v>183</v>
      </c>
      <c r="K114" s="51"/>
      <c r="L114" s="51">
        <v>796</v>
      </c>
      <c r="M114" s="51" t="s">
        <v>184</v>
      </c>
      <c r="N114" s="51" t="s">
        <v>90</v>
      </c>
      <c r="O114" s="51"/>
      <c r="P114" s="51">
        <v>0.005</v>
      </c>
      <c r="Q114" t="s">
        <v>181</v>
      </c>
      <c r="R114">
        <f>VLOOKUP(B114,[2]Sheet1!$A$7:$U$626,21,0)</f>
        <v>2</v>
      </c>
    </row>
    <row r="115" spans="1:18">
      <c r="A115">
        <v>1061</v>
      </c>
      <c r="B115" s="23">
        <v>112023</v>
      </c>
      <c r="C115" s="20">
        <v>1</v>
      </c>
      <c r="D115" s="48" t="s">
        <v>40</v>
      </c>
      <c r="E115" s="49">
        <v>1</v>
      </c>
      <c r="F115" s="49"/>
      <c r="G115" s="49"/>
      <c r="H115" s="49">
        <v>61080</v>
      </c>
      <c r="I115" s="49"/>
      <c r="J115" s="49"/>
      <c r="K115" s="49"/>
      <c r="L115" s="49">
        <v>417</v>
      </c>
      <c r="M115" s="49" t="s">
        <v>139</v>
      </c>
      <c r="N115" s="49" t="s">
        <v>81</v>
      </c>
      <c r="O115" s="49"/>
      <c r="P115" s="51">
        <v>0.0025</v>
      </c>
      <c r="Q115" t="s">
        <v>185</v>
      </c>
      <c r="R115">
        <f>VLOOKUP(B115,[2]Sheet1!$A$7:$U$626,21,0)</f>
        <v>2</v>
      </c>
    </row>
    <row r="116" spans="1:18">
      <c r="A116">
        <v>1062</v>
      </c>
      <c r="B116" s="23">
        <v>112023</v>
      </c>
      <c r="C116" s="20">
        <v>2</v>
      </c>
      <c r="D116" s="48" t="s">
        <v>43</v>
      </c>
      <c r="E116" s="49">
        <v>1</v>
      </c>
      <c r="F116" s="49"/>
      <c r="G116" s="49"/>
      <c r="H116" s="49">
        <v>60113</v>
      </c>
      <c r="I116" s="49"/>
      <c r="J116" s="49"/>
      <c r="K116" s="49"/>
      <c r="L116" s="49">
        <v>614</v>
      </c>
      <c r="M116" s="49" t="s">
        <v>62</v>
      </c>
      <c r="N116" s="49" t="s">
        <v>59</v>
      </c>
      <c r="O116" s="49"/>
      <c r="P116" s="51">
        <v>0.00375</v>
      </c>
      <c r="Q116" t="s">
        <v>185</v>
      </c>
      <c r="R116">
        <f>VLOOKUP(B116,[2]Sheet1!$A$7:$U$626,21,0)</f>
        <v>2</v>
      </c>
    </row>
    <row r="117" spans="1:18">
      <c r="A117">
        <v>1063</v>
      </c>
      <c r="B117" s="23">
        <v>112023</v>
      </c>
      <c r="C117" s="20">
        <v>3</v>
      </c>
      <c r="D117" s="48" t="s">
        <v>105</v>
      </c>
      <c r="E117" s="49">
        <v>1</v>
      </c>
      <c r="F117" s="49"/>
      <c r="G117" s="49"/>
      <c r="H117" s="49" t="s">
        <v>186</v>
      </c>
      <c r="I117" s="49"/>
      <c r="J117" s="49"/>
      <c r="K117" s="49"/>
      <c r="L117" s="49">
        <v>804</v>
      </c>
      <c r="M117" s="49" t="s">
        <v>187</v>
      </c>
      <c r="N117" s="49" t="s">
        <v>188</v>
      </c>
      <c r="O117" s="49"/>
      <c r="P117" s="51">
        <v>0.005</v>
      </c>
      <c r="Q117" t="s">
        <v>185</v>
      </c>
      <c r="R117">
        <f>VLOOKUP(B117,[2]Sheet1!$A$7:$U$626,21,0)</f>
        <v>2</v>
      </c>
    </row>
    <row r="118" spans="1:18">
      <c r="A118">
        <v>1064</v>
      </c>
      <c r="B118" s="23">
        <v>112024</v>
      </c>
      <c r="C118" s="39">
        <v>1</v>
      </c>
      <c r="D118" s="50" t="s">
        <v>40</v>
      </c>
      <c r="E118" s="51">
        <v>1</v>
      </c>
      <c r="F118" s="51"/>
      <c r="G118" s="51"/>
      <c r="H118" s="51">
        <v>61081</v>
      </c>
      <c r="I118" s="51"/>
      <c r="J118" s="51"/>
      <c r="K118" s="51"/>
      <c r="L118" s="51">
        <v>405</v>
      </c>
      <c r="M118" s="51" t="s">
        <v>121</v>
      </c>
      <c r="N118" s="51" t="s">
        <v>45</v>
      </c>
      <c r="O118" s="51"/>
      <c r="P118" s="51">
        <v>0.0025</v>
      </c>
      <c r="Q118" t="s">
        <v>189</v>
      </c>
      <c r="R118">
        <f>VLOOKUP(B118,[2]Sheet1!$A$7:$U$626,21,0)</f>
        <v>2</v>
      </c>
    </row>
    <row r="119" spans="1:18">
      <c r="A119">
        <v>1065</v>
      </c>
      <c r="B119" s="23">
        <v>112024</v>
      </c>
      <c r="C119" s="39">
        <v>2</v>
      </c>
      <c r="D119" s="50" t="s">
        <v>43</v>
      </c>
      <c r="E119" s="51">
        <v>1</v>
      </c>
      <c r="F119" s="51"/>
      <c r="G119" s="51"/>
      <c r="H119" s="51">
        <v>61082</v>
      </c>
      <c r="I119" s="51"/>
      <c r="J119" s="51"/>
      <c r="K119" s="51"/>
      <c r="L119" s="51">
        <v>607</v>
      </c>
      <c r="M119" s="51" t="s">
        <v>178</v>
      </c>
      <c r="N119" s="51" t="s">
        <v>45</v>
      </c>
      <c r="O119" s="51"/>
      <c r="P119" s="51">
        <v>0.00375</v>
      </c>
      <c r="Q119" t="s">
        <v>189</v>
      </c>
      <c r="R119">
        <f>VLOOKUP(B119,[2]Sheet1!$A$7:$U$626,21,0)</f>
        <v>2</v>
      </c>
    </row>
    <row r="120" spans="1:18">
      <c r="A120">
        <v>1066</v>
      </c>
      <c r="B120" s="23">
        <v>112024</v>
      </c>
      <c r="C120" s="39">
        <v>3</v>
      </c>
      <c r="D120" s="50" t="s">
        <v>105</v>
      </c>
      <c r="E120" s="51">
        <v>1</v>
      </c>
      <c r="F120" s="51"/>
      <c r="G120" s="51"/>
      <c r="H120" s="51" t="s">
        <v>190</v>
      </c>
      <c r="I120" s="51"/>
      <c r="J120" s="51"/>
      <c r="K120" s="51"/>
      <c r="L120" s="51">
        <v>781</v>
      </c>
      <c r="M120" s="51" t="s">
        <v>191</v>
      </c>
      <c r="N120" s="51" t="s">
        <v>45</v>
      </c>
      <c r="O120" s="51"/>
      <c r="P120" s="51">
        <v>0.005</v>
      </c>
      <c r="Q120" t="s">
        <v>189</v>
      </c>
      <c r="R120">
        <f>VLOOKUP(B120,[2]Sheet1!$A$7:$U$626,21,0)</f>
        <v>2</v>
      </c>
    </row>
    <row r="121" spans="1:18">
      <c r="A121">
        <v>1067</v>
      </c>
      <c r="B121" s="23">
        <v>112025</v>
      </c>
      <c r="C121" s="20">
        <v>1</v>
      </c>
      <c r="D121" s="48" t="s">
        <v>40</v>
      </c>
      <c r="E121" s="49">
        <v>1</v>
      </c>
      <c r="F121" s="49"/>
      <c r="G121" s="49"/>
      <c r="H121" s="49">
        <v>61083</v>
      </c>
      <c r="I121" s="49"/>
      <c r="J121" s="49"/>
      <c r="K121" s="49"/>
      <c r="L121" s="49">
        <v>385</v>
      </c>
      <c r="M121" s="49" t="s">
        <v>192</v>
      </c>
      <c r="N121" s="49" t="s">
        <v>59</v>
      </c>
      <c r="O121" s="49"/>
      <c r="P121" s="51">
        <v>0.0025</v>
      </c>
      <c r="Q121" t="s">
        <v>193</v>
      </c>
      <c r="R121">
        <f>VLOOKUP(B121,[2]Sheet1!$A$7:$U$626,21,0)</f>
        <v>2</v>
      </c>
    </row>
    <row r="122" spans="1:18">
      <c r="A122">
        <v>1068</v>
      </c>
      <c r="B122" s="23">
        <v>112025</v>
      </c>
      <c r="C122" s="20">
        <v>2</v>
      </c>
      <c r="D122" s="48" t="s">
        <v>43</v>
      </c>
      <c r="E122" s="49">
        <v>1</v>
      </c>
      <c r="F122" s="49"/>
      <c r="G122" s="49"/>
      <c r="H122" s="49">
        <v>60114</v>
      </c>
      <c r="I122" s="49"/>
      <c r="J122" s="49"/>
      <c r="K122" s="49"/>
      <c r="L122" s="49">
        <v>592</v>
      </c>
      <c r="M122" s="49" t="s">
        <v>194</v>
      </c>
      <c r="N122" s="49" t="s">
        <v>49</v>
      </c>
      <c r="O122" s="49"/>
      <c r="P122" s="51">
        <v>0.00375</v>
      </c>
      <c r="Q122" t="s">
        <v>193</v>
      </c>
      <c r="R122">
        <f>VLOOKUP(B122,[2]Sheet1!$A$7:$U$626,21,0)</f>
        <v>2</v>
      </c>
    </row>
    <row r="123" spans="1:18">
      <c r="A123">
        <v>1069</v>
      </c>
      <c r="B123" s="23">
        <v>112025</v>
      </c>
      <c r="C123" s="20">
        <v>3</v>
      </c>
      <c r="D123" s="48" t="s">
        <v>105</v>
      </c>
      <c r="E123" s="49">
        <v>1</v>
      </c>
      <c r="F123" s="49"/>
      <c r="G123" s="49"/>
      <c r="H123" s="49" t="s">
        <v>195</v>
      </c>
      <c r="I123" s="49"/>
      <c r="J123" s="49"/>
      <c r="K123" s="49"/>
      <c r="L123" s="49">
        <v>791</v>
      </c>
      <c r="M123" s="49" t="s">
        <v>196</v>
      </c>
      <c r="N123" s="49" t="s">
        <v>188</v>
      </c>
      <c r="O123" s="49"/>
      <c r="P123" s="51">
        <v>0.005</v>
      </c>
      <c r="Q123" t="s">
        <v>193</v>
      </c>
      <c r="R123">
        <f>VLOOKUP(B123,[2]Sheet1!$A$7:$U$626,21,0)</f>
        <v>2</v>
      </c>
    </row>
    <row r="124" spans="1:18">
      <c r="A124">
        <v>1070</v>
      </c>
      <c r="B124" s="23">
        <v>112026</v>
      </c>
      <c r="C124" s="39">
        <v>1</v>
      </c>
      <c r="D124" s="50" t="s">
        <v>40</v>
      </c>
      <c r="E124" s="51">
        <v>1</v>
      </c>
      <c r="F124" s="51"/>
      <c r="G124" s="51"/>
      <c r="H124" s="51">
        <v>60115</v>
      </c>
      <c r="I124" s="51"/>
      <c r="J124" s="51"/>
      <c r="K124" s="51"/>
      <c r="L124" s="51">
        <v>392</v>
      </c>
      <c r="M124" s="51" t="s">
        <v>154</v>
      </c>
      <c r="N124" s="51" t="s">
        <v>49</v>
      </c>
      <c r="O124" s="51"/>
      <c r="P124" s="51">
        <v>0.0025</v>
      </c>
      <c r="Q124" t="s">
        <v>197</v>
      </c>
      <c r="R124">
        <f>VLOOKUP(B124,[2]Sheet1!$A$7:$U$626,21,0)</f>
        <v>2</v>
      </c>
    </row>
    <row r="125" spans="1:18">
      <c r="A125">
        <v>1071</v>
      </c>
      <c r="B125" s="23">
        <v>112026</v>
      </c>
      <c r="C125" s="39">
        <v>2</v>
      </c>
      <c r="D125" s="50" t="s">
        <v>43</v>
      </c>
      <c r="E125" s="51">
        <v>1</v>
      </c>
      <c r="F125" s="51"/>
      <c r="G125" s="51"/>
      <c r="H125" s="51"/>
      <c r="I125" s="51"/>
      <c r="J125" s="51">
        <v>60116</v>
      </c>
      <c r="K125" s="51"/>
      <c r="L125" s="51">
        <v>582</v>
      </c>
      <c r="M125" s="51" t="s">
        <v>198</v>
      </c>
      <c r="N125" s="51" t="s">
        <v>61</v>
      </c>
      <c r="O125" s="51"/>
      <c r="P125" s="51">
        <v>0.00375</v>
      </c>
      <c r="Q125" t="s">
        <v>197</v>
      </c>
      <c r="R125">
        <f>VLOOKUP(B125,[2]Sheet1!$A$7:$U$626,21,0)</f>
        <v>2</v>
      </c>
    </row>
    <row r="126" spans="1:18">
      <c r="A126">
        <v>1072</v>
      </c>
      <c r="B126" s="23">
        <v>112026</v>
      </c>
      <c r="C126" s="39">
        <v>3</v>
      </c>
      <c r="D126" s="50" t="s">
        <v>105</v>
      </c>
      <c r="E126" s="51">
        <v>1</v>
      </c>
      <c r="F126" s="51"/>
      <c r="G126" s="51"/>
      <c r="H126" s="51"/>
      <c r="I126" s="51"/>
      <c r="J126" s="51">
        <v>60032</v>
      </c>
      <c r="K126" s="51"/>
      <c r="L126" s="51">
        <v>804</v>
      </c>
      <c r="M126" s="51" t="s">
        <v>199</v>
      </c>
      <c r="N126" s="51" t="s">
        <v>61</v>
      </c>
      <c r="O126" s="51"/>
      <c r="P126" s="51">
        <v>0.005</v>
      </c>
      <c r="Q126" t="s">
        <v>197</v>
      </c>
      <c r="R126">
        <f>VLOOKUP(B126,[2]Sheet1!$A$7:$U$626,21,0)</f>
        <v>2</v>
      </c>
    </row>
    <row r="127" spans="1:18">
      <c r="A127">
        <v>1073</v>
      </c>
      <c r="B127" s="23">
        <v>112027</v>
      </c>
      <c r="C127">
        <v>1</v>
      </c>
      <c r="D127" s="41" t="s">
        <v>40</v>
      </c>
      <c r="E127" s="42" t="s">
        <v>200</v>
      </c>
      <c r="F127" s="42"/>
      <c r="H127" s="42" t="s">
        <v>201</v>
      </c>
      <c r="I127" s="42"/>
      <c r="J127" s="42"/>
      <c r="K127" s="42"/>
      <c r="L127" s="42">
        <v>389</v>
      </c>
      <c r="M127" s="49" t="s">
        <v>202</v>
      </c>
      <c r="N127" s="42" t="s">
        <v>49</v>
      </c>
      <c r="O127" s="42"/>
      <c r="P127" s="51">
        <v>0.0025</v>
      </c>
      <c r="Q127" t="s">
        <v>203</v>
      </c>
      <c r="R127">
        <f>VLOOKUP(B127,[2]Sheet1!$A$7:$U$626,21,0)</f>
        <v>2</v>
      </c>
    </row>
    <row r="128" spans="1:18">
      <c r="A128">
        <v>1074</v>
      </c>
      <c r="B128" s="23">
        <v>112027</v>
      </c>
      <c r="C128">
        <v>2</v>
      </c>
      <c r="D128" s="41" t="s">
        <v>43</v>
      </c>
      <c r="E128" s="42" t="s">
        <v>200</v>
      </c>
      <c r="F128" s="42"/>
      <c r="H128" s="42" t="s">
        <v>204</v>
      </c>
      <c r="I128" s="42"/>
      <c r="J128" s="42"/>
      <c r="K128" s="42"/>
      <c r="L128" s="42">
        <v>583</v>
      </c>
      <c r="M128" s="49" t="s">
        <v>51</v>
      </c>
      <c r="N128" s="42" t="s">
        <v>49</v>
      </c>
      <c r="O128" s="42"/>
      <c r="P128" s="51">
        <v>0.00375</v>
      </c>
      <c r="Q128" t="s">
        <v>203</v>
      </c>
      <c r="R128">
        <f>VLOOKUP(B128,[2]Sheet1!$A$7:$U$626,21,0)</f>
        <v>2</v>
      </c>
    </row>
    <row r="129" spans="1:18">
      <c r="A129">
        <v>1075</v>
      </c>
      <c r="B129" s="23">
        <v>112027</v>
      </c>
      <c r="C129">
        <v>3</v>
      </c>
      <c r="D129" s="41" t="s">
        <v>105</v>
      </c>
      <c r="E129" s="42" t="s">
        <v>200</v>
      </c>
      <c r="F129" s="42"/>
      <c r="G129" s="42"/>
      <c r="H129" s="42" t="s">
        <v>205</v>
      </c>
      <c r="I129" s="42"/>
      <c r="J129" s="42"/>
      <c r="K129" s="42"/>
      <c r="L129" s="42">
        <v>782</v>
      </c>
      <c r="M129" s="49" t="s">
        <v>206</v>
      </c>
      <c r="N129" s="42" t="s">
        <v>49</v>
      </c>
      <c r="O129" s="42"/>
      <c r="P129" s="51">
        <v>0.005</v>
      </c>
      <c r="Q129" t="s">
        <v>203</v>
      </c>
      <c r="R129">
        <f>VLOOKUP(B129,[2]Sheet1!$A$7:$U$626,21,0)</f>
        <v>2</v>
      </c>
    </row>
    <row r="130" spans="1:18">
      <c r="A130">
        <v>3001</v>
      </c>
      <c r="B130" s="54">
        <v>112028</v>
      </c>
      <c r="C130" s="20">
        <v>1</v>
      </c>
      <c r="D130" s="48" t="s">
        <v>40</v>
      </c>
      <c r="E130" s="49">
        <v>1</v>
      </c>
      <c r="F130" s="48"/>
      <c r="G130" s="48"/>
      <c r="H130" s="53" t="s">
        <v>207</v>
      </c>
      <c r="I130" s="48"/>
      <c r="J130" s="48"/>
      <c r="K130" s="48"/>
      <c r="L130" s="49">
        <v>1000</v>
      </c>
      <c r="M130" s="48" t="s">
        <v>208</v>
      </c>
      <c r="N130" s="41" t="s">
        <v>42</v>
      </c>
      <c r="P130" s="51">
        <v>0.005</v>
      </c>
      <c r="Q130" t="s">
        <v>209</v>
      </c>
      <c r="R130">
        <f>VLOOKUP(B130,[2]Sheet1!$A$7:$U$626,21,0)</f>
        <v>3</v>
      </c>
    </row>
    <row r="131" spans="1:18">
      <c r="A131">
        <v>3002</v>
      </c>
      <c r="B131" s="54">
        <v>112028</v>
      </c>
      <c r="C131" s="20">
        <v>2</v>
      </c>
      <c r="D131" s="48" t="s">
        <v>43</v>
      </c>
      <c r="E131" s="49">
        <v>1</v>
      </c>
      <c r="F131" s="48"/>
      <c r="G131" s="48"/>
      <c r="H131" s="53" t="s">
        <v>210</v>
      </c>
      <c r="I131" s="48"/>
      <c r="J131" s="48"/>
      <c r="K131" s="48"/>
      <c r="L131" s="49">
        <v>1680</v>
      </c>
      <c r="M131" s="48" t="s">
        <v>211</v>
      </c>
      <c r="N131" s="41" t="s">
        <v>61</v>
      </c>
      <c r="P131" s="51">
        <v>0.0075</v>
      </c>
      <c r="Q131" t="s">
        <v>209</v>
      </c>
      <c r="R131">
        <f>VLOOKUP(B131,[2]Sheet1!$A$7:$U$626,21,0)</f>
        <v>3</v>
      </c>
    </row>
    <row r="132" spans="1:18">
      <c r="A132">
        <v>3003</v>
      </c>
      <c r="B132" s="54">
        <v>112028</v>
      </c>
      <c r="C132" s="20">
        <v>3</v>
      </c>
      <c r="D132" s="48" t="s">
        <v>212</v>
      </c>
      <c r="E132" s="49">
        <v>1</v>
      </c>
      <c r="F132" s="48"/>
      <c r="G132" s="48"/>
      <c r="H132" s="53" t="s">
        <v>213</v>
      </c>
      <c r="I132" s="48"/>
      <c r="J132" s="48"/>
      <c r="K132" s="48"/>
      <c r="L132" s="49">
        <v>4150</v>
      </c>
      <c r="M132" s="48" t="s">
        <v>214</v>
      </c>
      <c r="N132" s="41" t="s">
        <v>42</v>
      </c>
      <c r="P132" s="51">
        <v>0.01</v>
      </c>
      <c r="Q132" t="s">
        <v>209</v>
      </c>
      <c r="R132">
        <f>VLOOKUP(B132,[2]Sheet1!$A$7:$U$626,21,0)</f>
        <v>3</v>
      </c>
    </row>
    <row r="133" spans="1:18">
      <c r="A133">
        <v>3004</v>
      </c>
      <c r="B133" s="54">
        <v>113001</v>
      </c>
      <c r="C133" s="39">
        <v>1</v>
      </c>
      <c r="D133" s="50" t="s">
        <v>40</v>
      </c>
      <c r="E133" s="51">
        <v>1</v>
      </c>
      <c r="F133" s="50"/>
      <c r="G133" s="50"/>
      <c r="H133" s="52" t="s">
        <v>215</v>
      </c>
      <c r="I133" s="50"/>
      <c r="J133" s="50"/>
      <c r="K133" s="50"/>
      <c r="L133" s="51">
        <v>1250</v>
      </c>
      <c r="M133" s="50" t="s">
        <v>216</v>
      </c>
      <c r="N133" s="41" t="s">
        <v>81</v>
      </c>
      <c r="P133" s="51">
        <v>0.005</v>
      </c>
      <c r="Q133" t="s">
        <v>217</v>
      </c>
      <c r="R133">
        <f>VLOOKUP(B133,[2]Sheet1!$A$7:$U$626,21,0)</f>
        <v>3</v>
      </c>
    </row>
    <row r="134" spans="1:18">
      <c r="A134">
        <v>3005</v>
      </c>
      <c r="B134" s="54">
        <v>113001</v>
      </c>
      <c r="C134" s="39">
        <v>2</v>
      </c>
      <c r="D134" s="50" t="s">
        <v>43</v>
      </c>
      <c r="E134" s="51">
        <v>1</v>
      </c>
      <c r="F134" s="50"/>
      <c r="G134" s="50"/>
      <c r="H134" s="52"/>
      <c r="I134" s="50"/>
      <c r="J134" s="50" t="s">
        <v>218</v>
      </c>
      <c r="K134" s="50"/>
      <c r="L134" s="51">
        <v>2000</v>
      </c>
      <c r="M134" s="50" t="s">
        <v>219</v>
      </c>
      <c r="N134" s="41" t="s">
        <v>61</v>
      </c>
      <c r="P134" s="51">
        <v>0.0075</v>
      </c>
      <c r="Q134" t="s">
        <v>217</v>
      </c>
      <c r="R134">
        <f>VLOOKUP(B134,[2]Sheet1!$A$7:$U$626,21,0)</f>
        <v>3</v>
      </c>
    </row>
    <row r="135" spans="1:18">
      <c r="A135">
        <v>3006</v>
      </c>
      <c r="B135" s="54">
        <v>113001</v>
      </c>
      <c r="C135" s="39">
        <v>3</v>
      </c>
      <c r="D135" s="50" t="s">
        <v>212</v>
      </c>
      <c r="E135" s="51">
        <v>1</v>
      </c>
      <c r="F135" s="50"/>
      <c r="G135" s="50"/>
      <c r="H135" s="52" t="s">
        <v>220</v>
      </c>
      <c r="I135" s="50"/>
      <c r="J135" s="50"/>
      <c r="K135" s="50"/>
      <c r="L135" s="51">
        <v>4000</v>
      </c>
      <c r="M135" s="50" t="s">
        <v>221</v>
      </c>
      <c r="N135" s="41" t="s">
        <v>53</v>
      </c>
      <c r="P135" s="51">
        <v>0.01</v>
      </c>
      <c r="Q135" t="s">
        <v>217</v>
      </c>
      <c r="R135">
        <f>VLOOKUP(B135,[2]Sheet1!$A$7:$U$626,21,0)</f>
        <v>3</v>
      </c>
    </row>
    <row r="136" spans="1:18">
      <c r="A136">
        <v>3007</v>
      </c>
      <c r="B136" s="54">
        <v>113002</v>
      </c>
      <c r="C136" s="20">
        <v>1</v>
      </c>
      <c r="D136" s="48" t="s">
        <v>40</v>
      </c>
      <c r="E136" s="49">
        <v>1</v>
      </c>
      <c r="F136" s="48"/>
      <c r="G136" s="48"/>
      <c r="H136" s="53" t="s">
        <v>222</v>
      </c>
      <c r="I136" s="48"/>
      <c r="J136" s="48"/>
      <c r="K136" s="48"/>
      <c r="L136" s="49">
        <v>1150</v>
      </c>
      <c r="M136" s="48" t="s">
        <v>223</v>
      </c>
      <c r="N136" s="41" t="s">
        <v>53</v>
      </c>
      <c r="P136" s="51">
        <v>0.005</v>
      </c>
      <c r="Q136" t="s">
        <v>224</v>
      </c>
      <c r="R136">
        <f>VLOOKUP(B136,[2]Sheet1!$A$7:$U$626,21,0)</f>
        <v>3</v>
      </c>
    </row>
    <row r="137" spans="1:18">
      <c r="A137">
        <v>3008</v>
      </c>
      <c r="B137" s="54">
        <v>113002</v>
      </c>
      <c r="C137" s="20">
        <v>2</v>
      </c>
      <c r="D137" s="48" t="s">
        <v>43</v>
      </c>
      <c r="E137" s="49">
        <v>1</v>
      </c>
      <c r="F137" s="48"/>
      <c r="G137" s="48"/>
      <c r="H137" s="53"/>
      <c r="I137" s="48"/>
      <c r="J137" s="48" t="s">
        <v>225</v>
      </c>
      <c r="K137" s="48"/>
      <c r="L137" s="49">
        <v>1950</v>
      </c>
      <c r="M137" s="48" t="s">
        <v>226</v>
      </c>
      <c r="N137" s="41" t="s">
        <v>61</v>
      </c>
      <c r="P137" s="51">
        <v>0.0075</v>
      </c>
      <c r="Q137" t="s">
        <v>224</v>
      </c>
      <c r="R137">
        <f>VLOOKUP(B137,[2]Sheet1!$A$7:$U$626,21,0)</f>
        <v>3</v>
      </c>
    </row>
    <row r="138" spans="1:18">
      <c r="A138">
        <v>3009</v>
      </c>
      <c r="B138" s="54">
        <v>113002</v>
      </c>
      <c r="C138" s="20">
        <v>3</v>
      </c>
      <c r="D138" s="48" t="s">
        <v>212</v>
      </c>
      <c r="E138" s="49">
        <v>1</v>
      </c>
      <c r="F138" s="48"/>
      <c r="G138" s="48"/>
      <c r="H138" s="53"/>
      <c r="I138" s="48"/>
      <c r="J138" s="48" t="s">
        <v>227</v>
      </c>
      <c r="K138" s="48"/>
      <c r="L138" s="49">
        <v>4050</v>
      </c>
      <c r="M138" s="48" t="s">
        <v>228</v>
      </c>
      <c r="N138" s="41" t="s">
        <v>90</v>
      </c>
      <c r="P138" s="51">
        <v>0.01</v>
      </c>
      <c r="Q138" t="s">
        <v>224</v>
      </c>
      <c r="R138">
        <f>VLOOKUP(B138,[2]Sheet1!$A$7:$U$626,21,0)</f>
        <v>3</v>
      </c>
    </row>
    <row r="139" spans="1:18">
      <c r="A139">
        <v>3010</v>
      </c>
      <c r="B139" s="54">
        <v>113003</v>
      </c>
      <c r="C139" s="39">
        <v>1</v>
      </c>
      <c r="D139" s="50" t="s">
        <v>40</v>
      </c>
      <c r="E139" s="51">
        <v>1</v>
      </c>
      <c r="F139" s="50"/>
      <c r="G139" s="50"/>
      <c r="H139" s="52" t="s">
        <v>229</v>
      </c>
      <c r="I139" s="50"/>
      <c r="J139" s="50"/>
      <c r="K139" s="50"/>
      <c r="L139" s="50" t="s">
        <v>230</v>
      </c>
      <c r="M139" s="50" t="s">
        <v>231</v>
      </c>
      <c r="N139" s="41" t="s">
        <v>42</v>
      </c>
      <c r="P139" s="51">
        <v>0.005</v>
      </c>
      <c r="Q139" t="s">
        <v>232</v>
      </c>
      <c r="R139">
        <f>VLOOKUP(B139,[2]Sheet1!$A$7:$U$626,21,0)</f>
        <v>3</v>
      </c>
    </row>
    <row r="140" spans="1:18">
      <c r="A140">
        <v>3011</v>
      </c>
      <c r="B140" s="54">
        <v>113003</v>
      </c>
      <c r="C140" s="39">
        <v>2</v>
      </c>
      <c r="D140" s="50" t="s">
        <v>43</v>
      </c>
      <c r="E140" s="51">
        <v>1</v>
      </c>
      <c r="F140" s="50"/>
      <c r="G140" s="50"/>
      <c r="H140" s="52" t="s">
        <v>233</v>
      </c>
      <c r="I140" s="50"/>
      <c r="J140" s="50"/>
      <c r="K140" s="50"/>
      <c r="L140" s="51">
        <v>1850</v>
      </c>
      <c r="M140" s="50" t="s">
        <v>234</v>
      </c>
      <c r="N140" s="41" t="s">
        <v>188</v>
      </c>
      <c r="P140" s="51">
        <v>0.0075</v>
      </c>
      <c r="Q140" t="s">
        <v>232</v>
      </c>
      <c r="R140">
        <f>VLOOKUP(B140,[2]Sheet1!$A$7:$U$626,21,0)</f>
        <v>3</v>
      </c>
    </row>
    <row r="141" spans="1:18">
      <c r="A141">
        <v>3012</v>
      </c>
      <c r="B141" s="54">
        <v>113003</v>
      </c>
      <c r="C141" s="39">
        <v>3</v>
      </c>
      <c r="D141" s="50" t="s">
        <v>212</v>
      </c>
      <c r="E141" s="51">
        <v>1</v>
      </c>
      <c r="F141" s="50"/>
      <c r="G141" s="50"/>
      <c r="H141" s="52" t="s">
        <v>235</v>
      </c>
      <c r="I141" s="50"/>
      <c r="J141" s="50"/>
      <c r="K141" s="50"/>
      <c r="L141" s="51">
        <v>4500</v>
      </c>
      <c r="M141" s="50" t="s">
        <v>236</v>
      </c>
      <c r="N141" s="41" t="s">
        <v>188</v>
      </c>
      <c r="P141" s="51">
        <v>0.01</v>
      </c>
      <c r="Q141" t="s">
        <v>232</v>
      </c>
      <c r="R141">
        <f>VLOOKUP(B141,[2]Sheet1!$A$7:$U$626,21,0)</f>
        <v>3</v>
      </c>
    </row>
    <row r="142" spans="1:18">
      <c r="A142">
        <v>3013</v>
      </c>
      <c r="B142" s="54">
        <v>113004</v>
      </c>
      <c r="C142" s="20">
        <v>1</v>
      </c>
      <c r="D142" s="48" t="s">
        <v>40</v>
      </c>
      <c r="E142" s="49">
        <v>1</v>
      </c>
      <c r="F142" s="48"/>
      <c r="G142" s="48"/>
      <c r="H142" s="53" t="s">
        <v>237</v>
      </c>
      <c r="I142" s="48"/>
      <c r="J142" s="48"/>
      <c r="K142" s="48"/>
      <c r="L142" s="49">
        <v>1100</v>
      </c>
      <c r="M142" s="48" t="s">
        <v>238</v>
      </c>
      <c r="N142" s="41" t="s">
        <v>45</v>
      </c>
      <c r="P142" s="51">
        <v>0.0075</v>
      </c>
      <c r="Q142" t="s">
        <v>239</v>
      </c>
      <c r="R142">
        <f>VLOOKUP(B142,[2]Sheet1!$A$7:$U$626,21,0)</f>
        <v>3</v>
      </c>
    </row>
    <row r="143" spans="1:18">
      <c r="A143">
        <v>3014</v>
      </c>
      <c r="B143" s="54">
        <v>113004</v>
      </c>
      <c r="C143" s="20">
        <v>2</v>
      </c>
      <c r="D143" s="48" t="s">
        <v>43</v>
      </c>
      <c r="E143" s="49">
        <v>1</v>
      </c>
      <c r="F143" s="48"/>
      <c r="G143" s="48"/>
      <c r="H143" s="53" t="s">
        <v>240</v>
      </c>
      <c r="I143" s="48"/>
      <c r="J143" s="48"/>
      <c r="K143" s="48"/>
      <c r="L143" s="49">
        <v>2050</v>
      </c>
      <c r="M143" s="48" t="s">
        <v>241</v>
      </c>
      <c r="N143" s="41" t="s">
        <v>42</v>
      </c>
      <c r="P143" s="51">
        <v>0.00875</v>
      </c>
      <c r="Q143" t="s">
        <v>239</v>
      </c>
      <c r="R143">
        <f>VLOOKUP(B143,[2]Sheet1!$A$7:$U$626,21,0)</f>
        <v>3</v>
      </c>
    </row>
    <row r="144" spans="1:18">
      <c r="A144">
        <v>3015</v>
      </c>
      <c r="B144" s="54">
        <v>113004</v>
      </c>
      <c r="C144" s="20">
        <v>3</v>
      </c>
      <c r="D144" s="48" t="s">
        <v>212</v>
      </c>
      <c r="E144" s="49">
        <v>1</v>
      </c>
      <c r="F144" s="48"/>
      <c r="G144" s="48"/>
      <c r="H144" s="53" t="s">
        <v>242</v>
      </c>
      <c r="I144" s="48"/>
      <c r="J144" s="48"/>
      <c r="K144" s="48"/>
      <c r="L144" s="49">
        <v>4400</v>
      </c>
      <c r="M144" s="48" t="s">
        <v>243</v>
      </c>
      <c r="N144" s="41" t="s">
        <v>131</v>
      </c>
      <c r="P144" s="51">
        <v>0.0125</v>
      </c>
      <c r="Q144" t="s">
        <v>239</v>
      </c>
      <c r="R144">
        <f>VLOOKUP(B144,[2]Sheet1!$A$7:$U$626,21,0)</f>
        <v>3</v>
      </c>
    </row>
    <row r="145" spans="1:18">
      <c r="A145">
        <v>3016</v>
      </c>
      <c r="B145" s="54">
        <v>113005</v>
      </c>
      <c r="C145" s="39">
        <v>1</v>
      </c>
      <c r="D145" s="50" t="s">
        <v>40</v>
      </c>
      <c r="E145" s="51">
        <v>1</v>
      </c>
      <c r="F145" s="50"/>
      <c r="G145" s="50"/>
      <c r="H145" s="52" t="s">
        <v>244</v>
      </c>
      <c r="I145" s="50"/>
      <c r="J145" s="50"/>
      <c r="K145" s="50"/>
      <c r="L145" s="51">
        <v>1230</v>
      </c>
      <c r="M145" s="50" t="s">
        <v>245</v>
      </c>
      <c r="N145" s="41" t="s">
        <v>61</v>
      </c>
      <c r="P145" s="51">
        <v>0.0075</v>
      </c>
      <c r="Q145" t="s">
        <v>246</v>
      </c>
      <c r="R145">
        <f>VLOOKUP(B145,[2]Sheet1!$A$7:$U$626,21,0)</f>
        <v>3</v>
      </c>
    </row>
    <row r="146" spans="1:18">
      <c r="A146">
        <v>3017</v>
      </c>
      <c r="B146" s="54">
        <v>113005</v>
      </c>
      <c r="C146" s="39">
        <v>2</v>
      </c>
      <c r="D146" s="50" t="s">
        <v>43</v>
      </c>
      <c r="E146" s="51">
        <v>1</v>
      </c>
      <c r="F146" s="50"/>
      <c r="G146" s="50"/>
      <c r="H146" s="52" t="s">
        <v>247</v>
      </c>
      <c r="I146" s="50"/>
      <c r="J146" s="50"/>
      <c r="K146" s="50"/>
      <c r="L146" s="51">
        <v>2100</v>
      </c>
      <c r="M146" s="50" t="s">
        <v>248</v>
      </c>
      <c r="N146" s="41" t="s">
        <v>49</v>
      </c>
      <c r="P146" s="51">
        <v>0.00875</v>
      </c>
      <c r="Q146" t="s">
        <v>246</v>
      </c>
      <c r="R146">
        <f>VLOOKUP(B146,[2]Sheet1!$A$7:$U$626,21,0)</f>
        <v>3</v>
      </c>
    </row>
    <row r="147" spans="1:18">
      <c r="A147">
        <v>3018</v>
      </c>
      <c r="B147" s="54">
        <v>113005</v>
      </c>
      <c r="C147" s="39">
        <v>3</v>
      </c>
      <c r="D147" s="50" t="s">
        <v>212</v>
      </c>
      <c r="E147" s="51">
        <v>1</v>
      </c>
      <c r="F147" s="50"/>
      <c r="G147" s="50"/>
      <c r="H147" s="52" t="s">
        <v>249</v>
      </c>
      <c r="I147" s="50"/>
      <c r="J147" s="50"/>
      <c r="K147" s="50"/>
      <c r="L147" s="51">
        <v>4500</v>
      </c>
      <c r="M147" s="50" t="s">
        <v>250</v>
      </c>
      <c r="N147" s="41" t="s">
        <v>53</v>
      </c>
      <c r="P147" s="51">
        <v>0.0125</v>
      </c>
      <c r="Q147" t="s">
        <v>246</v>
      </c>
      <c r="R147">
        <f>VLOOKUP(B147,[2]Sheet1!$A$7:$U$626,21,0)</f>
        <v>3</v>
      </c>
    </row>
    <row r="148" spans="1:18">
      <c r="A148">
        <v>3019</v>
      </c>
      <c r="B148" s="54">
        <v>113006</v>
      </c>
      <c r="C148" s="20">
        <v>1</v>
      </c>
      <c r="D148" s="48" t="s">
        <v>40</v>
      </c>
      <c r="E148" s="49">
        <v>1</v>
      </c>
      <c r="F148" s="48"/>
      <c r="G148" s="48"/>
      <c r="H148" s="53" t="s">
        <v>179</v>
      </c>
      <c r="I148" s="48"/>
      <c r="J148" s="48"/>
      <c r="K148" s="48"/>
      <c r="L148" s="49">
        <v>900</v>
      </c>
      <c r="M148" s="48" t="s">
        <v>251</v>
      </c>
      <c r="N148" s="41" t="s">
        <v>45</v>
      </c>
      <c r="P148" s="51">
        <v>0.0075</v>
      </c>
      <c r="Q148" t="s">
        <v>252</v>
      </c>
      <c r="R148">
        <f>VLOOKUP(B148,[2]Sheet1!$A$7:$U$626,21,0)</f>
        <v>3</v>
      </c>
    </row>
    <row r="149" spans="1:18">
      <c r="A149">
        <v>3020</v>
      </c>
      <c r="B149" s="54">
        <v>113006</v>
      </c>
      <c r="C149" s="20">
        <v>2</v>
      </c>
      <c r="D149" s="48" t="s">
        <v>43</v>
      </c>
      <c r="E149" s="49">
        <v>1</v>
      </c>
      <c r="F149" s="48"/>
      <c r="G149" s="48"/>
      <c r="H149" s="53" t="s">
        <v>253</v>
      </c>
      <c r="I149" s="48"/>
      <c r="J149" s="48"/>
      <c r="K149" s="48"/>
      <c r="L149" s="49">
        <v>1800</v>
      </c>
      <c r="M149" s="48" t="s">
        <v>254</v>
      </c>
      <c r="N149" s="41" t="s">
        <v>45</v>
      </c>
      <c r="P149" s="51">
        <v>0.00875</v>
      </c>
      <c r="Q149" t="s">
        <v>252</v>
      </c>
      <c r="R149">
        <f>VLOOKUP(B149,[2]Sheet1!$A$7:$U$626,21,0)</f>
        <v>3</v>
      </c>
    </row>
    <row r="150" spans="1:18">
      <c r="A150">
        <v>3021</v>
      </c>
      <c r="B150" s="54">
        <v>113006</v>
      </c>
      <c r="C150" s="20">
        <v>3</v>
      </c>
      <c r="D150" s="48" t="s">
        <v>212</v>
      </c>
      <c r="E150" s="49">
        <v>1</v>
      </c>
      <c r="F150" s="48"/>
      <c r="G150" s="48"/>
      <c r="H150" s="53" t="s">
        <v>255</v>
      </c>
      <c r="I150" s="48"/>
      <c r="J150" s="48"/>
      <c r="K150" s="48"/>
      <c r="L150" s="49">
        <v>4100</v>
      </c>
      <c r="M150" s="48" t="s">
        <v>256</v>
      </c>
      <c r="N150" s="41" t="s">
        <v>42</v>
      </c>
      <c r="P150" s="51">
        <v>0.0125</v>
      </c>
      <c r="Q150" t="s">
        <v>252</v>
      </c>
      <c r="R150">
        <f>VLOOKUP(B150,[2]Sheet1!$A$7:$U$626,21,0)</f>
        <v>3</v>
      </c>
    </row>
    <row r="151" spans="1:18">
      <c r="A151">
        <v>3022</v>
      </c>
      <c r="B151" s="54">
        <v>113007</v>
      </c>
      <c r="C151" s="39">
        <v>1</v>
      </c>
      <c r="D151" s="50" t="s">
        <v>40</v>
      </c>
      <c r="E151" s="51">
        <v>1</v>
      </c>
      <c r="F151" s="50"/>
      <c r="G151" s="50"/>
      <c r="H151" s="52" t="s">
        <v>257</v>
      </c>
      <c r="I151" s="50"/>
      <c r="J151" s="50"/>
      <c r="K151" s="50"/>
      <c r="L151" s="51">
        <v>950</v>
      </c>
      <c r="M151" s="50" t="s">
        <v>258</v>
      </c>
      <c r="N151" s="41" t="s">
        <v>53</v>
      </c>
      <c r="P151" s="51">
        <v>0.0075</v>
      </c>
      <c r="Q151" t="s">
        <v>259</v>
      </c>
      <c r="R151">
        <f>VLOOKUP(B151,[2]Sheet1!$A$7:$U$626,21,0)</f>
        <v>3</v>
      </c>
    </row>
    <row r="152" spans="1:18">
      <c r="A152">
        <v>3023</v>
      </c>
      <c r="B152" s="54">
        <v>113007</v>
      </c>
      <c r="C152" s="39">
        <v>2</v>
      </c>
      <c r="D152" s="50" t="s">
        <v>43</v>
      </c>
      <c r="E152" s="51">
        <v>1</v>
      </c>
      <c r="G152" s="50"/>
      <c r="H152" s="52"/>
      <c r="I152" s="50"/>
      <c r="J152" s="50" t="s">
        <v>260</v>
      </c>
      <c r="K152" s="50"/>
      <c r="L152" s="51">
        <v>1880</v>
      </c>
      <c r="M152" s="50" t="s">
        <v>261</v>
      </c>
      <c r="N152" s="41" t="s">
        <v>61</v>
      </c>
      <c r="P152" s="51">
        <v>0.00875</v>
      </c>
      <c r="Q152" t="s">
        <v>259</v>
      </c>
      <c r="R152">
        <f>VLOOKUP(B152,[2]Sheet1!$A$7:$U$626,21,0)</f>
        <v>3</v>
      </c>
    </row>
    <row r="153" spans="1:18">
      <c r="A153">
        <v>3024</v>
      </c>
      <c r="B153" s="54">
        <v>113007</v>
      </c>
      <c r="C153" s="39">
        <v>3</v>
      </c>
      <c r="D153" s="50" t="s">
        <v>212</v>
      </c>
      <c r="E153" s="51">
        <v>1</v>
      </c>
      <c r="F153" s="50"/>
      <c r="G153" s="50"/>
      <c r="H153" s="52" t="s">
        <v>262</v>
      </c>
      <c r="I153" s="50"/>
      <c r="J153" s="50"/>
      <c r="K153" s="50"/>
      <c r="L153" s="49">
        <v>4300</v>
      </c>
      <c r="M153" s="50" t="s">
        <v>263</v>
      </c>
      <c r="N153" s="41" t="s">
        <v>53</v>
      </c>
      <c r="P153" s="51">
        <v>0.0125</v>
      </c>
      <c r="Q153" t="s">
        <v>259</v>
      </c>
      <c r="R153">
        <f>VLOOKUP(B153,[2]Sheet1!$A$7:$U$626,21,0)</f>
        <v>3</v>
      </c>
    </row>
    <row r="154" spans="1:18">
      <c r="A154">
        <v>3025</v>
      </c>
      <c r="B154" s="54">
        <v>113008</v>
      </c>
      <c r="C154" s="20">
        <v>1</v>
      </c>
      <c r="D154" s="48" t="s">
        <v>40</v>
      </c>
      <c r="E154" s="49">
        <v>1</v>
      </c>
      <c r="F154" s="48"/>
      <c r="G154" s="48"/>
      <c r="H154" s="53" t="s">
        <v>264</v>
      </c>
      <c r="I154" s="48"/>
      <c r="J154" s="48"/>
      <c r="K154" s="48"/>
      <c r="L154" s="49">
        <v>1080</v>
      </c>
      <c r="M154" s="48" t="s">
        <v>265</v>
      </c>
      <c r="N154" s="41" t="s">
        <v>61</v>
      </c>
      <c r="P154" s="51">
        <v>0.0075</v>
      </c>
      <c r="Q154" t="s">
        <v>266</v>
      </c>
      <c r="R154">
        <f>VLOOKUP(B154,[2]Sheet1!$A$7:$U$626,21,0)</f>
        <v>3</v>
      </c>
    </row>
    <row r="155" spans="1:18">
      <c r="A155">
        <v>3026</v>
      </c>
      <c r="B155" s="54">
        <v>113008</v>
      </c>
      <c r="C155" s="20">
        <v>2</v>
      </c>
      <c r="D155" s="48" t="s">
        <v>43</v>
      </c>
      <c r="E155" s="49">
        <v>1</v>
      </c>
      <c r="F155" s="48"/>
      <c r="G155" s="48"/>
      <c r="H155" s="53" t="s">
        <v>267</v>
      </c>
      <c r="I155" s="48"/>
      <c r="J155" s="48"/>
      <c r="K155" s="48"/>
      <c r="L155" s="49">
        <v>1600</v>
      </c>
      <c r="M155" s="48" t="s">
        <v>268</v>
      </c>
      <c r="N155" s="41" t="s">
        <v>61</v>
      </c>
      <c r="P155" s="51">
        <v>0.00875</v>
      </c>
      <c r="Q155" t="s">
        <v>266</v>
      </c>
      <c r="R155">
        <f>VLOOKUP(B155,[2]Sheet1!$A$7:$U$626,21,0)</f>
        <v>3</v>
      </c>
    </row>
    <row r="156" spans="1:18">
      <c r="A156">
        <v>3027</v>
      </c>
      <c r="B156" s="54">
        <v>113008</v>
      </c>
      <c r="C156" s="20">
        <v>3</v>
      </c>
      <c r="D156" s="48" t="s">
        <v>212</v>
      </c>
      <c r="E156" s="49">
        <v>1</v>
      </c>
      <c r="F156" s="48"/>
      <c r="G156" s="48"/>
      <c r="H156" s="53"/>
      <c r="I156" s="48"/>
      <c r="J156" s="48" t="s">
        <v>269</v>
      </c>
      <c r="K156" s="48"/>
      <c r="L156" s="49">
        <v>4200</v>
      </c>
      <c r="M156" s="48" t="s">
        <v>270</v>
      </c>
      <c r="N156" s="41" t="s">
        <v>61</v>
      </c>
      <c r="P156" s="51">
        <v>0.0125</v>
      </c>
      <c r="Q156" t="s">
        <v>266</v>
      </c>
      <c r="R156">
        <f>VLOOKUP(B156,[2]Sheet1!$A$7:$U$626,21,0)</f>
        <v>3</v>
      </c>
    </row>
    <row r="157" spans="1:18">
      <c r="A157">
        <v>3028</v>
      </c>
      <c r="B157" s="54">
        <v>113009</v>
      </c>
      <c r="C157" s="39">
        <v>1</v>
      </c>
      <c r="D157" s="50" t="s">
        <v>40</v>
      </c>
      <c r="E157" s="51">
        <v>1</v>
      </c>
      <c r="F157" s="50"/>
      <c r="G157" s="50"/>
      <c r="H157" s="52"/>
      <c r="I157" s="50"/>
      <c r="J157" s="50" t="s">
        <v>271</v>
      </c>
      <c r="K157" s="50"/>
      <c r="L157" s="51">
        <v>1180</v>
      </c>
      <c r="M157" s="50" t="s">
        <v>272</v>
      </c>
      <c r="N157" s="41" t="s">
        <v>45</v>
      </c>
      <c r="P157" s="51">
        <v>0.0075</v>
      </c>
      <c r="Q157" t="s">
        <v>273</v>
      </c>
      <c r="R157">
        <f>VLOOKUP(B157,[2]Sheet1!$A$7:$U$626,21,0)</f>
        <v>3</v>
      </c>
    </row>
    <row r="158" spans="1:18">
      <c r="A158">
        <v>3029</v>
      </c>
      <c r="B158" s="54">
        <v>113009</v>
      </c>
      <c r="C158" s="39">
        <v>2</v>
      </c>
      <c r="D158" s="50" t="s">
        <v>43</v>
      </c>
      <c r="E158" s="51">
        <v>1</v>
      </c>
      <c r="F158" s="50"/>
      <c r="G158" s="50"/>
      <c r="H158" s="52" t="s">
        <v>274</v>
      </c>
      <c r="I158" s="50"/>
      <c r="J158" s="50"/>
      <c r="K158" s="50"/>
      <c r="L158" s="51">
        <v>1900</v>
      </c>
      <c r="M158" s="50" t="s">
        <v>275</v>
      </c>
      <c r="N158" s="41" t="s">
        <v>42</v>
      </c>
      <c r="P158" s="51">
        <v>0.00875</v>
      </c>
      <c r="Q158" t="s">
        <v>273</v>
      </c>
      <c r="R158">
        <f>VLOOKUP(B158,[2]Sheet1!$A$7:$U$626,21,0)</f>
        <v>3</v>
      </c>
    </row>
    <row r="159" spans="1:18">
      <c r="A159">
        <v>3030</v>
      </c>
      <c r="B159" s="54">
        <v>113009</v>
      </c>
      <c r="C159" s="39">
        <v>3</v>
      </c>
      <c r="D159" s="50" t="s">
        <v>212</v>
      </c>
      <c r="E159" s="51">
        <v>1</v>
      </c>
      <c r="F159" s="50"/>
      <c r="G159" s="50"/>
      <c r="H159" s="52" t="s">
        <v>276</v>
      </c>
      <c r="I159" s="50"/>
      <c r="J159" s="50"/>
      <c r="K159" s="50"/>
      <c r="L159" s="51">
        <v>3600</v>
      </c>
      <c r="M159" s="50" t="s">
        <v>277</v>
      </c>
      <c r="N159" s="41" t="s">
        <v>67</v>
      </c>
      <c r="P159" s="51">
        <v>0.0125</v>
      </c>
      <c r="Q159" t="s">
        <v>273</v>
      </c>
      <c r="R159">
        <f>VLOOKUP(B159,[2]Sheet1!$A$7:$U$626,21,0)</f>
        <v>3</v>
      </c>
    </row>
    <row r="160" spans="1:18">
      <c r="A160">
        <v>3031</v>
      </c>
      <c r="B160" s="54">
        <v>113010</v>
      </c>
      <c r="C160" s="20">
        <v>1</v>
      </c>
      <c r="D160" s="48" t="s">
        <v>40</v>
      </c>
      <c r="E160" s="49">
        <v>1</v>
      </c>
      <c r="F160" s="48"/>
      <c r="G160" s="48"/>
      <c r="H160" s="53" t="s">
        <v>278</v>
      </c>
      <c r="I160" s="48"/>
      <c r="J160" s="48"/>
      <c r="K160" s="48"/>
      <c r="L160" s="49">
        <v>1280</v>
      </c>
      <c r="M160" s="48" t="s">
        <v>279</v>
      </c>
      <c r="N160" s="41" t="s">
        <v>49</v>
      </c>
      <c r="P160" s="51">
        <v>0.0075</v>
      </c>
      <c r="Q160" t="s">
        <v>280</v>
      </c>
      <c r="R160">
        <f>VLOOKUP(B160,[2]Sheet1!$A$7:$U$626,21,0)</f>
        <v>3</v>
      </c>
    </row>
    <row r="161" spans="1:18">
      <c r="A161">
        <v>3032</v>
      </c>
      <c r="B161" s="54">
        <v>113010</v>
      </c>
      <c r="C161" s="20">
        <v>2</v>
      </c>
      <c r="D161" s="48" t="s">
        <v>43</v>
      </c>
      <c r="E161" s="49">
        <v>1</v>
      </c>
      <c r="F161" s="48"/>
      <c r="G161" s="48"/>
      <c r="H161" s="53" t="s">
        <v>281</v>
      </c>
      <c r="I161" s="48"/>
      <c r="J161" s="48"/>
      <c r="K161" s="48"/>
      <c r="L161" s="49">
        <v>2200</v>
      </c>
      <c r="M161" s="48" t="s">
        <v>282</v>
      </c>
      <c r="N161" s="41" t="s">
        <v>49</v>
      </c>
      <c r="P161" s="51">
        <v>0.00875</v>
      </c>
      <c r="Q161" t="s">
        <v>280</v>
      </c>
      <c r="R161">
        <f>VLOOKUP(B161,[2]Sheet1!$A$7:$U$626,21,0)</f>
        <v>3</v>
      </c>
    </row>
    <row r="162" spans="1:18">
      <c r="A162">
        <v>3033</v>
      </c>
      <c r="B162" s="54">
        <v>113010</v>
      </c>
      <c r="C162" s="20">
        <v>3</v>
      </c>
      <c r="D162" s="48" t="s">
        <v>212</v>
      </c>
      <c r="E162" s="49">
        <v>1</v>
      </c>
      <c r="F162" s="48"/>
      <c r="G162" s="48"/>
      <c r="H162" s="53" t="s">
        <v>283</v>
      </c>
      <c r="I162" s="48"/>
      <c r="J162" s="48"/>
      <c r="K162" s="48"/>
      <c r="L162" s="49">
        <v>4250</v>
      </c>
      <c r="M162" s="48" t="s">
        <v>284</v>
      </c>
      <c r="N162" s="41" t="s">
        <v>49</v>
      </c>
      <c r="P162" s="51">
        <v>0.0125</v>
      </c>
      <c r="Q162" t="s">
        <v>280</v>
      </c>
      <c r="R162">
        <f>VLOOKUP(B162,[2]Sheet1!$A$7:$U$626,21,0)</f>
        <v>3</v>
      </c>
    </row>
    <row r="163" spans="1:18">
      <c r="A163">
        <v>3034</v>
      </c>
      <c r="B163" s="54">
        <v>113011</v>
      </c>
      <c r="C163" s="39">
        <v>1</v>
      </c>
      <c r="D163" s="50" t="s">
        <v>40</v>
      </c>
      <c r="E163" s="51">
        <v>1</v>
      </c>
      <c r="F163" s="50"/>
      <c r="G163" s="50"/>
      <c r="H163" s="52"/>
      <c r="I163" s="50"/>
      <c r="J163" s="50" t="s">
        <v>285</v>
      </c>
      <c r="K163" s="50"/>
      <c r="L163" s="51">
        <v>1200</v>
      </c>
      <c r="M163" s="50" t="s">
        <v>286</v>
      </c>
      <c r="N163" s="41" t="s">
        <v>45</v>
      </c>
      <c r="P163" s="51">
        <v>0.0075</v>
      </c>
      <c r="Q163" t="s">
        <v>287</v>
      </c>
      <c r="R163">
        <f>VLOOKUP(B163,[2]Sheet1!$A$7:$U$626,21,0)</f>
        <v>3</v>
      </c>
    </row>
    <row r="164" spans="1:18">
      <c r="A164">
        <v>3035</v>
      </c>
      <c r="B164" s="54">
        <v>113011</v>
      </c>
      <c r="C164" s="39">
        <v>2</v>
      </c>
      <c r="D164" s="50" t="s">
        <v>43</v>
      </c>
      <c r="E164" s="51">
        <v>1</v>
      </c>
      <c r="F164" s="50"/>
      <c r="G164" s="50"/>
      <c r="H164" s="52" t="s">
        <v>288</v>
      </c>
      <c r="I164" s="50"/>
      <c r="J164" s="50"/>
      <c r="K164" s="50"/>
      <c r="L164" s="51">
        <v>1750</v>
      </c>
      <c r="M164" s="50" t="s">
        <v>289</v>
      </c>
      <c r="N164" s="41" t="s">
        <v>49</v>
      </c>
      <c r="P164" s="51">
        <v>0.00875</v>
      </c>
      <c r="Q164" t="s">
        <v>287</v>
      </c>
      <c r="R164">
        <f>VLOOKUP(B164,[2]Sheet1!$A$7:$U$626,21,0)</f>
        <v>3</v>
      </c>
    </row>
    <row r="165" spans="1:18">
      <c r="A165">
        <v>3036</v>
      </c>
      <c r="B165" s="54">
        <v>113011</v>
      </c>
      <c r="C165" s="39">
        <v>3</v>
      </c>
      <c r="D165" s="50" t="s">
        <v>212</v>
      </c>
      <c r="E165" s="51">
        <v>1</v>
      </c>
      <c r="F165" s="50"/>
      <c r="G165" s="50"/>
      <c r="H165" s="52" t="s">
        <v>290</v>
      </c>
      <c r="I165" s="50"/>
      <c r="J165" s="50"/>
      <c r="K165" s="50"/>
      <c r="L165" s="51">
        <v>300</v>
      </c>
      <c r="M165" s="50" t="s">
        <v>291</v>
      </c>
      <c r="N165" s="41" t="s">
        <v>90</v>
      </c>
      <c r="P165" s="51">
        <v>0.0125</v>
      </c>
      <c r="Q165" t="s">
        <v>287</v>
      </c>
      <c r="R165">
        <f>VLOOKUP(B165,[2]Sheet1!$A$7:$U$626,21,0)</f>
        <v>3</v>
      </c>
    </row>
    <row r="166" spans="1:18">
      <c r="A166">
        <v>3037</v>
      </c>
      <c r="B166" s="54">
        <v>113012</v>
      </c>
      <c r="C166" s="20">
        <v>1</v>
      </c>
      <c r="D166" s="48" t="s">
        <v>40</v>
      </c>
      <c r="E166" s="49">
        <v>1</v>
      </c>
      <c r="F166" s="48"/>
      <c r="G166" s="48"/>
      <c r="H166" s="53" t="s">
        <v>292</v>
      </c>
      <c r="I166" s="48"/>
      <c r="J166" s="48"/>
      <c r="K166" s="48"/>
      <c r="L166" s="49">
        <v>1000</v>
      </c>
      <c r="M166" s="48" t="s">
        <v>293</v>
      </c>
      <c r="N166" s="41" t="s">
        <v>67</v>
      </c>
      <c r="P166" s="51">
        <v>0.0075</v>
      </c>
      <c r="Q166" t="s">
        <v>294</v>
      </c>
      <c r="R166">
        <f>VLOOKUP(B166,[2]Sheet1!$A$7:$U$626,21,0)</f>
        <v>3</v>
      </c>
    </row>
    <row r="167" spans="1:18">
      <c r="A167">
        <v>3038</v>
      </c>
      <c r="B167" s="54">
        <v>113012</v>
      </c>
      <c r="C167" s="20">
        <v>2</v>
      </c>
      <c r="D167" s="48" t="s">
        <v>43</v>
      </c>
      <c r="E167" s="49">
        <v>1</v>
      </c>
      <c r="F167" s="48"/>
      <c r="G167" s="48"/>
      <c r="H167" s="53" t="s">
        <v>295</v>
      </c>
      <c r="I167" s="48"/>
      <c r="J167" s="48"/>
      <c r="K167" s="48"/>
      <c r="L167" s="49">
        <v>2000</v>
      </c>
      <c r="M167" s="48" t="s">
        <v>296</v>
      </c>
      <c r="N167" s="41" t="s">
        <v>65</v>
      </c>
      <c r="P167" s="51">
        <v>0.00875</v>
      </c>
      <c r="Q167" t="s">
        <v>294</v>
      </c>
      <c r="R167">
        <f>VLOOKUP(B167,[2]Sheet1!$A$7:$U$626,21,0)</f>
        <v>3</v>
      </c>
    </row>
    <row r="168" spans="1:18">
      <c r="A168">
        <v>3039</v>
      </c>
      <c r="B168" s="54">
        <v>113012</v>
      </c>
      <c r="C168" s="20">
        <v>3</v>
      </c>
      <c r="D168" s="48" t="s">
        <v>212</v>
      </c>
      <c r="E168" s="49">
        <v>1</v>
      </c>
      <c r="F168" s="48"/>
      <c r="G168" s="48"/>
      <c r="H168" s="53" t="s">
        <v>297</v>
      </c>
      <c r="I168" s="48"/>
      <c r="J168" s="48"/>
      <c r="K168" s="48"/>
      <c r="L168" s="49">
        <v>3900</v>
      </c>
      <c r="M168" s="48" t="s">
        <v>298</v>
      </c>
      <c r="N168" s="41" t="s">
        <v>65</v>
      </c>
      <c r="P168" s="51">
        <v>0.0125</v>
      </c>
      <c r="Q168" t="s">
        <v>294</v>
      </c>
      <c r="R168">
        <f>VLOOKUP(B168,[2]Sheet1!$A$7:$U$626,21,0)</f>
        <v>3</v>
      </c>
    </row>
    <row r="169" spans="1:18">
      <c r="A169">
        <v>3040</v>
      </c>
      <c r="B169" s="54">
        <v>113013</v>
      </c>
      <c r="C169" s="39">
        <v>1</v>
      </c>
      <c r="D169" s="50" t="s">
        <v>40</v>
      </c>
      <c r="E169" s="51">
        <v>1</v>
      </c>
      <c r="F169" s="50"/>
      <c r="G169" s="50"/>
      <c r="H169" s="52" t="s">
        <v>299</v>
      </c>
      <c r="I169" s="50"/>
      <c r="J169" s="50"/>
      <c r="K169" s="50"/>
      <c r="L169" s="51">
        <v>1320</v>
      </c>
      <c r="M169" s="50" t="s">
        <v>300</v>
      </c>
      <c r="N169" s="41" t="s">
        <v>59</v>
      </c>
      <c r="P169" s="51">
        <v>0.0075</v>
      </c>
      <c r="Q169" t="s">
        <v>301</v>
      </c>
      <c r="R169">
        <f>VLOOKUP(B169,[2]Sheet1!$A$7:$U$626,21,0)</f>
        <v>3</v>
      </c>
    </row>
    <row r="170" spans="1:18">
      <c r="A170">
        <v>3041</v>
      </c>
      <c r="B170" s="54">
        <v>113013</v>
      </c>
      <c r="C170" s="39">
        <v>2</v>
      </c>
      <c r="D170" s="50" t="s">
        <v>43</v>
      </c>
      <c r="E170" s="51">
        <v>1</v>
      </c>
      <c r="F170" s="50"/>
      <c r="G170" s="50"/>
      <c r="H170" s="52" t="s">
        <v>302</v>
      </c>
      <c r="I170" s="50"/>
      <c r="J170" s="50"/>
      <c r="K170" s="50"/>
      <c r="L170" s="51">
        <v>1950</v>
      </c>
      <c r="M170" s="50" t="s">
        <v>303</v>
      </c>
      <c r="N170" s="41" t="s">
        <v>81</v>
      </c>
      <c r="P170" s="51">
        <v>0.00875</v>
      </c>
      <c r="Q170" t="s">
        <v>301</v>
      </c>
      <c r="R170">
        <f>VLOOKUP(B170,[2]Sheet1!$A$7:$U$626,21,0)</f>
        <v>3</v>
      </c>
    </row>
    <row r="171" spans="1:18">
      <c r="A171">
        <v>3042</v>
      </c>
      <c r="B171" s="54">
        <v>113013</v>
      </c>
      <c r="C171" s="39">
        <v>3</v>
      </c>
      <c r="D171" s="50" t="s">
        <v>212</v>
      </c>
      <c r="E171" s="51">
        <v>1</v>
      </c>
      <c r="F171" s="50"/>
      <c r="G171" s="50"/>
      <c r="H171" s="52" t="s">
        <v>304</v>
      </c>
      <c r="I171" s="50"/>
      <c r="J171" s="50"/>
      <c r="K171" s="50"/>
      <c r="L171" s="51">
        <v>4550</v>
      </c>
      <c r="M171" s="50" t="s">
        <v>305</v>
      </c>
      <c r="N171" s="41" t="s">
        <v>49</v>
      </c>
      <c r="P171" s="51">
        <v>0.0125</v>
      </c>
      <c r="Q171" t="s">
        <v>301</v>
      </c>
      <c r="R171">
        <f>VLOOKUP(B171,[2]Sheet1!$A$7:$U$626,21,0)</f>
        <v>3</v>
      </c>
    </row>
    <row r="172" spans="1:18">
      <c r="A172">
        <v>3043</v>
      </c>
      <c r="B172" s="54">
        <v>113014</v>
      </c>
      <c r="C172" s="20">
        <v>1</v>
      </c>
      <c r="D172" s="48" t="s">
        <v>40</v>
      </c>
      <c r="E172" s="49">
        <v>1</v>
      </c>
      <c r="F172" s="48"/>
      <c r="G172" s="48"/>
      <c r="H172" s="53" t="s">
        <v>306</v>
      </c>
      <c r="I172" s="48"/>
      <c r="J172" s="48"/>
      <c r="K172" s="48"/>
      <c r="L172" s="49">
        <v>1100</v>
      </c>
      <c r="M172" s="48" t="s">
        <v>307</v>
      </c>
      <c r="N172" s="41" t="s">
        <v>49</v>
      </c>
      <c r="P172" s="51">
        <v>0.0075</v>
      </c>
      <c r="Q172" t="s">
        <v>308</v>
      </c>
      <c r="R172">
        <f>VLOOKUP(B172,[2]Sheet1!$A$7:$U$626,21,0)</f>
        <v>3</v>
      </c>
    </row>
    <row r="173" spans="1:18">
      <c r="A173">
        <v>3044</v>
      </c>
      <c r="B173" s="54">
        <v>113014</v>
      </c>
      <c r="C173" s="20">
        <v>2</v>
      </c>
      <c r="D173" s="48" t="s">
        <v>43</v>
      </c>
      <c r="E173" s="49">
        <v>1</v>
      </c>
      <c r="F173" s="48"/>
      <c r="G173" s="48"/>
      <c r="H173" s="53"/>
      <c r="I173" s="48"/>
      <c r="J173" s="48" t="s">
        <v>309</v>
      </c>
      <c r="K173" s="48"/>
      <c r="L173" s="49">
        <v>1700</v>
      </c>
      <c r="M173" s="48" t="s">
        <v>310</v>
      </c>
      <c r="N173" s="41" t="s">
        <v>65</v>
      </c>
      <c r="P173" s="51">
        <v>0.00875</v>
      </c>
      <c r="Q173" t="s">
        <v>308</v>
      </c>
      <c r="R173">
        <f>VLOOKUP(B173,[2]Sheet1!$A$7:$U$626,21,0)</f>
        <v>3</v>
      </c>
    </row>
    <row r="174" spans="1:18">
      <c r="A174">
        <v>3045</v>
      </c>
      <c r="B174" s="54">
        <v>113014</v>
      </c>
      <c r="C174" s="20">
        <v>3</v>
      </c>
      <c r="D174" s="48" t="s">
        <v>212</v>
      </c>
      <c r="E174" s="49">
        <v>1</v>
      </c>
      <c r="F174" s="48"/>
      <c r="G174" s="48"/>
      <c r="H174" s="53" t="s">
        <v>311</v>
      </c>
      <c r="I174" s="48"/>
      <c r="J174" s="48" t="s">
        <v>312</v>
      </c>
      <c r="K174" s="48"/>
      <c r="L174" s="49">
        <v>4350</v>
      </c>
      <c r="M174" s="48" t="s">
        <v>313</v>
      </c>
      <c r="N174" s="41" t="s">
        <v>65</v>
      </c>
      <c r="P174" s="51">
        <v>0.0125</v>
      </c>
      <c r="Q174" t="s">
        <v>308</v>
      </c>
      <c r="R174">
        <f>VLOOKUP(B174,[2]Sheet1!$A$7:$U$626,21,0)</f>
        <v>3</v>
      </c>
    </row>
    <row r="175" spans="1:18">
      <c r="A175">
        <v>3046</v>
      </c>
      <c r="B175" s="54">
        <v>113015</v>
      </c>
      <c r="C175" s="39">
        <v>1</v>
      </c>
      <c r="D175" s="50" t="s">
        <v>40</v>
      </c>
      <c r="E175" s="51">
        <v>1</v>
      </c>
      <c r="F175" s="50"/>
      <c r="G175" s="50"/>
      <c r="H175" s="52" t="s">
        <v>314</v>
      </c>
      <c r="I175" s="50"/>
      <c r="J175" s="50"/>
      <c r="K175" s="50"/>
      <c r="L175" s="51">
        <v>1200</v>
      </c>
      <c r="M175" s="50" t="s">
        <v>315</v>
      </c>
      <c r="N175" s="41" t="s">
        <v>45</v>
      </c>
      <c r="P175" s="51">
        <v>0.0075</v>
      </c>
      <c r="Q175" t="s">
        <v>316</v>
      </c>
      <c r="R175">
        <f>VLOOKUP(B175,[2]Sheet1!$A$7:$U$626,21,0)</f>
        <v>3</v>
      </c>
    </row>
    <row r="176" spans="1:18">
      <c r="A176">
        <v>3047</v>
      </c>
      <c r="B176" s="54">
        <v>113015</v>
      </c>
      <c r="C176" s="39">
        <v>2</v>
      </c>
      <c r="D176" s="50" t="s">
        <v>43</v>
      </c>
      <c r="E176" s="51">
        <v>1</v>
      </c>
      <c r="F176" s="50"/>
      <c r="G176" s="50"/>
      <c r="H176" s="52" t="s">
        <v>317</v>
      </c>
      <c r="I176" s="50"/>
      <c r="J176" s="50"/>
      <c r="K176" s="50"/>
      <c r="L176" s="51">
        <v>1720</v>
      </c>
      <c r="M176" s="50" t="s">
        <v>318</v>
      </c>
      <c r="N176" s="41" t="s">
        <v>42</v>
      </c>
      <c r="P176" s="51">
        <v>0.00875</v>
      </c>
      <c r="Q176" t="s">
        <v>316</v>
      </c>
      <c r="R176">
        <f>VLOOKUP(B176,[2]Sheet1!$A$7:$U$626,21,0)</f>
        <v>3</v>
      </c>
    </row>
    <row r="177" spans="1:18">
      <c r="A177">
        <v>3048</v>
      </c>
      <c r="B177" s="54">
        <v>113015</v>
      </c>
      <c r="C177" s="39">
        <v>3</v>
      </c>
      <c r="D177" s="50" t="s">
        <v>212</v>
      </c>
      <c r="E177" s="51">
        <v>1</v>
      </c>
      <c r="F177" s="50"/>
      <c r="G177" s="50"/>
      <c r="H177" s="52" t="s">
        <v>319</v>
      </c>
      <c r="I177" s="50"/>
      <c r="J177" s="50"/>
      <c r="K177" s="50"/>
      <c r="L177" s="51">
        <v>4500</v>
      </c>
      <c r="M177" s="50" t="s">
        <v>320</v>
      </c>
      <c r="N177" s="41" t="s">
        <v>45</v>
      </c>
      <c r="P177" s="51">
        <v>0.0125</v>
      </c>
      <c r="Q177" t="s">
        <v>316</v>
      </c>
      <c r="R177">
        <f>VLOOKUP(B177,[2]Sheet1!$A$7:$U$626,21,0)</f>
        <v>3</v>
      </c>
    </row>
    <row r="178" spans="1:18">
      <c r="A178">
        <v>3049</v>
      </c>
      <c r="B178" s="54">
        <v>113016</v>
      </c>
      <c r="C178" s="20">
        <v>1</v>
      </c>
      <c r="D178" s="48" t="s">
        <v>40</v>
      </c>
      <c r="E178" s="49">
        <v>1</v>
      </c>
      <c r="F178" s="48"/>
      <c r="G178" s="48"/>
      <c r="H178" s="53" t="s">
        <v>321</v>
      </c>
      <c r="I178" s="48"/>
      <c r="J178" s="48"/>
      <c r="K178" s="48"/>
      <c r="L178" s="49">
        <v>1350</v>
      </c>
      <c r="M178" s="48" t="s">
        <v>322</v>
      </c>
      <c r="N178" s="41" t="s">
        <v>53</v>
      </c>
      <c r="P178" s="51">
        <v>0.0075</v>
      </c>
      <c r="Q178" t="s">
        <v>323</v>
      </c>
      <c r="R178">
        <f>VLOOKUP(B178,[2]Sheet1!$A$7:$U$626,21,0)</f>
        <v>3</v>
      </c>
    </row>
    <row r="179" spans="1:18">
      <c r="A179">
        <v>3050</v>
      </c>
      <c r="B179" s="54">
        <v>113016</v>
      </c>
      <c r="C179" s="20">
        <v>2</v>
      </c>
      <c r="D179" s="48" t="s">
        <v>43</v>
      </c>
      <c r="E179" s="49">
        <v>1</v>
      </c>
      <c r="F179" s="48"/>
      <c r="G179" s="48"/>
      <c r="H179" s="53" t="s">
        <v>324</v>
      </c>
      <c r="I179" s="48"/>
      <c r="J179" s="48"/>
      <c r="K179" s="48"/>
      <c r="L179" s="49">
        <v>2400</v>
      </c>
      <c r="M179" s="48" t="s">
        <v>325</v>
      </c>
      <c r="N179" s="41" t="s">
        <v>49</v>
      </c>
      <c r="P179" s="51">
        <v>0.00875</v>
      </c>
      <c r="Q179" t="s">
        <v>323</v>
      </c>
      <c r="R179">
        <f>VLOOKUP(B179,[2]Sheet1!$A$7:$U$626,21,0)</f>
        <v>3</v>
      </c>
    </row>
    <row r="180" spans="1:18">
      <c r="A180">
        <v>3051</v>
      </c>
      <c r="B180" s="54">
        <v>113016</v>
      </c>
      <c r="C180" s="20">
        <v>3</v>
      </c>
      <c r="D180" s="48" t="s">
        <v>212</v>
      </c>
      <c r="E180" s="49">
        <v>1</v>
      </c>
      <c r="F180" s="48"/>
      <c r="G180" s="48"/>
      <c r="H180" s="53" t="s">
        <v>326</v>
      </c>
      <c r="I180" s="48"/>
      <c r="J180" s="48"/>
      <c r="K180" s="48"/>
      <c r="L180" s="49">
        <v>4100</v>
      </c>
      <c r="M180" s="48" t="s">
        <v>327</v>
      </c>
      <c r="N180" s="41" t="s">
        <v>131</v>
      </c>
      <c r="P180" s="51">
        <v>0.0125</v>
      </c>
      <c r="Q180" t="s">
        <v>323</v>
      </c>
      <c r="R180">
        <f>VLOOKUP(B180,[2]Sheet1!$A$7:$U$626,21,0)</f>
        <v>3</v>
      </c>
    </row>
    <row r="181" spans="1:18">
      <c r="A181">
        <v>3052</v>
      </c>
      <c r="B181" s="54">
        <v>113017</v>
      </c>
      <c r="C181" s="39">
        <v>1</v>
      </c>
      <c r="D181" s="50" t="s">
        <v>40</v>
      </c>
      <c r="E181" s="51">
        <v>1</v>
      </c>
      <c r="F181" s="50"/>
      <c r="G181" s="50"/>
      <c r="H181" s="52" t="s">
        <v>328</v>
      </c>
      <c r="I181" s="50"/>
      <c r="J181" s="50"/>
      <c r="K181" s="50"/>
      <c r="L181" s="51">
        <v>1500</v>
      </c>
      <c r="M181" s="50" t="s">
        <v>329</v>
      </c>
      <c r="N181" s="41" t="s">
        <v>131</v>
      </c>
      <c r="P181" s="51">
        <v>0.0075</v>
      </c>
      <c r="Q181" t="s">
        <v>330</v>
      </c>
      <c r="R181">
        <f>VLOOKUP(B181,[2]Sheet1!$A$7:$U$626,21,0)</f>
        <v>3</v>
      </c>
    </row>
    <row r="182" spans="1:18">
      <c r="A182">
        <v>3053</v>
      </c>
      <c r="B182" s="54">
        <v>113017</v>
      </c>
      <c r="C182" s="39">
        <v>2</v>
      </c>
      <c r="D182" s="50" t="s">
        <v>43</v>
      </c>
      <c r="E182" s="51">
        <v>1</v>
      </c>
      <c r="F182" s="50"/>
      <c r="G182" s="50"/>
      <c r="H182" s="52" t="s">
        <v>331</v>
      </c>
      <c r="I182" s="50"/>
      <c r="J182" s="50"/>
      <c r="K182" s="50"/>
      <c r="L182" s="51">
        <v>2300</v>
      </c>
      <c r="M182" s="50" t="s">
        <v>332</v>
      </c>
      <c r="N182" s="41" t="s">
        <v>45</v>
      </c>
      <c r="P182" s="51">
        <v>0.00875</v>
      </c>
      <c r="Q182" t="s">
        <v>330</v>
      </c>
      <c r="R182">
        <f>VLOOKUP(B182,[2]Sheet1!$A$7:$U$626,21,0)</f>
        <v>3</v>
      </c>
    </row>
    <row r="183" spans="1:18">
      <c r="A183">
        <v>3054</v>
      </c>
      <c r="B183" s="54">
        <v>113017</v>
      </c>
      <c r="C183" s="39">
        <v>3</v>
      </c>
      <c r="D183" s="50" t="s">
        <v>212</v>
      </c>
      <c r="E183" s="51">
        <v>1</v>
      </c>
      <c r="F183" s="50"/>
      <c r="G183" s="50"/>
      <c r="H183" s="52">
        <v>61012</v>
      </c>
      <c r="I183" s="50"/>
      <c r="J183" s="50"/>
      <c r="K183" s="50"/>
      <c r="L183" s="51">
        <v>4200</v>
      </c>
      <c r="M183" s="50" t="s">
        <v>333</v>
      </c>
      <c r="N183" s="41" t="s">
        <v>61</v>
      </c>
      <c r="P183" s="51">
        <v>0.0125</v>
      </c>
      <c r="Q183" t="s">
        <v>330</v>
      </c>
      <c r="R183">
        <f>VLOOKUP(B183,[2]Sheet1!$A$7:$U$626,21,0)</f>
        <v>3</v>
      </c>
    </row>
    <row r="184" spans="1:18">
      <c r="A184">
        <v>3055</v>
      </c>
      <c r="B184" s="54">
        <v>113018</v>
      </c>
      <c r="C184" s="20">
        <v>1</v>
      </c>
      <c r="D184" s="48" t="s">
        <v>40</v>
      </c>
      <c r="E184" s="49">
        <v>1</v>
      </c>
      <c r="F184" s="48"/>
      <c r="G184" s="48"/>
      <c r="H184" s="53" t="s">
        <v>334</v>
      </c>
      <c r="I184" s="48"/>
      <c r="J184" s="48"/>
      <c r="K184" s="48"/>
      <c r="L184" s="49">
        <v>1200</v>
      </c>
      <c r="M184" s="48" t="s">
        <v>335</v>
      </c>
      <c r="N184" s="41" t="s">
        <v>72</v>
      </c>
      <c r="P184" s="51">
        <v>0.0075</v>
      </c>
      <c r="Q184" t="s">
        <v>336</v>
      </c>
      <c r="R184">
        <f>VLOOKUP(B184,[2]Sheet1!$A$7:$U$626,21,0)</f>
        <v>3</v>
      </c>
    </row>
    <row r="185" spans="1:18">
      <c r="A185">
        <v>3056</v>
      </c>
      <c r="B185" s="54">
        <v>113018</v>
      </c>
      <c r="C185" s="20">
        <v>2</v>
      </c>
      <c r="D185" s="48" t="s">
        <v>43</v>
      </c>
      <c r="E185" s="49">
        <v>1</v>
      </c>
      <c r="F185" s="48"/>
      <c r="G185" s="48"/>
      <c r="H185" s="53" t="s">
        <v>337</v>
      </c>
      <c r="I185" s="48"/>
      <c r="J185" s="48"/>
      <c r="K185" s="48"/>
      <c r="L185" s="49">
        <v>2400</v>
      </c>
      <c r="M185" s="48" t="s">
        <v>338</v>
      </c>
      <c r="N185" s="41" t="s">
        <v>81</v>
      </c>
      <c r="P185" s="51">
        <v>0.00875</v>
      </c>
      <c r="Q185" t="s">
        <v>336</v>
      </c>
      <c r="R185">
        <f>VLOOKUP(B185,[2]Sheet1!$A$7:$U$626,21,0)</f>
        <v>3</v>
      </c>
    </row>
    <row r="186" spans="1:18">
      <c r="A186">
        <v>3057</v>
      </c>
      <c r="B186" s="54">
        <v>113018</v>
      </c>
      <c r="C186" s="20">
        <v>3</v>
      </c>
      <c r="D186" s="48" t="s">
        <v>212</v>
      </c>
      <c r="E186" s="49">
        <v>1</v>
      </c>
      <c r="F186" s="48"/>
      <c r="G186" s="48"/>
      <c r="H186" s="53" t="s">
        <v>339</v>
      </c>
      <c r="I186" s="48"/>
      <c r="J186" s="48"/>
      <c r="K186" s="48"/>
      <c r="L186" s="49">
        <v>4000</v>
      </c>
      <c r="M186" s="48" t="s">
        <v>340</v>
      </c>
      <c r="N186" s="41" t="s">
        <v>61</v>
      </c>
      <c r="P186" s="51">
        <v>0.0125</v>
      </c>
      <c r="Q186" t="s">
        <v>336</v>
      </c>
      <c r="R186">
        <f>VLOOKUP(B186,[2]Sheet1!$A$7:$U$626,21,0)</f>
        <v>3</v>
      </c>
    </row>
    <row r="187" spans="1:18">
      <c r="A187">
        <v>3058</v>
      </c>
      <c r="B187" s="54">
        <v>113019</v>
      </c>
      <c r="C187" s="39">
        <v>1</v>
      </c>
      <c r="D187" s="50" t="s">
        <v>40</v>
      </c>
      <c r="E187" s="51">
        <v>1</v>
      </c>
      <c r="F187" s="50"/>
      <c r="G187" s="50"/>
      <c r="H187" s="52">
        <v>61088</v>
      </c>
      <c r="I187" s="50"/>
      <c r="J187" s="50"/>
      <c r="K187" s="50"/>
      <c r="L187" s="51">
        <v>1500</v>
      </c>
      <c r="M187" s="50" t="s">
        <v>341</v>
      </c>
      <c r="N187" s="41" t="s">
        <v>49</v>
      </c>
      <c r="P187" s="51">
        <v>0.0075</v>
      </c>
      <c r="Q187" t="s">
        <v>342</v>
      </c>
      <c r="R187">
        <f>VLOOKUP(B187,[2]Sheet1!$A$7:$U$626,21,0)</f>
        <v>3</v>
      </c>
    </row>
    <row r="188" spans="1:18">
      <c r="A188">
        <v>3059</v>
      </c>
      <c r="B188" s="54">
        <v>113019</v>
      </c>
      <c r="C188" s="39">
        <v>2</v>
      </c>
      <c r="D188" s="50" t="s">
        <v>43</v>
      </c>
      <c r="E188" s="51">
        <v>1</v>
      </c>
      <c r="F188" s="50"/>
      <c r="G188" s="50"/>
      <c r="H188" s="52">
        <v>61089</v>
      </c>
      <c r="I188" s="50"/>
      <c r="J188" s="50"/>
      <c r="K188" s="50"/>
      <c r="L188" s="51">
        <v>2350</v>
      </c>
      <c r="M188" s="50" t="s">
        <v>343</v>
      </c>
      <c r="N188" s="41" t="s">
        <v>49</v>
      </c>
      <c r="P188" s="51">
        <v>0.00875</v>
      </c>
      <c r="Q188" t="s">
        <v>342</v>
      </c>
      <c r="R188">
        <f>VLOOKUP(B188,[2]Sheet1!$A$7:$U$626,21,0)</f>
        <v>3</v>
      </c>
    </row>
    <row r="189" spans="1:18">
      <c r="A189">
        <v>3060</v>
      </c>
      <c r="B189" s="54">
        <v>113019</v>
      </c>
      <c r="C189" s="39">
        <v>3</v>
      </c>
      <c r="D189" s="50" t="s">
        <v>212</v>
      </c>
      <c r="E189" s="51">
        <v>1</v>
      </c>
      <c r="F189" s="50"/>
      <c r="G189" s="50"/>
      <c r="H189" s="52">
        <v>61090</v>
      </c>
      <c r="I189" s="50"/>
      <c r="J189" s="50"/>
      <c r="K189" s="50"/>
      <c r="L189" s="51">
        <v>4000</v>
      </c>
      <c r="M189" s="50" t="s">
        <v>344</v>
      </c>
      <c r="N189" s="41" t="s">
        <v>53</v>
      </c>
      <c r="P189" s="51">
        <v>0.0125</v>
      </c>
      <c r="Q189" t="s">
        <v>342</v>
      </c>
      <c r="R189">
        <f>VLOOKUP(B189,[2]Sheet1!$A$7:$U$626,21,0)</f>
        <v>3</v>
      </c>
    </row>
    <row r="190" spans="1:18">
      <c r="A190">
        <v>3061</v>
      </c>
      <c r="B190" s="54">
        <v>113020</v>
      </c>
      <c r="C190" s="20">
        <v>1</v>
      </c>
      <c r="D190" s="48" t="s">
        <v>40</v>
      </c>
      <c r="E190" s="49">
        <v>1</v>
      </c>
      <c r="F190" s="48"/>
      <c r="G190" s="48"/>
      <c r="H190" s="53">
        <v>61091</v>
      </c>
      <c r="I190" s="48"/>
      <c r="J190" s="48"/>
      <c r="K190" s="48"/>
      <c r="L190" s="49">
        <v>1500</v>
      </c>
      <c r="M190" s="48" t="s">
        <v>345</v>
      </c>
      <c r="N190" s="41" t="s">
        <v>45</v>
      </c>
      <c r="P190" s="51">
        <v>0.0075</v>
      </c>
      <c r="Q190" t="s">
        <v>346</v>
      </c>
      <c r="R190">
        <f>VLOOKUP(B190,[2]Sheet1!$A$7:$U$626,21,0)</f>
        <v>3</v>
      </c>
    </row>
    <row r="191" spans="1:18">
      <c r="A191">
        <v>3062</v>
      </c>
      <c r="B191" s="54">
        <v>113020</v>
      </c>
      <c r="C191" s="20">
        <v>2</v>
      </c>
      <c r="D191" s="48" t="s">
        <v>43</v>
      </c>
      <c r="E191" s="49">
        <v>1</v>
      </c>
      <c r="F191" s="48"/>
      <c r="G191" s="48"/>
      <c r="H191" s="53">
        <v>61092</v>
      </c>
      <c r="I191" s="48"/>
      <c r="J191" s="48"/>
      <c r="K191" s="48"/>
      <c r="L191" s="49">
        <v>2500</v>
      </c>
      <c r="M191" s="48" t="s">
        <v>347</v>
      </c>
      <c r="N191" s="41" t="s">
        <v>49</v>
      </c>
      <c r="P191" s="51">
        <v>0.00875</v>
      </c>
      <c r="Q191" t="s">
        <v>346</v>
      </c>
      <c r="R191">
        <f>VLOOKUP(B191,[2]Sheet1!$A$7:$U$626,21,0)</f>
        <v>3</v>
      </c>
    </row>
    <row r="192" spans="1:18">
      <c r="A192">
        <v>3063</v>
      </c>
      <c r="B192" s="54">
        <v>113020</v>
      </c>
      <c r="C192" s="20">
        <v>3</v>
      </c>
      <c r="D192" s="48" t="s">
        <v>212</v>
      </c>
      <c r="E192" s="49">
        <v>1</v>
      </c>
      <c r="F192" s="48"/>
      <c r="G192" s="48"/>
      <c r="H192" s="53"/>
      <c r="I192" s="48"/>
      <c r="J192" s="48" t="s">
        <v>348</v>
      </c>
      <c r="K192" s="48"/>
      <c r="L192" s="49">
        <v>4500</v>
      </c>
      <c r="M192" s="48" t="s">
        <v>349</v>
      </c>
      <c r="N192" s="41" t="s">
        <v>131</v>
      </c>
      <c r="P192" s="51">
        <v>0.0125</v>
      </c>
      <c r="Q192" t="s">
        <v>346</v>
      </c>
      <c r="R192">
        <f>VLOOKUP(B192,[2]Sheet1!$A$7:$U$626,21,0)</f>
        <v>3</v>
      </c>
    </row>
    <row r="193" spans="1:18">
      <c r="A193">
        <v>3064</v>
      </c>
      <c r="B193" s="54">
        <v>113021</v>
      </c>
      <c r="C193" s="39">
        <v>1</v>
      </c>
      <c r="D193" s="50" t="s">
        <v>40</v>
      </c>
      <c r="E193" s="51">
        <v>1</v>
      </c>
      <c r="F193" s="50"/>
      <c r="G193" s="50"/>
      <c r="H193" s="52" t="s">
        <v>350</v>
      </c>
      <c r="I193" s="50"/>
      <c r="J193" s="50"/>
      <c r="K193" s="50"/>
      <c r="L193" s="51">
        <v>2000</v>
      </c>
      <c r="M193" s="50" t="s">
        <v>351</v>
      </c>
      <c r="N193" s="41" t="s">
        <v>49</v>
      </c>
      <c r="P193" s="51">
        <v>0.0075</v>
      </c>
      <c r="Q193" t="s">
        <v>352</v>
      </c>
      <c r="R193">
        <f>VLOOKUP(B193,[2]Sheet1!$A$7:$U$626,21,0)</f>
        <v>3</v>
      </c>
    </row>
    <row r="194" spans="1:18">
      <c r="A194">
        <v>3065</v>
      </c>
      <c r="B194" s="54">
        <v>113021</v>
      </c>
      <c r="C194" s="39">
        <v>2</v>
      </c>
      <c r="D194" s="50" t="s">
        <v>43</v>
      </c>
      <c r="E194" s="51">
        <v>1</v>
      </c>
      <c r="F194" s="50"/>
      <c r="G194" s="50"/>
      <c r="H194" s="52" t="s">
        <v>353</v>
      </c>
      <c r="I194" s="50"/>
      <c r="J194" s="50"/>
      <c r="K194" s="50"/>
      <c r="L194" s="51">
        <v>2800</v>
      </c>
      <c r="M194" s="50" t="s">
        <v>354</v>
      </c>
      <c r="N194" s="41" t="s">
        <v>131</v>
      </c>
      <c r="P194" s="51">
        <v>0.00875</v>
      </c>
      <c r="Q194" t="s">
        <v>352</v>
      </c>
      <c r="R194">
        <f>VLOOKUP(B194,[2]Sheet1!$A$7:$U$626,21,0)</f>
        <v>3</v>
      </c>
    </row>
    <row r="195" spans="1:18">
      <c r="A195">
        <v>3066</v>
      </c>
      <c r="B195" s="54">
        <v>113021</v>
      </c>
      <c r="C195" s="39">
        <v>3</v>
      </c>
      <c r="D195" s="50" t="s">
        <v>212</v>
      </c>
      <c r="E195" s="51">
        <v>1</v>
      </c>
      <c r="F195" s="50"/>
      <c r="G195" s="50"/>
      <c r="H195" s="52" t="s">
        <v>355</v>
      </c>
      <c r="I195" s="50"/>
      <c r="J195" s="50"/>
      <c r="K195" s="50"/>
      <c r="L195" s="51">
        <v>5000</v>
      </c>
      <c r="M195" s="50" t="s">
        <v>356</v>
      </c>
      <c r="N195" s="41" t="s">
        <v>90</v>
      </c>
      <c r="P195" s="51">
        <v>0.0125</v>
      </c>
      <c r="Q195" t="s">
        <v>352</v>
      </c>
      <c r="R195">
        <f>VLOOKUP(B195,[2]Sheet1!$A$7:$U$626,21,0)</f>
        <v>3</v>
      </c>
    </row>
    <row r="196" spans="1:18">
      <c r="A196">
        <v>3067</v>
      </c>
      <c r="B196" s="54">
        <v>113022</v>
      </c>
      <c r="C196" s="20">
        <v>1</v>
      </c>
      <c r="D196" s="48" t="s">
        <v>40</v>
      </c>
      <c r="E196" s="49">
        <v>1</v>
      </c>
      <c r="F196" s="48"/>
      <c r="G196" s="48"/>
      <c r="H196" s="53"/>
      <c r="I196" s="48"/>
      <c r="J196" s="48">
        <v>61094</v>
      </c>
      <c r="K196" s="48"/>
      <c r="L196" s="49">
        <v>1550</v>
      </c>
      <c r="M196" s="48" t="s">
        <v>357</v>
      </c>
      <c r="N196" s="41" t="s">
        <v>53</v>
      </c>
      <c r="P196" s="51">
        <v>0.0075</v>
      </c>
      <c r="Q196" t="s">
        <v>358</v>
      </c>
      <c r="R196">
        <f>VLOOKUP(B196,[2]Sheet1!$A$7:$U$626,21,0)</f>
        <v>3</v>
      </c>
    </row>
    <row r="197" spans="1:18">
      <c r="A197">
        <v>3068</v>
      </c>
      <c r="B197" s="54">
        <v>113022</v>
      </c>
      <c r="C197" s="20">
        <v>2</v>
      </c>
      <c r="D197" s="48" t="s">
        <v>43</v>
      </c>
      <c r="E197" s="49">
        <v>1</v>
      </c>
      <c r="F197" s="48"/>
      <c r="G197" s="48"/>
      <c r="H197" s="53"/>
      <c r="I197" s="48"/>
      <c r="J197" s="48" t="s">
        <v>359</v>
      </c>
      <c r="K197" s="48"/>
      <c r="L197" s="49">
        <v>2200</v>
      </c>
      <c r="M197" s="48" t="s">
        <v>360</v>
      </c>
      <c r="N197" s="41" t="s">
        <v>49</v>
      </c>
      <c r="P197" s="51">
        <v>0.00875</v>
      </c>
      <c r="Q197" t="s">
        <v>358</v>
      </c>
      <c r="R197">
        <f>VLOOKUP(B197,[2]Sheet1!$A$7:$U$626,21,0)</f>
        <v>3</v>
      </c>
    </row>
    <row r="198" spans="1:18">
      <c r="A198">
        <v>3069</v>
      </c>
      <c r="B198" s="54">
        <v>113022</v>
      </c>
      <c r="C198" s="20">
        <v>3</v>
      </c>
      <c r="D198" s="48" t="s">
        <v>212</v>
      </c>
      <c r="E198" s="49">
        <v>1</v>
      </c>
      <c r="F198" s="48"/>
      <c r="G198" s="48"/>
      <c r="H198" s="53">
        <v>61096</v>
      </c>
      <c r="I198" s="48"/>
      <c r="J198" s="48"/>
      <c r="K198" s="48"/>
      <c r="L198" s="49">
        <v>3600</v>
      </c>
      <c r="M198" s="48" t="s">
        <v>361</v>
      </c>
      <c r="N198" s="41" t="s">
        <v>61</v>
      </c>
      <c r="P198" s="51">
        <v>0.0125</v>
      </c>
      <c r="Q198" t="s">
        <v>358</v>
      </c>
      <c r="R198">
        <f>VLOOKUP(B198,[2]Sheet1!$A$7:$U$626,21,0)</f>
        <v>3</v>
      </c>
    </row>
    <row r="199" spans="1:18">
      <c r="A199">
        <v>3070</v>
      </c>
      <c r="B199" s="54">
        <v>113023</v>
      </c>
      <c r="C199" s="39">
        <v>1</v>
      </c>
      <c r="D199" s="50" t="s">
        <v>40</v>
      </c>
      <c r="E199" s="51">
        <v>1</v>
      </c>
      <c r="F199" s="50"/>
      <c r="G199" s="50"/>
      <c r="H199" s="52">
        <v>61100</v>
      </c>
      <c r="I199" s="50"/>
      <c r="J199" s="50"/>
      <c r="K199" s="50"/>
      <c r="L199" s="51">
        <v>2000</v>
      </c>
      <c r="M199" s="50" t="s">
        <v>362</v>
      </c>
      <c r="N199" s="41" t="s">
        <v>81</v>
      </c>
      <c r="P199" s="51">
        <v>0.0075</v>
      </c>
      <c r="Q199" t="s">
        <v>363</v>
      </c>
      <c r="R199">
        <f>VLOOKUP(B199,[2]Sheet1!$A$7:$U$626,21,0)</f>
        <v>3</v>
      </c>
    </row>
    <row r="200" spans="1:18">
      <c r="A200">
        <v>3071</v>
      </c>
      <c r="B200" s="54">
        <v>113023</v>
      </c>
      <c r="C200" s="39">
        <v>2</v>
      </c>
      <c r="D200" s="50" t="s">
        <v>43</v>
      </c>
      <c r="E200" s="51">
        <v>1</v>
      </c>
      <c r="F200" s="50"/>
      <c r="G200" s="50"/>
      <c r="H200" s="52"/>
      <c r="I200" s="50"/>
      <c r="J200" s="50">
        <v>61101</v>
      </c>
      <c r="K200" s="50"/>
      <c r="L200" s="51">
        <v>2750</v>
      </c>
      <c r="M200" s="50" t="s">
        <v>364</v>
      </c>
      <c r="N200" s="41" t="s">
        <v>61</v>
      </c>
      <c r="P200" s="51">
        <v>0.00875</v>
      </c>
      <c r="Q200" t="s">
        <v>363</v>
      </c>
      <c r="R200">
        <f>VLOOKUP(B200,[2]Sheet1!$A$7:$U$626,21,0)</f>
        <v>3</v>
      </c>
    </row>
    <row r="201" spans="1:18">
      <c r="A201">
        <v>3072</v>
      </c>
      <c r="B201" s="54">
        <v>113023</v>
      </c>
      <c r="C201" s="39">
        <v>3</v>
      </c>
      <c r="D201" s="50" t="s">
        <v>212</v>
      </c>
      <c r="E201" s="51">
        <v>1</v>
      </c>
      <c r="F201" s="50"/>
      <c r="G201" s="50"/>
      <c r="H201" s="52">
        <v>61102</v>
      </c>
      <c r="I201" s="50"/>
      <c r="J201" s="50"/>
      <c r="K201" s="50"/>
      <c r="L201" s="51">
        <v>4500</v>
      </c>
      <c r="M201" s="50" t="s">
        <v>365</v>
      </c>
      <c r="N201" s="41" t="s">
        <v>90</v>
      </c>
      <c r="P201" s="51">
        <v>0.0125</v>
      </c>
      <c r="Q201" t="s">
        <v>363</v>
      </c>
      <c r="R201">
        <f>VLOOKUP(B201,[2]Sheet1!$A$7:$U$626,21,0)</f>
        <v>3</v>
      </c>
    </row>
    <row r="202" spans="1:18">
      <c r="A202">
        <v>3073</v>
      </c>
      <c r="B202" s="54">
        <v>113024</v>
      </c>
      <c r="C202" s="20">
        <v>1</v>
      </c>
      <c r="D202" s="48" t="s">
        <v>40</v>
      </c>
      <c r="E202" s="49">
        <v>1</v>
      </c>
      <c r="F202" s="48"/>
      <c r="G202" s="48"/>
      <c r="H202" s="53" t="s">
        <v>366</v>
      </c>
      <c r="I202" s="48"/>
      <c r="J202" s="48"/>
      <c r="K202" s="48"/>
      <c r="L202" s="49">
        <v>2000</v>
      </c>
      <c r="M202" s="48" t="s">
        <v>367</v>
      </c>
      <c r="N202" s="41" t="s">
        <v>49</v>
      </c>
      <c r="P202" s="51">
        <v>0.0075</v>
      </c>
      <c r="Q202" t="s">
        <v>368</v>
      </c>
      <c r="R202">
        <f>VLOOKUP(B202,[2]Sheet1!$A$7:$U$626,21,0)</f>
        <v>3</v>
      </c>
    </row>
    <row r="203" spans="1:18">
      <c r="A203">
        <v>3074</v>
      </c>
      <c r="B203" s="54">
        <v>113024</v>
      </c>
      <c r="C203" s="20">
        <v>2</v>
      </c>
      <c r="D203" s="48" t="s">
        <v>43</v>
      </c>
      <c r="E203" s="49">
        <v>1</v>
      </c>
      <c r="F203" s="48"/>
      <c r="G203" s="48"/>
      <c r="H203" s="53"/>
      <c r="I203" s="48"/>
      <c r="J203" s="48" t="s">
        <v>369</v>
      </c>
      <c r="K203" s="48"/>
      <c r="L203" s="49">
        <v>2500</v>
      </c>
      <c r="M203" s="48" t="s">
        <v>370</v>
      </c>
      <c r="N203" s="41" t="s">
        <v>81</v>
      </c>
      <c r="P203" s="51">
        <v>0.00875</v>
      </c>
      <c r="Q203" t="s">
        <v>368</v>
      </c>
      <c r="R203">
        <f>VLOOKUP(B203,[2]Sheet1!$A$7:$U$626,21,0)</f>
        <v>3</v>
      </c>
    </row>
    <row r="204" spans="1:18">
      <c r="A204">
        <v>3075</v>
      </c>
      <c r="B204" s="54">
        <v>113024</v>
      </c>
      <c r="C204" s="20">
        <v>3</v>
      </c>
      <c r="D204" s="48" t="s">
        <v>212</v>
      </c>
      <c r="E204" s="49">
        <v>1</v>
      </c>
      <c r="F204" s="48"/>
      <c r="G204" s="48"/>
      <c r="H204" s="53" t="s">
        <v>371</v>
      </c>
      <c r="I204" s="48"/>
      <c r="J204" s="48"/>
      <c r="K204" s="48"/>
      <c r="L204" s="49">
        <v>5000</v>
      </c>
      <c r="M204" s="48" t="s">
        <v>372</v>
      </c>
      <c r="N204" s="41" t="s">
        <v>90</v>
      </c>
      <c r="P204" s="51">
        <v>0.0125</v>
      </c>
      <c r="Q204" t="s">
        <v>368</v>
      </c>
      <c r="R204">
        <f>VLOOKUP(B204,[2]Sheet1!$A$7:$U$626,21,0)</f>
        <v>3</v>
      </c>
    </row>
    <row r="205" spans="1:18">
      <c r="A205">
        <v>3076</v>
      </c>
      <c r="B205" s="54">
        <v>113025</v>
      </c>
      <c r="C205" s="20">
        <v>1</v>
      </c>
      <c r="D205" s="48" t="s">
        <v>40</v>
      </c>
      <c r="E205" s="49">
        <v>1</v>
      </c>
      <c r="F205" s="48"/>
      <c r="G205" s="48"/>
      <c r="H205" s="53" t="s">
        <v>373</v>
      </c>
      <c r="I205" s="48"/>
      <c r="J205" s="48"/>
      <c r="K205" s="48"/>
      <c r="L205" s="49">
        <v>1600</v>
      </c>
      <c r="M205" s="48" t="s">
        <v>374</v>
      </c>
      <c r="N205" s="41" t="s">
        <v>59</v>
      </c>
      <c r="P205" s="41">
        <v>0.025</v>
      </c>
      <c r="Q205" t="s">
        <v>375</v>
      </c>
      <c r="R205">
        <f>VLOOKUP(B205,[2]Sheet1!$A$7:$U$626,21,0)</f>
        <v>3</v>
      </c>
    </row>
    <row r="206" spans="1:18">
      <c r="A206">
        <v>3077</v>
      </c>
      <c r="B206" s="54">
        <v>113025</v>
      </c>
      <c r="C206" s="20">
        <v>2</v>
      </c>
      <c r="D206" s="48" t="s">
        <v>43</v>
      </c>
      <c r="E206" s="49">
        <v>1</v>
      </c>
      <c r="F206" s="48"/>
      <c r="G206" s="48"/>
      <c r="H206" s="53" t="s">
        <v>376</v>
      </c>
      <c r="I206" s="48"/>
      <c r="J206" s="48"/>
      <c r="K206" s="48"/>
      <c r="L206" s="49">
        <v>2500</v>
      </c>
      <c r="M206" s="48" t="s">
        <v>377</v>
      </c>
      <c r="N206" s="41" t="s">
        <v>72</v>
      </c>
      <c r="P206" s="41">
        <v>0.0375</v>
      </c>
      <c r="Q206" t="s">
        <v>375</v>
      </c>
      <c r="R206">
        <f>VLOOKUP(B206,[2]Sheet1!$A$7:$U$626,21,0)</f>
        <v>3</v>
      </c>
    </row>
    <row r="207" spans="1:18">
      <c r="A207">
        <v>3078</v>
      </c>
      <c r="B207" s="54">
        <v>113025</v>
      </c>
      <c r="C207" s="20">
        <v>3</v>
      </c>
      <c r="D207" s="48" t="s">
        <v>212</v>
      </c>
      <c r="E207" s="49">
        <v>1</v>
      </c>
      <c r="F207" s="48"/>
      <c r="G207" s="48"/>
      <c r="H207" s="53" t="s">
        <v>378</v>
      </c>
      <c r="I207" s="48"/>
      <c r="J207" s="48"/>
      <c r="K207" s="48"/>
      <c r="L207" s="49">
        <v>4400</v>
      </c>
      <c r="M207" s="48" t="s">
        <v>379</v>
      </c>
      <c r="N207" s="41" t="s">
        <v>53</v>
      </c>
      <c r="P207" s="41">
        <v>0.05</v>
      </c>
      <c r="Q207" t="s">
        <v>375</v>
      </c>
      <c r="R207">
        <f>VLOOKUP(B207,[2]Sheet1!$A$7:$U$626,21,0)</f>
        <v>3</v>
      </c>
    </row>
    <row r="208" spans="1:18">
      <c r="A208">
        <v>3079</v>
      </c>
      <c r="B208" s="54">
        <v>113026</v>
      </c>
      <c r="C208" s="20">
        <v>1</v>
      </c>
      <c r="D208" s="48" t="s">
        <v>40</v>
      </c>
      <c r="E208" s="49">
        <v>1</v>
      </c>
      <c r="F208" s="48"/>
      <c r="G208" s="48"/>
      <c r="H208" s="53" t="s">
        <v>380</v>
      </c>
      <c r="I208" s="48"/>
      <c r="J208" s="48"/>
      <c r="K208" s="48"/>
      <c r="L208" s="49">
        <v>2000</v>
      </c>
      <c r="M208" s="48" t="s">
        <v>381</v>
      </c>
      <c r="N208" s="41" t="s">
        <v>61</v>
      </c>
      <c r="P208" s="41">
        <v>0.025</v>
      </c>
      <c r="Q208" t="s">
        <v>382</v>
      </c>
      <c r="R208">
        <f>VLOOKUP(B208,[2]Sheet1!$A$7:$U$626,21,0)</f>
        <v>3</v>
      </c>
    </row>
    <row r="209" spans="1:18">
      <c r="A209">
        <v>3080</v>
      </c>
      <c r="B209" s="54">
        <v>113026</v>
      </c>
      <c r="C209" s="20">
        <v>2</v>
      </c>
      <c r="D209" s="48" t="s">
        <v>43</v>
      </c>
      <c r="E209" s="49">
        <v>1</v>
      </c>
      <c r="F209" s="48"/>
      <c r="G209" s="48"/>
      <c r="H209" s="53" t="s">
        <v>383</v>
      </c>
      <c r="I209" s="48"/>
      <c r="J209" s="48"/>
      <c r="K209" s="48"/>
      <c r="L209" s="49">
        <v>2850</v>
      </c>
      <c r="M209" s="48" t="s">
        <v>384</v>
      </c>
      <c r="N209" s="41" t="s">
        <v>49</v>
      </c>
      <c r="P209" s="41">
        <v>0.0375</v>
      </c>
      <c r="Q209" t="s">
        <v>382</v>
      </c>
      <c r="R209">
        <f>VLOOKUP(B209,[2]Sheet1!$A$7:$U$626,21,0)</f>
        <v>3</v>
      </c>
    </row>
    <row r="210" spans="1:18">
      <c r="A210">
        <v>3081</v>
      </c>
      <c r="B210" s="54">
        <v>113026</v>
      </c>
      <c r="C210" s="20">
        <v>3</v>
      </c>
      <c r="D210" s="48" t="s">
        <v>212</v>
      </c>
      <c r="E210" s="49">
        <v>1</v>
      </c>
      <c r="F210" s="48"/>
      <c r="G210" s="48"/>
      <c r="H210" s="53" t="s">
        <v>385</v>
      </c>
      <c r="I210" s="48"/>
      <c r="J210" s="48"/>
      <c r="K210" s="48"/>
      <c r="L210" s="49">
        <v>4750</v>
      </c>
      <c r="M210" s="48" t="s">
        <v>386</v>
      </c>
      <c r="N210" s="41" t="s">
        <v>90</v>
      </c>
      <c r="P210" s="41">
        <v>0.05</v>
      </c>
      <c r="Q210" t="s">
        <v>382</v>
      </c>
      <c r="R210">
        <f>VLOOKUP(B210,[2]Sheet1!$A$7:$U$626,21,0)</f>
        <v>3</v>
      </c>
    </row>
    <row r="211" spans="1:18">
      <c r="A211">
        <v>3082</v>
      </c>
      <c r="B211">
        <v>113027</v>
      </c>
      <c r="C211" s="20">
        <v>1</v>
      </c>
      <c r="D211" s="48" t="s">
        <v>40</v>
      </c>
      <c r="E211" s="49">
        <v>1</v>
      </c>
      <c r="H211" s="53">
        <v>61113</v>
      </c>
      <c r="L211" s="49">
        <v>1900</v>
      </c>
      <c r="M211" s="48" t="s">
        <v>387</v>
      </c>
      <c r="N211" s="51" t="s">
        <v>77</v>
      </c>
      <c r="O211" s="51"/>
      <c r="P211" s="41">
        <v>0.025</v>
      </c>
      <c r="Q211" t="s">
        <v>388</v>
      </c>
      <c r="R211">
        <f>VLOOKUP(B211,[2]Sheet1!$A$7:$U$626,21,0)</f>
        <v>3</v>
      </c>
    </row>
    <row r="212" spans="1:18">
      <c r="A212">
        <v>3083</v>
      </c>
      <c r="B212">
        <v>113027</v>
      </c>
      <c r="C212" s="20">
        <v>2</v>
      </c>
      <c r="D212" s="48" t="s">
        <v>43</v>
      </c>
      <c r="E212" s="49">
        <v>1</v>
      </c>
      <c r="H212" s="53">
        <v>61114</v>
      </c>
      <c r="L212" s="49">
        <v>2900</v>
      </c>
      <c r="M212" s="48" t="s">
        <v>389</v>
      </c>
      <c r="N212" s="41" t="s">
        <v>72</v>
      </c>
      <c r="P212" s="41">
        <v>0.0375</v>
      </c>
      <c r="Q212" t="s">
        <v>388</v>
      </c>
      <c r="R212">
        <f>VLOOKUP(B212,[2]Sheet1!$A$7:$U$626,21,0)</f>
        <v>3</v>
      </c>
    </row>
    <row r="213" spans="1:18">
      <c r="A213">
        <v>3084</v>
      </c>
      <c r="B213">
        <v>113027</v>
      </c>
      <c r="C213" s="20">
        <v>3</v>
      </c>
      <c r="D213" s="48" t="s">
        <v>212</v>
      </c>
      <c r="E213" s="49">
        <v>1</v>
      </c>
      <c r="H213" s="53">
        <v>61115</v>
      </c>
      <c r="L213" s="49">
        <v>5000</v>
      </c>
      <c r="M213" s="48" t="s">
        <v>390</v>
      </c>
      <c r="N213" s="41" t="s">
        <v>53</v>
      </c>
      <c r="P213" s="41">
        <v>0.05</v>
      </c>
      <c r="Q213" t="s">
        <v>388</v>
      </c>
      <c r="R213">
        <f>VLOOKUP(B213,[2]Sheet1!$A$7:$U$626,21,0)</f>
        <v>3</v>
      </c>
    </row>
    <row r="214" spans="1:18">
      <c r="A214">
        <v>3085</v>
      </c>
      <c r="B214">
        <v>113028</v>
      </c>
      <c r="C214" s="20">
        <v>1</v>
      </c>
      <c r="D214" s="48" t="s">
        <v>40</v>
      </c>
      <c r="E214" s="49">
        <v>1</v>
      </c>
      <c r="H214" s="55">
        <v>61116</v>
      </c>
      <c r="L214" s="43">
        <v>2000</v>
      </c>
      <c r="M214" s="41" t="s">
        <v>391</v>
      </c>
      <c r="N214" s="41" t="s">
        <v>49</v>
      </c>
      <c r="P214" s="41">
        <v>0.025</v>
      </c>
      <c r="Q214" t="s">
        <v>392</v>
      </c>
      <c r="R214">
        <f>VLOOKUP(B214,[2]Sheet1!$A$7:$U$626,21,0)</f>
        <v>3</v>
      </c>
    </row>
    <row r="215" spans="1:18">
      <c r="A215">
        <v>3086</v>
      </c>
      <c r="B215">
        <v>113028</v>
      </c>
      <c r="C215" s="20">
        <v>2</v>
      </c>
      <c r="D215" s="48" t="s">
        <v>43</v>
      </c>
      <c r="E215" s="49">
        <v>1</v>
      </c>
      <c r="H215" s="55">
        <v>61117</v>
      </c>
      <c r="L215" s="43">
        <v>2800</v>
      </c>
      <c r="M215" s="41" t="s">
        <v>393</v>
      </c>
      <c r="N215" s="41" t="s">
        <v>59</v>
      </c>
      <c r="P215" s="41">
        <v>0.0375</v>
      </c>
      <c r="Q215" t="s">
        <v>392</v>
      </c>
      <c r="R215">
        <f>VLOOKUP(B215,[2]Sheet1!$A$7:$U$626,21,0)</f>
        <v>3</v>
      </c>
    </row>
    <row r="216" spans="1:18">
      <c r="A216">
        <v>3087</v>
      </c>
      <c r="B216">
        <v>113028</v>
      </c>
      <c r="C216" s="20">
        <v>3</v>
      </c>
      <c r="D216" s="48" t="s">
        <v>212</v>
      </c>
      <c r="E216" s="49">
        <v>1</v>
      </c>
      <c r="J216" s="81">
        <v>61118</v>
      </c>
      <c r="L216" s="43">
        <v>4800</v>
      </c>
      <c r="M216" s="41" t="s">
        <v>394</v>
      </c>
      <c r="N216" s="41" t="s">
        <v>61</v>
      </c>
      <c r="P216" s="41">
        <v>0.05</v>
      </c>
      <c r="Q216" t="s">
        <v>392</v>
      </c>
      <c r="R216">
        <f>VLOOKUP(B216,[2]Sheet1!$A$7:$U$626,21,0)</f>
        <v>3</v>
      </c>
    </row>
    <row r="217" spans="1:18">
      <c r="A217">
        <v>3088</v>
      </c>
      <c r="B217">
        <v>113030</v>
      </c>
      <c r="C217" s="20">
        <v>1</v>
      </c>
      <c r="D217" s="48" t="s">
        <v>40</v>
      </c>
      <c r="E217" s="49">
        <v>1</v>
      </c>
      <c r="H217" s="56">
        <v>61119</v>
      </c>
      <c r="L217" s="43">
        <v>1800</v>
      </c>
      <c r="M217" s="41" t="s">
        <v>395</v>
      </c>
      <c r="N217" s="41" t="s">
        <v>61</v>
      </c>
      <c r="P217" s="41">
        <v>0.025</v>
      </c>
      <c r="Q217" t="s">
        <v>396</v>
      </c>
      <c r="R217">
        <f>VLOOKUP(B217,[2]Sheet1!$A$7:$U$626,21,0)</f>
        <v>3</v>
      </c>
    </row>
    <row r="218" spans="1:18">
      <c r="A218">
        <v>3089</v>
      </c>
      <c r="B218">
        <v>113030</v>
      </c>
      <c r="C218" s="20">
        <v>2</v>
      </c>
      <c r="D218" s="48" t="s">
        <v>43</v>
      </c>
      <c r="E218" s="49">
        <v>1</v>
      </c>
      <c r="H218" s="56">
        <v>61120</v>
      </c>
      <c r="L218" s="43">
        <v>2500</v>
      </c>
      <c r="M218" s="41" t="s">
        <v>397</v>
      </c>
      <c r="N218" s="41" t="s">
        <v>90</v>
      </c>
      <c r="P218" s="41">
        <v>0.0375</v>
      </c>
      <c r="Q218" t="s">
        <v>396</v>
      </c>
      <c r="R218">
        <f>VLOOKUP(B218,[2]Sheet1!$A$7:$U$626,21,0)</f>
        <v>3</v>
      </c>
    </row>
    <row r="219" spans="1:18">
      <c r="A219">
        <v>3090</v>
      </c>
      <c r="B219">
        <v>113030</v>
      </c>
      <c r="C219" s="20">
        <v>3</v>
      </c>
      <c r="D219" s="48" t="s">
        <v>212</v>
      </c>
      <c r="E219" s="49">
        <v>1</v>
      </c>
      <c r="H219" s="56">
        <v>61121</v>
      </c>
      <c r="L219" s="43">
        <v>5000</v>
      </c>
      <c r="M219" s="41" t="s">
        <v>398</v>
      </c>
      <c r="N219" s="41" t="s">
        <v>42</v>
      </c>
      <c r="P219" s="41">
        <v>0.05</v>
      </c>
      <c r="Q219" t="s">
        <v>396</v>
      </c>
      <c r="R219">
        <f>VLOOKUP(B219,[2]Sheet1!$A$7:$U$626,21,0)</f>
        <v>3</v>
      </c>
    </row>
    <row r="220" spans="1:18">
      <c r="A220">
        <v>3091</v>
      </c>
      <c r="B220">
        <v>113029</v>
      </c>
      <c r="C220" s="20">
        <v>1</v>
      </c>
      <c r="D220" s="48" t="s">
        <v>40</v>
      </c>
      <c r="E220" s="49">
        <v>1</v>
      </c>
      <c r="H220" s="57">
        <v>61123</v>
      </c>
      <c r="L220" s="43">
        <v>1800</v>
      </c>
      <c r="M220" s="41" t="s">
        <v>399</v>
      </c>
      <c r="N220" s="41" t="s">
        <v>77</v>
      </c>
      <c r="P220" s="41">
        <v>0.025</v>
      </c>
      <c r="Q220" t="s">
        <v>400</v>
      </c>
      <c r="R220">
        <f>VLOOKUP(B220,[2]Sheet1!$A$7:$U$626,21,0)</f>
        <v>3</v>
      </c>
    </row>
    <row r="221" spans="1:18">
      <c r="A221">
        <v>3092</v>
      </c>
      <c r="B221">
        <v>113029</v>
      </c>
      <c r="C221" s="20">
        <v>2</v>
      </c>
      <c r="D221" s="48" t="s">
        <v>43</v>
      </c>
      <c r="E221" s="49">
        <v>1</v>
      </c>
      <c r="H221" s="57">
        <v>61124</v>
      </c>
      <c r="L221" s="43">
        <v>2800</v>
      </c>
      <c r="M221" s="41" t="s">
        <v>401</v>
      </c>
      <c r="N221" s="41" t="s">
        <v>72</v>
      </c>
      <c r="P221" s="41">
        <v>0.0375</v>
      </c>
      <c r="Q221" t="s">
        <v>400</v>
      </c>
      <c r="R221">
        <f>VLOOKUP(B221,[2]Sheet1!$A$7:$U$626,21,0)</f>
        <v>3</v>
      </c>
    </row>
    <row r="222" spans="1:18">
      <c r="A222">
        <v>3093</v>
      </c>
      <c r="B222">
        <v>113029</v>
      </c>
      <c r="C222" s="20">
        <v>3</v>
      </c>
      <c r="D222" s="48" t="s">
        <v>212</v>
      </c>
      <c r="E222" s="49">
        <v>1</v>
      </c>
      <c r="H222" s="57">
        <v>61125</v>
      </c>
      <c r="L222" s="43">
        <v>5000</v>
      </c>
      <c r="M222" s="41" t="s">
        <v>402</v>
      </c>
      <c r="N222" s="41" t="s">
        <v>49</v>
      </c>
      <c r="P222" s="41">
        <v>0.05</v>
      </c>
      <c r="Q222" t="s">
        <v>400</v>
      </c>
      <c r="R222">
        <f>VLOOKUP(B222,[2]Sheet1!$A$7:$U$626,21,0)</f>
        <v>3</v>
      </c>
    </row>
    <row r="223" s="1" customFormat="1" spans="1:18">
      <c r="A223" s="1">
        <v>3094</v>
      </c>
      <c r="B223" s="1">
        <v>113031</v>
      </c>
      <c r="C223" s="1">
        <v>1</v>
      </c>
      <c r="D223" s="58" t="s">
        <v>40</v>
      </c>
      <c r="E223" s="59">
        <v>1</v>
      </c>
      <c r="F223" s="58"/>
      <c r="G223" s="58"/>
      <c r="H223" s="59">
        <v>61126</v>
      </c>
      <c r="I223" s="58"/>
      <c r="J223" s="58"/>
      <c r="K223" s="58"/>
      <c r="L223" s="58">
        <v>1900</v>
      </c>
      <c r="M223" s="58" t="s">
        <v>403</v>
      </c>
      <c r="N223" s="58" t="s">
        <v>61</v>
      </c>
      <c r="O223" s="58"/>
      <c r="P223" s="41">
        <v>0.025</v>
      </c>
      <c r="Q223" s="1" t="s">
        <v>404</v>
      </c>
      <c r="R223" s="1">
        <f>VLOOKUP(B223,[2]Sheet1!$A$7:$U$626,21,0)</f>
        <v>3</v>
      </c>
    </row>
    <row r="224" s="1" customFormat="1" spans="1:18">
      <c r="A224" s="1">
        <v>3095</v>
      </c>
      <c r="B224" s="1">
        <v>113031</v>
      </c>
      <c r="C224" s="1">
        <v>2</v>
      </c>
      <c r="D224" s="58" t="s">
        <v>43</v>
      </c>
      <c r="E224" s="59">
        <v>1</v>
      </c>
      <c r="F224" s="58"/>
      <c r="G224" s="58"/>
      <c r="H224" s="59" t="s">
        <v>405</v>
      </c>
      <c r="I224" s="58"/>
      <c r="J224" s="58"/>
      <c r="K224" s="58"/>
      <c r="L224" s="58">
        <v>2500</v>
      </c>
      <c r="M224" s="58" t="s">
        <v>406</v>
      </c>
      <c r="N224" s="58" t="s">
        <v>77</v>
      </c>
      <c r="O224" s="58"/>
      <c r="P224" s="41">
        <v>0.0375</v>
      </c>
      <c r="Q224" s="1" t="s">
        <v>404</v>
      </c>
      <c r="R224" s="1">
        <f>VLOOKUP(B224,[2]Sheet1!$A$7:$U$626,21,0)</f>
        <v>3</v>
      </c>
    </row>
    <row r="225" s="1" customFormat="1" spans="1:18">
      <c r="A225" s="1">
        <v>3096</v>
      </c>
      <c r="B225" s="1">
        <v>113031</v>
      </c>
      <c r="C225" s="1">
        <v>3</v>
      </c>
      <c r="D225" s="58" t="s">
        <v>212</v>
      </c>
      <c r="E225" s="59">
        <v>1</v>
      </c>
      <c r="F225" s="58"/>
      <c r="G225" s="58"/>
      <c r="H225" s="59"/>
      <c r="I225" s="58"/>
      <c r="J225" s="58" t="s">
        <v>407</v>
      </c>
      <c r="K225" s="58"/>
      <c r="L225" s="58">
        <v>4900</v>
      </c>
      <c r="M225" s="58" t="s">
        <v>408</v>
      </c>
      <c r="N225" s="58" t="s">
        <v>90</v>
      </c>
      <c r="O225" s="58"/>
      <c r="P225" s="41">
        <v>0.05</v>
      </c>
      <c r="Q225" s="1" t="s">
        <v>404</v>
      </c>
      <c r="R225" s="1">
        <f>VLOOKUP(B225,[2]Sheet1!$A$7:$U$626,21,0)</f>
        <v>3</v>
      </c>
    </row>
    <row r="226" s="2" customFormat="1" spans="1:18">
      <c r="A226" s="2">
        <v>3097</v>
      </c>
      <c r="B226" s="2">
        <v>113032</v>
      </c>
      <c r="C226" s="2">
        <v>1</v>
      </c>
      <c r="D226" s="60" t="s">
        <v>40</v>
      </c>
      <c r="E226" s="61">
        <v>1</v>
      </c>
      <c r="F226" s="60"/>
      <c r="G226" s="60"/>
      <c r="H226" s="61" t="s">
        <v>409</v>
      </c>
      <c r="I226" s="60"/>
      <c r="J226" s="60"/>
      <c r="K226" s="60"/>
      <c r="L226" s="82">
        <v>1800</v>
      </c>
      <c r="M226" s="60" t="s">
        <v>410</v>
      </c>
      <c r="N226" s="60" t="s">
        <v>53</v>
      </c>
      <c r="O226" s="60"/>
      <c r="P226" s="41">
        <v>0.025</v>
      </c>
      <c r="Q226" s="2" t="s">
        <v>411</v>
      </c>
      <c r="R226" s="2">
        <f>VLOOKUP(B226,[2]Sheet1!$A$7:$U$626,21,0)</f>
        <v>3</v>
      </c>
    </row>
    <row r="227" s="2" customFormat="1" spans="1:18">
      <c r="A227" s="2">
        <v>3098</v>
      </c>
      <c r="B227" s="2">
        <v>113032</v>
      </c>
      <c r="C227" s="2">
        <v>2</v>
      </c>
      <c r="D227" s="60" t="s">
        <v>43</v>
      </c>
      <c r="E227" s="61">
        <v>1</v>
      </c>
      <c r="F227" s="60"/>
      <c r="G227" s="60"/>
      <c r="H227" s="61" t="s">
        <v>412</v>
      </c>
      <c r="I227" s="60"/>
      <c r="K227" s="60"/>
      <c r="L227" s="82">
        <v>2600</v>
      </c>
      <c r="M227" s="60" t="s">
        <v>413</v>
      </c>
      <c r="N227" s="60" t="s">
        <v>42</v>
      </c>
      <c r="O227" s="60"/>
      <c r="P227" s="41">
        <v>0.0375</v>
      </c>
      <c r="Q227" s="2" t="s">
        <v>411</v>
      </c>
      <c r="R227" s="2">
        <f>VLOOKUP(B227,[2]Sheet1!$A$7:$U$626,21,0)</f>
        <v>3</v>
      </c>
    </row>
    <row r="228" s="2" customFormat="1" spans="1:18">
      <c r="A228" s="2">
        <v>3099</v>
      </c>
      <c r="B228" s="2">
        <v>113032</v>
      </c>
      <c r="C228" s="2">
        <v>3</v>
      </c>
      <c r="D228" s="60" t="s">
        <v>212</v>
      </c>
      <c r="E228" s="61">
        <v>1</v>
      </c>
      <c r="F228" s="60"/>
      <c r="G228" s="60"/>
      <c r="H228" s="61" t="s">
        <v>414</v>
      </c>
      <c r="I228" s="60"/>
      <c r="K228" s="60"/>
      <c r="L228" s="82">
        <v>4800</v>
      </c>
      <c r="M228" s="60" t="s">
        <v>415</v>
      </c>
      <c r="N228" s="60" t="s">
        <v>45</v>
      </c>
      <c r="O228" s="60"/>
      <c r="P228" s="41">
        <v>0.05</v>
      </c>
      <c r="Q228" s="2" t="s">
        <v>411</v>
      </c>
      <c r="R228" s="2">
        <f>VLOOKUP(B228,[2]Sheet1!$A$7:$U$626,21,0)</f>
        <v>3</v>
      </c>
    </row>
    <row r="229" s="3" customFormat="1" spans="1:18">
      <c r="A229" s="3">
        <v>3100</v>
      </c>
      <c r="B229" s="3">
        <v>113033</v>
      </c>
      <c r="C229" s="3">
        <v>1</v>
      </c>
      <c r="D229" s="62" t="s">
        <v>40</v>
      </c>
      <c r="E229" s="63">
        <v>1</v>
      </c>
      <c r="F229" s="62"/>
      <c r="G229" s="62"/>
      <c r="H229" s="63">
        <v>61132</v>
      </c>
      <c r="I229" s="62"/>
      <c r="J229" s="62"/>
      <c r="K229" s="62"/>
      <c r="L229" s="83">
        <v>1800</v>
      </c>
      <c r="M229" s="62" t="s">
        <v>416</v>
      </c>
      <c r="N229" s="62" t="s">
        <v>49</v>
      </c>
      <c r="O229" s="62"/>
      <c r="P229" s="41">
        <v>0.025</v>
      </c>
      <c r="Q229" s="3" t="s">
        <v>417</v>
      </c>
      <c r="R229" s="3">
        <f>VLOOKUP(B229,[2]Sheet1!$A$7:$U$626,21,0)</f>
        <v>3</v>
      </c>
    </row>
    <row r="230" s="3" customFormat="1" spans="1:18">
      <c r="A230" s="3">
        <v>3101</v>
      </c>
      <c r="B230" s="3">
        <v>113033</v>
      </c>
      <c r="C230" s="3">
        <v>2</v>
      </c>
      <c r="D230" s="62" t="s">
        <v>43</v>
      </c>
      <c r="E230" s="63">
        <v>1</v>
      </c>
      <c r="F230" s="62"/>
      <c r="G230" s="62"/>
      <c r="H230" s="64"/>
      <c r="I230" s="62"/>
      <c r="J230" s="62">
        <v>61133</v>
      </c>
      <c r="K230" s="62"/>
      <c r="L230" s="83">
        <v>2600</v>
      </c>
      <c r="M230" s="62" t="s">
        <v>418</v>
      </c>
      <c r="N230" s="62" t="s">
        <v>61</v>
      </c>
      <c r="O230" s="62"/>
      <c r="P230" s="41">
        <v>0.0375</v>
      </c>
      <c r="Q230" s="3" t="s">
        <v>417</v>
      </c>
      <c r="R230" s="3">
        <f>VLOOKUP(B230,[2]Sheet1!$A$7:$U$626,21,0)</f>
        <v>3</v>
      </c>
    </row>
    <row r="231" s="3" customFormat="1" spans="1:18">
      <c r="A231" s="3">
        <v>3102</v>
      </c>
      <c r="B231" s="3">
        <v>113033</v>
      </c>
      <c r="C231" s="3">
        <v>3</v>
      </c>
      <c r="D231" s="62" t="s">
        <v>212</v>
      </c>
      <c r="E231" s="63">
        <v>1</v>
      </c>
      <c r="F231" s="62"/>
      <c r="G231" s="62"/>
      <c r="H231" s="64"/>
      <c r="I231" s="62"/>
      <c r="J231" s="62">
        <v>61134</v>
      </c>
      <c r="K231" s="62"/>
      <c r="L231" s="64">
        <v>4800</v>
      </c>
      <c r="M231" s="62" t="s">
        <v>419</v>
      </c>
      <c r="N231" s="62" t="s">
        <v>45</v>
      </c>
      <c r="O231" s="62"/>
      <c r="P231" s="41">
        <v>0.05</v>
      </c>
      <c r="Q231" s="3" t="s">
        <v>417</v>
      </c>
      <c r="R231" s="3">
        <f>VLOOKUP(B231,[2]Sheet1!$A$7:$U$626,21,0)</f>
        <v>3</v>
      </c>
    </row>
    <row r="232" s="4" customFormat="1" spans="1:18">
      <c r="A232" s="4">
        <v>3103</v>
      </c>
      <c r="B232" s="4">
        <v>113037</v>
      </c>
      <c r="C232" s="4">
        <v>1</v>
      </c>
      <c r="D232" s="65" t="s">
        <v>40</v>
      </c>
      <c r="E232" s="66">
        <v>1</v>
      </c>
      <c r="F232" s="65"/>
      <c r="G232" s="65"/>
      <c r="H232" s="66">
        <v>61136</v>
      </c>
      <c r="I232" s="65"/>
      <c r="J232" s="65"/>
      <c r="K232" s="65"/>
      <c r="L232" s="84">
        <v>1850</v>
      </c>
      <c r="M232" s="65" t="s">
        <v>420</v>
      </c>
      <c r="N232" s="65" t="s">
        <v>81</v>
      </c>
      <c r="O232" s="65"/>
      <c r="P232" s="41">
        <v>0.025</v>
      </c>
      <c r="Q232" s="4" t="s">
        <v>421</v>
      </c>
      <c r="R232" s="4">
        <f>VLOOKUP(B232,[2]Sheet1!$A$7:$U$626,21,0)</f>
        <v>3</v>
      </c>
    </row>
    <row r="233" s="4" customFormat="1" spans="1:18">
      <c r="A233" s="4">
        <v>3104</v>
      </c>
      <c r="B233" s="4">
        <v>113037</v>
      </c>
      <c r="C233" s="4">
        <v>2</v>
      </c>
      <c r="D233" s="65" t="s">
        <v>43</v>
      </c>
      <c r="E233" s="66">
        <v>1</v>
      </c>
      <c r="F233" s="65"/>
      <c r="G233" s="65"/>
      <c r="H233" s="66"/>
      <c r="I233" s="65"/>
      <c r="J233" s="65" t="s">
        <v>422</v>
      </c>
      <c r="K233" s="65"/>
      <c r="L233" s="84">
        <v>2700</v>
      </c>
      <c r="M233" s="65" t="s">
        <v>423</v>
      </c>
      <c r="N233" s="65" t="s">
        <v>72</v>
      </c>
      <c r="O233" s="65"/>
      <c r="P233" s="41">
        <v>0.0375</v>
      </c>
      <c r="Q233" s="4" t="s">
        <v>421</v>
      </c>
      <c r="R233" s="4">
        <f>VLOOKUP(B233,[2]Sheet1!$A$7:$U$626,21,0)</f>
        <v>3</v>
      </c>
    </row>
    <row r="234" s="4" customFormat="1" spans="1:18">
      <c r="A234" s="4">
        <v>3105</v>
      </c>
      <c r="B234" s="4">
        <v>113037</v>
      </c>
      <c r="C234" s="4">
        <v>3</v>
      </c>
      <c r="D234" s="65" t="s">
        <v>212</v>
      </c>
      <c r="E234" s="66">
        <v>1</v>
      </c>
      <c r="F234" s="65"/>
      <c r="G234" s="65"/>
      <c r="H234" s="66"/>
      <c r="I234" s="65"/>
      <c r="J234" s="65" t="s">
        <v>424</v>
      </c>
      <c r="K234" s="65"/>
      <c r="L234" s="84">
        <v>4850</v>
      </c>
      <c r="M234" s="65" t="s">
        <v>425</v>
      </c>
      <c r="N234" s="65" t="s">
        <v>49</v>
      </c>
      <c r="O234" s="65"/>
      <c r="P234" s="41">
        <v>0.05</v>
      </c>
      <c r="Q234" s="4" t="s">
        <v>421</v>
      </c>
      <c r="R234" s="4">
        <f>VLOOKUP(B234,[2]Sheet1!$A$7:$U$626,21,0)</f>
        <v>3</v>
      </c>
    </row>
    <row r="235" s="3" customFormat="1" spans="1:18">
      <c r="A235" s="3">
        <v>3106</v>
      </c>
      <c r="B235" s="3">
        <v>113038</v>
      </c>
      <c r="C235" s="3">
        <v>1</v>
      </c>
      <c r="D235" s="62" t="s">
        <v>40</v>
      </c>
      <c r="E235" s="63">
        <v>1</v>
      </c>
      <c r="F235" s="62"/>
      <c r="G235" s="62"/>
      <c r="H235" s="63">
        <v>61139</v>
      </c>
      <c r="I235" s="62"/>
      <c r="J235" s="62"/>
      <c r="K235" s="62"/>
      <c r="L235" s="64">
        <v>1900</v>
      </c>
      <c r="M235" s="64" t="s">
        <v>426</v>
      </c>
      <c r="N235" s="62" t="s">
        <v>45</v>
      </c>
      <c r="O235" s="62"/>
      <c r="P235" s="41">
        <v>0.025</v>
      </c>
      <c r="Q235" s="3" t="s">
        <v>427</v>
      </c>
      <c r="R235" s="3">
        <f>VLOOKUP(B235,[2]Sheet1!$A$7:$U$626,21,0)</f>
        <v>3</v>
      </c>
    </row>
    <row r="236" s="3" customFormat="1" spans="1:18">
      <c r="A236" s="3">
        <v>3107</v>
      </c>
      <c r="B236" s="3">
        <v>113038</v>
      </c>
      <c r="C236" s="3">
        <v>2</v>
      </c>
      <c r="D236" s="62" t="s">
        <v>43</v>
      </c>
      <c r="E236" s="63">
        <v>1</v>
      </c>
      <c r="F236" s="62"/>
      <c r="G236" s="62"/>
      <c r="H236" s="63">
        <v>61140</v>
      </c>
      <c r="I236" s="62"/>
      <c r="J236" s="62"/>
      <c r="K236" s="62"/>
      <c r="L236" s="64">
        <v>2500</v>
      </c>
      <c r="M236" s="64" t="s">
        <v>428</v>
      </c>
      <c r="N236" s="62" t="s">
        <v>45</v>
      </c>
      <c r="O236" s="62"/>
      <c r="P236" s="41">
        <v>0.0375</v>
      </c>
      <c r="Q236" s="3" t="s">
        <v>427</v>
      </c>
      <c r="R236" s="3">
        <f>VLOOKUP(B236,[2]Sheet1!$A$7:$U$626,21,0)</f>
        <v>3</v>
      </c>
    </row>
    <row r="237" s="3" customFormat="1" spans="1:18">
      <c r="A237" s="3">
        <v>3108</v>
      </c>
      <c r="B237" s="3">
        <v>113038</v>
      </c>
      <c r="C237" s="3">
        <v>3</v>
      </c>
      <c r="D237" s="62" t="s">
        <v>212</v>
      </c>
      <c r="E237" s="63">
        <v>1</v>
      </c>
      <c r="F237" s="62"/>
      <c r="G237" s="62"/>
      <c r="H237" s="63">
        <v>61141</v>
      </c>
      <c r="I237" s="62"/>
      <c r="J237" s="62"/>
      <c r="K237" s="62"/>
      <c r="L237" s="64">
        <v>4900</v>
      </c>
      <c r="M237" s="64" t="s">
        <v>429</v>
      </c>
      <c r="N237" s="62" t="s">
        <v>45</v>
      </c>
      <c r="O237" s="62"/>
      <c r="P237" s="41">
        <v>0.05</v>
      </c>
      <c r="Q237" s="3" t="s">
        <v>427</v>
      </c>
      <c r="R237" s="3">
        <f>VLOOKUP(B237,[2]Sheet1!$A$7:$U$626,21,0)</f>
        <v>3</v>
      </c>
    </row>
    <row r="238" s="5" customFormat="1" spans="1:18">
      <c r="A238" s="5">
        <v>3109</v>
      </c>
      <c r="B238" s="5">
        <v>113039</v>
      </c>
      <c r="C238" s="5">
        <v>1</v>
      </c>
      <c r="D238" s="67" t="s">
        <v>40</v>
      </c>
      <c r="E238" s="68">
        <v>1</v>
      </c>
      <c r="F238" s="67"/>
      <c r="G238" s="67"/>
      <c r="H238" s="68"/>
      <c r="I238" s="67"/>
      <c r="J238" s="67" t="s">
        <v>430</v>
      </c>
      <c r="K238" s="67"/>
      <c r="L238" s="85">
        <v>1900</v>
      </c>
      <c r="M238" s="67" t="s">
        <v>431</v>
      </c>
      <c r="N238" s="67" t="s">
        <v>61</v>
      </c>
      <c r="O238" s="67"/>
      <c r="P238" s="41">
        <v>0.025</v>
      </c>
      <c r="Q238" s="5" t="s">
        <v>432</v>
      </c>
      <c r="R238" s="5">
        <f>VLOOKUP(B238,[2]Sheet1!$A$7:$U$626,21,0)</f>
        <v>3</v>
      </c>
    </row>
    <row r="239" s="5" customFormat="1" spans="1:18">
      <c r="A239" s="5">
        <v>3110</v>
      </c>
      <c r="B239" s="5">
        <v>113039</v>
      </c>
      <c r="C239" s="5">
        <v>2</v>
      </c>
      <c r="D239" s="67" t="s">
        <v>43</v>
      </c>
      <c r="E239" s="68">
        <v>1</v>
      </c>
      <c r="F239" s="67"/>
      <c r="G239" s="67"/>
      <c r="H239" s="68" t="s">
        <v>433</v>
      </c>
      <c r="I239" s="67"/>
      <c r="J239" s="67"/>
      <c r="K239" s="67"/>
      <c r="L239" s="85">
        <v>2800</v>
      </c>
      <c r="M239" s="67" t="s">
        <v>434</v>
      </c>
      <c r="N239" s="67" t="s">
        <v>49</v>
      </c>
      <c r="O239" s="67"/>
      <c r="P239" s="41">
        <v>0.0375</v>
      </c>
      <c r="Q239" s="5" t="s">
        <v>432</v>
      </c>
      <c r="R239" s="5">
        <f>VLOOKUP(B239,[2]Sheet1!$A$7:$U$626,21,0)</f>
        <v>3</v>
      </c>
    </row>
    <row r="240" s="5" customFormat="1" spans="1:18">
      <c r="A240" s="5">
        <v>3111</v>
      </c>
      <c r="B240" s="5">
        <v>113039</v>
      </c>
      <c r="C240" s="5">
        <v>3</v>
      </c>
      <c r="D240" s="67" t="s">
        <v>212</v>
      </c>
      <c r="E240" s="68">
        <v>1</v>
      </c>
      <c r="F240" s="67"/>
      <c r="G240" s="67"/>
      <c r="H240" s="68" t="s">
        <v>435</v>
      </c>
      <c r="I240" s="67"/>
      <c r="J240" s="67"/>
      <c r="K240" s="67"/>
      <c r="L240" s="85">
        <v>4900</v>
      </c>
      <c r="M240" s="67" t="s">
        <v>436</v>
      </c>
      <c r="N240" s="67" t="s">
        <v>72</v>
      </c>
      <c r="O240" s="67"/>
      <c r="P240" s="41">
        <v>0.05</v>
      </c>
      <c r="Q240" s="5" t="s">
        <v>432</v>
      </c>
      <c r="R240" s="5">
        <f>VLOOKUP(B240,[2]Sheet1!$A$7:$U$626,21,0)</f>
        <v>3</v>
      </c>
    </row>
    <row r="241" s="6" customFormat="1" spans="1:18">
      <c r="A241" s="6">
        <v>3112</v>
      </c>
      <c r="B241" s="6">
        <v>113035</v>
      </c>
      <c r="C241" s="6">
        <v>1</v>
      </c>
      <c r="D241" s="69" t="s">
        <v>40</v>
      </c>
      <c r="E241" s="70">
        <v>1</v>
      </c>
      <c r="F241" s="69"/>
      <c r="G241" s="69"/>
      <c r="H241" s="70"/>
      <c r="I241" s="69"/>
      <c r="J241" s="69" t="s">
        <v>437</v>
      </c>
      <c r="K241" s="69"/>
      <c r="L241" s="86">
        <v>1800</v>
      </c>
      <c r="M241" s="69" t="s">
        <v>438</v>
      </c>
      <c r="N241" s="69" t="s">
        <v>42</v>
      </c>
      <c r="O241" s="69"/>
      <c r="P241" s="41">
        <v>0.025</v>
      </c>
      <c r="Q241" s="6" t="s">
        <v>439</v>
      </c>
      <c r="R241" s="6">
        <f>VLOOKUP(B241,[2]Sheet1!$A$7:$U$626,21,0)</f>
        <v>3</v>
      </c>
    </row>
    <row r="242" s="6" customFormat="1" spans="1:18">
      <c r="A242" s="6">
        <v>3113</v>
      </c>
      <c r="B242" s="6">
        <v>113035</v>
      </c>
      <c r="C242" s="6">
        <v>2</v>
      </c>
      <c r="D242" s="69" t="s">
        <v>43</v>
      </c>
      <c r="E242" s="70">
        <v>1</v>
      </c>
      <c r="F242" s="69"/>
      <c r="G242" s="69"/>
      <c r="H242" s="70" t="s">
        <v>440</v>
      </c>
      <c r="I242" s="69"/>
      <c r="J242" s="69"/>
      <c r="K242" s="69"/>
      <c r="L242" s="86">
        <v>2700</v>
      </c>
      <c r="M242" s="69" t="s">
        <v>441</v>
      </c>
      <c r="N242" s="69" t="s">
        <v>67</v>
      </c>
      <c r="O242" s="69"/>
      <c r="P242" s="41">
        <v>0.0375</v>
      </c>
      <c r="Q242" s="6" t="s">
        <v>439</v>
      </c>
      <c r="R242" s="6">
        <f>VLOOKUP(B242,[2]Sheet1!$A$7:$U$626,21,0)</f>
        <v>3</v>
      </c>
    </row>
    <row r="243" s="6" customFormat="1" spans="1:18">
      <c r="A243" s="6">
        <v>3114</v>
      </c>
      <c r="B243" s="6">
        <v>113035</v>
      </c>
      <c r="C243" s="6">
        <v>3</v>
      </c>
      <c r="D243" s="69" t="s">
        <v>212</v>
      </c>
      <c r="E243" s="70">
        <v>1</v>
      </c>
      <c r="F243" s="69"/>
      <c r="G243" s="69"/>
      <c r="H243" s="70"/>
      <c r="I243" s="69"/>
      <c r="J243" s="69" t="s">
        <v>442</v>
      </c>
      <c r="K243" s="69"/>
      <c r="L243" s="86">
        <v>4800</v>
      </c>
      <c r="M243" s="69" t="s">
        <v>443</v>
      </c>
      <c r="N243" s="69" t="s">
        <v>61</v>
      </c>
      <c r="O243" s="69"/>
      <c r="P243" s="41">
        <v>0.05</v>
      </c>
      <c r="Q243" s="6" t="s">
        <v>439</v>
      </c>
      <c r="R243" s="6">
        <f>VLOOKUP(B243,[2]Sheet1!$A$7:$U$626,21,0)</f>
        <v>3</v>
      </c>
    </row>
    <row r="244" s="7" customFormat="1" spans="1:18">
      <c r="A244" s="7">
        <v>3115</v>
      </c>
      <c r="B244" s="7">
        <v>113036</v>
      </c>
      <c r="C244" s="7">
        <v>1</v>
      </c>
      <c r="D244" s="71" t="s">
        <v>40</v>
      </c>
      <c r="E244" s="72">
        <v>1</v>
      </c>
      <c r="F244" s="71"/>
      <c r="G244" s="71"/>
      <c r="H244" s="72">
        <v>61149</v>
      </c>
      <c r="I244" s="71"/>
      <c r="J244" s="71"/>
      <c r="K244" s="71"/>
      <c r="L244" s="73">
        <v>1600</v>
      </c>
      <c r="M244" s="71" t="s">
        <v>444</v>
      </c>
      <c r="N244" s="71" t="s">
        <v>59</v>
      </c>
      <c r="O244" s="71"/>
      <c r="P244" s="41">
        <v>0.025</v>
      </c>
      <c r="Q244" s="7" t="s">
        <v>445</v>
      </c>
      <c r="R244" s="7">
        <f>VLOOKUP(B244,[2]Sheet1!$A$7:$U$626,21,0)</f>
        <v>3</v>
      </c>
    </row>
    <row r="245" s="7" customFormat="1" spans="1:18">
      <c r="A245" s="7">
        <v>3116</v>
      </c>
      <c r="B245" s="7">
        <v>113036</v>
      </c>
      <c r="C245" s="7">
        <v>2</v>
      </c>
      <c r="D245" s="71" t="s">
        <v>43</v>
      </c>
      <c r="E245" s="72">
        <v>1</v>
      </c>
      <c r="F245" s="71"/>
      <c r="G245" s="71"/>
      <c r="H245" s="72">
        <v>61150</v>
      </c>
      <c r="I245" s="71"/>
      <c r="J245" s="71"/>
      <c r="K245" s="71"/>
      <c r="L245" s="73">
        <v>3000</v>
      </c>
      <c r="M245" s="71" t="s">
        <v>446</v>
      </c>
      <c r="N245" s="71" t="s">
        <v>188</v>
      </c>
      <c r="O245" s="71"/>
      <c r="P245" s="41">
        <v>0.0375</v>
      </c>
      <c r="Q245" s="7" t="s">
        <v>445</v>
      </c>
      <c r="R245" s="7">
        <f>VLOOKUP(B245,[2]Sheet1!$A$7:$U$626,21,0)</f>
        <v>3</v>
      </c>
    </row>
    <row r="246" s="7" customFormat="1" spans="1:18">
      <c r="A246" s="7">
        <v>3117</v>
      </c>
      <c r="B246" s="7">
        <v>113036</v>
      </c>
      <c r="C246" s="7">
        <v>3</v>
      </c>
      <c r="D246" s="71" t="s">
        <v>212</v>
      </c>
      <c r="E246" s="72">
        <v>1</v>
      </c>
      <c r="F246" s="71"/>
      <c r="G246" s="71"/>
      <c r="H246" s="73"/>
      <c r="I246" s="71"/>
      <c r="J246" s="71">
        <v>61151</v>
      </c>
      <c r="K246" s="71"/>
      <c r="L246" s="73">
        <v>4700</v>
      </c>
      <c r="M246" s="71" t="s">
        <v>447</v>
      </c>
      <c r="N246" s="71" t="s">
        <v>67</v>
      </c>
      <c r="O246" s="71"/>
      <c r="P246" s="41">
        <v>0.05</v>
      </c>
      <c r="Q246" s="7" t="s">
        <v>445</v>
      </c>
      <c r="R246" s="7">
        <f>VLOOKUP(B246,[2]Sheet1!$A$7:$U$626,21,0)</f>
        <v>3</v>
      </c>
    </row>
    <row r="247" s="8" customFormat="1" spans="1:18">
      <c r="A247" s="8">
        <v>3118</v>
      </c>
      <c r="B247" s="8">
        <v>113043</v>
      </c>
      <c r="C247" s="8">
        <v>1</v>
      </c>
      <c r="D247" s="74" t="s">
        <v>40</v>
      </c>
      <c r="E247" s="75">
        <v>1</v>
      </c>
      <c r="F247" s="74"/>
      <c r="G247" s="74"/>
      <c r="H247" s="75">
        <v>61152</v>
      </c>
      <c r="I247" s="74"/>
      <c r="J247" s="74"/>
      <c r="K247" s="74"/>
      <c r="L247" s="87">
        <v>1700</v>
      </c>
      <c r="M247" s="74" t="s">
        <v>448</v>
      </c>
      <c r="N247" s="74" t="s">
        <v>45</v>
      </c>
      <c r="O247" s="74"/>
      <c r="P247" s="41">
        <v>0.025</v>
      </c>
      <c r="Q247" s="8" t="s">
        <v>449</v>
      </c>
      <c r="R247" s="8">
        <f>VLOOKUP(B247,[2]Sheet1!$A$7:$U$626,21,0)</f>
        <v>3</v>
      </c>
    </row>
    <row r="248" s="8" customFormat="1" spans="1:18">
      <c r="A248" s="8">
        <v>3119</v>
      </c>
      <c r="B248" s="8">
        <v>113043</v>
      </c>
      <c r="C248" s="8">
        <v>2</v>
      </c>
      <c r="D248" s="74" t="s">
        <v>43</v>
      </c>
      <c r="E248" s="75">
        <v>1</v>
      </c>
      <c r="F248" s="74"/>
      <c r="G248" s="74"/>
      <c r="H248" s="75">
        <v>61153</v>
      </c>
      <c r="I248" s="74"/>
      <c r="J248" s="74"/>
      <c r="K248" s="74"/>
      <c r="L248" s="87">
        <v>2800</v>
      </c>
      <c r="M248" s="74" t="s">
        <v>450</v>
      </c>
      <c r="N248" s="74" t="s">
        <v>81</v>
      </c>
      <c r="O248" s="74"/>
      <c r="P248" s="41">
        <v>0.0375</v>
      </c>
      <c r="Q248" s="8" t="s">
        <v>449</v>
      </c>
      <c r="R248" s="8">
        <f>VLOOKUP(B248,[2]Sheet1!$A$7:$U$626,21,0)</f>
        <v>3</v>
      </c>
    </row>
    <row r="249" s="8" customFormat="1" spans="1:18">
      <c r="A249" s="8">
        <v>3120</v>
      </c>
      <c r="B249" s="8">
        <v>113043</v>
      </c>
      <c r="C249" s="8">
        <v>3</v>
      </c>
      <c r="D249" s="74" t="s">
        <v>212</v>
      </c>
      <c r="E249" s="75">
        <v>1</v>
      </c>
      <c r="F249" s="74"/>
      <c r="G249" s="74"/>
      <c r="H249" s="75">
        <v>61154</v>
      </c>
      <c r="I249" s="74"/>
      <c r="J249" s="74"/>
      <c r="K249" s="74"/>
      <c r="L249" s="87">
        <v>4900</v>
      </c>
      <c r="M249" s="74" t="s">
        <v>451</v>
      </c>
      <c r="N249" s="74" t="s">
        <v>61</v>
      </c>
      <c r="O249" s="74"/>
      <c r="P249" s="41">
        <v>0.05</v>
      </c>
      <c r="Q249" s="8" t="s">
        <v>449</v>
      </c>
      <c r="R249" s="8">
        <f>VLOOKUP(B249,[2]Sheet1!$A$7:$U$626,21,0)</f>
        <v>3</v>
      </c>
    </row>
    <row r="250" s="9" customFormat="1" spans="1:18">
      <c r="A250" s="9">
        <v>3121</v>
      </c>
      <c r="B250" s="9">
        <v>113034</v>
      </c>
      <c r="C250" s="9">
        <v>1</v>
      </c>
      <c r="D250" s="76" t="s">
        <v>40</v>
      </c>
      <c r="E250" s="77">
        <v>1</v>
      </c>
      <c r="F250" s="76"/>
      <c r="G250" s="76"/>
      <c r="H250" s="77" t="s">
        <v>452</v>
      </c>
      <c r="I250" s="76"/>
      <c r="J250" s="76"/>
      <c r="K250" s="76"/>
      <c r="L250" s="78">
        <v>1500</v>
      </c>
      <c r="M250" s="76" t="s">
        <v>453</v>
      </c>
      <c r="N250" s="76" t="s">
        <v>90</v>
      </c>
      <c r="O250" s="76"/>
      <c r="P250" s="41">
        <v>0.025</v>
      </c>
      <c r="Q250" s="9" t="s">
        <v>454</v>
      </c>
      <c r="R250" s="9">
        <f>VLOOKUP(B250,[2]Sheet1!$A$7:$U$626,21,0)</f>
        <v>3</v>
      </c>
    </row>
    <row r="251" s="9" customFormat="1" spans="1:18">
      <c r="A251" s="9">
        <v>3122</v>
      </c>
      <c r="B251" s="9">
        <v>113034</v>
      </c>
      <c r="C251" s="9">
        <v>2</v>
      </c>
      <c r="D251" s="76" t="s">
        <v>43</v>
      </c>
      <c r="E251" s="77">
        <v>1</v>
      </c>
      <c r="F251" s="76"/>
      <c r="G251" s="76"/>
      <c r="H251" s="77" t="s">
        <v>455</v>
      </c>
      <c r="I251" s="76"/>
      <c r="J251" s="76"/>
      <c r="K251" s="76"/>
      <c r="L251" s="78">
        <v>2700</v>
      </c>
      <c r="M251" s="76" t="s">
        <v>456</v>
      </c>
      <c r="N251" s="76" t="s">
        <v>77</v>
      </c>
      <c r="O251" s="76"/>
      <c r="P251" s="41">
        <v>0.0375</v>
      </c>
      <c r="Q251" s="9" t="s">
        <v>454</v>
      </c>
      <c r="R251" s="9">
        <f>VLOOKUP(B251,[2]Sheet1!$A$7:$U$626,21,0)</f>
        <v>3</v>
      </c>
    </row>
    <row r="252" s="9" customFormat="1" spans="1:18">
      <c r="A252" s="9">
        <v>3123</v>
      </c>
      <c r="B252" s="9">
        <v>113034</v>
      </c>
      <c r="C252" s="9">
        <v>3</v>
      </c>
      <c r="D252" s="76" t="s">
        <v>212</v>
      </c>
      <c r="E252" s="77">
        <v>1</v>
      </c>
      <c r="F252" s="76"/>
      <c r="G252" s="76"/>
      <c r="H252" s="78"/>
      <c r="I252" s="76"/>
      <c r="J252" s="76" t="s">
        <v>457</v>
      </c>
      <c r="K252" s="76"/>
      <c r="L252" s="78">
        <v>4600</v>
      </c>
      <c r="M252" s="76" t="s">
        <v>458</v>
      </c>
      <c r="N252" s="76" t="s">
        <v>61</v>
      </c>
      <c r="O252" s="76"/>
      <c r="P252" s="41">
        <v>0.05</v>
      </c>
      <c r="Q252" s="9" t="s">
        <v>454</v>
      </c>
      <c r="R252" s="9">
        <f>VLOOKUP(B252,[2]Sheet1!$A$7:$U$626,21,0)</f>
        <v>3</v>
      </c>
    </row>
    <row r="253" s="1" customFormat="1" spans="1:18">
      <c r="A253" s="1">
        <v>3124</v>
      </c>
      <c r="B253" s="1">
        <v>113040</v>
      </c>
      <c r="C253" s="1">
        <v>1</v>
      </c>
      <c r="D253" s="58" t="s">
        <v>40</v>
      </c>
      <c r="E253" s="59">
        <v>1</v>
      </c>
      <c r="F253" s="58"/>
      <c r="G253" s="58"/>
      <c r="H253" s="59">
        <v>61158</v>
      </c>
      <c r="I253" s="58"/>
      <c r="J253" s="58"/>
      <c r="K253" s="58"/>
      <c r="L253" s="57">
        <v>1800</v>
      </c>
      <c r="M253" s="58" t="s">
        <v>459</v>
      </c>
      <c r="N253" s="58" t="s">
        <v>59</v>
      </c>
      <c r="O253" s="58"/>
      <c r="P253" s="41">
        <v>0.025</v>
      </c>
      <c r="Q253" s="1" t="s">
        <v>460</v>
      </c>
      <c r="R253" s="1">
        <f>VLOOKUP(B253,[2]Sheet1!$A$7:$U$626,21,0)</f>
        <v>3</v>
      </c>
    </row>
    <row r="254" s="1" customFormat="1" spans="1:18">
      <c r="A254" s="1">
        <v>3125</v>
      </c>
      <c r="B254" s="1">
        <v>113040</v>
      </c>
      <c r="C254" s="1">
        <v>2</v>
      </c>
      <c r="D254" s="58" t="s">
        <v>43</v>
      </c>
      <c r="E254" s="59">
        <v>1</v>
      </c>
      <c r="F254" s="58"/>
      <c r="G254" s="58"/>
      <c r="H254" s="59">
        <v>61159</v>
      </c>
      <c r="I254" s="58"/>
      <c r="J254" s="58"/>
      <c r="K254" s="58"/>
      <c r="L254" s="57">
        <v>2700</v>
      </c>
      <c r="M254" s="58" t="s">
        <v>461</v>
      </c>
      <c r="N254" s="58" t="s">
        <v>42</v>
      </c>
      <c r="O254" s="58"/>
      <c r="P254" s="41">
        <v>0.0375</v>
      </c>
      <c r="Q254" s="1" t="s">
        <v>460</v>
      </c>
      <c r="R254" s="1">
        <f>VLOOKUP(B254,[2]Sheet1!$A$7:$U$626,21,0)</f>
        <v>3</v>
      </c>
    </row>
    <row r="255" s="1" customFormat="1" spans="1:18">
      <c r="A255" s="1">
        <v>3126</v>
      </c>
      <c r="B255" s="1">
        <v>113040</v>
      </c>
      <c r="C255" s="1">
        <v>3</v>
      </c>
      <c r="D255" s="58" t="s">
        <v>212</v>
      </c>
      <c r="E255" s="59">
        <v>1</v>
      </c>
      <c r="F255" s="58"/>
      <c r="G255" s="58"/>
      <c r="H255" s="57"/>
      <c r="I255" s="58"/>
      <c r="J255" s="58">
        <v>61160</v>
      </c>
      <c r="K255" s="58"/>
      <c r="L255" s="57">
        <v>4700</v>
      </c>
      <c r="M255" s="58" t="s">
        <v>462</v>
      </c>
      <c r="N255" s="58" t="s">
        <v>53</v>
      </c>
      <c r="O255" s="58"/>
      <c r="P255" s="41">
        <v>0.05</v>
      </c>
      <c r="Q255" s="1" t="s">
        <v>460</v>
      </c>
      <c r="R255" s="1">
        <f>VLOOKUP(B255,[2]Sheet1!$A$7:$U$626,21,0)</f>
        <v>3</v>
      </c>
    </row>
    <row r="256" s="10" customFormat="1" spans="1:18">
      <c r="A256" s="10">
        <v>3127</v>
      </c>
      <c r="B256" s="10">
        <v>113042</v>
      </c>
      <c r="C256" s="10">
        <v>1</v>
      </c>
      <c r="D256" s="79" t="s">
        <v>40</v>
      </c>
      <c r="E256" s="80">
        <v>1</v>
      </c>
      <c r="F256" s="79"/>
      <c r="G256" s="79"/>
      <c r="H256" s="80" t="s">
        <v>463</v>
      </c>
      <c r="I256" s="79"/>
      <c r="J256" s="79"/>
      <c r="K256" s="79"/>
      <c r="L256" s="88">
        <v>1700</v>
      </c>
      <c r="M256" s="79" t="s">
        <v>464</v>
      </c>
      <c r="N256" s="79" t="s">
        <v>77</v>
      </c>
      <c r="O256" s="79"/>
      <c r="P256" s="41">
        <v>0.025</v>
      </c>
      <c r="Q256" s="10" t="s">
        <v>465</v>
      </c>
      <c r="R256" s="10">
        <f>VLOOKUP(B256,[2]Sheet1!$A$7:$U$626,21,0)</f>
        <v>3</v>
      </c>
    </row>
    <row r="257" s="10" customFormat="1" spans="1:18">
      <c r="A257" s="10">
        <v>3128</v>
      </c>
      <c r="B257" s="10">
        <v>113042</v>
      </c>
      <c r="C257" s="10">
        <v>2</v>
      </c>
      <c r="D257" s="79" t="s">
        <v>43</v>
      </c>
      <c r="E257" s="80">
        <v>1</v>
      </c>
      <c r="F257" s="79"/>
      <c r="G257" s="79"/>
      <c r="H257" s="80" t="s">
        <v>466</v>
      </c>
      <c r="I257" s="79"/>
      <c r="J257" s="79"/>
      <c r="K257" s="79"/>
      <c r="L257" s="88">
        <v>2600</v>
      </c>
      <c r="M257" s="79" t="s">
        <v>467</v>
      </c>
      <c r="N257" s="79" t="s">
        <v>49</v>
      </c>
      <c r="O257" s="79"/>
      <c r="P257" s="41">
        <v>0.0375</v>
      </c>
      <c r="Q257" s="10" t="s">
        <v>465</v>
      </c>
      <c r="R257" s="10">
        <f>VLOOKUP(B257,[2]Sheet1!$A$7:$U$626,21,0)</f>
        <v>3</v>
      </c>
    </row>
    <row r="258" s="10" customFormat="1" spans="1:18">
      <c r="A258" s="10">
        <v>3129</v>
      </c>
      <c r="B258" s="10">
        <v>113042</v>
      </c>
      <c r="C258" s="10">
        <v>3</v>
      </c>
      <c r="D258" s="79" t="s">
        <v>212</v>
      </c>
      <c r="E258" s="80">
        <v>1</v>
      </c>
      <c r="F258" s="79"/>
      <c r="G258" s="79"/>
      <c r="H258" s="80"/>
      <c r="I258" s="79"/>
      <c r="J258" s="79" t="s">
        <v>468</v>
      </c>
      <c r="K258" s="79"/>
      <c r="L258" s="88">
        <v>4700</v>
      </c>
      <c r="M258" s="79" t="s">
        <v>469</v>
      </c>
      <c r="N258" s="79" t="s">
        <v>61</v>
      </c>
      <c r="O258" s="79"/>
      <c r="P258" s="41">
        <v>0.05</v>
      </c>
      <c r="Q258" s="10" t="s">
        <v>465</v>
      </c>
      <c r="R258" s="10">
        <f>VLOOKUP(B258,[2]Sheet1!$A$7:$U$626,21,0)</f>
        <v>3</v>
      </c>
    </row>
    <row r="259" s="1" customFormat="1" spans="1:18">
      <c r="A259" s="1">
        <v>3130</v>
      </c>
      <c r="B259" s="1">
        <v>113044</v>
      </c>
      <c r="C259" s="1">
        <v>1</v>
      </c>
      <c r="D259" s="58" t="s">
        <v>40</v>
      </c>
      <c r="E259" s="59">
        <v>1</v>
      </c>
      <c r="F259" s="58"/>
      <c r="G259" s="58"/>
      <c r="H259" s="59"/>
      <c r="I259" s="58"/>
      <c r="J259" s="58" t="s">
        <v>470</v>
      </c>
      <c r="K259" s="58"/>
      <c r="L259" s="57">
        <v>1800</v>
      </c>
      <c r="M259" s="58" t="s">
        <v>471</v>
      </c>
      <c r="N259" s="58" t="s">
        <v>61</v>
      </c>
      <c r="O259" s="58"/>
      <c r="P259" s="41">
        <v>0.025</v>
      </c>
      <c r="Q259" s="1" t="s">
        <v>472</v>
      </c>
      <c r="R259" s="1">
        <f>VLOOKUP(B259,[2]Sheet1!$A$7:$U$626,21,0)</f>
        <v>3</v>
      </c>
    </row>
    <row r="260" s="1" customFormat="1" spans="1:18">
      <c r="A260" s="1">
        <v>3131</v>
      </c>
      <c r="B260" s="1">
        <v>113044</v>
      </c>
      <c r="C260" s="1">
        <v>2</v>
      </c>
      <c r="D260" s="58" t="s">
        <v>43</v>
      </c>
      <c r="E260" s="59">
        <v>1</v>
      </c>
      <c r="F260" s="58"/>
      <c r="G260" s="58"/>
      <c r="H260" s="59"/>
      <c r="I260" s="58"/>
      <c r="J260" s="58" t="s">
        <v>473</v>
      </c>
      <c r="K260" s="58"/>
      <c r="L260" s="57">
        <v>2800</v>
      </c>
      <c r="M260" s="58" t="s">
        <v>474</v>
      </c>
      <c r="N260" s="58" t="s">
        <v>61</v>
      </c>
      <c r="O260" s="58"/>
      <c r="P260" s="41">
        <v>0.0375</v>
      </c>
      <c r="Q260" s="1" t="s">
        <v>472</v>
      </c>
      <c r="R260" s="1">
        <f>VLOOKUP(B260,[2]Sheet1!$A$7:$U$626,21,0)</f>
        <v>3</v>
      </c>
    </row>
    <row r="261" s="1" customFormat="1" spans="1:18">
      <c r="A261" s="1">
        <v>3132</v>
      </c>
      <c r="B261" s="1">
        <v>113044</v>
      </c>
      <c r="C261" s="1">
        <v>3</v>
      </c>
      <c r="D261" s="58" t="s">
        <v>212</v>
      </c>
      <c r="E261" s="59">
        <v>1</v>
      </c>
      <c r="F261" s="58"/>
      <c r="G261" s="58"/>
      <c r="H261" s="59" t="s">
        <v>475</v>
      </c>
      <c r="I261" s="58"/>
      <c r="J261" s="58"/>
      <c r="K261" s="58"/>
      <c r="L261" s="57">
        <v>4900</v>
      </c>
      <c r="M261" s="58" t="s">
        <v>476</v>
      </c>
      <c r="N261" s="58" t="s">
        <v>45</v>
      </c>
      <c r="O261" s="58"/>
      <c r="P261" s="41">
        <v>0.05</v>
      </c>
      <c r="Q261" s="1" t="s">
        <v>472</v>
      </c>
      <c r="R261" s="1">
        <f>VLOOKUP(B261,[2]Sheet1!$A$7:$U$626,21,0)</f>
        <v>3</v>
      </c>
    </row>
    <row r="262" s="11" customFormat="1" spans="1:18">
      <c r="A262" s="11">
        <v>3133</v>
      </c>
      <c r="B262" s="11">
        <v>113041</v>
      </c>
      <c r="C262" s="11">
        <v>1</v>
      </c>
      <c r="D262" s="89" t="s">
        <v>40</v>
      </c>
      <c r="E262" s="90">
        <v>1</v>
      </c>
      <c r="F262" s="89"/>
      <c r="G262" s="89"/>
      <c r="H262" s="90" t="s">
        <v>477</v>
      </c>
      <c r="I262" s="89"/>
      <c r="J262" s="89"/>
      <c r="K262" s="89"/>
      <c r="L262" s="91">
        <v>1500</v>
      </c>
      <c r="M262" s="89" t="s">
        <v>478</v>
      </c>
      <c r="N262" s="89" t="s">
        <v>77</v>
      </c>
      <c r="O262" s="89"/>
      <c r="P262" s="41">
        <v>0.025</v>
      </c>
      <c r="Q262" s="11" t="s">
        <v>479</v>
      </c>
      <c r="R262" s="11">
        <f>VLOOKUP(B262,[2]Sheet1!$A$7:$U$626,21,0)</f>
        <v>3</v>
      </c>
    </row>
    <row r="263" s="11" customFormat="1" spans="1:18">
      <c r="A263" s="11">
        <v>3134</v>
      </c>
      <c r="B263" s="11">
        <v>113041</v>
      </c>
      <c r="C263" s="11">
        <v>2</v>
      </c>
      <c r="D263" s="89" t="s">
        <v>43</v>
      </c>
      <c r="E263" s="90">
        <v>1</v>
      </c>
      <c r="F263" s="89"/>
      <c r="G263" s="89"/>
      <c r="H263" s="90" t="s">
        <v>480</v>
      </c>
      <c r="I263" s="89"/>
      <c r="J263" s="89"/>
      <c r="K263" s="89"/>
      <c r="L263" s="91">
        <v>2700</v>
      </c>
      <c r="M263" s="89" t="s">
        <v>481</v>
      </c>
      <c r="N263" s="89" t="s">
        <v>77</v>
      </c>
      <c r="O263" s="89"/>
      <c r="P263" s="41">
        <v>0.0375</v>
      </c>
      <c r="Q263" s="11" t="s">
        <v>479</v>
      </c>
      <c r="R263" s="11">
        <f>VLOOKUP(B263,[2]Sheet1!$A$7:$U$626,21,0)</f>
        <v>3</v>
      </c>
    </row>
    <row r="264" s="11" customFormat="1" spans="1:18">
      <c r="A264" s="11">
        <v>3135</v>
      </c>
      <c r="B264" s="11">
        <v>113041</v>
      </c>
      <c r="C264" s="11">
        <v>3</v>
      </c>
      <c r="D264" s="89" t="s">
        <v>212</v>
      </c>
      <c r="E264" s="90">
        <v>1</v>
      </c>
      <c r="F264" s="89"/>
      <c r="G264" s="89"/>
      <c r="H264" s="91"/>
      <c r="I264" s="89"/>
      <c r="J264" s="89" t="s">
        <v>482</v>
      </c>
      <c r="K264" s="89"/>
      <c r="L264" s="91">
        <v>4800</v>
      </c>
      <c r="M264" s="89" t="s">
        <v>483</v>
      </c>
      <c r="N264" s="89" t="s">
        <v>53</v>
      </c>
      <c r="O264" s="89"/>
      <c r="P264" s="41">
        <v>0.05</v>
      </c>
      <c r="Q264" s="11" t="s">
        <v>479</v>
      </c>
      <c r="R264" s="11">
        <f>VLOOKUP(B264,[2]Sheet1!$A$7:$U$626,21,0)</f>
        <v>3</v>
      </c>
    </row>
    <row r="265" s="7" customFormat="1" spans="1:18">
      <c r="A265" s="7">
        <v>3136</v>
      </c>
      <c r="B265" s="7">
        <v>113045</v>
      </c>
      <c r="C265" s="7">
        <v>1</v>
      </c>
      <c r="D265" s="71" t="s">
        <v>40</v>
      </c>
      <c r="E265" s="72">
        <v>1</v>
      </c>
      <c r="F265" s="71"/>
      <c r="H265" s="72">
        <v>61171</v>
      </c>
      <c r="I265" s="71"/>
      <c r="J265" s="71"/>
      <c r="K265" s="71"/>
      <c r="L265" s="73">
        <v>1900</v>
      </c>
      <c r="M265" s="71" t="s">
        <v>448</v>
      </c>
      <c r="N265" s="71" t="s">
        <v>45</v>
      </c>
      <c r="O265" s="71"/>
      <c r="P265" s="41">
        <v>0.025</v>
      </c>
      <c r="Q265" s="7" t="s">
        <v>484</v>
      </c>
      <c r="R265" s="7">
        <f>VLOOKUP(B265,[2]Sheet1!$A$7:$U$626,21,0)</f>
        <v>3</v>
      </c>
    </row>
    <row r="266" s="7" customFormat="1" spans="1:18">
      <c r="A266" s="7">
        <v>3137</v>
      </c>
      <c r="B266" s="7">
        <v>113045</v>
      </c>
      <c r="C266" s="7">
        <v>2</v>
      </c>
      <c r="D266" s="71" t="s">
        <v>43</v>
      </c>
      <c r="E266" s="72">
        <v>1</v>
      </c>
      <c r="F266" s="71"/>
      <c r="G266" s="71"/>
      <c r="H266" s="72">
        <v>61172</v>
      </c>
      <c r="I266" s="71"/>
      <c r="J266" s="71"/>
      <c r="K266" s="71"/>
      <c r="L266" s="73">
        <v>2500</v>
      </c>
      <c r="M266" s="71" t="s">
        <v>485</v>
      </c>
      <c r="N266" s="71" t="s">
        <v>42</v>
      </c>
      <c r="O266" s="71"/>
      <c r="P266" s="41">
        <v>0.0375</v>
      </c>
      <c r="Q266" s="7" t="s">
        <v>484</v>
      </c>
      <c r="R266" s="7">
        <f>VLOOKUP(B266,[2]Sheet1!$A$7:$U$626,21,0)</f>
        <v>3</v>
      </c>
    </row>
    <row r="267" s="7" customFormat="1" spans="1:18">
      <c r="A267" s="7">
        <v>3138</v>
      </c>
      <c r="B267" s="7">
        <v>113045</v>
      </c>
      <c r="C267" s="7">
        <v>3</v>
      </c>
      <c r="D267" s="71" t="s">
        <v>212</v>
      </c>
      <c r="E267" s="72">
        <v>1</v>
      </c>
      <c r="F267" s="71"/>
      <c r="G267" s="71"/>
      <c r="H267" s="72">
        <v>61173</v>
      </c>
      <c r="J267" s="71"/>
      <c r="K267" s="71"/>
      <c r="L267" s="73">
        <v>4600</v>
      </c>
      <c r="M267" s="71" t="s">
        <v>486</v>
      </c>
      <c r="N267" s="71" t="s">
        <v>42</v>
      </c>
      <c r="O267" s="71"/>
      <c r="P267" s="41">
        <v>0.05</v>
      </c>
      <c r="Q267" s="7" t="s">
        <v>484</v>
      </c>
      <c r="R267" s="7">
        <f>VLOOKUP(B267,[2]Sheet1!$A$7:$U$626,21,0)</f>
        <v>3</v>
      </c>
    </row>
    <row r="268" s="12" customFormat="1" spans="1:18">
      <c r="A268" s="12">
        <v>3139</v>
      </c>
      <c r="B268" s="12">
        <v>113047</v>
      </c>
      <c r="C268" s="12">
        <v>1</v>
      </c>
      <c r="D268" s="92" t="s">
        <v>40</v>
      </c>
      <c r="E268" s="93">
        <v>1</v>
      </c>
      <c r="F268" s="92"/>
      <c r="G268" s="92"/>
      <c r="H268" s="93">
        <v>61175</v>
      </c>
      <c r="I268" s="92"/>
      <c r="J268" s="92"/>
      <c r="K268" s="92"/>
      <c r="L268" s="116">
        <v>2000</v>
      </c>
      <c r="M268" s="92" t="s">
        <v>487</v>
      </c>
      <c r="N268" s="92" t="s">
        <v>45</v>
      </c>
      <c r="O268" s="92"/>
      <c r="P268" s="41">
        <v>0.025</v>
      </c>
      <c r="Q268" s="12" t="s">
        <v>488</v>
      </c>
      <c r="R268" s="12">
        <f>VLOOKUP(B268,[2]Sheet1!$A$7:$U$626,21,0)</f>
        <v>3</v>
      </c>
    </row>
    <row r="269" s="12" customFormat="1" spans="1:18">
      <c r="A269" s="12">
        <v>3140</v>
      </c>
      <c r="B269" s="12">
        <v>113047</v>
      </c>
      <c r="C269" s="12">
        <v>2</v>
      </c>
      <c r="D269" s="92" t="s">
        <v>43</v>
      </c>
      <c r="E269" s="93">
        <v>1</v>
      </c>
      <c r="F269" s="92"/>
      <c r="G269" s="92"/>
      <c r="H269" s="93">
        <v>61176</v>
      </c>
      <c r="I269" s="92"/>
      <c r="J269" s="92"/>
      <c r="K269" s="92"/>
      <c r="L269" s="116">
        <v>2800</v>
      </c>
      <c r="M269" s="92" t="s">
        <v>489</v>
      </c>
      <c r="N269" s="92" t="s">
        <v>72</v>
      </c>
      <c r="O269" s="92"/>
      <c r="P269" s="41">
        <v>0.0375</v>
      </c>
      <c r="Q269" s="12" t="s">
        <v>488</v>
      </c>
      <c r="R269" s="12">
        <f>VLOOKUP(B269,[2]Sheet1!$A$7:$U$626,21,0)</f>
        <v>3</v>
      </c>
    </row>
    <row r="270" s="12" customFormat="1" spans="1:18">
      <c r="A270" s="12">
        <v>3141</v>
      </c>
      <c r="B270" s="12">
        <v>113047</v>
      </c>
      <c r="C270" s="12">
        <v>3</v>
      </c>
      <c r="D270" s="92" t="s">
        <v>212</v>
      </c>
      <c r="E270" s="93">
        <v>1</v>
      </c>
      <c r="F270" s="92"/>
      <c r="G270" s="92"/>
      <c r="H270" s="93">
        <v>61177</v>
      </c>
      <c r="I270" s="92"/>
      <c r="J270" s="92"/>
      <c r="K270" s="92"/>
      <c r="L270" s="116">
        <v>4800</v>
      </c>
      <c r="M270" s="92" t="s">
        <v>490</v>
      </c>
      <c r="N270" s="92" t="s">
        <v>65</v>
      </c>
      <c r="O270" s="92"/>
      <c r="P270" s="41">
        <v>0.05</v>
      </c>
      <c r="Q270" s="12" t="s">
        <v>488</v>
      </c>
      <c r="R270" s="12">
        <f>VLOOKUP(B270,[2]Sheet1!$A$7:$U$626,21,0)</f>
        <v>3</v>
      </c>
    </row>
    <row r="271" s="13" customFormat="1" spans="1:18">
      <c r="A271" s="13">
        <v>3142</v>
      </c>
      <c r="B271" s="13">
        <v>113046</v>
      </c>
      <c r="C271" s="13">
        <v>1</v>
      </c>
      <c r="D271" s="94" t="s">
        <v>40</v>
      </c>
      <c r="E271" s="95">
        <v>1</v>
      </c>
      <c r="F271" s="94"/>
      <c r="G271" s="94"/>
      <c r="H271" s="95">
        <v>61178</v>
      </c>
      <c r="I271" s="94"/>
      <c r="J271" s="94"/>
      <c r="K271" s="94"/>
      <c r="L271" s="96">
        <v>1900</v>
      </c>
      <c r="M271" s="94" t="s">
        <v>491</v>
      </c>
      <c r="N271" s="94" t="s">
        <v>45</v>
      </c>
      <c r="O271" s="94"/>
      <c r="P271" s="41">
        <v>0.025</v>
      </c>
      <c r="Q271" s="13" t="s">
        <v>492</v>
      </c>
      <c r="R271" s="13">
        <f>VLOOKUP(B271,[2]Sheet1!$A$7:$U$626,21,0)</f>
        <v>3</v>
      </c>
    </row>
    <row r="272" s="13" customFormat="1" spans="1:18">
      <c r="A272" s="13">
        <v>3143</v>
      </c>
      <c r="B272" s="13">
        <v>113046</v>
      </c>
      <c r="C272" s="13">
        <v>2</v>
      </c>
      <c r="D272" s="94" t="s">
        <v>43</v>
      </c>
      <c r="E272" s="95">
        <v>1</v>
      </c>
      <c r="F272" s="94"/>
      <c r="G272" s="94"/>
      <c r="H272" s="96"/>
      <c r="I272" s="94"/>
      <c r="J272" s="94">
        <v>61179</v>
      </c>
      <c r="K272" s="94"/>
      <c r="L272" s="96">
        <v>3000</v>
      </c>
      <c r="M272" s="94" t="s">
        <v>493</v>
      </c>
      <c r="N272" s="94" t="s">
        <v>67</v>
      </c>
      <c r="O272" s="94"/>
      <c r="P272" s="41">
        <v>0.0375</v>
      </c>
      <c r="Q272" s="13" t="s">
        <v>492</v>
      </c>
      <c r="R272" s="13">
        <f>VLOOKUP(B272,[2]Sheet1!$A$7:$U$626,21,0)</f>
        <v>3</v>
      </c>
    </row>
    <row r="273" s="13" customFormat="1" spans="1:18">
      <c r="A273" s="13">
        <v>3144</v>
      </c>
      <c r="B273" s="13">
        <v>113046</v>
      </c>
      <c r="C273" s="13">
        <v>3</v>
      </c>
      <c r="D273" s="94" t="s">
        <v>212</v>
      </c>
      <c r="E273" s="95">
        <v>1</v>
      </c>
      <c r="F273" s="94"/>
      <c r="G273" s="94"/>
      <c r="H273" s="96"/>
      <c r="I273" s="94"/>
      <c r="J273" s="94">
        <v>61180</v>
      </c>
      <c r="K273" s="94"/>
      <c r="L273" s="96">
        <v>5000</v>
      </c>
      <c r="M273" s="94" t="s">
        <v>494</v>
      </c>
      <c r="N273" s="94" t="s">
        <v>45</v>
      </c>
      <c r="O273" s="94"/>
      <c r="P273" s="41">
        <v>0.05</v>
      </c>
      <c r="Q273" s="13" t="s">
        <v>492</v>
      </c>
      <c r="R273" s="13">
        <f>VLOOKUP(B273,[2]Sheet1!$A$7:$U$626,21,0)</f>
        <v>3</v>
      </c>
    </row>
    <row r="274" s="14" customFormat="1" spans="1:18">
      <c r="A274" s="14">
        <v>3145</v>
      </c>
      <c r="B274" s="14">
        <v>113049</v>
      </c>
      <c r="C274" s="14">
        <v>1</v>
      </c>
      <c r="D274" s="97" t="s">
        <v>40</v>
      </c>
      <c r="E274" s="98">
        <v>1</v>
      </c>
      <c r="F274" s="97"/>
      <c r="G274" s="97"/>
      <c r="H274" s="98" t="s">
        <v>495</v>
      </c>
      <c r="I274" s="97"/>
      <c r="J274" s="97"/>
      <c r="K274" s="97"/>
      <c r="L274" s="117">
        <v>1800</v>
      </c>
      <c r="M274" s="97" t="s">
        <v>496</v>
      </c>
      <c r="N274" s="97" t="s">
        <v>77</v>
      </c>
      <c r="O274" s="97"/>
      <c r="P274" s="41">
        <v>0.025</v>
      </c>
      <c r="Q274" s="14" t="s">
        <v>232</v>
      </c>
      <c r="R274" s="14">
        <f>VLOOKUP(B274,[2]Sheet1!$A$7:$U$626,21,0)</f>
        <v>3</v>
      </c>
    </row>
    <row r="275" s="14" customFormat="1" spans="1:18">
      <c r="A275" s="14">
        <v>3146</v>
      </c>
      <c r="B275" s="14">
        <v>113049</v>
      </c>
      <c r="C275" s="14">
        <v>2</v>
      </c>
      <c r="D275" s="97" t="s">
        <v>43</v>
      </c>
      <c r="E275" s="98">
        <v>1</v>
      </c>
      <c r="F275" s="97"/>
      <c r="G275" s="97"/>
      <c r="H275" s="98"/>
      <c r="I275" s="97"/>
      <c r="J275" s="97" t="s">
        <v>497</v>
      </c>
      <c r="K275" s="97"/>
      <c r="L275" s="117">
        <v>2700</v>
      </c>
      <c r="M275" s="97" t="s">
        <v>498</v>
      </c>
      <c r="N275" s="97" t="s">
        <v>90</v>
      </c>
      <c r="O275" s="97"/>
      <c r="P275" s="41">
        <v>0.0375</v>
      </c>
      <c r="Q275" s="14" t="s">
        <v>232</v>
      </c>
      <c r="R275" s="14">
        <f>VLOOKUP(B275,[2]Sheet1!$A$7:$U$626,21,0)</f>
        <v>3</v>
      </c>
    </row>
    <row r="276" s="14" customFormat="1" spans="1:18">
      <c r="A276" s="14">
        <v>3147</v>
      </c>
      <c r="B276" s="14">
        <v>113049</v>
      </c>
      <c r="C276" s="14">
        <v>3</v>
      </c>
      <c r="D276" s="97" t="s">
        <v>212</v>
      </c>
      <c r="E276" s="98">
        <v>1</v>
      </c>
      <c r="F276" s="97"/>
      <c r="G276" s="97"/>
      <c r="H276" s="98" t="s">
        <v>499</v>
      </c>
      <c r="I276" s="97"/>
      <c r="J276" s="97"/>
      <c r="K276" s="97"/>
      <c r="L276" s="117">
        <v>4700</v>
      </c>
      <c r="M276" s="97" t="s">
        <v>500</v>
      </c>
      <c r="N276" s="97" t="s">
        <v>72</v>
      </c>
      <c r="O276" s="97"/>
      <c r="P276" s="41">
        <v>0.05</v>
      </c>
      <c r="Q276" s="14" t="s">
        <v>232</v>
      </c>
      <c r="R276" s="14">
        <f>VLOOKUP(B276,[2]Sheet1!$A$7:$U$626,21,0)</f>
        <v>3</v>
      </c>
    </row>
    <row r="277" s="15" customFormat="1" spans="1:18">
      <c r="A277" s="15">
        <v>3148</v>
      </c>
      <c r="B277" s="15">
        <v>113050</v>
      </c>
      <c r="C277" s="15">
        <v>1</v>
      </c>
      <c r="D277" s="99" t="s">
        <v>40</v>
      </c>
      <c r="E277" s="100">
        <v>1</v>
      </c>
      <c r="F277" s="99"/>
      <c r="G277" s="99"/>
      <c r="H277" s="100" t="s">
        <v>501</v>
      </c>
      <c r="I277" s="99"/>
      <c r="J277" s="99"/>
      <c r="K277" s="99"/>
      <c r="L277" s="118">
        <v>1800</v>
      </c>
      <c r="M277" s="99" t="s">
        <v>502</v>
      </c>
      <c r="N277" s="99" t="s">
        <v>77</v>
      </c>
      <c r="O277" s="99"/>
      <c r="P277" s="41">
        <v>0.025</v>
      </c>
      <c r="Q277" s="15" t="s">
        <v>273</v>
      </c>
      <c r="R277" s="15">
        <f>VLOOKUP(B277,[2]Sheet1!$A$7:$U$626,21,0)</f>
        <v>3</v>
      </c>
    </row>
    <row r="278" s="15" customFormat="1" spans="1:18">
      <c r="A278" s="15">
        <v>3149</v>
      </c>
      <c r="B278" s="15">
        <v>113050</v>
      </c>
      <c r="C278" s="15">
        <v>2</v>
      </c>
      <c r="D278" s="99" t="s">
        <v>43</v>
      </c>
      <c r="E278" s="100">
        <v>1</v>
      </c>
      <c r="F278" s="99"/>
      <c r="G278" s="99"/>
      <c r="H278" s="100">
        <v>61185</v>
      </c>
      <c r="I278" s="99"/>
      <c r="J278" s="99"/>
      <c r="K278" s="99"/>
      <c r="L278" s="118">
        <v>2800</v>
      </c>
      <c r="M278" s="99" t="s">
        <v>503</v>
      </c>
      <c r="N278" s="99" t="s">
        <v>42</v>
      </c>
      <c r="O278" s="99"/>
      <c r="P278" s="41">
        <v>0.0375</v>
      </c>
      <c r="Q278" s="15" t="s">
        <v>273</v>
      </c>
      <c r="R278" s="15">
        <f>VLOOKUP(B278,[2]Sheet1!$A$7:$U$626,21,0)</f>
        <v>3</v>
      </c>
    </row>
    <row r="279" s="15" customFormat="1" spans="1:18">
      <c r="A279" s="15">
        <v>3150</v>
      </c>
      <c r="B279" s="15">
        <v>113050</v>
      </c>
      <c r="C279" s="15">
        <v>3</v>
      </c>
      <c r="D279" s="99" t="s">
        <v>212</v>
      </c>
      <c r="E279" s="100">
        <v>1</v>
      </c>
      <c r="F279" s="99"/>
      <c r="G279" s="99"/>
      <c r="H279" s="100">
        <v>61186</v>
      </c>
      <c r="I279" s="99"/>
      <c r="J279" s="99"/>
      <c r="K279" s="99"/>
      <c r="L279" s="118">
        <v>4600</v>
      </c>
      <c r="M279" s="99" t="s">
        <v>504</v>
      </c>
      <c r="N279" s="99" t="s">
        <v>67</v>
      </c>
      <c r="O279" s="99"/>
      <c r="P279" s="41">
        <v>0.05</v>
      </c>
      <c r="Q279" s="15" t="s">
        <v>273</v>
      </c>
      <c r="R279" s="15">
        <f>VLOOKUP(B279,[2]Sheet1!$A$7:$U$626,21,0)</f>
        <v>3</v>
      </c>
    </row>
    <row r="280" s="1" customFormat="1" spans="1:18">
      <c r="A280" s="1">
        <v>3151</v>
      </c>
      <c r="B280" s="1">
        <v>113051</v>
      </c>
      <c r="C280" s="1">
        <v>1</v>
      </c>
      <c r="D280" s="58" t="s">
        <v>40</v>
      </c>
      <c r="E280" s="59">
        <v>1</v>
      </c>
      <c r="F280" s="58"/>
      <c r="G280" s="58"/>
      <c r="H280" s="59" t="s">
        <v>505</v>
      </c>
      <c r="I280" s="58"/>
      <c r="J280" s="58"/>
      <c r="K280" s="58"/>
      <c r="L280" s="57">
        <v>1800</v>
      </c>
      <c r="M280" s="58" t="s">
        <v>506</v>
      </c>
      <c r="N280" s="58" t="s">
        <v>77</v>
      </c>
      <c r="O280" s="58"/>
      <c r="P280" s="41">
        <v>0.025</v>
      </c>
      <c r="Q280" s="1" t="s">
        <v>507</v>
      </c>
      <c r="R280" s="1">
        <f>VLOOKUP(B280,[2]Sheet1!$A$7:$U$626,21,0)</f>
        <v>3</v>
      </c>
    </row>
    <row r="281" s="1" customFormat="1" spans="1:18">
      <c r="A281" s="1">
        <v>3152</v>
      </c>
      <c r="B281" s="1">
        <v>113051</v>
      </c>
      <c r="C281" s="1">
        <v>2</v>
      </c>
      <c r="D281" s="58" t="s">
        <v>43</v>
      </c>
      <c r="E281" s="59">
        <v>1</v>
      </c>
      <c r="F281" s="58"/>
      <c r="G281" s="58"/>
      <c r="H281" s="59"/>
      <c r="I281" s="58"/>
      <c r="J281" s="58" t="s">
        <v>508</v>
      </c>
      <c r="K281" s="58"/>
      <c r="L281" s="57">
        <v>2800</v>
      </c>
      <c r="M281" s="58" t="s">
        <v>509</v>
      </c>
      <c r="N281" s="58" t="s">
        <v>53</v>
      </c>
      <c r="O281" s="58"/>
      <c r="P281" s="41">
        <v>0.0375</v>
      </c>
      <c r="Q281" s="1" t="s">
        <v>507</v>
      </c>
      <c r="R281" s="1">
        <f>VLOOKUP(B281,[2]Sheet1!$A$7:$U$626,21,0)</f>
        <v>3</v>
      </c>
    </row>
    <row r="282" s="1" customFormat="1" spans="1:18">
      <c r="A282" s="1">
        <v>3153</v>
      </c>
      <c r="B282" s="1">
        <v>113051</v>
      </c>
      <c r="C282" s="1">
        <v>3</v>
      </c>
      <c r="D282" s="58" t="s">
        <v>212</v>
      </c>
      <c r="E282" s="59">
        <v>1</v>
      </c>
      <c r="F282" s="58"/>
      <c r="G282" s="58"/>
      <c r="H282" s="59"/>
      <c r="I282" s="58"/>
      <c r="J282" s="58" t="s">
        <v>510</v>
      </c>
      <c r="K282" s="58"/>
      <c r="L282" s="57">
        <v>4800</v>
      </c>
      <c r="M282" s="58" t="s">
        <v>511</v>
      </c>
      <c r="N282" s="58" t="s">
        <v>67</v>
      </c>
      <c r="O282" s="58"/>
      <c r="P282" s="41">
        <v>0.05</v>
      </c>
      <c r="Q282" s="1" t="s">
        <v>507</v>
      </c>
      <c r="R282" s="1">
        <f>VLOOKUP(B282,[2]Sheet1!$A$7:$U$626,21,0)</f>
        <v>3</v>
      </c>
    </row>
    <row r="283" s="16" customFormat="1" spans="1:18">
      <c r="A283" s="16">
        <v>3154</v>
      </c>
      <c r="B283" s="16">
        <v>113052</v>
      </c>
      <c r="C283" s="16">
        <v>1</v>
      </c>
      <c r="D283" s="101" t="s">
        <v>40</v>
      </c>
      <c r="E283" s="102">
        <v>1</v>
      </c>
      <c r="F283" s="101"/>
      <c r="G283" s="101"/>
      <c r="H283" s="102">
        <v>61190</v>
      </c>
      <c r="I283" s="101"/>
      <c r="K283" s="101"/>
      <c r="L283" s="102">
        <v>1900</v>
      </c>
      <c r="M283" s="101" t="s">
        <v>512</v>
      </c>
      <c r="N283" s="101" t="s">
        <v>53</v>
      </c>
      <c r="O283" s="101"/>
      <c r="P283" s="41">
        <v>0.025</v>
      </c>
      <c r="Q283" s="16" t="s">
        <v>513</v>
      </c>
      <c r="R283" s="16">
        <f>VLOOKUP(B283,[2]Sheet1!$A$7:$U$626,21,0)</f>
        <v>3</v>
      </c>
    </row>
    <row r="284" s="16" customFormat="1" spans="1:18">
      <c r="A284" s="16">
        <v>3155</v>
      </c>
      <c r="B284" s="16">
        <v>113052</v>
      </c>
      <c r="C284" s="16">
        <v>2</v>
      </c>
      <c r="D284" s="101" t="s">
        <v>43</v>
      </c>
      <c r="E284" s="103">
        <v>1</v>
      </c>
      <c r="F284" s="101"/>
      <c r="G284" s="101"/>
      <c r="H284" s="102">
        <v>61191</v>
      </c>
      <c r="I284" s="101"/>
      <c r="K284" s="101"/>
      <c r="L284" s="102">
        <v>2700</v>
      </c>
      <c r="M284" s="101" t="s">
        <v>514</v>
      </c>
      <c r="N284" s="101" t="s">
        <v>188</v>
      </c>
      <c r="O284" s="101"/>
      <c r="P284" s="41">
        <v>0.0375</v>
      </c>
      <c r="Q284" s="16" t="s">
        <v>513</v>
      </c>
      <c r="R284" s="16">
        <f>VLOOKUP(B284,[2]Sheet1!$A$7:$U$626,21,0)</f>
        <v>3</v>
      </c>
    </row>
    <row r="285" s="16" customFormat="1" spans="1:18">
      <c r="A285" s="16">
        <v>3156</v>
      </c>
      <c r="B285" s="16">
        <v>113052</v>
      </c>
      <c r="C285" s="16">
        <v>3</v>
      </c>
      <c r="D285" s="101" t="s">
        <v>212</v>
      </c>
      <c r="E285" s="102">
        <v>1</v>
      </c>
      <c r="F285" s="101"/>
      <c r="G285" s="101"/>
      <c r="H285" s="103"/>
      <c r="I285" s="101"/>
      <c r="J285" s="119">
        <v>61193</v>
      </c>
      <c r="K285" s="101"/>
      <c r="L285" s="102">
        <v>4700</v>
      </c>
      <c r="M285" s="101" t="s">
        <v>515</v>
      </c>
      <c r="N285" s="101" t="s">
        <v>53</v>
      </c>
      <c r="O285" s="101"/>
      <c r="P285" s="41">
        <v>0.05</v>
      </c>
      <c r="Q285" s="16" t="s">
        <v>513</v>
      </c>
      <c r="R285" s="16">
        <f>VLOOKUP(B285,[2]Sheet1!$A$7:$U$626,21,0)</f>
        <v>3</v>
      </c>
    </row>
    <row r="286" s="17" customFormat="1" spans="1:18">
      <c r="A286" s="17">
        <v>3157</v>
      </c>
      <c r="B286" s="17">
        <v>113053</v>
      </c>
      <c r="C286" s="17">
        <v>1</v>
      </c>
      <c r="D286" s="104" t="s">
        <v>40</v>
      </c>
      <c r="E286" s="105">
        <v>1</v>
      </c>
      <c r="F286" s="104"/>
      <c r="G286" s="104"/>
      <c r="H286" s="106">
        <v>61194</v>
      </c>
      <c r="I286" s="104"/>
      <c r="J286" s="104"/>
      <c r="K286" s="104"/>
      <c r="L286" s="105">
        <v>1900</v>
      </c>
      <c r="M286" s="104" t="s">
        <v>516</v>
      </c>
      <c r="N286" s="104" t="s">
        <v>59</v>
      </c>
      <c r="O286" s="104"/>
      <c r="P286" s="41">
        <v>0.025</v>
      </c>
      <c r="Q286" s="17" t="s">
        <v>517</v>
      </c>
      <c r="R286" s="17">
        <f>VLOOKUP(B286,[2]Sheet1!$A$7:$U$626,21,0)</f>
        <v>3</v>
      </c>
    </row>
    <row r="287" s="17" customFormat="1" spans="1:18">
      <c r="A287" s="17">
        <v>3158</v>
      </c>
      <c r="B287" s="17">
        <v>113053</v>
      </c>
      <c r="C287" s="17">
        <v>2</v>
      </c>
      <c r="D287" s="104" t="s">
        <v>43</v>
      </c>
      <c r="E287" s="107">
        <v>1</v>
      </c>
      <c r="F287" s="104"/>
      <c r="G287" s="104"/>
      <c r="H287" s="106">
        <v>61195</v>
      </c>
      <c r="I287" s="104"/>
      <c r="J287" s="104"/>
      <c r="K287" s="104"/>
      <c r="L287" s="105">
        <v>2700</v>
      </c>
      <c r="M287" s="104" t="s">
        <v>518</v>
      </c>
      <c r="N287" s="104" t="s">
        <v>72</v>
      </c>
      <c r="O287" s="104"/>
      <c r="P287" s="41">
        <v>0.0375</v>
      </c>
      <c r="Q287" s="17" t="s">
        <v>517</v>
      </c>
      <c r="R287" s="17">
        <f>VLOOKUP(B287,[2]Sheet1!$A$7:$U$626,21,0)</f>
        <v>3</v>
      </c>
    </row>
    <row r="288" s="17" customFormat="1" spans="1:18">
      <c r="A288" s="17">
        <v>3159</v>
      </c>
      <c r="B288" s="17">
        <v>113053</v>
      </c>
      <c r="C288" s="17">
        <v>3</v>
      </c>
      <c r="D288" s="104" t="s">
        <v>212</v>
      </c>
      <c r="E288" s="105">
        <v>1</v>
      </c>
      <c r="F288" s="104"/>
      <c r="G288" s="104"/>
      <c r="H288" s="106">
        <v>61196</v>
      </c>
      <c r="I288" s="104"/>
      <c r="J288" s="120"/>
      <c r="K288" s="104"/>
      <c r="L288" s="105">
        <v>4700</v>
      </c>
      <c r="M288" s="104" t="s">
        <v>519</v>
      </c>
      <c r="N288" s="104" t="s">
        <v>131</v>
      </c>
      <c r="O288" s="104"/>
      <c r="P288" s="41">
        <v>0.05</v>
      </c>
      <c r="Q288" s="17" t="s">
        <v>517</v>
      </c>
      <c r="R288" s="17">
        <f>VLOOKUP(B288,[2]Sheet1!$A$7:$U$626,21,0)</f>
        <v>3</v>
      </c>
    </row>
    <row r="289" s="18" customFormat="1" spans="1:18">
      <c r="A289" s="18">
        <v>3160</v>
      </c>
      <c r="B289" s="18">
        <v>113055</v>
      </c>
      <c r="C289" s="18">
        <v>1</v>
      </c>
      <c r="D289" s="108" t="s">
        <v>40</v>
      </c>
      <c r="E289" s="109">
        <v>1</v>
      </c>
      <c r="F289" s="108"/>
      <c r="G289" s="108"/>
      <c r="H289" s="109">
        <v>61197</v>
      </c>
      <c r="I289" s="108"/>
      <c r="J289" s="108"/>
      <c r="K289" s="108"/>
      <c r="L289" s="109">
        <v>1900</v>
      </c>
      <c r="M289" s="108" t="s">
        <v>520</v>
      </c>
      <c r="N289" s="108" t="s">
        <v>77</v>
      </c>
      <c r="O289" s="108"/>
      <c r="P289" s="41">
        <v>0.025</v>
      </c>
      <c r="Q289" s="18" t="s">
        <v>521</v>
      </c>
      <c r="R289" s="18">
        <f>VLOOKUP(B289,[2]Sheet1!$A$7:$U$626,21,0)</f>
        <v>3</v>
      </c>
    </row>
    <row r="290" s="18" customFormat="1" spans="1:18">
      <c r="A290" s="18">
        <v>3161</v>
      </c>
      <c r="B290" s="18">
        <v>113055</v>
      </c>
      <c r="C290" s="18">
        <v>2</v>
      </c>
      <c r="D290" s="108" t="s">
        <v>43</v>
      </c>
      <c r="E290" s="110">
        <v>1</v>
      </c>
      <c r="F290" s="108"/>
      <c r="G290" s="108"/>
      <c r="H290" s="109">
        <v>61198</v>
      </c>
      <c r="I290" s="108"/>
      <c r="J290" s="108"/>
      <c r="K290" s="108"/>
      <c r="L290" s="109">
        <v>2700</v>
      </c>
      <c r="M290" s="108" t="s">
        <v>522</v>
      </c>
      <c r="N290" s="108" t="s">
        <v>72</v>
      </c>
      <c r="O290" s="108"/>
      <c r="P290" s="41">
        <v>0.0375</v>
      </c>
      <c r="Q290" s="18" t="s">
        <v>521</v>
      </c>
      <c r="R290" s="18">
        <f>VLOOKUP(B290,[2]Sheet1!$A$7:$U$626,21,0)</f>
        <v>3</v>
      </c>
    </row>
    <row r="291" s="18" customFormat="1" spans="1:18">
      <c r="A291" s="18">
        <v>3162</v>
      </c>
      <c r="B291" s="18">
        <v>113055</v>
      </c>
      <c r="C291" s="18">
        <v>3</v>
      </c>
      <c r="D291" s="108" t="s">
        <v>212</v>
      </c>
      <c r="E291" s="109">
        <v>1</v>
      </c>
      <c r="F291" s="108"/>
      <c r="G291" s="108"/>
      <c r="H291" s="109"/>
      <c r="I291" s="108"/>
      <c r="J291" s="121">
        <v>61199</v>
      </c>
      <c r="K291" s="108"/>
      <c r="L291" s="109">
        <v>4700</v>
      </c>
      <c r="M291" s="108" t="s">
        <v>523</v>
      </c>
      <c r="N291" s="108" t="s">
        <v>45</v>
      </c>
      <c r="O291" s="108"/>
      <c r="P291" s="41">
        <v>0.05</v>
      </c>
      <c r="Q291" s="18" t="s">
        <v>521</v>
      </c>
      <c r="R291" s="18">
        <f>VLOOKUP(B291,[2]Sheet1!$A$7:$U$626,21,0)</f>
        <v>3</v>
      </c>
    </row>
    <row r="292" s="19" customFormat="1" spans="1:18">
      <c r="A292" s="19">
        <v>3163</v>
      </c>
      <c r="B292" s="19">
        <v>113054</v>
      </c>
      <c r="C292" s="19">
        <v>1</v>
      </c>
      <c r="D292" s="111" t="s">
        <v>40</v>
      </c>
      <c r="E292" s="112">
        <v>1</v>
      </c>
      <c r="F292" s="111"/>
      <c r="G292" s="111"/>
      <c r="H292" s="112" t="s">
        <v>524</v>
      </c>
      <c r="I292" s="111"/>
      <c r="J292" s="111"/>
      <c r="K292" s="111"/>
      <c r="L292" s="115">
        <v>1900</v>
      </c>
      <c r="M292" s="111" t="s">
        <v>525</v>
      </c>
      <c r="N292" s="111" t="s">
        <v>42</v>
      </c>
      <c r="O292" s="111"/>
      <c r="P292" s="41">
        <v>0.025</v>
      </c>
      <c r="Q292" s="19" t="s">
        <v>526</v>
      </c>
      <c r="R292" s="19">
        <f>VLOOKUP(B292,[2]Sheet1!$A$7:$U$626,21,0)</f>
        <v>3</v>
      </c>
    </row>
    <row r="293" s="19" customFormat="1" spans="1:18">
      <c r="A293" s="19">
        <v>3164</v>
      </c>
      <c r="B293" s="19">
        <v>113054</v>
      </c>
      <c r="C293" s="19">
        <v>2</v>
      </c>
      <c r="D293" s="111" t="s">
        <v>43</v>
      </c>
      <c r="E293" s="112">
        <v>1</v>
      </c>
      <c r="F293" s="111"/>
      <c r="G293" s="111"/>
      <c r="H293" s="112" t="s">
        <v>527</v>
      </c>
      <c r="I293" s="111"/>
      <c r="J293" s="111"/>
      <c r="K293" s="111"/>
      <c r="L293" s="115">
        <v>2800</v>
      </c>
      <c r="M293" s="111" t="s">
        <v>528</v>
      </c>
      <c r="N293" s="111" t="s">
        <v>45</v>
      </c>
      <c r="O293" s="111"/>
      <c r="P293" s="41">
        <v>0.0375</v>
      </c>
      <c r="Q293" s="19" t="s">
        <v>526</v>
      </c>
      <c r="R293" s="19">
        <f>VLOOKUP(B293,[2]Sheet1!$A$7:$U$626,21,0)</f>
        <v>3</v>
      </c>
    </row>
    <row r="294" s="19" customFormat="1" spans="1:18">
      <c r="A294" s="19">
        <v>3165</v>
      </c>
      <c r="B294" s="19">
        <v>113054</v>
      </c>
      <c r="C294" s="19">
        <v>3</v>
      </c>
      <c r="D294" s="111" t="s">
        <v>212</v>
      </c>
      <c r="E294" s="112">
        <v>1</v>
      </c>
      <c r="F294" s="111"/>
      <c r="G294" s="111"/>
      <c r="H294" s="112"/>
      <c r="I294" s="111"/>
      <c r="J294" s="111" t="s">
        <v>529</v>
      </c>
      <c r="K294" s="111"/>
      <c r="L294" s="115">
        <v>4800</v>
      </c>
      <c r="M294" s="111" t="s">
        <v>530</v>
      </c>
      <c r="N294" s="111" t="s">
        <v>67</v>
      </c>
      <c r="O294" s="111"/>
      <c r="P294" s="41">
        <v>0.05</v>
      </c>
      <c r="Q294" s="19" t="s">
        <v>526</v>
      </c>
      <c r="R294" s="19">
        <f>VLOOKUP(B294,[2]Sheet1!$A$7:$U$626,21,0)</f>
        <v>3</v>
      </c>
    </row>
    <row r="295" s="2" customFormat="1" spans="1:18">
      <c r="A295" s="2">
        <v>3166</v>
      </c>
      <c r="B295" s="2">
        <v>113056</v>
      </c>
      <c r="C295" s="2">
        <v>1</v>
      </c>
      <c r="D295" s="60" t="s">
        <v>40</v>
      </c>
      <c r="E295" s="61">
        <v>1</v>
      </c>
      <c r="F295" s="60"/>
      <c r="G295" s="60"/>
      <c r="H295" s="61" t="s">
        <v>531</v>
      </c>
      <c r="I295" s="60"/>
      <c r="J295" s="60"/>
      <c r="K295" s="60"/>
      <c r="L295" s="82">
        <v>1900</v>
      </c>
      <c r="M295" s="60" t="s">
        <v>532</v>
      </c>
      <c r="N295" s="60" t="s">
        <v>90</v>
      </c>
      <c r="O295" s="60"/>
      <c r="P295" s="41">
        <v>0.025</v>
      </c>
      <c r="Q295" s="2" t="s">
        <v>533</v>
      </c>
      <c r="R295" s="2">
        <f>VLOOKUP(B295,[2]Sheet1!$A$7:$U$626,21,0)</f>
        <v>3</v>
      </c>
    </row>
    <row r="296" s="2" customFormat="1" spans="1:18">
      <c r="A296" s="2">
        <v>3167</v>
      </c>
      <c r="B296" s="2">
        <v>113056</v>
      </c>
      <c r="C296" s="2">
        <v>2</v>
      </c>
      <c r="D296" s="60" t="s">
        <v>43</v>
      </c>
      <c r="E296" s="61">
        <v>1</v>
      </c>
      <c r="F296" s="60"/>
      <c r="G296" s="60"/>
      <c r="H296" s="61" t="s">
        <v>534</v>
      </c>
      <c r="I296" s="60"/>
      <c r="J296" s="60"/>
      <c r="K296" s="60"/>
      <c r="L296" s="82">
        <v>2700</v>
      </c>
      <c r="M296" s="60" t="s">
        <v>535</v>
      </c>
      <c r="N296" s="60" t="s">
        <v>53</v>
      </c>
      <c r="O296" s="60"/>
      <c r="P296" s="41">
        <v>0.0375</v>
      </c>
      <c r="Q296" s="2" t="s">
        <v>533</v>
      </c>
      <c r="R296" s="2">
        <f>VLOOKUP(B296,[2]Sheet1!$A$7:$U$626,21,0)</f>
        <v>3</v>
      </c>
    </row>
    <row r="297" s="2" customFormat="1" spans="1:18">
      <c r="A297" s="2">
        <v>3168</v>
      </c>
      <c r="B297" s="2">
        <v>113056</v>
      </c>
      <c r="C297" s="2">
        <v>3</v>
      </c>
      <c r="D297" s="60" t="s">
        <v>212</v>
      </c>
      <c r="E297" s="61">
        <v>1</v>
      </c>
      <c r="F297" s="60"/>
      <c r="G297" s="60"/>
      <c r="H297" s="61"/>
      <c r="I297" s="60"/>
      <c r="J297" s="60" t="s">
        <v>536</v>
      </c>
      <c r="K297" s="60"/>
      <c r="L297" s="82">
        <v>4900</v>
      </c>
      <c r="M297" s="60" t="s">
        <v>537</v>
      </c>
      <c r="N297" s="60" t="s">
        <v>61</v>
      </c>
      <c r="O297" s="60"/>
      <c r="P297" s="41">
        <v>0.05</v>
      </c>
      <c r="Q297" s="2" t="s">
        <v>533</v>
      </c>
      <c r="R297" s="2">
        <f>VLOOKUP(B297,[2]Sheet1!$A$7:$U$626,21,0)</f>
        <v>3</v>
      </c>
    </row>
    <row r="298" s="9" customFormat="1" spans="1:18">
      <c r="A298" s="9">
        <v>3169</v>
      </c>
      <c r="B298" s="9">
        <v>113058</v>
      </c>
      <c r="C298" s="9">
        <v>1</v>
      </c>
      <c r="D298" s="76" t="s">
        <v>40</v>
      </c>
      <c r="E298" s="77">
        <v>1</v>
      </c>
      <c r="F298" s="76"/>
      <c r="G298" s="76"/>
      <c r="H298" s="77">
        <v>61206</v>
      </c>
      <c r="I298" s="76"/>
      <c r="J298" s="76"/>
      <c r="K298" s="76"/>
      <c r="L298" s="78">
        <v>1600</v>
      </c>
      <c r="M298" s="76" t="s">
        <v>538</v>
      </c>
      <c r="N298" s="76" t="s">
        <v>59</v>
      </c>
      <c r="O298" s="76"/>
      <c r="P298" s="41">
        <v>0.025</v>
      </c>
      <c r="Q298" s="9" t="s">
        <v>539</v>
      </c>
      <c r="R298" s="9">
        <f>VLOOKUP(B298,[2]Sheet1!$A$7:$U$626,21,0)</f>
        <v>3</v>
      </c>
    </row>
    <row r="299" s="9" customFormat="1" spans="1:18">
      <c r="A299" s="9">
        <v>3170</v>
      </c>
      <c r="B299" s="9">
        <v>113058</v>
      </c>
      <c r="C299" s="9">
        <v>2</v>
      </c>
      <c r="D299" s="76" t="s">
        <v>43</v>
      </c>
      <c r="E299" s="77">
        <v>1</v>
      </c>
      <c r="F299" s="76"/>
      <c r="G299" s="76"/>
      <c r="H299" s="77">
        <v>61207</v>
      </c>
      <c r="I299" s="76"/>
      <c r="J299" s="76"/>
      <c r="K299" s="76"/>
      <c r="L299" s="78">
        <v>3000</v>
      </c>
      <c r="M299" s="76" t="s">
        <v>446</v>
      </c>
      <c r="N299" s="76" t="s">
        <v>188</v>
      </c>
      <c r="O299" s="76"/>
      <c r="P299" s="41">
        <v>0.0375</v>
      </c>
      <c r="Q299" s="9" t="s">
        <v>539</v>
      </c>
      <c r="R299" s="9">
        <f>VLOOKUP(B299,[2]Sheet1!$A$7:$U$626,21,0)</f>
        <v>3</v>
      </c>
    </row>
    <row r="300" s="9" customFormat="1" spans="1:18">
      <c r="A300" s="9">
        <v>3171</v>
      </c>
      <c r="B300" s="9">
        <v>113058</v>
      </c>
      <c r="C300" s="9">
        <v>3</v>
      </c>
      <c r="D300" s="76" t="s">
        <v>212</v>
      </c>
      <c r="E300" s="77">
        <v>1</v>
      </c>
      <c r="F300" s="76"/>
      <c r="G300" s="76"/>
      <c r="H300" s="77">
        <v>61208</v>
      </c>
      <c r="I300" s="76"/>
      <c r="J300" s="76"/>
      <c r="K300" s="76"/>
      <c r="L300" s="78">
        <v>4800</v>
      </c>
      <c r="M300" s="76" t="s">
        <v>540</v>
      </c>
      <c r="N300" s="76" t="s">
        <v>53</v>
      </c>
      <c r="O300" s="76"/>
      <c r="P300" s="41">
        <v>0.05</v>
      </c>
      <c r="Q300" s="9" t="s">
        <v>539</v>
      </c>
      <c r="R300" s="9">
        <f>VLOOKUP(B300,[2]Sheet1!$A$7:$U$626,21,0)</f>
        <v>3</v>
      </c>
    </row>
    <row r="301" s="20" customFormat="1" spans="1:18">
      <c r="A301" s="20">
        <v>3172</v>
      </c>
      <c r="B301" s="20">
        <v>113057</v>
      </c>
      <c r="C301" s="20">
        <v>1</v>
      </c>
      <c r="D301" s="48" t="s">
        <v>40</v>
      </c>
      <c r="E301" s="53">
        <v>1</v>
      </c>
      <c r="F301" s="48"/>
      <c r="G301" s="48"/>
      <c r="H301" s="53">
        <v>61210</v>
      </c>
      <c r="I301" s="48"/>
      <c r="J301" s="48"/>
      <c r="K301" s="48"/>
      <c r="L301" s="49">
        <v>1700</v>
      </c>
      <c r="M301" s="48" t="s">
        <v>541</v>
      </c>
      <c r="N301" s="48" t="s">
        <v>77</v>
      </c>
      <c r="O301" s="48"/>
      <c r="P301" s="41">
        <v>0.025</v>
      </c>
      <c r="Q301" s="20" t="s">
        <v>542</v>
      </c>
      <c r="R301" s="20">
        <f>VLOOKUP(B301,[2]Sheet1!$A$7:$U$626,21,0)</f>
        <v>3</v>
      </c>
    </row>
    <row r="302" s="20" customFormat="1" spans="1:18">
      <c r="A302" s="20">
        <v>3173</v>
      </c>
      <c r="B302" s="20">
        <v>113057</v>
      </c>
      <c r="C302" s="20">
        <v>2</v>
      </c>
      <c r="D302" s="48" t="s">
        <v>43</v>
      </c>
      <c r="E302" s="53">
        <v>1</v>
      </c>
      <c r="F302" s="48"/>
      <c r="G302" s="48"/>
      <c r="H302" s="53">
        <v>61211</v>
      </c>
      <c r="I302" s="48"/>
      <c r="J302" s="48"/>
      <c r="K302" s="48"/>
      <c r="L302" s="49">
        <v>2900</v>
      </c>
      <c r="M302" s="48" t="s">
        <v>543</v>
      </c>
      <c r="N302" s="48" t="s">
        <v>59</v>
      </c>
      <c r="O302" s="48"/>
      <c r="P302" s="41">
        <v>0.0375</v>
      </c>
      <c r="Q302" s="20" t="s">
        <v>542</v>
      </c>
      <c r="R302" s="20">
        <f>VLOOKUP(B302,[2]Sheet1!$A$7:$U$626,21,0)</f>
        <v>3</v>
      </c>
    </row>
    <row r="303" s="20" customFormat="1" spans="1:18">
      <c r="A303" s="20">
        <v>3174</v>
      </c>
      <c r="B303" s="20">
        <v>113057</v>
      </c>
      <c r="C303" s="20">
        <v>3</v>
      </c>
      <c r="D303" s="48" t="s">
        <v>212</v>
      </c>
      <c r="E303" s="53">
        <v>1</v>
      </c>
      <c r="F303" s="48"/>
      <c r="G303" s="48"/>
      <c r="H303" s="53">
        <v>61212</v>
      </c>
      <c r="I303" s="48"/>
      <c r="J303" s="48"/>
      <c r="K303" s="48"/>
      <c r="L303" s="49">
        <v>4600</v>
      </c>
      <c r="M303" s="48" t="s">
        <v>544</v>
      </c>
      <c r="N303" s="48" t="s">
        <v>131</v>
      </c>
      <c r="O303" s="48"/>
      <c r="P303" s="41">
        <v>0.05</v>
      </c>
      <c r="Q303" s="20" t="s">
        <v>542</v>
      </c>
      <c r="R303" s="20">
        <f>VLOOKUP(B303,[2]Sheet1!$A$7:$U$626,21,0)</f>
        <v>3</v>
      </c>
    </row>
    <row r="304" s="10" customFormat="1" spans="1:18">
      <c r="A304" s="10">
        <v>3175</v>
      </c>
      <c r="B304" s="10">
        <v>113059</v>
      </c>
      <c r="C304" s="10">
        <v>1</v>
      </c>
      <c r="D304" s="79" t="s">
        <v>40</v>
      </c>
      <c r="E304" s="80">
        <v>1</v>
      </c>
      <c r="F304" s="79"/>
      <c r="G304" s="79"/>
      <c r="H304" s="80" t="s">
        <v>545</v>
      </c>
      <c r="I304" s="79"/>
      <c r="J304" s="79"/>
      <c r="K304" s="79"/>
      <c r="L304" s="88">
        <v>1800</v>
      </c>
      <c r="M304" s="79" t="s">
        <v>546</v>
      </c>
      <c r="N304" s="79" t="s">
        <v>65</v>
      </c>
      <c r="O304" s="79"/>
      <c r="P304" s="41">
        <v>0.025</v>
      </c>
      <c r="Q304" s="10" t="s">
        <v>547</v>
      </c>
      <c r="R304" s="10">
        <f>VLOOKUP(B304,[2]Sheet1!$A$7:$U$626,21,0)</f>
        <v>3</v>
      </c>
    </row>
    <row r="305" s="10" customFormat="1" spans="1:18">
      <c r="A305" s="10">
        <v>3176</v>
      </c>
      <c r="B305" s="10">
        <v>113059</v>
      </c>
      <c r="C305" s="10">
        <v>2</v>
      </c>
      <c r="D305" s="79" t="s">
        <v>43</v>
      </c>
      <c r="E305" s="80">
        <v>1</v>
      </c>
      <c r="F305" s="79"/>
      <c r="G305" s="79"/>
      <c r="H305" s="80" t="s">
        <v>548</v>
      </c>
      <c r="I305" s="79"/>
      <c r="J305" s="79"/>
      <c r="K305" s="79"/>
      <c r="L305" s="88">
        <v>2900</v>
      </c>
      <c r="M305" s="79" t="s">
        <v>549</v>
      </c>
      <c r="N305" s="79" t="s">
        <v>67</v>
      </c>
      <c r="O305" s="79"/>
      <c r="P305" s="41">
        <v>0.0375</v>
      </c>
      <c r="Q305" s="10" t="s">
        <v>547</v>
      </c>
      <c r="R305" s="10">
        <f>VLOOKUP(B305,[2]Sheet1!$A$7:$U$626,21,0)</f>
        <v>3</v>
      </c>
    </row>
    <row r="306" s="10" customFormat="1" spans="1:18">
      <c r="A306" s="10">
        <v>3177</v>
      </c>
      <c r="B306" s="10">
        <v>113059</v>
      </c>
      <c r="C306" s="10">
        <v>3</v>
      </c>
      <c r="D306" s="79" t="s">
        <v>212</v>
      </c>
      <c r="E306" s="80">
        <v>1</v>
      </c>
      <c r="F306" s="79"/>
      <c r="G306" s="79"/>
      <c r="H306" s="88"/>
      <c r="I306" s="79"/>
      <c r="J306" s="80" t="s">
        <v>550</v>
      </c>
      <c r="K306" s="79"/>
      <c r="L306" s="88">
        <v>4800</v>
      </c>
      <c r="M306" s="79" t="s">
        <v>551</v>
      </c>
      <c r="N306" s="79" t="s">
        <v>81</v>
      </c>
      <c r="O306" s="79"/>
      <c r="P306" s="41">
        <v>0.05</v>
      </c>
      <c r="Q306" s="10" t="s">
        <v>547</v>
      </c>
      <c r="R306" s="10">
        <f>VLOOKUP(B306,[2]Sheet1!$A$7:$U$626,21,0)</f>
        <v>3</v>
      </c>
    </row>
    <row r="307" s="21" customFormat="1" spans="1:18">
      <c r="A307" s="21">
        <v>3178</v>
      </c>
      <c r="B307" s="21">
        <v>113060</v>
      </c>
      <c r="C307" s="21">
        <v>1</v>
      </c>
      <c r="D307" s="113" t="s">
        <v>40</v>
      </c>
      <c r="E307" s="114">
        <v>1</v>
      </c>
      <c r="F307" s="113"/>
      <c r="G307" s="113"/>
      <c r="H307" s="114" t="s">
        <v>552</v>
      </c>
      <c r="I307" s="113"/>
      <c r="J307" s="113"/>
      <c r="K307" s="113"/>
      <c r="L307" s="122">
        <v>1900</v>
      </c>
      <c r="M307" s="113" t="s">
        <v>553</v>
      </c>
      <c r="N307" s="113" t="s">
        <v>90</v>
      </c>
      <c r="O307" s="113"/>
      <c r="P307" s="41">
        <v>0.025</v>
      </c>
      <c r="Q307" s="21" t="s">
        <v>323</v>
      </c>
      <c r="R307" s="21">
        <f>VLOOKUP(B307,[2]Sheet1!$A$7:$U$626,21,0)</f>
        <v>3</v>
      </c>
    </row>
    <row r="308" s="21" customFormat="1" spans="1:18">
      <c r="A308" s="21">
        <v>3179</v>
      </c>
      <c r="B308" s="21">
        <v>113060</v>
      </c>
      <c r="C308" s="21">
        <v>2</v>
      </c>
      <c r="D308" s="113" t="s">
        <v>43</v>
      </c>
      <c r="E308" s="114">
        <v>1</v>
      </c>
      <c r="F308" s="113"/>
      <c r="G308" s="113"/>
      <c r="H308" s="114" t="s">
        <v>554</v>
      </c>
      <c r="I308" s="113"/>
      <c r="J308" s="113"/>
      <c r="K308" s="113"/>
      <c r="L308" s="122">
        <v>2700</v>
      </c>
      <c r="M308" s="113" t="s">
        <v>555</v>
      </c>
      <c r="N308" s="113" t="s">
        <v>53</v>
      </c>
      <c r="O308" s="113"/>
      <c r="P308" s="41">
        <v>0.0375</v>
      </c>
      <c r="Q308" s="21" t="s">
        <v>323</v>
      </c>
      <c r="R308" s="21">
        <f>VLOOKUP(B308,[2]Sheet1!$A$7:$U$626,21,0)</f>
        <v>3</v>
      </c>
    </row>
    <row r="309" s="21" customFormat="1" spans="1:18">
      <c r="A309" s="21">
        <v>3180</v>
      </c>
      <c r="B309" s="21">
        <v>113060</v>
      </c>
      <c r="C309" s="21">
        <v>3</v>
      </c>
      <c r="D309" s="113" t="s">
        <v>212</v>
      </c>
      <c r="E309" s="114">
        <v>1</v>
      </c>
      <c r="F309" s="113"/>
      <c r="G309" s="113"/>
      <c r="H309" s="114"/>
      <c r="I309" s="113"/>
      <c r="J309" s="113" t="s">
        <v>556</v>
      </c>
      <c r="K309" s="113"/>
      <c r="L309" s="122">
        <v>4800</v>
      </c>
      <c r="M309" s="113" t="s">
        <v>557</v>
      </c>
      <c r="N309" s="21" t="s">
        <v>61</v>
      </c>
      <c r="P309" s="41">
        <v>0.05</v>
      </c>
      <c r="Q309" s="21" t="s">
        <v>323</v>
      </c>
      <c r="R309" s="21">
        <f>VLOOKUP(B309,[2]Sheet1!$A$7:$U$626,21,0)</f>
        <v>3</v>
      </c>
    </row>
    <row r="310" s="2" customFormat="1" spans="1:18">
      <c r="A310" s="2">
        <v>3181</v>
      </c>
      <c r="B310" s="2">
        <v>113061</v>
      </c>
      <c r="C310" s="2">
        <v>1</v>
      </c>
      <c r="D310" s="60" t="s">
        <v>40</v>
      </c>
      <c r="E310" s="61">
        <v>1</v>
      </c>
      <c r="F310" s="60"/>
      <c r="G310" s="60"/>
      <c r="H310" s="61">
        <v>61220</v>
      </c>
      <c r="I310" s="60"/>
      <c r="J310" s="60"/>
      <c r="K310" s="60"/>
      <c r="L310" s="82">
        <v>1900</v>
      </c>
      <c r="M310" s="60" t="s">
        <v>520</v>
      </c>
      <c r="N310" s="60" t="s">
        <v>77</v>
      </c>
      <c r="O310" s="60"/>
      <c r="P310" s="41">
        <v>0.0375</v>
      </c>
      <c r="Q310" s="2" t="s">
        <v>558</v>
      </c>
      <c r="R310" s="2">
        <f>VLOOKUP(B310,[2]Sheet1!$A$7:$U$626,21,0)</f>
        <v>3</v>
      </c>
    </row>
    <row r="311" s="2" customFormat="1" spans="1:18">
      <c r="A311" s="2">
        <v>3182</v>
      </c>
      <c r="B311" s="2">
        <v>113061</v>
      </c>
      <c r="C311" s="2">
        <v>2</v>
      </c>
      <c r="D311" s="60" t="s">
        <v>43</v>
      </c>
      <c r="E311" s="61">
        <v>1</v>
      </c>
      <c r="F311" s="60"/>
      <c r="G311" s="60"/>
      <c r="H311" s="61">
        <v>61221</v>
      </c>
      <c r="I311" s="60"/>
      <c r="J311" s="60"/>
      <c r="K311" s="60"/>
      <c r="L311" s="82">
        <v>2800</v>
      </c>
      <c r="M311" s="60" t="s">
        <v>559</v>
      </c>
      <c r="N311" s="60" t="s">
        <v>42</v>
      </c>
      <c r="O311" s="60"/>
      <c r="P311" s="41">
        <v>0.0375</v>
      </c>
      <c r="Q311" s="2" t="s">
        <v>558</v>
      </c>
      <c r="R311" s="2">
        <f>VLOOKUP(B311,[2]Sheet1!$A$7:$U$626,21,0)</f>
        <v>3</v>
      </c>
    </row>
    <row r="312" s="2" customFormat="1" spans="1:18">
      <c r="A312" s="2">
        <v>3183</v>
      </c>
      <c r="B312" s="2">
        <v>113061</v>
      </c>
      <c r="C312" s="2">
        <v>3</v>
      </c>
      <c r="D312" s="60" t="s">
        <v>212</v>
      </c>
      <c r="E312" s="61">
        <v>1</v>
      </c>
      <c r="F312" s="60"/>
      <c r="G312" s="60"/>
      <c r="H312" s="61">
        <v>61222</v>
      </c>
      <c r="I312" s="60"/>
      <c r="J312" s="60"/>
      <c r="K312" s="60"/>
      <c r="L312" s="82">
        <v>4900</v>
      </c>
      <c r="M312" s="60" t="s">
        <v>560</v>
      </c>
      <c r="N312" s="60" t="s">
        <v>188</v>
      </c>
      <c r="O312" s="60"/>
      <c r="P312" s="41">
        <v>0.05</v>
      </c>
      <c r="Q312" s="2" t="s">
        <v>558</v>
      </c>
      <c r="R312" s="2">
        <f>VLOOKUP(B312,[2]Sheet1!$A$7:$U$626,21,0)</f>
        <v>3</v>
      </c>
    </row>
    <row r="313" s="22" customFormat="1" spans="1:18">
      <c r="A313" s="22">
        <v>3184</v>
      </c>
      <c r="B313" s="22">
        <v>113062</v>
      </c>
      <c r="C313" s="22">
        <v>1</v>
      </c>
      <c r="D313" s="81" t="s">
        <v>40</v>
      </c>
      <c r="E313" s="55">
        <v>1</v>
      </c>
      <c r="F313" s="81"/>
      <c r="G313" s="81"/>
      <c r="H313" s="55">
        <v>61223</v>
      </c>
      <c r="I313" s="81"/>
      <c r="J313" s="81"/>
      <c r="K313" s="81"/>
      <c r="L313" s="123">
        <v>2000</v>
      </c>
      <c r="M313" s="81" t="s">
        <v>561</v>
      </c>
      <c r="N313" s="81" t="s">
        <v>188</v>
      </c>
      <c r="O313" s="81"/>
      <c r="P313" s="41">
        <v>0.0175</v>
      </c>
      <c r="Q313" s="22" t="s">
        <v>562</v>
      </c>
      <c r="R313" s="22">
        <f>VLOOKUP(B313,[2]Sheet1!$A$7:$U$626,21,0)</f>
        <v>3</v>
      </c>
    </row>
    <row r="314" s="22" customFormat="1" spans="1:18">
      <c r="A314" s="22">
        <v>3185</v>
      </c>
      <c r="B314" s="22">
        <v>113062</v>
      </c>
      <c r="C314" s="22">
        <v>2</v>
      </c>
      <c r="D314" s="81" t="s">
        <v>43</v>
      </c>
      <c r="E314" s="55">
        <v>1</v>
      </c>
      <c r="F314" s="81"/>
      <c r="G314" s="81"/>
      <c r="H314" s="55">
        <v>61224</v>
      </c>
      <c r="I314" s="81"/>
      <c r="J314" s="81"/>
      <c r="K314" s="81"/>
      <c r="L314" s="123">
        <v>2700</v>
      </c>
      <c r="M314" s="81" t="s">
        <v>563</v>
      </c>
      <c r="N314" s="81" t="s">
        <v>42</v>
      </c>
      <c r="O314" s="81"/>
      <c r="P314" s="41">
        <v>0.0375</v>
      </c>
      <c r="Q314" s="22" t="s">
        <v>562</v>
      </c>
      <c r="R314" s="22">
        <f>VLOOKUP(B314,[2]Sheet1!$A$7:$U$626,21,0)</f>
        <v>3</v>
      </c>
    </row>
    <row r="315" s="22" customFormat="1" spans="1:18">
      <c r="A315" s="22">
        <v>3186</v>
      </c>
      <c r="B315" s="22">
        <v>113062</v>
      </c>
      <c r="C315" s="22">
        <v>3</v>
      </c>
      <c r="D315" s="81" t="s">
        <v>212</v>
      </c>
      <c r="E315" s="55">
        <v>1</v>
      </c>
      <c r="F315" s="81"/>
      <c r="G315" s="81"/>
      <c r="H315" s="55">
        <v>61225</v>
      </c>
      <c r="I315" s="81"/>
      <c r="J315" s="81"/>
      <c r="K315" s="81"/>
      <c r="L315" s="123">
        <v>4900</v>
      </c>
      <c r="M315" s="81" t="s">
        <v>564</v>
      </c>
      <c r="N315" s="81" t="s">
        <v>72</v>
      </c>
      <c r="O315" s="81"/>
      <c r="P315" s="41">
        <v>0.05</v>
      </c>
      <c r="Q315" s="22" t="s">
        <v>562</v>
      </c>
      <c r="R315" s="22">
        <f>VLOOKUP(B315,[2]Sheet1!$A$7:$U$626,21,0)</f>
        <v>3</v>
      </c>
    </row>
    <row r="316" s="19" customFormat="1" spans="1:18">
      <c r="A316" s="19">
        <v>3187</v>
      </c>
      <c r="B316" s="19">
        <v>113064</v>
      </c>
      <c r="C316" s="19">
        <v>1</v>
      </c>
      <c r="D316" s="111" t="s">
        <v>40</v>
      </c>
      <c r="E316" s="112">
        <v>1</v>
      </c>
      <c r="F316" s="111"/>
      <c r="G316" s="111"/>
      <c r="H316" s="112">
        <v>61226</v>
      </c>
      <c r="I316" s="111"/>
      <c r="J316" s="111"/>
      <c r="K316" s="111"/>
      <c r="L316" s="115">
        <v>2000</v>
      </c>
      <c r="M316" s="111" t="s">
        <v>565</v>
      </c>
      <c r="N316" s="111" t="s">
        <v>42</v>
      </c>
      <c r="O316" s="111"/>
      <c r="P316" s="41">
        <v>0.025</v>
      </c>
      <c r="Q316" s="19" t="s">
        <v>566</v>
      </c>
      <c r="R316" s="19">
        <f>VLOOKUP(B316,[2]Sheet1!$A$7:$U$626,21,0)</f>
        <v>3</v>
      </c>
    </row>
    <row r="317" s="19" customFormat="1" spans="1:18">
      <c r="A317" s="19">
        <v>3188</v>
      </c>
      <c r="B317" s="19">
        <v>113064</v>
      </c>
      <c r="C317" s="19">
        <v>2</v>
      </c>
      <c r="D317" s="111" t="s">
        <v>43</v>
      </c>
      <c r="E317" s="112">
        <v>1</v>
      </c>
      <c r="F317" s="111"/>
      <c r="G317" s="111"/>
      <c r="H317" s="115"/>
      <c r="I317" s="111"/>
      <c r="J317" s="112">
        <v>61227</v>
      </c>
      <c r="K317" s="111"/>
      <c r="L317" s="115">
        <v>2800</v>
      </c>
      <c r="M317" s="111" t="s">
        <v>567</v>
      </c>
      <c r="N317" s="111" t="s">
        <v>90</v>
      </c>
      <c r="O317" s="111"/>
      <c r="P317" s="41">
        <v>0.0375</v>
      </c>
      <c r="Q317" s="19" t="s">
        <v>566</v>
      </c>
      <c r="R317" s="19">
        <f>VLOOKUP(B317,[2]Sheet1!$A$7:$U$626,21,0)</f>
        <v>3</v>
      </c>
    </row>
    <row r="318" s="19" customFormat="1" spans="1:18">
      <c r="A318" s="19">
        <v>3189</v>
      </c>
      <c r="B318" s="19">
        <v>113064</v>
      </c>
      <c r="C318" s="19">
        <v>3</v>
      </c>
      <c r="D318" s="111" t="s">
        <v>212</v>
      </c>
      <c r="E318" s="112">
        <v>1</v>
      </c>
      <c r="F318" s="111"/>
      <c r="G318" s="111"/>
      <c r="H318" s="115"/>
      <c r="I318" s="111"/>
      <c r="J318" s="112">
        <v>61228</v>
      </c>
      <c r="K318" s="111"/>
      <c r="L318" s="115">
        <v>4800</v>
      </c>
      <c r="M318" s="111" t="s">
        <v>568</v>
      </c>
      <c r="N318" s="111" t="s">
        <v>67</v>
      </c>
      <c r="O318" s="111"/>
      <c r="P318" s="41">
        <v>0.05</v>
      </c>
      <c r="Q318" s="19" t="s">
        <v>566</v>
      </c>
      <c r="R318" s="19">
        <f>VLOOKUP(B318,[2]Sheet1!$A$7:$U$626,21,0)</f>
        <v>3</v>
      </c>
    </row>
    <row r="319" s="21" customFormat="1" spans="1:18">
      <c r="A319" s="21">
        <v>3190</v>
      </c>
      <c r="B319" s="21">
        <v>113063</v>
      </c>
      <c r="C319" s="21">
        <v>1</v>
      </c>
      <c r="D319" s="113" t="s">
        <v>40</v>
      </c>
      <c r="E319" s="114">
        <v>1</v>
      </c>
      <c r="F319" s="113"/>
      <c r="G319" s="113"/>
      <c r="H319" s="114">
        <v>61229</v>
      </c>
      <c r="I319" s="113"/>
      <c r="J319" s="113"/>
      <c r="K319" s="113"/>
      <c r="L319" s="122">
        <v>1800</v>
      </c>
      <c r="M319" s="113" t="s">
        <v>569</v>
      </c>
      <c r="N319" s="113" t="s">
        <v>53</v>
      </c>
      <c r="O319" s="113"/>
      <c r="P319" s="41">
        <v>0.02</v>
      </c>
      <c r="Q319" s="21" t="s">
        <v>570</v>
      </c>
      <c r="R319" s="21">
        <f>VLOOKUP(B319,[2]Sheet1!$A$7:$U$626,21,0)</f>
        <v>3</v>
      </c>
    </row>
    <row r="320" s="21" customFormat="1" spans="1:18">
      <c r="A320" s="21">
        <v>3191</v>
      </c>
      <c r="B320" s="21">
        <v>113063</v>
      </c>
      <c r="C320" s="21">
        <v>2</v>
      </c>
      <c r="D320" s="113" t="s">
        <v>43</v>
      </c>
      <c r="E320" s="114">
        <v>1</v>
      </c>
      <c r="F320" s="113"/>
      <c r="G320" s="113"/>
      <c r="H320" s="114">
        <v>61230</v>
      </c>
      <c r="I320" s="113"/>
      <c r="J320" s="113"/>
      <c r="K320" s="113"/>
      <c r="L320" s="122">
        <v>2700</v>
      </c>
      <c r="M320" s="113" t="s">
        <v>401</v>
      </c>
      <c r="N320" s="113" t="s">
        <v>72</v>
      </c>
      <c r="O320" s="113"/>
      <c r="P320" s="41">
        <v>0.0375</v>
      </c>
      <c r="Q320" s="21" t="s">
        <v>570</v>
      </c>
      <c r="R320" s="21">
        <f>VLOOKUP(B320,[2]Sheet1!$A$7:$U$626,21,0)</f>
        <v>3</v>
      </c>
    </row>
    <row r="321" s="21" customFormat="1" spans="1:18">
      <c r="A321" s="21">
        <v>3192</v>
      </c>
      <c r="B321" s="21">
        <v>113063</v>
      </c>
      <c r="C321" s="21">
        <v>3</v>
      </c>
      <c r="D321" s="113" t="s">
        <v>212</v>
      </c>
      <c r="E321" s="114">
        <v>1</v>
      </c>
      <c r="F321" s="113"/>
      <c r="G321" s="113"/>
      <c r="H321" s="122"/>
      <c r="I321" s="113"/>
      <c r="J321" s="114">
        <v>61231</v>
      </c>
      <c r="K321" s="113"/>
      <c r="L321" s="122">
        <v>4700</v>
      </c>
      <c r="M321" s="113" t="s">
        <v>571</v>
      </c>
      <c r="N321" s="113" t="s">
        <v>90</v>
      </c>
      <c r="O321" s="113"/>
      <c r="P321" s="41">
        <v>0.05</v>
      </c>
      <c r="Q321" s="21" t="s">
        <v>570</v>
      </c>
      <c r="R321" s="21">
        <f>VLOOKUP(B321,[2]Sheet1!$A$7:$U$626,21,0)</f>
        <v>3</v>
      </c>
    </row>
    <row r="322" s="23" customFormat="1" spans="1:18">
      <c r="A322" s="23">
        <v>3193</v>
      </c>
      <c r="B322" s="23">
        <v>113065</v>
      </c>
      <c r="C322" s="23">
        <v>1</v>
      </c>
      <c r="D322" s="124" t="s">
        <v>40</v>
      </c>
      <c r="E322" s="125">
        <v>1</v>
      </c>
      <c r="F322" s="124"/>
      <c r="G322" s="124"/>
      <c r="H322" s="125">
        <v>61232</v>
      </c>
      <c r="I322" s="124"/>
      <c r="J322" s="124"/>
      <c r="K322" s="124"/>
      <c r="L322" s="150">
        <v>1900</v>
      </c>
      <c r="M322" s="124" t="s">
        <v>481</v>
      </c>
      <c r="N322" s="124" t="s">
        <v>77</v>
      </c>
      <c r="O322" s="124"/>
      <c r="P322" s="41">
        <v>0.0375</v>
      </c>
      <c r="Q322" s="23" t="s">
        <v>572</v>
      </c>
      <c r="R322" s="23">
        <f>VLOOKUP(B322,[2]Sheet1!$A$7:$U$626,21,0)</f>
        <v>3</v>
      </c>
    </row>
    <row r="323" s="23" customFormat="1" spans="1:18">
      <c r="A323" s="23">
        <v>3194</v>
      </c>
      <c r="B323" s="23">
        <v>113065</v>
      </c>
      <c r="C323" s="23">
        <v>2</v>
      </c>
      <c r="D323" s="124" t="s">
        <v>43</v>
      </c>
      <c r="E323" s="125">
        <v>1</v>
      </c>
      <c r="F323" s="124"/>
      <c r="G323" s="124"/>
      <c r="H323" s="125">
        <v>61233</v>
      </c>
      <c r="I323" s="124"/>
      <c r="J323" s="124"/>
      <c r="K323" s="124"/>
      <c r="L323" s="150">
        <v>2800</v>
      </c>
      <c r="M323" s="124" t="s">
        <v>573</v>
      </c>
      <c r="N323" s="124" t="s">
        <v>49</v>
      </c>
      <c r="O323" s="124"/>
      <c r="P323" s="41">
        <v>0.05</v>
      </c>
      <c r="Q323" s="23" t="s">
        <v>572</v>
      </c>
      <c r="R323" s="23">
        <f>VLOOKUP(B323,[2]Sheet1!$A$7:$U$626,21,0)</f>
        <v>3</v>
      </c>
    </row>
    <row r="324" s="23" customFormat="1" spans="1:18">
      <c r="A324" s="23">
        <v>3195</v>
      </c>
      <c r="B324" s="23">
        <v>113065</v>
      </c>
      <c r="C324" s="23">
        <v>3</v>
      </c>
      <c r="D324" s="124" t="s">
        <v>212</v>
      </c>
      <c r="E324" s="125">
        <v>1</v>
      </c>
      <c r="F324" s="124"/>
      <c r="G324" s="124"/>
      <c r="H324" s="125">
        <v>61234</v>
      </c>
      <c r="I324" s="124"/>
      <c r="J324" s="125"/>
      <c r="K324" s="124"/>
      <c r="L324" s="150">
        <v>4900</v>
      </c>
      <c r="M324" s="124" t="s">
        <v>574</v>
      </c>
      <c r="N324" s="124" t="s">
        <v>65</v>
      </c>
      <c r="O324" s="124"/>
      <c r="P324" s="41">
        <v>0.0625</v>
      </c>
      <c r="Q324" s="23" t="s">
        <v>572</v>
      </c>
      <c r="R324" s="23">
        <f>VLOOKUP(B324,[2]Sheet1!$A$7:$U$626,21,0)</f>
        <v>3</v>
      </c>
    </row>
    <row r="325" s="13" customFormat="1" spans="1:18">
      <c r="A325" s="13">
        <v>3196</v>
      </c>
      <c r="B325" s="13">
        <v>113066</v>
      </c>
      <c r="C325" s="13">
        <v>1</v>
      </c>
      <c r="D325" s="94" t="s">
        <v>40</v>
      </c>
      <c r="E325" s="95">
        <v>1</v>
      </c>
      <c r="F325" s="94"/>
      <c r="G325" s="94"/>
      <c r="H325" s="95" t="s">
        <v>575</v>
      </c>
      <c r="I325" s="94"/>
      <c r="J325" s="94"/>
      <c r="K325" s="94"/>
      <c r="L325" s="96">
        <v>1900</v>
      </c>
      <c r="M325" s="94" t="s">
        <v>576</v>
      </c>
      <c r="N325" s="94" t="s">
        <v>42</v>
      </c>
      <c r="O325" s="94"/>
      <c r="P325" s="41">
        <v>0.045</v>
      </c>
      <c r="Q325" s="13" t="s">
        <v>577</v>
      </c>
      <c r="R325" s="13">
        <f>VLOOKUP(B325,[2]Sheet1!$A$7:$U$626,21,0)</f>
        <v>3</v>
      </c>
    </row>
    <row r="326" s="13" customFormat="1" spans="1:18">
      <c r="A326" s="13">
        <v>3197</v>
      </c>
      <c r="B326" s="13">
        <v>113066</v>
      </c>
      <c r="C326" s="13">
        <v>2</v>
      </c>
      <c r="D326" s="94" t="s">
        <v>43</v>
      </c>
      <c r="E326" s="95">
        <v>1</v>
      </c>
      <c r="F326" s="94"/>
      <c r="G326" s="94"/>
      <c r="H326" s="95" t="s">
        <v>578</v>
      </c>
      <c r="I326" s="94"/>
      <c r="J326" s="94"/>
      <c r="K326" s="94"/>
      <c r="L326" s="96">
        <v>2900</v>
      </c>
      <c r="M326" s="94" t="s">
        <v>579</v>
      </c>
      <c r="N326" s="94" t="s">
        <v>53</v>
      </c>
      <c r="O326" s="94"/>
      <c r="P326" s="41">
        <v>0.05</v>
      </c>
      <c r="Q326" s="13" t="s">
        <v>577</v>
      </c>
      <c r="R326" s="13">
        <f>VLOOKUP(B326,[2]Sheet1!$A$7:$U$626,21,0)</f>
        <v>3</v>
      </c>
    </row>
    <row r="327" s="13" customFormat="1" spans="1:18">
      <c r="A327" s="13">
        <v>3198</v>
      </c>
      <c r="B327" s="13">
        <v>113066</v>
      </c>
      <c r="C327" s="13">
        <v>3</v>
      </c>
      <c r="D327" s="94" t="s">
        <v>212</v>
      </c>
      <c r="E327" s="95">
        <v>1</v>
      </c>
      <c r="F327" s="94"/>
      <c r="G327" s="94"/>
      <c r="H327" s="95"/>
      <c r="I327" s="94"/>
      <c r="J327" s="94" t="s">
        <v>580</v>
      </c>
      <c r="K327" s="94"/>
      <c r="L327" s="96">
        <v>4700</v>
      </c>
      <c r="M327" s="94" t="s">
        <v>581</v>
      </c>
      <c r="N327" s="94" t="s">
        <v>49</v>
      </c>
      <c r="O327" s="94"/>
      <c r="P327" s="41">
        <v>0.0625</v>
      </c>
      <c r="Q327" s="13" t="s">
        <v>577</v>
      </c>
      <c r="R327" s="13">
        <f>VLOOKUP(B327,[2]Sheet1!$A$7:$U$626,21,0)</f>
        <v>3</v>
      </c>
    </row>
    <row r="328" s="24" customFormat="1" spans="1:17">
      <c r="A328" s="24">
        <v>3199</v>
      </c>
      <c r="B328" s="24">
        <v>113067</v>
      </c>
      <c r="C328" s="24">
        <v>1</v>
      </c>
      <c r="D328" s="126" t="s">
        <v>40</v>
      </c>
      <c r="E328" s="127">
        <v>1</v>
      </c>
      <c r="F328" s="126"/>
      <c r="G328" s="126"/>
      <c r="H328" s="127">
        <v>61239</v>
      </c>
      <c r="I328" s="126"/>
      <c r="J328" s="126"/>
      <c r="K328" s="126"/>
      <c r="L328" s="151">
        <v>1800</v>
      </c>
      <c r="M328" s="126" t="s">
        <v>582</v>
      </c>
      <c r="N328" s="126" t="s">
        <v>59</v>
      </c>
      <c r="O328" s="126"/>
      <c r="P328" s="41">
        <v>0.045</v>
      </c>
      <c r="Q328" s="24" t="s">
        <v>583</v>
      </c>
    </row>
    <row r="329" s="24" customFormat="1" spans="1:17">
      <c r="A329" s="24">
        <v>3200</v>
      </c>
      <c r="B329" s="24">
        <v>113067</v>
      </c>
      <c r="C329" s="24">
        <v>2</v>
      </c>
      <c r="D329" s="126" t="s">
        <v>43</v>
      </c>
      <c r="E329" s="127">
        <v>1</v>
      </c>
      <c r="F329" s="126"/>
      <c r="G329" s="126"/>
      <c r="H329" s="127">
        <v>61240</v>
      </c>
      <c r="I329" s="126"/>
      <c r="J329" s="126"/>
      <c r="K329" s="126"/>
      <c r="L329" s="151">
        <v>3100</v>
      </c>
      <c r="M329" s="126" t="s">
        <v>584</v>
      </c>
      <c r="N329" s="126" t="s">
        <v>61</v>
      </c>
      <c r="O329" s="126"/>
      <c r="P329" s="41">
        <v>0.05</v>
      </c>
      <c r="Q329" s="24" t="s">
        <v>583</v>
      </c>
    </row>
    <row r="330" s="24" customFormat="1" spans="1:17">
      <c r="A330" s="24">
        <v>3201</v>
      </c>
      <c r="B330" s="24">
        <v>113067</v>
      </c>
      <c r="C330" s="24">
        <v>3</v>
      </c>
      <c r="D330" s="126" t="s">
        <v>212</v>
      </c>
      <c r="E330" s="127">
        <v>1</v>
      </c>
      <c r="F330" s="126"/>
      <c r="G330" s="126"/>
      <c r="H330" s="127">
        <v>61241</v>
      </c>
      <c r="I330" s="126"/>
      <c r="J330" s="126"/>
      <c r="K330" s="126"/>
      <c r="L330" s="151">
        <v>4500</v>
      </c>
      <c r="M330" s="126" t="s">
        <v>585</v>
      </c>
      <c r="N330" s="126" t="s">
        <v>90</v>
      </c>
      <c r="O330" s="126"/>
      <c r="P330" s="41">
        <v>0.0625</v>
      </c>
      <c r="Q330" s="24" t="s">
        <v>583</v>
      </c>
    </row>
    <row r="331" s="25" customFormat="1" spans="1:17">
      <c r="A331" s="25">
        <v>3202</v>
      </c>
      <c r="B331" s="25">
        <v>113068</v>
      </c>
      <c r="C331" s="25">
        <v>1</v>
      </c>
      <c r="D331" s="128" t="s">
        <v>40</v>
      </c>
      <c r="E331" s="129">
        <v>1</v>
      </c>
      <c r="F331" s="128"/>
      <c r="G331" s="128"/>
      <c r="H331" s="129" t="s">
        <v>586</v>
      </c>
      <c r="I331" s="128"/>
      <c r="J331" s="128"/>
      <c r="K331" s="128"/>
      <c r="L331" s="152">
        <v>1700</v>
      </c>
      <c r="M331" s="128" t="s">
        <v>587</v>
      </c>
      <c r="N331" s="128" t="s">
        <v>49</v>
      </c>
      <c r="O331" s="128"/>
      <c r="P331" s="41">
        <v>0.045</v>
      </c>
      <c r="Q331" s="25" t="s">
        <v>588</v>
      </c>
    </row>
    <row r="332" s="25" customFormat="1" spans="1:17">
      <c r="A332" s="25">
        <v>3203</v>
      </c>
      <c r="B332" s="25">
        <v>113068</v>
      </c>
      <c r="C332" s="25">
        <v>2</v>
      </c>
      <c r="D332" s="128" t="s">
        <v>43</v>
      </c>
      <c r="E332" s="129">
        <v>1</v>
      </c>
      <c r="F332" s="128"/>
      <c r="G332" s="128"/>
      <c r="H332" s="129" t="s">
        <v>589</v>
      </c>
      <c r="I332" s="128"/>
      <c r="J332" s="128"/>
      <c r="K332" s="128"/>
      <c r="L332" s="152">
        <v>2500</v>
      </c>
      <c r="M332" s="128" t="s">
        <v>590</v>
      </c>
      <c r="N332" s="128" t="s">
        <v>67</v>
      </c>
      <c r="O332" s="128"/>
      <c r="P332" s="41">
        <v>0.05</v>
      </c>
      <c r="Q332" s="25" t="s">
        <v>588</v>
      </c>
    </row>
    <row r="333" s="25" customFormat="1" spans="1:17">
      <c r="A333" s="25">
        <v>3204</v>
      </c>
      <c r="B333" s="25">
        <v>113068</v>
      </c>
      <c r="C333" s="25">
        <v>3</v>
      </c>
      <c r="D333" s="128" t="s">
        <v>212</v>
      </c>
      <c r="E333" s="129">
        <v>1</v>
      </c>
      <c r="F333" s="128"/>
      <c r="G333" s="128"/>
      <c r="H333" s="129" t="s">
        <v>591</v>
      </c>
      <c r="I333" s="128"/>
      <c r="J333" s="128"/>
      <c r="K333" s="128"/>
      <c r="L333" s="152">
        <v>4700</v>
      </c>
      <c r="M333" s="128" t="s">
        <v>592</v>
      </c>
      <c r="N333" s="128" t="s">
        <v>65</v>
      </c>
      <c r="O333" s="128"/>
      <c r="P333" s="41">
        <v>0.0625</v>
      </c>
      <c r="Q333" s="25" t="s">
        <v>588</v>
      </c>
    </row>
    <row r="334" s="26" customFormat="1" spans="1:17">
      <c r="A334" s="26">
        <v>3205</v>
      </c>
      <c r="B334" s="26">
        <v>113069</v>
      </c>
      <c r="C334" s="26">
        <v>1</v>
      </c>
      <c r="D334" s="130" t="s">
        <v>40</v>
      </c>
      <c r="E334" s="131">
        <v>1</v>
      </c>
      <c r="F334" s="130"/>
      <c r="G334" s="130"/>
      <c r="H334" s="131" t="s">
        <v>593</v>
      </c>
      <c r="I334" s="130"/>
      <c r="J334" s="130"/>
      <c r="K334" s="130"/>
      <c r="L334" s="153">
        <v>1600</v>
      </c>
      <c r="M334" s="130" t="s">
        <v>594</v>
      </c>
      <c r="N334" s="130" t="s">
        <v>59</v>
      </c>
      <c r="O334" s="130"/>
      <c r="P334" s="41">
        <v>0.045</v>
      </c>
      <c r="Q334" s="26" t="s">
        <v>595</v>
      </c>
    </row>
    <row r="335" s="26" customFormat="1" spans="1:17">
      <c r="A335" s="26">
        <v>3206</v>
      </c>
      <c r="B335" s="26">
        <v>113069</v>
      </c>
      <c r="C335" s="26">
        <v>2</v>
      </c>
      <c r="D335" s="130" t="s">
        <v>43</v>
      </c>
      <c r="E335" s="131">
        <v>1</v>
      </c>
      <c r="F335" s="130"/>
      <c r="G335" s="130"/>
      <c r="H335" s="131">
        <v>61247</v>
      </c>
      <c r="I335" s="130"/>
      <c r="J335" s="130"/>
      <c r="K335" s="130"/>
      <c r="L335" s="153">
        <v>2800</v>
      </c>
      <c r="M335" s="130" t="s">
        <v>596</v>
      </c>
      <c r="N335" s="130" t="s">
        <v>188</v>
      </c>
      <c r="O335" s="130"/>
      <c r="P335" s="41">
        <v>0.05</v>
      </c>
      <c r="Q335" s="26" t="s">
        <v>595</v>
      </c>
    </row>
    <row r="336" s="26" customFormat="1" spans="1:17">
      <c r="A336" s="26">
        <v>3207</v>
      </c>
      <c r="B336" s="26">
        <v>113069</v>
      </c>
      <c r="C336" s="26">
        <v>3</v>
      </c>
      <c r="D336" s="130" t="s">
        <v>212</v>
      </c>
      <c r="E336" s="131">
        <v>1</v>
      </c>
      <c r="F336" s="130"/>
      <c r="G336" s="130"/>
      <c r="H336" s="131">
        <v>61248</v>
      </c>
      <c r="I336" s="130"/>
      <c r="J336" s="130"/>
      <c r="K336" s="130"/>
      <c r="L336" s="153">
        <v>4800</v>
      </c>
      <c r="M336" s="130" t="s">
        <v>597</v>
      </c>
      <c r="N336" s="130" t="s">
        <v>45</v>
      </c>
      <c r="O336" s="130"/>
      <c r="P336" s="41">
        <v>0.0625</v>
      </c>
      <c r="Q336" s="26" t="s">
        <v>595</v>
      </c>
    </row>
    <row r="337" s="27" customFormat="1" spans="1:17">
      <c r="A337" s="27">
        <v>3208</v>
      </c>
      <c r="B337" s="27">
        <v>113070</v>
      </c>
      <c r="C337" s="27">
        <v>1</v>
      </c>
      <c r="D337" s="132" t="s">
        <v>40</v>
      </c>
      <c r="E337" s="133">
        <v>1</v>
      </c>
      <c r="F337" s="132"/>
      <c r="G337" s="132"/>
      <c r="H337" s="133" t="s">
        <v>598</v>
      </c>
      <c r="I337" s="132"/>
      <c r="J337" s="132"/>
      <c r="K337" s="132"/>
      <c r="L337" s="154">
        <v>1700</v>
      </c>
      <c r="M337" s="132" t="s">
        <v>599</v>
      </c>
      <c r="N337" s="132" t="s">
        <v>45</v>
      </c>
      <c r="O337" s="132"/>
      <c r="P337" s="41">
        <v>0.045</v>
      </c>
      <c r="Q337" s="27" t="s">
        <v>600</v>
      </c>
    </row>
    <row r="338" s="27" customFormat="1" spans="1:17">
      <c r="A338" s="27">
        <v>3209</v>
      </c>
      <c r="B338" s="27">
        <v>113070</v>
      </c>
      <c r="C338" s="27">
        <v>2</v>
      </c>
      <c r="D338" s="132" t="s">
        <v>43</v>
      </c>
      <c r="E338" s="133">
        <v>1</v>
      </c>
      <c r="F338" s="132"/>
      <c r="G338" s="132"/>
      <c r="H338" s="133" t="s">
        <v>601</v>
      </c>
      <c r="I338" s="132"/>
      <c r="J338" s="132"/>
      <c r="K338" s="132"/>
      <c r="L338" s="154">
        <v>3300</v>
      </c>
      <c r="M338" s="132" t="s">
        <v>602</v>
      </c>
      <c r="N338" s="132" t="s">
        <v>188</v>
      </c>
      <c r="O338" s="132"/>
      <c r="P338" s="41">
        <v>0.05</v>
      </c>
      <c r="Q338" s="27" t="s">
        <v>600</v>
      </c>
    </row>
    <row r="339" s="27" customFormat="1" spans="1:17">
      <c r="A339" s="27">
        <v>3210</v>
      </c>
      <c r="B339" s="27">
        <v>113070</v>
      </c>
      <c r="C339" s="27">
        <v>3</v>
      </c>
      <c r="D339" s="132" t="s">
        <v>212</v>
      </c>
      <c r="E339" s="133">
        <v>1</v>
      </c>
      <c r="F339" s="132"/>
      <c r="G339" s="132"/>
      <c r="H339" s="133"/>
      <c r="I339" s="132"/>
      <c r="J339" s="132" t="s">
        <v>603</v>
      </c>
      <c r="K339" s="132"/>
      <c r="L339" s="154">
        <v>4000</v>
      </c>
      <c r="M339" s="132" t="s">
        <v>604</v>
      </c>
      <c r="N339" s="132" t="s">
        <v>65</v>
      </c>
      <c r="O339" s="132"/>
      <c r="P339" s="41">
        <v>0.0625</v>
      </c>
      <c r="Q339" s="27" t="s">
        <v>600</v>
      </c>
    </row>
    <row r="340" s="28" customFormat="1" spans="1:17">
      <c r="A340" s="28">
        <v>3211</v>
      </c>
      <c r="B340" s="28">
        <v>113071</v>
      </c>
      <c r="C340" s="28">
        <v>1</v>
      </c>
      <c r="D340" s="134" t="s">
        <v>40</v>
      </c>
      <c r="E340" s="135">
        <v>1</v>
      </c>
      <c r="F340" s="134"/>
      <c r="G340" s="134"/>
      <c r="H340" s="135" t="s">
        <v>605</v>
      </c>
      <c r="I340" s="134"/>
      <c r="J340" s="134"/>
      <c r="K340" s="134"/>
      <c r="L340" s="155">
        <v>1800</v>
      </c>
      <c r="M340" s="134" t="s">
        <v>606</v>
      </c>
      <c r="N340" s="134" t="s">
        <v>81</v>
      </c>
      <c r="O340" s="134"/>
      <c r="P340" s="134">
        <v>0.045</v>
      </c>
      <c r="Q340" s="28" t="s">
        <v>607</v>
      </c>
    </row>
    <row r="341" s="28" customFormat="1" spans="1:17">
      <c r="A341" s="28">
        <v>3212</v>
      </c>
      <c r="B341" s="28">
        <v>113071</v>
      </c>
      <c r="C341" s="28">
        <v>2</v>
      </c>
      <c r="D341" s="134" t="s">
        <v>43</v>
      </c>
      <c r="E341" s="135">
        <v>1</v>
      </c>
      <c r="F341" s="134"/>
      <c r="G341" s="134"/>
      <c r="H341" s="135" t="s">
        <v>608</v>
      </c>
      <c r="I341" s="134"/>
      <c r="J341" s="134"/>
      <c r="K341" s="134"/>
      <c r="L341" s="155">
        <v>3100</v>
      </c>
      <c r="M341" s="134" t="s">
        <v>609</v>
      </c>
      <c r="N341" s="134" t="s">
        <v>72</v>
      </c>
      <c r="O341" s="134"/>
      <c r="P341" s="134">
        <v>0.05</v>
      </c>
      <c r="Q341" s="28" t="s">
        <v>607</v>
      </c>
    </row>
    <row r="342" s="28" customFormat="1" spans="1:17">
      <c r="A342" s="28">
        <v>3213</v>
      </c>
      <c r="B342" s="28">
        <v>113071</v>
      </c>
      <c r="C342" s="28">
        <v>3</v>
      </c>
      <c r="D342" s="134" t="s">
        <v>212</v>
      </c>
      <c r="E342" s="135">
        <v>1</v>
      </c>
      <c r="F342" s="134"/>
      <c r="G342" s="134"/>
      <c r="H342" s="135" t="s">
        <v>610</v>
      </c>
      <c r="I342" s="134"/>
      <c r="J342" s="134"/>
      <c r="K342" s="134"/>
      <c r="L342" s="155">
        <v>3800</v>
      </c>
      <c r="M342" s="134" t="s">
        <v>611</v>
      </c>
      <c r="N342" s="134" t="s">
        <v>45</v>
      </c>
      <c r="O342" s="134"/>
      <c r="P342" s="134">
        <v>0.0625</v>
      </c>
      <c r="Q342" s="28" t="s">
        <v>607</v>
      </c>
    </row>
    <row r="343" s="29" customFormat="1" spans="1:17">
      <c r="A343" s="29">
        <v>3214</v>
      </c>
      <c r="B343" s="29">
        <v>113072</v>
      </c>
      <c r="C343" s="29">
        <v>1</v>
      </c>
      <c r="D343" s="136" t="s">
        <v>40</v>
      </c>
      <c r="E343" s="137">
        <v>1</v>
      </c>
      <c r="F343" s="136"/>
      <c r="G343" s="136"/>
      <c r="H343" s="137" t="s">
        <v>612</v>
      </c>
      <c r="I343" s="136"/>
      <c r="J343" s="136"/>
      <c r="K343" s="136"/>
      <c r="L343" s="156">
        <v>1700</v>
      </c>
      <c r="M343" s="136" t="s">
        <v>613</v>
      </c>
      <c r="N343" s="136" t="s">
        <v>42</v>
      </c>
      <c r="O343" s="136"/>
      <c r="P343" s="136">
        <v>0.045</v>
      </c>
      <c r="Q343" s="29" t="s">
        <v>614</v>
      </c>
    </row>
    <row r="344" s="29" customFormat="1" spans="1:17">
      <c r="A344" s="29">
        <v>3215</v>
      </c>
      <c r="B344" s="29">
        <v>113072</v>
      </c>
      <c r="C344" s="29">
        <v>2</v>
      </c>
      <c r="D344" s="136" t="s">
        <v>43</v>
      </c>
      <c r="E344" s="137">
        <v>1</v>
      </c>
      <c r="F344" s="136"/>
      <c r="G344" s="136"/>
      <c r="H344" s="137"/>
      <c r="I344" s="136"/>
      <c r="J344" s="136" t="s">
        <v>615</v>
      </c>
      <c r="K344" s="136"/>
      <c r="L344" s="156">
        <v>3200</v>
      </c>
      <c r="M344" s="136" t="s">
        <v>616</v>
      </c>
      <c r="N344" s="136" t="s">
        <v>61</v>
      </c>
      <c r="O344" s="136"/>
      <c r="P344" s="136">
        <v>0.05</v>
      </c>
      <c r="Q344" s="29" t="s">
        <v>614</v>
      </c>
    </row>
    <row r="345" s="29" customFormat="1" spans="1:17">
      <c r="A345" s="29">
        <v>3216</v>
      </c>
      <c r="B345" s="29">
        <v>113072</v>
      </c>
      <c r="C345" s="29">
        <v>3</v>
      </c>
      <c r="D345" s="136" t="s">
        <v>212</v>
      </c>
      <c r="E345" s="137">
        <v>1</v>
      </c>
      <c r="F345" s="136"/>
      <c r="G345" s="136"/>
      <c r="H345" s="137"/>
      <c r="I345" s="136"/>
      <c r="J345" s="136" t="s">
        <v>617</v>
      </c>
      <c r="K345" s="136"/>
      <c r="L345" s="156">
        <v>4000</v>
      </c>
      <c r="M345" s="136" t="s">
        <v>618</v>
      </c>
      <c r="N345" s="136" t="s">
        <v>188</v>
      </c>
      <c r="O345" s="136"/>
      <c r="P345" s="136">
        <v>0.0625</v>
      </c>
      <c r="Q345" s="29" t="s">
        <v>614</v>
      </c>
    </row>
    <row r="346" s="30" customFormat="1" spans="1:17">
      <c r="A346" s="30">
        <v>3217</v>
      </c>
      <c r="B346" s="30">
        <v>113073</v>
      </c>
      <c r="C346" s="30">
        <v>1</v>
      </c>
      <c r="D346" s="138" t="s">
        <v>40</v>
      </c>
      <c r="E346" s="139">
        <v>1</v>
      </c>
      <c r="F346" s="138"/>
      <c r="G346" s="138"/>
      <c r="H346" s="139">
        <v>61260</v>
      </c>
      <c r="I346" s="138"/>
      <c r="J346" s="138"/>
      <c r="K346" s="138"/>
      <c r="L346" s="157">
        <v>1800</v>
      </c>
      <c r="M346" s="138" t="s">
        <v>619</v>
      </c>
      <c r="N346" s="138" t="s">
        <v>81</v>
      </c>
      <c r="O346" s="138"/>
      <c r="P346" s="138">
        <v>0.045</v>
      </c>
      <c r="Q346" s="30" t="s">
        <v>620</v>
      </c>
    </row>
    <row r="347" s="30" customFormat="1" spans="1:17">
      <c r="A347" s="30">
        <v>3218</v>
      </c>
      <c r="B347" s="30">
        <v>113073</v>
      </c>
      <c r="C347" s="30">
        <v>2</v>
      </c>
      <c r="D347" s="138" t="s">
        <v>43</v>
      </c>
      <c r="E347" s="139">
        <v>1</v>
      </c>
      <c r="F347" s="138"/>
      <c r="G347" s="138"/>
      <c r="H347" s="139">
        <v>61261</v>
      </c>
      <c r="I347" s="138"/>
      <c r="J347" s="138"/>
      <c r="K347" s="138"/>
      <c r="L347" s="157">
        <v>3100</v>
      </c>
      <c r="M347" s="138" t="s">
        <v>621</v>
      </c>
      <c r="N347" s="138" t="s">
        <v>72</v>
      </c>
      <c r="O347" s="138"/>
      <c r="P347" s="138">
        <v>0.05</v>
      </c>
      <c r="Q347" s="30" t="s">
        <v>620</v>
      </c>
    </row>
    <row r="348" s="30" customFormat="1" spans="1:17">
      <c r="A348" s="30">
        <v>3219</v>
      </c>
      <c r="B348" s="30">
        <v>113073</v>
      </c>
      <c r="C348" s="30">
        <v>3</v>
      </c>
      <c r="D348" s="138" t="s">
        <v>212</v>
      </c>
      <c r="E348" s="139">
        <v>1</v>
      </c>
      <c r="F348" s="138"/>
      <c r="G348" s="138"/>
      <c r="H348" s="139">
        <v>61262</v>
      </c>
      <c r="I348" s="138"/>
      <c r="J348" s="138"/>
      <c r="K348" s="138"/>
      <c r="L348" s="157">
        <v>4500</v>
      </c>
      <c r="M348" s="138" t="s">
        <v>622</v>
      </c>
      <c r="N348" s="138" t="s">
        <v>67</v>
      </c>
      <c r="O348" s="138"/>
      <c r="P348" s="138">
        <v>0.0625</v>
      </c>
      <c r="Q348" s="30" t="s">
        <v>620</v>
      </c>
    </row>
    <row r="349" s="27" customFormat="1" spans="1:17">
      <c r="A349" s="27">
        <v>3220</v>
      </c>
      <c r="B349" s="27">
        <v>113076</v>
      </c>
      <c r="C349" s="27">
        <v>1</v>
      </c>
      <c r="D349" s="132" t="s">
        <v>40</v>
      </c>
      <c r="E349" s="133">
        <v>1</v>
      </c>
      <c r="F349" s="132"/>
      <c r="G349" s="132"/>
      <c r="H349" s="133" t="s">
        <v>623</v>
      </c>
      <c r="I349" s="132"/>
      <c r="J349" s="132"/>
      <c r="K349" s="132"/>
      <c r="L349" s="154">
        <v>1500</v>
      </c>
      <c r="M349" s="132" t="s">
        <v>624</v>
      </c>
      <c r="N349" s="132" t="s">
        <v>45</v>
      </c>
      <c r="O349" s="132"/>
      <c r="P349" s="132">
        <v>0.045</v>
      </c>
      <c r="Q349" s="27" t="s">
        <v>625</v>
      </c>
    </row>
    <row r="350" s="27" customFormat="1" spans="1:17">
      <c r="A350" s="27">
        <v>3221</v>
      </c>
      <c r="B350" s="27">
        <v>113076</v>
      </c>
      <c r="C350" s="27">
        <v>2</v>
      </c>
      <c r="D350" s="132" t="s">
        <v>43</v>
      </c>
      <c r="E350" s="133">
        <v>1</v>
      </c>
      <c r="F350" s="132"/>
      <c r="G350" s="132"/>
      <c r="H350" s="133" t="s">
        <v>626</v>
      </c>
      <c r="I350" s="132"/>
      <c r="J350" s="132"/>
      <c r="K350" s="132"/>
      <c r="L350" s="154">
        <v>3000</v>
      </c>
      <c r="M350" s="132" t="s">
        <v>627</v>
      </c>
      <c r="N350" s="132" t="s">
        <v>61</v>
      </c>
      <c r="O350" s="132"/>
      <c r="P350" s="132">
        <v>0.05</v>
      </c>
      <c r="Q350" s="27" t="s">
        <v>625</v>
      </c>
    </row>
    <row r="351" s="27" customFormat="1" spans="1:17">
      <c r="A351" s="27">
        <v>3222</v>
      </c>
      <c r="B351" s="27">
        <v>113076</v>
      </c>
      <c r="C351" s="27">
        <v>3</v>
      </c>
      <c r="D351" s="132" t="s">
        <v>212</v>
      </c>
      <c r="E351" s="133">
        <v>1</v>
      </c>
      <c r="F351" s="132"/>
      <c r="G351" s="132"/>
      <c r="H351" s="133" t="s">
        <v>628</v>
      </c>
      <c r="I351" s="132"/>
      <c r="J351" s="132"/>
      <c r="K351" s="132"/>
      <c r="L351" s="154">
        <v>4600</v>
      </c>
      <c r="M351" s="132" t="s">
        <v>629</v>
      </c>
      <c r="N351" s="132" t="s">
        <v>42</v>
      </c>
      <c r="O351" s="132"/>
      <c r="P351" s="132">
        <v>0.0625</v>
      </c>
      <c r="Q351" s="27" t="s">
        <v>625</v>
      </c>
    </row>
    <row r="352" s="31" customFormat="1" spans="1:17">
      <c r="A352" s="31">
        <v>3223</v>
      </c>
      <c r="B352" s="31">
        <v>113077</v>
      </c>
      <c r="C352" s="31">
        <v>1</v>
      </c>
      <c r="D352" s="140" t="s">
        <v>40</v>
      </c>
      <c r="E352" s="141">
        <v>1</v>
      </c>
      <c r="F352" s="140"/>
      <c r="G352" s="140"/>
      <c r="H352" s="141">
        <v>61266</v>
      </c>
      <c r="I352" s="140"/>
      <c r="J352" s="140"/>
      <c r="K352" s="140"/>
      <c r="L352" s="158">
        <v>2000</v>
      </c>
      <c r="M352" s="140" t="s">
        <v>630</v>
      </c>
      <c r="N352" s="140" t="s">
        <v>45</v>
      </c>
      <c r="O352" s="140"/>
      <c r="P352" s="140">
        <v>0.05</v>
      </c>
      <c r="Q352" s="31" t="s">
        <v>631</v>
      </c>
    </row>
    <row r="353" s="31" customFormat="1" spans="1:17">
      <c r="A353" s="31">
        <v>3224</v>
      </c>
      <c r="B353" s="31">
        <v>113077</v>
      </c>
      <c r="C353" s="31">
        <v>2</v>
      </c>
      <c r="D353" s="140" t="s">
        <v>43</v>
      </c>
      <c r="E353" s="141">
        <v>1</v>
      </c>
      <c r="F353" s="140"/>
      <c r="G353" s="140"/>
      <c r="H353" s="141" t="s">
        <v>632</v>
      </c>
      <c r="I353" s="140"/>
      <c r="J353" s="140"/>
      <c r="K353" s="140"/>
      <c r="L353" s="158">
        <v>3200</v>
      </c>
      <c r="M353" s="140" t="s">
        <v>633</v>
      </c>
      <c r="N353" s="140" t="s">
        <v>53</v>
      </c>
      <c r="O353" s="140"/>
      <c r="P353" s="140">
        <v>0.0625</v>
      </c>
      <c r="Q353" s="31" t="s">
        <v>631</v>
      </c>
    </row>
    <row r="354" s="31" customFormat="1" spans="1:17">
      <c r="A354" s="31">
        <v>3225</v>
      </c>
      <c r="B354" s="31">
        <v>113077</v>
      </c>
      <c r="C354" s="31">
        <v>3</v>
      </c>
      <c r="D354" s="140" t="s">
        <v>212</v>
      </c>
      <c r="E354" s="141">
        <v>1</v>
      </c>
      <c r="F354" s="140"/>
      <c r="G354" s="140"/>
      <c r="H354" s="141"/>
      <c r="I354" s="140"/>
      <c r="J354" s="140" t="s">
        <v>634</v>
      </c>
      <c r="K354" s="140"/>
      <c r="L354" s="158">
        <v>5000</v>
      </c>
      <c r="M354" s="140" t="s">
        <v>635</v>
      </c>
      <c r="N354" s="140" t="s">
        <v>61</v>
      </c>
      <c r="O354" s="140"/>
      <c r="P354" s="140" t="s">
        <v>636</v>
      </c>
      <c r="Q354" s="31" t="s">
        <v>631</v>
      </c>
    </row>
    <row r="355" s="28" customFormat="1" spans="1:17">
      <c r="A355" s="28">
        <v>3226</v>
      </c>
      <c r="B355" s="28">
        <v>113078</v>
      </c>
      <c r="C355" s="28">
        <v>1</v>
      </c>
      <c r="D355" s="134" t="s">
        <v>40</v>
      </c>
      <c r="E355" s="135">
        <v>1</v>
      </c>
      <c r="F355" s="134"/>
      <c r="G355" s="134"/>
      <c r="H355" s="135">
        <v>61269</v>
      </c>
      <c r="I355" s="134"/>
      <c r="J355" s="134"/>
      <c r="K355" s="134"/>
      <c r="L355" s="155">
        <v>1700</v>
      </c>
      <c r="M355" s="134" t="s">
        <v>637</v>
      </c>
      <c r="N355" s="134" t="s">
        <v>45</v>
      </c>
      <c r="O355" s="134"/>
      <c r="P355" s="132">
        <v>0.045</v>
      </c>
      <c r="Q355" s="28" t="s">
        <v>638</v>
      </c>
    </row>
    <row r="356" s="28" customFormat="1" spans="1:17">
      <c r="A356" s="28">
        <v>3227</v>
      </c>
      <c r="B356" s="28">
        <v>113078</v>
      </c>
      <c r="C356" s="28">
        <v>2</v>
      </c>
      <c r="D356" s="134" t="s">
        <v>43</v>
      </c>
      <c r="E356" s="135">
        <v>1</v>
      </c>
      <c r="F356" s="134"/>
      <c r="G356" s="134"/>
      <c r="H356" s="135">
        <v>61270</v>
      </c>
      <c r="I356" s="134"/>
      <c r="J356" s="134"/>
      <c r="K356" s="134"/>
      <c r="L356" s="155">
        <v>2800</v>
      </c>
      <c r="M356" s="134" t="s">
        <v>639</v>
      </c>
      <c r="N356" s="134" t="s">
        <v>45</v>
      </c>
      <c r="O356" s="134"/>
      <c r="P356" s="132">
        <v>0.05</v>
      </c>
      <c r="Q356" s="28" t="s">
        <v>638</v>
      </c>
    </row>
    <row r="357" s="28" customFormat="1" spans="1:17">
      <c r="A357" s="28">
        <v>3228</v>
      </c>
      <c r="B357" s="28">
        <v>113078</v>
      </c>
      <c r="C357" s="28">
        <v>3</v>
      </c>
      <c r="D357" s="134" t="s">
        <v>212</v>
      </c>
      <c r="E357" s="135">
        <v>1</v>
      </c>
      <c r="F357" s="134"/>
      <c r="G357" s="134"/>
      <c r="H357" s="135"/>
      <c r="I357" s="134"/>
      <c r="J357" s="134" t="s">
        <v>640</v>
      </c>
      <c r="K357" s="134"/>
      <c r="L357" s="155">
        <v>4400</v>
      </c>
      <c r="M357" s="134" t="s">
        <v>641</v>
      </c>
      <c r="N357" s="134" t="s">
        <v>642</v>
      </c>
      <c r="O357" s="134"/>
      <c r="P357" s="132">
        <v>0.0625</v>
      </c>
      <c r="Q357" s="28" t="s">
        <v>638</v>
      </c>
    </row>
    <row r="358" s="26" customFormat="1" spans="1:17">
      <c r="A358" s="26">
        <v>3229</v>
      </c>
      <c r="B358" s="26">
        <v>113079</v>
      </c>
      <c r="C358" s="26">
        <v>1</v>
      </c>
      <c r="D358" s="130" t="s">
        <v>40</v>
      </c>
      <c r="E358" s="131">
        <v>1</v>
      </c>
      <c r="F358" s="130"/>
      <c r="G358" s="130"/>
      <c r="H358" s="131">
        <v>61272</v>
      </c>
      <c r="I358" s="130"/>
      <c r="J358" s="130"/>
      <c r="K358" s="130"/>
      <c r="L358" s="153">
        <v>1700</v>
      </c>
      <c r="M358" s="130" t="s">
        <v>643</v>
      </c>
      <c r="N358" s="130" t="s">
        <v>81</v>
      </c>
      <c r="O358" s="130"/>
      <c r="P358" s="130">
        <v>0.045</v>
      </c>
      <c r="Q358" s="26" t="s">
        <v>644</v>
      </c>
    </row>
    <row r="359" s="26" customFormat="1" spans="1:17">
      <c r="A359" s="26">
        <v>3230</v>
      </c>
      <c r="B359" s="26">
        <v>113079</v>
      </c>
      <c r="C359" s="26">
        <v>2</v>
      </c>
      <c r="D359" s="130" t="s">
        <v>43</v>
      </c>
      <c r="E359" s="131">
        <v>1</v>
      </c>
      <c r="F359" s="130"/>
      <c r="G359" s="130"/>
      <c r="H359" s="131">
        <v>61273</v>
      </c>
      <c r="I359" s="130"/>
      <c r="J359" s="130"/>
      <c r="K359" s="130"/>
      <c r="L359" s="153">
        <v>3200</v>
      </c>
      <c r="M359" s="130" t="s">
        <v>645</v>
      </c>
      <c r="N359" s="130" t="s">
        <v>61</v>
      </c>
      <c r="O359" s="130"/>
      <c r="P359" s="130">
        <v>0.05</v>
      </c>
      <c r="Q359" s="26" t="s">
        <v>644</v>
      </c>
    </row>
    <row r="360" s="26" customFormat="1" spans="1:17">
      <c r="A360" s="26">
        <v>3231</v>
      </c>
      <c r="B360" s="26">
        <v>113079</v>
      </c>
      <c r="C360" s="26">
        <v>3</v>
      </c>
      <c r="D360" s="130" t="s">
        <v>212</v>
      </c>
      <c r="E360" s="131">
        <v>1</v>
      </c>
      <c r="F360" s="130"/>
      <c r="G360" s="130"/>
      <c r="H360" s="131"/>
      <c r="I360" s="130"/>
      <c r="J360" s="130" t="s">
        <v>646</v>
      </c>
      <c r="K360" s="130"/>
      <c r="L360" s="153">
        <v>4200</v>
      </c>
      <c r="M360" s="130" t="s">
        <v>647</v>
      </c>
      <c r="N360" s="130" t="s">
        <v>188</v>
      </c>
      <c r="O360" s="130"/>
      <c r="P360" s="130">
        <v>0.0625</v>
      </c>
      <c r="Q360" s="26" t="s">
        <v>644</v>
      </c>
    </row>
    <row r="361" s="32" customFormat="1" spans="1:17">
      <c r="A361" s="32">
        <v>3232</v>
      </c>
      <c r="B361" s="32">
        <v>113080</v>
      </c>
      <c r="C361" s="32">
        <v>1</v>
      </c>
      <c r="D361" s="142" t="s">
        <v>40</v>
      </c>
      <c r="E361" s="143">
        <v>1</v>
      </c>
      <c r="F361" s="142"/>
      <c r="G361" s="142"/>
      <c r="H361" s="143" t="s">
        <v>648</v>
      </c>
      <c r="I361" s="142"/>
      <c r="J361" s="142"/>
      <c r="K361" s="142"/>
      <c r="L361" s="159">
        <v>1600</v>
      </c>
      <c r="M361" s="142" t="s">
        <v>649</v>
      </c>
      <c r="N361" s="142" t="s">
        <v>77</v>
      </c>
      <c r="O361" s="142"/>
      <c r="P361" s="142">
        <v>0.045</v>
      </c>
      <c r="Q361" s="32" t="s">
        <v>650</v>
      </c>
    </row>
    <row r="362" s="32" customFormat="1" spans="1:17">
      <c r="A362" s="32">
        <v>3233</v>
      </c>
      <c r="B362" s="32">
        <v>113080</v>
      </c>
      <c r="C362" s="32">
        <v>2</v>
      </c>
      <c r="D362" s="142" t="s">
        <v>43</v>
      </c>
      <c r="E362" s="143">
        <v>1</v>
      </c>
      <c r="F362" s="142"/>
      <c r="G362" s="142"/>
      <c r="H362" s="143" t="s">
        <v>651</v>
      </c>
      <c r="I362" s="142"/>
      <c r="J362" s="142"/>
      <c r="K362" s="142"/>
      <c r="L362" s="159">
        <v>3100</v>
      </c>
      <c r="M362" s="142" t="s">
        <v>652</v>
      </c>
      <c r="N362" s="142" t="s">
        <v>53</v>
      </c>
      <c r="O362" s="142"/>
      <c r="P362" s="142">
        <v>0.05</v>
      </c>
      <c r="Q362" s="32" t="s">
        <v>650</v>
      </c>
    </row>
    <row r="363" s="32" customFormat="1" spans="1:17">
      <c r="A363" s="32">
        <v>3234</v>
      </c>
      <c r="B363" s="32">
        <v>113080</v>
      </c>
      <c r="C363" s="32">
        <v>3</v>
      </c>
      <c r="D363" s="142" t="s">
        <v>212</v>
      </c>
      <c r="E363" s="143">
        <v>1</v>
      </c>
      <c r="F363" s="142"/>
      <c r="G363" s="142"/>
      <c r="H363" s="143"/>
      <c r="I363" s="142"/>
      <c r="J363" s="142" t="s">
        <v>653</v>
      </c>
      <c r="K363" s="142"/>
      <c r="L363" s="159">
        <v>4400</v>
      </c>
      <c r="M363" s="142" t="s">
        <v>654</v>
      </c>
      <c r="N363" s="142" t="s">
        <v>61</v>
      </c>
      <c r="O363" s="142"/>
      <c r="P363" s="142">
        <v>0.0625</v>
      </c>
      <c r="Q363" s="32" t="s">
        <v>650</v>
      </c>
    </row>
    <row r="364" s="33" customFormat="1" spans="1:17">
      <c r="A364" s="33">
        <v>3235</v>
      </c>
      <c r="B364" s="33">
        <v>113081</v>
      </c>
      <c r="C364" s="33">
        <v>1</v>
      </c>
      <c r="D364" s="144" t="s">
        <v>40</v>
      </c>
      <c r="E364" s="145">
        <v>1</v>
      </c>
      <c r="F364" s="144"/>
      <c r="G364" s="144"/>
      <c r="H364" s="145" t="s">
        <v>655</v>
      </c>
      <c r="I364" s="144"/>
      <c r="J364" s="144"/>
      <c r="K364" s="144"/>
      <c r="L364" s="160">
        <v>1800</v>
      </c>
      <c r="M364" s="144" t="s">
        <v>656</v>
      </c>
      <c r="N364" s="144" t="s">
        <v>81</v>
      </c>
      <c r="O364" s="144"/>
      <c r="P364" s="144">
        <v>0.045</v>
      </c>
      <c r="Q364" s="33" t="s">
        <v>657</v>
      </c>
    </row>
    <row r="365" s="33" customFormat="1" spans="1:17">
      <c r="A365" s="33">
        <v>3236</v>
      </c>
      <c r="B365" s="33">
        <v>113081</v>
      </c>
      <c r="C365" s="33">
        <v>2</v>
      </c>
      <c r="D365" s="144" t="s">
        <v>43</v>
      </c>
      <c r="E365" s="145">
        <v>1</v>
      </c>
      <c r="F365" s="144"/>
      <c r="G365" s="144"/>
      <c r="H365" s="145" t="s">
        <v>658</v>
      </c>
      <c r="I365" s="144"/>
      <c r="J365" s="144"/>
      <c r="K365" s="144"/>
      <c r="L365" s="160">
        <v>3200</v>
      </c>
      <c r="M365" s="144" t="s">
        <v>659</v>
      </c>
      <c r="N365" s="144" t="s">
        <v>188</v>
      </c>
      <c r="O365" s="144"/>
      <c r="P365" s="144">
        <v>0.05</v>
      </c>
      <c r="Q365" s="33" t="s">
        <v>657</v>
      </c>
    </row>
    <row r="366" s="33" customFormat="1" spans="1:17">
      <c r="A366" s="33">
        <v>3237</v>
      </c>
      <c r="B366" s="33">
        <v>113081</v>
      </c>
      <c r="C366" s="33">
        <v>3</v>
      </c>
      <c r="D366" s="144" t="s">
        <v>212</v>
      </c>
      <c r="E366" s="145">
        <v>1</v>
      </c>
      <c r="F366" s="144"/>
      <c r="G366" s="144"/>
      <c r="H366" s="145"/>
      <c r="I366" s="144"/>
      <c r="J366" s="144" t="s">
        <v>660</v>
      </c>
      <c r="K366" s="144"/>
      <c r="L366" s="160">
        <v>4300</v>
      </c>
      <c r="M366" s="144" t="s">
        <v>661</v>
      </c>
      <c r="N366" s="144" t="s">
        <v>61</v>
      </c>
      <c r="O366" s="144"/>
      <c r="P366" s="144">
        <v>0.0625</v>
      </c>
      <c r="Q366" s="33" t="s">
        <v>657</v>
      </c>
    </row>
    <row r="367" s="31" customFormat="1" spans="1:17">
      <c r="A367" s="31">
        <v>3238</v>
      </c>
      <c r="B367" s="31">
        <v>113082</v>
      </c>
      <c r="C367" s="31">
        <v>1</v>
      </c>
      <c r="D367" s="140" t="s">
        <v>40</v>
      </c>
      <c r="E367" s="141">
        <v>1</v>
      </c>
      <c r="F367" s="140"/>
      <c r="G367" s="140"/>
      <c r="H367" s="141" t="s">
        <v>662</v>
      </c>
      <c r="I367" s="140"/>
      <c r="J367" s="140"/>
      <c r="K367" s="140"/>
      <c r="L367" s="160">
        <v>1800</v>
      </c>
      <c r="M367" s="140" t="s">
        <v>663</v>
      </c>
      <c r="N367" s="140" t="s">
        <v>42</v>
      </c>
      <c r="O367" s="140"/>
      <c r="P367" s="144">
        <v>0.045</v>
      </c>
      <c r="Q367" s="31" t="s">
        <v>664</v>
      </c>
    </row>
    <row r="368" s="31" customFormat="1" spans="1:17">
      <c r="A368" s="31">
        <v>3239</v>
      </c>
      <c r="B368" s="31">
        <v>113082</v>
      </c>
      <c r="C368" s="31">
        <v>2</v>
      </c>
      <c r="D368" s="140" t="s">
        <v>43</v>
      </c>
      <c r="E368" s="141">
        <v>1</v>
      </c>
      <c r="F368" s="140"/>
      <c r="G368" s="140"/>
      <c r="H368" s="141"/>
      <c r="I368" s="140"/>
      <c r="J368" s="161">
        <v>61282</v>
      </c>
      <c r="K368" s="140"/>
      <c r="L368" s="160">
        <v>3200</v>
      </c>
      <c r="M368" s="111" t="s">
        <v>665</v>
      </c>
      <c r="N368" s="111" t="s">
        <v>67</v>
      </c>
      <c r="O368" s="140"/>
      <c r="P368" s="144">
        <v>0.05</v>
      </c>
      <c r="Q368" s="31" t="s">
        <v>664</v>
      </c>
    </row>
    <row r="369" s="31" customFormat="1" spans="1:17">
      <c r="A369" s="31">
        <v>3240</v>
      </c>
      <c r="B369" s="31">
        <v>113082</v>
      </c>
      <c r="C369" s="31">
        <v>3</v>
      </c>
      <c r="D369" s="140" t="s">
        <v>212</v>
      </c>
      <c r="E369" s="141">
        <v>1</v>
      </c>
      <c r="F369" s="140"/>
      <c r="G369" s="140"/>
      <c r="H369" s="141"/>
      <c r="I369" s="140"/>
      <c r="J369" s="161">
        <v>61283</v>
      </c>
      <c r="K369" s="140"/>
      <c r="L369" s="160">
        <v>4300</v>
      </c>
      <c r="M369" s="136" t="s">
        <v>666</v>
      </c>
      <c r="N369" s="136" t="s">
        <v>188</v>
      </c>
      <c r="O369" s="140"/>
      <c r="P369" s="144">
        <v>0.0625</v>
      </c>
      <c r="Q369" s="31" t="s">
        <v>664</v>
      </c>
    </row>
    <row r="370" s="34" customFormat="1" spans="1:17">
      <c r="A370" s="34">
        <v>3241</v>
      </c>
      <c r="B370" s="34">
        <v>113083</v>
      </c>
      <c r="C370" s="34">
        <v>1</v>
      </c>
      <c r="D370" s="140" t="s">
        <v>40</v>
      </c>
      <c r="E370" s="146" t="s">
        <v>200</v>
      </c>
      <c r="F370" s="147"/>
      <c r="G370" s="147"/>
      <c r="H370" s="146" t="s">
        <v>667</v>
      </c>
      <c r="I370" s="147"/>
      <c r="J370" s="147"/>
      <c r="K370" s="147"/>
      <c r="L370" s="162">
        <v>1700</v>
      </c>
      <c r="M370" s="147" t="s">
        <v>668</v>
      </c>
      <c r="N370" s="147" t="s">
        <v>49</v>
      </c>
      <c r="O370" s="147"/>
      <c r="P370" s="147" t="s">
        <v>669</v>
      </c>
      <c r="Q370" s="34" t="s">
        <v>670</v>
      </c>
    </row>
    <row r="371" s="34" customFormat="1" spans="1:17">
      <c r="A371" s="34">
        <v>3242</v>
      </c>
      <c r="B371" s="34">
        <v>113083</v>
      </c>
      <c r="C371" s="34">
        <v>2</v>
      </c>
      <c r="D371" s="140" t="s">
        <v>43</v>
      </c>
      <c r="E371" s="146" t="s">
        <v>200</v>
      </c>
      <c r="F371" s="147"/>
      <c r="G371" s="147"/>
      <c r="H371" s="146" t="s">
        <v>671</v>
      </c>
      <c r="I371" s="147"/>
      <c r="J371" s="147"/>
      <c r="K371" s="147"/>
      <c r="L371" s="162">
        <v>2800</v>
      </c>
      <c r="M371" s="147" t="s">
        <v>672</v>
      </c>
      <c r="N371" s="147" t="s">
        <v>188</v>
      </c>
      <c r="O371" s="147"/>
      <c r="P371" s="147" t="s">
        <v>673</v>
      </c>
      <c r="Q371" s="34" t="s">
        <v>670</v>
      </c>
    </row>
    <row r="372" s="34" customFormat="1" spans="1:17">
      <c r="A372" s="34">
        <v>3243</v>
      </c>
      <c r="B372" s="34">
        <v>113083</v>
      </c>
      <c r="C372" s="34">
        <v>3</v>
      </c>
      <c r="D372" s="140" t="s">
        <v>212</v>
      </c>
      <c r="E372" s="146" t="s">
        <v>200</v>
      </c>
      <c r="F372" s="147"/>
      <c r="G372" s="147"/>
      <c r="H372" s="146"/>
      <c r="I372" s="147"/>
      <c r="J372" s="147" t="s">
        <v>674</v>
      </c>
      <c r="K372" s="147"/>
      <c r="L372" s="162">
        <v>5000</v>
      </c>
      <c r="M372" s="147" t="s">
        <v>675</v>
      </c>
      <c r="N372" s="147" t="s">
        <v>90</v>
      </c>
      <c r="O372" s="147"/>
      <c r="P372" s="147" t="s">
        <v>676</v>
      </c>
      <c r="Q372" s="34" t="s">
        <v>670</v>
      </c>
    </row>
    <row r="373" s="31" customFormat="1" spans="1:17">
      <c r="A373" s="31">
        <v>3244</v>
      </c>
      <c r="B373" s="31">
        <v>113084</v>
      </c>
      <c r="C373" s="31">
        <v>1</v>
      </c>
      <c r="D373" s="140" t="s">
        <v>40</v>
      </c>
      <c r="E373" s="141">
        <v>1</v>
      </c>
      <c r="F373" s="140"/>
      <c r="G373" s="140"/>
      <c r="H373" s="141" t="s">
        <v>677</v>
      </c>
      <c r="I373" s="140"/>
      <c r="J373" s="140"/>
      <c r="K373" s="140"/>
      <c r="L373" s="160">
        <v>1700</v>
      </c>
      <c r="M373" s="140" t="s">
        <v>678</v>
      </c>
      <c r="N373" s="140" t="s">
        <v>42</v>
      </c>
      <c r="O373" s="140"/>
      <c r="P373" s="144">
        <v>0.045</v>
      </c>
      <c r="Q373" s="31" t="s">
        <v>679</v>
      </c>
    </row>
    <row r="374" s="31" customFormat="1" spans="1:17">
      <c r="A374" s="31">
        <v>3245</v>
      </c>
      <c r="B374" s="31">
        <v>113084</v>
      </c>
      <c r="C374" s="31">
        <v>2</v>
      </c>
      <c r="D374" s="140" t="s">
        <v>43</v>
      </c>
      <c r="E374" s="141">
        <v>1</v>
      </c>
      <c r="F374" s="140"/>
      <c r="G374" s="140"/>
      <c r="H374" s="141"/>
      <c r="I374" s="140"/>
      <c r="J374" s="161">
        <v>61289</v>
      </c>
      <c r="K374" s="140"/>
      <c r="L374" s="160">
        <v>3400</v>
      </c>
      <c r="M374" s="111" t="s">
        <v>680</v>
      </c>
      <c r="N374" s="111" t="s">
        <v>45</v>
      </c>
      <c r="O374" s="140"/>
      <c r="P374" s="144">
        <v>0.05</v>
      </c>
      <c r="Q374" s="31" t="s">
        <v>679</v>
      </c>
    </row>
    <row r="375" s="31" customFormat="1" spans="1:17">
      <c r="A375" s="31">
        <v>3246</v>
      </c>
      <c r="B375" s="31">
        <v>113084</v>
      </c>
      <c r="C375" s="31">
        <v>3</v>
      </c>
      <c r="D375" s="140" t="s">
        <v>212</v>
      </c>
      <c r="E375" s="141">
        <v>1</v>
      </c>
      <c r="F375" s="140"/>
      <c r="G375" s="140"/>
      <c r="H375" s="141" t="s">
        <v>681</v>
      </c>
      <c r="I375" s="140"/>
      <c r="J375" s="161"/>
      <c r="K375" s="140"/>
      <c r="L375" s="160">
        <v>4200</v>
      </c>
      <c r="M375" s="136" t="s">
        <v>682</v>
      </c>
      <c r="N375" s="136" t="s">
        <v>65</v>
      </c>
      <c r="O375" s="140"/>
      <c r="P375" s="144">
        <v>0.0625</v>
      </c>
      <c r="Q375" s="31" t="s">
        <v>679</v>
      </c>
    </row>
    <row r="376" s="32" customFormat="1" spans="1:17">
      <c r="A376" s="32">
        <v>3247</v>
      </c>
      <c r="B376" s="32">
        <v>113085</v>
      </c>
      <c r="C376" s="32">
        <v>1</v>
      </c>
      <c r="D376" s="142" t="s">
        <v>40</v>
      </c>
      <c r="E376" s="143">
        <v>1</v>
      </c>
      <c r="F376" s="142"/>
      <c r="G376" s="142"/>
      <c r="H376" s="143" t="s">
        <v>683</v>
      </c>
      <c r="I376" s="142"/>
      <c r="J376" s="142"/>
      <c r="K376" s="142"/>
      <c r="L376" s="159">
        <v>1700</v>
      </c>
      <c r="M376" s="142" t="s">
        <v>684</v>
      </c>
      <c r="N376" s="142" t="s">
        <v>53</v>
      </c>
      <c r="O376" s="142"/>
      <c r="P376" s="142">
        <v>0.045</v>
      </c>
      <c r="Q376" s="32" t="s">
        <v>685</v>
      </c>
    </row>
    <row r="377" s="32" customFormat="1" spans="1:17">
      <c r="A377" s="32">
        <v>3248</v>
      </c>
      <c r="B377" s="32">
        <v>113085</v>
      </c>
      <c r="C377" s="32">
        <v>2</v>
      </c>
      <c r="D377" s="142" t="s">
        <v>43</v>
      </c>
      <c r="E377" s="143">
        <v>1</v>
      </c>
      <c r="F377" s="142"/>
      <c r="G377" s="142"/>
      <c r="H377" s="143" t="s">
        <v>686</v>
      </c>
      <c r="I377" s="142"/>
      <c r="J377" s="142"/>
      <c r="K377" s="142"/>
      <c r="L377" s="159">
        <v>3400</v>
      </c>
      <c r="M377" s="142" t="s">
        <v>687</v>
      </c>
      <c r="N377" s="142" t="s">
        <v>49</v>
      </c>
      <c r="O377" s="142"/>
      <c r="P377" s="142">
        <v>0.05</v>
      </c>
      <c r="Q377" s="32" t="s">
        <v>685</v>
      </c>
    </row>
    <row r="378" s="32" customFormat="1" spans="1:17">
      <c r="A378" s="32">
        <v>3249</v>
      </c>
      <c r="B378" s="32">
        <v>113085</v>
      </c>
      <c r="C378" s="32">
        <v>3</v>
      </c>
      <c r="D378" s="142" t="s">
        <v>212</v>
      </c>
      <c r="E378" s="143">
        <v>1</v>
      </c>
      <c r="F378" s="142"/>
      <c r="G378" s="142"/>
      <c r="H378" s="143"/>
      <c r="I378" s="142"/>
      <c r="J378" s="142" t="s">
        <v>688</v>
      </c>
      <c r="K378" s="142"/>
      <c r="L378" s="159">
        <v>4200</v>
      </c>
      <c r="M378" s="142" t="s">
        <v>689</v>
      </c>
      <c r="N378" s="142" t="s">
        <v>188</v>
      </c>
      <c r="O378" s="142"/>
      <c r="P378" s="142">
        <v>0.0625</v>
      </c>
      <c r="Q378" s="32" t="s">
        <v>685</v>
      </c>
    </row>
    <row r="379" s="35" customFormat="1" spans="1:17">
      <c r="A379" s="35">
        <v>3250</v>
      </c>
      <c r="B379" s="35">
        <v>113086</v>
      </c>
      <c r="C379" s="35">
        <v>1</v>
      </c>
      <c r="D379" s="148" t="s">
        <v>40</v>
      </c>
      <c r="E379" s="149">
        <v>1</v>
      </c>
      <c r="F379" s="148"/>
      <c r="G379" s="148"/>
      <c r="H379" s="149" t="s">
        <v>690</v>
      </c>
      <c r="I379" s="148"/>
      <c r="J379" s="148"/>
      <c r="K379" s="148"/>
      <c r="L379" s="163">
        <v>1700</v>
      </c>
      <c r="M379" s="148" t="s">
        <v>691</v>
      </c>
      <c r="N379" s="148" t="s">
        <v>49</v>
      </c>
      <c r="O379" s="148"/>
      <c r="P379" s="148">
        <v>0.045</v>
      </c>
      <c r="Q379" s="35" t="s">
        <v>692</v>
      </c>
    </row>
    <row r="380" s="35" customFormat="1" spans="1:17">
      <c r="A380" s="35">
        <v>3251</v>
      </c>
      <c r="B380" s="35">
        <v>113086</v>
      </c>
      <c r="C380" s="35">
        <v>2</v>
      </c>
      <c r="D380" s="148" t="s">
        <v>43</v>
      </c>
      <c r="E380" s="149">
        <v>1</v>
      </c>
      <c r="F380" s="148"/>
      <c r="G380" s="148"/>
      <c r="H380" s="149" t="s">
        <v>693</v>
      </c>
      <c r="I380" s="148"/>
      <c r="J380" s="148"/>
      <c r="K380" s="148"/>
      <c r="L380" s="163">
        <v>3400</v>
      </c>
      <c r="M380" s="148" t="s">
        <v>694</v>
      </c>
      <c r="N380" s="148" t="s">
        <v>188</v>
      </c>
      <c r="O380" s="148"/>
      <c r="P380" s="148">
        <v>0.05</v>
      </c>
      <c r="Q380" s="35" t="s">
        <v>692</v>
      </c>
    </row>
    <row r="381" s="35" customFormat="1" spans="1:17">
      <c r="A381" s="35">
        <v>3252</v>
      </c>
      <c r="B381" s="35">
        <v>113086</v>
      </c>
      <c r="C381" s="35">
        <v>3</v>
      </c>
      <c r="D381" s="148" t="s">
        <v>212</v>
      </c>
      <c r="E381" s="149">
        <v>1</v>
      </c>
      <c r="F381" s="148"/>
      <c r="G381" s="148"/>
      <c r="H381" s="149"/>
      <c r="I381" s="148"/>
      <c r="J381" s="148" t="s">
        <v>695</v>
      </c>
      <c r="K381" s="148"/>
      <c r="L381" s="163">
        <v>4200</v>
      </c>
      <c r="M381" s="148" t="s">
        <v>696</v>
      </c>
      <c r="N381" s="148" t="s">
        <v>59</v>
      </c>
      <c r="O381" s="148"/>
      <c r="P381" s="148">
        <v>0.0625</v>
      </c>
      <c r="Q381" s="35" t="s">
        <v>692</v>
      </c>
    </row>
    <row r="382" s="32" customFormat="1" spans="1:17">
      <c r="A382" s="32">
        <v>3253</v>
      </c>
      <c r="B382" s="32">
        <v>113087</v>
      </c>
      <c r="C382" s="32">
        <v>1</v>
      </c>
      <c r="D382" s="142" t="s">
        <v>40</v>
      </c>
      <c r="E382" s="143">
        <v>1</v>
      </c>
      <c r="F382" s="142"/>
      <c r="G382" s="142"/>
      <c r="H382" s="143" t="s">
        <v>697</v>
      </c>
      <c r="I382" s="142"/>
      <c r="J382" s="142"/>
      <c r="K382" s="142"/>
      <c r="L382" s="159">
        <v>1700</v>
      </c>
      <c r="M382" s="142" t="s">
        <v>698</v>
      </c>
      <c r="N382" s="142" t="s">
        <v>188</v>
      </c>
      <c r="O382" s="142"/>
      <c r="P382" s="142">
        <v>0.045</v>
      </c>
      <c r="Q382" s="32" t="s">
        <v>699</v>
      </c>
    </row>
    <row r="383" s="32" customFormat="1" spans="1:17">
      <c r="A383" s="32">
        <v>3254</v>
      </c>
      <c r="B383" s="32">
        <v>113087</v>
      </c>
      <c r="C383" s="32">
        <v>2</v>
      </c>
      <c r="D383" s="142" t="s">
        <v>43</v>
      </c>
      <c r="E383" s="143">
        <v>1</v>
      </c>
      <c r="F383" s="142"/>
      <c r="G383" s="142"/>
      <c r="H383" s="143" t="s">
        <v>700</v>
      </c>
      <c r="I383" s="142"/>
      <c r="J383" s="142"/>
      <c r="K383" s="142"/>
      <c r="L383" s="159">
        <v>3400</v>
      </c>
      <c r="M383" s="142" t="s">
        <v>701</v>
      </c>
      <c r="N383" s="142" t="s">
        <v>59</v>
      </c>
      <c r="O383" s="142"/>
      <c r="P383" s="142">
        <v>0.05</v>
      </c>
      <c r="Q383" s="32" t="s">
        <v>699</v>
      </c>
    </row>
    <row r="384" s="32" customFormat="1" spans="1:17">
      <c r="A384" s="32">
        <v>3255</v>
      </c>
      <c r="B384" s="32">
        <v>113087</v>
      </c>
      <c r="C384" s="32">
        <v>3</v>
      </c>
      <c r="D384" s="142" t="s">
        <v>212</v>
      </c>
      <c r="E384" s="143">
        <v>1</v>
      </c>
      <c r="F384" s="142"/>
      <c r="G384" s="142"/>
      <c r="H384" s="143" t="s">
        <v>702</v>
      </c>
      <c r="I384" s="142"/>
      <c r="J384" s="142"/>
      <c r="K384" s="142"/>
      <c r="L384" s="159">
        <v>4200</v>
      </c>
      <c r="M384" s="142" t="s">
        <v>703</v>
      </c>
      <c r="N384" s="142" t="s">
        <v>67</v>
      </c>
      <c r="O384" s="142"/>
      <c r="P384" s="142">
        <v>0.0625</v>
      </c>
      <c r="Q384" s="32" t="s">
        <v>699</v>
      </c>
    </row>
    <row r="385" s="35" customFormat="1" spans="1:17">
      <c r="A385" s="35">
        <v>3256</v>
      </c>
      <c r="B385" s="35">
        <v>113088</v>
      </c>
      <c r="C385" s="35">
        <v>1</v>
      </c>
      <c r="D385" s="148" t="s">
        <v>40</v>
      </c>
      <c r="E385" s="149">
        <v>1</v>
      </c>
      <c r="F385" s="148"/>
      <c r="G385" s="148"/>
      <c r="H385" s="149" t="s">
        <v>704</v>
      </c>
      <c r="I385" s="148"/>
      <c r="J385" s="148"/>
      <c r="K385" s="148"/>
      <c r="L385" s="163">
        <v>1700</v>
      </c>
      <c r="M385" s="148" t="s">
        <v>705</v>
      </c>
      <c r="N385" s="148" t="s">
        <v>45</v>
      </c>
      <c r="O385" s="148"/>
      <c r="P385" s="140">
        <v>0.05</v>
      </c>
      <c r="Q385" s="35" t="s">
        <v>706</v>
      </c>
    </row>
    <row r="386" s="35" customFormat="1" spans="1:17">
      <c r="A386" s="35">
        <v>3257</v>
      </c>
      <c r="B386" s="35">
        <v>113088</v>
      </c>
      <c r="C386" s="35">
        <v>2</v>
      </c>
      <c r="D386" s="148" t="s">
        <v>43</v>
      </c>
      <c r="E386" s="149">
        <v>1</v>
      </c>
      <c r="F386" s="148"/>
      <c r="G386" s="148"/>
      <c r="H386" s="149" t="s">
        <v>707</v>
      </c>
      <c r="I386" s="148"/>
      <c r="J386" s="148"/>
      <c r="K386" s="148"/>
      <c r="L386" s="163">
        <v>3400</v>
      </c>
      <c r="M386" s="148" t="s">
        <v>708</v>
      </c>
      <c r="N386" s="148" t="s">
        <v>49</v>
      </c>
      <c r="O386" s="148"/>
      <c r="P386" s="140">
        <v>0.0625</v>
      </c>
      <c r="Q386" s="35" t="s">
        <v>706</v>
      </c>
    </row>
    <row r="387" s="35" customFormat="1" spans="1:17">
      <c r="A387" s="35">
        <v>3258</v>
      </c>
      <c r="B387" s="35">
        <v>113088</v>
      </c>
      <c r="C387" s="35">
        <v>3</v>
      </c>
      <c r="D387" s="148" t="s">
        <v>212</v>
      </c>
      <c r="E387" s="149">
        <v>1</v>
      </c>
      <c r="F387" s="148"/>
      <c r="G387" s="148"/>
      <c r="H387" s="149" t="s">
        <v>709</v>
      </c>
      <c r="I387" s="148"/>
      <c r="J387" s="148"/>
      <c r="K387" s="148"/>
      <c r="L387" s="163">
        <v>4200</v>
      </c>
      <c r="M387" s="148" t="s">
        <v>710</v>
      </c>
      <c r="N387" s="148" t="s">
        <v>45</v>
      </c>
      <c r="O387" s="148"/>
      <c r="P387" s="140" t="s">
        <v>636</v>
      </c>
      <c r="Q387" s="35" t="s">
        <v>706</v>
      </c>
    </row>
    <row r="388" s="32" customFormat="1" spans="1:17">
      <c r="A388" s="32">
        <v>3259</v>
      </c>
      <c r="B388" s="32">
        <v>113089</v>
      </c>
      <c r="C388" s="32">
        <v>1</v>
      </c>
      <c r="D388" s="142" t="s">
        <v>40</v>
      </c>
      <c r="E388" s="143">
        <v>1</v>
      </c>
      <c r="F388" s="142"/>
      <c r="G388" s="142"/>
      <c r="H388" s="143" t="s">
        <v>711</v>
      </c>
      <c r="I388" s="142"/>
      <c r="J388" s="142"/>
      <c r="K388" s="142"/>
      <c r="L388" s="159">
        <v>1700</v>
      </c>
      <c r="M388" s="142" t="s">
        <v>712</v>
      </c>
      <c r="N388" s="142" t="s">
        <v>61</v>
      </c>
      <c r="O388" s="142"/>
      <c r="P388" s="142">
        <v>0.045</v>
      </c>
      <c r="Q388" s="32" t="s">
        <v>713</v>
      </c>
    </row>
    <row r="389" s="32" customFormat="1" spans="1:17">
      <c r="A389" s="32">
        <v>3260</v>
      </c>
      <c r="B389" s="32">
        <v>113089</v>
      </c>
      <c r="C389" s="32">
        <v>2</v>
      </c>
      <c r="D389" s="142" t="s">
        <v>43</v>
      </c>
      <c r="E389" s="143">
        <v>1</v>
      </c>
      <c r="F389" s="142"/>
      <c r="G389" s="142"/>
      <c r="H389" s="143" t="s">
        <v>714</v>
      </c>
      <c r="I389" s="142"/>
      <c r="J389" s="142"/>
      <c r="K389" s="142"/>
      <c r="L389" s="159">
        <v>3400</v>
      </c>
      <c r="M389" s="142" t="s">
        <v>715</v>
      </c>
      <c r="N389" s="142" t="s">
        <v>53</v>
      </c>
      <c r="O389" s="142"/>
      <c r="P389" s="142">
        <v>0.05</v>
      </c>
      <c r="Q389" s="32" t="s">
        <v>713</v>
      </c>
    </row>
    <row r="390" s="32" customFormat="1" spans="1:17">
      <c r="A390" s="32">
        <v>3261</v>
      </c>
      <c r="B390" s="32">
        <v>113089</v>
      </c>
      <c r="C390" s="32">
        <v>3</v>
      </c>
      <c r="D390" s="142" t="s">
        <v>212</v>
      </c>
      <c r="E390" s="143">
        <v>1</v>
      </c>
      <c r="F390" s="142"/>
      <c r="G390" s="142"/>
      <c r="H390" s="143"/>
      <c r="I390" s="142"/>
      <c r="J390" s="142" t="s">
        <v>716</v>
      </c>
      <c r="K390" s="142"/>
      <c r="L390" s="159">
        <v>4200</v>
      </c>
      <c r="M390" s="142" t="s">
        <v>717</v>
      </c>
      <c r="N390" s="142" t="s">
        <v>61</v>
      </c>
      <c r="O390" s="142"/>
      <c r="P390" s="142">
        <v>0.0625</v>
      </c>
      <c r="Q390" s="32" t="s">
        <v>713</v>
      </c>
    </row>
    <row r="391" s="35" customFormat="1" spans="1:17">
      <c r="A391" s="35">
        <v>3262</v>
      </c>
      <c r="B391" s="35">
        <v>113090</v>
      </c>
      <c r="C391" s="35">
        <v>1</v>
      </c>
      <c r="D391" s="148" t="s">
        <v>40</v>
      </c>
      <c r="E391" s="149">
        <v>1</v>
      </c>
      <c r="F391" s="148"/>
      <c r="G391" s="148"/>
      <c r="H391" s="149" t="s">
        <v>718</v>
      </c>
      <c r="I391" s="148"/>
      <c r="J391" s="148"/>
      <c r="K391" s="148"/>
      <c r="L391" s="163">
        <v>1700</v>
      </c>
      <c r="M391" s="148" t="s">
        <v>719</v>
      </c>
      <c r="N391" s="148" t="s">
        <v>59</v>
      </c>
      <c r="O391" s="148"/>
      <c r="P391" s="142">
        <v>0.045</v>
      </c>
      <c r="Q391" s="35" t="s">
        <v>720</v>
      </c>
    </row>
    <row r="392" s="35" customFormat="1" spans="1:17">
      <c r="A392" s="35">
        <v>3263</v>
      </c>
      <c r="B392" s="35">
        <v>113090</v>
      </c>
      <c r="C392" s="35">
        <v>2</v>
      </c>
      <c r="D392" s="148" t="s">
        <v>43</v>
      </c>
      <c r="E392" s="149">
        <v>1</v>
      </c>
      <c r="F392" s="148"/>
      <c r="G392" s="148"/>
      <c r="H392" s="149" t="s">
        <v>721</v>
      </c>
      <c r="I392" s="148"/>
      <c r="J392" s="148"/>
      <c r="K392" s="148"/>
      <c r="L392" s="163">
        <v>3400</v>
      </c>
      <c r="M392" s="148" t="s">
        <v>722</v>
      </c>
      <c r="N392" s="148" t="s">
        <v>59</v>
      </c>
      <c r="O392" s="148"/>
      <c r="P392" s="142">
        <v>0.05</v>
      </c>
      <c r="Q392" s="35" t="s">
        <v>720</v>
      </c>
    </row>
    <row r="393" s="35" customFormat="1" spans="1:17">
      <c r="A393" s="35">
        <v>3264</v>
      </c>
      <c r="B393" s="35">
        <v>113090</v>
      </c>
      <c r="C393" s="35">
        <v>3</v>
      </c>
      <c r="D393" s="148" t="s">
        <v>212</v>
      </c>
      <c r="E393" s="149">
        <v>1</v>
      </c>
      <c r="F393" s="148"/>
      <c r="G393" s="148"/>
      <c r="H393" s="149"/>
      <c r="I393" s="148"/>
      <c r="J393" s="148" t="s">
        <v>723</v>
      </c>
      <c r="K393" s="148"/>
      <c r="L393" s="163">
        <v>4200</v>
      </c>
      <c r="M393" s="148" t="s">
        <v>724</v>
      </c>
      <c r="N393" s="148" t="s">
        <v>67</v>
      </c>
      <c r="O393" s="148"/>
      <c r="P393" s="142">
        <v>0.0625</v>
      </c>
      <c r="Q393" s="35" t="s">
        <v>720</v>
      </c>
    </row>
    <row r="394" s="32" customFormat="1" spans="1:17">
      <c r="A394" s="32">
        <v>3265</v>
      </c>
      <c r="B394" s="32">
        <v>113091</v>
      </c>
      <c r="C394" s="32">
        <v>1</v>
      </c>
      <c r="D394" s="142" t="s">
        <v>40</v>
      </c>
      <c r="E394" s="143">
        <v>1</v>
      </c>
      <c r="F394" s="142"/>
      <c r="G394" s="142"/>
      <c r="H394" s="143" t="s">
        <v>725</v>
      </c>
      <c r="I394" s="142"/>
      <c r="J394" s="142"/>
      <c r="K394" s="142"/>
      <c r="L394" s="159">
        <v>1700</v>
      </c>
      <c r="M394" s="142" t="s">
        <v>726</v>
      </c>
      <c r="N394" s="142" t="s">
        <v>61</v>
      </c>
      <c r="O394" s="142"/>
      <c r="P394" s="142">
        <v>0.045</v>
      </c>
      <c r="Q394" s="32" t="s">
        <v>713</v>
      </c>
    </row>
    <row r="395" s="32" customFormat="1" spans="1:17">
      <c r="A395" s="32">
        <v>3266</v>
      </c>
      <c r="B395" s="32">
        <v>113091</v>
      </c>
      <c r="C395" s="32">
        <v>2</v>
      </c>
      <c r="D395" s="142" t="s">
        <v>43</v>
      </c>
      <c r="E395" s="143">
        <v>1</v>
      </c>
      <c r="F395" s="142"/>
      <c r="G395" s="142"/>
      <c r="H395" s="143" t="s">
        <v>727</v>
      </c>
      <c r="I395" s="142"/>
      <c r="J395" s="142"/>
      <c r="K395" s="142"/>
      <c r="L395" s="159">
        <v>3400</v>
      </c>
      <c r="M395" s="142" t="s">
        <v>728</v>
      </c>
      <c r="N395" s="142" t="s">
        <v>53</v>
      </c>
      <c r="O395" s="142"/>
      <c r="P395" s="142">
        <v>0.05</v>
      </c>
      <c r="Q395" s="32" t="s">
        <v>713</v>
      </c>
    </row>
    <row r="396" s="32" customFormat="1" spans="1:17">
      <c r="A396" s="32">
        <v>3267</v>
      </c>
      <c r="B396" s="32">
        <v>113091</v>
      </c>
      <c r="C396" s="32">
        <v>3</v>
      </c>
      <c r="D396" s="142" t="s">
        <v>212</v>
      </c>
      <c r="E396" s="143">
        <v>1</v>
      </c>
      <c r="F396" s="142"/>
      <c r="G396" s="142"/>
      <c r="H396" s="143"/>
      <c r="I396" s="142"/>
      <c r="J396" s="142" t="s">
        <v>729</v>
      </c>
      <c r="K396" s="142"/>
      <c r="L396" s="159">
        <v>4200</v>
      </c>
      <c r="M396" s="142" t="s">
        <v>730</v>
      </c>
      <c r="N396" s="142" t="s">
        <v>61</v>
      </c>
      <c r="O396" s="142"/>
      <c r="P396" s="142">
        <v>0.0625</v>
      </c>
      <c r="Q396" s="32" t="s">
        <v>713</v>
      </c>
    </row>
    <row r="397" s="36" customFormat="1" spans="1:17">
      <c r="A397" s="36">
        <v>3268</v>
      </c>
      <c r="B397" s="36">
        <v>113092</v>
      </c>
      <c r="C397" s="36">
        <v>1</v>
      </c>
      <c r="D397" s="164" t="s">
        <v>40</v>
      </c>
      <c r="E397" s="165">
        <v>1</v>
      </c>
      <c r="F397" s="164"/>
      <c r="G397" s="164"/>
      <c r="H397" s="165" t="s">
        <v>731</v>
      </c>
      <c r="I397" s="164"/>
      <c r="J397" s="164"/>
      <c r="K397" s="164"/>
      <c r="L397" s="179">
        <v>1700</v>
      </c>
      <c r="M397" s="164" t="s">
        <v>732</v>
      </c>
      <c r="N397" s="142" t="s">
        <v>188</v>
      </c>
      <c r="O397" s="164"/>
      <c r="P397" s="164">
        <v>0.045</v>
      </c>
      <c r="Q397" s="36" t="s">
        <v>733</v>
      </c>
    </row>
    <row r="398" s="36" customFormat="1" spans="1:17">
      <c r="A398" s="36">
        <v>3269</v>
      </c>
      <c r="B398" s="36">
        <v>113092</v>
      </c>
      <c r="C398" s="36">
        <v>2</v>
      </c>
      <c r="D398" s="164" t="s">
        <v>43</v>
      </c>
      <c r="E398" s="165">
        <v>1</v>
      </c>
      <c r="F398" s="164"/>
      <c r="G398" s="164"/>
      <c r="H398" s="165" t="s">
        <v>734</v>
      </c>
      <c r="I398" s="164"/>
      <c r="J398" s="164"/>
      <c r="K398" s="164"/>
      <c r="L398" s="179">
        <v>3400</v>
      </c>
      <c r="M398" s="164" t="s">
        <v>735</v>
      </c>
      <c r="N398" s="164" t="s">
        <v>61</v>
      </c>
      <c r="O398" s="164"/>
      <c r="P398" s="164">
        <v>0.05</v>
      </c>
      <c r="Q398" s="36" t="s">
        <v>733</v>
      </c>
    </row>
    <row r="399" s="36" customFormat="1" spans="1:17">
      <c r="A399" s="36">
        <v>3270</v>
      </c>
      <c r="B399" s="36">
        <v>113092</v>
      </c>
      <c r="C399" s="36">
        <v>3</v>
      </c>
      <c r="D399" s="164" t="s">
        <v>212</v>
      </c>
      <c r="E399" s="165">
        <v>1</v>
      </c>
      <c r="F399" s="164"/>
      <c r="G399" s="164"/>
      <c r="H399" s="165"/>
      <c r="I399" s="164"/>
      <c r="J399" s="164" t="s">
        <v>736</v>
      </c>
      <c r="K399" s="164"/>
      <c r="L399" s="179">
        <v>4200</v>
      </c>
      <c r="M399" s="164" t="s">
        <v>737</v>
      </c>
      <c r="N399" s="164" t="s">
        <v>61</v>
      </c>
      <c r="O399" s="164"/>
      <c r="P399" s="164">
        <v>0.0625</v>
      </c>
      <c r="Q399" s="36" t="s">
        <v>733</v>
      </c>
    </row>
    <row r="400" s="37" customFormat="1" spans="1:17">
      <c r="A400" s="37">
        <v>3271</v>
      </c>
      <c r="B400" s="37">
        <v>113093</v>
      </c>
      <c r="C400" s="37">
        <v>1</v>
      </c>
      <c r="D400" s="166" t="s">
        <v>40</v>
      </c>
      <c r="E400" s="167">
        <v>1</v>
      </c>
      <c r="F400" s="166"/>
      <c r="G400" s="166"/>
      <c r="H400" s="167" t="s">
        <v>738</v>
      </c>
      <c r="I400" s="166"/>
      <c r="J400" s="166"/>
      <c r="K400" s="166"/>
      <c r="L400" s="180">
        <v>1400</v>
      </c>
      <c r="M400" s="166" t="s">
        <v>739</v>
      </c>
      <c r="N400" s="166" t="s">
        <v>45</v>
      </c>
      <c r="O400" s="166"/>
      <c r="P400" s="166">
        <v>0.045</v>
      </c>
      <c r="Q400" s="37" t="s">
        <v>740</v>
      </c>
    </row>
    <row r="401" s="37" customFormat="1" spans="1:17">
      <c r="A401" s="37">
        <v>3272</v>
      </c>
      <c r="B401" s="37">
        <v>113093</v>
      </c>
      <c r="C401" s="37">
        <v>2</v>
      </c>
      <c r="D401" s="166" t="s">
        <v>43</v>
      </c>
      <c r="E401" s="167">
        <v>1</v>
      </c>
      <c r="F401" s="166"/>
      <c r="G401" s="166"/>
      <c r="H401" s="167" t="s">
        <v>741</v>
      </c>
      <c r="I401" s="166"/>
      <c r="J401" s="166"/>
      <c r="K401" s="166"/>
      <c r="L401" s="180">
        <v>3000</v>
      </c>
      <c r="M401" s="166" t="s">
        <v>742</v>
      </c>
      <c r="N401" s="166" t="s">
        <v>45</v>
      </c>
      <c r="O401" s="166"/>
      <c r="P401" s="166">
        <v>0.05</v>
      </c>
      <c r="Q401" s="37" t="s">
        <v>740</v>
      </c>
    </row>
    <row r="402" s="37" customFormat="1" spans="1:17">
      <c r="A402" s="37">
        <v>3273</v>
      </c>
      <c r="B402" s="37">
        <v>113093</v>
      </c>
      <c r="C402" s="37">
        <v>3</v>
      </c>
      <c r="D402" s="166" t="s">
        <v>212</v>
      </c>
      <c r="E402" s="167">
        <v>1</v>
      </c>
      <c r="F402" s="166"/>
      <c r="G402" s="166"/>
      <c r="H402" s="167"/>
      <c r="I402" s="166"/>
      <c r="J402" s="166" t="s">
        <v>743</v>
      </c>
      <c r="K402" s="166"/>
      <c r="L402" s="180">
        <v>5000</v>
      </c>
      <c r="M402" s="166" t="s">
        <v>744</v>
      </c>
      <c r="N402" s="166" t="s">
        <v>45</v>
      </c>
      <c r="O402" s="166"/>
      <c r="P402" s="166">
        <v>0.0625</v>
      </c>
      <c r="Q402" s="37" t="s">
        <v>740</v>
      </c>
    </row>
    <row r="403" s="36" customFormat="1" spans="1:17">
      <c r="A403" s="36">
        <v>3274</v>
      </c>
      <c r="B403" s="36">
        <v>113094</v>
      </c>
      <c r="C403" s="36">
        <v>1</v>
      </c>
      <c r="D403" s="164" t="s">
        <v>40</v>
      </c>
      <c r="E403" s="165">
        <v>1</v>
      </c>
      <c r="F403" s="164"/>
      <c r="G403" s="164"/>
      <c r="H403" s="165" t="s">
        <v>745</v>
      </c>
      <c r="I403" s="164"/>
      <c r="J403" s="164"/>
      <c r="K403" s="164"/>
      <c r="L403" s="179">
        <v>1700</v>
      </c>
      <c r="M403" s="164" t="s">
        <v>746</v>
      </c>
      <c r="N403" s="142" t="s">
        <v>59</v>
      </c>
      <c r="O403" s="164"/>
      <c r="P403" s="164">
        <v>0.045</v>
      </c>
      <c r="Q403" s="36" t="s">
        <v>747</v>
      </c>
    </row>
    <row r="404" s="36" customFormat="1" spans="1:17">
      <c r="A404" s="36">
        <v>3275</v>
      </c>
      <c r="B404" s="36">
        <v>113094</v>
      </c>
      <c r="C404" s="36">
        <v>2</v>
      </c>
      <c r="D404" s="164" t="s">
        <v>43</v>
      </c>
      <c r="E404" s="165">
        <v>1</v>
      </c>
      <c r="F404" s="164"/>
      <c r="G404" s="164"/>
      <c r="H404" s="165" t="s">
        <v>748</v>
      </c>
      <c r="I404" s="164"/>
      <c r="J404" s="164"/>
      <c r="K404" s="164"/>
      <c r="L404" s="179">
        <v>3400</v>
      </c>
      <c r="M404" s="164" t="s">
        <v>749</v>
      </c>
      <c r="N404" s="164" t="s">
        <v>49</v>
      </c>
      <c r="O404" s="164"/>
      <c r="P404" s="164">
        <v>0.05</v>
      </c>
      <c r="Q404" s="36" t="s">
        <v>747</v>
      </c>
    </row>
    <row r="405" s="36" customFormat="1" spans="1:17">
      <c r="A405" s="36">
        <v>3276</v>
      </c>
      <c r="B405" s="36">
        <v>113094</v>
      </c>
      <c r="C405" s="36">
        <v>3</v>
      </c>
      <c r="D405" s="164" t="s">
        <v>212</v>
      </c>
      <c r="E405" s="165">
        <v>1</v>
      </c>
      <c r="F405" s="164"/>
      <c r="G405" s="164"/>
      <c r="H405" s="165"/>
      <c r="I405" s="164"/>
      <c r="J405" s="164" t="s">
        <v>750</v>
      </c>
      <c r="K405" s="164"/>
      <c r="L405" s="179">
        <v>4200</v>
      </c>
      <c r="M405" s="164" t="s">
        <v>751</v>
      </c>
      <c r="N405" s="164" t="s">
        <v>53</v>
      </c>
      <c r="O405" s="164"/>
      <c r="P405" s="164">
        <v>0.0625</v>
      </c>
      <c r="Q405" s="36" t="s">
        <v>747</v>
      </c>
    </row>
    <row r="406" s="37" customFormat="1" spans="1:17">
      <c r="A406" s="37">
        <v>3277</v>
      </c>
      <c r="B406" s="37">
        <v>113095</v>
      </c>
      <c r="C406" s="37">
        <v>1</v>
      </c>
      <c r="D406" s="166" t="s">
        <v>40</v>
      </c>
      <c r="E406" s="167">
        <v>1</v>
      </c>
      <c r="F406" s="166"/>
      <c r="G406" s="166"/>
      <c r="H406" s="167" t="s">
        <v>752</v>
      </c>
      <c r="I406" s="166"/>
      <c r="J406" s="166"/>
      <c r="K406" s="166"/>
      <c r="L406" s="180">
        <v>1800</v>
      </c>
      <c r="M406" s="166" t="s">
        <v>753</v>
      </c>
      <c r="N406" s="166" t="s">
        <v>81</v>
      </c>
      <c r="O406" s="166"/>
      <c r="P406" s="166">
        <v>0.045</v>
      </c>
      <c r="Q406" s="37" t="s">
        <v>754</v>
      </c>
    </row>
    <row r="407" s="37" customFormat="1" spans="1:17">
      <c r="A407" s="37">
        <v>3278</v>
      </c>
      <c r="B407" s="37">
        <v>113095</v>
      </c>
      <c r="C407" s="37">
        <v>2</v>
      </c>
      <c r="D407" s="166" t="s">
        <v>43</v>
      </c>
      <c r="E407" s="167">
        <v>1</v>
      </c>
      <c r="F407" s="166"/>
      <c r="G407" s="166"/>
      <c r="H407" s="167" t="s">
        <v>755</v>
      </c>
      <c r="I407" s="166"/>
      <c r="J407" s="166"/>
      <c r="K407" s="166"/>
      <c r="L407" s="180">
        <v>2700</v>
      </c>
      <c r="M407" s="166" t="s">
        <v>756</v>
      </c>
      <c r="N407" s="166" t="s">
        <v>53</v>
      </c>
      <c r="O407" s="166"/>
      <c r="P407" s="166">
        <v>0.05</v>
      </c>
      <c r="Q407" s="37" t="s">
        <v>754</v>
      </c>
    </row>
    <row r="408" s="37" customFormat="1" spans="1:17">
      <c r="A408" s="37">
        <v>3279</v>
      </c>
      <c r="B408" s="37">
        <v>113095</v>
      </c>
      <c r="C408" s="37">
        <v>3</v>
      </c>
      <c r="D408" s="166" t="s">
        <v>212</v>
      </c>
      <c r="E408" s="167">
        <v>1</v>
      </c>
      <c r="F408" s="166"/>
      <c r="G408" s="166"/>
      <c r="H408" s="167"/>
      <c r="I408" s="166"/>
      <c r="J408" s="166" t="s">
        <v>757</v>
      </c>
      <c r="K408" s="166"/>
      <c r="L408" s="180">
        <v>4500</v>
      </c>
      <c r="M408" s="166" t="s">
        <v>758</v>
      </c>
      <c r="N408" s="166" t="s">
        <v>188</v>
      </c>
      <c r="O408" s="166"/>
      <c r="P408" s="166">
        <v>0.0625</v>
      </c>
      <c r="Q408" s="37" t="s">
        <v>754</v>
      </c>
    </row>
    <row r="409" s="36" customFormat="1" spans="1:17">
      <c r="A409" s="36">
        <v>3280</v>
      </c>
      <c r="B409" s="36">
        <v>113096</v>
      </c>
      <c r="C409" s="36">
        <v>1</v>
      </c>
      <c r="D409" s="164" t="s">
        <v>40</v>
      </c>
      <c r="E409" s="165">
        <v>1</v>
      </c>
      <c r="F409" s="164"/>
      <c r="G409" s="164"/>
      <c r="H409" s="165" t="s">
        <v>759</v>
      </c>
      <c r="I409" s="164"/>
      <c r="J409" s="164"/>
      <c r="K409" s="164"/>
      <c r="L409" s="179">
        <v>2000</v>
      </c>
      <c r="M409" s="164" t="s">
        <v>663</v>
      </c>
      <c r="N409" s="142" t="s">
        <v>67</v>
      </c>
      <c r="O409" s="164"/>
      <c r="P409" s="164">
        <v>0.045</v>
      </c>
      <c r="Q409" s="36" t="s">
        <v>747</v>
      </c>
    </row>
    <row r="410" s="36" customFormat="1" spans="1:17">
      <c r="A410" s="36">
        <v>3281</v>
      </c>
      <c r="B410" s="36">
        <v>113096</v>
      </c>
      <c r="C410" s="36">
        <v>2</v>
      </c>
      <c r="D410" s="164" t="s">
        <v>43</v>
      </c>
      <c r="E410" s="165">
        <v>1</v>
      </c>
      <c r="F410" s="164"/>
      <c r="G410" s="164"/>
      <c r="H410" s="165" t="s">
        <v>760</v>
      </c>
      <c r="I410" s="164"/>
      <c r="J410" s="164"/>
      <c r="K410" s="164"/>
      <c r="L410" s="179">
        <v>2600</v>
      </c>
      <c r="M410" s="164" t="s">
        <v>761</v>
      </c>
      <c r="N410" s="164" t="s">
        <v>42</v>
      </c>
      <c r="O410" s="164"/>
      <c r="P410" s="164">
        <v>0.05</v>
      </c>
      <c r="Q410" s="36" t="s">
        <v>747</v>
      </c>
    </row>
    <row r="411" s="36" customFormat="1" spans="1:17">
      <c r="A411" s="36">
        <v>3282</v>
      </c>
      <c r="B411" s="36">
        <v>113096</v>
      </c>
      <c r="C411" s="36">
        <v>3</v>
      </c>
      <c r="D411" s="164" t="s">
        <v>212</v>
      </c>
      <c r="E411" s="165">
        <v>1</v>
      </c>
      <c r="F411" s="164"/>
      <c r="G411" s="164"/>
      <c r="H411" s="165"/>
      <c r="I411" s="164"/>
      <c r="J411" s="164" t="s">
        <v>762</v>
      </c>
      <c r="K411" s="164"/>
      <c r="L411" s="179">
        <v>4600</v>
      </c>
      <c r="M411" s="164" t="s">
        <v>763</v>
      </c>
      <c r="N411" s="164" t="s">
        <v>90</v>
      </c>
      <c r="O411" s="164"/>
      <c r="P411" s="164">
        <v>0.0625</v>
      </c>
      <c r="Q411" s="36" t="s">
        <v>747</v>
      </c>
    </row>
    <row r="412" s="37" customFormat="1" spans="1:17">
      <c r="A412" s="37">
        <v>3283</v>
      </c>
      <c r="B412" s="37">
        <v>113097</v>
      </c>
      <c r="C412" s="37">
        <v>1</v>
      </c>
      <c r="D412" s="166" t="s">
        <v>40</v>
      </c>
      <c r="E412" s="167">
        <v>1</v>
      </c>
      <c r="F412" s="166"/>
      <c r="G412" s="166"/>
      <c r="H412" s="168">
        <v>82515</v>
      </c>
      <c r="I412" s="166"/>
      <c r="J412" s="166"/>
      <c r="K412" s="166"/>
      <c r="L412" s="180">
        <v>2000</v>
      </c>
      <c r="M412" s="37" t="s">
        <v>764</v>
      </c>
      <c r="N412" s="37" t="s">
        <v>188</v>
      </c>
      <c r="O412" s="166"/>
      <c r="P412" s="166">
        <v>0.045</v>
      </c>
      <c r="Q412" s="37" t="s">
        <v>765</v>
      </c>
    </row>
    <row r="413" s="37" customFormat="1" spans="1:17">
      <c r="A413" s="37">
        <v>3284</v>
      </c>
      <c r="B413" s="37">
        <v>113097</v>
      </c>
      <c r="C413" s="37">
        <v>2</v>
      </c>
      <c r="D413" s="166" t="s">
        <v>43</v>
      </c>
      <c r="E413" s="167">
        <v>1</v>
      </c>
      <c r="F413" s="166"/>
      <c r="G413" s="166"/>
      <c r="H413" s="168">
        <v>82516</v>
      </c>
      <c r="I413" s="166"/>
      <c r="J413" s="166"/>
      <c r="K413" s="166"/>
      <c r="L413" s="180">
        <v>2500</v>
      </c>
      <c r="M413" s="166" t="s">
        <v>766</v>
      </c>
      <c r="N413" s="166" t="s">
        <v>81</v>
      </c>
      <c r="O413" s="166"/>
      <c r="P413" s="166">
        <v>0.05</v>
      </c>
      <c r="Q413" s="37" t="s">
        <v>765</v>
      </c>
    </row>
    <row r="414" s="37" customFormat="1" spans="1:17">
      <c r="A414" s="37">
        <v>3285</v>
      </c>
      <c r="B414" s="37">
        <v>113097</v>
      </c>
      <c r="C414" s="37">
        <v>3</v>
      </c>
      <c r="D414" s="166" t="s">
        <v>212</v>
      </c>
      <c r="E414" s="167">
        <v>1</v>
      </c>
      <c r="F414" s="166"/>
      <c r="G414" s="166"/>
      <c r="H414" s="168">
        <v>82517</v>
      </c>
      <c r="I414" s="166"/>
      <c r="J414" s="166"/>
      <c r="K414" s="166"/>
      <c r="L414" s="180">
        <v>4500</v>
      </c>
      <c r="M414" s="166" t="s">
        <v>767</v>
      </c>
      <c r="N414" s="166" t="s">
        <v>45</v>
      </c>
      <c r="O414" s="166"/>
      <c r="P414" s="166">
        <v>0.0625</v>
      </c>
      <c r="Q414" s="37" t="s">
        <v>765</v>
      </c>
    </row>
    <row r="415" s="36" customFormat="1" spans="1:17">
      <c r="A415" s="36">
        <v>3286</v>
      </c>
      <c r="B415" s="36">
        <v>113098</v>
      </c>
      <c r="C415" s="36">
        <v>1</v>
      </c>
      <c r="D415" s="164" t="s">
        <v>40</v>
      </c>
      <c r="E415" s="165">
        <v>1</v>
      </c>
      <c r="F415" s="164"/>
      <c r="G415" s="164"/>
      <c r="H415" s="165" t="s">
        <v>768</v>
      </c>
      <c r="I415" s="164"/>
      <c r="J415" s="164"/>
      <c r="K415" s="164"/>
      <c r="L415" s="179">
        <v>2000</v>
      </c>
      <c r="M415" s="164" t="s">
        <v>769</v>
      </c>
      <c r="N415" s="142" t="s">
        <v>42</v>
      </c>
      <c r="O415" s="164"/>
      <c r="P415" s="164">
        <v>0.045</v>
      </c>
      <c r="Q415" s="36" t="s">
        <v>770</v>
      </c>
    </row>
    <row r="416" s="36" customFormat="1" spans="1:17">
      <c r="A416" s="36">
        <v>3287</v>
      </c>
      <c r="B416" s="36">
        <v>113098</v>
      </c>
      <c r="C416" s="36">
        <v>2</v>
      </c>
      <c r="D416" s="164" t="s">
        <v>43</v>
      </c>
      <c r="E416" s="165">
        <v>1</v>
      </c>
      <c r="F416" s="164"/>
      <c r="G416" s="164"/>
      <c r="H416" s="165" t="s">
        <v>771</v>
      </c>
      <c r="I416" s="164"/>
      <c r="J416" s="164"/>
      <c r="K416" s="164"/>
      <c r="L416" s="179">
        <v>2600</v>
      </c>
      <c r="M416" s="164" t="s">
        <v>772</v>
      </c>
      <c r="N416" s="164" t="s">
        <v>188</v>
      </c>
      <c r="O416" s="164"/>
      <c r="P416" s="164">
        <v>0.05</v>
      </c>
      <c r="Q416" s="36" t="s">
        <v>770</v>
      </c>
    </row>
    <row r="417" s="36" customFormat="1" spans="1:17">
      <c r="A417" s="36">
        <v>3288</v>
      </c>
      <c r="B417" s="36">
        <v>113098</v>
      </c>
      <c r="C417" s="36">
        <v>3</v>
      </c>
      <c r="D417" s="164" t="s">
        <v>212</v>
      </c>
      <c r="E417" s="165">
        <v>1</v>
      </c>
      <c r="F417" s="164"/>
      <c r="G417" s="164"/>
      <c r="H417" s="165"/>
      <c r="I417" s="164"/>
      <c r="J417" s="164" t="s">
        <v>773</v>
      </c>
      <c r="K417" s="164"/>
      <c r="L417" s="179">
        <v>4600</v>
      </c>
      <c r="M417" s="164" t="s">
        <v>774</v>
      </c>
      <c r="N417" s="164" t="s">
        <v>45</v>
      </c>
      <c r="O417" s="164"/>
      <c r="P417" s="164">
        <v>0.0625</v>
      </c>
      <c r="Q417" s="36" t="s">
        <v>770</v>
      </c>
    </row>
    <row r="418" s="37" customFormat="1" spans="1:17">
      <c r="A418" s="37">
        <v>3289</v>
      </c>
      <c r="B418" s="37">
        <v>113099</v>
      </c>
      <c r="C418" s="37">
        <v>1</v>
      </c>
      <c r="D418" s="166" t="s">
        <v>40</v>
      </c>
      <c r="E418" s="167">
        <v>1</v>
      </c>
      <c r="F418" s="166"/>
      <c r="G418" s="166"/>
      <c r="H418" s="168">
        <v>82538</v>
      </c>
      <c r="I418" s="166"/>
      <c r="J418" s="166"/>
      <c r="K418" s="166"/>
      <c r="L418" s="180">
        <v>2000</v>
      </c>
      <c r="M418" s="37" t="s">
        <v>775</v>
      </c>
      <c r="N418" s="37" t="s">
        <v>81</v>
      </c>
      <c r="O418" s="166"/>
      <c r="P418" s="166">
        <v>0.045</v>
      </c>
      <c r="Q418" s="37" t="s">
        <v>776</v>
      </c>
    </row>
    <row r="419" s="37" customFormat="1" spans="1:17">
      <c r="A419" s="37">
        <v>3290</v>
      </c>
      <c r="B419" s="37">
        <v>113099</v>
      </c>
      <c r="C419" s="37">
        <v>2</v>
      </c>
      <c r="D419" s="166" t="s">
        <v>43</v>
      </c>
      <c r="E419" s="167">
        <v>1</v>
      </c>
      <c r="F419" s="166"/>
      <c r="G419" s="166"/>
      <c r="H419" s="169">
        <v>82539</v>
      </c>
      <c r="I419" s="166"/>
      <c r="J419" s="166"/>
      <c r="K419" s="166"/>
      <c r="L419" s="180">
        <v>2500</v>
      </c>
      <c r="M419" s="166" t="s">
        <v>777</v>
      </c>
      <c r="N419" s="166" t="s">
        <v>188</v>
      </c>
      <c r="O419" s="166"/>
      <c r="P419" s="166">
        <v>0.05</v>
      </c>
      <c r="Q419" s="37" t="s">
        <v>776</v>
      </c>
    </row>
    <row r="420" s="37" customFormat="1" spans="1:17">
      <c r="A420" s="37">
        <v>3291</v>
      </c>
      <c r="B420" s="37">
        <v>113099</v>
      </c>
      <c r="C420" s="37">
        <v>3</v>
      </c>
      <c r="D420" s="166" t="s">
        <v>212</v>
      </c>
      <c r="E420" s="167">
        <v>1</v>
      </c>
      <c r="F420" s="166"/>
      <c r="G420" s="166"/>
      <c r="H420" s="169">
        <v>82540</v>
      </c>
      <c r="I420" s="166"/>
      <c r="J420" s="166"/>
      <c r="K420" s="166"/>
      <c r="L420" s="180">
        <v>4500</v>
      </c>
      <c r="M420" s="166" t="s">
        <v>778</v>
      </c>
      <c r="N420" s="166" t="s">
        <v>45</v>
      </c>
      <c r="O420" s="166"/>
      <c r="P420" s="166">
        <v>0.0625</v>
      </c>
      <c r="Q420" s="37" t="s">
        <v>776</v>
      </c>
    </row>
    <row r="421" s="31" customFormat="1" spans="1:17">
      <c r="A421" s="31">
        <v>3292</v>
      </c>
      <c r="B421" s="31">
        <v>113100</v>
      </c>
      <c r="C421" s="31">
        <v>1</v>
      </c>
      <c r="D421" s="140" t="s">
        <v>40</v>
      </c>
      <c r="E421" s="141">
        <v>1</v>
      </c>
      <c r="F421" s="140"/>
      <c r="G421" s="140"/>
      <c r="H421" s="141" t="s">
        <v>779</v>
      </c>
      <c r="I421" s="140"/>
      <c r="J421" s="140"/>
      <c r="K421" s="140"/>
      <c r="L421" s="158">
        <v>2000</v>
      </c>
      <c r="M421" s="140" t="s">
        <v>708</v>
      </c>
      <c r="N421" s="140" t="s">
        <v>49</v>
      </c>
      <c r="O421" s="140"/>
      <c r="P421" s="140">
        <v>0.05</v>
      </c>
      <c r="Q421" s="31" t="s">
        <v>780</v>
      </c>
    </row>
    <row r="422" s="31" customFormat="1" spans="1:17">
      <c r="A422" s="31">
        <v>3293</v>
      </c>
      <c r="B422" s="31">
        <v>113100</v>
      </c>
      <c r="C422" s="31">
        <v>2</v>
      </c>
      <c r="D422" s="140" t="s">
        <v>43</v>
      </c>
      <c r="E422" s="141">
        <v>1</v>
      </c>
      <c r="F422" s="140"/>
      <c r="G422" s="140"/>
      <c r="H422" s="141"/>
      <c r="I422" s="140"/>
      <c r="J422" s="140" t="s">
        <v>781</v>
      </c>
      <c r="K422" s="140"/>
      <c r="L422" s="158">
        <v>3200</v>
      </c>
      <c r="M422" s="140" t="s">
        <v>782</v>
      </c>
      <c r="N422" s="140" t="s">
        <v>188</v>
      </c>
      <c r="O422" s="140"/>
      <c r="P422" s="140">
        <v>0.0625</v>
      </c>
      <c r="Q422" s="31" t="s">
        <v>780</v>
      </c>
    </row>
    <row r="423" s="31" customFormat="1" spans="1:17">
      <c r="A423" s="31">
        <v>3294</v>
      </c>
      <c r="B423" s="31">
        <v>113100</v>
      </c>
      <c r="C423" s="31">
        <v>3</v>
      </c>
      <c r="D423" s="140" t="s">
        <v>212</v>
      </c>
      <c r="E423" s="141">
        <v>1</v>
      </c>
      <c r="F423" s="140"/>
      <c r="G423" s="140"/>
      <c r="H423" s="141" t="s">
        <v>783</v>
      </c>
      <c r="I423" s="140"/>
      <c r="J423" s="140"/>
      <c r="K423" s="140"/>
      <c r="L423" s="158">
        <v>5000</v>
      </c>
      <c r="M423" s="140" t="s">
        <v>784</v>
      </c>
      <c r="N423" s="140" t="s">
        <v>61</v>
      </c>
      <c r="O423" s="140"/>
      <c r="P423" s="140" t="s">
        <v>636</v>
      </c>
      <c r="Q423" s="31" t="s">
        <v>780</v>
      </c>
    </row>
    <row r="424" s="37" customFormat="1" spans="1:17">
      <c r="A424" s="37">
        <v>3295</v>
      </c>
      <c r="B424" s="37">
        <v>113101</v>
      </c>
      <c r="C424" s="37">
        <v>1</v>
      </c>
      <c r="D424" s="166" t="s">
        <v>40</v>
      </c>
      <c r="E424" s="167">
        <v>1</v>
      </c>
      <c r="F424" s="166"/>
      <c r="G424" s="166"/>
      <c r="H424" s="167">
        <v>82575</v>
      </c>
      <c r="I424" s="166"/>
      <c r="J424" s="166"/>
      <c r="K424" s="166"/>
      <c r="L424" s="180">
        <v>2000</v>
      </c>
      <c r="M424" s="166" t="s">
        <v>785</v>
      </c>
      <c r="N424" s="37" t="s">
        <v>81</v>
      </c>
      <c r="O424" s="166"/>
      <c r="P424" s="166">
        <v>0.045</v>
      </c>
      <c r="Q424" s="37" t="s">
        <v>786</v>
      </c>
    </row>
    <row r="425" s="37" customFormat="1" spans="1:17">
      <c r="A425" s="37">
        <v>3296</v>
      </c>
      <c r="B425" s="37">
        <v>113101</v>
      </c>
      <c r="C425" s="37">
        <v>2</v>
      </c>
      <c r="D425" s="166" t="s">
        <v>43</v>
      </c>
      <c r="E425" s="167">
        <v>1</v>
      </c>
      <c r="F425" s="166"/>
      <c r="G425" s="166"/>
      <c r="H425" s="167">
        <v>82576</v>
      </c>
      <c r="I425" s="166"/>
      <c r="J425" s="166"/>
      <c r="K425" s="166"/>
      <c r="L425" s="180">
        <v>2500</v>
      </c>
      <c r="M425" s="166" t="s">
        <v>787</v>
      </c>
      <c r="N425" s="166" t="s">
        <v>45</v>
      </c>
      <c r="O425" s="166"/>
      <c r="P425" s="166">
        <v>0.05</v>
      </c>
      <c r="Q425" s="37" t="s">
        <v>786</v>
      </c>
    </row>
    <row r="426" s="37" customFormat="1" spans="1:17">
      <c r="A426" s="37">
        <v>3297</v>
      </c>
      <c r="B426" s="37">
        <v>113101</v>
      </c>
      <c r="C426" s="37">
        <v>3</v>
      </c>
      <c r="D426" s="166" t="s">
        <v>212</v>
      </c>
      <c r="E426" s="167">
        <v>1</v>
      </c>
      <c r="F426" s="166"/>
      <c r="G426" s="166"/>
      <c r="H426" s="167">
        <v>82577</v>
      </c>
      <c r="I426" s="166"/>
      <c r="J426" s="166"/>
      <c r="K426" s="166"/>
      <c r="L426" s="180">
        <v>4500</v>
      </c>
      <c r="M426" s="166" t="s">
        <v>788</v>
      </c>
      <c r="N426" s="166" t="s">
        <v>45</v>
      </c>
      <c r="O426" s="166"/>
      <c r="P426" s="166">
        <v>0.0625</v>
      </c>
      <c r="Q426" s="37" t="s">
        <v>786</v>
      </c>
    </row>
    <row r="427" s="31" customFormat="1" spans="1:17">
      <c r="A427" s="31">
        <v>3298</v>
      </c>
      <c r="B427" s="31">
        <v>113102</v>
      </c>
      <c r="C427" s="31">
        <v>1</v>
      </c>
      <c r="D427" s="140" t="s">
        <v>40</v>
      </c>
      <c r="E427" s="141">
        <v>1</v>
      </c>
      <c r="F427" s="140"/>
      <c r="G427" s="140"/>
      <c r="H427" s="170">
        <v>82591</v>
      </c>
      <c r="I427" s="140"/>
      <c r="J427" s="140"/>
      <c r="K427" s="140"/>
      <c r="L427" s="158">
        <v>2000</v>
      </c>
      <c r="M427" s="140" t="s">
        <v>789</v>
      </c>
      <c r="N427" s="140" t="s">
        <v>81</v>
      </c>
      <c r="O427" s="140"/>
      <c r="P427" s="140">
        <v>0.05</v>
      </c>
      <c r="Q427" s="31" t="s">
        <v>790</v>
      </c>
    </row>
    <row r="428" s="31" customFormat="1" spans="1:17">
      <c r="A428" s="31">
        <v>3299</v>
      </c>
      <c r="B428" s="31">
        <v>113102</v>
      </c>
      <c r="C428" s="31">
        <v>2</v>
      </c>
      <c r="D428" s="140" t="s">
        <v>43</v>
      </c>
      <c r="E428" s="141">
        <v>1</v>
      </c>
      <c r="F428" s="140"/>
      <c r="G428" s="140"/>
      <c r="H428" s="170">
        <v>82592</v>
      </c>
      <c r="I428" s="140"/>
      <c r="J428" s="140"/>
      <c r="K428" s="140"/>
      <c r="L428" s="158">
        <v>3200</v>
      </c>
      <c r="M428" s="140" t="s">
        <v>791</v>
      </c>
      <c r="N428" s="140" t="s">
        <v>61</v>
      </c>
      <c r="O428" s="140"/>
      <c r="P428" s="140">
        <v>0.0625</v>
      </c>
      <c r="Q428" s="31" t="s">
        <v>790</v>
      </c>
    </row>
    <row r="429" s="31" customFormat="1" spans="1:17">
      <c r="A429" s="31">
        <v>3300</v>
      </c>
      <c r="B429" s="31">
        <v>113102</v>
      </c>
      <c r="C429" s="31">
        <v>3</v>
      </c>
      <c r="D429" s="140" t="s">
        <v>212</v>
      </c>
      <c r="E429" s="141">
        <v>1</v>
      </c>
      <c r="F429" s="140"/>
      <c r="G429" s="140"/>
      <c r="H429" s="170">
        <v>82593</v>
      </c>
      <c r="I429" s="140"/>
      <c r="J429" s="140"/>
      <c r="K429" s="140"/>
      <c r="L429" s="158">
        <v>5000</v>
      </c>
      <c r="M429" s="140" t="s">
        <v>792</v>
      </c>
      <c r="N429" s="140" t="s">
        <v>45</v>
      </c>
      <c r="O429" s="140"/>
      <c r="P429" s="140" t="s">
        <v>636</v>
      </c>
      <c r="Q429" s="31" t="s">
        <v>790</v>
      </c>
    </row>
    <row r="430" s="36" customFormat="1" ht="15" spans="1:17">
      <c r="A430" s="36">
        <v>3301</v>
      </c>
      <c r="B430" s="36">
        <v>113103</v>
      </c>
      <c r="C430" s="36">
        <v>1</v>
      </c>
      <c r="D430" s="164" t="s">
        <v>40</v>
      </c>
      <c r="E430" s="165">
        <v>1</v>
      </c>
      <c r="F430" s="164"/>
      <c r="G430" s="164"/>
      <c r="H430" s="171">
        <v>82667</v>
      </c>
      <c r="I430" s="164"/>
      <c r="J430" s="164"/>
      <c r="K430" s="164"/>
      <c r="L430" s="179">
        <v>2000</v>
      </c>
      <c r="M430" s="164" t="s">
        <v>793</v>
      </c>
      <c r="N430" s="36" t="s">
        <v>67</v>
      </c>
      <c r="O430" s="164"/>
      <c r="P430" s="164">
        <v>0.045</v>
      </c>
      <c r="Q430" s="36" t="s">
        <v>794</v>
      </c>
    </row>
    <row r="431" s="36" customFormat="1" ht="15" spans="1:17">
      <c r="A431" s="36">
        <v>3302</v>
      </c>
      <c r="B431" s="36">
        <v>113103</v>
      </c>
      <c r="C431" s="36">
        <v>2</v>
      </c>
      <c r="D431" s="164" t="s">
        <v>43</v>
      </c>
      <c r="E431" s="165">
        <v>1</v>
      </c>
      <c r="F431" s="164"/>
      <c r="G431" s="164"/>
      <c r="H431" s="171">
        <v>82668</v>
      </c>
      <c r="I431" s="164"/>
      <c r="J431" s="164"/>
      <c r="K431" s="164"/>
      <c r="L431" s="179">
        <v>2500</v>
      </c>
      <c r="M431" s="164" t="s">
        <v>795</v>
      </c>
      <c r="N431" s="164" t="s">
        <v>188</v>
      </c>
      <c r="O431" s="164"/>
      <c r="P431" s="164">
        <v>0.05</v>
      </c>
      <c r="Q431" s="36" t="s">
        <v>794</v>
      </c>
    </row>
    <row r="432" s="36" customFormat="1" ht="15" spans="1:17">
      <c r="A432" s="36">
        <v>3303</v>
      </c>
      <c r="B432" s="36">
        <v>113103</v>
      </c>
      <c r="C432" s="36">
        <v>3</v>
      </c>
      <c r="D432" s="164" t="s">
        <v>212</v>
      </c>
      <c r="E432" s="165">
        <v>1</v>
      </c>
      <c r="F432" s="164"/>
      <c r="G432" s="164"/>
      <c r="H432" s="171">
        <v>82669</v>
      </c>
      <c r="I432" s="164"/>
      <c r="J432" s="164"/>
      <c r="K432" s="164"/>
      <c r="L432" s="179">
        <v>4500</v>
      </c>
      <c r="M432" s="164" t="s">
        <v>796</v>
      </c>
      <c r="N432" s="164" t="s">
        <v>72</v>
      </c>
      <c r="O432" s="164"/>
      <c r="P432" s="164">
        <v>0.0625</v>
      </c>
      <c r="Q432" s="36" t="s">
        <v>794</v>
      </c>
    </row>
    <row r="433" spans="1:17">
      <c r="A433" s="36">
        <v>3304</v>
      </c>
      <c r="B433">
        <v>113104</v>
      </c>
      <c r="C433" s="36">
        <v>1</v>
      </c>
      <c r="D433" s="164" t="s">
        <v>40</v>
      </c>
      <c r="E433" s="165">
        <v>1</v>
      </c>
      <c r="H433" s="43">
        <v>82706</v>
      </c>
      <c r="L433" s="179">
        <v>2000</v>
      </c>
      <c r="M433" s="41" t="s">
        <v>797</v>
      </c>
      <c r="N433" s="41" t="s">
        <v>59</v>
      </c>
      <c r="P433" s="164">
        <v>0.045</v>
      </c>
      <c r="Q433" t="s">
        <v>798</v>
      </c>
    </row>
    <row r="434" spans="1:17">
      <c r="A434" s="36">
        <v>3305</v>
      </c>
      <c r="B434">
        <v>113104</v>
      </c>
      <c r="C434" s="36">
        <v>2</v>
      </c>
      <c r="D434" s="164" t="s">
        <v>43</v>
      </c>
      <c r="E434" s="165">
        <v>1</v>
      </c>
      <c r="H434" s="43">
        <v>82707</v>
      </c>
      <c r="L434" s="179">
        <v>2500</v>
      </c>
      <c r="M434" s="41" t="s">
        <v>799</v>
      </c>
      <c r="N434" s="41" t="s">
        <v>188</v>
      </c>
      <c r="P434" s="164">
        <v>0.05</v>
      </c>
      <c r="Q434" t="s">
        <v>798</v>
      </c>
    </row>
    <row r="435" spans="1:17">
      <c r="A435" s="36">
        <v>3306</v>
      </c>
      <c r="B435">
        <v>113104</v>
      </c>
      <c r="C435" s="36">
        <v>3</v>
      </c>
      <c r="D435" s="164" t="s">
        <v>212</v>
      </c>
      <c r="E435" s="165">
        <v>1</v>
      </c>
      <c r="H435" s="43">
        <v>82708</v>
      </c>
      <c r="L435" s="179">
        <v>4500</v>
      </c>
      <c r="M435" s="41" t="s">
        <v>800</v>
      </c>
      <c r="N435" s="41" t="s">
        <v>42</v>
      </c>
      <c r="P435" s="164">
        <v>0.0625</v>
      </c>
      <c r="Q435" t="s">
        <v>798</v>
      </c>
    </row>
    <row r="436" spans="1:17">
      <c r="A436" s="36">
        <v>3307</v>
      </c>
      <c r="B436">
        <v>113105</v>
      </c>
      <c r="C436">
        <v>1</v>
      </c>
      <c r="D436" s="41" t="s">
        <v>40</v>
      </c>
      <c r="E436" s="42">
        <v>1</v>
      </c>
      <c r="H436" s="42">
        <v>82735</v>
      </c>
      <c r="L436" s="43">
        <v>2000</v>
      </c>
      <c r="M436" s="41" t="s">
        <v>708</v>
      </c>
      <c r="N436" s="41" t="s">
        <v>49</v>
      </c>
      <c r="P436" s="41">
        <v>0.045</v>
      </c>
      <c r="Q436" t="s">
        <v>801</v>
      </c>
    </row>
    <row r="437" spans="1:17">
      <c r="A437" s="36">
        <v>3308</v>
      </c>
      <c r="B437">
        <v>113105</v>
      </c>
      <c r="C437">
        <v>2</v>
      </c>
      <c r="D437" s="41" t="s">
        <v>43</v>
      </c>
      <c r="E437" s="42">
        <v>1</v>
      </c>
      <c r="H437" s="42">
        <v>82736</v>
      </c>
      <c r="L437" s="43">
        <v>2500</v>
      </c>
      <c r="M437" s="41" t="s">
        <v>802</v>
      </c>
      <c r="N437" s="41" t="s">
        <v>188</v>
      </c>
      <c r="P437" s="41">
        <v>0.05</v>
      </c>
      <c r="Q437" t="s">
        <v>801</v>
      </c>
    </row>
    <row r="438" spans="1:17">
      <c r="A438" s="36">
        <v>3309</v>
      </c>
      <c r="B438">
        <v>113105</v>
      </c>
      <c r="C438">
        <v>3</v>
      </c>
      <c r="D438" s="41" t="s">
        <v>212</v>
      </c>
      <c r="E438" s="42">
        <v>1</v>
      </c>
      <c r="H438" s="42">
        <v>82737</v>
      </c>
      <c r="L438" s="43">
        <v>4500</v>
      </c>
      <c r="M438" s="41" t="s">
        <v>803</v>
      </c>
      <c r="N438" s="41" t="s">
        <v>61</v>
      </c>
      <c r="P438" s="41">
        <v>0.0625</v>
      </c>
      <c r="Q438" t="s">
        <v>801</v>
      </c>
    </row>
    <row r="439" s="23" customFormat="1" spans="1:17">
      <c r="A439" s="35">
        <v>3310</v>
      </c>
      <c r="B439" s="23">
        <v>113106</v>
      </c>
      <c r="C439" s="23">
        <v>1</v>
      </c>
      <c r="D439" s="124" t="s">
        <v>40</v>
      </c>
      <c r="E439" s="125">
        <v>1</v>
      </c>
      <c r="F439" s="124"/>
      <c r="G439" s="124"/>
      <c r="H439" s="163">
        <v>61315</v>
      </c>
      <c r="I439" s="124"/>
      <c r="J439" s="124"/>
      <c r="K439" s="124"/>
      <c r="L439" s="150">
        <v>2000</v>
      </c>
      <c r="M439" s="124" t="s">
        <v>804</v>
      </c>
      <c r="N439" s="124" t="s">
        <v>49</v>
      </c>
      <c r="O439" s="124"/>
      <c r="P439" s="124">
        <v>0.045</v>
      </c>
      <c r="Q439" s="23" t="s">
        <v>805</v>
      </c>
    </row>
    <row r="440" s="23" customFormat="1" spans="1:17">
      <c r="A440" s="35">
        <v>3311</v>
      </c>
      <c r="B440" s="23">
        <v>113106</v>
      </c>
      <c r="C440" s="23">
        <v>2</v>
      </c>
      <c r="D440" s="124" t="s">
        <v>43</v>
      </c>
      <c r="E440" s="125">
        <v>1</v>
      </c>
      <c r="F440" s="124"/>
      <c r="G440" s="124"/>
      <c r="H440" s="163">
        <v>61316</v>
      </c>
      <c r="I440" s="124"/>
      <c r="J440" s="124"/>
      <c r="K440" s="124"/>
      <c r="L440" s="150">
        <v>2500</v>
      </c>
      <c r="M440" s="124" t="s">
        <v>806</v>
      </c>
      <c r="N440" s="124" t="s">
        <v>188</v>
      </c>
      <c r="O440" s="124"/>
      <c r="P440" s="124">
        <v>0.05</v>
      </c>
      <c r="Q440" s="23" t="s">
        <v>805</v>
      </c>
    </row>
    <row r="441" s="23" customFormat="1" spans="1:17">
      <c r="A441" s="35">
        <v>3312</v>
      </c>
      <c r="B441" s="23">
        <v>113106</v>
      </c>
      <c r="C441" s="23">
        <v>3</v>
      </c>
      <c r="D441" s="124" t="s">
        <v>212</v>
      </c>
      <c r="E441" s="125">
        <v>1</v>
      </c>
      <c r="F441" s="124"/>
      <c r="G441" s="124"/>
      <c r="H441" s="125"/>
      <c r="I441" s="124"/>
      <c r="J441" s="124" t="s">
        <v>807</v>
      </c>
      <c r="K441" s="124"/>
      <c r="L441" s="150">
        <v>4500</v>
      </c>
      <c r="M441" s="124" t="s">
        <v>808</v>
      </c>
      <c r="N441" s="124" t="s">
        <v>61</v>
      </c>
      <c r="O441" s="124"/>
      <c r="P441" s="124">
        <v>0.0625</v>
      </c>
      <c r="Q441" s="23" t="s">
        <v>805</v>
      </c>
    </row>
    <row r="442" s="38" customFormat="1" spans="1:17">
      <c r="A442" s="35">
        <v>3313</v>
      </c>
      <c r="B442" s="38">
        <v>113107</v>
      </c>
      <c r="C442" s="38">
        <v>1</v>
      </c>
      <c r="D442" s="172" t="s">
        <v>40</v>
      </c>
      <c r="E442" s="173">
        <v>1</v>
      </c>
      <c r="F442" s="172"/>
      <c r="G442" s="172"/>
      <c r="H442" s="174" t="s">
        <v>809</v>
      </c>
      <c r="I442" s="172"/>
      <c r="J442" s="172"/>
      <c r="K442" s="172"/>
      <c r="L442" s="181">
        <v>2000</v>
      </c>
      <c r="M442" s="172" t="s">
        <v>810</v>
      </c>
      <c r="N442" s="172" t="s">
        <v>49</v>
      </c>
      <c r="O442" s="172"/>
      <c r="P442" s="172">
        <v>0.045</v>
      </c>
      <c r="Q442" s="38" t="s">
        <v>811</v>
      </c>
    </row>
    <row r="443" s="38" customFormat="1" spans="1:17">
      <c r="A443" s="35">
        <v>3314</v>
      </c>
      <c r="B443" s="38">
        <v>113107</v>
      </c>
      <c r="C443" s="38">
        <v>2</v>
      </c>
      <c r="D443" s="172" t="s">
        <v>43</v>
      </c>
      <c r="E443" s="173">
        <v>1</v>
      </c>
      <c r="F443" s="172"/>
      <c r="G443" s="172"/>
      <c r="H443" s="174" t="s">
        <v>812</v>
      </c>
      <c r="I443" s="172"/>
      <c r="J443" s="172"/>
      <c r="K443" s="172"/>
      <c r="L443" s="181">
        <v>2500</v>
      </c>
      <c r="M443" s="172" t="s">
        <v>813</v>
      </c>
      <c r="N443" s="172" t="s">
        <v>188</v>
      </c>
      <c r="O443" s="172"/>
      <c r="P443" s="172">
        <v>0.05</v>
      </c>
      <c r="Q443" s="38" t="s">
        <v>811</v>
      </c>
    </row>
    <row r="444" s="38" customFormat="1" spans="1:17">
      <c r="A444" s="35">
        <v>3315</v>
      </c>
      <c r="B444" s="38">
        <v>113107</v>
      </c>
      <c r="C444" s="38">
        <v>3</v>
      </c>
      <c r="D444" s="172" t="s">
        <v>212</v>
      </c>
      <c r="E444" s="173">
        <v>1</v>
      </c>
      <c r="F444" s="172"/>
      <c r="G444" s="172"/>
      <c r="H444" s="173" t="s">
        <v>814</v>
      </c>
      <c r="I444" s="172"/>
      <c r="J444" s="172"/>
      <c r="K444" s="172"/>
      <c r="L444" s="181">
        <v>4500</v>
      </c>
      <c r="M444" s="172" t="s">
        <v>815</v>
      </c>
      <c r="N444" s="172" t="s">
        <v>61</v>
      </c>
      <c r="O444" s="172"/>
      <c r="P444" s="172">
        <v>0.0625</v>
      </c>
      <c r="Q444" s="38" t="s">
        <v>811</v>
      </c>
    </row>
    <row r="445" s="20" customFormat="1" spans="1:17">
      <c r="A445" s="175">
        <v>3316</v>
      </c>
      <c r="B445" s="20">
        <v>113108</v>
      </c>
      <c r="C445" s="20">
        <v>1</v>
      </c>
      <c r="D445" s="48" t="s">
        <v>40</v>
      </c>
      <c r="E445" s="53">
        <v>1</v>
      </c>
      <c r="F445" s="48"/>
      <c r="G445" s="48"/>
      <c r="H445" s="176">
        <v>82878</v>
      </c>
      <c r="I445" s="48"/>
      <c r="J445" s="48"/>
      <c r="K445" s="48"/>
      <c r="L445" s="49">
        <v>2000</v>
      </c>
      <c r="M445" s="48" t="s">
        <v>816</v>
      </c>
      <c r="N445" s="48" t="s">
        <v>67</v>
      </c>
      <c r="O445" s="48"/>
      <c r="P445" s="48">
        <v>0.045</v>
      </c>
      <c r="Q445" s="20" t="s">
        <v>817</v>
      </c>
    </row>
    <row r="446" s="20" customFormat="1" spans="1:17">
      <c r="A446" s="175">
        <v>3317</v>
      </c>
      <c r="B446" s="20">
        <v>113108</v>
      </c>
      <c r="C446" s="20">
        <v>2</v>
      </c>
      <c r="D446" s="48" t="s">
        <v>43</v>
      </c>
      <c r="E446" s="53">
        <v>1</v>
      </c>
      <c r="F446" s="48"/>
      <c r="G446" s="48"/>
      <c r="H446" s="176">
        <v>82879</v>
      </c>
      <c r="I446" s="48"/>
      <c r="J446" s="48"/>
      <c r="K446" s="48"/>
      <c r="L446" s="49">
        <v>2500</v>
      </c>
      <c r="M446" s="48" t="s">
        <v>818</v>
      </c>
      <c r="N446" s="48" t="s">
        <v>188</v>
      </c>
      <c r="O446" s="48"/>
      <c r="P446" s="48">
        <v>0.05</v>
      </c>
      <c r="Q446" s="20" t="s">
        <v>817</v>
      </c>
    </row>
    <row r="447" s="20" customFormat="1" spans="1:17">
      <c r="A447" s="175">
        <v>3318</v>
      </c>
      <c r="B447" s="20">
        <v>113108</v>
      </c>
      <c r="C447" s="20">
        <v>3</v>
      </c>
      <c r="D447" s="48" t="s">
        <v>212</v>
      </c>
      <c r="E447" s="53">
        <v>1</v>
      </c>
      <c r="F447" s="48"/>
      <c r="G447" s="48"/>
      <c r="H447" s="53" t="s">
        <v>819</v>
      </c>
      <c r="I447" s="48"/>
      <c r="J447" s="48"/>
      <c r="K447" s="48"/>
      <c r="L447" s="49">
        <v>4500</v>
      </c>
      <c r="M447" s="48" t="s">
        <v>820</v>
      </c>
      <c r="N447" s="48" t="s">
        <v>61</v>
      </c>
      <c r="O447" s="48"/>
      <c r="P447" s="48">
        <v>0.0625</v>
      </c>
      <c r="Q447" s="20" t="s">
        <v>817</v>
      </c>
    </row>
    <row r="448" s="39" customFormat="1" spans="1:17">
      <c r="A448" s="177">
        <v>3319</v>
      </c>
      <c r="B448" s="39">
        <v>113109</v>
      </c>
      <c r="C448" s="39">
        <v>1</v>
      </c>
      <c r="D448" s="50" t="s">
        <v>40</v>
      </c>
      <c r="E448" s="52">
        <v>1</v>
      </c>
      <c r="F448" s="50"/>
      <c r="G448" s="50"/>
      <c r="H448" s="178">
        <v>82913</v>
      </c>
      <c r="I448" s="50"/>
      <c r="J448" s="50"/>
      <c r="K448" s="50"/>
      <c r="L448" s="51">
        <v>2000</v>
      </c>
      <c r="M448" s="50" t="s">
        <v>821</v>
      </c>
      <c r="N448" s="50" t="s">
        <v>67</v>
      </c>
      <c r="O448" s="50"/>
      <c r="P448" s="50">
        <v>0.045</v>
      </c>
      <c r="Q448" s="39" t="s">
        <v>181</v>
      </c>
    </row>
    <row r="449" s="39" customFormat="1" spans="1:17">
      <c r="A449" s="177">
        <v>3320</v>
      </c>
      <c r="B449" s="39">
        <v>113109</v>
      </c>
      <c r="C449" s="39">
        <v>2</v>
      </c>
      <c r="D449" s="50" t="s">
        <v>43</v>
      </c>
      <c r="E449" s="52">
        <v>1</v>
      </c>
      <c r="F449" s="50"/>
      <c r="G449" s="50"/>
      <c r="H449" s="178">
        <v>82914</v>
      </c>
      <c r="I449" s="50"/>
      <c r="J449" s="50"/>
      <c r="K449" s="50"/>
      <c r="L449" s="51">
        <v>2500</v>
      </c>
      <c r="M449" s="50" t="s">
        <v>822</v>
      </c>
      <c r="N449" s="50" t="s">
        <v>188</v>
      </c>
      <c r="O449" s="50"/>
      <c r="P449" s="50">
        <v>0.05</v>
      </c>
      <c r="Q449" s="39" t="s">
        <v>181</v>
      </c>
    </row>
    <row r="450" s="39" customFormat="1" spans="1:17">
      <c r="A450" s="177">
        <v>3321</v>
      </c>
      <c r="B450" s="39">
        <v>113109</v>
      </c>
      <c r="C450" s="39">
        <v>3</v>
      </c>
      <c r="D450" s="50" t="s">
        <v>212</v>
      </c>
      <c r="E450" s="52">
        <v>1</v>
      </c>
      <c r="F450" s="50"/>
      <c r="G450" s="50"/>
      <c r="H450" s="178"/>
      <c r="I450" s="50"/>
      <c r="J450" s="50" t="s">
        <v>823</v>
      </c>
      <c r="K450" s="50"/>
      <c r="L450" s="51">
        <v>4500</v>
      </c>
      <c r="M450" s="50" t="s">
        <v>824</v>
      </c>
      <c r="N450" s="50" t="s">
        <v>61</v>
      </c>
      <c r="O450" s="50"/>
      <c r="P450" s="50">
        <v>0.0625</v>
      </c>
      <c r="Q450" s="39" t="s">
        <v>181</v>
      </c>
    </row>
    <row r="451" s="40" customFormat="1" spans="1:17">
      <c r="A451" s="177">
        <v>3322</v>
      </c>
      <c r="B451" s="40">
        <v>113110</v>
      </c>
      <c r="C451" s="40">
        <v>1</v>
      </c>
      <c r="D451" s="182" t="s">
        <v>40</v>
      </c>
      <c r="E451" s="183">
        <v>1</v>
      </c>
      <c r="F451" s="182"/>
      <c r="G451" s="182"/>
      <c r="H451" s="184" t="s">
        <v>825</v>
      </c>
      <c r="I451" s="182"/>
      <c r="J451" s="182"/>
      <c r="K451" s="182"/>
      <c r="L451" s="185">
        <v>2000</v>
      </c>
      <c r="M451" s="182" t="s">
        <v>826</v>
      </c>
      <c r="N451" s="182" t="s">
        <v>67</v>
      </c>
      <c r="O451" s="182"/>
      <c r="P451" s="182">
        <v>0.045</v>
      </c>
      <c r="Q451" s="40" t="s">
        <v>827</v>
      </c>
    </row>
    <row r="452" s="40" customFormat="1" spans="1:17">
      <c r="A452" s="177">
        <v>3323</v>
      </c>
      <c r="B452" s="40">
        <v>113110</v>
      </c>
      <c r="C452" s="40">
        <v>2</v>
      </c>
      <c r="D452" s="182" t="s">
        <v>43</v>
      </c>
      <c r="E452" s="183">
        <v>1</v>
      </c>
      <c r="F452" s="182"/>
      <c r="G452" s="182"/>
      <c r="H452" s="184" t="s">
        <v>828</v>
      </c>
      <c r="I452" s="182"/>
      <c r="J452" s="182"/>
      <c r="K452" s="182"/>
      <c r="L452" s="185">
        <v>2500</v>
      </c>
      <c r="M452" s="182" t="s">
        <v>829</v>
      </c>
      <c r="N452" s="182" t="s">
        <v>188</v>
      </c>
      <c r="O452" s="182"/>
      <c r="P452" s="182">
        <v>0.05</v>
      </c>
      <c r="Q452" s="40" t="s">
        <v>827</v>
      </c>
    </row>
    <row r="453" s="40" customFormat="1" spans="1:17">
      <c r="A453" s="177">
        <v>3324</v>
      </c>
      <c r="B453" s="40">
        <v>113110</v>
      </c>
      <c r="C453" s="40">
        <v>3</v>
      </c>
      <c r="D453" s="182" t="s">
        <v>212</v>
      </c>
      <c r="E453" s="183">
        <v>1</v>
      </c>
      <c r="F453" s="182"/>
      <c r="G453" s="182"/>
      <c r="H453" s="183"/>
      <c r="I453" s="182"/>
      <c r="J453" s="182" t="s">
        <v>830</v>
      </c>
      <c r="K453" s="182"/>
      <c r="L453" s="185">
        <v>4500</v>
      </c>
      <c r="M453" s="182" t="s">
        <v>831</v>
      </c>
      <c r="N453" s="182" t="s">
        <v>61</v>
      </c>
      <c r="O453" s="182"/>
      <c r="P453" s="182">
        <v>0.0625</v>
      </c>
      <c r="Q453" s="40" t="s">
        <v>827</v>
      </c>
    </row>
    <row r="454" s="40" customFormat="1" spans="1:17">
      <c r="A454" s="177">
        <v>3325</v>
      </c>
      <c r="B454" s="40">
        <v>113111</v>
      </c>
      <c r="C454" s="40">
        <v>1</v>
      </c>
      <c r="D454" s="182" t="s">
        <v>40</v>
      </c>
      <c r="E454" s="183">
        <v>1</v>
      </c>
      <c r="F454" s="182"/>
      <c r="G454" s="182"/>
      <c r="H454" s="184" t="s">
        <v>832</v>
      </c>
      <c r="I454" s="182"/>
      <c r="J454" s="182"/>
      <c r="K454" s="182"/>
      <c r="L454" s="185">
        <v>2000</v>
      </c>
      <c r="M454" s="182" t="s">
        <v>833</v>
      </c>
      <c r="N454" s="182" t="s">
        <v>67</v>
      </c>
      <c r="O454" s="182"/>
      <c r="P454" s="182">
        <v>0.045</v>
      </c>
      <c r="Q454" s="40" t="s">
        <v>827</v>
      </c>
    </row>
    <row r="455" s="40" customFormat="1" spans="1:17">
      <c r="A455" s="177">
        <v>3326</v>
      </c>
      <c r="B455" s="40">
        <v>113111</v>
      </c>
      <c r="C455" s="40">
        <v>2</v>
      </c>
      <c r="D455" s="182" t="s">
        <v>43</v>
      </c>
      <c r="E455" s="183">
        <v>1</v>
      </c>
      <c r="F455" s="182"/>
      <c r="G455" s="182"/>
      <c r="H455" s="184" t="s">
        <v>834</v>
      </c>
      <c r="I455" s="182"/>
      <c r="J455" s="182"/>
      <c r="K455" s="182"/>
      <c r="L455" s="185">
        <v>2500</v>
      </c>
      <c r="M455" s="182" t="s">
        <v>835</v>
      </c>
      <c r="N455" s="182" t="s">
        <v>188</v>
      </c>
      <c r="O455" s="182"/>
      <c r="P455" s="182">
        <v>0.05</v>
      </c>
      <c r="Q455" s="40" t="s">
        <v>827</v>
      </c>
    </row>
    <row r="456" s="40" customFormat="1" spans="1:17">
      <c r="A456" s="177">
        <v>3327</v>
      </c>
      <c r="B456" s="40">
        <v>113111</v>
      </c>
      <c r="C456" s="40">
        <v>3</v>
      </c>
      <c r="D456" s="182" t="s">
        <v>212</v>
      </c>
      <c r="E456" s="183">
        <v>1</v>
      </c>
      <c r="F456" s="182"/>
      <c r="G456" s="182"/>
      <c r="H456" s="183"/>
      <c r="I456" s="182"/>
      <c r="J456" s="182" t="s">
        <v>836</v>
      </c>
      <c r="K456" s="182"/>
      <c r="L456" s="185">
        <v>4500</v>
      </c>
      <c r="M456" s="182" t="s">
        <v>837</v>
      </c>
      <c r="N456" s="182" t="s">
        <v>61</v>
      </c>
      <c r="O456" s="182"/>
      <c r="P456" s="182">
        <v>0.0625</v>
      </c>
      <c r="Q456" s="40" t="s">
        <v>827</v>
      </c>
    </row>
    <row r="457" s="40" customFormat="1" spans="1:17">
      <c r="A457" s="177">
        <v>3328</v>
      </c>
      <c r="B457" s="40">
        <v>113112</v>
      </c>
      <c r="C457" s="40">
        <v>1</v>
      </c>
      <c r="D457" s="182" t="s">
        <v>40</v>
      </c>
      <c r="E457" s="183">
        <v>1</v>
      </c>
      <c r="F457" s="182"/>
      <c r="G457" s="182"/>
      <c r="H457" s="184" t="s">
        <v>838</v>
      </c>
      <c r="I457" s="182"/>
      <c r="J457" s="182"/>
      <c r="K457" s="182"/>
      <c r="L457" s="185">
        <v>2000</v>
      </c>
      <c r="M457" s="182" t="s">
        <v>839</v>
      </c>
      <c r="N457" s="182" t="s">
        <v>67</v>
      </c>
      <c r="O457" s="182"/>
      <c r="P457" s="182">
        <v>0.045</v>
      </c>
      <c r="Q457" s="40" t="s">
        <v>840</v>
      </c>
    </row>
    <row r="458" s="40" customFormat="1" spans="1:17">
      <c r="A458" s="177">
        <v>3329</v>
      </c>
      <c r="B458" s="40">
        <v>113112</v>
      </c>
      <c r="C458" s="40">
        <v>2</v>
      </c>
      <c r="D458" s="182" t="s">
        <v>43</v>
      </c>
      <c r="E458" s="183">
        <v>1</v>
      </c>
      <c r="F458" s="182"/>
      <c r="G458" s="182"/>
      <c r="H458" s="184" t="s">
        <v>841</v>
      </c>
      <c r="I458" s="182"/>
      <c r="J458" s="182"/>
      <c r="K458" s="182"/>
      <c r="L458" s="185">
        <v>2500</v>
      </c>
      <c r="M458" s="182" t="s">
        <v>842</v>
      </c>
      <c r="N458" s="182" t="s">
        <v>188</v>
      </c>
      <c r="O458" s="182"/>
      <c r="P458" s="182">
        <v>0.05</v>
      </c>
      <c r="Q458" s="40" t="s">
        <v>840</v>
      </c>
    </row>
    <row r="459" s="40" customFormat="1" spans="1:17">
      <c r="A459" s="177">
        <v>3330</v>
      </c>
      <c r="B459" s="40">
        <v>113112</v>
      </c>
      <c r="C459" s="40">
        <v>3</v>
      </c>
      <c r="D459" s="182" t="s">
        <v>212</v>
      </c>
      <c r="E459" s="183">
        <v>1</v>
      </c>
      <c r="F459" s="182"/>
      <c r="G459" s="182"/>
      <c r="H459" s="183"/>
      <c r="I459" s="182"/>
      <c r="J459" s="182" t="s">
        <v>843</v>
      </c>
      <c r="K459" s="182"/>
      <c r="L459" s="185">
        <v>4500</v>
      </c>
      <c r="M459" s="182" t="s">
        <v>844</v>
      </c>
      <c r="N459" s="182" t="s">
        <v>61</v>
      </c>
      <c r="O459" s="182"/>
      <c r="P459" s="182">
        <v>0.0625</v>
      </c>
      <c r="Q459" s="40" t="s">
        <v>840</v>
      </c>
    </row>
    <row r="460" s="39" customFormat="1" spans="1:17">
      <c r="A460" s="177">
        <v>3331</v>
      </c>
      <c r="B460" s="39">
        <v>113113</v>
      </c>
      <c r="C460" s="39">
        <v>1</v>
      </c>
      <c r="D460" s="50" t="s">
        <v>40</v>
      </c>
      <c r="E460" s="52">
        <v>1</v>
      </c>
      <c r="F460" s="50"/>
      <c r="G460" s="50"/>
      <c r="H460" s="178">
        <v>83119</v>
      </c>
      <c r="I460" s="50"/>
      <c r="J460" s="50"/>
      <c r="K460" s="50"/>
      <c r="L460" s="51">
        <v>2000</v>
      </c>
      <c r="M460" s="50" t="s">
        <v>845</v>
      </c>
      <c r="N460" s="50" t="s">
        <v>67</v>
      </c>
      <c r="O460" s="50"/>
      <c r="P460" s="50">
        <v>0.045</v>
      </c>
      <c r="Q460" s="39" t="s">
        <v>846</v>
      </c>
    </row>
    <row r="461" s="39" customFormat="1" spans="1:17">
      <c r="A461" s="177">
        <v>3332</v>
      </c>
      <c r="B461" s="39">
        <v>113113</v>
      </c>
      <c r="C461" s="39">
        <v>2</v>
      </c>
      <c r="D461" s="50" t="s">
        <v>43</v>
      </c>
      <c r="E461" s="52">
        <v>1</v>
      </c>
      <c r="F461" s="50"/>
      <c r="G461" s="50"/>
      <c r="H461" s="178" t="s">
        <v>847</v>
      </c>
      <c r="I461" s="50"/>
      <c r="J461" s="50"/>
      <c r="K461" s="50"/>
      <c r="L461" s="51">
        <v>2500</v>
      </c>
      <c r="M461" s="50" t="s">
        <v>848</v>
      </c>
      <c r="N461" s="50" t="s">
        <v>188</v>
      </c>
      <c r="O461" s="50"/>
      <c r="P461" s="50">
        <v>0.05</v>
      </c>
      <c r="Q461" s="39" t="s">
        <v>846</v>
      </c>
    </row>
    <row r="462" s="39" customFormat="1" spans="1:17">
      <c r="A462" s="177">
        <v>3333</v>
      </c>
      <c r="B462" s="39">
        <v>113113</v>
      </c>
      <c r="C462" s="39">
        <v>3</v>
      </c>
      <c r="D462" s="50" t="s">
        <v>212</v>
      </c>
      <c r="E462" s="52">
        <v>1</v>
      </c>
      <c r="F462" s="50"/>
      <c r="G462" s="50"/>
      <c r="H462" s="178"/>
      <c r="I462" s="50"/>
      <c r="J462" s="50" t="s">
        <v>849</v>
      </c>
      <c r="K462" s="50"/>
      <c r="L462" s="51">
        <v>4500</v>
      </c>
      <c r="M462" s="50" t="s">
        <v>850</v>
      </c>
      <c r="N462" s="50" t="s">
        <v>42</v>
      </c>
      <c r="O462" s="50"/>
      <c r="P462" s="50">
        <v>0.0625</v>
      </c>
      <c r="Q462" s="39" t="s">
        <v>846</v>
      </c>
    </row>
    <row r="463" s="39" customFormat="1" spans="1:17">
      <c r="A463" s="177">
        <v>3334</v>
      </c>
      <c r="B463" s="39">
        <v>113114</v>
      </c>
      <c r="C463" s="39">
        <v>1</v>
      </c>
      <c r="D463" s="50" t="s">
        <v>40</v>
      </c>
      <c r="E463" s="52">
        <v>1</v>
      </c>
      <c r="F463" s="50"/>
      <c r="G463" s="50"/>
      <c r="H463" s="178" t="s">
        <v>851</v>
      </c>
      <c r="I463" s="50"/>
      <c r="J463" s="50"/>
      <c r="K463" s="50"/>
      <c r="L463" s="51">
        <v>2000</v>
      </c>
      <c r="M463" s="50" t="s">
        <v>852</v>
      </c>
      <c r="N463" s="50" t="s">
        <v>67</v>
      </c>
      <c r="O463" s="50"/>
      <c r="P463" s="50">
        <v>0.045</v>
      </c>
      <c r="Q463" s="39" t="s">
        <v>388</v>
      </c>
    </row>
    <row r="464" s="39" customFormat="1" spans="1:17">
      <c r="A464" s="177">
        <v>3335</v>
      </c>
      <c r="B464" s="39">
        <v>113114</v>
      </c>
      <c r="C464" s="39">
        <v>2</v>
      </c>
      <c r="D464" s="50" t="s">
        <v>43</v>
      </c>
      <c r="E464" s="52">
        <v>1</v>
      </c>
      <c r="F464" s="50"/>
      <c r="G464" s="50"/>
      <c r="H464" s="178" t="s">
        <v>853</v>
      </c>
      <c r="I464" s="50"/>
      <c r="J464" s="50"/>
      <c r="K464" s="50"/>
      <c r="L464" s="51">
        <v>2500</v>
      </c>
      <c r="M464" s="50" t="s">
        <v>854</v>
      </c>
      <c r="N464" s="50" t="s">
        <v>188</v>
      </c>
      <c r="O464" s="50"/>
      <c r="P464" s="50">
        <v>0.05</v>
      </c>
      <c r="Q464" s="39" t="s">
        <v>388</v>
      </c>
    </row>
    <row r="465" s="39" customFormat="1" spans="1:17">
      <c r="A465" s="177">
        <v>3336</v>
      </c>
      <c r="B465" s="39">
        <v>113114</v>
      </c>
      <c r="C465" s="39">
        <v>3</v>
      </c>
      <c r="D465" s="50" t="s">
        <v>212</v>
      </c>
      <c r="E465" s="52">
        <v>1</v>
      </c>
      <c r="F465" s="50"/>
      <c r="G465" s="50"/>
      <c r="H465" s="178"/>
      <c r="I465" s="50"/>
      <c r="J465" s="50" t="s">
        <v>855</v>
      </c>
      <c r="K465" s="50"/>
      <c r="L465" s="51">
        <v>4500</v>
      </c>
      <c r="M465" s="50" t="s">
        <v>856</v>
      </c>
      <c r="N465" s="50" t="s">
        <v>42</v>
      </c>
      <c r="O465" s="50"/>
      <c r="P465" s="50">
        <v>0.0625</v>
      </c>
      <c r="Q465" s="39" t="s">
        <v>388</v>
      </c>
    </row>
  </sheetData>
  <autoFilter ref="A6:Q462">
    <extLst/>
  </autoFilter>
  <conditionalFormatting sqref="A1">
    <cfRule type="duplicateValues" dxfId="0" priority="71"/>
  </conditionalFormatting>
  <conditionalFormatting sqref="B4">
    <cfRule type="duplicateValues" dxfId="0" priority="69"/>
  </conditionalFormatting>
  <conditionalFormatting sqref="C4">
    <cfRule type="duplicateValues" dxfId="0" priority="68"/>
  </conditionalFormatting>
  <conditionalFormatting sqref="E4">
    <cfRule type="duplicateValues" dxfId="0" priority="67"/>
  </conditionalFormatting>
  <conditionalFormatting sqref="J288">
    <cfRule type="duplicateValues" dxfId="0" priority="62"/>
  </conditionalFormatting>
  <conditionalFormatting sqref="J291">
    <cfRule type="duplicateValues" dxfId="0" priority="60"/>
  </conditionalFormatting>
  <conditionalFormatting sqref="A2:A54">
    <cfRule type="duplicateValues" dxfId="0" priority="70"/>
  </conditionalFormatting>
  <conditionalFormatting sqref="H217:H222">
    <cfRule type="duplicateValues" dxfId="0" priority="64"/>
  </conditionalFormatting>
  <conditionalFormatting sqref="H286:H288">
    <cfRule type="duplicateValues" dxfId="0" priority="61"/>
  </conditionalFormatting>
  <conditionalFormatting sqref="H289:H291">
    <cfRule type="duplicateValues" dxfId="0" priority="58"/>
  </conditionalFormatting>
  <conditionalFormatting sqref="H427:H429">
    <cfRule type="duplicateValues" dxfId="0" priority="57"/>
    <cfRule type="duplicateValues" dxfId="0" priority="56"/>
    <cfRule type="duplicateValues" dxfId="0" priority="55"/>
    <cfRule type="duplicateValues" dxfId="0" priority="54"/>
  </conditionalFormatting>
  <conditionalFormatting sqref="H430:H432">
    <cfRule type="duplicateValues" dxfId="0" priority="53"/>
    <cfRule type="duplicateValues" dxfId="0" priority="52"/>
    <cfRule type="duplicateValues" dxfId="0" priority="51"/>
    <cfRule type="duplicateValues" dxfId="0" priority="50"/>
  </conditionalFormatting>
  <conditionalFormatting sqref="H433:H435">
    <cfRule type="duplicateValues" dxfId="0" priority="49"/>
    <cfRule type="duplicateValues" dxfId="0" priority="48"/>
    <cfRule type="duplicateValues" dxfId="0" priority="47"/>
    <cfRule type="duplicateValues" dxfId="0" priority="46"/>
  </conditionalFormatting>
  <conditionalFormatting sqref="H439:H440">
    <cfRule type="duplicateValues" dxfId="0" priority="45"/>
    <cfRule type="duplicateValues" dxfId="0" priority="44"/>
    <cfRule type="duplicateValues" dxfId="0" priority="43"/>
    <cfRule type="duplicateValues" dxfId="0" priority="42"/>
    <cfRule type="duplicateValues" dxfId="0" priority="41"/>
  </conditionalFormatting>
  <conditionalFormatting sqref="H442:H443">
    <cfRule type="duplicateValues" dxfId="0" priority="40"/>
    <cfRule type="duplicateValues" dxfId="0" priority="39"/>
    <cfRule type="duplicateValues" dxfId="0" priority="38"/>
    <cfRule type="duplicateValues" dxfId="0" priority="37"/>
    <cfRule type="duplicateValues" dxfId="0" priority="36"/>
  </conditionalFormatting>
  <conditionalFormatting sqref="H445:H446">
    <cfRule type="duplicateValues" dxfId="0" priority="35"/>
    <cfRule type="duplicateValues" dxfId="0" priority="34"/>
    <cfRule type="duplicateValues" dxfId="0" priority="33"/>
    <cfRule type="duplicateValues" dxfId="0" priority="32"/>
    <cfRule type="duplicateValues" dxfId="0" priority="31"/>
  </conditionalFormatting>
  <conditionalFormatting sqref="H448:H450">
    <cfRule type="duplicateValues" dxfId="0" priority="30"/>
    <cfRule type="duplicateValues" dxfId="0" priority="29"/>
    <cfRule type="duplicateValues" dxfId="0" priority="28"/>
    <cfRule type="duplicateValues" dxfId="0" priority="27"/>
    <cfRule type="duplicateValues" dxfId="0" priority="26"/>
  </conditionalFormatting>
  <conditionalFormatting sqref="H451:H452">
    <cfRule type="duplicateValues" dxfId="0" priority="25"/>
    <cfRule type="duplicateValues" dxfId="0" priority="24"/>
    <cfRule type="duplicateValues" dxfId="0" priority="23"/>
    <cfRule type="duplicateValues" dxfId="0" priority="22"/>
    <cfRule type="duplicateValues" dxfId="0" priority="21"/>
  </conditionalFormatting>
  <conditionalFormatting sqref="H454:H455">
    <cfRule type="duplicateValues" dxfId="0" priority="20"/>
    <cfRule type="duplicateValues" dxfId="0" priority="19"/>
    <cfRule type="duplicateValues" dxfId="0" priority="18"/>
    <cfRule type="duplicateValues" dxfId="0" priority="17"/>
    <cfRule type="duplicateValues" dxfId="0" priority="16"/>
  </conditionalFormatting>
  <conditionalFormatting sqref="H457:H458">
    <cfRule type="duplicateValues" dxfId="0" priority="15"/>
    <cfRule type="duplicateValues" dxfId="0" priority="14"/>
    <cfRule type="duplicateValues" dxfId="0" priority="13"/>
    <cfRule type="duplicateValues" dxfId="0" priority="12"/>
    <cfRule type="duplicateValues" dxfId="0" priority="11"/>
  </conditionalFormatting>
  <conditionalFormatting sqref="H460:H462">
    <cfRule type="duplicateValues" dxfId="0" priority="10"/>
    <cfRule type="duplicateValues" dxfId="0" priority="9"/>
    <cfRule type="duplicateValues" dxfId="0" priority="8"/>
    <cfRule type="duplicateValues" dxfId="0" priority="7"/>
    <cfRule type="duplicateValues" dxfId="0" priority="6"/>
  </conditionalFormatting>
  <conditionalFormatting sqref="H463:H465">
    <cfRule type="duplicateValues" dxfId="0" priority="5"/>
    <cfRule type="duplicateValues" dxfId="0" priority="4"/>
    <cfRule type="duplicateValues" dxfId="0" priority="3"/>
    <cfRule type="duplicateValues" dxfId="0" priority="2"/>
    <cfRule type="duplicateValues" dxfId="0" priority="1"/>
  </conditionalFormatting>
  <conditionalFormatting sqref="H283:H284 J285">
    <cfRule type="duplicateValues" dxfId="0" priority="63"/>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zhangjunhao</cp:lastModifiedBy>
  <dcterms:created xsi:type="dcterms:W3CDTF">2019-03-13T06:27:00Z</dcterms:created>
  <dcterms:modified xsi:type="dcterms:W3CDTF">2026-02-06T02:26:04Z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FC05A58DE71146429D8B612E6760037B</vt:lpwstr>
  </property>
  <property fmtid="{D5CDD505-2E9C-101B-9397-08002B2CF9AE}" pid="4" name="KSOReadingLayout">
    <vt:bool>true</vt:bool>
  </property>
</Properties>
</file>