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7945" windowHeight="12525" tabRatio="600" firstSheet="0" activeTab="0" autoFilterDateGrouping="1"/>
  </bookViews>
  <sheets>
    <sheet name="Sheet1" sheetId="1" state="visible" r:id="rId1"/>
    <sheet name="Sheet2" sheetId="2" state="visible" r:id="rId2"/>
  </sheets>
  <definedNames/>
  <calcPr calcId="144525" fullCalcOnLoad="1" concurrentCalc="0"/>
</workbook>
</file>

<file path=xl/styles.xml><?xml version="1.0" encoding="utf-8"?>
<styleSheet xmlns="http://schemas.openxmlformats.org/spreadsheetml/2006/main">
  <numFmts count="0"/>
  <fonts count="27">
    <font>
      <name val="宋体"/>
      <charset val="134"/>
      <color theme="1"/>
      <sz val="11"/>
      <scheme val="minor"/>
    </font>
    <font>
      <name val="Segoe UI"/>
      <charset val="134"/>
      <color rgb="FF171A1D"/>
      <sz val="10.5"/>
    </font>
    <font>
      <name val="宋体"/>
      <charset val="134"/>
      <color rgb="FF171A1D"/>
      <sz val="10.5"/>
    </font>
    <font>
      <name val="宋体"/>
      <charset val="134"/>
      <sz val="11"/>
      <scheme val="minor"/>
    </font>
    <font>
      <name val="宋体"/>
      <charset val="134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name val="宋体"/>
      <charset val="134"/>
      <b val="1"/>
      <sz val="9"/>
    </font>
    <font>
      <name val="宋体"/>
      <charset val="134"/>
      <sz val="9"/>
    </font>
    <font>
      <name val="宋体"/>
      <color rgb="00000000"/>
      <sz val="11"/>
    </font>
    <font>
      <name val="宋体"/>
      <color rgb="00FF0000"/>
      <sz val="11"/>
    </font>
  </fonts>
  <fills count="39">
    <fill>
      <patternFill/>
    </fill>
    <fill>
      <patternFill patternType="gray125"/>
    </fill>
    <fill>
      <patternFill patternType="solid">
        <fgColor rgb="FFED4533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12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0" fillId="6" borderId="4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9" fillId="0" borderId="5" applyAlignment="1">
      <alignment vertical="center"/>
    </xf>
    <xf numFmtId="0" fontId="10" fillId="0" borderId="5" applyAlignment="1">
      <alignment vertical="center"/>
    </xf>
    <xf numFmtId="0" fontId="11" fillId="0" borderId="6" applyAlignment="1">
      <alignment vertical="center"/>
    </xf>
    <xf numFmtId="0" fontId="11" fillId="0" borderId="0" applyAlignment="1">
      <alignment vertical="center"/>
    </xf>
    <xf numFmtId="0" fontId="12" fillId="7" borderId="7" applyAlignment="1">
      <alignment vertical="center"/>
    </xf>
    <xf numFmtId="0" fontId="13" fillId="8" borderId="8" applyAlignment="1">
      <alignment vertical="center"/>
    </xf>
    <xf numFmtId="0" fontId="14" fillId="8" borderId="7" applyAlignment="1">
      <alignment vertical="center"/>
    </xf>
    <xf numFmtId="0" fontId="15" fillId="9" borderId="9" applyAlignment="1">
      <alignment vertical="center"/>
    </xf>
    <xf numFmtId="0" fontId="16" fillId="0" borderId="10" applyAlignment="1">
      <alignment vertical="center"/>
    </xf>
    <xf numFmtId="0" fontId="17" fillId="0" borderId="11" applyAlignment="1">
      <alignment vertical="center"/>
    </xf>
    <xf numFmtId="0" fontId="18" fillId="10" borderId="0" applyAlignment="1">
      <alignment vertical="center"/>
    </xf>
    <xf numFmtId="0" fontId="19" fillId="11" borderId="0" applyAlignment="1">
      <alignment vertical="center"/>
    </xf>
    <xf numFmtId="0" fontId="20" fillId="12" borderId="0" applyAlignment="1">
      <alignment vertical="center"/>
    </xf>
    <xf numFmtId="0" fontId="21" fillId="13" borderId="0" applyAlignment="1">
      <alignment vertical="center"/>
    </xf>
    <xf numFmtId="0" fontId="22" fillId="14" borderId="0" applyAlignment="1">
      <alignment vertical="center"/>
    </xf>
    <xf numFmtId="0" fontId="22" fillId="15" borderId="0" applyAlignment="1">
      <alignment vertical="center"/>
    </xf>
    <xf numFmtId="0" fontId="21" fillId="16" borderId="0" applyAlignment="1">
      <alignment vertical="center"/>
    </xf>
    <xf numFmtId="0" fontId="21" fillId="17" borderId="0" applyAlignment="1">
      <alignment vertical="center"/>
    </xf>
    <xf numFmtId="0" fontId="22" fillId="18" borderId="0" applyAlignment="1">
      <alignment vertical="center"/>
    </xf>
    <xf numFmtId="0" fontId="22" fillId="19" borderId="0" applyAlignment="1">
      <alignment vertical="center"/>
    </xf>
    <xf numFmtId="0" fontId="21" fillId="20" borderId="0" applyAlignment="1">
      <alignment vertical="center"/>
    </xf>
    <xf numFmtId="0" fontId="21" fillId="21" borderId="0" applyAlignment="1">
      <alignment vertical="center"/>
    </xf>
    <xf numFmtId="0" fontId="22" fillId="22" borderId="0" applyAlignment="1">
      <alignment vertical="center"/>
    </xf>
    <xf numFmtId="0" fontId="22" fillId="23" borderId="0" applyAlignment="1">
      <alignment vertical="center"/>
    </xf>
    <xf numFmtId="0" fontId="21" fillId="24" borderId="0" applyAlignment="1">
      <alignment vertical="center"/>
    </xf>
    <xf numFmtId="0" fontId="21" fillId="25" borderId="0" applyAlignment="1">
      <alignment vertical="center"/>
    </xf>
    <xf numFmtId="0" fontId="22" fillId="26" borderId="0" applyAlignment="1">
      <alignment vertical="center"/>
    </xf>
    <xf numFmtId="0" fontId="22" fillId="27" borderId="0" applyAlignment="1">
      <alignment vertical="center"/>
    </xf>
    <xf numFmtId="0" fontId="21" fillId="28" borderId="0" applyAlignment="1">
      <alignment vertical="center"/>
    </xf>
    <xf numFmtId="0" fontId="21" fillId="29" borderId="0" applyAlignment="1">
      <alignment vertical="center"/>
    </xf>
    <xf numFmtId="0" fontId="22" fillId="30" borderId="0" applyAlignment="1">
      <alignment vertical="center"/>
    </xf>
    <xf numFmtId="0" fontId="22" fillId="31" borderId="0" applyAlignment="1">
      <alignment vertical="center"/>
    </xf>
    <xf numFmtId="0" fontId="21" fillId="32" borderId="0" applyAlignment="1">
      <alignment vertical="center"/>
    </xf>
    <xf numFmtId="0" fontId="21" fillId="33" borderId="0" applyAlignment="1">
      <alignment vertical="center"/>
    </xf>
    <xf numFmtId="0" fontId="22" fillId="34" borderId="0" applyAlignment="1">
      <alignment vertical="center"/>
    </xf>
    <xf numFmtId="0" fontId="22" fillId="35" borderId="0" applyAlignment="1">
      <alignment vertical="center"/>
    </xf>
    <xf numFmtId="0" fontId="21" fillId="36" borderId="0" applyAlignment="1">
      <alignment vertical="center"/>
    </xf>
  </cellStyleXfs>
  <cellXfs count="34">
    <xf numFmtId="0" fontId="0" fillId="0" borderId="0" applyAlignment="1" pivotButton="0" quotePrefix="0" xfId="0">
      <alignment vertical="center"/>
    </xf>
    <xf numFmtId="0" fontId="0" fillId="2" borderId="0" applyAlignment="1" pivotButton="0" quotePrefix="0" xfId="0">
      <alignment vertical="center"/>
    </xf>
    <xf numFmtId="0" fontId="0" fillId="2" borderId="0" pivotButton="0" quotePrefix="0" xfId="0"/>
    <xf numFmtId="0" fontId="1" fillId="2" borderId="0" pivotButton="0" quotePrefix="0" xfId="0"/>
    <xf numFmtId="0" fontId="2" fillId="2" borderId="0" pivotButton="0" quotePrefix="0" xfId="0"/>
    <xf numFmtId="0" fontId="0" fillId="3" borderId="0" pivotButton="0" quotePrefix="0" xfId="0"/>
    <xf numFmtId="0" fontId="0" fillId="3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0" fillId="4" borderId="0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 wrapText="1"/>
    </xf>
    <xf numFmtId="0" fontId="0" fillId="5" borderId="2" applyAlignment="1" pivotButton="0" quotePrefix="0" xfId="0">
      <alignment horizontal="center" vertical="center" wrapText="1"/>
    </xf>
    <xf numFmtId="0" fontId="0" fillId="5" borderId="2" applyAlignment="1" pivotButton="0" quotePrefix="0" xfId="0">
      <alignment vertical="center"/>
    </xf>
    <xf numFmtId="0" fontId="3" fillId="5" borderId="2" applyAlignment="1" pivotButton="0" quotePrefix="0" xfId="6">
      <alignment vertical="center"/>
    </xf>
    <xf numFmtId="49" fontId="0" fillId="5" borderId="2" applyAlignment="1" pivotButton="0" quotePrefix="0" xfId="0">
      <alignment horizontal="left" vertical="center"/>
    </xf>
    <xf numFmtId="0" fontId="0" fillId="5" borderId="3" applyAlignment="1" pivotButton="0" quotePrefix="0" xfId="0">
      <alignment vertical="center"/>
    </xf>
    <xf numFmtId="0" fontId="0" fillId="5" borderId="2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/>
    </xf>
    <xf numFmtId="0" fontId="3" fillId="5" borderId="2" applyAlignment="1" pivotButton="0" quotePrefix="0" xfId="6">
      <alignment vertical="center"/>
    </xf>
    <xf numFmtId="0" fontId="0" fillId="5" borderId="2" applyAlignment="1" pivotButton="0" quotePrefix="0" xfId="0">
      <alignment horizontal="center" vertical="center" wrapText="1"/>
    </xf>
    <xf numFmtId="0" fontId="0" fillId="5" borderId="2" applyAlignment="1" pivotButton="0" quotePrefix="0" xfId="0">
      <alignment vertical="center"/>
    </xf>
    <xf numFmtId="0" fontId="0" fillId="5" borderId="3" applyAlignment="1" pivotButton="0" quotePrefix="0" xfId="0">
      <alignment vertical="center"/>
    </xf>
    <xf numFmtId="0" fontId="0" fillId="5" borderId="2" applyAlignment="1" pivotButton="0" quotePrefix="0" xfId="0">
      <alignment horizontal="left" vertical="center"/>
    </xf>
    <xf numFmtId="0" fontId="0" fillId="5" borderId="2" applyAlignment="1" pivotButton="0" quotePrefix="0" xfId="0">
      <alignment vertical="center"/>
    </xf>
    <xf numFmtId="0" fontId="0" fillId="5" borderId="3" applyAlignment="1" pivotButton="0" quotePrefix="0" xfId="0">
      <alignment vertical="center"/>
    </xf>
    <xf numFmtId="0" fontId="26" fillId="37" borderId="1" applyAlignment="1" pivotButton="0" quotePrefix="0" xfId="0">
      <alignment horizontal="center" vertical="center" wrapText="1"/>
    </xf>
    <xf numFmtId="0" fontId="26" fillId="37" borderId="2" applyAlignment="1" pivotButton="0" quotePrefix="0" xfId="0">
      <alignment horizontal="center" vertical="center" wrapText="1"/>
    </xf>
    <xf numFmtId="0" fontId="26" fillId="38" borderId="2" applyAlignment="1" pivotButton="0" quotePrefix="0" xfId="0">
      <alignment vertical="center"/>
    </xf>
    <xf numFmtId="49" fontId="26" fillId="38" borderId="2" applyAlignment="1" pivotButton="0" quotePrefix="0" xfId="0">
      <alignment horizontal="left" vertical="center"/>
    </xf>
    <xf numFmtId="0" fontId="26" fillId="38" borderId="0" applyAlignment="1" pivotButton="0" quotePrefix="0" xfId="0">
      <alignment vertical="center"/>
    </xf>
    <xf numFmtId="0" fontId="0" fillId="37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2"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Administrator</author>
  </authors>
  <commentList>
    <comment ref="D2" authorId="0" shapeId="0">
      <text>
        <t>ClientRes/OutputBundle/SingleTex/VideoRecruit/</t>
      </text>
    </comment>
    <comment ref="G2" authorId="0" shapeId="0">
      <text>
        <t>Assets/云畅工具</t>
      </text>
    </comment>
  </commentList>
</comment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0"/>
  <sheetViews>
    <sheetView tabSelected="1" topLeftCell="A71" workbookViewId="0">
      <selection activeCell="E91" sqref="E91"/>
    </sheetView>
  </sheetViews>
  <sheetFormatPr baseColWidth="8" defaultColWidth="9" defaultRowHeight="13.5"/>
  <cols>
    <col width="8.5" customWidth="1" style="10" min="1" max="1"/>
    <col width="13" customWidth="1" style="10" min="2" max="2"/>
    <col width="22.7583333333333" customWidth="1" style="10" min="3" max="3"/>
    <col width="15.125" customWidth="1" style="10" min="4" max="4"/>
    <col width="82.625" customWidth="1" style="10" min="5" max="5"/>
    <col width="17.875" customWidth="1" style="10" min="6" max="6"/>
    <col width="33.875" customWidth="1" style="10" min="7" max="7"/>
    <col width="52.375" customWidth="1" style="10" min="8" max="8"/>
    <col width="13.2583333333333" customWidth="1" style="10" min="9" max="9"/>
    <col width="38" customWidth="1" style="10" min="10" max="10"/>
    <col width="18.2583333333333" customWidth="1" style="10" min="11" max="11"/>
    <col width="59.5" customWidth="1" style="10" min="12" max="12"/>
    <col width="16.375" customWidth="1" style="10" min="13" max="13"/>
    <col width="35.375" customWidth="1" style="10" min="14" max="14"/>
  </cols>
  <sheetData>
    <row r="1">
      <c r="A1" s="8" t="n">
        <v>7</v>
      </c>
      <c r="B1" s="8" t="n">
        <v>1</v>
      </c>
      <c r="C1" s="8" t="n">
        <v>9999</v>
      </c>
      <c r="D1" s="9" t="n">
        <v>9</v>
      </c>
      <c r="G1" s="11" t="n"/>
      <c r="H1" t="n">
        <v>6</v>
      </c>
    </row>
    <row r="2">
      <c r="A2" s="8" t="inlineStr">
        <is>
          <t>英雄id</t>
        </is>
      </c>
      <c r="B2" s="8" t="inlineStr">
        <is>
          <t>英雄中文名</t>
        </is>
      </c>
      <c r="C2" s="8" t="inlineStr">
        <is>
          <t>下载文件名</t>
        </is>
      </c>
      <c r="D2" s="8" t="inlineStr">
        <is>
          <t>第一帧图片路径</t>
        </is>
      </c>
      <c r="E2" s="8" t="inlineStr">
        <is>
          <t>网址</t>
        </is>
      </c>
      <c r="F2" s="8" t="inlineStr">
        <is>
          <t>大小（B）</t>
        </is>
      </c>
      <c r="G2" s="8" t="inlineStr">
        <is>
          <t>md5</t>
        </is>
      </c>
    </row>
    <row r="3">
      <c r="A3" s="8" t="inlineStr">
        <is>
          <t>id</t>
        </is>
      </c>
      <c r="B3" s="8" t="n"/>
      <c r="C3" s="8" t="inlineStr">
        <is>
          <t>aimFileName</t>
        </is>
      </c>
      <c r="D3" s="8" t="inlineStr">
        <is>
          <t>FirstFrame</t>
        </is>
      </c>
      <c r="E3" s="12" t="inlineStr">
        <is>
          <t>url</t>
        </is>
      </c>
      <c r="F3" s="12" t="inlineStr">
        <is>
          <t>size</t>
        </is>
      </c>
      <c r="G3" s="12" t="inlineStr">
        <is>
          <t>md5</t>
        </is>
      </c>
    </row>
    <row r="4">
      <c r="A4" s="8" t="inlineStr">
        <is>
          <t>int</t>
        </is>
      </c>
      <c r="B4" s="8" t="n"/>
      <c r="C4" s="8" t="inlineStr">
        <is>
          <t>string</t>
        </is>
      </c>
      <c r="D4" s="8" t="inlineStr">
        <is>
          <t>string</t>
        </is>
      </c>
      <c r="E4" s="8" t="inlineStr">
        <is>
          <t>string</t>
        </is>
      </c>
      <c r="F4" s="8" t="inlineStr">
        <is>
          <t>string</t>
        </is>
      </c>
      <c r="G4" s="8" t="inlineStr">
        <is>
          <t>string</t>
        </is>
      </c>
    </row>
    <row r="5">
      <c r="A5" s="8" t="inlineStr">
        <is>
          <t>primary</t>
        </is>
      </c>
      <c r="B5" s="8" t="n"/>
      <c r="C5" s="8" t="inlineStr">
        <is>
          <t>none</t>
        </is>
      </c>
      <c r="D5" s="8" t="inlineStr">
        <is>
          <t>none</t>
        </is>
      </c>
      <c r="E5" s="8" t="inlineStr">
        <is>
          <t>none</t>
        </is>
      </c>
      <c r="F5" s="8" t="inlineStr">
        <is>
          <t>none</t>
        </is>
      </c>
      <c r="G5" s="8" t="inlineStr">
        <is>
          <t>none</t>
        </is>
      </c>
    </row>
    <row r="6">
      <c r="A6" s="8" t="inlineStr">
        <is>
          <t>id</t>
        </is>
      </c>
      <c r="B6" s="8" t="n"/>
      <c r="C6" s="8" t="n"/>
      <c r="D6" s="8" t="n"/>
      <c r="E6" s="8" t="n"/>
      <c r="F6" s="8" t="n"/>
      <c r="G6" s="8" t="n"/>
    </row>
    <row r="7" ht="18" customHeight="1" s="10">
      <c r="A7" s="13" t="n">
        <v>113020</v>
      </c>
      <c r="B7" s="22">
        <f>_xlfn.XLOOKUP(A7,Sheet2!A:A,Sheet2!B:B)</f>
        <v/>
      </c>
      <c r="C7" s="26" t="inlineStr">
        <is>
          <t>20211229qz.mp4</t>
        </is>
      </c>
      <c r="D7" s="26">
        <f>MID(SUBSTITUTE(C7,".mp4",""),9,10)</f>
        <v/>
      </c>
      <c r="E7" s="21">
        <f>"http://opcdn.sail2world.com/video/"&amp;C7</f>
        <v/>
      </c>
      <c r="F7" s="17" t="inlineStr">
        <is>
          <t>34227022</t>
        </is>
      </c>
      <c r="G7" s="27" t="inlineStr">
        <is>
          <t>a948bf837cf96ea2129ae4faf085f65f</t>
        </is>
      </c>
    </row>
    <row r="8" ht="18" customHeight="1" s="10">
      <c r="A8" s="13" t="n">
        <v>113021</v>
      </c>
      <c r="B8" s="22">
        <f>_xlfn.XLOOKUP(A8,Sheet2!A:A,Sheet2!B:B)</f>
        <v/>
      </c>
      <c r="C8" s="26" t="inlineStr">
        <is>
          <t>20211215bhz.mp4</t>
        </is>
      </c>
      <c r="D8" s="26">
        <f>MID(SUBSTITUTE(C8,".mp4",""),9,10)</f>
        <v/>
      </c>
      <c r="E8" s="21">
        <f>"http://opcdn.sail2world.com/video/"&amp;C8</f>
        <v/>
      </c>
      <c r="F8" s="17" t="inlineStr">
        <is>
          <t>27074920</t>
        </is>
      </c>
      <c r="G8" s="27" t="inlineStr">
        <is>
          <t>001cac4770ca3ac885c5b6d2e954a77f</t>
        </is>
      </c>
    </row>
    <row r="9" ht="18" customHeight="1" s="10">
      <c r="A9" s="13" t="n">
        <v>113022</v>
      </c>
      <c r="B9" s="22">
        <f>_xlfn.XLOOKUP(A9,Sheet2!A:A,Sheet2!B:B)</f>
        <v/>
      </c>
      <c r="C9" s="26" t="inlineStr">
        <is>
          <t>20211215meg.mp4</t>
        </is>
      </c>
      <c r="D9" s="26">
        <f>MID(SUBSTITUTE(C9,".mp4",""),9,10)</f>
        <v/>
      </c>
      <c r="E9" s="21">
        <f>"http://opcdn.sail2world.com/video/"&amp;C9</f>
        <v/>
      </c>
      <c r="F9" s="17" t="inlineStr">
        <is>
          <t>41050337</t>
        </is>
      </c>
      <c r="G9" s="27" t="inlineStr">
        <is>
          <t>bfee8294cc0936ea9331176d5cd15ade</t>
        </is>
      </c>
    </row>
    <row r="10" ht="18" customHeight="1" s="10">
      <c r="A10" s="13" t="n">
        <v>113023</v>
      </c>
      <c r="B10" s="22">
        <f>_xlfn.XLOOKUP(A10,Sheet2!A:A,Sheet2!B:B)</f>
        <v/>
      </c>
      <c r="C10" s="26" t="inlineStr">
        <is>
          <t>20211229bst.mp4</t>
        </is>
      </c>
      <c r="D10" s="26">
        <f>MID(SUBSTITUTE(C10,".mp4",""),9,10)</f>
        <v/>
      </c>
      <c r="E10" s="21">
        <f>"http://opcdn.sail2world.com/video/"&amp;C10</f>
        <v/>
      </c>
      <c r="F10" s="17" t="inlineStr">
        <is>
          <t>30735762</t>
        </is>
      </c>
      <c r="G10" s="27" t="inlineStr">
        <is>
          <t>56ecf0cead989c4ba341519625290fa7</t>
        </is>
      </c>
    </row>
    <row r="11" ht="18" customHeight="1" s="10">
      <c r="A11" s="13" t="n">
        <v>113025</v>
      </c>
      <c r="B11" s="22">
        <f>_xlfn.XLOOKUP(A11,Sheet2!A:A,Sheet2!B:B)</f>
        <v/>
      </c>
      <c r="C11" s="26" t="inlineStr">
        <is>
          <t>20220126xsjshb.mp4</t>
        </is>
      </c>
      <c r="D11" s="26">
        <f>MID(SUBSTITUTE(C11,".mp4",""),9,10)</f>
        <v/>
      </c>
      <c r="E11" s="21">
        <f>"http://opcdn.sail2world.com/video/"&amp;C11</f>
        <v/>
      </c>
      <c r="F11" s="17" t="inlineStr">
        <is>
          <t>69416044</t>
        </is>
      </c>
      <c r="G11" s="27" t="inlineStr">
        <is>
          <t>9da4fc4820d8e58633b7d936c9a6e10e</t>
        </is>
      </c>
    </row>
    <row r="12" ht="18" customHeight="1" s="10">
      <c r="A12" s="13" t="n">
        <v>113026</v>
      </c>
      <c r="B12" s="22">
        <f>_xlfn.XLOOKUP(A12,Sheet2!A:A,Sheet2!B:B)</f>
        <v/>
      </c>
      <c r="C12" s="26" t="inlineStr">
        <is>
          <t>20220104xsjzl.mp4</t>
        </is>
      </c>
      <c r="D12" s="26">
        <f>MID(SUBSTITUTE(C12,".mp4",""),9,10)</f>
        <v/>
      </c>
      <c r="E12" s="21">
        <f>"http://opcdn.sail2world.com/video/"&amp;C12</f>
        <v/>
      </c>
      <c r="F12" s="17" t="inlineStr">
        <is>
          <t>34984446</t>
        </is>
      </c>
      <c r="G12" s="27" t="inlineStr">
        <is>
          <t>0c03734f0fe9c867afbb41789c8b3095</t>
        </is>
      </c>
    </row>
    <row r="13" ht="18" customHeight="1" s="10">
      <c r="A13" s="13" t="n">
        <v>113028</v>
      </c>
      <c r="B13" s="22">
        <f>_xlfn.XLOOKUP(A13,Sheet2!A:A,Sheet2!B:B)</f>
        <v/>
      </c>
      <c r="C13" s="26" t="inlineStr">
        <is>
          <t>20220223xsjnm.mp4</t>
        </is>
      </c>
      <c r="D13" s="26">
        <f>MID(SUBSTITUTE(C13,".mp4",""),9,10)</f>
        <v/>
      </c>
      <c r="E13" s="21">
        <f>"http://opcdn.sail2world.com/video/"&amp;C13</f>
        <v/>
      </c>
      <c r="F13" s="25" t="n">
        <v>55107783</v>
      </c>
      <c r="G13" s="27" t="inlineStr">
        <is>
          <t>149933a5e61fb915adb23254477df316</t>
        </is>
      </c>
    </row>
    <row r="14" ht="18" customHeight="1" s="10">
      <c r="A14" s="13" t="n">
        <v>113029</v>
      </c>
      <c r="B14" s="22">
        <f>_xlfn.XLOOKUP(A14,Sheet2!A:A,Sheet2!B:B)</f>
        <v/>
      </c>
      <c r="C14" s="26" t="inlineStr">
        <is>
          <t>20220126xsjlb.mp4</t>
        </is>
      </c>
      <c r="D14" s="26">
        <f>MID(SUBSTITUTE(C14,".mp4",""),9,10)</f>
        <v/>
      </c>
      <c r="E14" s="21">
        <f>"http://opcdn.sail2world.com/video/"&amp;C14</f>
        <v/>
      </c>
      <c r="F14" s="17" t="inlineStr">
        <is>
          <t>55015258</t>
        </is>
      </c>
      <c r="G14" s="27" t="inlineStr">
        <is>
          <t>dbf4ac8a070ba49206fdd68921fbe91a</t>
        </is>
      </c>
    </row>
    <row r="15" ht="18" customHeight="1" s="10">
      <c r="A15" s="13" t="n">
        <v>113031</v>
      </c>
      <c r="B15" s="22">
        <f>_xlfn.XLOOKUP(A15,Sheet2!A:A,Sheet2!B:B)</f>
        <v/>
      </c>
      <c r="C15" s="26" t="inlineStr">
        <is>
          <t>20220104xsjlf.mp4</t>
        </is>
      </c>
      <c r="D15" s="26">
        <f>MID(SUBSTITUTE(C15,".mp4",""),9,10)</f>
        <v/>
      </c>
      <c r="E15" s="21">
        <f>"http://opcdn.sail2world.com/video/"&amp;C15</f>
        <v/>
      </c>
      <c r="F15" s="17" t="inlineStr">
        <is>
          <t>55345709</t>
        </is>
      </c>
      <c r="G15" s="27" t="inlineStr">
        <is>
          <t>d44b6afbf1af80271e1d7545c3f3f3d5</t>
        </is>
      </c>
    </row>
    <row r="16" ht="18" customHeight="1" s="10">
      <c r="A16" s="13" t="n">
        <v>113032</v>
      </c>
      <c r="B16" s="22">
        <f>_xlfn.XLOOKUP(A16,Sheet2!A:A,Sheet2!B:B)</f>
        <v/>
      </c>
      <c r="C16" s="26" t="inlineStr">
        <is>
          <t>20220126xsjyg.mp4</t>
        </is>
      </c>
      <c r="D16" s="26">
        <f>MID(SUBSTITUTE(C16,".mp4",""),9,10)</f>
        <v/>
      </c>
      <c r="E16" s="21">
        <f>"http://opcdn.sail2world.com/video/"&amp;C16</f>
        <v/>
      </c>
      <c r="F16" s="25" t="n">
        <v>23368887</v>
      </c>
      <c r="G16" s="27" t="inlineStr">
        <is>
          <t>fce45b12562ebabc16cce258eb6a3313</t>
        </is>
      </c>
    </row>
    <row r="17" ht="18" customHeight="1" s="10">
      <c r="A17" s="13" t="n">
        <v>113033</v>
      </c>
      <c r="B17" s="22">
        <f>_xlfn.XLOOKUP(A17,Sheet2!A:A,Sheet2!B:B)</f>
        <v/>
      </c>
      <c r="C17" s="26" t="inlineStr">
        <is>
          <t>20220126xsjtxm.mp4</t>
        </is>
      </c>
      <c r="D17" s="26">
        <f>MID(SUBSTITUTE(C17,".mp4",""),9,10)</f>
        <v/>
      </c>
      <c r="E17" s="21">
        <f>"http://opcdn.sail2world.com/video/"&amp;C17</f>
        <v/>
      </c>
      <c r="F17" s="25" t="n">
        <v>36879618</v>
      </c>
      <c r="G17" s="27" t="inlineStr">
        <is>
          <t>be370134698c31eaf554a341db333a1f</t>
        </is>
      </c>
    </row>
    <row r="18" ht="18" customHeight="1" s="10">
      <c r="A18" s="13" t="n">
        <v>113035</v>
      </c>
      <c r="B18" s="22">
        <f>_xlfn.XLOOKUP(A18,Sheet2!A:A,Sheet2!B:B)</f>
        <v/>
      </c>
      <c r="C18" s="26" t="inlineStr">
        <is>
          <t>20220126xsjflq.mp4</t>
        </is>
      </c>
      <c r="D18" s="26">
        <f>MID(SUBSTITUTE(C18,".mp4",""),9,10)</f>
        <v/>
      </c>
      <c r="E18" s="21">
        <f>"http://opcdn.sail2world.com/video/"&amp;C18</f>
        <v/>
      </c>
      <c r="F18" s="25" t="n">
        <v>51317367</v>
      </c>
      <c r="G18" s="27" t="inlineStr">
        <is>
          <t>ee42f107fef7591bef674f8ffb06012a</t>
        </is>
      </c>
    </row>
    <row r="19" ht="18" customHeight="1" s="10">
      <c r="A19" s="13" t="n">
        <v>113036</v>
      </c>
      <c r="B19" s="22">
        <f>_xlfn.XLOOKUP(A19,Sheet2!A:A,Sheet2!B:B)</f>
        <v/>
      </c>
      <c r="C19" s="26" t="inlineStr">
        <is>
          <t>20220316xsjblk.mp4</t>
        </is>
      </c>
      <c r="D19" s="26">
        <f>MID(SUBSTITUTE(C19,".mp4",""),9,10)</f>
        <v/>
      </c>
      <c r="E19" s="21">
        <f>"http://opcdn.sail2world.com/video/"&amp;C19</f>
        <v/>
      </c>
      <c r="F19" s="25" t="n">
        <v>61902604</v>
      </c>
      <c r="G19" s="27" t="inlineStr">
        <is>
          <t>689a2046af3fbe09caebfcb3a2430082</t>
        </is>
      </c>
      <c r="H19" s="20" t="n"/>
    </row>
    <row r="20" ht="18" customHeight="1" s="10">
      <c r="A20" s="13" t="n">
        <v>113037</v>
      </c>
      <c r="B20" s="22">
        <f>_xlfn.XLOOKUP(A20,Sheet2!A:A,Sheet2!B:B)</f>
        <v/>
      </c>
      <c r="C20" s="26" t="inlineStr">
        <is>
          <t>20220316xsjsz.mp4</t>
        </is>
      </c>
      <c r="D20" s="26">
        <f>MID(SUBSTITUTE(C20,".mp4",""),9,10)</f>
        <v/>
      </c>
      <c r="E20" s="21">
        <f>"http://opcdn.sail2world.com/video/"&amp;C20</f>
        <v/>
      </c>
      <c r="F20" s="25" t="n">
        <v>39320713</v>
      </c>
      <c r="G20" s="27" t="inlineStr">
        <is>
          <t>da15c6accf7d1613052bd531ff5fa746</t>
        </is>
      </c>
      <c r="H20" s="20" t="n"/>
    </row>
    <row r="21" ht="18" customHeight="1" s="10">
      <c r="A21" s="13" t="n">
        <v>113038</v>
      </c>
      <c r="B21" s="22">
        <f>_xlfn.XLOOKUP(A21,Sheet2!A:A,Sheet2!B:B)</f>
        <v/>
      </c>
      <c r="C21" s="26" t="inlineStr">
        <is>
          <t>20220329xsjqb.mp4</t>
        </is>
      </c>
      <c r="D21" s="26">
        <f>MID(SUBSTITUTE(C21,".mp4",""),9,10)</f>
        <v/>
      </c>
      <c r="E21" s="21">
        <f>"http://opcdn.sail2world.com/video/"&amp;C21</f>
        <v/>
      </c>
      <c r="F21" s="25" t="n">
        <v>59504978</v>
      </c>
      <c r="G21" s="27" t="inlineStr">
        <is>
          <t>d2c11744a4d6952f3bc787f8340ca973</t>
        </is>
      </c>
      <c r="H21" s="20" t="n"/>
    </row>
    <row r="22" ht="18" customHeight="1" s="10">
      <c r="A22" s="13" t="n">
        <v>113039</v>
      </c>
      <c r="B22" s="22">
        <f>_xlfn.XLOOKUP(A22,Sheet2!A:A,Sheet2!B:B)</f>
        <v/>
      </c>
      <c r="C22" s="26" t="inlineStr">
        <is>
          <t>20220509xsjl.mp4</t>
        </is>
      </c>
      <c r="D22" s="26">
        <f>MID(SUBSTITUTE(C22,".mp4",""),9,10)</f>
        <v/>
      </c>
      <c r="E22" s="21">
        <f>"http://opcdn.sail2world.com/video/"&amp;C22</f>
        <v/>
      </c>
      <c r="F22" s="17" t="n">
        <v>52747736</v>
      </c>
      <c r="G22" s="27" t="inlineStr">
        <is>
          <t>530cf0c4f32f3c575df0b14deb187eb3</t>
        </is>
      </c>
      <c r="H22" s="20" t="n"/>
    </row>
    <row r="23" ht="18" customHeight="1" s="10">
      <c r="A23" s="13" t="n">
        <v>113040</v>
      </c>
      <c r="B23" s="22">
        <f>_xlfn.XLOOKUP(A23,Sheet2!A:A,Sheet2!B:B)</f>
        <v/>
      </c>
      <c r="C23" s="26" t="inlineStr">
        <is>
          <t>20220428ktkl.mp4</t>
        </is>
      </c>
      <c r="D23" s="26">
        <f>MID(SUBSTITUTE(C23,".mp4",""),9,10)</f>
        <v/>
      </c>
      <c r="E23" s="21">
        <f>"http://opcdn.sail2world.com/video/"&amp;C23</f>
        <v/>
      </c>
      <c r="F23" s="25" t="n">
        <v>37769601</v>
      </c>
      <c r="G23" s="27" t="inlineStr">
        <is>
          <t>d088fc7be4e5214d530c2353dd04951b</t>
        </is>
      </c>
      <c r="H23" s="20" t="n"/>
    </row>
    <row r="24" ht="18" customHeight="1" s="10">
      <c r="A24" s="13" t="n">
        <v>113042</v>
      </c>
      <c r="B24" s="22">
        <f>_xlfn.XLOOKUP(A24,Sheet2!A:A,Sheet2!B:B)</f>
        <v/>
      </c>
      <c r="C24" s="26" t="inlineStr">
        <is>
          <t>20220509sb.mp4</t>
        </is>
      </c>
      <c r="D24" s="26">
        <f>MID(SUBSTITUTE(C24,".mp4",""),9,10)</f>
        <v/>
      </c>
      <c r="E24" s="21">
        <f>"http://opcdn.sail2world.com/video/"&amp;C24</f>
        <v/>
      </c>
      <c r="F24" s="25" t="n">
        <v>31776753</v>
      </c>
      <c r="G24" s="27" t="inlineStr">
        <is>
          <t>dc50be55163f04d924d48d4fb2cad8b0</t>
        </is>
      </c>
      <c r="H24" s="20" t="n"/>
    </row>
    <row r="25" ht="18" customHeight="1" s="10">
      <c r="A25" s="13" t="n">
        <v>113043</v>
      </c>
      <c r="B25" s="22">
        <f>_xlfn.XLOOKUP(A25,Sheet2!A:A,Sheet2!B:B)</f>
        <v/>
      </c>
      <c r="C25" s="26" t="inlineStr">
        <is>
          <t>20211215th.mp4</t>
        </is>
      </c>
      <c r="D25" s="26">
        <f>MID(SUBSTITUTE(C25,".mp4",""),9,10)</f>
        <v/>
      </c>
      <c r="E25" s="21">
        <f>"http://opcdn.sail2world.com/video/"&amp;C25</f>
        <v/>
      </c>
      <c r="F25" s="25" t="n">
        <v>20504517</v>
      </c>
      <c r="G25" s="27" t="inlineStr">
        <is>
          <t>17dab09ac59153ad9466a892b339009e</t>
        </is>
      </c>
      <c r="H25" s="20" t="n"/>
    </row>
    <row r="26" ht="18" customHeight="1" s="10">
      <c r="A26" s="13" t="n">
        <v>113044</v>
      </c>
      <c r="B26" s="22">
        <f>_xlfn.XLOOKUP(A26,Sheet2!A:A,Sheet2!B:B)</f>
        <v/>
      </c>
      <c r="C26" s="26" t="inlineStr">
        <is>
          <t>20211229xltll.mp4</t>
        </is>
      </c>
      <c r="D26" s="26">
        <f>MID(SUBSTITUTE(C26,".mp4",""),9,10)</f>
        <v/>
      </c>
      <c r="E26" s="21">
        <f>"http://opcdn.sail2world.com/video/"&amp;C26</f>
        <v/>
      </c>
      <c r="F26" s="17" t="inlineStr">
        <is>
          <t>24735133</t>
        </is>
      </c>
      <c r="G26" s="27" t="inlineStr">
        <is>
          <t>d93733146e6f8fce4e58f08ce6182f3b</t>
        </is>
      </c>
      <c r="H26" s="20" t="n"/>
    </row>
    <row r="27" ht="18" customHeight="1" s="10">
      <c r="A27" s="13" t="n">
        <v>113045</v>
      </c>
      <c r="B27" s="22">
        <f>_xlfn.XLOOKUP(A27,Sheet2!A:A,Sheet2!B:B)</f>
        <v/>
      </c>
      <c r="C27" s="26" t="inlineStr">
        <is>
          <t>20220428sdb.mp4</t>
        </is>
      </c>
      <c r="D27" s="26">
        <f>MID(SUBSTITUTE(C27,".mp4",""),9,10)</f>
        <v/>
      </c>
      <c r="E27" s="21">
        <f>"http://opcdn.sail2world.com/video/"&amp;C27</f>
        <v/>
      </c>
      <c r="F27" s="25" t="n">
        <v>58078135</v>
      </c>
      <c r="G27" s="27" t="inlineStr">
        <is>
          <t>e8d225ae96abc423af8d6aebd40bea6d</t>
        </is>
      </c>
      <c r="H27" s="20" t="n"/>
    </row>
    <row r="28" ht="18" customHeight="1" s="10">
      <c r="A28" s="13" t="n">
        <v>113046</v>
      </c>
      <c r="B28" s="22">
        <f>_xlfn.XLOOKUP(A28,Sheet2!A:A,Sheet2!B:B)</f>
        <v/>
      </c>
      <c r="C28" s="26" t="inlineStr">
        <is>
          <t>20251023nx.mp4</t>
        </is>
      </c>
      <c r="D28" s="26">
        <f>MID(SUBSTITUTE(C28,".mp4",""),9,10)</f>
        <v/>
      </c>
      <c r="E28" s="21">
        <f>"http://opcdn.sail2world.com/video/"&amp;C28</f>
        <v/>
      </c>
      <c r="F28" s="25" t="n">
        <v>17547264</v>
      </c>
      <c r="G28" s="27" t="inlineStr">
        <is>
          <t>6e5c203c672ce4a701893be5c937389c</t>
        </is>
      </c>
      <c r="H28" s="20" t="n"/>
    </row>
    <row r="29" ht="18" customHeight="1" s="10">
      <c r="A29" s="13" t="n">
        <v>113047</v>
      </c>
      <c r="B29" s="22">
        <f>_xlfn.XLOOKUP(A29,Sheet2!A:A,Sheet2!B:B)</f>
        <v/>
      </c>
      <c r="C29" s="26" t="inlineStr">
        <is>
          <t>20211229kd.mp4</t>
        </is>
      </c>
      <c r="D29" s="26">
        <f>MID(SUBSTITUTE(C29,".mp4",""),9,10)</f>
        <v/>
      </c>
      <c r="E29" s="21">
        <f>"http://opcdn.sail2world.com/video/"&amp;C29</f>
        <v/>
      </c>
      <c r="F29" s="17" t="inlineStr">
        <is>
          <t>67835796</t>
        </is>
      </c>
      <c r="G29" s="27" t="inlineStr">
        <is>
          <t>ec741c850e8ae4acb0b5a00bd498996f</t>
        </is>
      </c>
      <c r="H29" s="20" t="n"/>
    </row>
    <row r="30" ht="18" customHeight="1" s="10">
      <c r="A30" s="13" t="n">
        <v>113049</v>
      </c>
      <c r="B30" s="22">
        <f>_xlfn.XLOOKUP(A30,Sheet2!A:A,Sheet2!B:B)</f>
        <v/>
      </c>
      <c r="C30" s="26" t="inlineStr">
        <is>
          <t>20211229xsjkz.mp4</t>
        </is>
      </c>
      <c r="D30" s="26">
        <f>MID(SUBSTITUTE(C30,".mp4",""),9,10)</f>
        <v/>
      </c>
      <c r="E30" s="21">
        <f>"http://opcdn.sail2world.com/video/"&amp;C30</f>
        <v/>
      </c>
      <c r="F30" s="17" t="inlineStr">
        <is>
          <t>37603244</t>
        </is>
      </c>
      <c r="G30" s="27" t="inlineStr">
        <is>
          <t>dc7dea137bde34dad5ff99771a751ad4</t>
        </is>
      </c>
      <c r="H30" s="20" t="n"/>
    </row>
    <row r="31" ht="18" customHeight="1" s="10">
      <c r="A31" s="13" t="n">
        <v>113050</v>
      </c>
      <c r="B31" s="22">
        <f>_xlfn.XLOOKUP(A31,Sheet2!A:A,Sheet2!B:B)</f>
        <v/>
      </c>
      <c r="C31" s="26" t="inlineStr">
        <is>
          <t>20211229xsjcq.mp4</t>
        </is>
      </c>
      <c r="D31" s="26">
        <f>MID(SUBSTITUTE(C31,".mp4",""),9,10)</f>
        <v/>
      </c>
      <c r="E31" s="21">
        <f>"http://opcdn.sail2world.com/video/"&amp;C31</f>
        <v/>
      </c>
      <c r="F31" s="17" t="inlineStr">
        <is>
          <t>32094651</t>
        </is>
      </c>
      <c r="G31" s="27" t="inlineStr">
        <is>
          <t>cf6906cecab439b14d878f8e659907cc</t>
        </is>
      </c>
      <c r="H31" s="20" t="n"/>
    </row>
    <row r="32" ht="18" customHeight="1" s="10">
      <c r="A32" s="13" t="n">
        <v>113051</v>
      </c>
      <c r="B32" s="22">
        <f>_xlfn.XLOOKUP(A32,Sheet2!A:A,Sheet2!B:B)</f>
        <v/>
      </c>
      <c r="C32" s="26" t="inlineStr">
        <is>
          <t>20220118lj.mp4</t>
        </is>
      </c>
      <c r="D32" s="26">
        <f>MID(SUBSTITUTE(C32,".mp4",""),9,10)</f>
        <v/>
      </c>
      <c r="E32" s="21">
        <f>"http://opcdn.sail2world.com/video/"&amp;C32</f>
        <v/>
      </c>
      <c r="F32" s="25" t="n">
        <v>49952421</v>
      </c>
      <c r="G32" s="27" t="inlineStr">
        <is>
          <t>7b958c0adb88229b886df69da219bcf4</t>
        </is>
      </c>
      <c r="H32" s="20" t="n"/>
    </row>
    <row r="33" ht="18" customHeight="1" s="10">
      <c r="A33" s="13" t="n">
        <v>113052</v>
      </c>
      <c r="B33" s="22">
        <f>_xlfn.XLOOKUP(A33,Sheet2!A:A,Sheet2!B:B)</f>
        <v/>
      </c>
      <c r="C33" s="26" t="inlineStr">
        <is>
          <t>20220118xsjlz.mp4</t>
        </is>
      </c>
      <c r="D33" s="26">
        <f>MID(SUBSTITUTE(C33,".mp4",""),9,10)</f>
        <v/>
      </c>
      <c r="E33" s="21">
        <f>"http://opcdn.sail2world.com/video/"&amp;C33</f>
        <v/>
      </c>
      <c r="F33" s="25" t="n">
        <v>53024675</v>
      </c>
      <c r="G33" s="27" t="inlineStr">
        <is>
          <t>8ac5b72856722070defc917d37331698</t>
        </is>
      </c>
      <c r="H33" s="20" t="n"/>
    </row>
    <row r="34" ht="18" customHeight="1" s="10">
      <c r="A34" s="13" t="n">
        <v>113053</v>
      </c>
      <c r="B34" s="22">
        <f>_xlfn.XLOOKUP(A34,Sheet2!A:A,Sheet2!B:B)</f>
        <v/>
      </c>
      <c r="C34" s="26" t="inlineStr">
        <is>
          <t>20220428tjchkk.mp4</t>
        </is>
      </c>
      <c r="D34" s="26">
        <f>MID(SUBSTITUTE(C34,".mp4",""),9,10)</f>
        <v/>
      </c>
      <c r="E34" s="21">
        <f>"http://opcdn.sail2world.com/UploadResources/videossr/"&amp;C34</f>
        <v/>
      </c>
      <c r="F34" s="25" t="n">
        <v>13482608</v>
      </c>
      <c r="G34" s="27" t="inlineStr">
        <is>
          <t>74620920de62e03a604b1c64eba0bdb2</t>
        </is>
      </c>
      <c r="H34" s="20" t="n"/>
    </row>
    <row r="35" ht="18" customHeight="1" s="10">
      <c r="A35" s="13" t="n">
        <v>113054</v>
      </c>
      <c r="B35" s="22">
        <f>_xlfn.XLOOKUP(A35,Sheet2!A:A,Sheet2!B:B)</f>
        <v/>
      </c>
      <c r="C35" s="26" t="inlineStr">
        <is>
          <t>20220126betlma.mp4</t>
        </is>
      </c>
      <c r="D35" s="26">
        <f>MID(SUBSTITUTE(C35,".mp4",""),9,10)</f>
        <v/>
      </c>
      <c r="E35" s="21">
        <f>"http://opcdn.sail2world.com/video/"&amp;C35</f>
        <v/>
      </c>
      <c r="F35" s="25" t="n">
        <v>59434841</v>
      </c>
      <c r="G35" s="27" t="inlineStr">
        <is>
          <t>41b46ae2b9a2e9c32c8207420a682339</t>
        </is>
      </c>
      <c r="H35" s="20" t="n"/>
    </row>
    <row r="36" ht="18" customHeight="1" s="10">
      <c r="A36" s="13" t="n">
        <v>113055</v>
      </c>
      <c r="B36" s="22">
        <f>_xlfn.XLOOKUP(A36,Sheet2!A:A,Sheet2!B:B)</f>
        <v/>
      </c>
      <c r="C36" s="26" t="inlineStr">
        <is>
          <t>20220607xsjmeg.mp4</t>
        </is>
      </c>
      <c r="D36" s="26">
        <f>MID(SUBSTITUTE(C36,".mp4",""),9,10)</f>
        <v/>
      </c>
      <c r="E36" s="21">
        <f>"http://opcdn.sail2world.com/video/"&amp;C36</f>
        <v/>
      </c>
      <c r="F36" s="25" t="n">
        <v>41050482</v>
      </c>
      <c r="G36" s="27" t="inlineStr">
        <is>
          <t>aa40388827909c32fcdf0cf64e9ada94</t>
        </is>
      </c>
      <c r="H36" s="20" t="n"/>
    </row>
    <row r="37" ht="18" customHeight="1" s="10">
      <c r="A37" s="13" t="n">
        <v>113056</v>
      </c>
      <c r="B37" s="22">
        <f>_xlfn.XLOOKUP(A37,Sheet2!A:A,Sheet2!B:B)</f>
        <v/>
      </c>
      <c r="C37" s="26" t="inlineStr">
        <is>
          <t>20220406xsjmhk.mp4</t>
        </is>
      </c>
      <c r="D37" s="26">
        <f>MID(SUBSTITUTE(C37,".mp4",""),9,10)</f>
        <v/>
      </c>
      <c r="E37" s="21">
        <f>"http://opcdn.sail2world.com/video/"&amp;C37</f>
        <v/>
      </c>
      <c r="F37" s="25" t="n">
        <v>59975729</v>
      </c>
      <c r="G37" s="27" t="inlineStr">
        <is>
          <t>7a98f1fdc2043055b3f8e64f776a0dc1</t>
        </is>
      </c>
      <c r="H37" s="20" t="n"/>
    </row>
    <row r="38" ht="18" customHeight="1" s="10">
      <c r="A38" s="13" t="n">
        <v>113057</v>
      </c>
      <c r="B38" s="22">
        <f>_xlfn.XLOOKUP(A38,Sheet2!A:A,Sheet2!B:B)</f>
        <v/>
      </c>
      <c r="C38" s="26" t="inlineStr">
        <is>
          <t>20211215tt.mp4</t>
        </is>
      </c>
      <c r="D38" s="26">
        <f>MID(SUBSTITUTE(C38,".mp4",""),9,10)</f>
        <v/>
      </c>
      <c r="E38" s="21">
        <f>"http://opcdn.sail2world.com/video/"&amp;C38</f>
        <v/>
      </c>
      <c r="F38" s="25" t="n">
        <v>10951006</v>
      </c>
      <c r="G38" s="27" t="inlineStr">
        <is>
          <t>70ef77818856e0826e3fa9902b045e4f</t>
        </is>
      </c>
      <c r="H38" s="20" t="n"/>
    </row>
    <row r="39" ht="18" customHeight="1" s="10">
      <c r="A39" s="13" t="n">
        <v>113058</v>
      </c>
      <c r="B39" s="22">
        <f>_xlfn.XLOOKUP(A39,Sheet2!A:A,Sheet2!B:B)</f>
        <v/>
      </c>
      <c r="C39" s="26" t="inlineStr">
        <is>
          <t>20220223kwdx.mp4</t>
        </is>
      </c>
      <c r="D39" s="26">
        <f>MID(SUBSTITUTE(C39,".mp4",""),9,10)</f>
        <v/>
      </c>
      <c r="E39" s="21">
        <f>"http://opcdn.sail2world.com/video/"&amp;C39</f>
        <v/>
      </c>
      <c r="F39" s="25" t="n">
        <v>32202779</v>
      </c>
      <c r="G39" s="27" t="inlineStr">
        <is>
          <t>c829699b6ce350feea6e9c31f54c83e6</t>
        </is>
      </c>
      <c r="H39" s="20" t="n"/>
    </row>
    <row r="40" ht="18" customHeight="1" s="10">
      <c r="A40" s="13" t="n">
        <v>113059</v>
      </c>
      <c r="B40" s="22">
        <f>_xlfn.XLOOKUP(A40,Sheet2!A:A,Sheet2!B:B)</f>
        <v/>
      </c>
      <c r="C40" s="26" t="inlineStr">
        <is>
          <t>20220126gyyd.mp4</t>
        </is>
      </c>
      <c r="D40" s="26">
        <f>MID(SUBSTITUTE(C40,".mp4",""),9,10)</f>
        <v/>
      </c>
      <c r="E40" s="21">
        <f>"http://opcdn.sail2world.com/video/"&amp;C40</f>
        <v/>
      </c>
      <c r="F40" s="17" t="inlineStr">
        <is>
          <t>35346698</t>
        </is>
      </c>
      <c r="G40" s="27" t="inlineStr">
        <is>
          <t>05e7645026d1f2eb057c80c8d1c6b7a0</t>
        </is>
      </c>
    </row>
    <row r="41" ht="18" customHeight="1" s="10">
      <c r="A41" s="13" t="n">
        <v>113060</v>
      </c>
      <c r="B41" s="22">
        <f>_xlfn.XLOOKUP(A41,Sheet2!A:A,Sheet2!B:B)</f>
        <v/>
      </c>
      <c r="C41" s="26" t="inlineStr">
        <is>
          <t>20211222qnll.mp4</t>
        </is>
      </c>
      <c r="D41" s="26">
        <f>MID(SUBSTITUTE(C41,".mp4",""),9,10)</f>
        <v/>
      </c>
      <c r="E41" s="21">
        <f>"http://opcdn.sail2world.com/video/"&amp;C41</f>
        <v/>
      </c>
      <c r="F41" s="25" t="n">
        <v>29927145</v>
      </c>
      <c r="G41" s="27" t="inlineStr">
        <is>
          <t>344f1261fe9f7835bfa56f5d10db856a</t>
        </is>
      </c>
    </row>
    <row r="42" ht="18" customHeight="1" s="10">
      <c r="A42" s="13" t="n">
        <v>113061</v>
      </c>
      <c r="B42" s="22">
        <f>_xlfn.XLOOKUP(A42,Sheet2!A:A,Sheet2!B:B)</f>
        <v/>
      </c>
      <c r="C42" s="26" t="inlineStr">
        <is>
          <t>20220126klt.mp4</t>
        </is>
      </c>
      <c r="D42" s="26">
        <f>MID(SUBSTITUTE(C42,".mp4",""),9,10)</f>
        <v/>
      </c>
      <c r="E42" s="21">
        <f>"http://opcdn.sail2world.com/video/"&amp;C42</f>
        <v/>
      </c>
      <c r="F42" s="25" t="n">
        <v>61014363</v>
      </c>
      <c r="G42" s="27" t="inlineStr">
        <is>
          <t>8f47fdd94121bcd6a8a7ddae93749819</t>
        </is>
      </c>
    </row>
    <row r="43" ht="18" customHeight="1" s="10">
      <c r="A43" s="13" t="n">
        <v>113062</v>
      </c>
      <c r="B43" s="22">
        <f>_xlfn.XLOOKUP(A43,Sheet2!A:A,Sheet2!B:B)</f>
        <v/>
      </c>
      <c r="C43" s="26" t="inlineStr">
        <is>
          <t>20220126aj.mp4</t>
        </is>
      </c>
      <c r="D43" s="26">
        <f>MID(SUBSTITUTE(C43,".mp4",""),9,10)</f>
        <v/>
      </c>
      <c r="E43" s="21">
        <f>"http://opcdn.sail2world.com/video/"&amp;C43</f>
        <v/>
      </c>
      <c r="F43" s="25" t="n">
        <v>55676697</v>
      </c>
      <c r="G43" s="27" t="inlineStr">
        <is>
          <t>c29210ea9522646119a800fba8c39ac9</t>
        </is>
      </c>
    </row>
    <row r="44" ht="18" customHeight="1" s="10">
      <c r="A44" s="13" t="n">
        <v>113064</v>
      </c>
      <c r="B44" s="22">
        <f>_xlfn.XLOOKUP(A44,Sheet2!A:A,Sheet2!B:B)</f>
        <v/>
      </c>
      <c r="C44" s="26" t="inlineStr">
        <is>
          <t>20220104nqbhz.mp4</t>
        </is>
      </c>
      <c r="D44" s="26">
        <f>MID(SUBSTITUTE(C44,".mp4",""),9,10)</f>
        <v/>
      </c>
      <c r="E44" s="21">
        <f>"http://opcdn.sail2world.com/video/"&amp;C44</f>
        <v/>
      </c>
      <c r="F44" s="25" t="n">
        <v>48548461</v>
      </c>
      <c r="G44" s="27" t="inlineStr">
        <is>
          <t>ab804315702405dfd21ebea33f87cf6e</t>
        </is>
      </c>
    </row>
    <row r="45" ht="18" customHeight="1" s="10">
      <c r="A45" s="13" t="n">
        <v>113065</v>
      </c>
      <c r="B45" s="22">
        <f>_xlfn.XLOOKUP(A45,Sheet2!A:A,Sheet2!B:B)</f>
        <v/>
      </c>
      <c r="C45" s="26" t="inlineStr">
        <is>
          <t>20220223xsjpln.mp4</t>
        </is>
      </c>
      <c r="D45" s="26">
        <f>MID(SUBSTITUTE(C45,".mp4",""),9,10)</f>
        <v/>
      </c>
      <c r="E45" s="21">
        <f>"http://opcdn.sail2world.com/video/"&amp;C45</f>
        <v/>
      </c>
      <c r="F45" s="25" t="n">
        <v>61767946</v>
      </c>
      <c r="G45" s="27" t="inlineStr">
        <is>
          <t>7e716a0e19bdeb90ecbd48a655b054c2</t>
        </is>
      </c>
    </row>
    <row r="46" ht="18" customHeight="1" s="10">
      <c r="A46" s="13" t="n">
        <v>113066</v>
      </c>
      <c r="B46" s="22">
        <f>_xlfn.XLOOKUP(A46,Sheet2!A:A,Sheet2!B:B)</f>
        <v/>
      </c>
      <c r="C46" s="26" t="inlineStr">
        <is>
          <t>20251023yxgp.mp4</t>
        </is>
      </c>
      <c r="D46" s="26">
        <f>MID(SUBSTITUTE(C46,".mp4",""),9,10)</f>
        <v/>
      </c>
      <c r="E46" s="21">
        <f>"http://opcdn.sail2world.com/video/"&amp;C46</f>
        <v/>
      </c>
      <c r="F46" s="17" t="inlineStr">
        <is>
          <t>10440704</t>
        </is>
      </c>
      <c r="G46" s="27" t="inlineStr">
        <is>
          <t>5d3a59a6158f51c42c1db5b29fc37a73</t>
        </is>
      </c>
    </row>
    <row r="47" ht="18" customHeight="1" s="10">
      <c r="A47" s="13" t="n">
        <v>113067</v>
      </c>
      <c r="B47" s="22">
        <f>_xlfn.XLOOKUP(A47,Sheet2!A:A,Sheet2!B:B)</f>
        <v/>
      </c>
      <c r="C47" s="26" t="inlineStr">
        <is>
          <t>20220104xsjhhz.mp4</t>
        </is>
      </c>
      <c r="D47" s="26">
        <f>MID(SUBSTITUTE(C47,".mp4",""),9,10)</f>
        <v/>
      </c>
      <c r="E47" s="21">
        <f>"http://opcdn.sail2world.com/video/"&amp;C47</f>
        <v/>
      </c>
      <c r="F47" s="17" t="inlineStr">
        <is>
          <t>39621460</t>
        </is>
      </c>
      <c r="G47" s="27" t="inlineStr">
        <is>
          <t>e996476a4d566da0bb26a873ef611076</t>
        </is>
      </c>
    </row>
    <row r="48" ht="18" customHeight="1" s="10">
      <c r="A48" s="13" t="n">
        <v>113068</v>
      </c>
      <c r="B48" s="22">
        <f>_xlfn.XLOOKUP(A48,Sheet2!A:A,Sheet2!B:B)</f>
        <v/>
      </c>
      <c r="C48" s="26" t="inlineStr">
        <is>
          <t>20220126ql.mp4</t>
        </is>
      </c>
      <c r="D48" s="26">
        <f>MID(SUBSTITUTE(C48,".mp4",""),9,10)</f>
        <v/>
      </c>
      <c r="E48" s="21">
        <f>"http://opcdn.sail2world.com/video/"&amp;C48</f>
        <v/>
      </c>
      <c r="F48" s="17" t="n">
        <v>55772045</v>
      </c>
      <c r="G48" s="27" t="inlineStr">
        <is>
          <t>12865f7bcf7335fbea49593eb55b8ab9</t>
        </is>
      </c>
    </row>
    <row r="49" ht="18" customHeight="1" s="10">
      <c r="A49" s="13" t="n">
        <v>113069</v>
      </c>
      <c r="B49" s="22">
        <f>_xlfn.XLOOKUP(A49,Sheet2!A:A,Sheet2!B:B)</f>
        <v/>
      </c>
      <c r="C49" s="26" t="inlineStr">
        <is>
          <t>20220126mfs.mp4</t>
        </is>
      </c>
      <c r="D49" s="26">
        <f>MID(SUBSTITUTE(C49,".mp4",""),9,10)</f>
        <v/>
      </c>
      <c r="E49" s="21">
        <f>"http://opcdn.sail2world.com/video/"&amp;C49</f>
        <v/>
      </c>
      <c r="F49" s="17" t="inlineStr">
        <is>
          <t>31262122</t>
        </is>
      </c>
      <c r="G49" s="27" t="inlineStr">
        <is>
          <t>6be6988819345b5410a66b1ac85fe45e</t>
        </is>
      </c>
    </row>
    <row r="50" ht="18" customHeight="1" s="10">
      <c r="A50" s="13" t="n">
        <v>113070</v>
      </c>
      <c r="B50" s="22">
        <f>_xlfn.XLOOKUP(A50,Sheet2!A:A,Sheet2!B:B)</f>
        <v/>
      </c>
      <c r="C50" s="26" t="inlineStr">
        <is>
          <t>20220316bl.mp4</t>
        </is>
      </c>
      <c r="D50" s="26">
        <f>MID(SUBSTITUTE(C50,".mp4",""),9,10)</f>
        <v/>
      </c>
      <c r="E50" s="21">
        <f>"http://opcdn.sail2world.com/video/"&amp;C50</f>
        <v/>
      </c>
      <c r="F50" s="25" t="n">
        <v>54670045</v>
      </c>
      <c r="G50" s="27" t="inlineStr">
        <is>
          <t>2165bb7b72d595925e9c65cc5aebc89e</t>
        </is>
      </c>
    </row>
    <row r="51" ht="18" customHeight="1" s="10">
      <c r="A51" s="13" t="n">
        <v>113071</v>
      </c>
      <c r="B51" s="22">
        <f>_xlfn.XLOOKUP(A51,Sheet2!A:A,Sheet2!B:B)</f>
        <v/>
      </c>
      <c r="C51" s="26" t="inlineStr">
        <is>
          <t>20220420hjs.mp4</t>
        </is>
      </c>
      <c r="D51" s="26">
        <f>MID(SUBSTITUTE(C51,".mp4",""),9,10)</f>
        <v/>
      </c>
      <c r="E51" s="21">
        <f>"http://opcdn.sail2world.com/video/"&amp;C51</f>
        <v/>
      </c>
      <c r="F51" s="25" t="n">
        <v>75812360</v>
      </c>
      <c r="G51" s="27" t="inlineStr">
        <is>
          <t>36ced2343d6f6731410c4e255f68e6ad</t>
        </is>
      </c>
    </row>
    <row r="52" ht="18" customHeight="1" s="10">
      <c r="A52" s="13" t="n">
        <v>113072</v>
      </c>
      <c r="B52" s="22">
        <f>_xlfn.XLOOKUP(A52,Sheet2!A:A,Sheet2!B:B)</f>
        <v/>
      </c>
      <c r="C52" s="26" t="inlineStr">
        <is>
          <t>20220524dlk.mp4</t>
        </is>
      </c>
      <c r="D52" s="26">
        <f>MID(SUBSTITUTE(C52,".mp4",""),9,10)</f>
        <v/>
      </c>
      <c r="E52" s="21">
        <f>"http://opcdn.sail2world.com/video/"&amp;C52</f>
        <v/>
      </c>
      <c r="F52" s="25" t="n">
        <v>33511187</v>
      </c>
      <c r="G52" s="27" t="inlineStr">
        <is>
          <t>0f07853d38a961690dcebded7de3436d</t>
        </is>
      </c>
    </row>
    <row r="53" ht="18" customHeight="1" s="10">
      <c r="A53" s="13" t="n">
        <v>113073</v>
      </c>
      <c r="B53" s="22">
        <f>_xlfn.XLOOKUP(A53,Sheet2!A:A,Sheet2!B:B)</f>
        <v/>
      </c>
      <c r="C53" s="26" t="inlineStr">
        <is>
          <t>20220627xl.mp4</t>
        </is>
      </c>
      <c r="D53" s="26">
        <f>MID(SUBSTITUTE(C53,".mp4",""),9,10)</f>
        <v/>
      </c>
      <c r="E53" s="21">
        <f>"http://opcdn.sail2world.com/video/"&amp;C53</f>
        <v/>
      </c>
      <c r="F53" s="25" t="n">
        <v>25779388</v>
      </c>
      <c r="G53" s="27" t="inlineStr">
        <is>
          <t>bf4ad32f9228bcfc55b0d4a9943f875e</t>
        </is>
      </c>
    </row>
    <row r="54" ht="18" customHeight="1" s="10">
      <c r="A54" s="13" t="n">
        <v>113076</v>
      </c>
      <c r="B54" s="22">
        <f>_xlfn.XLOOKUP(A54,Sheet2!A:A,Sheet2!B:B)</f>
        <v/>
      </c>
      <c r="C54" s="26" t="inlineStr">
        <is>
          <t>20220802djzg.mp4</t>
        </is>
      </c>
      <c r="D54" s="26">
        <f>MID(SUBSTITUTE(C54,".mp4",""),9,10)</f>
        <v/>
      </c>
      <c r="E54" s="21">
        <f>"http://opcdn.sail2world.com/video/"&amp;C54</f>
        <v/>
      </c>
      <c r="F54" s="25" t="n">
        <v>47361043</v>
      </c>
      <c r="G54" s="27" t="inlineStr">
        <is>
          <t>4666d5e2e3199dd4b56b71568e9c48b6</t>
        </is>
      </c>
    </row>
    <row r="55" ht="18" customHeight="1" s="10">
      <c r="A55" s="13" t="n">
        <v>113078</v>
      </c>
      <c r="B55" s="22">
        <f>_xlfn.XLOOKUP(A55,Sheet2!A:A,Sheet2!B:B)</f>
        <v/>
      </c>
      <c r="C55" s="26" t="inlineStr">
        <is>
          <t>20221031jk.mp4</t>
        </is>
      </c>
      <c r="D55" s="26">
        <f>MID(SUBSTITUTE(C55,".mp4",""),9,10)</f>
        <v/>
      </c>
      <c r="E55" s="21">
        <f>"http://opcdn.sail2world.com/UploadResources/videossr/"&amp;C55</f>
        <v/>
      </c>
      <c r="F55" s="25" t="n">
        <v>20640859</v>
      </c>
      <c r="G55" s="27" t="inlineStr">
        <is>
          <t>f5435b3355cbd04296002070156b99b3</t>
        </is>
      </c>
    </row>
    <row r="56" ht="18" customHeight="1" s="10">
      <c r="A56" s="13" t="n">
        <v>113079</v>
      </c>
      <c r="B56" s="22" t="inlineStr">
        <is>
          <t>昆因</t>
        </is>
      </c>
      <c r="C56" s="26" t="inlineStr">
        <is>
          <t>20221206ky.mp4</t>
        </is>
      </c>
      <c r="D56" s="26">
        <f>MID(SUBSTITUTE(C56,".mp4",""),9,10)</f>
        <v/>
      </c>
      <c r="E56" s="21">
        <f>"http://opcdn.sail2world.com/video/"&amp;C56</f>
        <v/>
      </c>
      <c r="F56" s="25" t="n">
        <v>24527807</v>
      </c>
      <c r="G56" s="27" t="inlineStr">
        <is>
          <t>9969c9911fb01790f7fd0a9a8616925b</t>
        </is>
      </c>
    </row>
    <row r="57" ht="18" customHeight="1" s="10">
      <c r="A57" s="13" t="n">
        <v>113080</v>
      </c>
      <c r="B57" s="22" t="inlineStr">
        <is>
          <t>大和</t>
        </is>
      </c>
      <c r="C57" s="26" t="inlineStr">
        <is>
          <t>20230110dh.mp4</t>
        </is>
      </c>
      <c r="D57" s="26">
        <f>MID(SUBSTITUTE(C57,".mp4",""),9,10)</f>
        <v/>
      </c>
      <c r="E57" s="21">
        <f>"http://opcdn.sail2world.com/video/"&amp;C57</f>
        <v/>
      </c>
      <c r="F57" s="25" t="n">
        <v>20510214</v>
      </c>
      <c r="G57" s="27" t="inlineStr">
        <is>
          <t>c0c1c70cd2fd03c94ef92f7c32178590</t>
        </is>
      </c>
    </row>
    <row r="58" ht="18" customHeight="1" s="10">
      <c r="A58" s="13" t="n">
        <v>113081</v>
      </c>
      <c r="B58" s="22" t="inlineStr">
        <is>
          <t>乌塔</t>
        </is>
      </c>
      <c r="C58" s="26" t="inlineStr">
        <is>
          <t>20230210uta.mp4</t>
        </is>
      </c>
      <c r="D58" s="26">
        <f>MID(SUBSTITUTE(C58,".mp4",""),9,10)</f>
        <v/>
      </c>
      <c r="E58" s="21">
        <f>"http://opcdn.sail2world.com/video/"&amp;C58</f>
        <v/>
      </c>
      <c r="F58" s="25" t="n">
        <v>23890939</v>
      </c>
      <c r="G58" s="27" t="inlineStr">
        <is>
          <t>ffc06cc15a6c839d9f84387e775a46b0</t>
        </is>
      </c>
    </row>
    <row r="59" ht="18" customHeight="1" s="10">
      <c r="A59" s="13" t="n">
        <v>113082</v>
      </c>
      <c r="B59" s="22" t="inlineStr">
        <is>
          <t>润媞</t>
        </is>
      </c>
      <c r="C59" s="26" t="inlineStr">
        <is>
          <t>20230308runti.mp4</t>
        </is>
      </c>
      <c r="D59" s="26">
        <f>MID(SUBSTITUTE(C59,".mp4",""),9,10)</f>
        <v/>
      </c>
      <c r="E59" s="21">
        <f>"http://opcdn.sail2world.com/video/"&amp;C59</f>
        <v/>
      </c>
      <c r="F59" s="25" t="n">
        <v>15341420</v>
      </c>
      <c r="G59" s="27" t="inlineStr">
        <is>
          <t>6acfc687031f3b5342b4afd80fbd68fe</t>
        </is>
      </c>
    </row>
    <row r="60" ht="18" customHeight="1" s="10">
      <c r="A60" s="13" t="n">
        <v>113083</v>
      </c>
      <c r="B60" s="22" t="inlineStr">
        <is>
          <t>烬</t>
        </is>
      </c>
      <c r="C60" s="26" t="inlineStr">
        <is>
          <t>20230413king.mp4</t>
        </is>
      </c>
      <c r="D60" s="26">
        <f>MID(SUBSTITUTE(C60,".mp4",""),9,10)</f>
        <v/>
      </c>
      <c r="E60" s="21">
        <f>"http://opcdn.sail2world.com/video/"&amp;C60</f>
        <v/>
      </c>
      <c r="F60" s="25" t="n">
        <v>19785971</v>
      </c>
      <c r="G60" s="27" t="inlineStr">
        <is>
          <t>e791fd4aebedc9487df8b84034e4a926</t>
        </is>
      </c>
    </row>
    <row r="61" ht="18" customHeight="1" s="10">
      <c r="A61" s="13" t="n">
        <v>113084</v>
      </c>
      <c r="B61" s="22" t="inlineStr">
        <is>
          <t>佩吉旺</t>
        </is>
      </c>
      <c r="C61" s="26" t="inlineStr">
        <is>
          <t>20230516peijiwan.mp4</t>
        </is>
      </c>
      <c r="D61" s="26">
        <f>MID(SUBSTITUTE(C61,".mp4",""),9,10)</f>
        <v/>
      </c>
      <c r="E61" s="21">
        <f>"http://opcdn.sail2world.com/video/"&amp;C61</f>
        <v/>
      </c>
      <c r="F61" s="25" t="n">
        <v>7301933</v>
      </c>
      <c r="G61" s="27" t="inlineStr">
        <is>
          <t>f0f5427d68e12379fecfe7dfdc38c133</t>
        </is>
      </c>
    </row>
    <row r="62" ht="18" customHeight="1" s="10">
      <c r="A62" s="13" t="n">
        <v>113085</v>
      </c>
      <c r="B62" s="22" t="inlineStr">
        <is>
          <t>基拉</t>
        </is>
      </c>
      <c r="C62" s="26" t="inlineStr">
        <is>
          <t>20230605jila.mp4</t>
        </is>
      </c>
      <c r="D62" s="26">
        <f>MID(SUBSTITUTE(C62,".mp4",""),9,10)</f>
        <v/>
      </c>
      <c r="E62" s="21">
        <f>"http://opcdn.sail2world.com/video/"&amp;C62</f>
        <v/>
      </c>
      <c r="F62" s="25" t="n">
        <v>15902205</v>
      </c>
      <c r="G62" s="27" t="inlineStr">
        <is>
          <t>bd517be390bef8ed59cd321ba1689cec</t>
        </is>
      </c>
    </row>
    <row r="63" ht="18" customHeight="1" s="10">
      <c r="A63" s="13" t="n">
        <v>113086</v>
      </c>
      <c r="B63" s="22" t="inlineStr">
        <is>
          <t>新世界基德</t>
        </is>
      </c>
      <c r="C63" s="26" t="inlineStr">
        <is>
          <t>20230630xsjjd.mp4</t>
        </is>
      </c>
      <c r="D63" s="26">
        <f>MID(SUBSTITUTE(C63,".mp4",""),9,10)</f>
        <v/>
      </c>
      <c r="E63" s="21">
        <f>"http://opcdn.sail2world.com/video/"&amp;C63</f>
        <v/>
      </c>
      <c r="F63" s="25" t="n">
        <v>18744447</v>
      </c>
      <c r="G63" s="27" t="inlineStr">
        <is>
          <t>7be3ba0ca4434277fefb03770635b139</t>
        </is>
      </c>
    </row>
    <row r="64" ht="18" customHeight="1" s="10">
      <c r="A64" s="13" t="n">
        <v>113087</v>
      </c>
      <c r="B64" s="22" t="inlineStr">
        <is>
          <t>和之国罗</t>
        </is>
      </c>
      <c r="C64" s="26" t="inlineStr">
        <is>
          <t>20230803hzgl.mp4</t>
        </is>
      </c>
      <c r="D64" s="26">
        <f>MID(SUBSTITUTE(C64,".mp4",""),9,10)</f>
        <v/>
      </c>
      <c r="E64" s="21">
        <f>"http://opcdn.sail2world.com/video/"&amp;C64</f>
        <v/>
      </c>
      <c r="F64" s="25" t="n">
        <v>38521180</v>
      </c>
      <c r="G64" s="27" t="inlineStr">
        <is>
          <t>0bfb2dff4d6cd750a2750386c45b5126</t>
        </is>
      </c>
    </row>
    <row r="65" ht="18" customHeight="1" s="10">
      <c r="A65" s="13" t="n">
        <v>113089</v>
      </c>
      <c r="B65" s="22" t="inlineStr">
        <is>
          <t>和之国路飞</t>
        </is>
      </c>
      <c r="C65" s="26" t="inlineStr">
        <is>
          <t>20231012hzglf.mp4</t>
        </is>
      </c>
      <c r="D65" s="26">
        <f>MID(SUBSTITUTE(C65,".mp4",""),9,10)</f>
        <v/>
      </c>
      <c r="E65" s="21">
        <f>"http://opcdn.sail2world.com/video/"&amp;C65</f>
        <v/>
      </c>
      <c r="F65" s="25" t="n">
        <v>35010309</v>
      </c>
      <c r="G65" s="27" t="inlineStr">
        <is>
          <t>ae8cacaa04cc7667e8be2201d580843d</t>
        </is>
      </c>
    </row>
    <row r="66">
      <c r="A66" s="13" t="n">
        <v>113090</v>
      </c>
      <c r="B66" s="22" t="inlineStr">
        <is>
          <t>和之国罗宾</t>
        </is>
      </c>
      <c r="C66" s="26" t="inlineStr">
        <is>
          <t>20231128hzglb.mp4</t>
        </is>
      </c>
      <c r="D66" s="26">
        <f>MID(SUBSTITUTE(C66,".mp4",""),9,10)</f>
        <v/>
      </c>
      <c r="E66" s="21">
        <f>"http://opcdn.sail2world.com/video/"&amp;C66</f>
        <v/>
      </c>
      <c r="F66" s="25" t="n">
        <v>33564593</v>
      </c>
      <c r="G66" s="27" t="inlineStr">
        <is>
          <t>6081261be5d58e069b5560798bf3a0ac</t>
        </is>
      </c>
    </row>
    <row r="67">
      <c r="A67" s="13" t="n">
        <v>113091</v>
      </c>
      <c r="B67" s="22" t="inlineStr">
        <is>
          <t>和之国山智</t>
        </is>
      </c>
      <c r="C67" s="26" t="inlineStr">
        <is>
          <t>20231225hzgsz.mp4</t>
        </is>
      </c>
      <c r="D67" s="26">
        <f>MID(SUBSTITUTE(C67,".mp4",""),9,10)</f>
        <v/>
      </c>
      <c r="E67" s="21">
        <f>"http://opcdn.sail2world.com/video/"&amp;C67</f>
        <v/>
      </c>
      <c r="F67" s="25" t="n">
        <v>21600829</v>
      </c>
      <c r="G67" s="27" t="inlineStr">
        <is>
          <t>d4b1fce292022eca2e923912954cfd8b</t>
        </is>
      </c>
    </row>
    <row r="68">
      <c r="A68" s="13" t="n">
        <v>113092</v>
      </c>
      <c r="B68" s="22" t="inlineStr">
        <is>
          <t>和之国佐罗</t>
        </is>
      </c>
      <c r="C68" s="26" t="inlineStr">
        <is>
          <t>20240206hzgzl.mp4</t>
        </is>
      </c>
      <c r="D68" s="26" t="inlineStr">
        <is>
          <t>hzgzl</t>
        </is>
      </c>
      <c r="E68" s="21">
        <f>"http://opcdn.sail2world.com/video/"&amp;C68</f>
        <v/>
      </c>
      <c r="F68" s="25" t="n">
        <v>50409024</v>
      </c>
      <c r="G68" s="27" t="inlineStr">
        <is>
          <t>301b2dc11aaacd512772617c9926b13d</t>
        </is>
      </c>
    </row>
    <row r="69">
      <c r="A69" s="13" t="n">
        <v>113093</v>
      </c>
      <c r="B69" s="22" t="inlineStr">
        <is>
          <t>和之国乔巴</t>
        </is>
      </c>
      <c r="C69" s="26" t="inlineStr">
        <is>
          <t>20240226hzgqb.mp4</t>
        </is>
      </c>
      <c r="D69" s="26" t="inlineStr">
        <is>
          <t>hzgqb</t>
        </is>
      </c>
      <c r="E69" s="21">
        <f>"http://opcdn.sail2world.com/video/"&amp;C69</f>
        <v/>
      </c>
      <c r="F69" s="25" t="n">
        <v>14419877</v>
      </c>
      <c r="G69" s="27" t="inlineStr">
        <is>
          <t>10dc28918cc0c1a4eadfab9f10813e03</t>
        </is>
      </c>
    </row>
    <row r="70" s="10">
      <c r="A70" s="13" t="n">
        <v>113094</v>
      </c>
      <c r="B70" s="22" t="inlineStr">
        <is>
          <t>和之国撒谎布</t>
        </is>
      </c>
      <c r="C70" s="26" t="inlineStr">
        <is>
          <t>20240408hzgshb.mp4</t>
        </is>
      </c>
      <c r="D70" s="26" t="inlineStr">
        <is>
          <t>hzgshb</t>
        </is>
      </c>
      <c r="E70" s="21">
        <f>"http://opcdn.sail2world.com/video/"&amp;C70</f>
        <v/>
      </c>
      <c r="F70" s="25" t="n">
        <v>2287322</v>
      </c>
      <c r="G70" s="27" t="inlineStr">
        <is>
          <t>36f789ce8e66dad96ad618aa6e40b2aa</t>
        </is>
      </c>
    </row>
    <row r="71" s="10">
      <c r="A71" s="13" t="n">
        <v>113095</v>
      </c>
      <c r="B71" s="22" t="inlineStr">
        <is>
          <t>和之国奈美</t>
        </is>
      </c>
      <c r="C71" s="26" t="inlineStr">
        <is>
          <t>20240509hzgnm.mp4</t>
        </is>
      </c>
      <c r="D71" s="26" t="inlineStr">
        <is>
          <t>hzgnm</t>
        </is>
      </c>
      <c r="E71" s="21">
        <f>"http://opcdn.sail2world.com/video/"&amp;C71</f>
        <v/>
      </c>
      <c r="F71" s="25" t="n">
        <v>4660719</v>
      </c>
      <c r="G71" s="27" t="inlineStr">
        <is>
          <t>7d7140181967a730ea40c41cf4a42026</t>
        </is>
      </c>
    </row>
    <row r="72" s="10">
      <c r="A72" s="13" t="n">
        <v>113096</v>
      </c>
      <c r="B72" s="22" t="inlineStr">
        <is>
          <t>和之国弗兰奇</t>
        </is>
      </c>
      <c r="C72" s="26" t="inlineStr">
        <is>
          <t>20240617hzgflq.mp4</t>
        </is>
      </c>
      <c r="D72" s="26" t="inlineStr">
        <is>
          <t>hzgflq</t>
        </is>
      </c>
      <c r="E72" s="21">
        <f>"http://opcdn.sail2world.com/video/"&amp;C72</f>
        <v/>
      </c>
      <c r="F72" s="25" t="n">
        <v>29958747</v>
      </c>
      <c r="G72" s="27" t="inlineStr">
        <is>
          <t>166e249a394f2fce0c6db10b61c6a6d3</t>
        </is>
      </c>
    </row>
    <row r="73" s="10">
      <c r="A73" s="13" t="n">
        <v>113097</v>
      </c>
      <c r="B73" s="22" t="inlineStr">
        <is>
          <t>和之国布鲁克</t>
        </is>
      </c>
      <c r="C73" s="26" t="inlineStr">
        <is>
          <t>20240709hzgblk.mp4</t>
        </is>
      </c>
      <c r="D73" s="26" t="inlineStr">
        <is>
          <t>hzgblk</t>
        </is>
      </c>
      <c r="E73" s="21">
        <f>"http://opcdn.sail2world.com/video/"&amp;C73</f>
        <v/>
      </c>
      <c r="F73" s="25" t="n">
        <v>16433398</v>
      </c>
      <c r="G73" s="27" t="inlineStr">
        <is>
          <t>5533252c92419dd8176519ecad219f5f</t>
        </is>
      </c>
    </row>
    <row r="74" s="10">
      <c r="A74" s="13" t="n">
        <v>113098</v>
      </c>
      <c r="B74" s="22" t="inlineStr">
        <is>
          <t>和之国甚平</t>
        </is>
      </c>
      <c r="C74" s="26" t="inlineStr">
        <is>
          <t>20240729hzgsp.mp4</t>
        </is>
      </c>
      <c r="D74" s="26" t="inlineStr">
        <is>
          <t>hzgsp</t>
        </is>
      </c>
      <c r="E74" s="21">
        <f>"http://opcdn.sail2world.com/video/"&amp;C74</f>
        <v/>
      </c>
      <c r="F74" s="25" t="n">
        <v>17246473</v>
      </c>
      <c r="G74" s="27" t="inlineStr">
        <is>
          <t>50f655e647ccd218be8de5ee2ab3dfd6</t>
        </is>
      </c>
    </row>
    <row r="75" s="10">
      <c r="A75" s="13" t="n">
        <v>113099</v>
      </c>
      <c r="B75" s="22" t="inlineStr">
        <is>
          <t>黑色玛利亚</t>
        </is>
      </c>
      <c r="C75" s="26" t="inlineStr">
        <is>
          <t>20240820hsmly.mp4</t>
        </is>
      </c>
      <c r="D75" s="26" t="inlineStr">
        <is>
          <t>hsmly</t>
        </is>
      </c>
      <c r="E75" s="21">
        <f>"http://opcdn.sail2world.com/video/"&amp;C75</f>
        <v/>
      </c>
      <c r="F75" s="25" t="n">
        <v>27579795</v>
      </c>
      <c r="G75" s="27" t="inlineStr">
        <is>
          <t>84a5f04e27edf134aa4921772634b8a2</t>
        </is>
      </c>
    </row>
    <row r="76" s="10">
      <c r="A76" s="13" t="n">
        <v>113101</v>
      </c>
      <c r="B76" s="22" t="inlineStr">
        <is>
          <t>金狮子西奇</t>
        </is>
      </c>
      <c r="C76" s="26" t="inlineStr">
        <is>
          <t>20240925jszxq.mp4</t>
        </is>
      </c>
      <c r="D76" s="26" t="inlineStr">
        <is>
          <t>jszxq</t>
        </is>
      </c>
      <c r="E76" s="21">
        <f>"http://opcdn.sail2world.com/video/"&amp;C76</f>
        <v/>
      </c>
      <c r="F76" s="17" t="n">
        <v>23437647</v>
      </c>
      <c r="G76" s="27" t="inlineStr">
        <is>
          <t>37bd27eba8a17fafe5e6da4cf22fc964</t>
        </is>
      </c>
    </row>
    <row r="77" s="10">
      <c r="A77" s="13" t="n">
        <v>113102</v>
      </c>
      <c r="B77" s="22" t="inlineStr">
        <is>
          <t>荞麦假面</t>
        </is>
      </c>
      <c r="C77" s="26" t="inlineStr">
        <is>
          <t>20241121qmjm.mp4</t>
        </is>
      </c>
      <c r="D77" s="26" t="inlineStr">
        <is>
          <t>qmjm</t>
        </is>
      </c>
      <c r="E77" s="21">
        <f>"http://opcdn.sail2world.com/video/"&amp;C77</f>
        <v/>
      </c>
      <c r="F77" s="17" t="inlineStr">
        <is>
          <t>2934622</t>
        </is>
      </c>
      <c r="G77" s="27" t="inlineStr">
        <is>
          <t>50d26bb01d2422eb6217ae4677087f32</t>
        </is>
      </c>
    </row>
    <row r="78" s="10">
      <c r="A78" s="13" t="n">
        <v>113103</v>
      </c>
      <c r="B78" s="22" t="inlineStr">
        <is>
          <t>绿牛</t>
        </is>
      </c>
      <c r="C78" s="26" t="inlineStr">
        <is>
          <t>20250826ln.mp4</t>
        </is>
      </c>
      <c r="D78" s="26" t="inlineStr">
        <is>
          <t>ln</t>
        </is>
      </c>
      <c r="E78" s="21">
        <f>"http://opcdn.sail2world.com/video/"&amp;C78</f>
        <v/>
      </c>
      <c r="F78" s="17" t="inlineStr">
        <is>
          <t>11215661</t>
        </is>
      </c>
      <c r="G78" s="27" t="inlineStr">
        <is>
          <t>a940de0620367878c09c8f996581d300</t>
        </is>
      </c>
    </row>
    <row r="79" s="10">
      <c r="A79" s="13" t="n">
        <v>113104</v>
      </c>
      <c r="B79" s="22" t="inlineStr">
        <is>
          <t>大口真神大和</t>
        </is>
      </c>
      <c r="C79" s="26" t="inlineStr">
        <is>
          <t>20250123dkzsdh.mp4</t>
        </is>
      </c>
      <c r="D79" s="26" t="inlineStr">
        <is>
          <t>dkzsdh</t>
        </is>
      </c>
      <c r="E79" s="21">
        <f>"http://opcdn.sail2world.com/video/"&amp;C79</f>
        <v/>
      </c>
      <c r="F79" s="17" t="inlineStr">
        <is>
          <t>10336012</t>
        </is>
      </c>
      <c r="G79" s="27" t="inlineStr">
        <is>
          <t>6d6e9430a939617a010e6735a45addba</t>
        </is>
      </c>
    </row>
    <row r="80" s="10">
      <c r="A80" s="13" t="n">
        <v>113105</v>
      </c>
      <c r="B80" s="22" t="inlineStr">
        <is>
          <t>基德&amp;罗</t>
        </is>
      </c>
      <c r="C80" s="26" t="inlineStr">
        <is>
          <t>20250312jdl.mp4</t>
        </is>
      </c>
      <c r="D80" s="26" t="inlineStr">
        <is>
          <t>jdl</t>
        </is>
      </c>
      <c r="E80" s="21">
        <f>"http://opcdn.sail2world.com/video/"&amp;C80</f>
        <v/>
      </c>
      <c r="F80" s="17" t="inlineStr">
        <is>
          <t>11079680</t>
        </is>
      </c>
      <c r="G80" s="27" t="inlineStr">
        <is>
          <t>63d0565daa29fd6f57a07e676e136773</t>
        </is>
      </c>
    </row>
    <row r="81" s="10">
      <c r="A81" s="13" t="n">
        <v>113106</v>
      </c>
      <c r="B81" s="22" t="inlineStr">
        <is>
          <t>邦妮</t>
        </is>
      </c>
      <c r="C81" s="26" t="inlineStr">
        <is>
          <t>20250423bn.mp4</t>
        </is>
      </c>
      <c r="D81" s="26" t="inlineStr">
        <is>
          <t>bn</t>
        </is>
      </c>
      <c r="E81" s="21">
        <f>"http://opcdn.sail2world.com/video/"&amp;C81</f>
        <v/>
      </c>
      <c r="F81" s="17" t="inlineStr">
        <is>
          <t>4924386</t>
        </is>
      </c>
      <c r="G81" s="27" t="inlineStr">
        <is>
          <t>ac6b88906dc01e8fb31e6386ee3c54e1</t>
        </is>
      </c>
    </row>
    <row r="82" s="10">
      <c r="A82" s="13" t="n">
        <v>113107</v>
      </c>
      <c r="B82" s="22" t="inlineStr">
        <is>
          <t>S-老鹰</t>
        </is>
      </c>
      <c r="C82" s="26" t="inlineStr">
        <is>
          <t>20250604ly.mp4</t>
        </is>
      </c>
      <c r="D82" s="26" t="inlineStr">
        <is>
          <t>ly</t>
        </is>
      </c>
      <c r="E82" s="21">
        <f>"http://opcdn.sail2world.com/video/"&amp;C82</f>
        <v/>
      </c>
      <c r="F82" s="17" t="n">
        <v>4786997</v>
      </c>
      <c r="G82" s="27" t="inlineStr">
        <is>
          <t>139a21e16822af8e25884387682676b6</t>
        </is>
      </c>
    </row>
    <row r="83" s="10">
      <c r="A83" s="13" t="n">
        <v>113108</v>
      </c>
      <c r="B83" s="22" t="inlineStr">
        <is>
          <t>S-蛇女</t>
        </is>
      </c>
      <c r="C83" s="26" t="inlineStr">
        <is>
          <t>20250725sn.mp4</t>
        </is>
      </c>
      <c r="D83" s="26" t="inlineStr">
        <is>
          <t>sn</t>
        </is>
      </c>
      <c r="E83" s="21">
        <f>"http://opcdn.sail2world.com/video/"&amp;C83</f>
        <v/>
      </c>
      <c r="F83" s="17" t="inlineStr">
        <is>
          <t>9551872</t>
        </is>
      </c>
      <c r="G83" s="27" t="inlineStr">
        <is>
          <t>ec7e05c5ebe9c4339990e3089c99b869</t>
        </is>
      </c>
    </row>
    <row r="84" s="10">
      <c r="A84" s="13" t="n">
        <v>113109</v>
      </c>
      <c r="B84" s="22" t="inlineStr">
        <is>
          <t>未来岛卡古</t>
        </is>
      </c>
      <c r="C84" s="26" t="inlineStr">
        <is>
          <t>20250826wldkg.mp4</t>
        </is>
      </c>
      <c r="D84" s="26" t="inlineStr">
        <is>
          <t>wldkg</t>
        </is>
      </c>
      <c r="E84" s="21">
        <f>"http://opcdn.sail2world.com/UploadResources/URRecruitVideo/"&amp;C84</f>
        <v/>
      </c>
      <c r="F84" s="17" t="inlineStr">
        <is>
          <t>20156416</t>
        </is>
      </c>
      <c r="G84" s="27" t="inlineStr">
        <is>
          <t>a52fb3c8a664b15e84711905717d43c6</t>
        </is>
      </c>
    </row>
    <row r="85" s="10">
      <c r="A85" s="13" t="n">
        <v>113111</v>
      </c>
      <c r="B85" s="22" t="inlineStr">
        <is>
          <t>未来岛鲁兹</t>
        </is>
      </c>
      <c r="C85" s="26" t="inlineStr">
        <is>
          <t>20251105wldlz.mp4</t>
        </is>
      </c>
      <c r="D85" s="26" t="inlineStr">
        <is>
          <t>wldlz</t>
        </is>
      </c>
      <c r="E85" s="21">
        <f>"http://opcdn.sail2world.com/video/"&amp;C85</f>
        <v/>
      </c>
      <c r="F85" s="17" t="inlineStr">
        <is>
          <t>26161152</t>
        </is>
      </c>
      <c r="G85" s="27" t="inlineStr">
        <is>
          <t>6d1fd1397571864c07f5de45233024c5</t>
        </is>
      </c>
    </row>
    <row r="86" s="10">
      <c r="A86" s="13" t="n">
        <v>113112</v>
      </c>
      <c r="B86" s="22" t="inlineStr">
        <is>
          <t>未来岛斯图西</t>
        </is>
      </c>
      <c r="C86" s="26" t="inlineStr">
        <is>
          <t>20251126stx.mp4</t>
        </is>
      </c>
      <c r="D86" s="26" t="inlineStr">
        <is>
          <t>stx</t>
        </is>
      </c>
      <c r="E86" s="21">
        <f>"http://opcdn.sail2world.com/UploadResources/URRecruitVideo/"&amp;C86</f>
        <v/>
      </c>
      <c r="F86" s="17" t="inlineStr">
        <is>
          <t>12546048</t>
        </is>
      </c>
      <c r="G86" s="27" t="inlineStr">
        <is>
          <t>458393a47b096efd3a75d99a725797bc</t>
        </is>
      </c>
    </row>
    <row r="87" customFormat="1" s="7">
      <c r="A87" s="13" t="n">
        <v>113034</v>
      </c>
      <c r="B87" s="22" t="inlineStr">
        <is>
          <t>锦卫门</t>
        </is>
      </c>
      <c r="C87" s="26" t="inlineStr">
        <is>
          <t>20251222jwm.mp4</t>
        </is>
      </c>
      <c r="D87" s="26" t="inlineStr">
        <is>
          <t>jwm</t>
        </is>
      </c>
      <c r="E87" s="21">
        <f>"http://opcdn.sail2world.com/UploadResources/videossr/"&amp;C87</f>
        <v/>
      </c>
      <c r="F87" s="17" t="inlineStr">
        <is>
          <t>13000704</t>
        </is>
      </c>
      <c r="G87" s="27" t="inlineStr">
        <is>
          <t>2ba9cf2881a4fc4ebdca42dfba9d2eba</t>
        </is>
      </c>
    </row>
    <row r="88" s="10">
      <c r="A88" s="13" t="n">
        <v>113113</v>
      </c>
      <c r="B88" s="22" t="inlineStr">
        <is>
          <t>S-小熊</t>
        </is>
      </c>
      <c r="C88" s="26" t="inlineStr">
        <is>
          <t>20260112sxx.mp4</t>
        </is>
      </c>
      <c r="D88" s="26" t="inlineStr">
        <is>
          <t>sxx</t>
        </is>
      </c>
      <c r="E88" s="21">
        <f>"http://opcdn.sail2world.com/UploadResources/URRecruitVideo/"&amp;C88</f>
        <v/>
      </c>
      <c r="F88" s="17" t="inlineStr">
        <is>
          <t>11522048</t>
        </is>
      </c>
      <c r="G88" s="7" t="inlineStr">
        <is>
          <t>ecc72f108f18e26c51d76790038be72e</t>
        </is>
      </c>
    </row>
    <row r="89" s="10">
      <c r="A89" s="13" t="n">
        <v>113114</v>
      </c>
      <c r="B89" s="22" t="inlineStr">
        <is>
          <t>未来岛黑胡子</t>
        </is>
      </c>
      <c r="C89" s="26" t="inlineStr">
        <is>
          <t>20260210wldhhz.mp4</t>
        </is>
      </c>
      <c r="D89" s="26" t="inlineStr">
        <is>
          <t>wldhhz</t>
        </is>
      </c>
      <c r="E89" s="21">
        <f>"http://opcdn.sail2world.com/UploadResources/SPRecruitVideo/"&amp;C89</f>
        <v/>
      </c>
      <c r="F89" s="17" t="inlineStr">
        <is>
          <t>18105192</t>
        </is>
      </c>
      <c r="G89" s="7" t="inlineStr">
        <is>
          <t>19c6ac61d63256cbf5439aaa42f430b6</t>
        </is>
      </c>
    </row>
    <row r="90">
      <c r="A90" s="28" t="n">
        <v>113115</v>
      </c>
      <c r="B90" s="29" t="inlineStr">
        <is>
          <t>蜂巢岛库赞</t>
        </is>
      </c>
      <c r="C90" s="30" t="inlineStr">
        <is>
          <t>待补充</t>
        </is>
      </c>
      <c r="D90" s="30" t="inlineStr">
        <is>
          <t>待补充</t>
        </is>
      </c>
      <c r="E90" s="30" t="inlineStr">
        <is>
          <t>待补充</t>
        </is>
      </c>
      <c r="F90" s="31" t="inlineStr">
        <is>
          <t>待补充</t>
        </is>
      </c>
      <c r="G90" s="32" t="inlineStr">
        <is>
          <t>待补充</t>
        </is>
      </c>
      <c r="H90" s="33" t="n"/>
    </row>
  </sheetData>
  <conditionalFormatting sqref="A8">
    <cfRule type="duplicateValues" priority="248" dxfId="0"/>
  </conditionalFormatting>
  <conditionalFormatting sqref="A9">
    <cfRule type="duplicateValues" priority="247" dxfId="0"/>
  </conditionalFormatting>
  <conditionalFormatting sqref="A10">
    <cfRule type="duplicateValues" priority="246" dxfId="0"/>
  </conditionalFormatting>
  <conditionalFormatting sqref="A11">
    <cfRule type="duplicateValues" priority="245" dxfId="0"/>
  </conditionalFormatting>
  <conditionalFormatting sqref="A12">
    <cfRule type="duplicateValues" priority="244" dxfId="0"/>
  </conditionalFormatting>
  <conditionalFormatting sqref="A13">
    <cfRule type="duplicateValues" priority="186" dxfId="0"/>
  </conditionalFormatting>
  <conditionalFormatting sqref="B13">
    <cfRule type="duplicateValues" priority="187" dxfId="0"/>
  </conditionalFormatting>
  <conditionalFormatting sqref="F13">
    <cfRule type="duplicateValues" priority="189" dxfId="0"/>
  </conditionalFormatting>
  <conditionalFormatting sqref="G13">
    <cfRule type="duplicateValues" priority="188" dxfId="0"/>
  </conditionalFormatting>
  <conditionalFormatting sqref="A14">
    <cfRule type="duplicateValues" priority="243" dxfId="0"/>
  </conditionalFormatting>
  <conditionalFormatting sqref="A15">
    <cfRule type="duplicateValues" priority="242" dxfId="0"/>
  </conditionalFormatting>
  <conditionalFormatting sqref="A16">
    <cfRule type="duplicateValues" priority="241" dxfId="0"/>
  </conditionalFormatting>
  <conditionalFormatting sqref="F16">
    <cfRule type="duplicateValues" priority="201" dxfId="0"/>
  </conditionalFormatting>
  <conditionalFormatting sqref="G16">
    <cfRule type="duplicateValues" priority="199" dxfId="0"/>
  </conditionalFormatting>
  <conditionalFormatting sqref="A17">
    <cfRule type="duplicateValues" priority="240" dxfId="0"/>
  </conditionalFormatting>
  <conditionalFormatting sqref="F17">
    <cfRule type="duplicateValues" priority="200" dxfId="0"/>
  </conditionalFormatting>
  <conditionalFormatting sqref="G17">
    <cfRule type="duplicateValues" priority="198" dxfId="0"/>
  </conditionalFormatting>
  <conditionalFormatting sqref="A18">
    <cfRule type="duplicateValues" priority="210" dxfId="0"/>
  </conditionalFormatting>
  <conditionalFormatting sqref="B18">
    <cfRule type="duplicateValues" priority="211" dxfId="0"/>
  </conditionalFormatting>
  <conditionalFormatting sqref="A19">
    <cfRule type="duplicateValues" priority="224" dxfId="0"/>
  </conditionalFormatting>
  <conditionalFormatting sqref="B19">
    <cfRule type="duplicateValues" priority="225" dxfId="0"/>
  </conditionalFormatting>
  <conditionalFormatting sqref="B20">
    <cfRule type="duplicateValues" priority="223" dxfId="0"/>
  </conditionalFormatting>
  <conditionalFormatting sqref="B21">
    <cfRule type="duplicateValues" priority="215" dxfId="0"/>
  </conditionalFormatting>
  <conditionalFormatting sqref="A22">
    <cfRule type="duplicateValues" priority="157" dxfId="0"/>
  </conditionalFormatting>
  <conditionalFormatting sqref="B22">
    <cfRule type="duplicateValues" priority="158" dxfId="0"/>
  </conditionalFormatting>
  <conditionalFormatting sqref="F22">
    <cfRule type="duplicateValues" priority="160" dxfId="0"/>
  </conditionalFormatting>
  <conditionalFormatting sqref="G22">
    <cfRule type="duplicateValues" priority="159" dxfId="0"/>
  </conditionalFormatting>
  <conditionalFormatting sqref="A23">
    <cfRule type="duplicateValues" priority="169" dxfId="0"/>
  </conditionalFormatting>
  <conditionalFormatting sqref="B23">
    <cfRule type="duplicateValues" priority="170" dxfId="0"/>
  </conditionalFormatting>
  <conditionalFormatting sqref="F23">
    <cfRule type="duplicateValues" priority="172" dxfId="0"/>
  </conditionalFormatting>
  <conditionalFormatting sqref="G23">
    <cfRule type="duplicateValues" priority="171" dxfId="0"/>
  </conditionalFormatting>
  <conditionalFormatting sqref="A24">
    <cfRule type="duplicateValues" priority="161" dxfId="0"/>
  </conditionalFormatting>
  <conditionalFormatting sqref="B24">
    <cfRule type="duplicateValues" priority="162" dxfId="0"/>
  </conditionalFormatting>
  <conditionalFormatting sqref="F24">
    <cfRule type="duplicateValues" priority="164" dxfId="0"/>
  </conditionalFormatting>
  <conditionalFormatting sqref="G24">
    <cfRule type="duplicateValues" priority="163" dxfId="0"/>
  </conditionalFormatting>
  <conditionalFormatting sqref="A25">
    <cfRule type="duplicateValues" priority="165" dxfId="0"/>
  </conditionalFormatting>
  <conditionalFormatting sqref="B25">
    <cfRule type="duplicateValues" priority="166" dxfId="0"/>
  </conditionalFormatting>
  <conditionalFormatting sqref="F25">
    <cfRule type="duplicateValues" priority="168" dxfId="0"/>
  </conditionalFormatting>
  <conditionalFormatting sqref="G25">
    <cfRule type="duplicateValues" priority="167" dxfId="0"/>
  </conditionalFormatting>
  <conditionalFormatting sqref="A26">
    <cfRule type="duplicateValues" priority="239" dxfId="0"/>
  </conditionalFormatting>
  <conditionalFormatting sqref="A27">
    <cfRule type="duplicateValues" priority="173" dxfId="0"/>
  </conditionalFormatting>
  <conditionalFormatting sqref="B27">
    <cfRule type="duplicateValues" priority="174" dxfId="0"/>
  </conditionalFormatting>
  <conditionalFormatting sqref="F27">
    <cfRule type="duplicateValues" priority="176" dxfId="0"/>
  </conditionalFormatting>
  <conditionalFormatting sqref="G27">
    <cfRule type="duplicateValues" priority="175" dxfId="0"/>
  </conditionalFormatting>
  <conditionalFormatting sqref="A28">
    <cfRule type="duplicateValues" priority="208" dxfId="0"/>
  </conditionalFormatting>
  <conditionalFormatting sqref="B28">
    <cfRule type="duplicateValues" priority="209" dxfId="0"/>
  </conditionalFormatting>
  <conditionalFormatting sqref="A29">
    <cfRule type="duplicateValues" priority="238" dxfId="0"/>
  </conditionalFormatting>
  <conditionalFormatting sqref="A30">
    <cfRule type="duplicateValues" priority="237" dxfId="0"/>
  </conditionalFormatting>
  <conditionalFormatting sqref="A31">
    <cfRule type="duplicateValues" priority="236" dxfId="0"/>
  </conditionalFormatting>
  <conditionalFormatting sqref="A32">
    <cfRule type="duplicateValues" priority="202" dxfId="0"/>
  </conditionalFormatting>
  <conditionalFormatting sqref="B32">
    <cfRule type="duplicateValues" priority="203" dxfId="0"/>
  </conditionalFormatting>
  <conditionalFormatting sqref="F32">
    <cfRule type="duplicateValues" priority="205" dxfId="0"/>
  </conditionalFormatting>
  <conditionalFormatting sqref="G32">
    <cfRule type="duplicateValues" priority="204" dxfId="0"/>
  </conditionalFormatting>
  <conditionalFormatting sqref="A33">
    <cfRule type="duplicateValues" priority="145" dxfId="0"/>
  </conditionalFormatting>
  <conditionalFormatting sqref="B33">
    <cfRule type="duplicateValues" priority="146" dxfId="0"/>
  </conditionalFormatting>
  <conditionalFormatting sqref="F33">
    <cfRule type="duplicateValues" priority="148" dxfId="0"/>
  </conditionalFormatting>
  <conditionalFormatting sqref="G33">
    <cfRule type="duplicateValues" priority="147" dxfId="0"/>
  </conditionalFormatting>
  <conditionalFormatting sqref="A34">
    <cfRule type="duplicateValues" priority="177" dxfId="0"/>
  </conditionalFormatting>
  <conditionalFormatting sqref="B34">
    <cfRule type="duplicateValues" priority="178" dxfId="0"/>
  </conditionalFormatting>
  <conditionalFormatting sqref="F34">
    <cfRule type="duplicateValues" priority="180" dxfId="0"/>
  </conditionalFormatting>
  <conditionalFormatting sqref="G34">
    <cfRule type="duplicateValues" priority="179" dxfId="0"/>
  </conditionalFormatting>
  <conditionalFormatting sqref="A35">
    <cfRule type="duplicateValues" priority="235" dxfId="0"/>
  </conditionalFormatting>
  <conditionalFormatting sqref="A36">
    <cfRule type="duplicateValues" priority="137" dxfId="0"/>
  </conditionalFormatting>
  <conditionalFormatting sqref="B36">
    <cfRule type="duplicateValues" priority="138" dxfId="0"/>
  </conditionalFormatting>
  <conditionalFormatting sqref="F36">
    <cfRule type="duplicateValues" priority="136" dxfId="0"/>
  </conditionalFormatting>
  <conditionalFormatting sqref="G36">
    <cfRule type="duplicateValues" priority="139" dxfId="0"/>
  </conditionalFormatting>
  <conditionalFormatting sqref="A37">
    <cfRule type="duplicateValues" priority="141" dxfId="0"/>
  </conditionalFormatting>
  <conditionalFormatting sqref="B37">
    <cfRule type="duplicateValues" priority="142" dxfId="0"/>
  </conditionalFormatting>
  <conditionalFormatting sqref="F37">
    <cfRule type="duplicateValues" priority="144" dxfId="0"/>
  </conditionalFormatting>
  <conditionalFormatting sqref="G37">
    <cfRule type="duplicateValues" priority="143" dxfId="0"/>
  </conditionalFormatting>
  <conditionalFormatting sqref="A40">
    <cfRule type="duplicateValues" priority="234" dxfId="0"/>
  </conditionalFormatting>
  <conditionalFormatting sqref="A41">
    <cfRule type="duplicateValues" priority="212" dxfId="0"/>
  </conditionalFormatting>
  <conditionalFormatting sqref="B41">
    <cfRule type="duplicateValues" priority="213" dxfId="0"/>
  </conditionalFormatting>
  <conditionalFormatting sqref="A42">
    <cfRule type="duplicateValues" priority="233" dxfId="0"/>
  </conditionalFormatting>
  <conditionalFormatting sqref="F42">
    <cfRule type="duplicateValues" priority="197" dxfId="0"/>
  </conditionalFormatting>
  <conditionalFormatting sqref="G42">
    <cfRule type="duplicateValues" priority="195" dxfId="0"/>
  </conditionalFormatting>
  <conditionalFormatting sqref="A43">
    <cfRule type="duplicateValues" priority="232" dxfId="0"/>
  </conditionalFormatting>
  <conditionalFormatting sqref="F43">
    <cfRule type="duplicateValues" priority="196" dxfId="0"/>
  </conditionalFormatting>
  <conditionalFormatting sqref="G43">
    <cfRule type="duplicateValues" priority="194" dxfId="0"/>
  </conditionalFormatting>
  <conditionalFormatting sqref="A44">
    <cfRule type="duplicateValues" priority="216" dxfId="0"/>
  </conditionalFormatting>
  <conditionalFormatting sqref="B44">
    <cfRule type="duplicateValues" priority="217" dxfId="0"/>
  </conditionalFormatting>
  <conditionalFormatting sqref="A45">
    <cfRule type="duplicateValues" priority="231" dxfId="0"/>
  </conditionalFormatting>
  <conditionalFormatting sqref="A46">
    <cfRule type="duplicateValues" priority="182" dxfId="0"/>
  </conditionalFormatting>
  <conditionalFormatting sqref="B46">
    <cfRule type="duplicateValues" priority="183" dxfId="0"/>
  </conditionalFormatting>
  <conditionalFormatting sqref="F46">
    <cfRule type="duplicateValues" priority="185" dxfId="0"/>
  </conditionalFormatting>
  <conditionalFormatting sqref="G46">
    <cfRule type="duplicateValues" priority="184" dxfId="0"/>
  </conditionalFormatting>
  <conditionalFormatting sqref="A47">
    <cfRule type="duplicateValues" priority="230" dxfId="0"/>
  </conditionalFormatting>
  <conditionalFormatting sqref="A48">
    <cfRule type="duplicateValues" priority="229" dxfId="0"/>
  </conditionalFormatting>
  <conditionalFormatting sqref="A49">
    <cfRule type="duplicateValues" priority="228" dxfId="0"/>
  </conditionalFormatting>
  <conditionalFormatting sqref="A50">
    <cfRule type="duplicateValues" priority="220" dxfId="0"/>
  </conditionalFormatting>
  <conditionalFormatting sqref="B50">
    <cfRule type="duplicateValues" priority="221" dxfId="0"/>
  </conditionalFormatting>
  <conditionalFormatting sqref="A51">
    <cfRule type="duplicateValues" priority="154" dxfId="0"/>
  </conditionalFormatting>
  <conditionalFormatting sqref="B51">
    <cfRule type="duplicateValues" priority="155" dxfId="0"/>
  </conditionalFormatting>
  <conditionalFormatting sqref="F51">
    <cfRule type="duplicateValues" priority="153" dxfId="0"/>
  </conditionalFormatting>
  <conditionalFormatting sqref="G51">
    <cfRule type="duplicateValues" priority="156" dxfId="0"/>
  </conditionalFormatting>
  <conditionalFormatting sqref="B52">
    <cfRule type="duplicateValues" priority="151" dxfId="0"/>
  </conditionalFormatting>
  <conditionalFormatting sqref="F52">
    <cfRule type="duplicateValues" priority="149" dxfId="0"/>
  </conditionalFormatting>
  <conditionalFormatting sqref="G52">
    <cfRule type="duplicateValues" priority="152" dxfId="0"/>
  </conditionalFormatting>
  <conditionalFormatting sqref="B53">
    <cfRule type="duplicateValues" priority="134" dxfId="0"/>
  </conditionalFormatting>
  <conditionalFormatting sqref="F53">
    <cfRule type="duplicateValues" priority="131" dxfId="0"/>
  </conditionalFormatting>
  <conditionalFormatting sqref="G53">
    <cfRule type="duplicateValues" priority="135" dxfId="0"/>
  </conditionalFormatting>
  <conditionalFormatting sqref="A54">
    <cfRule type="duplicateValues" priority="130" dxfId="0"/>
  </conditionalFormatting>
  <conditionalFormatting sqref="F54">
    <cfRule type="duplicateValues" priority="127" dxfId="0"/>
  </conditionalFormatting>
  <conditionalFormatting sqref="G54">
    <cfRule type="duplicateValues" priority="129" dxfId="0"/>
  </conditionalFormatting>
  <conditionalFormatting sqref="A55">
    <cfRule type="duplicateValues" priority="126" dxfId="0"/>
  </conditionalFormatting>
  <conditionalFormatting sqref="F55">
    <cfRule type="duplicateValues" priority="123" dxfId="0"/>
  </conditionalFormatting>
  <conditionalFormatting sqref="G55">
    <cfRule type="duplicateValues" priority="125" dxfId="0"/>
  </conditionalFormatting>
  <conditionalFormatting sqref="A56">
    <cfRule type="duplicateValues" priority="121" dxfId="0"/>
  </conditionalFormatting>
  <conditionalFormatting sqref="B56">
    <cfRule type="duplicateValues" priority="122" dxfId="0"/>
  </conditionalFormatting>
  <conditionalFormatting sqref="F56">
    <cfRule type="duplicateValues" priority="119" dxfId="0"/>
  </conditionalFormatting>
  <conditionalFormatting sqref="G56">
    <cfRule type="duplicateValues" priority="120" dxfId="0"/>
  </conditionalFormatting>
  <conditionalFormatting sqref="A57">
    <cfRule type="duplicateValues" priority="117" dxfId="0"/>
  </conditionalFormatting>
  <conditionalFormatting sqref="B57">
    <cfRule type="duplicateValues" priority="118" dxfId="0"/>
  </conditionalFormatting>
  <conditionalFormatting sqref="F57">
    <cfRule type="duplicateValues" priority="115" dxfId="0"/>
  </conditionalFormatting>
  <conditionalFormatting sqref="G57">
    <cfRule type="duplicateValues" priority="116" dxfId="0"/>
  </conditionalFormatting>
  <conditionalFormatting sqref="A58">
    <cfRule type="duplicateValues" priority="113" dxfId="0"/>
  </conditionalFormatting>
  <conditionalFormatting sqref="B58">
    <cfRule type="duplicateValues" priority="114" dxfId="0"/>
  </conditionalFormatting>
  <conditionalFormatting sqref="F58">
    <cfRule type="duplicateValues" priority="111" dxfId="0"/>
  </conditionalFormatting>
  <conditionalFormatting sqref="G58">
    <cfRule type="duplicateValues" priority="112" dxfId="0"/>
  </conditionalFormatting>
  <conditionalFormatting sqref="A59">
    <cfRule type="duplicateValues" priority="109" dxfId="0"/>
  </conditionalFormatting>
  <conditionalFormatting sqref="B59">
    <cfRule type="duplicateValues" priority="110" dxfId="0"/>
  </conditionalFormatting>
  <conditionalFormatting sqref="F59">
    <cfRule type="duplicateValues" priority="107" dxfId="0"/>
  </conditionalFormatting>
  <conditionalFormatting sqref="G59">
    <cfRule type="duplicateValues" priority="108" dxfId="0"/>
  </conditionalFormatting>
  <conditionalFormatting sqref="A60">
    <cfRule type="duplicateValues" priority="105" dxfId="0"/>
  </conditionalFormatting>
  <conditionalFormatting sqref="B60">
    <cfRule type="duplicateValues" priority="106" dxfId="0"/>
  </conditionalFormatting>
  <conditionalFormatting sqref="F60">
    <cfRule type="duplicateValues" priority="103" dxfId="0"/>
  </conditionalFormatting>
  <conditionalFormatting sqref="G60">
    <cfRule type="duplicateValues" priority="104" dxfId="0"/>
  </conditionalFormatting>
  <conditionalFormatting sqref="A61">
    <cfRule type="duplicateValues" priority="101" dxfId="0"/>
  </conditionalFormatting>
  <conditionalFormatting sqref="B61">
    <cfRule type="duplicateValues" priority="102" dxfId="0"/>
  </conditionalFormatting>
  <conditionalFormatting sqref="F61">
    <cfRule type="duplicateValues" priority="99" dxfId="0"/>
  </conditionalFormatting>
  <conditionalFormatting sqref="G61">
    <cfRule type="duplicateValues" priority="100" dxfId="0"/>
  </conditionalFormatting>
  <conditionalFormatting sqref="A62">
    <cfRule type="duplicateValues" priority="97" dxfId="0"/>
  </conditionalFormatting>
  <conditionalFormatting sqref="B62">
    <cfRule type="duplicateValues" priority="98" dxfId="0"/>
  </conditionalFormatting>
  <conditionalFormatting sqref="F62">
    <cfRule type="duplicateValues" priority="95" dxfId="0"/>
  </conditionalFormatting>
  <conditionalFormatting sqref="G62">
    <cfRule type="duplicateValues" priority="96" dxfId="0"/>
  </conditionalFormatting>
  <conditionalFormatting sqref="A63">
    <cfRule type="duplicateValues" priority="93" dxfId="0"/>
  </conditionalFormatting>
  <conditionalFormatting sqref="B63">
    <cfRule type="duplicateValues" priority="94" dxfId="0"/>
  </conditionalFormatting>
  <conditionalFormatting sqref="F63">
    <cfRule type="duplicateValues" priority="91" dxfId="0"/>
  </conditionalFormatting>
  <conditionalFormatting sqref="G63">
    <cfRule type="duplicateValues" priority="92" dxfId="0"/>
  </conditionalFormatting>
  <conditionalFormatting sqref="A70">
    <cfRule type="duplicateValues" priority="85" dxfId="0"/>
  </conditionalFormatting>
  <conditionalFormatting sqref="B70">
    <cfRule type="duplicateValues" priority="86" dxfId="0"/>
  </conditionalFormatting>
  <conditionalFormatting sqref="F70">
    <cfRule type="duplicateValues" priority="83" dxfId="0"/>
  </conditionalFormatting>
  <conditionalFormatting sqref="G70">
    <cfRule type="duplicateValues" priority="84" dxfId="0"/>
  </conditionalFormatting>
  <conditionalFormatting sqref="A71">
    <cfRule type="duplicateValues" priority="81" dxfId="0"/>
  </conditionalFormatting>
  <conditionalFormatting sqref="B71">
    <cfRule type="duplicateValues" priority="82" dxfId="0"/>
  </conditionalFormatting>
  <conditionalFormatting sqref="F71">
    <cfRule type="duplicateValues" priority="79" dxfId="0"/>
  </conditionalFormatting>
  <conditionalFormatting sqref="G71">
    <cfRule type="duplicateValues" priority="80" dxfId="0"/>
  </conditionalFormatting>
  <conditionalFormatting sqref="A72">
    <cfRule type="duplicateValues" priority="77" dxfId="0"/>
  </conditionalFormatting>
  <conditionalFormatting sqref="B72">
    <cfRule type="duplicateValues" priority="78" dxfId="0"/>
  </conditionalFormatting>
  <conditionalFormatting sqref="F72">
    <cfRule type="duplicateValues" priority="75" dxfId="0"/>
  </conditionalFormatting>
  <conditionalFormatting sqref="G72">
    <cfRule type="duplicateValues" priority="76" dxfId="0"/>
  </conditionalFormatting>
  <conditionalFormatting sqref="A73">
    <cfRule type="duplicateValues" priority="73" dxfId="0"/>
  </conditionalFormatting>
  <conditionalFormatting sqref="B73">
    <cfRule type="duplicateValues" priority="74" dxfId="0"/>
  </conditionalFormatting>
  <conditionalFormatting sqref="F73">
    <cfRule type="duplicateValues" priority="71" dxfId="0"/>
  </conditionalFormatting>
  <conditionalFormatting sqref="G73">
    <cfRule type="duplicateValues" priority="72" dxfId="0"/>
  </conditionalFormatting>
  <conditionalFormatting sqref="A74">
    <cfRule type="duplicateValues" priority="69" dxfId="0"/>
  </conditionalFormatting>
  <conditionalFormatting sqref="B74">
    <cfRule type="duplicateValues" priority="70" dxfId="0"/>
  </conditionalFormatting>
  <conditionalFormatting sqref="F74">
    <cfRule type="duplicateValues" priority="67" dxfId="0"/>
  </conditionalFormatting>
  <conditionalFormatting sqref="G74">
    <cfRule type="duplicateValues" priority="68" dxfId="0"/>
  </conditionalFormatting>
  <conditionalFormatting sqref="A75">
    <cfRule type="duplicateValues" priority="65" dxfId="0"/>
  </conditionalFormatting>
  <conditionalFormatting sqref="B75">
    <cfRule type="duplicateValues" priority="66" dxfId="0"/>
  </conditionalFormatting>
  <conditionalFormatting sqref="F75">
    <cfRule type="duplicateValues" priority="63" dxfId="0"/>
  </conditionalFormatting>
  <conditionalFormatting sqref="G75">
    <cfRule type="duplicateValues" priority="64" dxfId="0"/>
  </conditionalFormatting>
  <conditionalFormatting sqref="A76">
    <cfRule type="duplicateValues" priority="61" dxfId="0"/>
  </conditionalFormatting>
  <conditionalFormatting sqref="B76">
    <cfRule type="duplicateValues" priority="62" dxfId="0"/>
  </conditionalFormatting>
  <conditionalFormatting sqref="F76">
    <cfRule type="duplicateValues" priority="59" dxfId="0"/>
  </conditionalFormatting>
  <conditionalFormatting sqref="G76">
    <cfRule type="duplicateValues" priority="60" dxfId="0"/>
  </conditionalFormatting>
  <conditionalFormatting sqref="A77">
    <cfRule type="duplicateValues" priority="57" dxfId="0"/>
  </conditionalFormatting>
  <conditionalFormatting sqref="B77">
    <cfRule type="duplicateValues" priority="58" dxfId="0"/>
  </conditionalFormatting>
  <conditionalFormatting sqref="F77">
    <cfRule type="duplicateValues" priority="55" dxfId="0"/>
  </conditionalFormatting>
  <conditionalFormatting sqref="G77">
    <cfRule type="duplicateValues" priority="52" dxfId="0"/>
  </conditionalFormatting>
  <conditionalFormatting sqref="A78">
    <cfRule type="duplicateValues" priority="50" dxfId="0"/>
  </conditionalFormatting>
  <conditionalFormatting sqref="B78">
    <cfRule type="duplicateValues" priority="51" dxfId="0"/>
  </conditionalFormatting>
  <conditionalFormatting sqref="F78">
    <cfRule type="duplicateValues" priority="49" dxfId="0"/>
  </conditionalFormatting>
  <conditionalFormatting sqref="G78">
    <cfRule type="duplicateValues" priority="48" dxfId="0"/>
  </conditionalFormatting>
  <conditionalFormatting sqref="A79">
    <cfRule type="duplicateValues" priority="46" dxfId="0"/>
  </conditionalFormatting>
  <conditionalFormatting sqref="B79">
    <cfRule type="duplicateValues" priority="47" dxfId="0"/>
  </conditionalFormatting>
  <conditionalFormatting sqref="F79">
    <cfRule type="duplicateValues" priority="45" dxfId="0"/>
  </conditionalFormatting>
  <conditionalFormatting sqref="G79">
    <cfRule type="duplicateValues" priority="44" dxfId="0"/>
  </conditionalFormatting>
  <conditionalFormatting sqref="A80">
    <cfRule type="duplicateValues" priority="42" dxfId="0"/>
  </conditionalFormatting>
  <conditionalFormatting sqref="B80">
    <cfRule type="duplicateValues" priority="43" dxfId="0"/>
  </conditionalFormatting>
  <conditionalFormatting sqref="F80">
    <cfRule type="duplicateValues" priority="41" dxfId="0"/>
  </conditionalFormatting>
  <conditionalFormatting sqref="G80">
    <cfRule type="duplicateValues" priority="40" dxfId="0"/>
  </conditionalFormatting>
  <conditionalFormatting sqref="A81">
    <cfRule type="duplicateValues" priority="38" dxfId="0"/>
  </conditionalFormatting>
  <conditionalFormatting sqref="B81">
    <cfRule type="duplicateValues" priority="39" dxfId="0"/>
  </conditionalFormatting>
  <conditionalFormatting sqref="F81">
    <cfRule type="duplicateValues" priority="37" dxfId="0"/>
  </conditionalFormatting>
  <conditionalFormatting sqref="G81">
    <cfRule type="duplicateValues" priority="36" dxfId="0"/>
  </conditionalFormatting>
  <conditionalFormatting sqref="A82">
    <cfRule type="duplicateValues" priority="33" dxfId="0"/>
  </conditionalFormatting>
  <conditionalFormatting sqref="B82">
    <cfRule type="duplicateValues" priority="34" dxfId="0"/>
  </conditionalFormatting>
  <conditionalFormatting sqref="F82">
    <cfRule type="duplicateValues" priority="32" dxfId="0"/>
  </conditionalFormatting>
  <conditionalFormatting sqref="G82">
    <cfRule type="duplicateValues" priority="31" dxfId="0"/>
  </conditionalFormatting>
  <conditionalFormatting sqref="B83">
    <cfRule type="duplicateValues" priority="30" dxfId="0"/>
  </conditionalFormatting>
  <conditionalFormatting sqref="F83">
    <cfRule type="duplicateValues" priority="28" dxfId="0"/>
  </conditionalFormatting>
  <conditionalFormatting sqref="G83">
    <cfRule type="duplicateValues" priority="27" dxfId="0"/>
  </conditionalFormatting>
  <conditionalFormatting sqref="B84">
    <cfRule type="duplicateValues" priority="26" dxfId="0"/>
  </conditionalFormatting>
  <conditionalFormatting sqref="F84">
    <cfRule type="duplicateValues" priority="24" dxfId="0"/>
  </conditionalFormatting>
  <conditionalFormatting sqref="G84">
    <cfRule type="duplicateValues" priority="23" dxfId="0"/>
  </conditionalFormatting>
  <conditionalFormatting sqref="B85">
    <cfRule type="duplicateValues" priority="21" dxfId="0"/>
  </conditionalFormatting>
  <conditionalFormatting sqref="F85">
    <cfRule type="duplicateValues" priority="20" dxfId="0"/>
  </conditionalFormatting>
  <conditionalFormatting sqref="G85">
    <cfRule type="duplicateValues" priority="19" dxfId="0"/>
  </conditionalFormatting>
  <conditionalFormatting sqref="B86">
    <cfRule type="duplicateValues" priority="17" dxfId="0"/>
  </conditionalFormatting>
  <conditionalFormatting sqref="F86">
    <cfRule type="duplicateValues" priority="16" dxfId="0"/>
  </conditionalFormatting>
  <conditionalFormatting sqref="G86">
    <cfRule type="duplicateValues" priority="15" dxfId="0"/>
  </conditionalFormatting>
  <conditionalFormatting sqref="A87">
    <cfRule type="duplicateValues" priority="11" dxfId="0"/>
  </conditionalFormatting>
  <conditionalFormatting sqref="B87">
    <cfRule type="duplicateValues" priority="10" dxfId="0"/>
  </conditionalFormatting>
  <conditionalFormatting sqref="F87">
    <cfRule type="duplicateValues" priority="9" dxfId="0"/>
  </conditionalFormatting>
  <conditionalFormatting sqref="G87">
    <cfRule type="duplicateValues" priority="8" dxfId="0"/>
  </conditionalFormatting>
  <conditionalFormatting sqref="A88">
    <cfRule type="duplicateValues" priority="7" dxfId="0"/>
  </conditionalFormatting>
  <conditionalFormatting sqref="B88">
    <cfRule type="duplicateValues" priority="6" dxfId="0"/>
  </conditionalFormatting>
  <conditionalFormatting sqref="F88">
    <cfRule type="duplicateValues" priority="5" dxfId="0"/>
  </conditionalFormatting>
  <conditionalFormatting sqref="A89">
    <cfRule type="duplicateValues" priority="3" dxfId="0"/>
  </conditionalFormatting>
  <conditionalFormatting sqref="B89">
    <cfRule type="duplicateValues" priority="2" dxfId="0"/>
  </conditionalFormatting>
  <conditionalFormatting sqref="F89">
    <cfRule type="duplicateValues" priority="1" dxfId="0"/>
  </conditionalFormatting>
  <conditionalFormatting sqref="A20:A21">
    <cfRule type="duplicateValues" priority="222" dxfId="0"/>
  </conditionalFormatting>
  <conditionalFormatting sqref="A38:A39">
    <cfRule type="duplicateValues" priority="226" dxfId="0"/>
  </conditionalFormatting>
  <conditionalFormatting sqref="A52:A53">
    <cfRule type="duplicateValues" priority="150" dxfId="0"/>
  </conditionalFormatting>
  <conditionalFormatting sqref="A64:A69">
    <cfRule type="duplicateValues" priority="89" dxfId="0"/>
  </conditionalFormatting>
  <conditionalFormatting sqref="A83:A84">
    <cfRule type="duplicateValues" priority="29" dxfId="0"/>
  </conditionalFormatting>
  <conditionalFormatting sqref="A85:A86">
    <cfRule type="duplicateValues" priority="22" dxfId="0"/>
  </conditionalFormatting>
  <conditionalFormatting sqref="B38:B39">
    <cfRule type="duplicateValues" priority="227" dxfId="0"/>
  </conditionalFormatting>
  <conditionalFormatting sqref="B54:B55">
    <cfRule type="duplicateValues" priority="128" dxfId="0"/>
  </conditionalFormatting>
  <conditionalFormatting sqref="B64:B69">
    <cfRule type="duplicateValues" priority="90" dxfId="0"/>
  </conditionalFormatting>
  <conditionalFormatting sqref="F64:F69">
    <cfRule type="duplicateValues" priority="87" dxfId="0"/>
  </conditionalFormatting>
  <conditionalFormatting sqref="G64:G69">
    <cfRule type="duplicateValues" priority="88" dxfId="0"/>
  </conditionalFormatting>
  <conditionalFormatting sqref="A7:B7 B8:B12 B14:B17 B26 B29:B31 B35 B40 B42:B43 B45 B47:B49">
    <cfRule type="duplicateValues" priority="249" dxfId="0"/>
  </conditionalFormatting>
  <conditionalFormatting sqref="F7:F12 F14:F15 F18:F21 F26 F28:F31 F35 F38:F41 F44:F45 F47:F50">
    <cfRule type="duplicateValues" priority="251" dxfId="0"/>
  </conditionalFormatting>
  <conditionalFormatting sqref="G7:G12 G14:G15 G18:G21 G26 G28:G31 G35 G38:G41 G44:G45 G47:G50">
    <cfRule type="duplicateValues" priority="250" dxfId="0"/>
  </conditionalFormatting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B77"/>
  <sheetViews>
    <sheetView topLeftCell="A43" workbookViewId="0">
      <selection activeCell="B78" sqref="B78"/>
    </sheetView>
  </sheetViews>
  <sheetFormatPr baseColWidth="8" defaultColWidth="9" defaultRowHeight="13.5"/>
  <sheetData>
    <row r="2">
      <c r="A2" s="1" t="n">
        <v>112028</v>
      </c>
      <c r="B2" s="1" t="inlineStr">
        <is>
          <t>战桃丸</t>
        </is>
      </c>
    </row>
    <row r="3">
      <c r="A3" s="1" t="n">
        <v>113001</v>
      </c>
      <c r="B3" s="1" t="inlineStr">
        <is>
          <t>沙·鳄鱼</t>
        </is>
      </c>
    </row>
    <row r="4">
      <c r="A4" s="1" t="n">
        <v>113002</v>
      </c>
      <c r="B4" s="1" t="inlineStr">
        <is>
          <t>艾尼路</t>
        </is>
      </c>
    </row>
    <row r="5">
      <c r="A5" s="1" t="n">
        <v>113003</v>
      </c>
      <c r="B5" s="1" t="inlineStr">
        <is>
          <t>青雉</t>
        </is>
      </c>
    </row>
    <row r="6">
      <c r="A6" s="1" t="n">
        <v>113004</v>
      </c>
      <c r="B6" s="1" t="inlineStr">
        <is>
          <t>戈普</t>
        </is>
      </c>
    </row>
    <row r="7">
      <c r="A7" s="1" t="n">
        <v>113005</v>
      </c>
      <c r="B7" s="1" t="inlineStr">
        <is>
          <t>莫利亚</t>
        </is>
      </c>
    </row>
    <row r="8">
      <c r="A8" s="1" t="n">
        <v>113006</v>
      </c>
      <c r="B8" s="1" t="inlineStr">
        <is>
          <t>大熊</t>
        </is>
      </c>
    </row>
    <row r="9">
      <c r="A9" s="1" t="n">
        <v>113007</v>
      </c>
      <c r="B9" s="1" t="inlineStr">
        <is>
          <t>黄猿</t>
        </is>
      </c>
    </row>
    <row r="10">
      <c r="A10" s="1" t="n">
        <v>113008</v>
      </c>
      <c r="B10" s="1" t="inlineStr">
        <is>
          <t>艾斯</t>
        </is>
      </c>
    </row>
    <row r="11">
      <c r="A11" s="1" t="n">
        <v>113009</v>
      </c>
      <c r="B11" s="1" t="inlineStr">
        <is>
          <t>赤犬</t>
        </is>
      </c>
    </row>
    <row r="12">
      <c r="A12" s="1" t="n">
        <v>113010</v>
      </c>
      <c r="B12" s="1" t="inlineStr">
        <is>
          <t>米霍克</t>
        </is>
      </c>
    </row>
    <row r="13">
      <c r="A13" s="1" t="n">
        <v>113011</v>
      </c>
      <c r="B13" s="1" t="inlineStr">
        <is>
          <t>鲁兹</t>
        </is>
      </c>
    </row>
    <row r="14">
      <c r="A14" s="1" t="n">
        <v>113012</v>
      </c>
      <c r="B14" s="1" t="inlineStr">
        <is>
          <t>甚平</t>
        </is>
      </c>
    </row>
    <row r="15">
      <c r="A15" s="1" t="n">
        <v>113013</v>
      </c>
      <c r="B15" s="1" t="inlineStr">
        <is>
          <t>汉库珂</t>
        </is>
      </c>
    </row>
    <row r="16">
      <c r="A16" s="1" t="n">
        <v>113014</v>
      </c>
      <c r="B16" s="1" t="inlineStr">
        <is>
          <t>罗</t>
        </is>
      </c>
    </row>
    <row r="17">
      <c r="A17" s="1" t="n">
        <v>113015</v>
      </c>
      <c r="B17" s="1" t="inlineStr">
        <is>
          <t>基德</t>
        </is>
      </c>
    </row>
    <row r="18">
      <c r="A18" s="1" t="n">
        <v>113016</v>
      </c>
      <c r="B18" s="1" t="inlineStr">
        <is>
          <t>雷利</t>
        </is>
      </c>
    </row>
    <row r="19">
      <c r="A19" s="1" t="n">
        <v>113017</v>
      </c>
      <c r="B19" s="1" t="inlineStr">
        <is>
          <t>战国</t>
        </is>
      </c>
    </row>
    <row r="20">
      <c r="A20" s="1" t="n">
        <v>113018</v>
      </c>
      <c r="B20" s="1" t="inlineStr">
        <is>
          <t>麦哲伦</t>
        </is>
      </c>
    </row>
    <row r="21">
      <c r="A21" s="1" t="n">
        <v>113019</v>
      </c>
      <c r="B21" s="1" t="inlineStr">
        <is>
          <t>伊娃科夫</t>
        </is>
      </c>
    </row>
    <row r="22">
      <c r="A22" s="1" t="n">
        <v>113020</v>
      </c>
      <c r="B22" s="1" t="inlineStr">
        <is>
          <t>乔兹</t>
        </is>
      </c>
    </row>
    <row r="23">
      <c r="A23" s="1" t="n">
        <v>113021</v>
      </c>
      <c r="B23" s="1" t="inlineStr">
        <is>
          <t>白胡子</t>
        </is>
      </c>
    </row>
    <row r="24">
      <c r="A24" s="1" t="n">
        <v>113022</v>
      </c>
      <c r="B24" s="1" t="inlineStr">
        <is>
          <t>马尔高</t>
        </is>
      </c>
    </row>
    <row r="25">
      <c r="A25" s="1" t="n">
        <v>113023</v>
      </c>
      <c r="B25" s="1" t="inlineStr">
        <is>
          <t>比斯塔</t>
        </is>
      </c>
    </row>
    <row r="26">
      <c r="A26" s="1" t="n">
        <v>113024</v>
      </c>
      <c r="B26" s="1" t="inlineStr">
        <is>
          <t>杰克斯</t>
        </is>
      </c>
    </row>
    <row r="27">
      <c r="A27" s="1" t="n">
        <v>113025</v>
      </c>
      <c r="B27" s="1" t="inlineStr">
        <is>
          <t>新世界撒谎布</t>
        </is>
      </c>
    </row>
    <row r="28">
      <c r="A28" s="1" t="n">
        <v>113026</v>
      </c>
      <c r="B28" s="1" t="inlineStr">
        <is>
          <t>新世界佐罗</t>
        </is>
      </c>
    </row>
    <row r="29">
      <c r="A29" s="1" t="n">
        <v>113027</v>
      </c>
      <c r="B29" s="1" t="inlineStr">
        <is>
          <t>黑胡子</t>
        </is>
      </c>
    </row>
    <row r="30">
      <c r="A30" s="1" t="n">
        <v>113028</v>
      </c>
      <c r="B30" s="1" t="inlineStr">
        <is>
          <t>新世界奈美</t>
        </is>
      </c>
    </row>
    <row r="31">
      <c r="A31" s="1" t="n">
        <v>113029</v>
      </c>
      <c r="B31" s="1" t="inlineStr">
        <is>
          <t>新世界罗宾</t>
        </is>
      </c>
    </row>
    <row r="32">
      <c r="A32" s="1" t="n">
        <v>113030</v>
      </c>
      <c r="B32" s="1" t="inlineStr">
        <is>
          <t>多弗拉门戈</t>
        </is>
      </c>
    </row>
    <row r="33">
      <c r="A33" s="1" t="n">
        <v>113031</v>
      </c>
      <c r="B33" s="1" t="inlineStr">
        <is>
          <t>新世界路飞</t>
        </is>
      </c>
    </row>
    <row r="34">
      <c r="A34" s="1" t="n">
        <v>113032</v>
      </c>
      <c r="B34" s="1" t="inlineStr">
        <is>
          <t>新世界烟鬼</t>
        </is>
      </c>
    </row>
    <row r="35">
      <c r="A35" s="1" t="n">
        <v>113033</v>
      </c>
      <c r="B35" s="1" t="inlineStr">
        <is>
          <t>新世界塔希米</t>
        </is>
      </c>
    </row>
    <row r="36">
      <c r="A36" s="1" t="n">
        <v>113034</v>
      </c>
      <c r="B36" s="1" t="inlineStr">
        <is>
          <t>锦卫门</t>
        </is>
      </c>
    </row>
    <row r="37">
      <c r="A37" s="1" t="n">
        <v>113035</v>
      </c>
      <c r="B37" s="1" t="inlineStr">
        <is>
          <t>新世界弗兰奇</t>
        </is>
      </c>
    </row>
    <row r="38">
      <c r="A38" s="1" t="n">
        <v>113036</v>
      </c>
      <c r="B38" s="1" t="inlineStr">
        <is>
          <t>新世界布鲁克</t>
        </is>
      </c>
    </row>
    <row r="39">
      <c r="A39" s="1" t="n">
        <v>113037</v>
      </c>
      <c r="B39" s="1" t="inlineStr">
        <is>
          <t>新世界山智</t>
        </is>
      </c>
    </row>
    <row r="40">
      <c r="A40" s="1" t="n">
        <v>113038</v>
      </c>
      <c r="B40" s="1" t="inlineStr">
        <is>
          <t>新世界乔巴</t>
        </is>
      </c>
    </row>
    <row r="41">
      <c r="A41" s="1" t="n">
        <v>113039</v>
      </c>
      <c r="B41" s="1" t="inlineStr">
        <is>
          <t>新世界罗</t>
        </is>
      </c>
    </row>
    <row r="42">
      <c r="A42" s="1" t="n">
        <v>113040</v>
      </c>
      <c r="B42" s="1" t="inlineStr">
        <is>
          <t>卡塔库栗</t>
        </is>
      </c>
    </row>
    <row r="43">
      <c r="A43" s="2" t="n">
        <v>113041</v>
      </c>
      <c r="B43" s="2" t="inlineStr">
        <is>
          <t>凯撒</t>
        </is>
      </c>
    </row>
    <row r="44">
      <c r="A44" s="2" t="n">
        <v>113042</v>
      </c>
      <c r="B44" s="2" t="inlineStr">
        <is>
          <t>萨波</t>
        </is>
      </c>
    </row>
    <row r="45">
      <c r="A45" s="2" t="n">
        <v>113043</v>
      </c>
      <c r="B45" s="2" t="inlineStr">
        <is>
          <t>藤虎</t>
        </is>
      </c>
    </row>
    <row r="46">
      <c r="A46" s="2" t="n">
        <v>113044</v>
      </c>
      <c r="B46" s="2" t="inlineStr">
        <is>
          <t>夏洛特·玲玲</t>
        </is>
      </c>
    </row>
    <row r="47">
      <c r="A47" s="2" t="n">
        <v>113045</v>
      </c>
      <c r="B47" s="2" t="inlineStr">
        <is>
          <t>苏打饼</t>
        </is>
      </c>
    </row>
    <row r="48">
      <c r="A48" s="2" t="n">
        <v>113046</v>
      </c>
      <c r="B48" s="2" t="inlineStr">
        <is>
          <t>奶昔</t>
        </is>
      </c>
    </row>
    <row r="49">
      <c r="A49" s="2" t="n">
        <v>113047</v>
      </c>
      <c r="B49" s="2" t="inlineStr">
        <is>
          <t>凯多</t>
        </is>
      </c>
    </row>
    <row r="50">
      <c r="A50" s="2" t="n">
        <v>113049</v>
      </c>
      <c r="B50" s="2" t="inlineStr">
        <is>
          <t>新世界库赞</t>
        </is>
      </c>
    </row>
    <row r="51">
      <c r="A51" s="2" t="n">
        <v>113050</v>
      </c>
      <c r="B51" s="2" t="inlineStr">
        <is>
          <t>新世界赤犬</t>
        </is>
      </c>
    </row>
    <row r="52">
      <c r="A52" s="2" t="n">
        <v>113051</v>
      </c>
      <c r="B52" s="2" t="inlineStr">
        <is>
          <t>丽久</t>
        </is>
      </c>
    </row>
    <row r="53">
      <c r="A53" s="2" t="n">
        <v>113052</v>
      </c>
      <c r="B53" s="2" t="inlineStr">
        <is>
          <t>新世界鲁兹</t>
        </is>
      </c>
    </row>
    <row r="54">
      <c r="A54" s="2" t="n">
        <v>113053</v>
      </c>
      <c r="B54" s="2" t="inlineStr">
        <is>
          <t>推进城汉库珂</t>
        </is>
      </c>
    </row>
    <row r="55">
      <c r="A55" s="2" t="n">
        <v>113054</v>
      </c>
      <c r="B55" s="2" t="inlineStr">
        <is>
          <t>巴尔托洛梅奥</t>
        </is>
      </c>
    </row>
    <row r="56">
      <c r="A56" s="2" t="n">
        <v>113055</v>
      </c>
      <c r="B56" s="2" t="inlineStr">
        <is>
          <t>新世界马尔高</t>
        </is>
      </c>
    </row>
    <row r="57">
      <c r="A57" s="2" t="n">
        <v>113056</v>
      </c>
      <c r="B57" s="2" t="inlineStr">
        <is>
          <t>新世界米霍克</t>
        </is>
      </c>
    </row>
    <row r="58">
      <c r="A58" s="2" t="n">
        <v>113057</v>
      </c>
      <c r="B58" s="2" t="inlineStr">
        <is>
          <t>糖糖</t>
        </is>
      </c>
    </row>
    <row r="59">
      <c r="A59" s="2" t="n">
        <v>113058</v>
      </c>
      <c r="B59" s="2" t="inlineStr">
        <is>
          <t>凯文迪修</t>
        </is>
      </c>
    </row>
    <row r="60" ht="15.75" customHeight="1" s="10">
      <c r="A60" s="2" t="n">
        <v>113059</v>
      </c>
      <c r="B60" s="3" t="inlineStr">
        <is>
          <t>光月御殿</t>
        </is>
      </c>
    </row>
    <row r="61">
      <c r="A61" s="2" t="n">
        <v>113060</v>
      </c>
      <c r="B61" s="4" t="inlineStr">
        <is>
          <t>青年雷利</t>
        </is>
      </c>
    </row>
    <row r="62">
      <c r="A62" s="2" t="n">
        <v>113061</v>
      </c>
      <c r="B62" s="4" t="inlineStr">
        <is>
          <t>凯罗特</t>
        </is>
      </c>
    </row>
    <row r="63">
      <c r="A63" s="2" t="n">
        <v>113062</v>
      </c>
      <c r="B63" s="4" t="inlineStr">
        <is>
          <t>阿菊</t>
        </is>
      </c>
    </row>
    <row r="64">
      <c r="A64" s="2" t="n">
        <v>113063</v>
      </c>
      <c r="B64" s="4" t="inlineStr">
        <is>
          <t>Baby5</t>
        </is>
      </c>
    </row>
    <row r="65">
      <c r="A65" s="2" t="n">
        <v>113064</v>
      </c>
      <c r="B65" s="4" t="inlineStr">
        <is>
          <t>年轻白胡子</t>
        </is>
      </c>
    </row>
    <row r="66">
      <c r="A66" s="2" t="n">
        <v>113065</v>
      </c>
      <c r="B66" s="4" t="inlineStr">
        <is>
          <t>新世界佩罗娜</t>
        </is>
      </c>
    </row>
    <row r="67">
      <c r="A67" s="5" t="n">
        <v>113066</v>
      </c>
      <c r="B67" s="6" t="inlineStr">
        <is>
          <t>英雄戈普</t>
        </is>
      </c>
    </row>
    <row r="68">
      <c r="A68" s="5" t="n">
        <v>113067</v>
      </c>
      <c r="B68" s="6" t="inlineStr">
        <is>
          <t>新世界黑胡子</t>
        </is>
      </c>
    </row>
    <row r="69">
      <c r="A69" s="5" t="n">
        <v>113068</v>
      </c>
      <c r="B69" s="6" t="inlineStr">
        <is>
          <t>犬岚</t>
        </is>
      </c>
    </row>
    <row r="70">
      <c r="A70" s="5" t="n">
        <v>113069</v>
      </c>
      <c r="B70" s="6" t="inlineStr">
        <is>
          <t>猫蝮蛇</t>
        </is>
      </c>
    </row>
    <row r="71">
      <c r="A71" s="5" t="n">
        <v>113070</v>
      </c>
      <c r="B71" s="6" t="inlineStr">
        <is>
          <t>布琳</t>
        </is>
      </c>
    </row>
    <row r="72">
      <c r="A72" s="5" t="n">
        <v>113071</v>
      </c>
      <c r="B72" s="6" t="inlineStr">
        <is>
          <t>霍金斯</t>
        </is>
      </c>
    </row>
    <row r="73">
      <c r="A73" s="5" t="n">
        <v>113072</v>
      </c>
      <c r="B73" s="6" t="inlineStr">
        <is>
          <t>德雷克</t>
        </is>
      </c>
    </row>
    <row r="74">
      <c r="A74" s="5" t="n">
        <v>113073</v>
      </c>
      <c r="B74" s="6" t="inlineStr">
        <is>
          <t>希流</t>
        </is>
      </c>
    </row>
    <row r="75">
      <c r="A75" s="5" t="n">
        <v>113076</v>
      </c>
      <c r="B75" s="6" t="inlineStr">
        <is>
          <t>大将战国</t>
        </is>
      </c>
    </row>
    <row r="76">
      <c r="A76" s="7" t="n">
        <v>113078</v>
      </c>
      <c r="B76" s="7" t="inlineStr">
        <is>
          <t>杰克</t>
        </is>
      </c>
    </row>
    <row r="77">
      <c r="A77" s="7" t="n">
        <v>119999</v>
      </c>
      <c r="B77" s="7" t="inlineStr">
        <is>
          <t>未来岛黑胡子</t>
        </is>
      </c>
    </row>
  </sheetData>
  <conditionalFormatting sqref="A2">
    <cfRule type="duplicateValues" priority="9" dxfId="1"/>
  </conditionalFormatting>
  <conditionalFormatting sqref="A3">
    <cfRule type="duplicateValues" priority="17" dxfId="1"/>
  </conditionalFormatting>
  <conditionalFormatting sqref="A7">
    <cfRule type="duplicateValues" priority="14" dxfId="1"/>
  </conditionalFormatting>
  <conditionalFormatting sqref="A9">
    <cfRule type="duplicateValues" priority="15" dxfId="1"/>
  </conditionalFormatting>
  <conditionalFormatting sqref="A18">
    <cfRule type="duplicateValues" priority="12" dxfId="1"/>
  </conditionalFormatting>
  <conditionalFormatting sqref="A20">
    <cfRule type="duplicateValues" priority="10" dxfId="1"/>
  </conditionalFormatting>
  <conditionalFormatting sqref="A23">
    <cfRule type="duplicateValues" priority="6" dxfId="1"/>
  </conditionalFormatting>
  <conditionalFormatting sqref="A31">
    <cfRule type="duplicateValues" priority="3" dxfId="1"/>
    <cfRule type="duplicateValues" priority="4" dxfId="1"/>
  </conditionalFormatting>
  <conditionalFormatting sqref="A21:A22">
    <cfRule type="duplicateValues" priority="11" dxfId="1"/>
  </conditionalFormatting>
  <conditionalFormatting sqref="A24:A25">
    <cfRule type="duplicateValues" priority="8" dxfId="1"/>
  </conditionalFormatting>
  <conditionalFormatting sqref="A33:A42">
    <cfRule type="duplicateValues" priority="1" dxfId="1"/>
    <cfRule type="duplicateValues" priority="2" dxfId="1"/>
  </conditionalFormatting>
  <conditionalFormatting sqref="A2:A30 A32">
    <cfRule type="duplicateValues" priority="5" dxfId="1"/>
  </conditionalFormatting>
  <conditionalFormatting sqref="A4:A6 A8 A10:A13 A15 A17 A19">
    <cfRule type="duplicateValues" priority="16" dxfId="1"/>
  </conditionalFormatting>
  <conditionalFormatting sqref="A14 A16">
    <cfRule type="duplicateValues" priority="13" dxfId="1"/>
  </conditionalFormatting>
  <conditionalFormatting sqref="A26:A30 A32">
    <cfRule type="duplicateValues" priority="7" dxfId="1"/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2021-08-05T06:38:00Z</dcterms:created>
  <dcterms:modified xsi:type="dcterms:W3CDTF">2026-03-09T10:04:10Z</dcterms:modified>
  <cp:lastModifiedBy>wangyufei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KSOProductBuildVer" fmtid="{D5CDD505-2E9C-101B-9397-08002B2CF9AE}" pid="2">
    <vt:lpwstr>2052-12.1.0.15374</vt:lpwstr>
  </property>
  <property name="ICV" fmtid="{D5CDD505-2E9C-101B-9397-08002B2CF9AE}" pid="3">
    <vt:lpwstr>C575A9D0B89341939BF2456C70B5C753</vt:lpwstr>
  </property>
</Properties>
</file>