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525" tabRatio="600" firstSheet="0" activeTab="0" autoFilterDateGrouping="1"/>
  </bookViews>
  <sheets>
    <sheet name="Sheet1" sheetId="1" state="visible" r:id="rId1"/>
    <sheet name="计算" sheetId="2" state="visible" r:id="rId2"/>
  </sheets>
  <definedNames/>
  <calcPr calcId="144525" fullCalcOnLoad="1" concurrentCalc="0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宋体"/>
      <color rgb="00000000"/>
      <sz val="11"/>
    </font>
    <font>
      <color rgb="00FF0000"/>
    </font>
  </fonts>
  <fills count="3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6" borderId="5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6" applyAlignment="1">
      <alignment vertical="center"/>
    </xf>
    <xf numFmtId="0" fontId="7" fillId="0" borderId="6" applyAlignment="1">
      <alignment vertical="center"/>
    </xf>
    <xf numFmtId="0" fontId="8" fillId="0" borderId="7" applyAlignment="1">
      <alignment vertical="center"/>
    </xf>
    <xf numFmtId="0" fontId="8" fillId="0" borderId="0" applyAlignment="1">
      <alignment vertical="center"/>
    </xf>
    <xf numFmtId="0" fontId="9" fillId="7" borderId="8" applyAlignment="1">
      <alignment vertical="center"/>
    </xf>
    <xf numFmtId="0" fontId="10" fillId="8" borderId="9" applyAlignment="1">
      <alignment vertical="center"/>
    </xf>
    <xf numFmtId="0" fontId="11" fillId="8" borderId="8" applyAlignment="1">
      <alignment vertical="center"/>
    </xf>
    <xf numFmtId="0" fontId="12" fillId="9" borderId="10" applyAlignment="1">
      <alignment vertical="center"/>
    </xf>
    <xf numFmtId="0" fontId="13" fillId="0" borderId="11" applyAlignment="1">
      <alignment vertical="center"/>
    </xf>
    <xf numFmtId="0" fontId="14" fillId="0" borderId="12" applyAlignment="1">
      <alignment vertical="center"/>
    </xf>
    <xf numFmtId="0" fontId="15" fillId="10" borderId="0" applyAlignment="1">
      <alignment vertical="center"/>
    </xf>
    <xf numFmtId="0" fontId="16" fillId="11" borderId="0" applyAlignment="1">
      <alignment vertical="center"/>
    </xf>
    <xf numFmtId="0" fontId="17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33" borderId="0" applyAlignment="1">
      <alignment vertical="center"/>
    </xf>
    <xf numFmtId="0" fontId="19" fillId="34" borderId="0" applyAlignment="1">
      <alignment vertical="center"/>
    </xf>
    <xf numFmtId="0" fontId="19" fillId="35" borderId="0" applyAlignment="1">
      <alignment vertical="center"/>
    </xf>
    <xf numFmtId="0" fontId="18" fillId="36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vertical="center"/>
    </xf>
    <xf numFmtId="49" fontId="0" fillId="2" borderId="2" applyAlignment="1" pivotButton="0" quotePrefix="0" xfId="0">
      <alignment vertical="center"/>
    </xf>
    <xf numFmtId="49" fontId="0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4" applyAlignment="1" pivotButton="0" quotePrefix="0" xfId="0">
      <alignment vertical="center"/>
    </xf>
    <xf numFmtId="49" fontId="0" fillId="2" borderId="4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0" fillId="2" borderId="2" applyAlignment="1" pivotButton="0" quotePrefix="0" xfId="0">
      <alignment vertical="center" wrapText="1"/>
    </xf>
    <xf numFmtId="0" fontId="0" fillId="2" borderId="4" applyAlignment="1" pivotButton="0" quotePrefix="0" xfId="0">
      <alignment vertical="center" wrapText="1"/>
    </xf>
    <xf numFmtId="0" fontId="0" fillId="2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vertical="center"/>
    </xf>
    <xf numFmtId="49" fontId="0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vertical="center" wrapText="1"/>
    </xf>
    <xf numFmtId="0" fontId="0" fillId="0" borderId="0" pivotButton="0" quotePrefix="0" xfId="0"/>
    <xf numFmtId="0" fontId="22" fillId="37" borderId="1" applyAlignment="1" pivotButton="0" quotePrefix="0" xfId="0">
      <alignment horizontal="center" vertical="center" wrapText="1"/>
    </xf>
    <xf numFmtId="0" fontId="22" fillId="37" borderId="2" applyAlignment="1" pivotButton="0" quotePrefix="0" xfId="0">
      <alignment horizontal="center" vertical="center" wrapText="1"/>
    </xf>
    <xf numFmtId="0" fontId="22" fillId="38" borderId="2" applyAlignment="1" pivotButton="0" quotePrefix="0" xfId="0">
      <alignment vertical="center"/>
    </xf>
    <xf numFmtId="49" fontId="21" fillId="37" borderId="2" applyAlignment="1" pivotButton="0" quotePrefix="0" xfId="0">
      <alignment vertical="center"/>
    </xf>
    <xf numFmtId="49" fontId="21" fillId="37" borderId="2" applyAlignment="1" pivotButton="0" quotePrefix="0" xfId="0">
      <alignment horizontal="center" vertical="center"/>
    </xf>
    <xf numFmtId="0" fontId="21" fillId="37" borderId="2" applyAlignment="1" pivotButton="0" quotePrefix="0" xfId="0">
      <alignment horizontal="center" vertical="center"/>
    </xf>
    <xf numFmtId="0" fontId="21" fillId="37" borderId="2" applyAlignment="1" pivotButton="0" quotePrefix="0" xfId="0">
      <alignment vertical="center" wrapText="1"/>
    </xf>
    <xf numFmtId="0" fontId="0" fillId="37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Administrator</author>
  </authors>
  <commentList>
    <comment ref="C2" authorId="0" shapeId="0">
      <text>
        <t>OutputBundle/UIPicture/NormalIcon/videoRecruit/</t>
      </text>
    </comment>
    <comment ref="D2" authorId="0" shapeId="0">
      <text>
        <t>int,int
如
300,600</t>
      </text>
    </comment>
    <comment ref="E2" authorId="0" shapeId="0">
      <text>
        <t xml:space="preserve">
float</t>
      </text>
    </comment>
    <comment ref="F2" authorId="0" shapeId="0">
      <text>
        <t xml:space="preserve">
float</t>
      </text>
    </comment>
    <comment ref="J2" authorId="0" shapeId="0">
      <text>
        <t xml:space="preserve">
float</t>
      </text>
    </comment>
    <comment ref="K2" authorId="0" shapeId="0">
      <text>
        <t xml:space="preserve">
float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"/>
  <sheetViews>
    <sheetView tabSelected="1" topLeftCell="A74" workbookViewId="0">
      <selection activeCell="M88" sqref="M88"/>
    </sheetView>
  </sheetViews>
  <sheetFormatPr baseColWidth="8" defaultColWidth="9" defaultRowHeight="13.5"/>
  <cols>
    <col width="12.625" customWidth="1" style="22" min="1" max="1"/>
    <col width="12.875" customWidth="1" style="22" min="2" max="2"/>
    <col width="19.375" customWidth="1" style="22" min="3" max="3"/>
    <col width="13" customWidth="1" style="22" min="4" max="4"/>
    <col width="11.2583333333333" customWidth="1" style="22" min="5" max="5"/>
    <col width="13.875" customWidth="1" style="22" min="6" max="6"/>
    <col width="11.625" customWidth="1" style="22" min="7" max="7"/>
    <col width="11.2583333333333" customWidth="1" style="22" min="8" max="8"/>
    <col width="21.375" customWidth="1" style="22" min="9" max="9"/>
    <col width="12" customWidth="1" style="22" min="10" max="10"/>
    <col width="12.625" customWidth="1" style="22" min="11" max="12"/>
    <col width="13" customWidth="1" style="22" min="13" max="13"/>
    <col width="10.875" customWidth="1" style="22" min="14" max="14"/>
    <col width="12.125" customWidth="1" style="22" min="15" max="15"/>
    <col width="11.875" customWidth="1" style="22" min="16" max="16"/>
    <col width="12.625" customWidth="1" style="22" min="22" max="30"/>
  </cols>
  <sheetData>
    <row r="1">
      <c r="A1" s="0" t="n">
        <v>7</v>
      </c>
      <c r="B1" s="0" t="n">
        <v>1</v>
      </c>
      <c r="C1" s="0" t="n">
        <v>9999</v>
      </c>
      <c r="D1" s="0" t="n">
        <v>15</v>
      </c>
    </row>
    <row r="2">
      <c r="A2" s="0" t="inlineStr">
        <is>
          <t>英雄id</t>
        </is>
      </c>
      <c r="B2" s="0" t="inlineStr">
        <is>
          <t>英雄中文名</t>
        </is>
      </c>
      <c r="C2" s="0" t="inlineStr">
        <is>
          <t>人物立绘资源路径</t>
        </is>
      </c>
      <c r="D2" s="0" t="inlineStr">
        <is>
          <t>人物立绘宽高</t>
        </is>
      </c>
      <c r="E2" s="0" t="inlineStr">
        <is>
          <t>位置（左)</t>
        </is>
      </c>
      <c r="F2" s="0" t="inlineStr">
        <is>
          <t>位置（右）</t>
        </is>
      </c>
      <c r="G2" s="0" t="inlineStr">
        <is>
          <t>人物缩放</t>
        </is>
      </c>
      <c r="H2" s="0" t="inlineStr">
        <is>
          <t>人物缩放</t>
        </is>
      </c>
      <c r="I2" s="0" t="inlineStr">
        <is>
          <t>描述</t>
        </is>
      </c>
      <c r="J2" s="0" t="inlineStr">
        <is>
          <t>位置（左）</t>
        </is>
      </c>
      <c r="K2" s="0" t="inlineStr">
        <is>
          <t>位置（右）</t>
        </is>
      </c>
      <c r="L2" s="0" t="inlineStr">
        <is>
          <t>缩放</t>
        </is>
      </c>
      <c r="M2" s="0" t="inlineStr">
        <is>
          <t>缩放</t>
        </is>
      </c>
      <c r="T2" s="0" t="n">
        <v>350</v>
      </c>
      <c r="U2" s="0" t="n">
        <v>1006</v>
      </c>
      <c r="V2" s="0" t="n">
        <v>0.347912524850895</v>
      </c>
      <c r="X2" s="0" t="n">
        <v>470</v>
      </c>
      <c r="Y2" s="0" t="n">
        <v>1006</v>
      </c>
      <c r="Z2" s="0" t="n">
        <v>0.467196819085487</v>
      </c>
    </row>
    <row r="3">
      <c r="A3" s="0" t="inlineStr">
        <is>
          <t>id</t>
        </is>
      </c>
      <c r="C3" s="3" t="inlineStr">
        <is>
          <t>heroPath</t>
        </is>
      </c>
      <c r="D3" s="3" t="inlineStr">
        <is>
          <t>heroWH</t>
        </is>
      </c>
      <c r="E3" s="3" t="inlineStr">
        <is>
          <t>heroPosLeft</t>
        </is>
      </c>
      <c r="F3" s="3" t="inlineStr">
        <is>
          <t>heroPosRight</t>
        </is>
      </c>
      <c r="G3" s="3" t="inlineStr">
        <is>
          <t>heroScaleX</t>
        </is>
      </c>
      <c r="H3" s="3" t="inlineStr">
        <is>
          <t>heroScaleY</t>
        </is>
      </c>
      <c r="I3" s="15" t="inlineStr">
        <is>
          <t>text</t>
        </is>
      </c>
      <c r="J3" s="15" t="inlineStr">
        <is>
          <t>textPosLeft</t>
        </is>
      </c>
      <c r="K3" s="15" t="inlineStr">
        <is>
          <t>textPosRight</t>
        </is>
      </c>
      <c r="L3" s="15" t="inlineStr">
        <is>
          <t>textScaleX</t>
        </is>
      </c>
      <c r="M3" s="15" t="inlineStr">
        <is>
          <t>textScaleY</t>
        </is>
      </c>
      <c r="T3" s="0" t="n">
        <v>660</v>
      </c>
      <c r="U3" s="0" t="n">
        <v>2048</v>
      </c>
      <c r="V3" s="0" t="n">
        <v>0.322265625</v>
      </c>
      <c r="X3" s="0" t="n">
        <v>760</v>
      </c>
      <c r="Y3" s="0" t="n">
        <v>2048</v>
      </c>
      <c r="Z3" s="0" t="n">
        <v>0.37109375</v>
      </c>
    </row>
    <row r="4">
      <c r="A4" s="0" t="inlineStr">
        <is>
          <t>int</t>
        </is>
      </c>
      <c r="C4" s="0" t="inlineStr">
        <is>
          <t>string</t>
        </is>
      </c>
      <c r="D4" s="0" t="inlineStr">
        <is>
          <t>string</t>
        </is>
      </c>
      <c r="E4" s="0" t="inlineStr">
        <is>
          <t>string</t>
        </is>
      </c>
      <c r="F4" s="0" t="inlineStr">
        <is>
          <t>string</t>
        </is>
      </c>
      <c r="G4" s="0" t="inlineStr">
        <is>
          <t>float</t>
        </is>
      </c>
      <c r="H4" s="0" t="inlineStr">
        <is>
          <t>float</t>
        </is>
      </c>
      <c r="I4" s="0" t="inlineStr">
        <is>
          <t>string</t>
        </is>
      </c>
      <c r="J4" s="0" t="inlineStr">
        <is>
          <t>string</t>
        </is>
      </c>
      <c r="K4" s="0" t="inlineStr">
        <is>
          <t>string</t>
        </is>
      </c>
      <c r="L4" s="0" t="inlineStr">
        <is>
          <t>float</t>
        </is>
      </c>
      <c r="M4" s="0" t="inlineStr">
        <is>
          <t>float</t>
        </is>
      </c>
    </row>
    <row r="5">
      <c r="A5" s="0" t="inlineStr">
        <is>
          <t>primary</t>
        </is>
      </c>
      <c r="C5" s="0" t="inlineStr">
        <is>
          <t>none</t>
        </is>
      </c>
      <c r="D5" s="0" t="inlineStr">
        <is>
          <t>none</t>
        </is>
      </c>
      <c r="E5" s="0" t="inlineStr">
        <is>
          <t>none</t>
        </is>
      </c>
      <c r="F5" s="0" t="inlineStr">
        <is>
          <t>none</t>
        </is>
      </c>
      <c r="G5" s="0" t="inlineStr">
        <is>
          <t>none</t>
        </is>
      </c>
      <c r="H5" s="0" t="inlineStr">
        <is>
          <t>none</t>
        </is>
      </c>
      <c r="I5" s="0" t="inlineStr">
        <is>
          <t>none</t>
        </is>
      </c>
      <c r="J5" s="0" t="inlineStr">
        <is>
          <t>none</t>
        </is>
      </c>
      <c r="K5" s="0" t="inlineStr">
        <is>
          <t>none</t>
        </is>
      </c>
      <c r="L5" s="0" t="inlineStr">
        <is>
          <t>none</t>
        </is>
      </c>
      <c r="M5" s="0" t="inlineStr">
        <is>
          <t>none</t>
        </is>
      </c>
    </row>
    <row r="6"/>
    <row r="7" ht="39.95" customHeight="1" s="22">
      <c r="A7" s="4" t="n">
        <v>113020</v>
      </c>
      <c r="B7" s="18" t="inlineStr">
        <is>
          <t>乔兹</t>
        </is>
      </c>
      <c r="C7" s="19" t="inlineStr">
        <is>
          <t>UI_icon_qz</t>
        </is>
      </c>
      <c r="D7" s="7" t="inlineStr">
        <is>
          <t>533,800</t>
        </is>
      </c>
      <c r="E7" s="20" t="inlineStr">
        <is>
          <t>-515,-21</t>
        </is>
      </c>
      <c r="F7" s="20" t="inlineStr">
        <is>
          <t>416,-21</t>
        </is>
      </c>
      <c r="G7" s="9" t="n">
        <v>0.7</v>
      </c>
      <c r="H7" s="9" t="n">
        <v>0.6</v>
      </c>
      <c r="I7" s="21" t="inlineStr">
        <is>
          <t>闪耀于战场的钻石之盾\n     乔兹</t>
        </is>
      </c>
      <c r="J7" s="20" t="inlineStr">
        <is>
          <t>-471,-62</t>
        </is>
      </c>
      <c r="K7" s="20" t="inlineStr">
        <is>
          <t>487,-53</t>
        </is>
      </c>
      <c r="L7" s="20" t="n">
        <v>1</v>
      </c>
      <c r="M7" s="20" t="n">
        <v>1</v>
      </c>
    </row>
    <row r="8" ht="39.95" customHeight="1" s="22">
      <c r="A8" s="4" t="n">
        <v>113021</v>
      </c>
      <c r="B8" s="18" t="inlineStr">
        <is>
          <t>白胡子</t>
        </is>
      </c>
      <c r="C8" s="19" t="inlineStr">
        <is>
          <t>UI_icon_bhz</t>
        </is>
      </c>
      <c r="D8" s="7" t="inlineStr">
        <is>
          <t>533,800</t>
        </is>
      </c>
      <c r="E8" s="20" t="inlineStr">
        <is>
          <t>-558,123</t>
        </is>
      </c>
      <c r="F8" s="20" t="inlineStr">
        <is>
          <t>418,123</t>
        </is>
      </c>
      <c r="G8" s="9" t="n">
        <v>1</v>
      </c>
      <c r="H8" s="9" t="n">
        <v>1</v>
      </c>
      <c r="I8" s="21" t="inlineStr">
        <is>
          <t>屹立旧时代的无双霸者\n    白胡子</t>
        </is>
      </c>
      <c r="J8" s="20" t="inlineStr">
        <is>
          <t>-471,-62</t>
        </is>
      </c>
      <c r="K8" s="20" t="inlineStr">
        <is>
          <t>487,-53</t>
        </is>
      </c>
      <c r="L8" s="20" t="n">
        <v>1</v>
      </c>
      <c r="M8" s="20" t="n">
        <v>1</v>
      </c>
    </row>
    <row r="9" ht="39.95" customHeight="1" s="22">
      <c r="A9" s="4" t="n">
        <v>113022</v>
      </c>
      <c r="B9" s="18" t="inlineStr">
        <is>
          <t>马尔高</t>
        </is>
      </c>
      <c r="C9" s="19" t="inlineStr">
        <is>
          <t>UI_icon_meg</t>
        </is>
      </c>
      <c r="D9" s="7" t="inlineStr">
        <is>
          <t>533,800</t>
        </is>
      </c>
      <c r="E9" s="20" t="inlineStr">
        <is>
          <t>-547,-36</t>
        </is>
      </c>
      <c r="F9" s="20" t="inlineStr">
        <is>
          <t>414,-36</t>
        </is>
      </c>
      <c r="G9" s="9" t="n">
        <v>0.65</v>
      </c>
      <c r="H9" s="9" t="n">
        <v>0.65</v>
      </c>
      <c r="I9" s="21" t="inlineStr">
        <is>
          <t>追寻信仰的青炎不死鸟\n     马尔高</t>
        </is>
      </c>
      <c r="J9" s="20" t="inlineStr">
        <is>
          <t>-471,-62</t>
        </is>
      </c>
      <c r="K9" s="20" t="inlineStr">
        <is>
          <t>487,-53</t>
        </is>
      </c>
      <c r="L9" s="20" t="n">
        <v>1</v>
      </c>
      <c r="M9" s="20" t="n">
        <v>1</v>
      </c>
    </row>
    <row r="10" ht="39.95" customHeight="1" s="22">
      <c r="A10" s="4" t="n">
        <v>113023</v>
      </c>
      <c r="B10" s="18" t="inlineStr">
        <is>
          <t>比斯塔</t>
        </is>
      </c>
      <c r="C10" s="19" t="inlineStr">
        <is>
          <t>UI_icon_bst</t>
        </is>
      </c>
      <c r="D10" s="7" t="inlineStr">
        <is>
          <t>533,800</t>
        </is>
      </c>
      <c r="E10" s="20" t="inlineStr">
        <is>
          <t>-644,-37</t>
        </is>
      </c>
      <c r="F10" s="20" t="inlineStr">
        <is>
          <t>322,-37</t>
        </is>
      </c>
      <c r="G10" s="9" t="n">
        <v>1.4</v>
      </c>
      <c r="H10" s="9" t="n">
        <v>0.7</v>
      </c>
      <c r="I10" s="21" t="inlineStr">
        <is>
          <t>蔷薇花剑的双重轮舞\n    比斯塔</t>
        </is>
      </c>
      <c r="J10" s="20" t="inlineStr">
        <is>
          <t>-471,-62</t>
        </is>
      </c>
      <c r="K10" s="20" t="inlineStr">
        <is>
          <t>487,-53</t>
        </is>
      </c>
      <c r="L10" s="20" t="n">
        <v>1</v>
      </c>
      <c r="M10" s="20" t="n">
        <v>1</v>
      </c>
    </row>
    <row r="11" ht="39.95" customHeight="1" s="22">
      <c r="A11" s="4" t="n">
        <v>113025</v>
      </c>
      <c r="B11" s="18" t="inlineStr">
        <is>
          <t>新世界撒谎布</t>
        </is>
      </c>
      <c r="C11" s="19" t="inlineStr">
        <is>
          <t>UI_icon_xsjshb</t>
        </is>
      </c>
      <c r="D11" s="7" t="inlineStr">
        <is>
          <t>533,800</t>
        </is>
      </c>
      <c r="E11" s="20" t="inlineStr">
        <is>
          <t>-547,-21</t>
        </is>
      </c>
      <c r="F11" s="20" t="inlineStr">
        <is>
          <t>416,-21</t>
        </is>
      </c>
      <c r="G11" s="9" t="n">
        <v>0.45</v>
      </c>
      <c r="H11" s="9" t="n">
        <v>0.6</v>
      </c>
      <c r="I11" s="21" t="inlineStr">
        <is>
          <t>战胜恐惧的海上勇士\n 新世界撒谎布</t>
        </is>
      </c>
      <c r="J11" s="20" t="inlineStr">
        <is>
          <t>-471,-62</t>
        </is>
      </c>
      <c r="K11" s="20" t="inlineStr">
        <is>
          <t>487,-53</t>
        </is>
      </c>
      <c r="L11" s="20" t="n">
        <v>1</v>
      </c>
      <c r="M11" s="20" t="n">
        <v>1</v>
      </c>
    </row>
    <row r="12" ht="39.95" customHeight="1" s="22">
      <c r="A12" s="4" t="n">
        <v>113026</v>
      </c>
      <c r="B12" s="18" t="inlineStr">
        <is>
          <t>新世界佐罗</t>
        </is>
      </c>
      <c r="C12" s="19" t="inlineStr">
        <is>
          <t>UI_icon_xsjzl</t>
        </is>
      </c>
      <c r="D12" s="7" t="inlineStr">
        <is>
          <t>533,800</t>
        </is>
      </c>
      <c r="E12" s="20" t="inlineStr">
        <is>
          <t>-542,-37</t>
        </is>
      </c>
      <c r="F12" s="20" t="inlineStr">
        <is>
          <t>412,-37</t>
        </is>
      </c>
      <c r="G12" s="9" t="n">
        <v>0.7</v>
      </c>
      <c r="H12" s="9" t="n">
        <v>0.7</v>
      </c>
      <c r="I12" s="21" t="inlineStr">
        <is>
          <t>破茧成蝶的三刀流剑豪\n  新世界佐罗</t>
        </is>
      </c>
      <c r="J12" s="20" t="inlineStr">
        <is>
          <t>-471,-62</t>
        </is>
      </c>
      <c r="K12" s="20" t="inlineStr">
        <is>
          <t>487,-53</t>
        </is>
      </c>
      <c r="L12" s="20" t="n">
        <v>1</v>
      </c>
      <c r="M12" s="20" t="n">
        <v>1</v>
      </c>
    </row>
    <row r="13" ht="39.95" customHeight="1" s="22">
      <c r="A13" s="4" t="n">
        <v>113028</v>
      </c>
      <c r="B13" s="18" t="inlineStr">
        <is>
          <t>新世界奈美</t>
        </is>
      </c>
      <c r="C13" s="19" t="inlineStr">
        <is>
          <t>UI_icon_xsjnm</t>
        </is>
      </c>
      <c r="D13" s="7" t="inlineStr">
        <is>
          <t>533,800</t>
        </is>
      </c>
      <c r="E13" s="20" t="inlineStr">
        <is>
          <t>-518,-24</t>
        </is>
      </c>
      <c r="F13" s="20" t="inlineStr">
        <is>
          <t>421,-24</t>
        </is>
      </c>
      <c r="G13" s="9" t="n">
        <v>1.06</v>
      </c>
      <c r="H13" s="9" t="n">
        <v>0.7</v>
      </c>
      <c r="I13" s="21" t="inlineStr">
        <is>
          <t>成熟稳重的绝美航海士\n  新世界奈美</t>
        </is>
      </c>
      <c r="J13" s="20" t="inlineStr">
        <is>
          <t>-471,-62</t>
        </is>
      </c>
      <c r="K13" s="20" t="inlineStr">
        <is>
          <t>487,-53</t>
        </is>
      </c>
      <c r="L13" s="20" t="n">
        <v>1</v>
      </c>
      <c r="M13" s="20" t="n">
        <v>1</v>
      </c>
    </row>
    <row r="14" ht="39.95" customHeight="1" s="22">
      <c r="A14" s="4" t="n">
        <v>113029</v>
      </c>
      <c r="B14" s="18" t="inlineStr">
        <is>
          <t>新世界罗宾</t>
        </is>
      </c>
      <c r="C14" s="19" t="inlineStr">
        <is>
          <t>UI_icon_xsjlb</t>
        </is>
      </c>
      <c r="D14" s="7" t="inlineStr">
        <is>
          <t>533,800</t>
        </is>
      </c>
      <c r="E14" s="20" t="inlineStr">
        <is>
          <t>-519,-21</t>
        </is>
      </c>
      <c r="F14" s="20" t="inlineStr">
        <is>
          <t>412,-21</t>
        </is>
      </c>
      <c r="G14" s="9" t="n">
        <v>0.65</v>
      </c>
      <c r="H14" s="9" t="n">
        <v>0.6</v>
      </c>
      <c r="I14" s="21" t="inlineStr">
        <is>
          <t>极暗历史之下的追光者\n  新世界罗宾</t>
        </is>
      </c>
      <c r="J14" s="20" t="inlineStr">
        <is>
          <t>-471,-62</t>
        </is>
      </c>
      <c r="K14" s="20" t="inlineStr">
        <is>
          <t>487,-53</t>
        </is>
      </c>
      <c r="L14" s="20" t="n">
        <v>1</v>
      </c>
      <c r="M14" s="20" t="n">
        <v>1</v>
      </c>
    </row>
    <row r="15" ht="39.95" customHeight="1" s="22">
      <c r="A15" s="10" t="n">
        <v>113031</v>
      </c>
      <c r="B15" s="11" t="inlineStr">
        <is>
          <t>新世界路飞</t>
        </is>
      </c>
      <c r="C15" s="12" t="inlineStr">
        <is>
          <t>UI_icon_xsjlf</t>
        </is>
      </c>
      <c r="D15" s="7" t="inlineStr">
        <is>
          <t>533,800</t>
        </is>
      </c>
      <c r="E15" s="13" t="inlineStr">
        <is>
          <t>-545,-27</t>
        </is>
      </c>
      <c r="F15" s="20" t="inlineStr">
        <is>
          <t>424,-27</t>
        </is>
      </c>
      <c r="G15" s="14" t="n">
        <v>0.66</v>
      </c>
      <c r="H15" s="14" t="n">
        <v>0.66</v>
      </c>
      <c r="I15" s="17" t="inlineStr">
        <is>
          <t>新世界的第五位皇帝\n   新世界路飞</t>
        </is>
      </c>
      <c r="J15" s="20" t="inlineStr">
        <is>
          <t>-471,-62</t>
        </is>
      </c>
      <c r="K15" s="20" t="inlineStr">
        <is>
          <t>487,-53</t>
        </is>
      </c>
      <c r="L15" s="13" t="n">
        <v>1</v>
      </c>
      <c r="M15" s="13" t="n">
        <v>1</v>
      </c>
    </row>
    <row r="16" ht="39.95" customHeight="1" s="22">
      <c r="A16" s="4" t="n">
        <v>113032</v>
      </c>
      <c r="B16" s="18" t="inlineStr">
        <is>
          <t>新世界烟鬼</t>
        </is>
      </c>
      <c r="C16" s="19" t="inlineStr">
        <is>
          <t>UI_icon_xsjyg</t>
        </is>
      </c>
      <c r="D16" s="7" t="inlineStr">
        <is>
          <t>533,800</t>
        </is>
      </c>
      <c r="E16" s="20" t="inlineStr">
        <is>
          <t>-560,-2</t>
        </is>
      </c>
      <c r="F16" s="20" t="inlineStr">
        <is>
          <t>404,-2</t>
        </is>
      </c>
      <c r="G16" s="9" t="n">
        <v>1.1</v>
      </c>
      <c r="H16" s="9" t="n">
        <v>0.75</v>
      </c>
      <c r="I16" s="21" t="inlineStr">
        <is>
          <t>我行我素的新任海军中将\n  新世界烟鬼</t>
        </is>
      </c>
      <c r="J16" s="20" t="inlineStr">
        <is>
          <t>-471,-62</t>
        </is>
      </c>
      <c r="K16" s="20" t="inlineStr">
        <is>
          <t>487,-53</t>
        </is>
      </c>
      <c r="L16" s="20" t="n">
        <v>1</v>
      </c>
      <c r="M16" s="20" t="n">
        <v>1</v>
      </c>
    </row>
    <row r="17" ht="39.95" customHeight="1" s="22">
      <c r="A17" s="4" t="n">
        <v>113033</v>
      </c>
      <c r="B17" s="18" t="inlineStr">
        <is>
          <t>新世界塔希米</t>
        </is>
      </c>
      <c r="C17" s="19" t="inlineStr">
        <is>
          <t>UI_icon_xsjtxm</t>
        </is>
      </c>
      <c r="D17" s="7" t="inlineStr">
        <is>
          <t>533,800</t>
        </is>
      </c>
      <c r="E17" s="20" t="inlineStr">
        <is>
          <t>-540,-37</t>
        </is>
      </c>
      <c r="F17" s="20" t="inlineStr">
        <is>
          <t>410,-37</t>
        </is>
      </c>
      <c r="G17" s="9" t="n">
        <v>1.2</v>
      </c>
      <c r="H17" s="9" t="n">
        <v>0.8</v>
      </c>
      <c r="I17" s="21" t="inlineStr">
        <is>
          <t>执着于克服软弱的女剑士\n 新世界塔希米</t>
        </is>
      </c>
      <c r="J17" s="20" t="inlineStr">
        <is>
          <t>-471,-62</t>
        </is>
      </c>
      <c r="K17" s="20" t="inlineStr">
        <is>
          <t>487,-53</t>
        </is>
      </c>
      <c r="L17" s="20" t="n">
        <v>1</v>
      </c>
      <c r="M17" s="20" t="n">
        <v>1</v>
      </c>
    </row>
    <row r="18" ht="39.95" customHeight="1" s="22">
      <c r="A18" s="4" t="n">
        <v>113035</v>
      </c>
      <c r="B18" s="18" t="inlineStr">
        <is>
          <t>新世界弗兰奇</t>
        </is>
      </c>
      <c r="C18" s="19" t="inlineStr">
        <is>
          <t>UI_icon_xsjflq</t>
        </is>
      </c>
      <c r="D18" s="7" t="inlineStr">
        <is>
          <t>533,800</t>
        </is>
      </c>
      <c r="E18" s="20" t="inlineStr">
        <is>
          <t>-563,-39</t>
        </is>
      </c>
      <c r="F18" s="20" t="inlineStr">
        <is>
          <t>415,-39</t>
        </is>
      </c>
      <c r="G18" s="9" t="n">
        <v>1.2</v>
      </c>
      <c r="H18" s="9" t="n">
        <v>0.8</v>
      </c>
      <c r="I18" s="21" t="inlineStr">
        <is>
          <t>迈向世界顶端的钢铁船匠\n 新世界弗兰奇</t>
        </is>
      </c>
      <c r="J18" s="20" t="inlineStr">
        <is>
          <t>-471,-62</t>
        </is>
      </c>
      <c r="K18" s="20" t="inlineStr">
        <is>
          <t>487,-53</t>
        </is>
      </c>
      <c r="L18" s="20" t="n">
        <v>1</v>
      </c>
      <c r="M18" s="20" t="n">
        <v>1</v>
      </c>
    </row>
    <row r="19" ht="39.95" customHeight="1" s="22">
      <c r="A19" s="4" t="n">
        <v>113036</v>
      </c>
      <c r="B19" s="18" t="inlineStr">
        <is>
          <t>新世界布鲁克</t>
        </is>
      </c>
      <c r="C19" s="19" t="inlineStr">
        <is>
          <t>UI_icon_xsjblk</t>
        </is>
      </c>
      <c r="D19" s="7" t="inlineStr">
        <is>
          <t>533,800</t>
        </is>
      </c>
      <c r="E19" s="20" t="inlineStr">
        <is>
          <t>-535,-14</t>
        </is>
      </c>
      <c r="F19" s="20" t="inlineStr">
        <is>
          <t>415,-14</t>
        </is>
      </c>
      <c r="G19" s="9" t="n">
        <v>1.1</v>
      </c>
      <c r="H19" s="9" t="n">
        <v>0.8</v>
      </c>
      <c r="I19" s="21" t="inlineStr">
        <is>
          <t>响彻新世界的梦想音乐家\n 新世界布鲁克</t>
        </is>
      </c>
      <c r="J19" s="20" t="inlineStr">
        <is>
          <t>-471,-62</t>
        </is>
      </c>
      <c r="K19" s="20" t="inlineStr">
        <is>
          <t>487,-53</t>
        </is>
      </c>
      <c r="L19" s="20" t="n">
        <v>1</v>
      </c>
      <c r="M19" s="20" t="n">
        <v>1</v>
      </c>
    </row>
    <row r="20" ht="39.95" customHeight="1" s="22">
      <c r="A20" s="4" t="n">
        <v>113037</v>
      </c>
      <c r="B20" s="18" t="inlineStr">
        <is>
          <t>新世界山智</t>
        </is>
      </c>
      <c r="C20" s="19" t="inlineStr">
        <is>
          <t>UI_icon_xsjsz</t>
        </is>
      </c>
      <c r="D20" s="7" t="inlineStr">
        <is>
          <t>533,800</t>
        </is>
      </c>
      <c r="E20" s="20" t="inlineStr">
        <is>
          <t>-542,-20</t>
        </is>
      </c>
      <c r="F20" s="20" t="inlineStr">
        <is>
          <t>410,-20</t>
        </is>
      </c>
      <c r="G20" s="9" t="n">
        <v>1.1</v>
      </c>
      <c r="H20" s="9" t="n">
        <v>0.7</v>
      </c>
      <c r="I20" s="21" t="inlineStr">
        <is>
          <t>绝对骑士道的“恶魔风脚”\n  新世界山智</t>
        </is>
      </c>
      <c r="J20" s="20" t="inlineStr">
        <is>
          <t>-471,-62</t>
        </is>
      </c>
      <c r="K20" s="20" t="inlineStr">
        <is>
          <t>487,-53</t>
        </is>
      </c>
      <c r="L20" s="20" t="n">
        <v>1</v>
      </c>
      <c r="M20" s="20" t="n">
        <v>1</v>
      </c>
    </row>
    <row r="21" ht="39.95" customHeight="1" s="22">
      <c r="A21" s="4" t="n">
        <v>113038</v>
      </c>
      <c r="B21" s="18" t="inlineStr">
        <is>
          <t>新世界乔巴</t>
        </is>
      </c>
      <c r="C21" s="19" t="inlineStr">
        <is>
          <t>UI_icon_xsjqb</t>
        </is>
      </c>
      <c r="D21" s="7" t="inlineStr">
        <is>
          <t>533,800</t>
        </is>
      </c>
      <c r="E21" s="20" t="inlineStr">
        <is>
          <t>-545,44</t>
        </is>
      </c>
      <c r="F21" s="20" t="inlineStr">
        <is>
          <t>405,44</t>
        </is>
      </c>
      <c r="G21" s="9" t="n">
        <v>0.8</v>
      </c>
      <c r="H21" s="9" t="n">
        <v>0.6</v>
      </c>
      <c r="I21" s="21" t="inlineStr">
        <is>
          <t>化解挚友痛苦的驯鹿医生\n  新世界乔巴</t>
        </is>
      </c>
      <c r="J21" s="20" t="inlineStr">
        <is>
          <t>-471,-62</t>
        </is>
      </c>
      <c r="K21" s="20" t="inlineStr">
        <is>
          <t>487,-53</t>
        </is>
      </c>
      <c r="L21" s="20" t="n">
        <v>1</v>
      </c>
      <c r="M21" s="20" t="n">
        <v>1</v>
      </c>
    </row>
    <row r="22" ht="39.95" customHeight="1" s="22">
      <c r="A22" s="4" t="n">
        <v>113039</v>
      </c>
      <c r="B22" s="18" t="inlineStr">
        <is>
          <t>新世界罗</t>
        </is>
      </c>
      <c r="C22" s="19" t="inlineStr">
        <is>
          <t>UI_icon_xsjl</t>
        </is>
      </c>
      <c r="D22" s="7" t="inlineStr">
        <is>
          <t>533,800</t>
        </is>
      </c>
      <c r="E22" s="20" t="inlineStr">
        <is>
          <t>-518,-17</t>
        </is>
      </c>
      <c r="F22" s="20" t="inlineStr">
        <is>
          <t>422,-17</t>
        </is>
      </c>
      <c r="G22" s="9" t="n">
        <v>0.85</v>
      </c>
      <c r="H22" s="9" t="n">
        <v>0.85</v>
      </c>
      <c r="I22" s="21" t="inlineStr">
        <is>
          <t>绝对医术的“死亡外科医生”\n  新世界罗</t>
        </is>
      </c>
      <c r="J22" s="20" t="inlineStr">
        <is>
          <t>-471,-62</t>
        </is>
      </c>
      <c r="K22" s="20" t="inlineStr">
        <is>
          <t>487,-53</t>
        </is>
      </c>
      <c r="L22" s="20" t="n">
        <v>1</v>
      </c>
      <c r="M22" s="20" t="n">
        <v>1</v>
      </c>
    </row>
    <row r="23" ht="39.95" customHeight="1" s="22">
      <c r="A23" s="4" t="n">
        <v>113040</v>
      </c>
      <c r="B23" s="18" t="inlineStr">
        <is>
          <t>卡塔库栗</t>
        </is>
      </c>
      <c r="C23" s="19" t="inlineStr">
        <is>
          <t>UI_icon_ktkl</t>
        </is>
      </c>
      <c r="D23" s="7" t="inlineStr">
        <is>
          <t>533,800</t>
        </is>
      </c>
      <c r="E23" s="20" t="inlineStr">
        <is>
          <t>-545,-62</t>
        </is>
      </c>
      <c r="F23" s="20" t="inlineStr">
        <is>
          <t>423,-62</t>
        </is>
      </c>
      <c r="G23" s="9" t="n">
        <v>0.9</v>
      </c>
      <c r="H23" s="9" t="n">
        <v>0.85</v>
      </c>
      <c r="I23" s="21" t="inlineStr">
        <is>
          <t>甜点三将星之一“面粉大臣”\n  卡塔库栗</t>
        </is>
      </c>
      <c r="J23" s="20" t="inlineStr">
        <is>
          <t>-471,-62</t>
        </is>
      </c>
      <c r="K23" s="20" t="inlineStr">
        <is>
          <t>487,-53</t>
        </is>
      </c>
      <c r="L23" s="20" t="n">
        <v>1</v>
      </c>
      <c r="M23" s="20" t="n">
        <v>1</v>
      </c>
    </row>
    <row r="24" ht="39.95" customHeight="1" s="22">
      <c r="A24" s="4" t="n">
        <v>113042</v>
      </c>
      <c r="B24" s="18" t="inlineStr">
        <is>
          <t>萨波</t>
        </is>
      </c>
      <c r="C24" s="19" t="inlineStr">
        <is>
          <t>UI_icon_sb</t>
        </is>
      </c>
      <c r="D24" s="7" t="inlineStr">
        <is>
          <t>533,800</t>
        </is>
      </c>
      <c r="E24" s="20" t="inlineStr">
        <is>
          <t>-540,-39</t>
        </is>
      </c>
      <c r="F24" s="20" t="inlineStr">
        <is>
          <t>417,-39</t>
        </is>
      </c>
      <c r="G24" s="9" t="n">
        <v>0.85</v>
      </c>
      <c r="H24" s="9" t="n">
        <v>0.8</v>
      </c>
      <c r="I24" s="21" t="inlineStr">
        <is>
          <t>重燃的艾斯意志的“火拳”\n      萨波</t>
        </is>
      </c>
      <c r="J24" s="20" t="inlineStr">
        <is>
          <t>-471,-62</t>
        </is>
      </c>
      <c r="K24" s="20" t="inlineStr">
        <is>
          <t>487,-53</t>
        </is>
      </c>
      <c r="L24" s="20" t="n">
        <v>1</v>
      </c>
      <c r="M24" s="20" t="n">
        <v>1</v>
      </c>
    </row>
    <row r="25" ht="39.95" customHeight="1" s="22">
      <c r="A25" s="4" t="n">
        <v>113043</v>
      </c>
      <c r="B25" s="18" t="inlineStr">
        <is>
          <t>藤虎</t>
        </is>
      </c>
      <c r="C25" s="19" t="inlineStr">
        <is>
          <t>UI_icon_th</t>
        </is>
      </c>
      <c r="D25" s="7" t="inlineStr">
        <is>
          <t>533,800</t>
        </is>
      </c>
      <c r="E25" s="20" t="inlineStr">
        <is>
          <t>-516,-32</t>
        </is>
      </c>
      <c r="F25" s="20" t="inlineStr">
        <is>
          <t>450,-32</t>
        </is>
      </c>
      <c r="G25" s="9" t="n">
        <v>0.75</v>
      </c>
      <c r="H25" s="9" t="n">
        <v>0.75</v>
      </c>
      <c r="I25" s="21" t="inlineStr">
        <is>
          <t>奉行心中正义的海军大将\n      藤虎</t>
        </is>
      </c>
      <c r="J25" s="20" t="inlineStr">
        <is>
          <t>-471,-62</t>
        </is>
      </c>
      <c r="K25" s="20" t="inlineStr">
        <is>
          <t>487,-53</t>
        </is>
      </c>
      <c r="L25" s="20" t="n">
        <v>1</v>
      </c>
      <c r="M25" s="20" t="n">
        <v>1</v>
      </c>
    </row>
    <row r="26" ht="39.95" customHeight="1" s="22">
      <c r="A26" s="4" t="n">
        <v>113044</v>
      </c>
      <c r="B26" s="18" t="inlineStr">
        <is>
          <t>夏洛特·玲玲</t>
        </is>
      </c>
      <c r="C26" s="19" t="inlineStr">
        <is>
          <t>UI_icon_xltll</t>
        </is>
      </c>
      <c r="D26" s="7" t="inlineStr">
        <is>
          <t>533,800</t>
        </is>
      </c>
      <c r="E26" s="20" t="inlineStr">
        <is>
          <t>-606,-37</t>
        </is>
      </c>
      <c r="F26" s="20" t="inlineStr">
        <is>
          <t>345,-37</t>
        </is>
      </c>
      <c r="G26" s="9" t="n">
        <v>1.3</v>
      </c>
      <c r="H26" s="9" t="n">
        <v>0.9</v>
      </c>
      <c r="I26" s="21" t="inlineStr">
        <is>
          <t>嗜吃的天生破坏者\n夏洛特·玲玲</t>
        </is>
      </c>
      <c r="J26" s="20" t="inlineStr">
        <is>
          <t>-471,-62</t>
        </is>
      </c>
      <c r="K26" s="20" t="inlineStr">
        <is>
          <t>487,-53</t>
        </is>
      </c>
      <c r="L26" s="20" t="n">
        <v>1</v>
      </c>
      <c r="M26" s="20" t="n">
        <v>1</v>
      </c>
    </row>
    <row r="27" ht="39.95" customHeight="1" s="22">
      <c r="A27" s="4" t="n">
        <v>113045</v>
      </c>
      <c r="B27" s="18" t="inlineStr">
        <is>
          <t>苏打饼</t>
        </is>
      </c>
      <c r="C27" s="19" t="inlineStr">
        <is>
          <t>UI_icon_sdb</t>
        </is>
      </c>
      <c r="D27" s="7" t="inlineStr">
        <is>
          <t>533,800</t>
        </is>
      </c>
      <c r="E27" s="20" t="inlineStr">
        <is>
          <t>-605,-32</t>
        </is>
      </c>
      <c r="F27" s="20" t="inlineStr">
        <is>
          <t>359,-32</t>
        </is>
      </c>
      <c r="G27" s="9" t="n">
        <v>0.95</v>
      </c>
      <c r="H27" s="9" t="n">
        <v>0.9</v>
      </c>
      <c r="I27" s="21" t="inlineStr">
        <is>
          <t>甜点三将星之一“饼干大臣”\n    苏打饼</t>
        </is>
      </c>
      <c r="J27" s="20" t="inlineStr">
        <is>
          <t>-471,-62</t>
        </is>
      </c>
      <c r="K27" s="20" t="inlineStr">
        <is>
          <t>487,-53</t>
        </is>
      </c>
      <c r="L27" s="20" t="n">
        <v>1</v>
      </c>
      <c r="M27" s="20" t="n">
        <v>1</v>
      </c>
    </row>
    <row r="28" ht="39.95" customHeight="1" s="22">
      <c r="A28" s="4" t="n">
        <v>113046</v>
      </c>
      <c r="B28" s="18" t="inlineStr">
        <is>
          <t>奶昔</t>
        </is>
      </c>
      <c r="C28" s="19" t="inlineStr">
        <is>
          <t>UI_icon_nx</t>
        </is>
      </c>
      <c r="D28" s="7" t="inlineStr">
        <is>
          <t>533,800</t>
        </is>
      </c>
      <c r="E28" s="20" t="inlineStr">
        <is>
          <t>-375,-95</t>
        </is>
      </c>
      <c r="F28" s="20" t="inlineStr">
        <is>
          <t>604,-95</t>
        </is>
      </c>
      <c r="G28" s="9" t="n">
        <v>1.3</v>
      </c>
      <c r="H28" s="9" t="n">
        <v>1</v>
      </c>
      <c r="I28" s="21" t="inlineStr">
        <is>
          <t>甜点三将星之一“果汁大臣”\n      奶昔</t>
        </is>
      </c>
      <c r="J28" s="20" t="inlineStr">
        <is>
          <t>-471,-62</t>
        </is>
      </c>
      <c r="K28" s="20" t="inlineStr">
        <is>
          <t>487,-53</t>
        </is>
      </c>
      <c r="L28" s="20" t="n">
        <v>1</v>
      </c>
      <c r="M28" s="20" t="n">
        <v>1</v>
      </c>
    </row>
    <row r="29" ht="39.95" customHeight="1" s="22">
      <c r="A29" s="4" t="n">
        <v>113047</v>
      </c>
      <c r="B29" s="18" t="inlineStr">
        <is>
          <t>凯多</t>
        </is>
      </c>
      <c r="C29" s="19" t="inlineStr">
        <is>
          <t>UI_icon_kd</t>
        </is>
      </c>
      <c r="D29" s="7" t="inlineStr">
        <is>
          <t>533,800</t>
        </is>
      </c>
      <c r="E29" s="20" t="inlineStr">
        <is>
          <t>-478,-2</t>
        </is>
      </c>
      <c r="F29" s="20" t="inlineStr">
        <is>
          <t>463,2</t>
        </is>
      </c>
      <c r="G29" s="9" t="n">
        <v>1</v>
      </c>
      <c r="H29" s="9" t="n">
        <v>0.9</v>
      </c>
      <c r="I29" s="21" t="inlineStr">
        <is>
          <t>新世界的最强生物\n    凯多</t>
        </is>
      </c>
      <c r="J29" s="20" t="inlineStr">
        <is>
          <t>-471,-62</t>
        </is>
      </c>
      <c r="K29" s="20" t="inlineStr">
        <is>
          <t>487,-53</t>
        </is>
      </c>
      <c r="L29" s="20" t="n">
        <v>1</v>
      </c>
      <c r="M29" s="20" t="n">
        <v>1</v>
      </c>
    </row>
    <row r="30" ht="39.95" customHeight="1" s="22">
      <c r="A30" s="4" t="n">
        <v>113049</v>
      </c>
      <c r="B30" s="18" t="inlineStr">
        <is>
          <t>新世界库赞</t>
        </is>
      </c>
      <c r="C30" s="19" t="inlineStr">
        <is>
          <t>UI_icon_xsjkz</t>
        </is>
      </c>
      <c r="D30" s="7" t="inlineStr">
        <is>
          <t>533,800</t>
        </is>
      </c>
      <c r="E30" s="20" t="inlineStr">
        <is>
          <t>-532,-41</t>
        </is>
      </c>
      <c r="F30" s="20" t="inlineStr">
        <is>
          <t>435,-41</t>
        </is>
      </c>
      <c r="G30" s="9" t="n">
        <v>0.8</v>
      </c>
      <c r="H30" s="9" t="n">
        <v>0.75</v>
      </c>
      <c r="I30" s="21" t="inlineStr">
        <is>
          <t>追寻心中正义的大将\n  新世界库赞</t>
        </is>
      </c>
      <c r="J30" s="20" t="inlineStr">
        <is>
          <t>-471,-62</t>
        </is>
      </c>
      <c r="K30" s="20" t="inlineStr">
        <is>
          <t>487,-53</t>
        </is>
      </c>
      <c r="L30" s="20" t="n">
        <v>1</v>
      </c>
      <c r="M30" s="20" t="n">
        <v>1</v>
      </c>
    </row>
    <row r="31" ht="39.95" customHeight="1" s="22">
      <c r="A31" s="4" t="n">
        <v>113050</v>
      </c>
      <c r="B31" s="18" t="inlineStr">
        <is>
          <t>新世界赤犬</t>
        </is>
      </c>
      <c r="C31" s="19" t="inlineStr">
        <is>
          <t>UI_icon_xsjcq</t>
        </is>
      </c>
      <c r="D31" s="7" t="inlineStr">
        <is>
          <t>533,800</t>
        </is>
      </c>
      <c r="E31" s="20" t="inlineStr">
        <is>
          <t>-502,-33</t>
        </is>
      </c>
      <c r="F31" s="20" t="inlineStr">
        <is>
          <t>446,-33</t>
        </is>
      </c>
      <c r="G31" s="9" t="n">
        <v>0.7</v>
      </c>
      <c r="H31" s="9" t="n">
        <v>0.7</v>
      </c>
      <c r="I31" s="21" t="inlineStr">
        <is>
          <t>新晋的海军本部元帅\n  新世界赤犬</t>
        </is>
      </c>
      <c r="J31" s="20" t="inlineStr">
        <is>
          <t>-471,-62</t>
        </is>
      </c>
      <c r="K31" s="20" t="inlineStr">
        <is>
          <t>487,-53</t>
        </is>
      </c>
      <c r="L31" s="20" t="n">
        <v>1</v>
      </c>
      <c r="M31" s="20" t="n">
        <v>1</v>
      </c>
    </row>
    <row r="32" ht="39.95" customHeight="1" s="22">
      <c r="A32" s="4" t="n">
        <v>113051</v>
      </c>
      <c r="B32" s="18" t="inlineStr">
        <is>
          <t>丽久</t>
        </is>
      </c>
      <c r="C32" s="19" t="inlineStr">
        <is>
          <t>UI_icon_lj</t>
        </is>
      </c>
      <c r="D32" s="7" t="inlineStr">
        <is>
          <t>533,800</t>
        </is>
      </c>
      <c r="E32" s="20" t="inlineStr">
        <is>
          <t>-548,-48</t>
        </is>
      </c>
      <c r="F32" s="20" t="inlineStr">
        <is>
          <t>416,-48</t>
        </is>
      </c>
      <c r="G32" s="9" t="n">
        <v>1</v>
      </c>
      <c r="H32" s="9" t="n">
        <v>0.65</v>
      </c>
      <c r="I32" s="21" t="inlineStr">
        <is>
          <t>文斯莫克家族的长女\n      丽久</t>
        </is>
      </c>
      <c r="J32" s="20" t="inlineStr">
        <is>
          <t>-471,-62</t>
        </is>
      </c>
      <c r="K32" s="20" t="inlineStr">
        <is>
          <t>487,-53</t>
        </is>
      </c>
      <c r="L32" s="20" t="n">
        <v>1</v>
      </c>
      <c r="M32" s="20" t="n">
        <v>1</v>
      </c>
    </row>
    <row r="33" ht="39.95" customHeight="1" s="22">
      <c r="A33" s="4" t="n">
        <v>113052</v>
      </c>
      <c r="B33" s="18" t="inlineStr">
        <is>
          <t>新世界鲁兹</t>
        </is>
      </c>
      <c r="C33" s="19" t="inlineStr">
        <is>
          <t>UI_icon_xsjlz</t>
        </is>
      </c>
      <c r="D33" s="7" t="inlineStr">
        <is>
          <t>533,800</t>
        </is>
      </c>
      <c r="E33" s="20" t="inlineStr">
        <is>
          <t>-550,-18</t>
        </is>
      </c>
      <c r="F33" s="20" t="inlineStr">
        <is>
          <t>416,-18</t>
        </is>
      </c>
      <c r="G33" s="9" t="n">
        <v>1.1</v>
      </c>
      <c r="H33" s="9" t="n">
        <v>0.7</v>
      </c>
      <c r="I33" s="21" t="inlineStr">
        <is>
          <t>奉行弱即原罪的杀戮兵器\n   新世界鲁兹</t>
        </is>
      </c>
      <c r="J33" s="20" t="inlineStr">
        <is>
          <t>-471,-62</t>
        </is>
      </c>
      <c r="K33" s="20" t="inlineStr">
        <is>
          <t>487,-53</t>
        </is>
      </c>
      <c r="L33" s="20" t="n">
        <v>1</v>
      </c>
      <c r="M33" s="20" t="n">
        <v>1</v>
      </c>
    </row>
    <row r="34" ht="39.95" customHeight="1" s="22">
      <c r="A34" s="4" t="n">
        <v>113053</v>
      </c>
      <c r="B34" s="18" t="inlineStr">
        <is>
          <t>推进城汉库珂</t>
        </is>
      </c>
      <c r="C34" s="19" t="inlineStr">
        <is>
          <t>UI_icon_tjchkk</t>
        </is>
      </c>
      <c r="D34" s="7" t="inlineStr">
        <is>
          <t>533,800</t>
        </is>
      </c>
      <c r="E34" s="20" t="inlineStr">
        <is>
          <t>-539,-30</t>
        </is>
      </c>
      <c r="F34" s="20" t="inlineStr">
        <is>
          <t>415,-30</t>
        </is>
      </c>
      <c r="G34" s="9" t="n">
        <v>1.2</v>
      </c>
      <c r="H34" s="9" t="n">
        <v>0.77</v>
      </c>
      <c r="I34" s="21" t="inlineStr">
        <is>
          <t>倾国倾城的海上女皇\n推进城汉库珂</t>
        </is>
      </c>
      <c r="J34" s="20" t="inlineStr">
        <is>
          <t>-471,-62</t>
        </is>
      </c>
      <c r="K34" s="20" t="inlineStr">
        <is>
          <t>487,-53</t>
        </is>
      </c>
      <c r="L34" s="20" t="n">
        <v>1</v>
      </c>
      <c r="M34" s="20" t="n">
        <v>1</v>
      </c>
    </row>
    <row r="35" ht="39.95" customHeight="1" s="22">
      <c r="A35" s="4" t="n">
        <v>113054</v>
      </c>
      <c r="B35" s="18" t="inlineStr">
        <is>
          <t>巴尔托洛梅奥</t>
        </is>
      </c>
      <c r="C35" s="19" t="inlineStr">
        <is>
          <t>UI_icon_betlma</t>
        </is>
      </c>
      <c r="D35" s="7" t="inlineStr">
        <is>
          <t>533,800</t>
        </is>
      </c>
      <c r="E35" s="20" t="inlineStr">
        <is>
          <t>-538,-24</t>
        </is>
      </c>
      <c r="F35" s="20" t="inlineStr">
        <is>
          <t>412,-24</t>
        </is>
      </c>
      <c r="G35" s="9" t="n">
        <v>1.1</v>
      </c>
      <c r="H35" s="9" t="n">
        <v>0.72</v>
      </c>
      <c r="I35" s="21" t="inlineStr">
        <is>
          <t>绝对防御之力的屏障人\n巴尔托洛梅奥</t>
        </is>
      </c>
      <c r="J35" s="20" t="inlineStr">
        <is>
          <t>-471,-62</t>
        </is>
      </c>
      <c r="K35" s="20" t="inlineStr">
        <is>
          <t>487,-53</t>
        </is>
      </c>
      <c r="L35" s="20" t="n">
        <v>1</v>
      </c>
      <c r="M35" s="20" t="n">
        <v>1</v>
      </c>
    </row>
    <row r="36" ht="39.95" customHeight="1" s="22">
      <c r="A36" s="4" t="n">
        <v>113055</v>
      </c>
      <c r="B36" s="18" t="inlineStr">
        <is>
          <t>新世界马尔高</t>
        </is>
      </c>
      <c r="C36" s="19" t="inlineStr">
        <is>
          <t>UI_icon_xsjmeg</t>
        </is>
      </c>
      <c r="D36" s="7" t="inlineStr">
        <is>
          <t>533,800</t>
        </is>
      </c>
      <c r="E36" s="20" t="inlineStr">
        <is>
          <t>-554,-25</t>
        </is>
      </c>
      <c r="F36" s="20" t="inlineStr">
        <is>
          <t>400,-25</t>
        </is>
      </c>
      <c r="G36" s="9" t="n">
        <v>0.8</v>
      </c>
      <c r="H36" s="9" t="n">
        <v>0.83</v>
      </c>
      <c r="I36" s="21" t="inlineStr">
        <is>
          <t>继承意志的青炎不死鸟\n 新世界马尔高</t>
        </is>
      </c>
      <c r="J36" s="20" t="inlineStr">
        <is>
          <t>-471,-62</t>
        </is>
      </c>
      <c r="K36" s="20" t="inlineStr">
        <is>
          <t>487,-53</t>
        </is>
      </c>
      <c r="L36" s="20" t="n">
        <v>1</v>
      </c>
      <c r="M36" s="20" t="n">
        <v>1</v>
      </c>
    </row>
    <row r="37" ht="39.95" customHeight="1" s="22">
      <c r="A37" s="4" t="n">
        <v>113056</v>
      </c>
      <c r="B37" s="18" t="inlineStr">
        <is>
          <t>新世界米霍克</t>
        </is>
      </c>
      <c r="C37" s="19" t="inlineStr">
        <is>
          <t>UI_icon_xsjmhk</t>
        </is>
      </c>
      <c r="D37" s="7" t="inlineStr">
        <is>
          <t>533,800</t>
        </is>
      </c>
      <c r="E37" s="20" t="inlineStr">
        <is>
          <t>-543,-46</t>
        </is>
      </c>
      <c r="F37" s="20" t="inlineStr">
        <is>
          <t>412,-46</t>
        </is>
      </c>
      <c r="G37" s="9" t="n">
        <v>0.9</v>
      </c>
      <c r="H37" s="9" t="n">
        <v>0.85</v>
      </c>
      <c r="I37" s="21" t="inlineStr">
        <is>
          <t>举世无双的黑刀大剑豪\n 新世界米霍克</t>
        </is>
      </c>
      <c r="J37" s="20" t="inlineStr">
        <is>
          <t>-471,-62</t>
        </is>
      </c>
      <c r="K37" s="20" t="inlineStr">
        <is>
          <t>487,-53</t>
        </is>
      </c>
      <c r="L37" s="20" t="n">
        <v>1</v>
      </c>
      <c r="M37" s="20" t="n">
        <v>1</v>
      </c>
    </row>
    <row r="38" ht="39.95" customHeight="1" s="22">
      <c r="A38" s="4" t="n">
        <v>113057</v>
      </c>
      <c r="B38" s="18" t="inlineStr">
        <is>
          <t>糖糖</t>
        </is>
      </c>
      <c r="C38" s="19" t="inlineStr">
        <is>
          <t>UI_icon_tt</t>
        </is>
      </c>
      <c r="D38" s="7" t="inlineStr">
        <is>
          <t>533,800</t>
        </is>
      </c>
      <c r="E38" s="20" t="inlineStr">
        <is>
          <t>-543,2</t>
        </is>
      </c>
      <c r="F38" s="20" t="inlineStr">
        <is>
          <t>422,2</t>
        </is>
      </c>
      <c r="G38" s="9" t="n">
        <v>0.95</v>
      </c>
      <c r="H38" s="9" t="n">
        <v>0.6</v>
      </c>
      <c r="I38" s="21" t="inlineStr">
        <is>
          <t>可爱的危险能力者\n     糖糖</t>
        </is>
      </c>
      <c r="J38" s="20" t="inlineStr">
        <is>
          <t>-471,-62</t>
        </is>
      </c>
      <c r="K38" s="20" t="inlineStr">
        <is>
          <t>487,-53</t>
        </is>
      </c>
      <c r="L38" s="20" t="n">
        <v>1</v>
      </c>
      <c r="M38" s="20" t="n">
        <v>1</v>
      </c>
    </row>
    <row r="39" ht="39.95" customHeight="1" s="22">
      <c r="A39" s="4" t="n">
        <v>113058</v>
      </c>
      <c r="B39" s="18" t="inlineStr">
        <is>
          <t>凯文迪修</t>
        </is>
      </c>
      <c r="C39" s="19" t="inlineStr">
        <is>
          <t>UI_icon_kwdx</t>
        </is>
      </c>
      <c r="D39" s="7" t="inlineStr">
        <is>
          <t>533,800</t>
        </is>
      </c>
      <c r="E39" s="20" t="inlineStr">
        <is>
          <t>-553,-42</t>
        </is>
      </c>
      <c r="F39" s="20" t="inlineStr">
        <is>
          <t>419,-42</t>
        </is>
      </c>
      <c r="G39" s="9" t="n">
        <v>1.2</v>
      </c>
      <c r="H39" s="9" t="n">
        <v>0.78</v>
      </c>
      <c r="I39" s="21" t="inlineStr">
        <is>
          <t>双重人格的海贼贵公子\n   凯文迪修</t>
        </is>
      </c>
      <c r="J39" s="20" t="inlineStr">
        <is>
          <t>-471,-62</t>
        </is>
      </c>
      <c r="K39" s="20" t="inlineStr">
        <is>
          <t>487,-53</t>
        </is>
      </c>
      <c r="L39" s="20" t="n">
        <v>1</v>
      </c>
      <c r="M39" s="20" t="n">
        <v>1</v>
      </c>
    </row>
    <row r="40" ht="39.95" customHeight="1" s="22">
      <c r="A40" s="4" t="n">
        <v>113059</v>
      </c>
      <c r="B40" s="18" t="inlineStr">
        <is>
          <t>光月御殿</t>
        </is>
      </c>
      <c r="C40" s="19" t="inlineStr">
        <is>
          <t>UI_icon_gyyd</t>
        </is>
      </c>
      <c r="D40" s="7" t="inlineStr">
        <is>
          <t>533,800</t>
        </is>
      </c>
      <c r="E40" s="20" t="inlineStr">
        <is>
          <t>-523,-47</t>
        </is>
      </c>
      <c r="F40" s="20" t="inlineStr">
        <is>
          <t>430,-47</t>
        </is>
      </c>
      <c r="G40" s="9" t="n">
        <v>1.4</v>
      </c>
      <c r="H40" s="9" t="n">
        <v>0.9</v>
      </c>
      <c r="I40" s="21" t="inlineStr">
        <is>
          <t>和之国的将军继承人\n  光月御殿</t>
        </is>
      </c>
      <c r="J40" s="20" t="inlineStr">
        <is>
          <t>-471,-62</t>
        </is>
      </c>
      <c r="K40" s="20" t="inlineStr">
        <is>
          <t>487,-53</t>
        </is>
      </c>
      <c r="L40" s="20" t="n">
        <v>1</v>
      </c>
      <c r="M40" s="20" t="n">
        <v>1</v>
      </c>
    </row>
    <row r="41" ht="39.95" customHeight="1" s="22">
      <c r="A41" s="4" t="n">
        <v>113060</v>
      </c>
      <c r="B41" s="18" t="inlineStr">
        <is>
          <t>青年雷利</t>
        </is>
      </c>
      <c r="C41" s="19" t="inlineStr">
        <is>
          <t>UI_icon_qnll</t>
        </is>
      </c>
      <c r="D41" s="7" t="inlineStr">
        <is>
          <t>533,800</t>
        </is>
      </c>
      <c r="E41" s="20" t="inlineStr">
        <is>
          <t>-646,-38</t>
        </is>
      </c>
      <c r="F41" s="20" t="inlineStr">
        <is>
          <t>317,-38</t>
        </is>
      </c>
      <c r="G41" s="9" t="n">
        <v>1</v>
      </c>
      <c r="H41" s="9" t="n">
        <v>0.7</v>
      </c>
      <c r="I41" s="21" t="inlineStr">
        <is>
          <t>名为冥王的无双副船长\n   青年雷利</t>
        </is>
      </c>
      <c r="J41" s="20" t="inlineStr">
        <is>
          <t>-471,-62</t>
        </is>
      </c>
      <c r="K41" s="20" t="inlineStr">
        <is>
          <t>487,-53</t>
        </is>
      </c>
      <c r="L41" s="20" t="n">
        <v>1</v>
      </c>
      <c r="M41" s="20" t="n">
        <v>1</v>
      </c>
    </row>
    <row r="42" ht="39.95" customHeight="1" s="22">
      <c r="A42" s="4" t="n">
        <v>113061</v>
      </c>
      <c r="B42" s="18" t="inlineStr">
        <is>
          <t>凯罗特</t>
        </is>
      </c>
      <c r="C42" s="19" t="inlineStr">
        <is>
          <t>UI_icon_klt</t>
        </is>
      </c>
      <c r="D42" s="7" t="inlineStr">
        <is>
          <t>533,800</t>
        </is>
      </c>
      <c r="E42" s="20" t="inlineStr">
        <is>
          <t>-529,-18</t>
        </is>
      </c>
      <c r="F42" s="20" t="inlineStr">
        <is>
          <t>435,-18</t>
        </is>
      </c>
      <c r="G42" s="9" t="n">
        <v>1.25</v>
      </c>
      <c r="H42" s="9" t="n">
        <v>0.8</v>
      </c>
      <c r="I42" s="21" t="inlineStr">
        <is>
          <t>掌控超能雷电的月狮\n    凯罗特</t>
        </is>
      </c>
      <c r="J42" s="20" t="inlineStr">
        <is>
          <t>-471,-62</t>
        </is>
      </c>
      <c r="K42" s="20" t="inlineStr">
        <is>
          <t>487,-53</t>
        </is>
      </c>
      <c r="L42" s="20" t="n">
        <v>1</v>
      </c>
      <c r="M42" s="20" t="n">
        <v>1</v>
      </c>
    </row>
    <row r="43" ht="39.95" customHeight="1" s="22">
      <c r="A43" s="4" t="n">
        <v>113062</v>
      </c>
      <c r="B43" s="18" t="inlineStr">
        <is>
          <t>阿菊</t>
        </is>
      </c>
      <c r="C43" s="19" t="inlineStr">
        <is>
          <t>UI_icon_aj</t>
        </is>
      </c>
      <c r="D43" s="7" t="inlineStr">
        <is>
          <t>533,800</t>
        </is>
      </c>
      <c r="E43" s="20" t="inlineStr">
        <is>
          <t>-531,-28</t>
        </is>
      </c>
      <c r="F43" s="20" t="inlineStr">
        <is>
          <t>423,-28</t>
        </is>
      </c>
      <c r="G43" s="9" t="n">
        <v>1.2</v>
      </c>
      <c r="H43" s="9" t="n">
        <v>0.8</v>
      </c>
      <c r="I43" s="21" t="inlineStr">
        <is>
          <t>美男子剑士残雪菊之丞\n      阿菊</t>
        </is>
      </c>
      <c r="J43" s="20" t="inlineStr">
        <is>
          <t>-471,-62</t>
        </is>
      </c>
      <c r="K43" s="20" t="inlineStr">
        <is>
          <t>487,-53</t>
        </is>
      </c>
      <c r="L43" s="20" t="n">
        <v>1</v>
      </c>
      <c r="M43" s="20" t="n">
        <v>1</v>
      </c>
    </row>
    <row r="44" ht="39.95" customHeight="1" s="22">
      <c r="A44" s="4" t="n">
        <v>113064</v>
      </c>
      <c r="B44" s="18" t="inlineStr">
        <is>
          <t>年轻白胡子</t>
        </is>
      </c>
      <c r="C44" s="19" t="inlineStr">
        <is>
          <t>UI_icon_nqbhz</t>
        </is>
      </c>
      <c r="D44" s="7" t="inlineStr">
        <is>
          <t>533,800</t>
        </is>
      </c>
      <c r="E44" s="20" t="inlineStr">
        <is>
          <t>-563,78</t>
        </is>
      </c>
      <c r="F44" s="20" t="inlineStr">
        <is>
          <t>398,78</t>
        </is>
      </c>
      <c r="G44" s="9" t="n">
        <v>1.1</v>
      </c>
      <c r="H44" s="9" t="n">
        <v>1.1</v>
      </c>
      <c r="I44" s="21" t="inlineStr">
        <is>
          <t>可以毁灭世界的最强男人\n   年轻白胡子</t>
        </is>
      </c>
      <c r="J44" s="20" t="inlineStr">
        <is>
          <t>-471,-62</t>
        </is>
      </c>
      <c r="K44" s="20" t="inlineStr">
        <is>
          <t>487,-53</t>
        </is>
      </c>
      <c r="L44" s="20" t="n">
        <v>1</v>
      </c>
      <c r="M44" s="20" t="n">
        <v>1</v>
      </c>
    </row>
    <row r="45" ht="39.95" customHeight="1" s="22">
      <c r="A45" s="4" t="n">
        <v>113065</v>
      </c>
      <c r="B45" s="18" t="inlineStr">
        <is>
          <t>新世界佩罗娜</t>
        </is>
      </c>
      <c r="C45" s="19" t="inlineStr">
        <is>
          <t>UI_icon_xsjpln</t>
        </is>
      </c>
      <c r="D45" s="7" t="inlineStr">
        <is>
          <t>533,800</t>
        </is>
      </c>
      <c r="E45" s="20" t="inlineStr">
        <is>
          <t>-549,1</t>
        </is>
      </c>
      <c r="F45" s="20" t="inlineStr">
        <is>
          <t>416,1</t>
        </is>
      </c>
      <c r="G45" s="9" t="n">
        <v>1.1</v>
      </c>
      <c r="H45" s="9" t="n">
        <v>0.75</v>
      </c>
      <c r="I45" s="21" t="inlineStr">
        <is>
          <t>傲娇的鬼魂幽灵公主\n 新世界佩罗娜</t>
        </is>
      </c>
      <c r="J45" s="20" t="inlineStr">
        <is>
          <t>-471,-62</t>
        </is>
      </c>
      <c r="K45" s="20" t="inlineStr">
        <is>
          <t>487,-53</t>
        </is>
      </c>
      <c r="L45" s="20" t="n">
        <v>1</v>
      </c>
      <c r="M45" s="20" t="n">
        <v>1</v>
      </c>
    </row>
    <row r="46" ht="39.95" customHeight="1" s="22">
      <c r="A46" s="4" t="n">
        <v>113066</v>
      </c>
      <c r="B46" s="18" t="inlineStr">
        <is>
          <t>英雄戈普</t>
        </is>
      </c>
      <c r="C46" s="19" t="inlineStr">
        <is>
          <t>UI_icon_yxgp</t>
        </is>
      </c>
      <c r="D46" s="7" t="inlineStr">
        <is>
          <t>533,800</t>
        </is>
      </c>
      <c r="E46" s="20" t="inlineStr">
        <is>
          <t>-551,-46</t>
        </is>
      </c>
      <c r="F46" s="20" t="inlineStr">
        <is>
          <t>419,-46</t>
        </is>
      </c>
      <c r="G46" s="9" t="n">
        <v>1.2</v>
      </c>
      <c r="H46" s="9" t="n">
        <v>0.75</v>
      </c>
      <c r="I46" s="21" t="inlineStr">
        <is>
          <t>旧时代最坚实的海军壁垒\n   英雄戈普</t>
        </is>
      </c>
      <c r="J46" s="20" t="inlineStr">
        <is>
          <t>-471,-62</t>
        </is>
      </c>
      <c r="K46" s="20" t="inlineStr">
        <is>
          <t>487,-53</t>
        </is>
      </c>
      <c r="L46" s="20" t="n">
        <v>1</v>
      </c>
      <c r="M46" s="20" t="n">
        <v>1</v>
      </c>
    </row>
    <row r="47" ht="39.95" customHeight="1" s="22">
      <c r="A47" s="4" t="n">
        <v>113067</v>
      </c>
      <c r="B47" s="18" t="inlineStr">
        <is>
          <t>新世界黑胡子</t>
        </is>
      </c>
      <c r="C47" s="19" t="inlineStr">
        <is>
          <t>UI_icon_xsjhhz</t>
        </is>
      </c>
      <c r="D47" s="7" t="inlineStr">
        <is>
          <t>533,800</t>
        </is>
      </c>
      <c r="E47" s="20" t="inlineStr">
        <is>
          <t>-569,-20</t>
        </is>
      </c>
      <c r="F47" s="20" t="inlineStr">
        <is>
          <t>402,-20</t>
        </is>
      </c>
      <c r="G47" s="9" t="n">
        <v>1.2</v>
      </c>
      <c r="H47" s="9" t="n">
        <v>1.3</v>
      </c>
      <c r="I47" s="21" t="inlineStr">
        <is>
          <t>拥有异暗与毁灭之力的新四皇\n 新世界黑胡子</t>
        </is>
      </c>
      <c r="J47" s="20" t="inlineStr">
        <is>
          <t>-471,-62</t>
        </is>
      </c>
      <c r="K47" s="20" t="inlineStr">
        <is>
          <t>487,-53</t>
        </is>
      </c>
      <c r="L47" s="20" t="n">
        <v>1</v>
      </c>
      <c r="M47" s="20" t="n">
        <v>1</v>
      </c>
    </row>
    <row r="48" ht="39.95" customHeight="1" s="22">
      <c r="A48" s="4" t="n">
        <v>113068</v>
      </c>
      <c r="B48" s="18" t="inlineStr">
        <is>
          <t>犬岚</t>
        </is>
      </c>
      <c r="C48" s="19" t="inlineStr">
        <is>
          <t>UI_icon_ql</t>
        </is>
      </c>
      <c r="D48" s="7" t="inlineStr">
        <is>
          <t>533,800</t>
        </is>
      </c>
      <c r="E48" s="20" t="inlineStr">
        <is>
          <t>-567,-35</t>
        </is>
      </c>
      <c r="F48" s="20" t="inlineStr">
        <is>
          <t>402,-35</t>
        </is>
      </c>
      <c r="G48" s="9" t="n">
        <v>1.2</v>
      </c>
      <c r="H48" s="9" t="n">
        <v>0.75</v>
      </c>
      <c r="I48" s="21" t="inlineStr">
        <is>
          <t>傲然于白昼之下的王者\n      犬岚</t>
        </is>
      </c>
      <c r="J48" s="20" t="inlineStr">
        <is>
          <t>-471,-62</t>
        </is>
      </c>
      <c r="K48" s="20" t="inlineStr">
        <is>
          <t>487,-53</t>
        </is>
      </c>
      <c r="L48" s="20" t="n">
        <v>1</v>
      </c>
      <c r="M48" s="20" t="n">
        <v>1</v>
      </c>
    </row>
    <row r="49" ht="39.95" customHeight="1" s="22">
      <c r="A49" s="4" t="n">
        <v>113069</v>
      </c>
      <c r="B49" s="18" t="inlineStr">
        <is>
          <t>猫蝮蛇</t>
        </is>
      </c>
      <c r="C49" s="19" t="inlineStr">
        <is>
          <t>UI_icon_mfs</t>
        </is>
      </c>
      <c r="D49" s="7" t="inlineStr">
        <is>
          <t>533,800</t>
        </is>
      </c>
      <c r="E49" s="20" t="inlineStr">
        <is>
          <t>-569,14</t>
        </is>
      </c>
      <c r="F49" s="20" t="inlineStr">
        <is>
          <t>404,14</t>
        </is>
      </c>
      <c r="G49" s="9" t="n">
        <v>1.3</v>
      </c>
      <c r="H49" s="9" t="n">
        <v>0.9</v>
      </c>
      <c r="I49" s="21" t="inlineStr">
        <is>
          <t>耀目于黑夜之下的王者\n     猫蝮蛇</t>
        </is>
      </c>
      <c r="J49" s="20" t="inlineStr">
        <is>
          <t>-471,-62</t>
        </is>
      </c>
      <c r="K49" s="20" t="inlineStr">
        <is>
          <t>487,-53</t>
        </is>
      </c>
      <c r="L49" s="20" t="n">
        <v>1</v>
      </c>
      <c r="M49" s="20" t="n">
        <v>1</v>
      </c>
    </row>
    <row r="50" ht="39.95" customHeight="1" s="22">
      <c r="A50" s="4" t="n">
        <v>113070</v>
      </c>
      <c r="B50" s="18" t="inlineStr">
        <is>
          <t>布玲</t>
        </is>
      </c>
      <c r="C50" s="19" t="inlineStr">
        <is>
          <t>UI_icon_bl</t>
        </is>
      </c>
      <c r="D50" s="7" t="inlineStr">
        <is>
          <t>533,800</t>
        </is>
      </c>
      <c r="E50" s="20" t="inlineStr">
        <is>
          <t>-527,-25</t>
        </is>
      </c>
      <c r="F50" s="20" t="inlineStr">
        <is>
          <t>423,-25</t>
        </is>
      </c>
      <c r="G50" s="9" t="n">
        <v>1.2</v>
      </c>
      <c r="H50" s="9" t="n">
        <v>0.75</v>
      </c>
      <c r="I50" s="21" t="inlineStr">
        <is>
          <t>操控记忆的三眼美少女\n     布玲</t>
        </is>
      </c>
      <c r="J50" s="20" t="inlineStr">
        <is>
          <t>-471,-62</t>
        </is>
      </c>
      <c r="K50" s="20" t="inlineStr">
        <is>
          <t>487,-53</t>
        </is>
      </c>
      <c r="L50" s="20" t="n">
        <v>1</v>
      </c>
      <c r="M50" s="20" t="n">
        <v>1</v>
      </c>
    </row>
    <row r="51" ht="39.95" customHeight="1" s="22">
      <c r="A51" s="4" t="n">
        <v>113071</v>
      </c>
      <c r="B51" s="18" t="inlineStr">
        <is>
          <t>霍金斯</t>
        </is>
      </c>
      <c r="C51" s="19" t="inlineStr">
        <is>
          <t>UI_icon_hjs</t>
        </is>
      </c>
      <c r="D51" s="7" t="inlineStr">
        <is>
          <t>533,800</t>
        </is>
      </c>
      <c r="E51" s="20" t="inlineStr">
        <is>
          <t>-539,-28</t>
        </is>
      </c>
      <c r="F51" s="20" t="inlineStr">
        <is>
          <t>419,-28</t>
        </is>
      </c>
      <c r="G51" s="9" t="n">
        <v>0.75</v>
      </c>
      <c r="H51" s="9" t="n">
        <v>0.7</v>
      </c>
      <c r="I51" s="21" t="inlineStr">
        <is>
          <t>占卜未来的命运塔罗牌\n   霍金斯</t>
        </is>
      </c>
      <c r="J51" s="20" t="inlineStr">
        <is>
          <t>-471,-62</t>
        </is>
      </c>
      <c r="K51" s="20" t="inlineStr">
        <is>
          <t>487,-53</t>
        </is>
      </c>
      <c r="L51" s="20" t="n">
        <v>1</v>
      </c>
      <c r="M51" s="20" t="n">
        <v>1</v>
      </c>
    </row>
    <row r="52" ht="39.95" customHeight="1" s="22">
      <c r="A52" s="4" t="n">
        <v>113072</v>
      </c>
      <c r="B52" s="18" t="inlineStr">
        <is>
          <t>德雷克</t>
        </is>
      </c>
      <c r="C52" s="19" t="inlineStr">
        <is>
          <t>UI_icon_dlk</t>
        </is>
      </c>
      <c r="D52" s="7" t="inlineStr">
        <is>
          <t>533,800</t>
        </is>
      </c>
      <c r="E52" s="20" t="inlineStr">
        <is>
          <t>-553,-37</t>
        </is>
      </c>
      <c r="F52" s="20" t="inlineStr">
        <is>
          <t>423,-37</t>
        </is>
      </c>
      <c r="G52" s="9" t="n">
        <v>0.8</v>
      </c>
      <c r="H52" s="9" t="n">
        <v>0.8</v>
      </c>
      <c r="I52" s="21" t="inlineStr">
        <is>
          <t>古代种“赤旗·德雷克”\n    德雷克</t>
        </is>
      </c>
      <c r="J52" s="20" t="inlineStr">
        <is>
          <t>-471,-62</t>
        </is>
      </c>
      <c r="K52" s="20" t="inlineStr">
        <is>
          <t>487,-53</t>
        </is>
      </c>
      <c r="L52" s="20" t="n">
        <v>1</v>
      </c>
      <c r="M52" s="20" t="n">
        <v>1</v>
      </c>
    </row>
    <row r="53" ht="39.95" customHeight="1" s="22">
      <c r="A53" s="4" t="n">
        <v>113073</v>
      </c>
      <c r="B53" s="18" t="inlineStr">
        <is>
          <t>希流</t>
        </is>
      </c>
      <c r="C53" s="19" t="inlineStr">
        <is>
          <t>UI_icon_xl</t>
        </is>
      </c>
      <c r="D53" s="7" t="inlineStr">
        <is>
          <t>533,800</t>
        </is>
      </c>
      <c r="E53" s="20" t="inlineStr">
        <is>
          <t>-582,-56</t>
        </is>
      </c>
      <c r="F53" s="20" t="inlineStr">
        <is>
          <t>403,-56</t>
        </is>
      </c>
      <c r="G53" s="9" t="n">
        <v>0.8</v>
      </c>
      <c r="H53" s="9" t="n">
        <v>0.9</v>
      </c>
      <c r="I53" s="21" t="inlineStr">
        <is>
          <t>血雨之中的嗜血审判者\n     希流</t>
        </is>
      </c>
      <c r="J53" s="20" t="inlineStr">
        <is>
          <t>-471,-62</t>
        </is>
      </c>
      <c r="K53" s="20" t="inlineStr">
        <is>
          <t>487,-53</t>
        </is>
      </c>
      <c r="L53" s="20" t="n">
        <v>1</v>
      </c>
      <c r="M53" s="20" t="n">
        <v>1</v>
      </c>
    </row>
    <row r="54" ht="39.95" customHeight="1" s="22">
      <c r="A54" s="4" t="n">
        <v>113076</v>
      </c>
      <c r="B54" s="18" t="inlineStr">
        <is>
          <t>大将战国</t>
        </is>
      </c>
      <c r="C54" s="19" t="inlineStr">
        <is>
          <t>UI_icon_djzg</t>
        </is>
      </c>
      <c r="D54" s="7" t="inlineStr">
        <is>
          <t>533,800</t>
        </is>
      </c>
      <c r="E54" s="20" t="inlineStr">
        <is>
          <t>-562,-39</t>
        </is>
      </c>
      <c r="F54" s="20" t="inlineStr">
        <is>
          <t>416,-39</t>
        </is>
      </c>
      <c r="G54" s="9" t="n">
        <v>0.8</v>
      </c>
      <c r="H54" s="9" t="n">
        <v>0.8</v>
      </c>
      <c r="I54" s="21" t="inlineStr">
        <is>
          <t>君临于世的佛之战国\n  大将战国</t>
        </is>
      </c>
      <c r="J54" s="20" t="inlineStr">
        <is>
          <t>-471,-62</t>
        </is>
      </c>
      <c r="K54" s="20" t="inlineStr">
        <is>
          <t>487,-53</t>
        </is>
      </c>
      <c r="L54" s="20" t="n">
        <v>1</v>
      </c>
      <c r="M54" s="20" t="n">
        <v>1</v>
      </c>
    </row>
    <row r="55" ht="39.95" customHeight="1" s="22">
      <c r="A55" s="4" t="n">
        <v>113078</v>
      </c>
      <c r="B55" s="18" t="inlineStr">
        <is>
          <t>杰克</t>
        </is>
      </c>
      <c r="C55" s="19" t="inlineStr">
        <is>
          <t>UI_icon_jack</t>
        </is>
      </c>
      <c r="D55" s="7" t="inlineStr">
        <is>
          <t>533,800</t>
        </is>
      </c>
      <c r="E55" s="20" t="inlineStr">
        <is>
          <t>-538,20</t>
        </is>
      </c>
      <c r="F55" s="20" t="inlineStr">
        <is>
          <t>416,-39</t>
        </is>
      </c>
      <c r="G55" s="9" t="n">
        <v>1.27</v>
      </c>
      <c r="H55" s="9" t="n">
        <v>0.8</v>
      </c>
      <c r="I55" s="21" t="inlineStr">
        <is>
          <t>所过之处寸草不生\n  杰克</t>
        </is>
      </c>
      <c r="J55" s="20" t="inlineStr">
        <is>
          <t>-471,-62</t>
        </is>
      </c>
      <c r="K55" s="20" t="inlineStr">
        <is>
          <t>487,-53</t>
        </is>
      </c>
      <c r="L55" s="20" t="n">
        <v>1</v>
      </c>
      <c r="M55" s="20" t="n">
        <v>1</v>
      </c>
    </row>
    <row r="56" ht="39.95" customHeight="1" s="22">
      <c r="A56" s="4" t="n">
        <v>113079</v>
      </c>
      <c r="B56" s="18" t="inlineStr">
        <is>
          <t>昆因</t>
        </is>
      </c>
      <c r="C56" s="19" t="inlineStr">
        <is>
          <t>UI_icon_queen</t>
        </is>
      </c>
      <c r="D56" s="7" t="inlineStr">
        <is>
          <t>533,800</t>
        </is>
      </c>
      <c r="E56" s="20" t="inlineStr">
        <is>
          <t>-538,-45</t>
        </is>
      </c>
      <c r="F56" s="20" t="inlineStr">
        <is>
          <t>416,-39</t>
        </is>
      </c>
      <c r="G56" s="9" t="n">
        <v>1</v>
      </c>
      <c r="H56" s="9" t="n">
        <v>1</v>
      </c>
      <c r="I56" s="21" t="inlineStr">
        <is>
          <t>“三大灾害”之“疫灾”\n昆因</t>
        </is>
      </c>
      <c r="J56" s="20" t="inlineStr">
        <is>
          <t>-471,-62</t>
        </is>
      </c>
      <c r="K56" s="20" t="inlineStr">
        <is>
          <t>487,-53</t>
        </is>
      </c>
      <c r="L56" s="20" t="n">
        <v>1</v>
      </c>
      <c r="M56" s="20" t="n">
        <v>1</v>
      </c>
    </row>
    <row r="57" ht="39.95" customHeight="1" s="22">
      <c r="A57" s="4" t="n">
        <v>113080</v>
      </c>
      <c r="B57" s="18" t="inlineStr">
        <is>
          <t>大和</t>
        </is>
      </c>
      <c r="C57" s="19" t="inlineStr">
        <is>
          <t>UI_icon_dahe</t>
        </is>
      </c>
      <c r="D57" s="7" t="inlineStr">
        <is>
          <t>533,800</t>
        </is>
      </c>
      <c r="E57" s="20" t="inlineStr">
        <is>
          <t>-538,-45</t>
        </is>
      </c>
      <c r="F57" s="20" t="inlineStr">
        <is>
          <t>416,-39</t>
        </is>
      </c>
      <c r="G57" s="9" t="n">
        <v>1</v>
      </c>
      <c r="H57" s="9" t="n">
        <v>1</v>
      </c>
      <c r="I57" s="21" t="inlineStr">
        <is>
          <t>努力成为“光月御殿”那样的人\n大和</t>
        </is>
      </c>
      <c r="J57" s="20" t="inlineStr">
        <is>
          <t>-471,-62</t>
        </is>
      </c>
      <c r="K57" s="20" t="inlineStr">
        <is>
          <t>487,-53</t>
        </is>
      </c>
      <c r="L57" s="20" t="n">
        <v>1</v>
      </c>
      <c r="M57" s="20" t="n">
        <v>1</v>
      </c>
    </row>
    <row r="58" ht="39.95" customHeight="1" s="22">
      <c r="A58" s="4" t="n">
        <v>113081</v>
      </c>
      <c r="B58" s="18" t="inlineStr">
        <is>
          <t>乌塔</t>
        </is>
      </c>
      <c r="C58" s="19" t="inlineStr">
        <is>
          <t>UI_icon_uta</t>
        </is>
      </c>
      <c r="D58" s="7" t="inlineStr">
        <is>
          <t>533,800</t>
        </is>
      </c>
      <c r="E58" s="20" t="inlineStr">
        <is>
          <t>-538,-45</t>
        </is>
      </c>
      <c r="F58" s="20" t="inlineStr">
        <is>
          <t>399,-77</t>
        </is>
      </c>
      <c r="G58" s="9" t="n">
        <v>0.8</v>
      </c>
      <c r="H58" s="9" t="n">
        <v>0.8</v>
      </c>
      <c r="I58" s="21" t="inlineStr">
        <is>
          <t>只要觉得开心就是胜利\n乌塔</t>
        </is>
      </c>
      <c r="J58" s="20" t="inlineStr">
        <is>
          <t>-471,-62</t>
        </is>
      </c>
      <c r="K58" s="20" t="inlineStr">
        <is>
          <t>487,-53</t>
        </is>
      </c>
      <c r="L58" s="20" t="n">
        <v>1</v>
      </c>
      <c r="M58" s="20" t="n">
        <v>1</v>
      </c>
    </row>
    <row r="59" ht="39.95" customHeight="1" s="22">
      <c r="A59" s="4" t="n">
        <v>113082</v>
      </c>
      <c r="B59" s="18" t="inlineStr">
        <is>
          <t>润媞</t>
        </is>
      </c>
      <c r="C59" s="19" t="inlineStr">
        <is>
          <t>UI_icon_runti</t>
        </is>
      </c>
      <c r="D59" s="7" t="inlineStr">
        <is>
          <t>533,800</t>
        </is>
      </c>
      <c r="E59" s="20" t="inlineStr">
        <is>
          <t>-538,-33</t>
        </is>
      </c>
      <c r="F59" s="20" t="inlineStr">
        <is>
          <t>399,-33</t>
        </is>
      </c>
      <c r="G59" s="9" t="n">
        <v>0.8</v>
      </c>
      <c r="H59" s="9" t="n">
        <v>0.8</v>
      </c>
      <c r="I59" s="21" t="inlineStr">
        <is>
          <t>小佩，哀家累了！\n润媞</t>
        </is>
      </c>
      <c r="J59" s="20" t="inlineStr">
        <is>
          <t>-471,-62</t>
        </is>
      </c>
      <c r="K59" s="20" t="inlineStr">
        <is>
          <t>487,-53</t>
        </is>
      </c>
      <c r="L59" s="20" t="n">
        <v>1</v>
      </c>
      <c r="M59" s="20" t="n">
        <v>1</v>
      </c>
    </row>
    <row r="60" ht="39.95" customHeight="1" s="22">
      <c r="A60" s="4" t="n">
        <v>113083</v>
      </c>
      <c r="B60" s="18" t="inlineStr">
        <is>
          <t>烬</t>
        </is>
      </c>
      <c r="C60" s="19" t="inlineStr">
        <is>
          <t>UI_icon_jin</t>
        </is>
      </c>
      <c r="D60" s="7" t="inlineStr">
        <is>
          <t>533,800</t>
        </is>
      </c>
      <c r="E60" s="20" t="inlineStr">
        <is>
          <t>-538,-33</t>
        </is>
      </c>
      <c r="F60" s="20" t="inlineStr">
        <is>
          <t>399,-33</t>
        </is>
      </c>
      <c r="G60" s="9" t="n">
        <v>0.8</v>
      </c>
      <c r="H60" s="9" t="n">
        <v>0.8</v>
      </c>
      <c r="I60" s="21" t="inlineStr">
        <is>
          <t>“三灾”之首“炎灾”\n烬</t>
        </is>
      </c>
      <c r="J60" s="20" t="inlineStr">
        <is>
          <t>-471,-62</t>
        </is>
      </c>
      <c r="K60" s="20" t="inlineStr">
        <is>
          <t>487,-53</t>
        </is>
      </c>
      <c r="L60" s="20" t="n">
        <v>1</v>
      </c>
      <c r="M60" s="20" t="n">
        <v>1</v>
      </c>
    </row>
    <row r="61" ht="39.95" customHeight="1" s="22">
      <c r="A61" s="4" t="n">
        <v>113084</v>
      </c>
      <c r="B61" s="18" t="inlineStr">
        <is>
          <t>佩吉旺</t>
        </is>
      </c>
      <c r="C61" s="19" t="inlineStr">
        <is>
          <t>UI_icon_peijiwang</t>
        </is>
      </c>
      <c r="D61" s="7" t="inlineStr">
        <is>
          <t>533,800</t>
        </is>
      </c>
      <c r="E61" s="20" t="inlineStr">
        <is>
          <t>-538,-33</t>
        </is>
      </c>
      <c r="F61" s="20" t="inlineStr">
        <is>
          <t>399,-33</t>
        </is>
      </c>
      <c r="G61" s="9" t="n">
        <v>0.8</v>
      </c>
      <c r="H61" s="9" t="n">
        <v>0.8</v>
      </c>
      <c r="I61" s="21" t="inlineStr">
        <is>
          <t>攻防兼备的“棘背龙\n佩吉旺</t>
        </is>
      </c>
      <c r="J61" s="20" t="inlineStr">
        <is>
          <t>-471,-62</t>
        </is>
      </c>
      <c r="K61" s="20" t="inlineStr">
        <is>
          <t>487,-53</t>
        </is>
      </c>
      <c r="L61" s="20" t="n">
        <v>1</v>
      </c>
      <c r="M61" s="20" t="n">
        <v>1</v>
      </c>
    </row>
    <row r="62" ht="39.95" customHeight="1" s="22">
      <c r="A62" s="4" t="n">
        <v>113085</v>
      </c>
      <c r="B62" s="18" t="inlineStr">
        <is>
          <t>基拉</t>
        </is>
      </c>
      <c r="C62" s="19" t="inlineStr">
        <is>
          <t>UI_icon_jila</t>
        </is>
      </c>
      <c r="D62" s="7" t="inlineStr">
        <is>
          <t>533,800</t>
        </is>
      </c>
      <c r="E62" s="20" t="inlineStr">
        <is>
          <t>-538,-33</t>
        </is>
      </c>
      <c r="F62" s="20" t="inlineStr">
        <is>
          <t>399,-33</t>
        </is>
      </c>
      <c r="G62" s="9" t="n">
        <v>0.8</v>
      </c>
      <c r="H62" s="9" t="n">
        <v>0.8</v>
      </c>
      <c r="I62" s="21" t="inlineStr">
        <is>
          <t>“杀戮武人，沉默之镰刀”\n基拉</t>
        </is>
      </c>
      <c r="J62" s="20" t="inlineStr">
        <is>
          <t>-471,-62</t>
        </is>
      </c>
      <c r="K62" s="20" t="inlineStr">
        <is>
          <t>487,-53</t>
        </is>
      </c>
      <c r="L62" s="20" t="n">
        <v>1</v>
      </c>
      <c r="M62" s="20" t="n">
        <v>1</v>
      </c>
    </row>
    <row r="63" ht="39.95" customHeight="1" s="22">
      <c r="A63" s="4" t="n">
        <v>113086</v>
      </c>
      <c r="B63" s="18" t="inlineStr">
        <is>
          <t>新世界基德</t>
        </is>
      </c>
      <c r="C63" s="19" t="inlineStr">
        <is>
          <t>UI_icon_xsjjd</t>
        </is>
      </c>
      <c r="D63" s="7" t="inlineStr">
        <is>
          <t>533,800</t>
        </is>
      </c>
      <c r="E63" s="20" t="inlineStr">
        <is>
          <t>-500,-60</t>
        </is>
      </c>
      <c r="F63" s="20" t="inlineStr">
        <is>
          <t>440,-60</t>
        </is>
      </c>
      <c r="G63" s="9" t="n">
        <v>0.95</v>
      </c>
      <c r="H63" s="9" t="n">
        <v>0.8</v>
      </c>
      <c r="I63" s="21" t="inlineStr">
        <is>
          <t>赋予万物磁力的磁气魔人\n新世界基德</t>
        </is>
      </c>
      <c r="J63" s="20" t="inlineStr">
        <is>
          <t>-471,-62</t>
        </is>
      </c>
      <c r="K63" s="20" t="inlineStr">
        <is>
          <t>487,-53</t>
        </is>
      </c>
      <c r="L63" s="20" t="n">
        <v>1</v>
      </c>
      <c r="M63" s="20" t="n">
        <v>1</v>
      </c>
    </row>
    <row r="64" ht="39.95" customHeight="1" s="22">
      <c r="A64" s="4" t="n">
        <v>113087</v>
      </c>
      <c r="B64" s="18" t="inlineStr">
        <is>
          <t>和之国罗</t>
        </is>
      </c>
      <c r="C64" s="19" t="inlineStr">
        <is>
          <t>UI_icon_hzgl</t>
        </is>
      </c>
      <c r="D64" s="7" t="inlineStr">
        <is>
          <t>533,800</t>
        </is>
      </c>
      <c r="E64" s="20" t="inlineStr">
        <is>
          <t>-500,-60</t>
        </is>
      </c>
      <c r="F64" s="20" t="inlineStr">
        <is>
          <t>440,-60</t>
        </is>
      </c>
      <c r="G64" s="9" t="n">
        <v>0.8</v>
      </c>
      <c r="H64" s="9" t="n">
        <v>0.8</v>
      </c>
      <c r="I64" s="21" t="inlineStr">
        <is>
          <t>“死之外科医生”\n和之国罗</t>
        </is>
      </c>
      <c r="J64" s="20" t="inlineStr">
        <is>
          <t>-471,-62</t>
        </is>
      </c>
      <c r="K64" s="20" t="inlineStr">
        <is>
          <t>487,-53</t>
        </is>
      </c>
      <c r="L64" s="20" t="n">
        <v>1</v>
      </c>
      <c r="M64" s="20" t="n">
        <v>1</v>
      </c>
    </row>
    <row r="65" ht="39.95" customHeight="1" s="22">
      <c r="A65" s="4" t="n">
        <v>113089</v>
      </c>
      <c r="B65" s="18" t="inlineStr">
        <is>
          <t>和之国路飞</t>
        </is>
      </c>
      <c r="C65" s="19" t="inlineStr">
        <is>
          <t>UI_icon_hzglf</t>
        </is>
      </c>
      <c r="D65" s="7" t="inlineStr">
        <is>
          <t>533,800</t>
        </is>
      </c>
      <c r="E65" s="20" t="inlineStr">
        <is>
          <t>-500,-60</t>
        </is>
      </c>
      <c r="F65" s="20" t="inlineStr">
        <is>
          <t>440,-60</t>
        </is>
      </c>
      <c r="G65" s="9" t="n">
        <v>0.8</v>
      </c>
      <c r="H65" s="9" t="n">
        <v>0.8</v>
      </c>
      <c r="I65" s="21" t="inlineStr">
        <is>
          <t>“我一定会揍飞你”\n和之国路飞</t>
        </is>
      </c>
      <c r="J65" s="20" t="inlineStr">
        <is>
          <t>-471,-62</t>
        </is>
      </c>
      <c r="K65" s="20" t="inlineStr">
        <is>
          <t>487,-53</t>
        </is>
      </c>
      <c r="L65" s="20" t="n">
        <v>1</v>
      </c>
      <c r="M65" s="20" t="n">
        <v>1</v>
      </c>
    </row>
    <row r="66" ht="39.95" customHeight="1" s="22">
      <c r="A66" s="4" t="n">
        <v>113090</v>
      </c>
      <c r="B66" s="18" t="inlineStr">
        <is>
          <t>和之国罗宾</t>
        </is>
      </c>
      <c r="C66" s="19" t="inlineStr">
        <is>
          <t>UI_icon_hzglb</t>
        </is>
      </c>
      <c r="D66" s="7" t="inlineStr">
        <is>
          <t>533,800</t>
        </is>
      </c>
      <c r="E66" s="20" t="inlineStr">
        <is>
          <t>-560,-7</t>
        </is>
      </c>
      <c r="F66" s="20" t="inlineStr">
        <is>
          <t>410,-7</t>
        </is>
      </c>
      <c r="G66" s="9" t="n">
        <v>1.2</v>
      </c>
      <c r="H66" s="9" t="n">
        <v>0.8</v>
      </c>
      <c r="I66" s="21" t="inlineStr">
        <is>
          <t>“化身恶魔也在所不惜!”\n和之国罗宾</t>
        </is>
      </c>
      <c r="J66" s="20" t="inlineStr">
        <is>
          <t>-471,-62</t>
        </is>
      </c>
      <c r="K66" s="20" t="inlineStr">
        <is>
          <t>487,-53</t>
        </is>
      </c>
      <c r="L66" s="20" t="n">
        <v>1</v>
      </c>
      <c r="M66" s="20" t="n">
        <v>1</v>
      </c>
    </row>
    <row r="67" ht="39.95" customHeight="1" s="22">
      <c r="A67" s="4" t="n">
        <v>113091</v>
      </c>
      <c r="B67" s="18" t="inlineStr">
        <is>
          <t>和之国山智</t>
        </is>
      </c>
      <c r="C67" s="19" t="inlineStr">
        <is>
          <t>UI_icon_hzgsz</t>
        </is>
      </c>
      <c r="D67" s="7" t="inlineStr">
        <is>
          <t>533,800</t>
        </is>
      </c>
      <c r="E67" s="20" t="inlineStr">
        <is>
          <t>-560,96</t>
        </is>
      </c>
      <c r="F67" s="20" t="inlineStr">
        <is>
          <t>410,96</t>
        </is>
      </c>
      <c r="G67" s="9" t="n">
        <v>1.2</v>
      </c>
      <c r="H67" s="9" t="n">
        <v>0.8</v>
      </c>
      <c r="I67" s="21" t="inlineStr">
        <is>
          <t>“热情比火焰更炽烈”\n和之国山智</t>
        </is>
      </c>
      <c r="J67" s="20" t="inlineStr">
        <is>
          <t>-471,-62</t>
        </is>
      </c>
      <c r="K67" s="20" t="inlineStr">
        <is>
          <t>487,-53</t>
        </is>
      </c>
      <c r="L67" s="20" t="n">
        <v>1</v>
      </c>
      <c r="M67" s="20" t="n">
        <v>1</v>
      </c>
    </row>
    <row r="68" ht="39.95" customHeight="1" s="22">
      <c r="A68" s="4" t="n">
        <v>113092</v>
      </c>
      <c r="B68" s="18" t="inlineStr">
        <is>
          <t>和之国佐罗</t>
        </is>
      </c>
      <c r="C68" s="19" t="inlineStr">
        <is>
          <t>UI_icon_hzgsl</t>
        </is>
      </c>
      <c r="D68" s="7" t="inlineStr">
        <is>
          <t>533,800</t>
        </is>
      </c>
      <c r="E68" s="20" t="inlineStr">
        <is>
          <t>-447,19</t>
        </is>
      </c>
      <c r="F68" s="20" t="inlineStr">
        <is>
          <t>410,96</t>
        </is>
      </c>
      <c r="G68" s="9" t="n">
        <v>1.14</v>
      </c>
      <c r="H68" s="9" t="n">
        <v>0.8</v>
      </c>
      <c r="I68" s="21" t="inlineStr">
        <is>
          <t>“地狱之王？当了又何妨！”\n和之国佐罗</t>
        </is>
      </c>
      <c r="J68" s="20" t="inlineStr">
        <is>
          <t>-471,-62</t>
        </is>
      </c>
      <c r="K68" s="20" t="inlineStr">
        <is>
          <t>487,-53</t>
        </is>
      </c>
      <c r="L68" s="20" t="n">
        <v>1</v>
      </c>
      <c r="M68" s="20" t="n">
        <v>1</v>
      </c>
    </row>
    <row r="69" ht="39.95" customHeight="1" s="22">
      <c r="A69" s="4" t="n">
        <v>113093</v>
      </c>
      <c r="B69" s="18" t="inlineStr">
        <is>
          <t>和之国乔巴</t>
        </is>
      </c>
      <c r="C69" s="19" t="inlineStr">
        <is>
          <t>UI_icon_hzgqb</t>
        </is>
      </c>
      <c r="D69" s="7" t="inlineStr">
        <is>
          <t>533,800</t>
        </is>
      </c>
      <c r="E69" s="20" t="inlineStr">
        <is>
          <t>-534,54</t>
        </is>
      </c>
      <c r="F69" s="20" t="inlineStr">
        <is>
          <t>399,25</t>
        </is>
      </c>
      <c r="G69" s="9" t="n">
        <v>1.14</v>
      </c>
      <c r="H69" s="9" t="n">
        <v>0.8</v>
      </c>
      <c r="I69" s="21" t="inlineStr">
        <is>
          <t>化解挚友痛苦的驯鹿医生\n  和之国乔巴</t>
        </is>
      </c>
      <c r="J69" s="20" t="inlineStr">
        <is>
          <t>-471,-62</t>
        </is>
      </c>
      <c r="K69" s="20" t="inlineStr">
        <is>
          <t>487,-53</t>
        </is>
      </c>
      <c r="L69" s="20" t="n">
        <v>1</v>
      </c>
      <c r="M69" s="20" t="n">
        <v>1</v>
      </c>
    </row>
    <row r="70" ht="39.95" customHeight="1" s="22">
      <c r="A70" s="4" t="n">
        <v>113094</v>
      </c>
      <c r="B70" s="18" t="inlineStr">
        <is>
          <t>和之国撒谎布</t>
        </is>
      </c>
      <c r="C70" s="19" t="inlineStr">
        <is>
          <t>UI_icon_hzgshb</t>
        </is>
      </c>
      <c r="D70" s="7" t="inlineStr">
        <is>
          <t>533,800</t>
        </is>
      </c>
      <c r="E70" s="20" t="inlineStr">
        <is>
          <t>-547,-21</t>
        </is>
      </c>
      <c r="F70" s="20" t="inlineStr">
        <is>
          <t>416,-21</t>
        </is>
      </c>
      <c r="G70" s="9" t="n">
        <v>0.8</v>
      </c>
      <c r="H70" s="9" t="n">
        <v>0.8</v>
      </c>
      <c r="I70" s="21" t="inlineStr">
        <is>
          <t>战胜恐惧的海上勇士\n 和之国撒谎布</t>
        </is>
      </c>
      <c r="J70" s="20" t="inlineStr">
        <is>
          <t>-471,-62</t>
        </is>
      </c>
      <c r="K70" s="20" t="inlineStr">
        <is>
          <t>487,-53</t>
        </is>
      </c>
      <c r="L70" s="20" t="n">
        <v>1</v>
      </c>
      <c r="M70" s="20" t="n">
        <v>1</v>
      </c>
    </row>
    <row r="71" ht="39.95" customHeight="1" s="22">
      <c r="A71" s="4" t="n">
        <v>113095</v>
      </c>
      <c r="B71" s="18" t="inlineStr">
        <is>
          <t>和之国奈美</t>
        </is>
      </c>
      <c r="C71" s="19" t="inlineStr">
        <is>
          <t>UI_icon_hzgnm</t>
        </is>
      </c>
      <c r="D71" s="7" t="inlineStr">
        <is>
          <t>533,800</t>
        </is>
      </c>
      <c r="E71" s="20" t="inlineStr">
        <is>
          <t>-547,-21</t>
        </is>
      </c>
      <c r="F71" s="20" t="inlineStr">
        <is>
          <t>316,-21</t>
        </is>
      </c>
      <c r="G71" s="9" t="n">
        <v>1.1</v>
      </c>
      <c r="H71" s="9" t="n">
        <v>0.8</v>
      </c>
      <c r="I71" s="21" t="inlineStr">
        <is>
          <t>掌握雷霆的天才航海士\n 和之国奈美</t>
        </is>
      </c>
      <c r="J71" s="20" t="inlineStr">
        <is>
          <t>-471,-62</t>
        </is>
      </c>
      <c r="K71" s="20" t="inlineStr">
        <is>
          <t>487,-53</t>
        </is>
      </c>
      <c r="L71" s="20" t="n">
        <v>1</v>
      </c>
      <c r="M71" s="20" t="n">
        <v>1</v>
      </c>
    </row>
    <row r="72" ht="39.95" customHeight="1" s="22">
      <c r="A72" s="4" t="n">
        <v>113096</v>
      </c>
      <c r="B72" s="18" t="inlineStr">
        <is>
          <t>和之国弗兰奇</t>
        </is>
      </c>
      <c r="C72" s="19" t="inlineStr">
        <is>
          <t>UI_icon_hzgflq</t>
        </is>
      </c>
      <c r="D72" s="7" t="inlineStr">
        <is>
          <t>533,800</t>
        </is>
      </c>
      <c r="E72" s="20" t="inlineStr">
        <is>
          <t>-547,-21</t>
        </is>
      </c>
      <c r="F72" s="20" t="inlineStr">
        <is>
          <t>316,-21</t>
        </is>
      </c>
      <c r="G72" s="9" t="n">
        <v>1.1</v>
      </c>
      <c r="H72" s="9" t="n">
        <v>0.8</v>
      </c>
      <c r="I72" s="21" t="inlineStr">
        <is>
          <t>钢铁海盗弗兰奇将军\n 和之国弗兰奇</t>
        </is>
      </c>
      <c r="J72" s="20" t="inlineStr">
        <is>
          <t>-471,-62</t>
        </is>
      </c>
      <c r="K72" s="20" t="inlineStr">
        <is>
          <t>487,-53</t>
        </is>
      </c>
      <c r="L72" s="20" t="n">
        <v>1</v>
      </c>
      <c r="M72" s="20" t="n">
        <v>1</v>
      </c>
    </row>
    <row r="73" ht="39.95" customHeight="1" s="22">
      <c r="A73" s="4" t="n">
        <v>113097</v>
      </c>
      <c r="B73" s="18" t="inlineStr">
        <is>
          <t>和之国布鲁克</t>
        </is>
      </c>
      <c r="C73" s="19" t="inlineStr">
        <is>
          <t>UI_icon_hzgblk</t>
        </is>
      </c>
      <c r="D73" s="7" t="inlineStr">
        <is>
          <t>533,800</t>
        </is>
      </c>
      <c r="E73" s="20" t="inlineStr">
        <is>
          <t>-547,-21</t>
        </is>
      </c>
      <c r="F73" s="20" t="inlineStr">
        <is>
          <t>316,-21</t>
        </is>
      </c>
      <c r="G73" s="9" t="n">
        <v>1.1</v>
      </c>
      <c r="H73" s="9" t="n">
        <v>0.8</v>
      </c>
      <c r="I73" s="21" t="inlineStr">
        <is>
          <t>掌控魂之剑的灵魂之王\n 和之国布鲁克</t>
        </is>
      </c>
      <c r="J73" s="20" t="inlineStr">
        <is>
          <t>-471,-62</t>
        </is>
      </c>
      <c r="K73" s="20" t="inlineStr">
        <is>
          <t>487,-53</t>
        </is>
      </c>
      <c r="L73" s="20" t="n">
        <v>1</v>
      </c>
      <c r="M73" s="20" t="n">
        <v>1</v>
      </c>
    </row>
    <row r="74" ht="39.95" customHeight="1" s="22">
      <c r="A74" s="4" t="n">
        <v>113098</v>
      </c>
      <c r="B74" s="18" t="inlineStr">
        <is>
          <t>和之国甚平</t>
        </is>
      </c>
      <c r="C74" s="19" t="inlineStr">
        <is>
          <t>UI_icon_hzgsp</t>
        </is>
      </c>
      <c r="D74" s="7" t="inlineStr">
        <is>
          <t>533,800</t>
        </is>
      </c>
      <c r="E74" s="20" t="inlineStr">
        <is>
          <t>-547,-21</t>
        </is>
      </c>
      <c r="F74" s="20" t="inlineStr">
        <is>
          <t>316,-21</t>
        </is>
      </c>
      <c r="G74" s="9" t="n">
        <v>1.1</v>
      </c>
      <c r="H74" s="9" t="n">
        <v>0.8</v>
      </c>
      <c r="I74" s="21" t="inlineStr">
        <is>
          <t>擅长鱼人空手道的海侠\n 和之国甚平</t>
        </is>
      </c>
      <c r="J74" s="20" t="inlineStr">
        <is>
          <t>-471,-62</t>
        </is>
      </c>
      <c r="K74" s="20" t="inlineStr">
        <is>
          <t>487,-53</t>
        </is>
      </c>
      <c r="L74" s="20" t="n">
        <v>1</v>
      </c>
      <c r="M74" s="20" t="n">
        <v>1</v>
      </c>
    </row>
    <row r="75" ht="39.95" customHeight="1" s="22">
      <c r="A75" s="4" t="n">
        <v>113099</v>
      </c>
      <c r="B75" s="18" t="inlineStr">
        <is>
          <t>黑色玛利亚</t>
        </is>
      </c>
      <c r="C75" s="19" t="inlineStr">
        <is>
          <t>UI_icon_hsmly</t>
        </is>
      </c>
      <c r="D75" s="7" t="inlineStr">
        <is>
          <t>533,800</t>
        </is>
      </c>
      <c r="E75" s="20" t="inlineStr">
        <is>
          <t>-547,-21</t>
        </is>
      </c>
      <c r="F75" s="20" t="inlineStr">
        <is>
          <t>316,-21</t>
        </is>
      </c>
      <c r="G75" s="9" t="n">
        <v>1.1</v>
      </c>
      <c r="H75" s="9" t="n">
        <v>0.8</v>
      </c>
      <c r="I75" s="21" t="inlineStr">
        <is>
          <t>蜘蛛果实古代种能力者\n 黑色玛利亚</t>
        </is>
      </c>
      <c r="J75" s="20" t="inlineStr">
        <is>
          <t>-471,-62</t>
        </is>
      </c>
      <c r="K75" s="20" t="inlineStr">
        <is>
          <t>487,-53</t>
        </is>
      </c>
      <c r="L75" s="20" t="n">
        <v>1</v>
      </c>
      <c r="M75" s="20" t="n">
        <v>1</v>
      </c>
    </row>
    <row r="76" ht="39.95" customHeight="1" s="22">
      <c r="A76" s="4" t="n">
        <v>113101</v>
      </c>
      <c r="B76" s="18" t="inlineStr">
        <is>
          <t>金狮子西奇</t>
        </is>
      </c>
      <c r="C76" s="19" t="inlineStr">
        <is>
          <t>UI_icon_jszxq</t>
        </is>
      </c>
      <c r="D76" s="7" t="inlineStr">
        <is>
          <t>533,800</t>
        </is>
      </c>
      <c r="E76" s="20" t="inlineStr">
        <is>
          <t>-547,-21</t>
        </is>
      </c>
      <c r="F76" s="20" t="inlineStr">
        <is>
          <t>316,-21</t>
        </is>
      </c>
      <c r="G76" s="9" t="n">
        <v>1.1</v>
      </c>
      <c r="H76" s="9" t="n">
        <v>0.8</v>
      </c>
      <c r="I76" s="21" t="inlineStr">
        <is>
          <t>传说中的飞天海贼\n 金狮子西奇</t>
        </is>
      </c>
      <c r="J76" s="20" t="inlineStr">
        <is>
          <t>-471,-62</t>
        </is>
      </c>
      <c r="K76" s="20" t="inlineStr">
        <is>
          <t>487,-53</t>
        </is>
      </c>
      <c r="L76" s="20" t="n">
        <v>1</v>
      </c>
      <c r="M76" s="20" t="n">
        <v>1</v>
      </c>
    </row>
    <row r="77" ht="39.95" customHeight="1" s="22">
      <c r="A77" s="4" t="n">
        <v>113102</v>
      </c>
      <c r="B77" s="18" t="inlineStr">
        <is>
          <t>荞麦假面</t>
        </is>
      </c>
      <c r="C77" s="19" t="inlineStr">
        <is>
          <t>UI_icon_qmjm</t>
        </is>
      </c>
      <c r="D77" s="7" t="inlineStr">
        <is>
          <t>533,800</t>
        </is>
      </c>
      <c r="E77" s="20" t="inlineStr">
        <is>
          <t>-547,-21</t>
        </is>
      </c>
      <c r="F77" s="20" t="inlineStr">
        <is>
          <t>316,-21</t>
        </is>
      </c>
      <c r="G77" s="9" t="n">
        <v>1.1</v>
      </c>
      <c r="H77" s="9" t="n">
        <v>0.8</v>
      </c>
      <c r="I77" s="21" t="inlineStr">
        <is>
          <t>战斗服山治登场！\n 荞麦假面</t>
        </is>
      </c>
      <c r="J77" s="20" t="inlineStr">
        <is>
          <t>-471,-62</t>
        </is>
      </c>
      <c r="K77" s="20" t="inlineStr">
        <is>
          <t>487,-53</t>
        </is>
      </c>
      <c r="L77" s="20" t="n">
        <v>1</v>
      </c>
      <c r="M77" s="20" t="n">
        <v>1</v>
      </c>
    </row>
    <row r="78" ht="39.95" customHeight="1" s="22">
      <c r="A78" s="4" t="n">
        <v>113103</v>
      </c>
      <c r="B78" s="18" t="inlineStr">
        <is>
          <t>绿牛</t>
        </is>
      </c>
      <c r="C78" s="19" t="inlineStr">
        <is>
          <t>UI_icon_ln</t>
        </is>
      </c>
      <c r="D78" s="7" t="inlineStr">
        <is>
          <t>533,800</t>
        </is>
      </c>
      <c r="E78" s="20" t="inlineStr">
        <is>
          <t>-547,-21</t>
        </is>
      </c>
      <c r="F78" s="20" t="inlineStr">
        <is>
          <t>400,-15</t>
        </is>
      </c>
      <c r="G78" s="9" t="n">
        <v>1</v>
      </c>
      <c r="H78" s="9" t="n">
        <v>0.8</v>
      </c>
      <c r="I78" s="21" t="inlineStr">
        <is>
          <t>奉行拼死正义的海军大将\n 绿牛</t>
        </is>
      </c>
      <c r="J78" s="20" t="inlineStr">
        <is>
          <t>-471,-62</t>
        </is>
      </c>
      <c r="K78" s="20" t="inlineStr">
        <is>
          <t>487,-53</t>
        </is>
      </c>
      <c r="L78" s="20" t="n">
        <v>1</v>
      </c>
      <c r="M78" s="20" t="n">
        <v>1</v>
      </c>
    </row>
    <row r="79" ht="39.95" customHeight="1" s="22">
      <c r="A79" s="4" t="n">
        <v>113104</v>
      </c>
      <c r="B79" s="18" t="inlineStr">
        <is>
          <t>大口真神大和</t>
        </is>
      </c>
      <c r="C79" s="19" t="inlineStr">
        <is>
          <t>UI_icon_dkzsdh</t>
        </is>
      </c>
      <c r="D79" s="7" t="inlineStr">
        <is>
          <t>533,800</t>
        </is>
      </c>
      <c r="E79" s="20" t="inlineStr">
        <is>
          <t>-538,-45</t>
        </is>
      </c>
      <c r="F79" s="20" t="inlineStr">
        <is>
          <t>360,-39</t>
        </is>
      </c>
      <c r="G79" s="9" t="n">
        <v>1</v>
      </c>
      <c r="H79" s="9" t="n">
        <v>1</v>
      </c>
      <c r="I79" s="21" t="inlineStr">
        <is>
          <t>努力成为“光月御殿”那样的人\n 大口真神大和</t>
        </is>
      </c>
      <c r="J79" s="20" t="inlineStr">
        <is>
          <t>-471,-62</t>
        </is>
      </c>
      <c r="K79" s="20" t="inlineStr">
        <is>
          <t>487,-53</t>
        </is>
      </c>
      <c r="L79" s="20" t="n">
        <v>1</v>
      </c>
      <c r="M79" s="20" t="n">
        <v>1</v>
      </c>
    </row>
    <row r="80" ht="39.95" customHeight="1" s="22">
      <c r="A80" s="4" t="n">
        <v>113105</v>
      </c>
      <c r="B80" s="18" t="inlineStr">
        <is>
          <t>基德&amp;罗</t>
        </is>
      </c>
      <c r="C80" s="19" t="inlineStr">
        <is>
          <t>UI_icon_jdl</t>
        </is>
      </c>
      <c r="D80" s="7" t="inlineStr">
        <is>
          <t>533,800</t>
        </is>
      </c>
      <c r="E80" s="20" t="inlineStr">
        <is>
          <t>-538,-45</t>
        </is>
      </c>
      <c r="F80" s="20" t="inlineStr">
        <is>
          <t>325,35</t>
        </is>
      </c>
      <c r="G80" s="9" t="n">
        <v>1.1</v>
      </c>
      <c r="H80" s="9" t="n">
        <v>0.8</v>
      </c>
      <c r="I80" s="21" t="inlineStr">
        <is>
          <t>联手的二人！\n 基德&amp;罗</t>
        </is>
      </c>
      <c r="J80" s="20" t="inlineStr">
        <is>
          <t>-471,-62</t>
        </is>
      </c>
      <c r="K80" s="20" t="inlineStr">
        <is>
          <t>487,-53</t>
        </is>
      </c>
      <c r="L80" s="20" t="n">
        <v>1</v>
      </c>
      <c r="M80" s="20" t="n">
        <v>1</v>
      </c>
    </row>
    <row r="81" ht="39.95" customHeight="1" s="22">
      <c r="A81" s="4" t="n">
        <v>113106</v>
      </c>
      <c r="B81" s="18" t="inlineStr">
        <is>
          <t>邦妮</t>
        </is>
      </c>
      <c r="C81" s="19" t="inlineStr">
        <is>
          <t>UI_icon_bn</t>
        </is>
      </c>
      <c r="D81" s="7" t="inlineStr">
        <is>
          <t>533,800</t>
        </is>
      </c>
      <c r="E81" s="20" t="inlineStr">
        <is>
          <t>-538,-45</t>
        </is>
      </c>
      <c r="F81" s="20" t="inlineStr">
        <is>
          <t>325,0</t>
        </is>
      </c>
      <c r="G81" s="9" t="n">
        <v>1.1</v>
      </c>
      <c r="H81" s="9" t="n">
        <v>0.7</v>
      </c>
      <c r="I81" s="21" t="inlineStr">
        <is>
          <t>操纵年龄的大胃女\n 邦妮</t>
        </is>
      </c>
      <c r="J81" s="20" t="inlineStr">
        <is>
          <t>-471,-62</t>
        </is>
      </c>
      <c r="K81" s="20" t="inlineStr">
        <is>
          <t>487,-53</t>
        </is>
      </c>
      <c r="L81" s="20" t="n">
        <v>1</v>
      </c>
      <c r="M81" s="20" t="n">
        <v>1</v>
      </c>
    </row>
    <row r="82" ht="39.95" customHeight="1" s="22">
      <c r="A82" s="4" t="n">
        <v>113107</v>
      </c>
      <c r="B82" s="18" t="inlineStr">
        <is>
          <t>S-老鹰</t>
        </is>
      </c>
      <c r="C82" s="19" t="inlineStr">
        <is>
          <t>UI_icon_ly</t>
        </is>
      </c>
      <c r="D82" s="7" t="inlineStr">
        <is>
          <t>533,800</t>
        </is>
      </c>
      <c r="E82" s="20" t="inlineStr">
        <is>
          <t>-538,-45</t>
        </is>
      </c>
      <c r="F82" s="20" t="inlineStr">
        <is>
          <t>325,0</t>
        </is>
      </c>
      <c r="G82" s="9" t="n">
        <v>1.1</v>
      </c>
      <c r="H82" s="9" t="n">
        <v>0.7</v>
      </c>
      <c r="I82" s="21" t="inlineStr">
        <is>
          <t>王下七武海的克隆体！\n S-老鹰</t>
        </is>
      </c>
      <c r="J82" s="20" t="inlineStr">
        <is>
          <t>-471,-165</t>
        </is>
      </c>
      <c r="K82" s="20" t="inlineStr">
        <is>
          <t>487,-53</t>
        </is>
      </c>
      <c r="L82" s="20" t="n">
        <v>1</v>
      </c>
      <c r="M82" s="20" t="n">
        <v>1</v>
      </c>
    </row>
    <row r="83" ht="39.95" customHeight="1" s="22">
      <c r="A83" s="4" t="n">
        <v>113108</v>
      </c>
      <c r="B83" s="18" t="inlineStr">
        <is>
          <t>S-蛇女</t>
        </is>
      </c>
      <c r="C83" s="19" t="inlineStr">
        <is>
          <t>UI_icon_sn</t>
        </is>
      </c>
      <c r="D83" s="7" t="inlineStr">
        <is>
          <t>533,800</t>
        </is>
      </c>
      <c r="E83" s="20" t="inlineStr">
        <is>
          <t>-538,-45</t>
        </is>
      </c>
      <c r="F83" s="20" t="inlineStr">
        <is>
          <t>325,0</t>
        </is>
      </c>
      <c r="G83" s="9" t="n">
        <v>0.6</v>
      </c>
      <c r="H83" s="9" t="n">
        <v>0.8</v>
      </c>
      <c r="I83" s="21" t="inlineStr">
        <is>
          <t>王下七武海的克隆体！\n S-蛇女</t>
        </is>
      </c>
      <c r="J83" s="20" t="inlineStr">
        <is>
          <t>-471,-62</t>
        </is>
      </c>
      <c r="K83" s="20" t="inlineStr">
        <is>
          <t>487,-53</t>
        </is>
      </c>
      <c r="L83" s="20" t="n">
        <v>1</v>
      </c>
      <c r="M83" s="20" t="n">
        <v>1</v>
      </c>
    </row>
    <row r="84" ht="39.95" customHeight="1" s="22">
      <c r="A84" s="4" t="n">
        <v>113109</v>
      </c>
      <c r="B84" s="18" t="inlineStr">
        <is>
          <t>未来岛卡古</t>
        </is>
      </c>
      <c r="C84" s="19" t="inlineStr">
        <is>
          <t>UI_icon_wldkg</t>
        </is>
      </c>
      <c r="D84" s="7" t="inlineStr">
        <is>
          <t>533,800</t>
        </is>
      </c>
      <c r="E84" s="20" t="inlineStr">
        <is>
          <t>-538,-45</t>
        </is>
      </c>
      <c r="F84" s="20" t="inlineStr">
        <is>
          <t>325,0</t>
        </is>
      </c>
      <c r="G84" s="9" t="n">
        <v>0.41</v>
      </c>
      <c r="H84" s="9" t="n">
        <v>0.8</v>
      </c>
      <c r="I84" s="21" t="inlineStr">
        <is>
          <t>来一决胜负吧！\n 未来岛卡古</t>
        </is>
      </c>
      <c r="J84" s="20" t="inlineStr">
        <is>
          <t>-471,-62</t>
        </is>
      </c>
      <c r="K84" s="20" t="inlineStr">
        <is>
          <t>487,-53</t>
        </is>
      </c>
      <c r="L84" s="20" t="n">
        <v>1</v>
      </c>
      <c r="M84" s="20" t="n">
        <v>1</v>
      </c>
    </row>
    <row r="85" ht="39.95" customHeight="1" s="22">
      <c r="A85" s="4" t="n">
        <v>113111</v>
      </c>
      <c r="B85" s="18" t="inlineStr">
        <is>
          <t>未来岛鲁兹</t>
        </is>
      </c>
      <c r="C85" s="19" t="inlineStr">
        <is>
          <t>UI_icon_wldlz</t>
        </is>
      </c>
      <c r="D85" s="7" t="inlineStr">
        <is>
          <t>533,800</t>
        </is>
      </c>
      <c r="E85" s="20" t="inlineStr">
        <is>
          <t>-464,-45</t>
        </is>
      </c>
      <c r="F85" s="20" t="inlineStr">
        <is>
          <t>400,0</t>
        </is>
      </c>
      <c r="G85" s="9" t="n">
        <v>2</v>
      </c>
      <c r="H85" s="9" t="n">
        <v>1.4</v>
      </c>
      <c r="I85" s="21" t="inlineStr">
        <is>
          <t>“这个敌人值得一杀！”\n 未来岛鲁兹</t>
        </is>
      </c>
      <c r="J85" s="20" t="inlineStr">
        <is>
          <t>-471,-62</t>
        </is>
      </c>
      <c r="K85" s="20" t="inlineStr">
        <is>
          <t>487,-53</t>
        </is>
      </c>
      <c r="L85" s="20" t="n">
        <v>1</v>
      </c>
      <c r="M85" s="20" t="n">
        <v>1</v>
      </c>
    </row>
    <row r="86" ht="39.95" customHeight="1" s="22">
      <c r="A86" s="4" t="n">
        <v>113112</v>
      </c>
      <c r="B86" s="18" t="inlineStr">
        <is>
          <t>未来岛斯图西</t>
        </is>
      </c>
      <c r="C86" s="19" t="inlineStr">
        <is>
          <t>UI_icon_stx</t>
        </is>
      </c>
      <c r="D86" s="7" t="inlineStr">
        <is>
          <t>533,800</t>
        </is>
      </c>
      <c r="E86" s="20" t="inlineStr">
        <is>
          <t>-464,-45</t>
        </is>
      </c>
      <c r="F86" s="20" t="inlineStr">
        <is>
          <t>400,0</t>
        </is>
      </c>
      <c r="G86" s="9" t="n">
        <v>1.6</v>
      </c>
      <c r="H86" s="9" t="n">
        <v>1</v>
      </c>
      <c r="I86" s="21" t="inlineStr">
        <is>
          <t>欢乐街女王\n 未来岛斯图西</t>
        </is>
      </c>
      <c r="J86" s="20" t="inlineStr">
        <is>
          <t>-471,-62</t>
        </is>
      </c>
      <c r="K86" s="20" t="inlineStr">
        <is>
          <t>487,-53</t>
        </is>
      </c>
      <c r="L86" s="20" t="n">
        <v>1</v>
      </c>
      <c r="M86" s="20" t="n">
        <v>1</v>
      </c>
    </row>
    <row r="87" ht="39.95" customHeight="1" s="22">
      <c r="A87" s="4" t="n">
        <v>113034</v>
      </c>
      <c r="B87" s="18" t="inlineStr">
        <is>
          <t>锦卫门</t>
        </is>
      </c>
      <c r="C87" s="19" t="inlineStr">
        <is>
          <t>UI_icon_jwm</t>
        </is>
      </c>
      <c r="D87" s="7" t="inlineStr">
        <is>
          <t>533,800</t>
        </is>
      </c>
      <c r="E87" s="20" t="inlineStr">
        <is>
          <t>-464,-45</t>
        </is>
      </c>
      <c r="F87" s="20" t="inlineStr">
        <is>
          <t>400,0</t>
        </is>
      </c>
      <c r="G87" s="9" t="n">
        <v>1.6</v>
      </c>
      <c r="H87" s="9" t="n">
        <v>1</v>
      </c>
      <c r="I87" s="21" t="inlineStr">
        <is>
          <t>来自和之国的武士！\n 锦卫门</t>
        </is>
      </c>
      <c r="J87" s="20" t="inlineStr">
        <is>
          <t>-471,-62</t>
        </is>
      </c>
      <c r="K87" s="20" t="inlineStr">
        <is>
          <t>487,-53</t>
        </is>
      </c>
      <c r="L87" s="20" t="n">
        <v>1</v>
      </c>
      <c r="M87" s="20" t="n">
        <v>1</v>
      </c>
    </row>
    <row r="88" ht="39.95" customHeight="1" s="22">
      <c r="A88" s="4" t="n">
        <v>113113</v>
      </c>
      <c r="B88" s="18" t="inlineStr">
        <is>
          <t>S-小熊</t>
        </is>
      </c>
      <c r="C88" s="19" t="inlineStr">
        <is>
          <t>UI_icon_sxx</t>
        </is>
      </c>
      <c r="D88" s="7" t="inlineStr">
        <is>
          <t>533,800</t>
        </is>
      </c>
      <c r="E88" s="20" t="inlineStr">
        <is>
          <t>-464,-45</t>
        </is>
      </c>
      <c r="F88" s="20" t="inlineStr">
        <is>
          <t>400,0</t>
        </is>
      </c>
      <c r="G88" s="9" t="n">
        <v>1.2</v>
      </c>
      <c r="H88" s="9" t="n">
        <v>0.8</v>
      </c>
      <c r="I88" s="21" t="inlineStr">
        <is>
          <t>王下七武海的克隆体！\n S-小熊</t>
        </is>
      </c>
      <c r="J88" s="20" t="inlineStr">
        <is>
          <t>-471,-62</t>
        </is>
      </c>
      <c r="K88" s="20" t="inlineStr">
        <is>
          <t>487,-53</t>
        </is>
      </c>
      <c r="L88" s="20" t="n">
        <v>1</v>
      </c>
      <c r="M88" s="20" t="n">
        <v>1</v>
      </c>
    </row>
    <row r="89">
      <c r="A89" s="23" t="n">
        <v>113115</v>
      </c>
      <c r="B89" s="24" t="inlineStr">
        <is>
          <t>蜂巢岛库赞</t>
        </is>
      </c>
      <c r="C89" s="25" t="inlineStr">
        <is>
          <t>待补充</t>
        </is>
      </c>
      <c r="D89" s="26" t="inlineStr">
        <is>
          <t>533,800</t>
        </is>
      </c>
      <c r="E89" s="27" t="inlineStr">
        <is>
          <t>-464,-45</t>
        </is>
      </c>
      <c r="F89" s="27" t="inlineStr">
        <is>
          <t>400,0</t>
        </is>
      </c>
      <c r="G89" s="28" t="n">
        <v>1.2</v>
      </c>
      <c r="H89" s="28" t="n">
        <v>0.8</v>
      </c>
      <c r="I89" s="29" t="inlineStr">
        <is>
          <t>王下七武海的克隆体！\n S-小熊</t>
        </is>
      </c>
      <c r="J89" s="27" t="inlineStr">
        <is>
          <t>-471,-62</t>
        </is>
      </c>
      <c r="K89" s="27" t="inlineStr">
        <is>
          <t>487,-53</t>
        </is>
      </c>
      <c r="L89" s="27" t="n">
        <v>1</v>
      </c>
      <c r="M89" s="27" t="n">
        <v>1</v>
      </c>
      <c r="N89" s="30" t="n"/>
      <c r="O89" s="30" t="n"/>
      <c r="P89" s="30" t="n"/>
      <c r="Q89" s="30" t="n"/>
      <c r="R89" s="30" t="n"/>
      <c r="S89" s="30" t="n"/>
      <c r="T89" s="30" t="n"/>
      <c r="U89" s="30" t="n"/>
      <c r="V89" s="30" t="n"/>
      <c r="W89" s="30" t="n"/>
      <c r="X89" s="30" t="n"/>
      <c r="Y89" s="30" t="n"/>
      <c r="Z89" s="30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G11" sqref="G11"/>
    </sheetView>
  </sheetViews>
  <sheetFormatPr baseColWidth="8" defaultColWidth="9" defaultRowHeight="13.5" outlineLevelRow="7"/>
  <cols>
    <col width="12.2583333333333" customWidth="1" style="22" min="5" max="6"/>
    <col width="12.625" customWidth="1" style="22" min="7" max="7"/>
    <col width="11.5" customWidth="1" style="22" min="8" max="8"/>
    <col width="10.375" customWidth="1" style="22" min="9" max="9"/>
  </cols>
  <sheetData>
    <row r="1">
      <c r="A1" s="0" t="inlineStr">
        <is>
          <t>所有立绘宽高统一填533,800，需要根据原图宽、高比，反算宽高比</t>
        </is>
      </c>
    </row>
    <row r="2">
      <c r="A2" s="0" t="inlineStr">
        <is>
          <t>填写宽</t>
        </is>
      </c>
      <c r="B2" s="0" t="inlineStr">
        <is>
          <t>填写高</t>
        </is>
      </c>
      <c r="C2" s="0" t="inlineStr">
        <is>
          <t>原图宽</t>
        </is>
      </c>
      <c r="D2" s="0" t="inlineStr">
        <is>
          <t>原图高</t>
        </is>
      </c>
      <c r="E2" s="0" t="inlineStr">
        <is>
          <t>Scene预期高</t>
        </is>
      </c>
      <c r="F2" s="0" t="inlineStr">
        <is>
          <t>整体再缩放</t>
        </is>
      </c>
      <c r="G2" s="0" t="inlineStr">
        <is>
          <t>理想宽比</t>
        </is>
      </c>
      <c r="H2" s="0" t="inlineStr">
        <is>
          <t>理想高比</t>
        </is>
      </c>
      <c r="I2" s="0" t="inlineStr">
        <is>
          <t>填写宽比</t>
        </is>
      </c>
      <c r="J2" s="0" t="inlineStr">
        <is>
          <t>填写高比</t>
        </is>
      </c>
    </row>
    <row r="3">
      <c r="A3" s="1" t="n">
        <v>533</v>
      </c>
      <c r="B3" s="1" t="n">
        <v>800</v>
      </c>
      <c r="C3" s="0" t="n">
        <v>533</v>
      </c>
      <c r="D3" s="0" t="n">
        <v>800</v>
      </c>
      <c r="E3" s="0" t="n">
        <v>640</v>
      </c>
      <c r="F3" s="2">
        <f>E3/B3</f>
        <v/>
      </c>
      <c r="G3" s="2">
        <f>(C3*(B3/D3))/533*F3</f>
        <v/>
      </c>
      <c r="H3" s="2">
        <f>F3</f>
        <v/>
      </c>
      <c r="I3" s="1">
        <f>ROUND(G3,2)</f>
        <v/>
      </c>
      <c r="J3" s="1">
        <f>ROUND(H3,2)</f>
        <v/>
      </c>
    </row>
    <row r="4">
      <c r="A4" s="1" t="n">
        <v>533</v>
      </c>
      <c r="B4" s="1" t="n">
        <v>800</v>
      </c>
      <c r="C4" s="0" t="n">
        <v>790</v>
      </c>
      <c r="D4" s="0" t="n">
        <v>1000</v>
      </c>
      <c r="E4" s="0" t="n">
        <v>640</v>
      </c>
      <c r="F4" s="2">
        <f>E4/B4</f>
        <v/>
      </c>
      <c r="G4" s="2">
        <f>(C4*(B4/D4))/533*F4</f>
        <v/>
      </c>
      <c r="H4" s="2">
        <f>F4</f>
        <v/>
      </c>
      <c r="I4" s="1">
        <f>ROUND(G4,2)</f>
        <v/>
      </c>
      <c r="J4" s="1">
        <f>ROUND(H4,2)</f>
        <v/>
      </c>
    </row>
    <row r="5">
      <c r="A5" s="1" t="n">
        <v>533</v>
      </c>
      <c r="B5" s="1" t="n">
        <v>800</v>
      </c>
      <c r="C5" s="0" t="n">
        <v>533</v>
      </c>
      <c r="D5" s="0" t="n">
        <v>800</v>
      </c>
      <c r="E5" s="0" t="n">
        <v>640</v>
      </c>
      <c r="F5" s="2">
        <f>E5/B5</f>
        <v/>
      </c>
      <c r="G5" s="2">
        <f>(C5*(B5/D5))/533*F5</f>
        <v/>
      </c>
      <c r="H5" s="2">
        <f>F5</f>
        <v/>
      </c>
      <c r="I5" s="1">
        <f>ROUND(G5,2)</f>
        <v/>
      </c>
      <c r="J5" s="1">
        <f>ROUND(H5,2)</f>
        <v/>
      </c>
    </row>
    <row r="6">
      <c r="A6" s="1" t="n">
        <v>533</v>
      </c>
      <c r="B6" s="1" t="n">
        <v>800</v>
      </c>
      <c r="C6" s="0" t="n">
        <v>2048</v>
      </c>
      <c r="D6" s="0" t="n">
        <v>2048</v>
      </c>
      <c r="E6" s="0" t="n">
        <v>640</v>
      </c>
      <c r="F6" s="2">
        <f>E6/B6</f>
        <v/>
      </c>
      <c r="G6" s="2">
        <f>(C6*(B6/D6))/533*F6</f>
        <v/>
      </c>
      <c r="H6" s="2">
        <f>F6</f>
        <v/>
      </c>
      <c r="I6" s="1">
        <f>ROUND(G6,2)</f>
        <v/>
      </c>
      <c r="J6" s="1">
        <f>ROUND(H6,2)</f>
        <v/>
      </c>
    </row>
    <row r="7">
      <c r="A7" s="1" t="n">
        <v>533</v>
      </c>
      <c r="B7" s="1" t="n">
        <v>800</v>
      </c>
      <c r="C7" s="0" t="n">
        <v>800</v>
      </c>
      <c r="D7" s="0" t="n">
        <v>800</v>
      </c>
      <c r="E7" s="0" t="n">
        <v>640</v>
      </c>
      <c r="F7" s="2">
        <f>E7/B7</f>
        <v/>
      </c>
      <c r="G7" s="2">
        <f>(C7*(B7/D7))/533*F7</f>
        <v/>
      </c>
      <c r="H7" s="2">
        <f>F7</f>
        <v/>
      </c>
      <c r="I7" s="1">
        <f>ROUND(G7,2)</f>
        <v/>
      </c>
      <c r="J7" s="1">
        <f>ROUND(H7,2)</f>
        <v/>
      </c>
    </row>
    <row r="8">
      <c r="A8" s="1" t="n">
        <v>533</v>
      </c>
      <c r="B8" s="1" t="n">
        <v>800</v>
      </c>
      <c r="C8" s="0" t="n">
        <v>4000</v>
      </c>
      <c r="D8" s="0" t="n">
        <v>4000</v>
      </c>
      <c r="E8" s="0" t="n">
        <v>640</v>
      </c>
      <c r="F8" s="2">
        <f>E8/B8</f>
        <v/>
      </c>
      <c r="G8" s="2">
        <f>(C8*(B8/D8))/533*F8</f>
        <v/>
      </c>
      <c r="H8" s="2">
        <f>F8</f>
        <v/>
      </c>
      <c r="I8" s="1">
        <f>ROUND(G8,2)</f>
        <v/>
      </c>
      <c r="J8" s="1">
        <f>ROUND(H8,2)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2021-07-26T07:35:00Z</dcterms:created>
  <dcterms:modified xsi:type="dcterms:W3CDTF">2026-03-09T10:46:15Z</dcterms:modified>
  <cp:lastModifiedBy>wangyufei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2052-12.1.0.15374</vt:lpwstr>
  </property>
  <property name="ICV" fmtid="{D5CDD505-2E9C-101B-9397-08002B2CF9AE}" pid="3">
    <vt:lpwstr>47F115EF386F4338A564D18ACB18E281</vt:lpwstr>
  </property>
</Properties>
</file>